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DieseArbeitsmappe"/>
  <mc:AlternateContent xmlns:mc="http://schemas.openxmlformats.org/markup-compatibility/2006">
    <mc:Choice Requires="x15">
      <x15ac:absPath xmlns:x15ac="http://schemas.microsoft.com/office/spreadsheetml/2010/11/ac" url="C:\Users\pzieg\Documents\Elder Scrolls Online\live\AddOns\LibSets\Data\"/>
    </mc:Choice>
  </mc:AlternateContent>
  <xr:revisionPtr revIDLastSave="0" documentId="13_ncr:1_{AF5D58F9-E8CC-4B8B-9B8E-6D79FF9E0B71}"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WayshrineInfo'!$A$2:$N$511</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names'!$A$2:$B$560</definedName>
    <definedName name="_xlnm._FilterDatabase" localSheetId="3" hidden="1">'ESO zone constants'!$A$2:$L$987</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data'!$A$2:$BI$648</definedName>
    <definedName name="_xlnm._FilterDatabase" localSheetId="9" hidden="1">Workarea!$A$1:$E$1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H4" i="4" l="1"/>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570" i="4"/>
  <c r="BH571" i="4"/>
  <c r="BH572" i="4"/>
  <c r="BH573" i="4"/>
  <c r="BH574" i="4"/>
  <c r="BH575" i="4"/>
  <c r="BH576" i="4"/>
  <c r="BH577" i="4"/>
  <c r="BH578" i="4"/>
  <c r="BH579" i="4"/>
  <c r="BH580" i="4"/>
  <c r="BH581" i="4"/>
  <c r="BH582" i="4"/>
  <c r="BH583" i="4"/>
  <c r="BH584" i="4"/>
  <c r="BH585" i="4"/>
  <c r="BH586" i="4"/>
  <c r="BH587" i="4"/>
  <c r="BH588" i="4"/>
  <c r="BH589" i="4"/>
  <c r="BH590" i="4"/>
  <c r="BH591" i="4"/>
  <c r="BH592" i="4"/>
  <c r="BH593" i="4"/>
  <c r="BH594" i="4"/>
  <c r="BH595" i="4"/>
  <c r="BH596" i="4"/>
  <c r="BH597" i="4"/>
  <c r="BH598" i="4"/>
  <c r="BH599" i="4"/>
  <c r="BH600" i="4"/>
  <c r="BH601" i="4"/>
  <c r="BH602" i="4"/>
  <c r="BH603" i="4"/>
  <c r="BH604" i="4"/>
  <c r="BH605" i="4"/>
  <c r="BH606" i="4"/>
  <c r="BH607" i="4"/>
  <c r="BH608" i="4"/>
  <c r="BH609" i="4"/>
  <c r="BH610" i="4"/>
  <c r="BH611" i="4"/>
  <c r="BH612" i="4"/>
  <c r="BH613" i="4"/>
  <c r="BH614" i="4"/>
  <c r="BH615" i="4"/>
  <c r="BH616" i="4"/>
  <c r="BH617" i="4"/>
  <c r="BH618" i="4"/>
  <c r="BH619" i="4"/>
  <c r="BH620" i="4"/>
  <c r="BH621" i="4"/>
  <c r="BH622" i="4"/>
  <c r="BH623" i="4"/>
  <c r="BH624" i="4"/>
  <c r="BH625" i="4"/>
  <c r="BH626" i="4"/>
  <c r="BH627" i="4"/>
  <c r="BH628" i="4"/>
  <c r="BH629" i="4"/>
  <c r="BH630" i="4"/>
  <c r="BH631" i="4"/>
  <c r="BH632" i="4"/>
  <c r="BH633" i="4"/>
  <c r="BH634" i="4"/>
  <c r="BH635" i="4"/>
  <c r="BH636" i="4"/>
  <c r="BH637" i="4"/>
  <c r="BH638" i="4"/>
  <c r="BH639" i="4"/>
  <c r="BH640" i="4"/>
  <c r="BH641" i="4"/>
  <c r="BH642" i="4"/>
  <c r="BH643" i="4"/>
  <c r="BH644" i="4"/>
  <c r="BH645" i="4"/>
  <c r="BH646" i="4"/>
  <c r="BH647" i="4"/>
  <c r="BH648" i="4"/>
  <c r="BH3" i="4"/>
  <c r="BG4" i="4"/>
  <c r="BG5" i="4"/>
  <c r="BG6" i="4"/>
  <c r="BG7" i="4"/>
  <c r="BG8" i="4"/>
  <c r="BG9" i="4"/>
  <c r="BG10" i="4"/>
  <c r="BG11" i="4"/>
  <c r="BG12" i="4"/>
  <c r="BG13" i="4"/>
  <c r="BG14" i="4"/>
  <c r="BG15" i="4"/>
  <c r="BG16" i="4"/>
  <c r="BG17" i="4"/>
  <c r="BG18" i="4"/>
  <c r="BG19" i="4"/>
  <c r="BG20" i="4"/>
  <c r="BG21" i="4"/>
  <c r="BG22" i="4"/>
  <c r="BG23" i="4"/>
  <c r="BG24" i="4"/>
  <c r="BG25" i="4"/>
  <c r="BG26" i="4"/>
  <c r="BG27" i="4"/>
  <c r="BG28" i="4"/>
  <c r="BG29" i="4"/>
  <c r="BG30" i="4"/>
  <c r="BG31" i="4"/>
  <c r="BG32" i="4"/>
  <c r="BG33" i="4"/>
  <c r="BG34" i="4"/>
  <c r="BG35" i="4"/>
  <c r="BG36" i="4"/>
  <c r="BG37" i="4"/>
  <c r="BG38" i="4"/>
  <c r="BG39" i="4"/>
  <c r="BG40" i="4"/>
  <c r="BG41" i="4"/>
  <c r="BG42" i="4"/>
  <c r="BG43" i="4"/>
  <c r="BG44" i="4"/>
  <c r="BG45" i="4"/>
  <c r="BG46" i="4"/>
  <c r="BG47" i="4"/>
  <c r="BG48" i="4"/>
  <c r="BG49" i="4"/>
  <c r="BG50" i="4"/>
  <c r="BG51" i="4"/>
  <c r="BG52" i="4"/>
  <c r="BG53" i="4"/>
  <c r="BG54" i="4"/>
  <c r="BG55" i="4"/>
  <c r="BG56" i="4"/>
  <c r="BG57" i="4"/>
  <c r="BG58" i="4"/>
  <c r="BG59" i="4"/>
  <c r="BG60" i="4"/>
  <c r="BG61" i="4"/>
  <c r="BG62" i="4"/>
  <c r="BG63" i="4"/>
  <c r="BG64" i="4"/>
  <c r="BG65" i="4"/>
  <c r="BG66" i="4"/>
  <c r="BG67" i="4"/>
  <c r="BG68" i="4"/>
  <c r="BG69" i="4"/>
  <c r="BG70" i="4"/>
  <c r="BG71" i="4"/>
  <c r="BG72" i="4"/>
  <c r="BG73" i="4"/>
  <c r="BG74" i="4"/>
  <c r="BG75" i="4"/>
  <c r="BG76" i="4"/>
  <c r="BG77" i="4"/>
  <c r="BG78" i="4"/>
  <c r="BG79" i="4"/>
  <c r="BG80" i="4"/>
  <c r="BG81" i="4"/>
  <c r="BG82" i="4"/>
  <c r="BG83" i="4"/>
  <c r="BG84" i="4"/>
  <c r="BG85" i="4"/>
  <c r="BG86" i="4"/>
  <c r="BG87" i="4"/>
  <c r="BG88" i="4"/>
  <c r="BG89" i="4"/>
  <c r="BG90" i="4"/>
  <c r="BG91" i="4"/>
  <c r="BG92" i="4"/>
  <c r="BG93" i="4"/>
  <c r="BG94" i="4"/>
  <c r="BG95" i="4"/>
  <c r="BG96" i="4"/>
  <c r="BG97" i="4"/>
  <c r="BG98" i="4"/>
  <c r="BG99" i="4"/>
  <c r="BG100" i="4"/>
  <c r="BG101" i="4"/>
  <c r="BG102" i="4"/>
  <c r="BG103" i="4"/>
  <c r="BG104" i="4"/>
  <c r="BG105" i="4"/>
  <c r="BG106" i="4"/>
  <c r="BG107" i="4"/>
  <c r="BG108" i="4"/>
  <c r="BG109" i="4"/>
  <c r="BG110" i="4"/>
  <c r="BG111" i="4"/>
  <c r="BG112" i="4"/>
  <c r="BG113" i="4"/>
  <c r="BG114" i="4"/>
  <c r="BG115" i="4"/>
  <c r="BG116" i="4"/>
  <c r="BG117" i="4"/>
  <c r="BG118" i="4"/>
  <c r="BG119" i="4"/>
  <c r="BG120" i="4"/>
  <c r="BG121" i="4"/>
  <c r="BG122" i="4"/>
  <c r="BG123" i="4"/>
  <c r="BG124" i="4"/>
  <c r="BG125" i="4"/>
  <c r="BG126" i="4"/>
  <c r="BG127" i="4"/>
  <c r="BG128" i="4"/>
  <c r="BG129" i="4"/>
  <c r="BG130" i="4"/>
  <c r="BG131" i="4"/>
  <c r="BG132" i="4"/>
  <c r="BG133" i="4"/>
  <c r="BG134" i="4"/>
  <c r="BG135" i="4"/>
  <c r="BG136" i="4"/>
  <c r="BG137" i="4"/>
  <c r="BG138" i="4"/>
  <c r="BG139" i="4"/>
  <c r="BG140" i="4"/>
  <c r="BG141" i="4"/>
  <c r="BG142" i="4"/>
  <c r="BG143" i="4"/>
  <c r="BG144" i="4"/>
  <c r="BG145" i="4"/>
  <c r="BG146" i="4"/>
  <c r="BG147" i="4"/>
  <c r="BG148" i="4"/>
  <c r="BG149" i="4"/>
  <c r="BG150" i="4"/>
  <c r="BG151" i="4"/>
  <c r="BG152" i="4"/>
  <c r="BG153" i="4"/>
  <c r="BG154" i="4"/>
  <c r="BG155" i="4"/>
  <c r="BG156" i="4"/>
  <c r="BG157" i="4"/>
  <c r="BG158" i="4"/>
  <c r="BG159" i="4"/>
  <c r="BG160" i="4"/>
  <c r="BG161" i="4"/>
  <c r="BG162" i="4"/>
  <c r="BG163" i="4"/>
  <c r="BG164" i="4"/>
  <c r="BG165" i="4"/>
  <c r="BG166" i="4"/>
  <c r="BG167" i="4"/>
  <c r="BG168" i="4"/>
  <c r="BG169" i="4"/>
  <c r="BG170" i="4"/>
  <c r="BG171" i="4"/>
  <c r="BG172" i="4"/>
  <c r="BG173" i="4"/>
  <c r="BG174" i="4"/>
  <c r="BG175" i="4"/>
  <c r="BE176" i="4"/>
  <c r="BF176" i="4"/>
  <c r="BG176" i="4"/>
  <c r="BI176" i="4"/>
  <c r="BG177" i="4"/>
  <c r="BG178" i="4"/>
  <c r="BG179" i="4"/>
  <c r="BG180" i="4"/>
  <c r="BG181" i="4"/>
  <c r="BG182" i="4"/>
  <c r="BG183" i="4"/>
  <c r="BG184" i="4"/>
  <c r="BG185" i="4"/>
  <c r="BG186" i="4"/>
  <c r="BG187" i="4"/>
  <c r="BG188" i="4"/>
  <c r="BG189" i="4"/>
  <c r="BG190" i="4"/>
  <c r="BG191" i="4"/>
  <c r="BG192" i="4"/>
  <c r="BG193" i="4"/>
  <c r="BG194" i="4"/>
  <c r="BG195" i="4"/>
  <c r="BG196" i="4"/>
  <c r="BG197" i="4"/>
  <c r="BG198" i="4"/>
  <c r="BG199" i="4"/>
  <c r="BG200" i="4"/>
  <c r="BG201" i="4"/>
  <c r="BG202" i="4"/>
  <c r="BG203" i="4"/>
  <c r="BG204" i="4"/>
  <c r="BG205" i="4"/>
  <c r="BG206" i="4"/>
  <c r="BG207" i="4"/>
  <c r="BG208" i="4"/>
  <c r="BG209" i="4"/>
  <c r="BG210" i="4"/>
  <c r="BG211" i="4"/>
  <c r="BG212" i="4"/>
  <c r="BG213" i="4"/>
  <c r="BG214" i="4"/>
  <c r="BG215" i="4"/>
  <c r="BG216" i="4"/>
  <c r="BG217" i="4"/>
  <c r="BG218" i="4"/>
  <c r="BG219" i="4"/>
  <c r="BE220" i="4"/>
  <c r="BF220" i="4"/>
  <c r="BG220" i="4"/>
  <c r="BI220" i="4"/>
  <c r="BG221" i="4"/>
  <c r="BG222" i="4"/>
  <c r="BG223" i="4"/>
  <c r="BG224" i="4"/>
  <c r="BG225" i="4"/>
  <c r="BG226" i="4"/>
  <c r="BG227" i="4"/>
  <c r="BG228" i="4"/>
  <c r="BG229" i="4"/>
  <c r="BG230" i="4"/>
  <c r="BG231" i="4"/>
  <c r="BG232" i="4"/>
  <c r="BG233" i="4"/>
  <c r="BG234" i="4"/>
  <c r="BG235" i="4"/>
  <c r="BG236" i="4"/>
  <c r="BG237" i="4"/>
  <c r="BG238" i="4"/>
  <c r="BG239" i="4"/>
  <c r="BG240" i="4"/>
  <c r="BG241" i="4"/>
  <c r="BG242" i="4"/>
  <c r="BG243" i="4"/>
  <c r="BG244" i="4"/>
  <c r="BG245" i="4"/>
  <c r="BG246" i="4"/>
  <c r="BG247" i="4"/>
  <c r="BG248" i="4"/>
  <c r="BG249" i="4"/>
  <c r="BG250" i="4"/>
  <c r="BG251" i="4"/>
  <c r="BG252" i="4"/>
  <c r="BG253" i="4"/>
  <c r="BG254" i="4"/>
  <c r="BG255" i="4"/>
  <c r="BG256" i="4"/>
  <c r="BG257" i="4"/>
  <c r="BG258" i="4"/>
  <c r="BG259" i="4"/>
  <c r="BG260" i="4"/>
  <c r="BG261" i="4"/>
  <c r="BG262" i="4"/>
  <c r="BG263" i="4"/>
  <c r="BG264" i="4"/>
  <c r="BG265" i="4"/>
  <c r="BG266" i="4"/>
  <c r="BG267" i="4"/>
  <c r="BG268" i="4"/>
  <c r="BG269" i="4"/>
  <c r="BG270" i="4"/>
  <c r="BG271" i="4"/>
  <c r="BG272" i="4"/>
  <c r="BG273" i="4"/>
  <c r="BG274" i="4"/>
  <c r="BG275" i="4"/>
  <c r="BG276" i="4"/>
  <c r="BG277" i="4"/>
  <c r="BG278" i="4"/>
  <c r="BG279" i="4"/>
  <c r="BG280" i="4"/>
  <c r="BG281" i="4"/>
  <c r="BG282" i="4"/>
  <c r="BG283" i="4"/>
  <c r="BG284" i="4"/>
  <c r="BG285" i="4"/>
  <c r="BG286" i="4"/>
  <c r="BG287" i="4"/>
  <c r="BG288" i="4"/>
  <c r="BG289" i="4"/>
  <c r="BG290" i="4"/>
  <c r="BG291" i="4"/>
  <c r="BG292" i="4"/>
  <c r="BG293" i="4"/>
  <c r="BG294" i="4"/>
  <c r="BG295" i="4"/>
  <c r="BG296" i="4"/>
  <c r="BG297" i="4"/>
  <c r="BG298" i="4"/>
  <c r="BG299" i="4"/>
  <c r="BG300" i="4"/>
  <c r="BG301" i="4"/>
  <c r="BG302" i="4"/>
  <c r="BG303" i="4"/>
  <c r="BG304" i="4"/>
  <c r="BG305" i="4"/>
  <c r="BG306" i="4"/>
  <c r="BG307" i="4"/>
  <c r="BG308" i="4"/>
  <c r="BG309" i="4"/>
  <c r="BG310" i="4"/>
  <c r="BG311" i="4"/>
  <c r="BG312" i="4"/>
  <c r="BG313" i="4"/>
  <c r="BG314" i="4"/>
  <c r="BG315" i="4"/>
  <c r="BG316" i="4"/>
  <c r="BG317" i="4"/>
  <c r="BG318" i="4"/>
  <c r="BG319" i="4"/>
  <c r="BG320" i="4"/>
  <c r="BG321" i="4"/>
  <c r="BG322" i="4"/>
  <c r="BG323" i="4"/>
  <c r="BG324" i="4"/>
  <c r="BG325" i="4"/>
  <c r="BG326" i="4"/>
  <c r="BG327" i="4"/>
  <c r="BG328" i="4"/>
  <c r="BG329" i="4"/>
  <c r="BG330" i="4"/>
  <c r="BG331" i="4"/>
  <c r="BG332" i="4"/>
  <c r="BG333" i="4"/>
  <c r="BG334" i="4"/>
  <c r="BG335" i="4"/>
  <c r="BG336" i="4"/>
  <c r="BG337" i="4"/>
  <c r="BG338" i="4"/>
  <c r="BG339" i="4"/>
  <c r="BG340" i="4"/>
  <c r="BG341" i="4"/>
  <c r="BG342" i="4"/>
  <c r="BG343" i="4"/>
  <c r="BG344" i="4"/>
  <c r="BG345" i="4"/>
  <c r="BG346" i="4"/>
  <c r="BG347" i="4"/>
  <c r="BG348" i="4"/>
  <c r="BG349" i="4"/>
  <c r="BG350" i="4"/>
  <c r="BG351" i="4"/>
  <c r="BG352" i="4"/>
  <c r="BG353" i="4"/>
  <c r="BG354" i="4"/>
  <c r="BG355" i="4"/>
  <c r="BG356" i="4"/>
  <c r="BG357" i="4"/>
  <c r="BG358" i="4"/>
  <c r="BG359" i="4"/>
  <c r="BG360" i="4"/>
  <c r="BG361" i="4"/>
  <c r="BG362" i="4"/>
  <c r="BG363" i="4"/>
  <c r="BG364" i="4"/>
  <c r="BG365" i="4"/>
  <c r="BG366" i="4"/>
  <c r="BG367" i="4"/>
  <c r="BG368" i="4"/>
  <c r="BG369" i="4"/>
  <c r="BG370" i="4"/>
  <c r="BG371" i="4"/>
  <c r="BG372" i="4"/>
  <c r="BG373" i="4"/>
  <c r="BG374" i="4"/>
  <c r="BG375" i="4"/>
  <c r="BG376" i="4"/>
  <c r="BG377" i="4"/>
  <c r="BG378" i="4"/>
  <c r="BG379" i="4"/>
  <c r="BG380" i="4"/>
  <c r="BG381" i="4"/>
  <c r="BG382" i="4"/>
  <c r="BG383" i="4"/>
  <c r="BG384" i="4"/>
  <c r="BG385" i="4"/>
  <c r="BG386" i="4"/>
  <c r="BG387" i="4"/>
  <c r="BG388" i="4"/>
  <c r="BG389" i="4"/>
  <c r="BG390" i="4"/>
  <c r="BG391" i="4"/>
  <c r="BG392" i="4"/>
  <c r="BG393" i="4"/>
  <c r="BG394" i="4"/>
  <c r="BG395" i="4"/>
  <c r="BG396" i="4"/>
  <c r="BG397" i="4"/>
  <c r="BG398" i="4"/>
  <c r="BG399" i="4"/>
  <c r="BG400" i="4"/>
  <c r="BG401" i="4"/>
  <c r="BG402" i="4"/>
  <c r="BG403" i="4"/>
  <c r="BG404" i="4"/>
  <c r="BG405" i="4"/>
  <c r="BG406" i="4"/>
  <c r="BG407" i="4"/>
  <c r="BG408" i="4"/>
  <c r="BG409" i="4"/>
  <c r="BG410" i="4"/>
  <c r="BG411" i="4"/>
  <c r="BG412" i="4"/>
  <c r="BG413" i="4"/>
  <c r="BG414" i="4"/>
  <c r="BG415" i="4"/>
  <c r="BG416" i="4"/>
  <c r="BG417" i="4"/>
  <c r="BG418" i="4"/>
  <c r="BG419" i="4"/>
  <c r="BG420" i="4"/>
  <c r="BG421" i="4"/>
  <c r="BG422" i="4"/>
  <c r="BE423" i="4"/>
  <c r="BF423" i="4"/>
  <c r="BG423" i="4"/>
  <c r="BI423" i="4"/>
  <c r="BE424" i="4"/>
  <c r="BF424" i="4"/>
  <c r="BG424" i="4"/>
  <c r="BI424" i="4"/>
  <c r="BE425" i="4"/>
  <c r="BF425" i="4"/>
  <c r="BG425" i="4"/>
  <c r="BI425" i="4"/>
  <c r="BE426" i="4"/>
  <c r="BF426" i="4"/>
  <c r="BG426" i="4"/>
  <c r="BI426" i="4"/>
  <c r="BG427" i="4"/>
  <c r="BG428" i="4"/>
  <c r="BG429" i="4"/>
  <c r="BG430" i="4"/>
  <c r="BG431" i="4"/>
  <c r="BG432" i="4"/>
  <c r="BG433" i="4"/>
  <c r="BG434" i="4"/>
  <c r="BG435" i="4"/>
  <c r="BG436" i="4"/>
  <c r="BG437" i="4"/>
  <c r="BG438" i="4"/>
  <c r="BG439" i="4"/>
  <c r="BE440" i="4"/>
  <c r="BF440" i="4"/>
  <c r="BG440" i="4"/>
  <c r="BI440" i="4"/>
  <c r="BG441" i="4"/>
  <c r="BE442" i="4"/>
  <c r="BF442" i="4"/>
  <c r="BG442" i="4"/>
  <c r="BI442" i="4"/>
  <c r="BG443" i="4"/>
  <c r="BE444" i="4"/>
  <c r="BF444" i="4"/>
  <c r="BG444" i="4"/>
  <c r="BI444" i="4"/>
  <c r="BG445" i="4"/>
  <c r="BG446" i="4"/>
  <c r="BE447" i="4"/>
  <c r="BF447" i="4"/>
  <c r="BG447" i="4"/>
  <c r="BI447" i="4"/>
  <c r="BE448" i="4"/>
  <c r="BF448" i="4"/>
  <c r="BG448" i="4"/>
  <c r="BI448" i="4"/>
  <c r="BE449" i="4"/>
  <c r="BF449" i="4"/>
  <c r="BG449" i="4"/>
  <c r="BI449" i="4"/>
  <c r="BE450" i="4"/>
  <c r="BF450" i="4"/>
  <c r="BG450" i="4"/>
  <c r="BI450" i="4"/>
  <c r="BG451" i="4"/>
  <c r="BG452" i="4"/>
  <c r="BG453" i="4"/>
  <c r="BG454" i="4"/>
  <c r="BG455" i="4"/>
  <c r="BG456" i="4"/>
  <c r="BG457" i="4"/>
  <c r="BG458" i="4"/>
  <c r="BG459" i="4"/>
  <c r="BG460" i="4"/>
  <c r="BG461" i="4"/>
  <c r="BG462" i="4"/>
  <c r="BG463" i="4"/>
  <c r="BG464" i="4"/>
  <c r="BG465" i="4"/>
  <c r="BG466" i="4"/>
  <c r="BG467" i="4"/>
  <c r="BG468" i="4"/>
  <c r="BG469" i="4"/>
  <c r="BG470" i="4"/>
  <c r="BG471" i="4"/>
  <c r="BG472" i="4"/>
  <c r="BG473" i="4"/>
  <c r="BG474" i="4"/>
  <c r="BG475" i="4"/>
  <c r="BG476" i="4"/>
  <c r="BG477" i="4"/>
  <c r="BG478" i="4"/>
  <c r="BG479" i="4"/>
  <c r="BG480" i="4"/>
  <c r="BG481" i="4"/>
  <c r="BG482" i="4"/>
  <c r="BG483" i="4"/>
  <c r="BG484" i="4"/>
  <c r="BG485" i="4"/>
  <c r="BG486" i="4"/>
  <c r="BG487" i="4"/>
  <c r="BG488" i="4"/>
  <c r="BG489" i="4"/>
  <c r="BG490" i="4"/>
  <c r="BG491" i="4"/>
  <c r="BG492" i="4"/>
  <c r="BG493" i="4"/>
  <c r="BG494" i="4"/>
  <c r="BG495" i="4"/>
  <c r="BG496" i="4"/>
  <c r="BG497" i="4"/>
  <c r="BG498" i="4"/>
  <c r="BG499" i="4"/>
  <c r="BG500" i="4"/>
  <c r="BG501" i="4"/>
  <c r="BG502" i="4"/>
  <c r="BG503" i="4"/>
  <c r="BG504" i="4"/>
  <c r="BG505" i="4"/>
  <c r="BG506" i="4"/>
  <c r="BG507" i="4"/>
  <c r="BG508" i="4"/>
  <c r="BG509" i="4"/>
  <c r="BG510" i="4"/>
  <c r="BG511" i="4"/>
  <c r="BG512" i="4"/>
  <c r="BG513" i="4"/>
  <c r="BG514" i="4"/>
  <c r="BG515" i="4"/>
  <c r="BG516" i="4"/>
  <c r="BG517" i="4"/>
  <c r="BG518" i="4"/>
  <c r="BG519" i="4"/>
  <c r="BG520" i="4"/>
  <c r="BG521" i="4"/>
  <c r="BG522" i="4"/>
  <c r="BG523" i="4"/>
  <c r="BG524" i="4"/>
  <c r="BG525" i="4"/>
  <c r="BG526" i="4"/>
  <c r="BG527" i="4"/>
  <c r="BG528" i="4"/>
  <c r="BG529" i="4"/>
  <c r="BG530" i="4"/>
  <c r="BG531" i="4"/>
  <c r="BG532" i="4"/>
  <c r="BG533" i="4"/>
  <c r="BG534" i="4"/>
  <c r="BG535" i="4"/>
  <c r="BG536" i="4"/>
  <c r="BG537" i="4"/>
  <c r="BG538" i="4"/>
  <c r="BG539" i="4"/>
  <c r="BG540" i="4"/>
  <c r="BG541" i="4"/>
  <c r="BG542" i="4"/>
  <c r="BG543" i="4"/>
  <c r="BG544" i="4"/>
  <c r="BG545" i="4"/>
  <c r="BG546" i="4"/>
  <c r="BG547" i="4"/>
  <c r="BG548" i="4"/>
  <c r="BG549" i="4"/>
  <c r="BG550" i="4"/>
  <c r="BG551" i="4"/>
  <c r="BG552" i="4"/>
  <c r="BG553" i="4"/>
  <c r="BG554" i="4"/>
  <c r="BG555" i="4"/>
  <c r="BG556" i="4"/>
  <c r="BG557" i="4"/>
  <c r="BG558" i="4"/>
  <c r="BG559" i="4"/>
  <c r="BG560" i="4"/>
  <c r="BG561" i="4"/>
  <c r="BG562" i="4"/>
  <c r="BG563" i="4"/>
  <c r="BG564" i="4"/>
  <c r="BG565" i="4"/>
  <c r="BG566" i="4"/>
  <c r="BG567" i="4"/>
  <c r="BG568" i="4"/>
  <c r="BG569" i="4"/>
  <c r="BG570" i="4"/>
  <c r="BG571" i="4"/>
  <c r="BG572" i="4"/>
  <c r="BG573" i="4"/>
  <c r="BG574" i="4"/>
  <c r="BG575" i="4"/>
  <c r="BG576" i="4"/>
  <c r="BG577" i="4"/>
  <c r="BG578" i="4"/>
  <c r="BG579" i="4"/>
  <c r="BG580" i="4"/>
  <c r="BG581" i="4"/>
  <c r="BG582" i="4"/>
  <c r="BG583" i="4"/>
  <c r="BG584" i="4"/>
  <c r="BG585" i="4"/>
  <c r="BG586" i="4"/>
  <c r="BG587" i="4"/>
  <c r="BG588" i="4"/>
  <c r="BG589" i="4"/>
  <c r="BG590" i="4"/>
  <c r="BG591" i="4"/>
  <c r="BG592" i="4"/>
  <c r="BG593" i="4"/>
  <c r="BG594" i="4"/>
  <c r="BG595" i="4"/>
  <c r="BG596" i="4"/>
  <c r="BG597" i="4"/>
  <c r="BG598" i="4"/>
  <c r="BG599" i="4"/>
  <c r="BG600" i="4"/>
  <c r="BG601" i="4"/>
  <c r="BG602" i="4"/>
  <c r="BG603" i="4"/>
  <c r="BG604" i="4"/>
  <c r="BG605" i="4"/>
  <c r="BG606" i="4"/>
  <c r="BG607" i="4"/>
  <c r="BG608" i="4"/>
  <c r="BG609" i="4"/>
  <c r="BG610" i="4"/>
  <c r="BG611" i="4"/>
  <c r="BG612" i="4"/>
  <c r="BG613" i="4"/>
  <c r="BG614" i="4"/>
  <c r="BG615" i="4"/>
  <c r="BG616" i="4"/>
  <c r="BG617" i="4"/>
  <c r="BG618" i="4"/>
  <c r="BG619" i="4"/>
  <c r="BG620" i="4"/>
  <c r="BG621" i="4"/>
  <c r="BG622" i="4"/>
  <c r="BG623" i="4"/>
  <c r="BG624" i="4"/>
  <c r="BG625" i="4"/>
  <c r="BG626" i="4"/>
  <c r="BG627" i="4"/>
  <c r="BG628" i="4"/>
  <c r="BG629" i="4"/>
  <c r="BG630" i="4"/>
  <c r="BG631" i="4"/>
  <c r="BG632" i="4"/>
  <c r="BG633" i="4"/>
  <c r="BG634" i="4"/>
  <c r="BG635" i="4"/>
  <c r="BG636" i="4"/>
  <c r="BG637" i="4"/>
  <c r="BG638" i="4"/>
  <c r="BG639" i="4"/>
  <c r="BG640" i="4"/>
  <c r="BG641" i="4"/>
  <c r="BG642" i="4"/>
  <c r="BG643" i="4"/>
  <c r="BG644" i="4"/>
  <c r="BG645" i="4"/>
  <c r="BG646" i="4"/>
  <c r="BG647" i="4"/>
  <c r="BG648" i="4"/>
  <c r="D84" i="20"/>
  <c r="J84" i="20" s="1"/>
  <c r="D85" i="20"/>
  <c r="J85" i="20" s="1"/>
  <c r="I85" i="20"/>
  <c r="H85" i="20"/>
  <c r="G85" i="20"/>
  <c r="I84" i="20"/>
  <c r="H84" i="20"/>
  <c r="G84" i="20"/>
  <c r="AK574" i="4" l="1"/>
  <c r="D637" i="4"/>
  <c r="D638" i="4"/>
  <c r="D639" i="4"/>
  <c r="D640" i="4"/>
  <c r="D641" i="4"/>
  <c r="D642" i="4"/>
  <c r="D643" i="4"/>
  <c r="D644" i="4"/>
  <c r="D645" i="4"/>
  <c r="D646" i="4"/>
  <c r="D647" i="4"/>
  <c r="D648" i="4"/>
  <c r="J336" i="18"/>
  <c r="K336" i="18"/>
  <c r="L336" i="18"/>
  <c r="M336" i="18"/>
  <c r="N336" i="18"/>
  <c r="J535" i="18"/>
  <c r="K535" i="18"/>
  <c r="L535" i="18"/>
  <c r="M535" i="18"/>
  <c r="N535" i="18"/>
  <c r="J441" i="18"/>
  <c r="K441" i="18"/>
  <c r="L441" i="18"/>
  <c r="M441" i="18"/>
  <c r="N441" i="18"/>
  <c r="J412" i="18"/>
  <c r="K412" i="18"/>
  <c r="L412" i="18"/>
  <c r="M412" i="18"/>
  <c r="N412" i="18"/>
  <c r="J433" i="18"/>
  <c r="K433" i="18"/>
  <c r="L433" i="18"/>
  <c r="M433" i="18"/>
  <c r="N433" i="18"/>
  <c r="J426" i="18"/>
  <c r="K426" i="18"/>
  <c r="L426" i="18"/>
  <c r="M426" i="18"/>
  <c r="N426" i="18"/>
  <c r="J408" i="18"/>
  <c r="K408" i="18"/>
  <c r="L408" i="18"/>
  <c r="M408" i="18"/>
  <c r="N408" i="18"/>
  <c r="J425" i="18"/>
  <c r="K425" i="18"/>
  <c r="L425" i="18"/>
  <c r="M425" i="18"/>
  <c r="N425" i="18"/>
  <c r="J230" i="18"/>
  <c r="K230" i="18"/>
  <c r="L230" i="18"/>
  <c r="M230" i="18"/>
  <c r="N230" i="18"/>
  <c r="J231" i="18"/>
  <c r="K231" i="18"/>
  <c r="L231" i="18"/>
  <c r="M231" i="18"/>
  <c r="N231" i="18"/>
  <c r="J232" i="18"/>
  <c r="K232" i="18"/>
  <c r="L232" i="18"/>
  <c r="M232" i="18"/>
  <c r="N232" i="18"/>
  <c r="J233" i="18"/>
  <c r="K233" i="18"/>
  <c r="L233" i="18"/>
  <c r="M233" i="18"/>
  <c r="N233" i="18"/>
  <c r="J234" i="18"/>
  <c r="K234" i="18"/>
  <c r="L234" i="18"/>
  <c r="M234" i="18"/>
  <c r="N234" i="18"/>
  <c r="J235" i="18"/>
  <c r="K235" i="18"/>
  <c r="L235" i="18"/>
  <c r="M235" i="18"/>
  <c r="N235" i="18"/>
  <c r="J236" i="18"/>
  <c r="K236" i="18"/>
  <c r="L236" i="18"/>
  <c r="M236" i="18"/>
  <c r="N236" i="18"/>
  <c r="J237" i="18"/>
  <c r="K237" i="18"/>
  <c r="L237" i="18"/>
  <c r="M237" i="18"/>
  <c r="N237" i="18"/>
  <c r="J238" i="18"/>
  <c r="K238" i="18"/>
  <c r="L238" i="18"/>
  <c r="M238" i="18"/>
  <c r="N238" i="18"/>
  <c r="J239" i="18"/>
  <c r="K239" i="18"/>
  <c r="L239" i="18"/>
  <c r="M239" i="18"/>
  <c r="N239" i="18"/>
  <c r="J440" i="18"/>
  <c r="K440" i="18"/>
  <c r="L440" i="18"/>
  <c r="M440" i="18"/>
  <c r="N440" i="18"/>
  <c r="J533" i="18"/>
  <c r="K533" i="18"/>
  <c r="L533" i="18"/>
  <c r="M533" i="18"/>
  <c r="N533" i="18"/>
  <c r="J241" i="18"/>
  <c r="K241" i="18"/>
  <c r="L241" i="18"/>
  <c r="M241" i="18"/>
  <c r="N241" i="18"/>
  <c r="J242" i="18"/>
  <c r="K242" i="18"/>
  <c r="L242" i="18"/>
  <c r="M242" i="18"/>
  <c r="N242" i="18"/>
  <c r="J427" i="18"/>
  <c r="K427" i="18"/>
  <c r="L427" i="18"/>
  <c r="M427" i="18"/>
  <c r="N427" i="18"/>
  <c r="J428" i="18"/>
  <c r="K428" i="18"/>
  <c r="L428" i="18"/>
  <c r="M428" i="18"/>
  <c r="N428" i="18"/>
  <c r="J429" i="18"/>
  <c r="K429" i="18"/>
  <c r="L429" i="18"/>
  <c r="M429" i="18"/>
  <c r="N429" i="18"/>
  <c r="J431" i="18"/>
  <c r="K431" i="18"/>
  <c r="L431" i="18"/>
  <c r="M431" i="18"/>
  <c r="N431" i="18"/>
  <c r="B645" i="15"/>
  <c r="C645" i="15"/>
  <c r="B646" i="15"/>
  <c r="C646" i="15"/>
  <c r="B647" i="15"/>
  <c r="C647" i="15"/>
  <c r="B648" i="15"/>
  <c r="C648" i="15"/>
  <c r="B649" i="15"/>
  <c r="C649" i="15"/>
  <c r="B650" i="15"/>
  <c r="C650" i="15"/>
  <c r="B651" i="15"/>
  <c r="C651" i="15"/>
  <c r="B652" i="15"/>
  <c r="C652" i="15"/>
  <c r="B653" i="15"/>
  <c r="C653" i="15"/>
  <c r="B654" i="15"/>
  <c r="C654" i="15"/>
  <c r="B655" i="15"/>
  <c r="C655" i="15"/>
  <c r="B656" i="15"/>
  <c r="C656" i="15"/>
  <c r="F631" i="7"/>
  <c r="G631" i="7"/>
  <c r="H631" i="7"/>
  <c r="I631" i="7"/>
  <c r="K631" i="7"/>
  <c r="L631" i="7"/>
  <c r="F632" i="7"/>
  <c r="G632" i="7"/>
  <c r="H632" i="7"/>
  <c r="I632" i="7"/>
  <c r="K632" i="7"/>
  <c r="L632" i="7"/>
  <c r="F633" i="7"/>
  <c r="G633" i="7"/>
  <c r="H633" i="7"/>
  <c r="I633" i="7"/>
  <c r="K633" i="7"/>
  <c r="L633" i="7"/>
  <c r="F634" i="7"/>
  <c r="G634" i="7"/>
  <c r="H634" i="7"/>
  <c r="I634" i="7"/>
  <c r="K634" i="7"/>
  <c r="L634" i="7"/>
  <c r="T643" i="4"/>
  <c r="T644" i="4"/>
  <c r="T645" i="4"/>
  <c r="T646" i="4"/>
  <c r="T647" i="4"/>
  <c r="T648" i="4"/>
  <c r="R644" i="4"/>
  <c r="Z644" i="4"/>
  <c r="AA644" i="4" s="1"/>
  <c r="AF644" i="4"/>
  <c r="AG644" i="4" s="1"/>
  <c r="AK644" i="4"/>
  <c r="AP644" i="4"/>
  <c r="AU644"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45" i="4"/>
  <c r="Z645" i="4"/>
  <c r="AA645" i="4" s="1"/>
  <c r="AF645" i="4"/>
  <c r="AG645" i="4" s="1"/>
  <c r="AK645" i="4"/>
  <c r="AP645" i="4"/>
  <c r="AU645" i="4"/>
  <c r="T637" i="4"/>
  <c r="Z637" i="4"/>
  <c r="AA637" i="4" s="1"/>
  <c r="AF637" i="4"/>
  <c r="AG637" i="4" s="1"/>
  <c r="AK637" i="4"/>
  <c r="AP637" i="4"/>
  <c r="AU637" i="4"/>
  <c r="T638" i="4"/>
  <c r="Z638" i="4"/>
  <c r="AA638" i="4" s="1"/>
  <c r="AF638" i="4"/>
  <c r="AG638" i="4" s="1"/>
  <c r="AK638" i="4"/>
  <c r="AP638" i="4"/>
  <c r="AU638" i="4"/>
  <c r="T639" i="4"/>
  <c r="Z639" i="4"/>
  <c r="AA639" i="4" s="1"/>
  <c r="AF639" i="4"/>
  <c r="AG639" i="4" s="1"/>
  <c r="AK639" i="4"/>
  <c r="AP639" i="4"/>
  <c r="AU639" i="4"/>
  <c r="T640" i="4"/>
  <c r="Z640" i="4"/>
  <c r="AA640" i="4" s="1"/>
  <c r="AF640" i="4"/>
  <c r="AG640" i="4" s="1"/>
  <c r="AK640" i="4"/>
  <c r="AP640" i="4"/>
  <c r="AU640" i="4"/>
  <c r="T641" i="4"/>
  <c r="Z641" i="4"/>
  <c r="AA641" i="4" s="1"/>
  <c r="AF641" i="4"/>
  <c r="AG641" i="4" s="1"/>
  <c r="AK641" i="4"/>
  <c r="AP641" i="4"/>
  <c r="AU641" i="4"/>
  <c r="T642" i="4"/>
  <c r="Z642" i="4"/>
  <c r="AA642" i="4" s="1"/>
  <c r="AF642" i="4"/>
  <c r="AG642" i="4" s="1"/>
  <c r="AK642" i="4"/>
  <c r="AP642" i="4"/>
  <c r="AU642" i="4"/>
  <c r="R637" i="4"/>
  <c r="R638" i="4"/>
  <c r="R639" i="4"/>
  <c r="R640" i="4"/>
  <c r="R641" i="4"/>
  <c r="R642" i="4"/>
  <c r="R643" i="4"/>
  <c r="Z643" i="4"/>
  <c r="AA643" i="4" s="1"/>
  <c r="AF643" i="4"/>
  <c r="AG643" i="4" s="1"/>
  <c r="AK643" i="4"/>
  <c r="AP643" i="4"/>
  <c r="AU643"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2" i="4"/>
  <c r="AG612"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2" i="4"/>
  <c r="BE612" i="4" s="1"/>
  <c r="T613" i="4"/>
  <c r="BE613" i="4" s="1"/>
  <c r="T614" i="4"/>
  <c r="BE614" i="4" s="1"/>
  <c r="T615" i="4"/>
  <c r="BE615" i="4" s="1"/>
  <c r="T616" i="4"/>
  <c r="BE616" i="4" s="1"/>
  <c r="T617" i="4"/>
  <c r="BE617" i="4" s="1"/>
  <c r="T618" i="4"/>
  <c r="BE618" i="4" s="1"/>
  <c r="T627" i="4"/>
  <c r="BE627" i="4" s="1"/>
  <c r="T628" i="4"/>
  <c r="T629" i="4"/>
  <c r="BE629" i="4" s="1"/>
  <c r="T630" i="4"/>
  <c r="BE630" i="4" s="1"/>
  <c r="T631" i="4"/>
  <c r="BE631" i="4" s="1"/>
  <c r="T632" i="4"/>
  <c r="BE632" i="4" s="1"/>
  <c r="T633" i="4"/>
  <c r="BE633" i="4" s="1"/>
  <c r="T634" i="4"/>
  <c r="BE634" i="4" s="1"/>
  <c r="T635" i="4"/>
  <c r="BE635" i="4" s="1"/>
  <c r="T636" i="4"/>
  <c r="BE636" i="4" s="1"/>
  <c r="Q171" i="4"/>
  <c r="Q172" i="4"/>
  <c r="Q173" i="4"/>
  <c r="Q279" i="4"/>
  <c r="Q280" i="4"/>
  <c r="Q281" i="4"/>
  <c r="Q282" i="4"/>
  <c r="Q287" i="4"/>
  <c r="Q328" i="4"/>
  <c r="Q329" i="4"/>
  <c r="Q446" i="4"/>
  <c r="Q479" i="4"/>
  <c r="L3" i="7"/>
  <c r="K3" i="7"/>
  <c r="L4" i="7"/>
  <c r="K4" i="7"/>
  <c r="K532" i="18"/>
  <c r="L532" i="18"/>
  <c r="M532" i="18"/>
  <c r="N532" i="18"/>
  <c r="K534" i="18"/>
  <c r="L534" i="18"/>
  <c r="M534" i="18"/>
  <c r="N534" i="18"/>
  <c r="K536" i="18"/>
  <c r="L536" i="18"/>
  <c r="M536" i="18"/>
  <c r="N536" i="18"/>
  <c r="K537" i="18"/>
  <c r="L537" i="18"/>
  <c r="M537" i="18"/>
  <c r="N537" i="18"/>
  <c r="J532" i="18"/>
  <c r="J534" i="18"/>
  <c r="J536" i="18"/>
  <c r="J537" i="18"/>
  <c r="B644" i="15"/>
  <c r="C644" i="15"/>
  <c r="B638" i="15"/>
  <c r="C638" i="15"/>
  <c r="B639" i="15"/>
  <c r="C639" i="15"/>
  <c r="B640" i="15"/>
  <c r="C640" i="15"/>
  <c r="B641" i="15"/>
  <c r="C641" i="15"/>
  <c r="B642" i="15"/>
  <c r="C642" i="15"/>
  <c r="B643" i="15"/>
  <c r="C643" i="15"/>
  <c r="K626" i="7"/>
  <c r="L626" i="7"/>
  <c r="K627" i="7"/>
  <c r="L627" i="7"/>
  <c r="K628" i="7"/>
  <c r="L628" i="7"/>
  <c r="K629" i="7"/>
  <c r="L629" i="7"/>
  <c r="K630" i="7"/>
  <c r="L630" i="7"/>
  <c r="H626" i="7"/>
  <c r="I626" i="7"/>
  <c r="H627" i="7"/>
  <c r="I627" i="7"/>
  <c r="H628" i="7"/>
  <c r="I628" i="7"/>
  <c r="H629" i="7"/>
  <c r="I629" i="7"/>
  <c r="H630" i="7"/>
  <c r="I630" i="7"/>
  <c r="F646" i="7"/>
  <c r="F638" i="7"/>
  <c r="F637" i="7"/>
  <c r="F615" i="7"/>
  <c r="F616" i="7"/>
  <c r="F617" i="7"/>
  <c r="F618" i="7"/>
  <c r="F619" i="7"/>
  <c r="F620" i="7"/>
  <c r="F621" i="7"/>
  <c r="F622" i="7"/>
  <c r="F623" i="7"/>
  <c r="F624" i="7"/>
  <c r="F625" i="7"/>
  <c r="F626" i="7"/>
  <c r="F627" i="7"/>
  <c r="F628" i="7"/>
  <c r="F629" i="7"/>
  <c r="F630" i="7"/>
  <c r="G627" i="7"/>
  <c r="G628" i="7"/>
  <c r="G629" i="7"/>
  <c r="G630" i="7"/>
  <c r="J523" i="18"/>
  <c r="J524" i="18"/>
  <c r="J525" i="18"/>
  <c r="J526" i="18"/>
  <c r="J527" i="18"/>
  <c r="J528" i="18"/>
  <c r="J529" i="18"/>
  <c r="J530" i="18"/>
  <c r="J531" i="18"/>
  <c r="L523" i="18"/>
  <c r="M523" i="18"/>
  <c r="N523" i="18"/>
  <c r="L524" i="18"/>
  <c r="M524" i="18"/>
  <c r="N524" i="18"/>
  <c r="L528" i="18"/>
  <c r="M528" i="18"/>
  <c r="N528" i="18"/>
  <c r="L529" i="18"/>
  <c r="M529" i="18"/>
  <c r="N529" i="18"/>
  <c r="L530" i="18"/>
  <c r="M530" i="18"/>
  <c r="N530" i="18"/>
  <c r="L531" i="18"/>
  <c r="M531" i="18"/>
  <c r="N531" i="18"/>
  <c r="K529" i="18"/>
  <c r="K530" i="18"/>
  <c r="K531" i="18"/>
  <c r="K528" i="18"/>
  <c r="K524" i="18"/>
  <c r="K523" i="18"/>
  <c r="BG3" i="4"/>
  <c r="R627" i="4"/>
  <c r="R628" i="4"/>
  <c r="R629" i="4"/>
  <c r="AK630" i="4"/>
  <c r="AP630" i="4"/>
  <c r="AU630" i="4"/>
  <c r="AK631" i="4"/>
  <c r="AP631" i="4"/>
  <c r="AU631" i="4"/>
  <c r="AK632" i="4"/>
  <c r="AP632" i="4"/>
  <c r="AU632" i="4"/>
  <c r="AK633" i="4"/>
  <c r="AP633" i="4"/>
  <c r="AU633" i="4"/>
  <c r="AK634" i="4"/>
  <c r="AP634" i="4"/>
  <c r="AU634" i="4"/>
  <c r="AK635" i="4"/>
  <c r="AP635" i="4"/>
  <c r="AU635" i="4"/>
  <c r="AK636" i="4"/>
  <c r="AP636" i="4"/>
  <c r="AU636" i="4"/>
  <c r="D630" i="4"/>
  <c r="D631" i="4"/>
  <c r="D632" i="4"/>
  <c r="D633" i="4"/>
  <c r="D634" i="4"/>
  <c r="D635" i="4"/>
  <c r="D636" i="4"/>
  <c r="C37" i="20"/>
  <c r="G37" i="20"/>
  <c r="H37" i="20"/>
  <c r="I37" i="20"/>
  <c r="Z119" i="4"/>
  <c r="AF629" i="4"/>
  <c r="AG629" i="4" s="1"/>
  <c r="AF628" i="4"/>
  <c r="AG628" i="4" s="1"/>
  <c r="AF627" i="4"/>
  <c r="AG627"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5" i="15"/>
  <c r="C635" i="15"/>
  <c r="B636" i="15"/>
  <c r="C636" i="15"/>
  <c r="B637" i="15"/>
  <c r="C637" i="15"/>
  <c r="N389" i="18"/>
  <c r="M389" i="18"/>
  <c r="L389" i="18"/>
  <c r="K389" i="18"/>
  <c r="J389" i="18"/>
  <c r="AU629" i="4"/>
  <c r="AP629" i="4"/>
  <c r="AK629" i="4"/>
  <c r="Z629" i="4"/>
  <c r="AA629" i="4" s="1"/>
  <c r="AU628" i="4"/>
  <c r="AP628" i="4"/>
  <c r="AK628" i="4"/>
  <c r="Z628" i="4"/>
  <c r="AA628" i="4" s="1"/>
  <c r="AU627" i="4"/>
  <c r="AP627" i="4"/>
  <c r="AK627" i="4"/>
  <c r="Z627" i="4"/>
  <c r="AA627" i="4" s="1"/>
  <c r="D627" i="4"/>
  <c r="D628" i="4"/>
  <c r="D629" i="4"/>
  <c r="B618" i="15"/>
  <c r="C618" i="15"/>
  <c r="B619" i="15"/>
  <c r="C619" i="15"/>
  <c r="B620" i="15"/>
  <c r="C620"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H97" i="20"/>
  <c r="F48" i="9"/>
  <c r="F49" i="9"/>
  <c r="F594" i="7"/>
  <c r="F595" i="7"/>
  <c r="F596" i="7"/>
  <c r="F597" i="7"/>
  <c r="F598" i="7"/>
  <c r="F599" i="7"/>
  <c r="F600" i="7"/>
  <c r="F601" i="7"/>
  <c r="F653" i="7"/>
  <c r="F602" i="7"/>
  <c r="F603" i="7"/>
  <c r="F604" i="7"/>
  <c r="F605" i="7"/>
  <c r="F606" i="7"/>
  <c r="F607" i="7"/>
  <c r="F608" i="7"/>
  <c r="F609" i="7"/>
  <c r="F610" i="7"/>
  <c r="F611" i="7"/>
  <c r="F612" i="7"/>
  <c r="F613" i="7"/>
  <c r="F614" i="7"/>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G594" i="7"/>
  <c r="H594" i="7"/>
  <c r="I594" i="7"/>
  <c r="G595" i="7"/>
  <c r="H595" i="7"/>
  <c r="I595" i="7"/>
  <c r="G596" i="7"/>
  <c r="H596" i="7"/>
  <c r="I596" i="7"/>
  <c r="G597" i="7"/>
  <c r="H597" i="7"/>
  <c r="I597" i="7"/>
  <c r="G598" i="7"/>
  <c r="H598" i="7"/>
  <c r="I598" i="7"/>
  <c r="G599" i="7"/>
  <c r="H599" i="7"/>
  <c r="I599" i="7"/>
  <c r="G600" i="7"/>
  <c r="H600" i="7"/>
  <c r="I600" i="7"/>
  <c r="G601" i="7"/>
  <c r="H601" i="7"/>
  <c r="I601" i="7"/>
  <c r="G653" i="7"/>
  <c r="H653" i="7"/>
  <c r="I653" i="7"/>
  <c r="G602" i="7"/>
  <c r="H602" i="7"/>
  <c r="I602" i="7"/>
  <c r="G603" i="7"/>
  <c r="H603" i="7"/>
  <c r="I603" i="7"/>
  <c r="G604" i="7"/>
  <c r="H604" i="7"/>
  <c r="I604" i="7"/>
  <c r="G605" i="7"/>
  <c r="H605" i="7"/>
  <c r="I605" i="7"/>
  <c r="G606" i="7"/>
  <c r="H606" i="7"/>
  <c r="I606" i="7"/>
  <c r="G607" i="7"/>
  <c r="H607" i="7"/>
  <c r="I607" i="7"/>
  <c r="G608" i="7"/>
  <c r="H608" i="7"/>
  <c r="I608" i="7"/>
  <c r="G609" i="7"/>
  <c r="H609" i="7"/>
  <c r="I609" i="7"/>
  <c r="G610" i="7"/>
  <c r="H610" i="7"/>
  <c r="I610" i="7"/>
  <c r="G611" i="7"/>
  <c r="H611" i="7"/>
  <c r="I611" i="7"/>
  <c r="G612" i="7"/>
  <c r="H612" i="7"/>
  <c r="I612" i="7"/>
  <c r="G613" i="7"/>
  <c r="H613" i="7"/>
  <c r="I613" i="7"/>
  <c r="G614" i="7"/>
  <c r="H614" i="7"/>
  <c r="I614" i="7"/>
  <c r="G646" i="7"/>
  <c r="H646" i="7"/>
  <c r="I646" i="7"/>
  <c r="G638" i="7"/>
  <c r="H638" i="7"/>
  <c r="I638" i="7"/>
  <c r="G637" i="7"/>
  <c r="H637" i="7"/>
  <c r="I637" i="7"/>
  <c r="G615" i="7"/>
  <c r="H615" i="7"/>
  <c r="I615" i="7"/>
  <c r="G616" i="7"/>
  <c r="H616" i="7"/>
  <c r="I616" i="7"/>
  <c r="G617" i="7"/>
  <c r="H617" i="7"/>
  <c r="I617" i="7"/>
  <c r="G618" i="7"/>
  <c r="H618" i="7"/>
  <c r="I618" i="7"/>
  <c r="G619" i="7"/>
  <c r="H619" i="7"/>
  <c r="I619" i="7"/>
  <c r="G620" i="7"/>
  <c r="H620" i="7"/>
  <c r="I620" i="7"/>
  <c r="G621" i="7"/>
  <c r="H621" i="7"/>
  <c r="I621" i="7"/>
  <c r="G622" i="7"/>
  <c r="H622" i="7"/>
  <c r="I622" i="7"/>
  <c r="G623" i="7"/>
  <c r="H623" i="7"/>
  <c r="I623" i="7"/>
  <c r="G624" i="7"/>
  <c r="H624" i="7"/>
  <c r="I624" i="7"/>
  <c r="G625" i="7"/>
  <c r="H625" i="7"/>
  <c r="I625" i="7"/>
  <c r="G626" i="7"/>
  <c r="R611" i="4"/>
  <c r="R619" i="4"/>
  <c r="R620" i="4"/>
  <c r="R621" i="4"/>
  <c r="R622" i="4"/>
  <c r="R623" i="4"/>
  <c r="R624" i="4"/>
  <c r="R625" i="4"/>
  <c r="R626" i="4"/>
  <c r="AU610" i="4"/>
  <c r="AU611" i="4"/>
  <c r="AU612" i="4"/>
  <c r="AK613" i="4"/>
  <c r="AP613" i="4"/>
  <c r="AU613" i="4"/>
  <c r="AK614" i="4"/>
  <c r="AP614" i="4"/>
  <c r="AU614" i="4"/>
  <c r="AK615" i="4"/>
  <c r="AP615" i="4"/>
  <c r="AU615" i="4"/>
  <c r="AK619" i="4"/>
  <c r="AP619" i="4"/>
  <c r="AU619" i="4"/>
  <c r="AK620" i="4"/>
  <c r="AP620" i="4"/>
  <c r="AU620" i="4"/>
  <c r="AK621" i="4"/>
  <c r="AP621" i="4"/>
  <c r="AU621" i="4"/>
  <c r="AK622" i="4"/>
  <c r="AP622" i="4"/>
  <c r="AU622" i="4"/>
  <c r="AK623" i="4"/>
  <c r="AP623" i="4"/>
  <c r="AU623" i="4"/>
  <c r="AK624" i="4"/>
  <c r="AP624" i="4"/>
  <c r="AU624" i="4"/>
  <c r="AK625" i="4"/>
  <c r="AP625" i="4"/>
  <c r="AU625" i="4"/>
  <c r="AK626" i="4"/>
  <c r="AP626" i="4"/>
  <c r="AU626" i="4"/>
  <c r="D610" i="4"/>
  <c r="D611" i="4"/>
  <c r="D612" i="4"/>
  <c r="D613" i="4"/>
  <c r="D614" i="4"/>
  <c r="D615" i="4"/>
  <c r="D616" i="4"/>
  <c r="D617" i="4"/>
  <c r="D618" i="4"/>
  <c r="D619" i="4"/>
  <c r="D620" i="4"/>
  <c r="D621" i="4"/>
  <c r="D622" i="4"/>
  <c r="D623" i="4"/>
  <c r="D624" i="4"/>
  <c r="D625" i="4"/>
  <c r="D626" i="4"/>
  <c r="K506" i="18"/>
  <c r="L506" i="18"/>
  <c r="M506" i="18"/>
  <c r="N50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5" i="18"/>
  <c r="L525" i="18"/>
  <c r="M525" i="18"/>
  <c r="N525" i="18"/>
  <c r="K526" i="18"/>
  <c r="L526" i="18"/>
  <c r="M526" i="18"/>
  <c r="N526" i="18"/>
  <c r="K527" i="18"/>
  <c r="L527" i="18"/>
  <c r="M527" i="18"/>
  <c r="N527"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J506" i="18"/>
  <c r="J517" i="18"/>
  <c r="J518" i="18"/>
  <c r="J519" i="18"/>
  <c r="J520" i="18"/>
  <c r="J521" i="18"/>
  <c r="J522" i="18"/>
  <c r="J507" i="18"/>
  <c r="J508" i="18"/>
  <c r="J509" i="18"/>
  <c r="J510" i="18"/>
  <c r="J511" i="18"/>
  <c r="J512" i="18"/>
  <c r="J513" i="18"/>
  <c r="J514" i="18"/>
  <c r="J515" i="18"/>
  <c r="J516" i="18"/>
  <c r="C35" i="20"/>
  <c r="J35" i="20" s="1"/>
  <c r="G35" i="20"/>
  <c r="H35" i="20"/>
  <c r="I35"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98" i="20"/>
  <c r="D103" i="20"/>
  <c r="L592" i="7"/>
  <c r="L656" i="7"/>
  <c r="L593" i="7"/>
  <c r="L654" i="7"/>
  <c r="L594" i="7"/>
  <c r="K592" i="7"/>
  <c r="K656" i="7"/>
  <c r="K593" i="7"/>
  <c r="K654" i="7"/>
  <c r="K594" i="7"/>
  <c r="G588" i="7"/>
  <c r="H588" i="7"/>
  <c r="I588" i="7"/>
  <c r="G589" i="7"/>
  <c r="H589" i="7"/>
  <c r="I589" i="7"/>
  <c r="G590" i="7"/>
  <c r="H590" i="7"/>
  <c r="I590" i="7"/>
  <c r="G591" i="7"/>
  <c r="H591" i="7"/>
  <c r="I591" i="7"/>
  <c r="G592" i="7"/>
  <c r="H592" i="7"/>
  <c r="I592" i="7"/>
  <c r="G656" i="7"/>
  <c r="H656" i="7"/>
  <c r="I656" i="7"/>
  <c r="G593" i="7"/>
  <c r="H593" i="7"/>
  <c r="I593" i="7"/>
  <c r="G654" i="7"/>
  <c r="H654" i="7"/>
  <c r="I654" i="7"/>
  <c r="G587" i="7"/>
  <c r="H587" i="7"/>
  <c r="I587" i="7"/>
  <c r="K587" i="7"/>
  <c r="L587" i="7"/>
  <c r="K588" i="7"/>
  <c r="L588" i="7"/>
  <c r="K589" i="7"/>
  <c r="L589" i="7"/>
  <c r="K590" i="7"/>
  <c r="L590" i="7"/>
  <c r="K591" i="7"/>
  <c r="L591" i="7"/>
  <c r="F589" i="7"/>
  <c r="F590" i="7"/>
  <c r="F591" i="7"/>
  <c r="F592" i="7"/>
  <c r="F656" i="7"/>
  <c r="F593" i="7"/>
  <c r="F654" i="7"/>
  <c r="E9" i="5"/>
  <c r="E124" i="5"/>
  <c r="E102" i="5"/>
  <c r="E126" i="5"/>
  <c r="D609" i="4"/>
  <c r="D608" i="4"/>
  <c r="D607" i="4"/>
  <c r="J504" i="18"/>
  <c r="J505" i="18"/>
  <c r="K504" i="18"/>
  <c r="L504" i="18"/>
  <c r="M504" i="18"/>
  <c r="N504" i="18"/>
  <c r="K505" i="18"/>
  <c r="L505" i="18"/>
  <c r="M505" i="18"/>
  <c r="N505" i="18"/>
  <c r="F9" i="5"/>
  <c r="I9" i="5"/>
  <c r="J9" i="5"/>
  <c r="F124" i="5"/>
  <c r="G124" i="5" s="1"/>
  <c r="I124" i="5"/>
  <c r="J124" i="5"/>
  <c r="F102" i="5"/>
  <c r="I102" i="5"/>
  <c r="J102" i="5"/>
  <c r="F126" i="5"/>
  <c r="G126" i="5" s="1"/>
  <c r="I126" i="5"/>
  <c r="J126" i="5"/>
  <c r="G83" i="20"/>
  <c r="H83" i="20"/>
  <c r="I83" i="20"/>
  <c r="G82" i="20"/>
  <c r="H82" i="20"/>
  <c r="I82"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J497" i="18"/>
  <c r="K497" i="18"/>
  <c r="L497" i="18"/>
  <c r="M497" i="18"/>
  <c r="N497" i="18"/>
  <c r="J498" i="18"/>
  <c r="K498" i="18"/>
  <c r="L498" i="18"/>
  <c r="M498" i="18"/>
  <c r="N498" i="18"/>
  <c r="J499" i="18"/>
  <c r="K499" i="18"/>
  <c r="L499" i="18"/>
  <c r="M499" i="18"/>
  <c r="N499" i="18"/>
  <c r="J500" i="18"/>
  <c r="K500" i="18"/>
  <c r="L500" i="18"/>
  <c r="M500" i="18"/>
  <c r="N500" i="18"/>
  <c r="J501" i="18"/>
  <c r="K501" i="18"/>
  <c r="L501" i="18"/>
  <c r="M501" i="18"/>
  <c r="N501" i="18"/>
  <c r="J502" i="18"/>
  <c r="K502" i="18"/>
  <c r="L502" i="18"/>
  <c r="M502" i="18"/>
  <c r="N502" i="18"/>
  <c r="J503" i="18"/>
  <c r="K503" i="18"/>
  <c r="L503" i="18"/>
  <c r="M503" i="18"/>
  <c r="N503" i="18"/>
  <c r="E47" i="9"/>
  <c r="F47" i="9"/>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I36" i="20"/>
  <c r="H36" i="20"/>
  <c r="G36" i="20"/>
  <c r="C36" i="20"/>
  <c r="F565" i="7"/>
  <c r="G565" i="7"/>
  <c r="H565" i="7"/>
  <c r="I565" i="7"/>
  <c r="K565" i="7"/>
  <c r="L565" i="7"/>
  <c r="F572" i="7"/>
  <c r="G572" i="7"/>
  <c r="H572" i="7"/>
  <c r="I572" i="7"/>
  <c r="K572" i="7"/>
  <c r="L572" i="7"/>
  <c r="F573" i="7"/>
  <c r="G573" i="7"/>
  <c r="H573" i="7"/>
  <c r="I573" i="7"/>
  <c r="K573" i="7"/>
  <c r="L573" i="7"/>
  <c r="F574" i="7"/>
  <c r="G574" i="7"/>
  <c r="H574" i="7"/>
  <c r="I574" i="7"/>
  <c r="K574" i="7"/>
  <c r="L574" i="7"/>
  <c r="F575" i="7"/>
  <c r="G575" i="7"/>
  <c r="H575" i="7"/>
  <c r="I575" i="7"/>
  <c r="K575" i="7"/>
  <c r="L575" i="7"/>
  <c r="F576" i="7"/>
  <c r="G576" i="7"/>
  <c r="H576" i="7"/>
  <c r="I576" i="7"/>
  <c r="K576" i="7"/>
  <c r="L576" i="7"/>
  <c r="F577" i="7"/>
  <c r="G577" i="7"/>
  <c r="H577" i="7"/>
  <c r="I577" i="7"/>
  <c r="K577" i="7"/>
  <c r="L577" i="7"/>
  <c r="F578" i="7"/>
  <c r="G578" i="7"/>
  <c r="H578" i="7"/>
  <c r="I578" i="7"/>
  <c r="K578" i="7"/>
  <c r="L578" i="7"/>
  <c r="F579" i="7"/>
  <c r="G579" i="7"/>
  <c r="H579" i="7"/>
  <c r="I579" i="7"/>
  <c r="K579" i="7"/>
  <c r="L579" i="7"/>
  <c r="F580" i="7"/>
  <c r="G580" i="7"/>
  <c r="H580" i="7"/>
  <c r="I580" i="7"/>
  <c r="K580" i="7"/>
  <c r="L580" i="7"/>
  <c r="F581" i="7"/>
  <c r="G581" i="7"/>
  <c r="H581" i="7"/>
  <c r="I581" i="7"/>
  <c r="K581" i="7"/>
  <c r="L581" i="7"/>
  <c r="F582" i="7"/>
  <c r="G582" i="7"/>
  <c r="H582" i="7"/>
  <c r="I582" i="7"/>
  <c r="K582" i="7"/>
  <c r="L582" i="7"/>
  <c r="F583" i="7"/>
  <c r="G583" i="7"/>
  <c r="H583" i="7"/>
  <c r="I583" i="7"/>
  <c r="K583" i="7"/>
  <c r="L583" i="7"/>
  <c r="F584" i="7"/>
  <c r="G584" i="7"/>
  <c r="H584" i="7"/>
  <c r="I584" i="7"/>
  <c r="K584" i="7"/>
  <c r="L584" i="7"/>
  <c r="F585" i="7"/>
  <c r="G585" i="7"/>
  <c r="H585" i="7"/>
  <c r="I585" i="7"/>
  <c r="K585" i="7"/>
  <c r="L585" i="7"/>
  <c r="F586" i="7"/>
  <c r="G586" i="7"/>
  <c r="H586" i="7"/>
  <c r="I586" i="7"/>
  <c r="K586" i="7"/>
  <c r="L586" i="7"/>
  <c r="F587" i="7"/>
  <c r="F588"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496" i="18"/>
  <c r="L496" i="18"/>
  <c r="M496" i="18"/>
  <c r="N496" i="18"/>
  <c r="J496" i="18"/>
  <c r="F46" i="9"/>
  <c r="F537" i="7"/>
  <c r="G537" i="7"/>
  <c r="H537" i="7"/>
  <c r="I537" i="7"/>
  <c r="K537" i="7"/>
  <c r="L537" i="7"/>
  <c r="F539" i="7"/>
  <c r="G539" i="7"/>
  <c r="H539" i="7"/>
  <c r="I539" i="7"/>
  <c r="K539" i="7"/>
  <c r="L539" i="7"/>
  <c r="F540" i="7"/>
  <c r="G540" i="7"/>
  <c r="H540" i="7"/>
  <c r="I540" i="7"/>
  <c r="K540" i="7"/>
  <c r="L540" i="7"/>
  <c r="F541" i="7"/>
  <c r="G541" i="7"/>
  <c r="H541" i="7"/>
  <c r="I541" i="7"/>
  <c r="K541" i="7"/>
  <c r="L541" i="7"/>
  <c r="F543" i="7"/>
  <c r="G543" i="7"/>
  <c r="H543" i="7"/>
  <c r="I543" i="7"/>
  <c r="K543" i="7"/>
  <c r="L543" i="7"/>
  <c r="F544" i="7"/>
  <c r="G544" i="7"/>
  <c r="H544" i="7"/>
  <c r="I544" i="7"/>
  <c r="K544" i="7"/>
  <c r="L544" i="7"/>
  <c r="F545" i="7"/>
  <c r="G545" i="7"/>
  <c r="H545" i="7"/>
  <c r="I545" i="7"/>
  <c r="K545" i="7"/>
  <c r="L545" i="7"/>
  <c r="F546" i="7"/>
  <c r="G546" i="7"/>
  <c r="H546" i="7"/>
  <c r="I546" i="7"/>
  <c r="K546" i="7"/>
  <c r="L546" i="7"/>
  <c r="F547" i="7"/>
  <c r="G547" i="7"/>
  <c r="H547" i="7"/>
  <c r="I547" i="7"/>
  <c r="K547" i="7"/>
  <c r="L547" i="7"/>
  <c r="F548" i="7"/>
  <c r="G548" i="7"/>
  <c r="H548" i="7"/>
  <c r="I548" i="7"/>
  <c r="K548" i="7"/>
  <c r="L548" i="7"/>
  <c r="F549" i="7"/>
  <c r="G549" i="7"/>
  <c r="H549" i="7"/>
  <c r="I549" i="7"/>
  <c r="K549" i="7"/>
  <c r="L549" i="7"/>
  <c r="F550" i="7"/>
  <c r="G550" i="7"/>
  <c r="H550" i="7"/>
  <c r="I550" i="7"/>
  <c r="K550" i="7"/>
  <c r="L550" i="7"/>
  <c r="F551" i="7"/>
  <c r="G551" i="7"/>
  <c r="H551" i="7"/>
  <c r="I551" i="7"/>
  <c r="K551" i="7"/>
  <c r="L551" i="7"/>
  <c r="F552" i="7"/>
  <c r="G552" i="7"/>
  <c r="H552" i="7"/>
  <c r="I552" i="7"/>
  <c r="K552" i="7"/>
  <c r="L552" i="7"/>
  <c r="F553" i="7"/>
  <c r="G553" i="7"/>
  <c r="H553" i="7"/>
  <c r="I553" i="7"/>
  <c r="K553" i="7"/>
  <c r="L553" i="7"/>
  <c r="F554" i="7"/>
  <c r="G554" i="7"/>
  <c r="H554" i="7"/>
  <c r="I554" i="7"/>
  <c r="K554" i="7"/>
  <c r="L554" i="7"/>
  <c r="F555" i="7"/>
  <c r="G555" i="7"/>
  <c r="H555" i="7"/>
  <c r="I555" i="7"/>
  <c r="K555" i="7"/>
  <c r="L555" i="7"/>
  <c r="F556" i="7"/>
  <c r="G556" i="7"/>
  <c r="H556" i="7"/>
  <c r="I556" i="7"/>
  <c r="K556" i="7"/>
  <c r="L556" i="7"/>
  <c r="F557" i="7"/>
  <c r="G557" i="7"/>
  <c r="H557" i="7"/>
  <c r="I557" i="7"/>
  <c r="K557" i="7"/>
  <c r="L557" i="7"/>
  <c r="F558" i="7"/>
  <c r="G558" i="7"/>
  <c r="H558" i="7"/>
  <c r="I558" i="7"/>
  <c r="K558" i="7"/>
  <c r="L558" i="7"/>
  <c r="F559" i="7"/>
  <c r="G559" i="7"/>
  <c r="H559" i="7"/>
  <c r="I559" i="7"/>
  <c r="K559" i="7"/>
  <c r="L559" i="7"/>
  <c r="F560" i="7"/>
  <c r="G560" i="7"/>
  <c r="H560" i="7"/>
  <c r="I560" i="7"/>
  <c r="K560" i="7"/>
  <c r="L560" i="7"/>
  <c r="F563" i="7"/>
  <c r="G563" i="7"/>
  <c r="H563" i="7"/>
  <c r="I563" i="7"/>
  <c r="K563" i="7"/>
  <c r="L563" i="7"/>
  <c r="F568" i="7"/>
  <c r="G568" i="7"/>
  <c r="H568" i="7"/>
  <c r="I568" i="7"/>
  <c r="K568" i="7"/>
  <c r="L568" i="7"/>
  <c r="F569" i="7"/>
  <c r="G569" i="7"/>
  <c r="H569" i="7"/>
  <c r="I569" i="7"/>
  <c r="K569" i="7"/>
  <c r="L569" i="7"/>
  <c r="F570" i="7"/>
  <c r="G570" i="7"/>
  <c r="H570" i="7"/>
  <c r="I570" i="7"/>
  <c r="K570" i="7"/>
  <c r="L570" i="7"/>
  <c r="F571" i="7"/>
  <c r="G571" i="7"/>
  <c r="H571" i="7"/>
  <c r="I571" i="7"/>
  <c r="K571" i="7"/>
  <c r="L571" i="7"/>
  <c r="F566" i="7"/>
  <c r="F567" i="7"/>
  <c r="G566" i="7"/>
  <c r="G567" i="7"/>
  <c r="H567" i="7"/>
  <c r="I567" i="7"/>
  <c r="I566" i="7"/>
  <c r="K566" i="7"/>
  <c r="L566" i="7"/>
  <c r="K567" i="7"/>
  <c r="L567" i="7"/>
  <c r="H566"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0" i="20"/>
  <c r="I80" i="20"/>
  <c r="H81" i="20"/>
  <c r="I81" i="20"/>
  <c r="G80" i="20"/>
  <c r="G81"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96" i="20"/>
  <c r="F45" i="9"/>
  <c r="G542" i="7"/>
  <c r="H542" i="7"/>
  <c r="I542" i="7"/>
  <c r="K542" i="7"/>
  <c r="L542" i="7"/>
  <c r="F542" i="7"/>
  <c r="M482" i="18"/>
  <c r="J477" i="18"/>
  <c r="K477" i="18"/>
  <c r="L477" i="18"/>
  <c r="M477" i="18"/>
  <c r="N477" i="18"/>
  <c r="J478" i="18"/>
  <c r="K478" i="18"/>
  <c r="L478" i="18"/>
  <c r="M478" i="18"/>
  <c r="N478" i="18"/>
  <c r="J479" i="18"/>
  <c r="K479" i="18"/>
  <c r="L479" i="18"/>
  <c r="M479" i="18"/>
  <c r="N479" i="18"/>
  <c r="J480" i="18"/>
  <c r="K480" i="18"/>
  <c r="L480" i="18"/>
  <c r="M480" i="18"/>
  <c r="N480" i="18"/>
  <c r="J481" i="18"/>
  <c r="K481" i="18"/>
  <c r="L481" i="18"/>
  <c r="M481" i="18"/>
  <c r="N481" i="18"/>
  <c r="J482" i="18"/>
  <c r="K482" i="18"/>
  <c r="L482" i="18"/>
  <c r="N482" i="18"/>
  <c r="J483" i="18"/>
  <c r="K483" i="18"/>
  <c r="L483" i="18"/>
  <c r="M483" i="18"/>
  <c r="N483" i="18"/>
  <c r="J484" i="18"/>
  <c r="K484" i="18"/>
  <c r="L484" i="18"/>
  <c r="M484" i="18"/>
  <c r="N484" i="18"/>
  <c r="J485" i="18"/>
  <c r="K485" i="18"/>
  <c r="L485" i="18"/>
  <c r="M485" i="18"/>
  <c r="N485" i="18"/>
  <c r="J486" i="18"/>
  <c r="K486" i="18"/>
  <c r="L486" i="18"/>
  <c r="M486" i="18"/>
  <c r="N486" i="18"/>
  <c r="J487" i="18"/>
  <c r="K487" i="18"/>
  <c r="L487" i="18"/>
  <c r="M487" i="18"/>
  <c r="N487" i="18"/>
  <c r="J488" i="18"/>
  <c r="K488" i="18"/>
  <c r="L488" i="18"/>
  <c r="M488" i="18"/>
  <c r="N488" i="18"/>
  <c r="J489" i="18"/>
  <c r="K489" i="18"/>
  <c r="L489" i="18"/>
  <c r="M489" i="18"/>
  <c r="N489" i="18"/>
  <c r="J490" i="18"/>
  <c r="K490" i="18"/>
  <c r="L490" i="18"/>
  <c r="M490" i="18"/>
  <c r="N490" i="18"/>
  <c r="J491" i="18"/>
  <c r="K491" i="18"/>
  <c r="L491" i="18"/>
  <c r="M491" i="18"/>
  <c r="N491" i="18"/>
  <c r="J492" i="18"/>
  <c r="K492" i="18"/>
  <c r="L492" i="18"/>
  <c r="M492" i="18"/>
  <c r="N492" i="18"/>
  <c r="J493" i="18"/>
  <c r="K493" i="18"/>
  <c r="L493" i="18"/>
  <c r="M493" i="18"/>
  <c r="N493" i="18"/>
  <c r="J494" i="18"/>
  <c r="K494" i="18"/>
  <c r="L494" i="18"/>
  <c r="M494" i="18"/>
  <c r="N494" i="18"/>
  <c r="J495" i="18"/>
  <c r="K495" i="18"/>
  <c r="L495" i="18"/>
  <c r="M495" i="18"/>
  <c r="N495" i="18"/>
  <c r="I76" i="20"/>
  <c r="H76" i="20"/>
  <c r="G76" i="20"/>
  <c r="G77" i="20"/>
  <c r="H77" i="20"/>
  <c r="I77" i="20"/>
  <c r="I33" i="20"/>
  <c r="H33" i="20"/>
  <c r="G33" i="20"/>
  <c r="C33" i="20"/>
  <c r="AD422" i="4"/>
  <c r="AD421" i="4"/>
  <c r="AD420" i="4"/>
  <c r="AC422" i="4"/>
  <c r="BH422" i="4" s="1"/>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48" i="18"/>
  <c r="K348" i="18"/>
  <c r="L348" i="18"/>
  <c r="M348" i="18"/>
  <c r="N348" i="18"/>
  <c r="K188" i="18"/>
  <c r="L188" i="18"/>
  <c r="M188" i="18"/>
  <c r="N188" i="18"/>
  <c r="K253" i="18"/>
  <c r="L253" i="18"/>
  <c r="M253" i="18"/>
  <c r="N253" i="18"/>
  <c r="J188" i="18"/>
  <c r="J253" i="18"/>
  <c r="K95" i="18"/>
  <c r="L95" i="18"/>
  <c r="M95" i="18"/>
  <c r="N95" i="18"/>
  <c r="K96" i="18"/>
  <c r="L96" i="18"/>
  <c r="M96" i="18"/>
  <c r="N96" i="18"/>
  <c r="K376" i="18"/>
  <c r="L376" i="18"/>
  <c r="M376" i="18"/>
  <c r="N376" i="18"/>
  <c r="K194" i="18"/>
  <c r="L194" i="18"/>
  <c r="M194" i="18"/>
  <c r="N194" i="18"/>
  <c r="K87" i="18"/>
  <c r="L87" i="18"/>
  <c r="M87" i="18"/>
  <c r="N87" i="18"/>
  <c r="K373" i="18"/>
  <c r="L373" i="18"/>
  <c r="M373" i="18"/>
  <c r="N373" i="18"/>
  <c r="K91" i="18"/>
  <c r="L91" i="18"/>
  <c r="M91" i="18"/>
  <c r="N91" i="18"/>
  <c r="K86" i="18"/>
  <c r="L86" i="18"/>
  <c r="M86" i="18"/>
  <c r="N86" i="18"/>
  <c r="K298" i="18"/>
  <c r="L298" i="18"/>
  <c r="M298" i="18"/>
  <c r="N298" i="18"/>
  <c r="K88" i="18"/>
  <c r="L88" i="18"/>
  <c r="M88" i="18"/>
  <c r="N88" i="18"/>
  <c r="K89" i="18"/>
  <c r="L89" i="18"/>
  <c r="M89" i="18"/>
  <c r="N89" i="18"/>
  <c r="K90" i="18"/>
  <c r="L90" i="18"/>
  <c r="M90" i="18"/>
  <c r="N90" i="18"/>
  <c r="K365" i="18"/>
  <c r="L365" i="18"/>
  <c r="M365" i="18"/>
  <c r="N365" i="18"/>
  <c r="K92" i="18"/>
  <c r="L92" i="18"/>
  <c r="M92" i="18"/>
  <c r="N92" i="18"/>
  <c r="K93" i="18"/>
  <c r="L93" i="18"/>
  <c r="M93" i="18"/>
  <c r="N93" i="18"/>
  <c r="K94" i="18"/>
  <c r="L94" i="18"/>
  <c r="M94" i="18"/>
  <c r="N94" i="18"/>
  <c r="J95" i="18"/>
  <c r="J96" i="18"/>
  <c r="J376" i="18"/>
  <c r="J194" i="18"/>
  <c r="J87" i="18"/>
  <c r="J373" i="18"/>
  <c r="J91" i="18"/>
  <c r="J86" i="18"/>
  <c r="J298" i="18"/>
  <c r="J88" i="18"/>
  <c r="J89" i="18"/>
  <c r="J90" i="18"/>
  <c r="J365" i="18"/>
  <c r="J92" i="18"/>
  <c r="J93" i="18"/>
  <c r="J94" i="18"/>
  <c r="BH421" i="4" l="1"/>
  <c r="BH420" i="4"/>
  <c r="BI644" i="4"/>
  <c r="BI643" i="4"/>
  <c r="BI629" i="4"/>
  <c r="BI638" i="4"/>
  <c r="BI607" i="4"/>
  <c r="BI641" i="4"/>
  <c r="BI540" i="4"/>
  <c r="BI524" i="4"/>
  <c r="BI281" i="4"/>
  <c r="BI156" i="4"/>
  <c r="BI71" i="4"/>
  <c r="BI589" i="4"/>
  <c r="BI639" i="4"/>
  <c r="BI422" i="4"/>
  <c r="BI368" i="4"/>
  <c r="BI279" i="4"/>
  <c r="BI211" i="4"/>
  <c r="BI170" i="4"/>
  <c r="BI154" i="4"/>
  <c r="BI45" i="4"/>
  <c r="BI588" i="4"/>
  <c r="BI199" i="4"/>
  <c r="BI161" i="4"/>
  <c r="BI108" i="4"/>
  <c r="BF328" i="4"/>
  <c r="U643" i="4"/>
  <c r="BE643" i="4"/>
  <c r="BI198" i="4"/>
  <c r="BI107" i="4"/>
  <c r="BI91" i="4"/>
  <c r="BI34" i="4"/>
  <c r="BF287" i="4"/>
  <c r="U628" i="4"/>
  <c r="BE628" i="4"/>
  <c r="U639" i="4"/>
  <c r="BE639" i="4"/>
  <c r="BI647" i="4"/>
  <c r="BI197" i="4"/>
  <c r="BI106" i="4"/>
  <c r="BI90" i="4"/>
  <c r="BI74" i="4"/>
  <c r="BI32" i="4"/>
  <c r="BI9" i="4"/>
  <c r="BF282" i="4"/>
  <c r="BI542" i="4"/>
  <c r="BI196" i="4"/>
  <c r="BI49" i="4"/>
  <c r="BF281" i="4"/>
  <c r="Q645" i="4"/>
  <c r="BF645" i="4" s="1"/>
  <c r="BI645" i="4"/>
  <c r="BI541" i="4"/>
  <c r="BI525" i="4"/>
  <c r="BI282" i="4"/>
  <c r="BI173" i="4"/>
  <c r="BI157" i="4"/>
  <c r="BF280" i="4"/>
  <c r="BI642" i="4"/>
  <c r="BI646" i="4"/>
  <c r="BI559" i="4"/>
  <c r="BF279" i="4"/>
  <c r="U641" i="4"/>
  <c r="BE641" i="4"/>
  <c r="BI172" i="4"/>
  <c r="BI558" i="4"/>
  <c r="BI523" i="4"/>
  <c r="BI369" i="4"/>
  <c r="BI280" i="4"/>
  <c r="BI171" i="4"/>
  <c r="BI86" i="4"/>
  <c r="BI23" i="4"/>
  <c r="BF173" i="4"/>
  <c r="BI640" i="4"/>
  <c r="U638" i="4"/>
  <c r="BE638" i="4"/>
  <c r="BI421" i="4"/>
  <c r="BI367" i="4"/>
  <c r="BI329" i="4"/>
  <c r="BI210" i="4"/>
  <c r="BI169" i="4"/>
  <c r="BI153" i="4"/>
  <c r="BI628" i="4"/>
  <c r="BF171" i="4"/>
  <c r="BI420" i="4"/>
  <c r="BI366" i="4"/>
  <c r="BI328" i="4"/>
  <c r="BI209" i="4"/>
  <c r="BI168" i="4"/>
  <c r="BI152" i="4"/>
  <c r="BI83" i="4"/>
  <c r="BI67" i="4"/>
  <c r="BI587" i="4"/>
  <c r="BI627" i="4"/>
  <c r="U576" i="4"/>
  <c r="BE576" i="4"/>
  <c r="BI637" i="4"/>
  <c r="BI554" i="4"/>
  <c r="BI365" i="4"/>
  <c r="BI208" i="4"/>
  <c r="BI167" i="4"/>
  <c r="BI114" i="4"/>
  <c r="BI82" i="4"/>
  <c r="BI66" i="4"/>
  <c r="BI553" i="4"/>
  <c r="BI364" i="4"/>
  <c r="BI113" i="4"/>
  <c r="BI65" i="4"/>
  <c r="BI41" i="4"/>
  <c r="U640" i="4"/>
  <c r="BE640" i="4"/>
  <c r="U648" i="4"/>
  <c r="BE648" i="4"/>
  <c r="BI69" i="4"/>
  <c r="BI552" i="4"/>
  <c r="BI165" i="4"/>
  <c r="BI112" i="4"/>
  <c r="U647" i="4"/>
  <c r="BE647" i="4"/>
  <c r="BI164" i="4"/>
  <c r="BI111" i="4"/>
  <c r="BI95" i="4"/>
  <c r="BI79" i="4"/>
  <c r="BI58" i="4"/>
  <c r="U637" i="4"/>
  <c r="BE637" i="4"/>
  <c r="U646" i="4"/>
  <c r="BE646" i="4"/>
  <c r="BF172" i="4"/>
  <c r="BI201" i="4"/>
  <c r="BI110" i="4"/>
  <c r="BI648" i="4"/>
  <c r="U645" i="4"/>
  <c r="BE645" i="4"/>
  <c r="BI557" i="4"/>
  <c r="BI287" i="4"/>
  <c r="BI200" i="4"/>
  <c r="BI109" i="4"/>
  <c r="BI93" i="4"/>
  <c r="BI77" i="4"/>
  <c r="BF329" i="4"/>
  <c r="U642" i="4"/>
  <c r="BE642" i="4"/>
  <c r="U644" i="4"/>
  <c r="BE644" i="4"/>
  <c r="J37" i="20"/>
  <c r="K11" i="5"/>
  <c r="K91" i="5"/>
  <c r="K57" i="5"/>
  <c r="K99" i="5"/>
  <c r="U577" i="4"/>
  <c r="U614" i="4"/>
  <c r="G99" i="5"/>
  <c r="G9" i="5"/>
  <c r="K9" i="5"/>
  <c r="U630" i="4"/>
  <c r="U629" i="4"/>
  <c r="K69" i="5"/>
  <c r="U627" i="4"/>
  <c r="G49" i="5"/>
  <c r="K49" i="5"/>
  <c r="G102" i="5"/>
  <c r="K102" i="5"/>
  <c r="K51" i="5"/>
  <c r="Q611" i="4"/>
  <c r="U615" i="4"/>
  <c r="U635" i="4"/>
  <c r="AP592" i="4"/>
  <c r="AP591" i="4"/>
  <c r="AP590" i="4"/>
  <c r="U618" i="4"/>
  <c r="U586" i="4"/>
  <c r="U610" i="4"/>
  <c r="U636" i="4"/>
  <c r="U631" i="4"/>
  <c r="U632" i="4"/>
  <c r="U633" i="4"/>
  <c r="U634" i="4"/>
  <c r="U613" i="4"/>
  <c r="U617" i="4"/>
  <c r="U616" i="4"/>
  <c r="U612" i="4"/>
  <c r="U551" i="4"/>
  <c r="U585" i="4"/>
  <c r="U578" i="4"/>
  <c r="U611" i="4"/>
  <c r="U609" i="4"/>
  <c r="U608" i="4"/>
  <c r="AA609" i="4"/>
  <c r="BI609" i="4" s="1"/>
  <c r="U607" i="4"/>
  <c r="AA608" i="4"/>
  <c r="BI608" i="4" s="1"/>
  <c r="J36" i="20"/>
  <c r="U587" i="4"/>
  <c r="U595" i="4"/>
  <c r="U589" i="4"/>
  <c r="U594" i="4"/>
  <c r="U593" i="4"/>
  <c r="U588" i="4"/>
  <c r="U574" i="4"/>
  <c r="U575" i="4"/>
  <c r="J76" i="20"/>
  <c r="J77" i="20"/>
  <c r="K171" i="18"/>
  <c r="L171" i="18"/>
  <c r="M171" i="18"/>
  <c r="N171" i="18"/>
  <c r="J171" i="18"/>
  <c r="G79" i="20" l="1"/>
  <c r="H79" i="20"/>
  <c r="I79" i="20"/>
  <c r="G78" i="20"/>
  <c r="H78" i="20"/>
  <c r="I78" i="20"/>
  <c r="D3" i="4"/>
  <c r="D4" i="4"/>
  <c r="C560" i="15"/>
  <c r="B552" i="15"/>
  <c r="C552" i="15"/>
  <c r="C544" i="15"/>
  <c r="E31" i="5"/>
  <c r="F31" i="5"/>
  <c r="E114" i="5"/>
  <c r="F114" i="5"/>
  <c r="E105" i="5"/>
  <c r="F105" i="5"/>
  <c r="E116" i="5"/>
  <c r="F116" i="5"/>
  <c r="F518" i="7"/>
  <c r="F519" i="7"/>
  <c r="F520" i="7"/>
  <c r="F521" i="7"/>
  <c r="F522" i="7"/>
  <c r="F523" i="7"/>
  <c r="F524" i="7"/>
  <c r="F525" i="7"/>
  <c r="F526" i="7"/>
  <c r="F527" i="7"/>
  <c r="F528" i="7"/>
  <c r="F529" i="7"/>
  <c r="F531" i="7"/>
  <c r="F534" i="7"/>
  <c r="F561" i="7"/>
  <c r="F562" i="7"/>
  <c r="F661" i="7"/>
  <c r="F530" i="7"/>
  <c r="F535" i="7"/>
  <c r="F536" i="7"/>
  <c r="F538" i="7"/>
  <c r="F564" i="7"/>
  <c r="G661" i="7"/>
  <c r="H661" i="7"/>
  <c r="I661" i="7"/>
  <c r="K661" i="7"/>
  <c r="L661" i="7"/>
  <c r="G530" i="7"/>
  <c r="H530" i="7"/>
  <c r="I530" i="7"/>
  <c r="K530" i="7"/>
  <c r="L530" i="7"/>
  <c r="G535" i="7"/>
  <c r="H535" i="7"/>
  <c r="I535" i="7"/>
  <c r="K535" i="7"/>
  <c r="L535" i="7"/>
  <c r="G536" i="7"/>
  <c r="H536" i="7"/>
  <c r="I536" i="7"/>
  <c r="K536" i="7"/>
  <c r="L536" i="7"/>
  <c r="G538" i="7"/>
  <c r="H538" i="7"/>
  <c r="I538" i="7"/>
  <c r="K538" i="7"/>
  <c r="L538" i="7"/>
  <c r="G564" i="7"/>
  <c r="H564" i="7"/>
  <c r="I564"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4" i="20"/>
  <c r="H34" i="20"/>
  <c r="I34" i="20"/>
  <c r="C34" i="20"/>
  <c r="B542" i="15"/>
  <c r="C542" i="15"/>
  <c r="B543" i="15"/>
  <c r="C543" i="15"/>
  <c r="B544" i="15"/>
  <c r="B545" i="15"/>
  <c r="C545" i="15"/>
  <c r="B546" i="15"/>
  <c r="C546" i="15"/>
  <c r="B547" i="15"/>
  <c r="C547" i="15"/>
  <c r="B551" i="15"/>
  <c r="C551" i="15"/>
  <c r="B553" i="15"/>
  <c r="C553" i="15"/>
  <c r="K33" i="18"/>
  <c r="L33" i="18"/>
  <c r="M33" i="18"/>
  <c r="N33" i="18"/>
  <c r="J33" i="18"/>
  <c r="F512" i="7"/>
  <c r="G512" i="7"/>
  <c r="H512" i="7"/>
  <c r="I512" i="7"/>
  <c r="K512" i="7"/>
  <c r="L512" i="7"/>
  <c r="F513" i="7"/>
  <c r="G513" i="7"/>
  <c r="H513" i="7"/>
  <c r="I513" i="7"/>
  <c r="K513" i="7"/>
  <c r="L513" i="7"/>
  <c r="F514" i="7"/>
  <c r="G514" i="7"/>
  <c r="H514" i="7"/>
  <c r="I514" i="7"/>
  <c r="K514" i="7"/>
  <c r="L514" i="7"/>
  <c r="F515" i="7"/>
  <c r="G515" i="7"/>
  <c r="H515" i="7"/>
  <c r="I515" i="7"/>
  <c r="K515" i="7"/>
  <c r="L515" i="7"/>
  <c r="F516" i="7"/>
  <c r="G516" i="7"/>
  <c r="H516" i="7"/>
  <c r="I516" i="7"/>
  <c r="K516" i="7"/>
  <c r="L516" i="7"/>
  <c r="F517" i="7"/>
  <c r="G517" i="7"/>
  <c r="H517" i="7"/>
  <c r="I517" i="7"/>
  <c r="K517" i="7"/>
  <c r="L517" i="7"/>
  <c r="G518" i="7"/>
  <c r="H518" i="7"/>
  <c r="I518" i="7"/>
  <c r="K518" i="7"/>
  <c r="L518" i="7"/>
  <c r="G519" i="7"/>
  <c r="H519" i="7"/>
  <c r="I519" i="7"/>
  <c r="K519" i="7"/>
  <c r="L519" i="7"/>
  <c r="G520" i="7"/>
  <c r="H520" i="7"/>
  <c r="I520" i="7"/>
  <c r="K520" i="7"/>
  <c r="L520" i="7"/>
  <c r="G521" i="7"/>
  <c r="H521" i="7"/>
  <c r="I521" i="7"/>
  <c r="K521" i="7"/>
  <c r="L521" i="7"/>
  <c r="G522" i="7"/>
  <c r="H522" i="7"/>
  <c r="I522" i="7"/>
  <c r="K522" i="7"/>
  <c r="L522" i="7"/>
  <c r="G523" i="7"/>
  <c r="H523" i="7"/>
  <c r="I523" i="7"/>
  <c r="K523" i="7"/>
  <c r="L523" i="7"/>
  <c r="G524" i="7"/>
  <c r="H524" i="7"/>
  <c r="I524" i="7"/>
  <c r="K524" i="7"/>
  <c r="L524" i="7"/>
  <c r="G525" i="7"/>
  <c r="H525" i="7"/>
  <c r="I525" i="7"/>
  <c r="K525" i="7"/>
  <c r="L525" i="7"/>
  <c r="G526" i="7"/>
  <c r="H526" i="7"/>
  <c r="I526" i="7"/>
  <c r="K526" i="7"/>
  <c r="L526" i="7"/>
  <c r="G527" i="7"/>
  <c r="H527" i="7"/>
  <c r="I527" i="7"/>
  <c r="K527" i="7"/>
  <c r="L527" i="7"/>
  <c r="G528" i="7"/>
  <c r="H528" i="7"/>
  <c r="I528" i="7"/>
  <c r="K528" i="7"/>
  <c r="L528" i="7"/>
  <c r="G529" i="7"/>
  <c r="H529" i="7"/>
  <c r="I529" i="7"/>
  <c r="K529" i="7"/>
  <c r="L529" i="7"/>
  <c r="G531" i="7"/>
  <c r="H531" i="7"/>
  <c r="I531" i="7"/>
  <c r="K531" i="7"/>
  <c r="L531" i="7"/>
  <c r="G534" i="7"/>
  <c r="H534" i="7"/>
  <c r="I534" i="7"/>
  <c r="K534" i="7"/>
  <c r="L534" i="7"/>
  <c r="G561" i="7"/>
  <c r="H561" i="7"/>
  <c r="I561" i="7"/>
  <c r="K561" i="7"/>
  <c r="L561" i="7"/>
  <c r="G562" i="7"/>
  <c r="H562" i="7"/>
  <c r="I562" i="7"/>
  <c r="K562" i="7"/>
  <c r="L562" i="7"/>
  <c r="F43" i="9"/>
  <c r="F44" i="9"/>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983" i="7"/>
  <c r="L240" i="7"/>
  <c r="L985"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7" i="7"/>
  <c r="L986" i="7"/>
  <c r="L984"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F458" i="7"/>
  <c r="G458" i="7"/>
  <c r="H458" i="7"/>
  <c r="I458" i="7"/>
  <c r="F459" i="7"/>
  <c r="G459" i="7"/>
  <c r="H459" i="7"/>
  <c r="I459" i="7"/>
  <c r="F460" i="7"/>
  <c r="G460" i="7"/>
  <c r="H460" i="7"/>
  <c r="I460" i="7"/>
  <c r="F750" i="7"/>
  <c r="G750" i="7"/>
  <c r="H750" i="7"/>
  <c r="I750" i="7"/>
  <c r="F461" i="7"/>
  <c r="G461" i="7"/>
  <c r="H461" i="7"/>
  <c r="I461" i="7"/>
  <c r="F462" i="7"/>
  <c r="G462" i="7"/>
  <c r="H462" i="7"/>
  <c r="I462" i="7"/>
  <c r="F463" i="7"/>
  <c r="G463" i="7"/>
  <c r="H463" i="7"/>
  <c r="I463" i="7"/>
  <c r="F464" i="7"/>
  <c r="G464" i="7"/>
  <c r="H464" i="7"/>
  <c r="I464" i="7"/>
  <c r="F748" i="7"/>
  <c r="G748" i="7"/>
  <c r="H748" i="7"/>
  <c r="I748" i="7"/>
  <c r="F465" i="7"/>
  <c r="G465" i="7"/>
  <c r="H465" i="7"/>
  <c r="I465" i="7"/>
  <c r="F466" i="7"/>
  <c r="G466" i="7"/>
  <c r="H466" i="7"/>
  <c r="I466" i="7"/>
  <c r="F747" i="7"/>
  <c r="G747" i="7"/>
  <c r="H747" i="7"/>
  <c r="I747" i="7"/>
  <c r="F743" i="7"/>
  <c r="G743" i="7"/>
  <c r="H743" i="7"/>
  <c r="I743" i="7"/>
  <c r="F741" i="7"/>
  <c r="G741" i="7"/>
  <c r="H741" i="7"/>
  <c r="I741" i="7"/>
  <c r="F467" i="7"/>
  <c r="G467" i="7"/>
  <c r="H467" i="7"/>
  <c r="I467" i="7"/>
  <c r="F468" i="7"/>
  <c r="G468" i="7"/>
  <c r="H468" i="7"/>
  <c r="I468" i="7"/>
  <c r="F469" i="7"/>
  <c r="G469" i="7"/>
  <c r="H469" i="7"/>
  <c r="I469" i="7"/>
  <c r="F470" i="7"/>
  <c r="G470" i="7"/>
  <c r="H470" i="7"/>
  <c r="I470" i="7"/>
  <c r="F471" i="7"/>
  <c r="G471" i="7"/>
  <c r="H471" i="7"/>
  <c r="I471" i="7"/>
  <c r="F734" i="7"/>
  <c r="G734" i="7"/>
  <c r="H734" i="7"/>
  <c r="I734" i="7"/>
  <c r="F723" i="7"/>
  <c r="G723" i="7"/>
  <c r="H723" i="7"/>
  <c r="I723" i="7"/>
  <c r="F472" i="7"/>
  <c r="G472" i="7"/>
  <c r="H472" i="7"/>
  <c r="I472" i="7"/>
  <c r="F473" i="7"/>
  <c r="G473" i="7"/>
  <c r="H473" i="7"/>
  <c r="I473" i="7"/>
  <c r="F721" i="7"/>
  <c r="G721" i="7"/>
  <c r="H721" i="7"/>
  <c r="I721" i="7"/>
  <c r="F713" i="7"/>
  <c r="G713" i="7"/>
  <c r="H713" i="7"/>
  <c r="I71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688" i="7"/>
  <c r="G688" i="7"/>
  <c r="H688" i="7"/>
  <c r="I688" i="7"/>
  <c r="F684" i="7"/>
  <c r="G684" i="7"/>
  <c r="H684" i="7"/>
  <c r="I684" i="7"/>
  <c r="F683" i="7"/>
  <c r="G683" i="7"/>
  <c r="H683" i="7"/>
  <c r="I683" i="7"/>
  <c r="F667" i="7"/>
  <c r="G667" i="7"/>
  <c r="H667" i="7"/>
  <c r="I667" i="7"/>
  <c r="F506" i="7"/>
  <c r="G506" i="7"/>
  <c r="H506" i="7"/>
  <c r="I506" i="7"/>
  <c r="F507" i="7"/>
  <c r="G507" i="7"/>
  <c r="H507" i="7"/>
  <c r="I507" i="7"/>
  <c r="F508" i="7"/>
  <c r="G508" i="7"/>
  <c r="H508" i="7"/>
  <c r="I508" i="7"/>
  <c r="F509" i="7"/>
  <c r="G509" i="7"/>
  <c r="H509" i="7"/>
  <c r="I509" i="7"/>
  <c r="F510" i="7"/>
  <c r="G510" i="7"/>
  <c r="H510" i="7"/>
  <c r="I510" i="7"/>
  <c r="F511" i="7"/>
  <c r="G511" i="7"/>
  <c r="H511" i="7"/>
  <c r="I511" i="7"/>
  <c r="F532" i="7"/>
  <c r="G532" i="7"/>
  <c r="H532" i="7"/>
  <c r="I532" i="7"/>
  <c r="F533" i="7"/>
  <c r="G533" i="7"/>
  <c r="H533" i="7"/>
  <c r="I533" i="7"/>
  <c r="F904" i="7"/>
  <c r="G904" i="7"/>
  <c r="H904" i="7"/>
  <c r="I904" i="7"/>
  <c r="K904" i="7"/>
  <c r="F903" i="7"/>
  <c r="G903" i="7"/>
  <c r="H903" i="7"/>
  <c r="AP593" i="4" s="1"/>
  <c r="I903" i="7"/>
  <c r="K903" i="7"/>
  <c r="F902" i="7"/>
  <c r="G902" i="7"/>
  <c r="H902" i="7"/>
  <c r="I902" i="7"/>
  <c r="K902" i="7"/>
  <c r="F901" i="7"/>
  <c r="G901" i="7"/>
  <c r="H901" i="7"/>
  <c r="I901" i="7"/>
  <c r="K901" i="7"/>
  <c r="F899" i="7"/>
  <c r="G899" i="7"/>
  <c r="H899" i="7"/>
  <c r="AK441" i="4" s="1"/>
  <c r="I899" i="7"/>
  <c r="K899" i="7"/>
  <c r="F891" i="7"/>
  <c r="G891" i="7"/>
  <c r="H891" i="7"/>
  <c r="I891" i="7"/>
  <c r="K891" i="7"/>
  <c r="F886" i="7"/>
  <c r="G886" i="7"/>
  <c r="H886" i="7"/>
  <c r="I886" i="7"/>
  <c r="K886" i="7"/>
  <c r="F885" i="7"/>
  <c r="G885" i="7"/>
  <c r="H885" i="7"/>
  <c r="I885" i="7"/>
  <c r="K885" i="7"/>
  <c r="J475" i="18"/>
  <c r="J476" i="18"/>
  <c r="M475" i="18"/>
  <c r="M476" i="18"/>
  <c r="L475" i="18"/>
  <c r="L476" i="18"/>
  <c r="K475" i="18"/>
  <c r="K476" i="18"/>
  <c r="K105" i="5" l="1"/>
  <c r="K31" i="5"/>
  <c r="G116" i="5"/>
  <c r="G105" i="5"/>
  <c r="G114" i="5"/>
  <c r="G31" i="5"/>
  <c r="U550" i="4"/>
  <c r="U549" i="4"/>
  <c r="U554" i="4"/>
  <c r="U552" i="4"/>
  <c r="B560" i="15"/>
  <c r="U553" i="4"/>
  <c r="J34"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J19" i="18"/>
  <c r="K19" i="18"/>
  <c r="L19" i="18"/>
  <c r="M19" i="18"/>
  <c r="J20" i="18"/>
  <c r="K20" i="18"/>
  <c r="L20" i="18"/>
  <c r="M20" i="18"/>
  <c r="J21" i="18"/>
  <c r="K21" i="18"/>
  <c r="L21" i="18"/>
  <c r="M21" i="18"/>
  <c r="J24" i="18"/>
  <c r="K24" i="18"/>
  <c r="L24" i="18"/>
  <c r="M24" i="18"/>
  <c r="J25" i="18"/>
  <c r="K25" i="18"/>
  <c r="L25" i="18"/>
  <c r="M25" i="18"/>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F372" i="7"/>
  <c r="H372" i="7"/>
  <c r="I372" i="7"/>
  <c r="K372" i="7"/>
  <c r="K723" i="7"/>
  <c r="F373" i="7"/>
  <c r="H373" i="7"/>
  <c r="I373" i="7"/>
  <c r="K373" i="7"/>
  <c r="F374" i="7"/>
  <c r="H374" i="7"/>
  <c r="I374" i="7"/>
  <c r="K374" i="7"/>
  <c r="F375" i="7"/>
  <c r="H375" i="7"/>
  <c r="I375" i="7"/>
  <c r="K375" i="7"/>
  <c r="F376" i="7"/>
  <c r="H376" i="7"/>
  <c r="I376" i="7"/>
  <c r="K376" i="7"/>
  <c r="F377" i="7"/>
  <c r="H377" i="7"/>
  <c r="I377" i="7"/>
  <c r="K377" i="7"/>
  <c r="F378" i="7"/>
  <c r="H378" i="7"/>
  <c r="I378" i="7"/>
  <c r="K378" i="7"/>
  <c r="F379" i="7"/>
  <c r="H379" i="7"/>
  <c r="I379" i="7"/>
  <c r="K379" i="7"/>
  <c r="F935" i="7"/>
  <c r="H935" i="7"/>
  <c r="I935" i="7"/>
  <c r="K935" i="7"/>
  <c r="F934" i="7"/>
  <c r="H934" i="7"/>
  <c r="I934" i="7"/>
  <c r="K934" i="7"/>
  <c r="F929" i="7"/>
  <c r="G929" i="7"/>
  <c r="H929" i="7"/>
  <c r="I929" i="7"/>
  <c r="K929" i="7"/>
  <c r="F928" i="7"/>
  <c r="H928" i="7"/>
  <c r="I928" i="7"/>
  <c r="K928" i="7"/>
  <c r="F922" i="7"/>
  <c r="H922" i="7"/>
  <c r="I922" i="7"/>
  <c r="K922" i="7"/>
  <c r="F380" i="7"/>
  <c r="H380" i="7"/>
  <c r="I380" i="7"/>
  <c r="K380" i="7"/>
  <c r="K489" i="7"/>
  <c r="K491" i="7"/>
  <c r="K492" i="7"/>
  <c r="F921" i="7"/>
  <c r="H921" i="7"/>
  <c r="I921" i="7"/>
  <c r="K921" i="7"/>
  <c r="F916" i="7"/>
  <c r="H916" i="7"/>
  <c r="I916" i="7"/>
  <c r="K916" i="7"/>
  <c r="F914" i="7"/>
  <c r="H914" i="7"/>
  <c r="I914" i="7"/>
  <c r="K914" i="7"/>
  <c r="F913" i="7"/>
  <c r="H913" i="7"/>
  <c r="I913" i="7"/>
  <c r="K913" i="7"/>
  <c r="F912" i="7"/>
  <c r="H912" i="7"/>
  <c r="D80" i="20" s="1"/>
  <c r="J80" i="20" s="1"/>
  <c r="I912" i="7"/>
  <c r="K912" i="7"/>
  <c r="F911" i="7"/>
  <c r="H911" i="7"/>
  <c r="I911" i="7"/>
  <c r="K911" i="7"/>
  <c r="F910" i="7"/>
  <c r="H910" i="7"/>
  <c r="D96" i="20" s="1"/>
  <c r="J96" i="20" s="1"/>
  <c r="I910" i="7"/>
  <c r="K910" i="7"/>
  <c r="F909" i="7"/>
  <c r="H909" i="7"/>
  <c r="I909" i="7"/>
  <c r="K909" i="7"/>
  <c r="F908" i="7"/>
  <c r="H908" i="7"/>
  <c r="I908" i="7"/>
  <c r="K908" i="7"/>
  <c r="F907" i="7"/>
  <c r="H907" i="7"/>
  <c r="I907" i="7"/>
  <c r="K907" i="7"/>
  <c r="F906" i="7"/>
  <c r="H906" i="7"/>
  <c r="I906" i="7"/>
  <c r="K906" i="7"/>
  <c r="F905" i="7"/>
  <c r="H905" i="7"/>
  <c r="I905" i="7"/>
  <c r="K905" i="7"/>
  <c r="E108" i="5"/>
  <c r="F42" i="9"/>
  <c r="D505" i="4"/>
  <c r="D506" i="4"/>
  <c r="D507" i="4"/>
  <c r="D508" i="4"/>
  <c r="D509" i="4"/>
  <c r="D510" i="4"/>
  <c r="D511" i="4"/>
  <c r="D512" i="4"/>
  <c r="D513" i="4"/>
  <c r="D514" i="4"/>
  <c r="D515" i="4"/>
  <c r="D516" i="4"/>
  <c r="D517" i="4"/>
  <c r="D518" i="4"/>
  <c r="D519" i="4"/>
  <c r="D520" i="4"/>
  <c r="D521" i="4"/>
  <c r="J471" i="18"/>
  <c r="K471" i="18"/>
  <c r="L471" i="18"/>
  <c r="M471" i="18"/>
  <c r="J473" i="18"/>
  <c r="K473" i="18"/>
  <c r="L473" i="18"/>
  <c r="M473" i="18"/>
  <c r="J474" i="18"/>
  <c r="K474" i="18"/>
  <c r="L474" i="18"/>
  <c r="M474" i="18"/>
  <c r="J16" i="18"/>
  <c r="K16" i="18"/>
  <c r="L16" i="18"/>
  <c r="M16" i="18"/>
  <c r="J17" i="18"/>
  <c r="K17" i="18"/>
  <c r="L17" i="18"/>
  <c r="M17" i="18"/>
  <c r="J18" i="18"/>
  <c r="K18" i="18"/>
  <c r="L18" i="18"/>
  <c r="M18" i="18"/>
  <c r="J465" i="18"/>
  <c r="K465" i="18"/>
  <c r="L465" i="18"/>
  <c r="M465" i="18"/>
  <c r="J466" i="18"/>
  <c r="K466" i="18"/>
  <c r="L466" i="18"/>
  <c r="M466" i="18"/>
  <c r="J467" i="18"/>
  <c r="K467" i="18"/>
  <c r="L467" i="18"/>
  <c r="M467" i="18"/>
  <c r="J468" i="18"/>
  <c r="K468" i="18"/>
  <c r="L468" i="18"/>
  <c r="M468" i="18"/>
  <c r="J469" i="18"/>
  <c r="K469" i="18"/>
  <c r="L469" i="18"/>
  <c r="M469" i="18"/>
  <c r="J470" i="18"/>
  <c r="K470" i="18"/>
  <c r="L470" i="18"/>
  <c r="M470" i="18"/>
  <c r="AK592" i="4" l="1"/>
  <c r="AK591" i="4"/>
  <c r="AP594" i="4"/>
  <c r="AK590" i="4"/>
  <c r="AK594" i="4"/>
  <c r="AP611" i="4"/>
  <c r="D81" i="20"/>
  <c r="J81" i="20" s="1"/>
  <c r="Q332" i="4"/>
  <c r="Q330" i="4"/>
  <c r="Q331" i="4"/>
  <c r="Q319" i="4"/>
  <c r="Q314" i="4"/>
  <c r="Q312" i="4"/>
  <c r="Q310" i="4"/>
  <c r="Q318" i="4"/>
  <c r="Q316" i="4"/>
  <c r="Q311" i="4"/>
  <c r="Q321" i="4"/>
  <c r="Q313" i="4"/>
  <c r="Q315" i="4"/>
  <c r="Q317" i="4"/>
  <c r="Q320" i="4"/>
  <c r="Q303" i="4"/>
  <c r="Q299" i="4"/>
  <c r="Q301" i="4"/>
  <c r="Q300" i="4"/>
  <c r="Q298" i="4"/>
  <c r="Q297" i="4"/>
  <c r="Q296" i="4"/>
  <c r="Q302" i="4"/>
  <c r="AP576" i="4"/>
  <c r="U522" i="4"/>
  <c r="G377" i="7"/>
  <c r="N24" i="18"/>
  <c r="N25" i="18"/>
  <c r="N475" i="18"/>
  <c r="N21" i="18"/>
  <c r="N18" i="18"/>
  <c r="N19" i="18"/>
  <c r="N20" i="18"/>
  <c r="N17" i="18"/>
  <c r="G910" i="7"/>
  <c r="G913" i="7"/>
  <c r="G376" i="7"/>
  <c r="G905" i="7"/>
  <c r="G922" i="7"/>
  <c r="N16" i="18"/>
  <c r="N473" i="18"/>
  <c r="G907" i="7"/>
  <c r="G916" i="7"/>
  <c r="G374" i="7"/>
  <c r="G379" i="7"/>
  <c r="G372" i="7"/>
  <c r="N474" i="18"/>
  <c r="G908" i="7"/>
  <c r="G921" i="7"/>
  <c r="G934" i="7"/>
  <c r="G373" i="7"/>
  <c r="N471" i="18"/>
  <c r="N470" i="18"/>
  <c r="G911" i="7"/>
  <c r="G378" i="7"/>
  <c r="N469" i="18"/>
  <c r="N468" i="18"/>
  <c r="G906" i="7"/>
  <c r="G914" i="7"/>
  <c r="G928" i="7"/>
  <c r="G375" i="7"/>
  <c r="N467" i="18"/>
  <c r="N466" i="18"/>
  <c r="G909" i="7"/>
  <c r="G935" i="7"/>
  <c r="G912" i="7"/>
  <c r="G380" i="7"/>
  <c r="I74" i="20"/>
  <c r="I75" i="20"/>
  <c r="H74" i="20"/>
  <c r="H75" i="20"/>
  <c r="G74" i="20"/>
  <c r="G75"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4" i="18"/>
  <c r="L5" i="18"/>
  <c r="L7" i="18"/>
  <c r="L9" i="18"/>
  <c r="L10" i="18"/>
  <c r="L11" i="18"/>
  <c r="L12" i="18"/>
  <c r="L13" i="18"/>
  <c r="L14" i="18"/>
  <c r="L15" i="18"/>
  <c r="L22" i="18"/>
  <c r="L26" i="18"/>
  <c r="L27" i="18"/>
  <c r="L28" i="18"/>
  <c r="L6" i="18"/>
  <c r="L8" i="18"/>
  <c r="L29" i="18"/>
  <c r="L30" i="18"/>
  <c r="L31" i="18"/>
  <c r="L32" i="18"/>
  <c r="L34" i="18"/>
  <c r="L35" i="18"/>
  <c r="L36" i="18"/>
  <c r="L23" i="18"/>
  <c r="L37" i="18"/>
  <c r="L38" i="18"/>
  <c r="L39" i="18"/>
  <c r="L40" i="18"/>
  <c r="L42" i="18"/>
  <c r="L43" i="18"/>
  <c r="L45" i="18"/>
  <c r="L46" i="18"/>
  <c r="L47" i="18"/>
  <c r="L48" i="18"/>
  <c r="L49" i="18"/>
  <c r="L50" i="18"/>
  <c r="L51" i="18"/>
  <c r="L52" i="18"/>
  <c r="L53" i="18"/>
  <c r="L54" i="18"/>
  <c r="L55" i="18"/>
  <c r="L56" i="18"/>
  <c r="L57" i="18"/>
  <c r="L58" i="18"/>
  <c r="L60" i="18"/>
  <c r="L61" i="18"/>
  <c r="L41" i="18"/>
  <c r="L62" i="18"/>
  <c r="L44" i="18"/>
  <c r="L63" i="18"/>
  <c r="L64" i="18"/>
  <c r="L65" i="18"/>
  <c r="L66" i="18"/>
  <c r="L67" i="18"/>
  <c r="L68" i="18"/>
  <c r="L69" i="18"/>
  <c r="L70" i="18"/>
  <c r="L71" i="18"/>
  <c r="L72" i="18"/>
  <c r="L73" i="18"/>
  <c r="L74" i="18"/>
  <c r="L75" i="18"/>
  <c r="L59" i="18"/>
  <c r="L77" i="18"/>
  <c r="L79" i="18"/>
  <c r="L81" i="18"/>
  <c r="L83" i="18"/>
  <c r="L85" i="18"/>
  <c r="L98" i="18"/>
  <c r="L100" i="18"/>
  <c r="L102" i="18"/>
  <c r="L104" i="18"/>
  <c r="L106" i="18"/>
  <c r="L108" i="18"/>
  <c r="L109" i="18"/>
  <c r="L110" i="18"/>
  <c r="L111" i="18"/>
  <c r="L112" i="18"/>
  <c r="L113" i="18"/>
  <c r="L76" i="18"/>
  <c r="L78" i="18"/>
  <c r="L80" i="18"/>
  <c r="L82" i="18"/>
  <c r="L84" i="18"/>
  <c r="L97" i="18"/>
  <c r="L99" i="18"/>
  <c r="L101" i="18"/>
  <c r="L103" i="18"/>
  <c r="L105" i="18"/>
  <c r="L107"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2" i="18"/>
  <c r="L174" i="18"/>
  <c r="L175" i="18"/>
  <c r="L176" i="18"/>
  <c r="L177" i="18"/>
  <c r="L178" i="18"/>
  <c r="L179" i="18"/>
  <c r="L180" i="18"/>
  <c r="L181" i="18"/>
  <c r="L182" i="18"/>
  <c r="L183" i="18"/>
  <c r="L184" i="18"/>
  <c r="L185" i="18"/>
  <c r="L186" i="18"/>
  <c r="L187" i="18"/>
  <c r="L189" i="18"/>
  <c r="L190" i="18"/>
  <c r="L173" i="18"/>
  <c r="L192" i="18"/>
  <c r="L193" i="18"/>
  <c r="L195" i="18"/>
  <c r="L196" i="18"/>
  <c r="L197" i="18"/>
  <c r="L198" i="18"/>
  <c r="L200" i="18"/>
  <c r="L201" i="18"/>
  <c r="L202" i="18"/>
  <c r="L203" i="18"/>
  <c r="L204" i="18"/>
  <c r="L205" i="18"/>
  <c r="L206" i="18"/>
  <c r="L207" i="18"/>
  <c r="L208" i="18"/>
  <c r="L209" i="18"/>
  <c r="L191" i="18"/>
  <c r="L210" i="18"/>
  <c r="L211" i="18"/>
  <c r="L212" i="18"/>
  <c r="L214" i="18"/>
  <c r="L215" i="18"/>
  <c r="L199" i="18"/>
  <c r="L216" i="18"/>
  <c r="L217" i="18"/>
  <c r="L218" i="18"/>
  <c r="L220" i="18"/>
  <c r="L221" i="18"/>
  <c r="L223" i="18"/>
  <c r="L225" i="18"/>
  <c r="L227" i="18"/>
  <c r="L229" i="18"/>
  <c r="L213" i="18"/>
  <c r="L243" i="18"/>
  <c r="L245" i="18"/>
  <c r="L247" i="18"/>
  <c r="L219" i="18"/>
  <c r="L249" i="18"/>
  <c r="L222" i="18"/>
  <c r="L224" i="18"/>
  <c r="L226" i="18"/>
  <c r="L228" i="18"/>
  <c r="L240" i="18"/>
  <c r="L244" i="18"/>
  <c r="L246" i="18"/>
  <c r="L248" i="18"/>
  <c r="L250" i="18"/>
  <c r="L251" i="18"/>
  <c r="L252" i="18"/>
  <c r="L254" i="18"/>
  <c r="L255" i="18"/>
  <c r="L256" i="18"/>
  <c r="L257" i="18"/>
  <c r="L258" i="18"/>
  <c r="L260" i="18"/>
  <c r="L261" i="18"/>
  <c r="L262" i="18"/>
  <c r="L263" i="18"/>
  <c r="L264" i="18"/>
  <c r="L265" i="18"/>
  <c r="L266" i="18"/>
  <c r="L267" i="18"/>
  <c r="L268" i="18"/>
  <c r="L259" i="18"/>
  <c r="L269" i="18"/>
  <c r="L270" i="18"/>
  <c r="L272" i="18"/>
  <c r="L273" i="18"/>
  <c r="L274" i="18"/>
  <c r="L275" i="18"/>
  <c r="L277" i="18"/>
  <c r="L278" i="18"/>
  <c r="L279" i="18"/>
  <c r="L280" i="18"/>
  <c r="L271" i="18"/>
  <c r="L281" i="18"/>
  <c r="L282" i="18"/>
  <c r="L283" i="18"/>
  <c r="L276" i="18"/>
  <c r="L286" i="18"/>
  <c r="L287" i="18"/>
  <c r="L288" i="18"/>
  <c r="L289" i="18"/>
  <c r="L290" i="18"/>
  <c r="L291" i="18"/>
  <c r="L284" i="18"/>
  <c r="L285" i="18"/>
  <c r="L292" i="18"/>
  <c r="L293" i="18"/>
  <c r="L294" i="18"/>
  <c r="L295" i="18"/>
  <c r="L296" i="18"/>
  <c r="L299" i="18"/>
  <c r="L300" i="18"/>
  <c r="L301" i="18"/>
  <c r="L302" i="18"/>
  <c r="L303" i="18"/>
  <c r="L304" i="18"/>
  <c r="L297" i="18"/>
  <c r="L305" i="18"/>
  <c r="L306" i="18"/>
  <c r="L307" i="18"/>
  <c r="L308" i="18"/>
  <c r="L309" i="18"/>
  <c r="L310" i="18"/>
  <c r="L311" i="18"/>
  <c r="L312" i="18"/>
  <c r="L313" i="18"/>
  <c r="L314" i="18"/>
  <c r="L315" i="18"/>
  <c r="L316" i="18"/>
  <c r="L317" i="18"/>
  <c r="L319" i="18"/>
  <c r="L320" i="18"/>
  <c r="L321" i="18"/>
  <c r="L322" i="18"/>
  <c r="L323" i="18"/>
  <c r="L318" i="18"/>
  <c r="L325" i="18"/>
  <c r="L326" i="18"/>
  <c r="L328" i="18"/>
  <c r="L329" i="18"/>
  <c r="L331" i="18"/>
  <c r="L324" i="18"/>
  <c r="L332" i="18"/>
  <c r="L327" i="18"/>
  <c r="L333" i="18"/>
  <c r="L330" i="18"/>
  <c r="L334" i="18"/>
  <c r="L337" i="18"/>
  <c r="L338" i="18"/>
  <c r="L339" i="18"/>
  <c r="L335" i="18"/>
  <c r="L340" i="18"/>
  <c r="L341" i="18"/>
  <c r="L342" i="18"/>
  <c r="L344" i="18"/>
  <c r="L346" i="18"/>
  <c r="L347" i="18"/>
  <c r="L349" i="18"/>
  <c r="L343" i="18"/>
  <c r="L345" i="18"/>
  <c r="L351" i="18"/>
  <c r="L352" i="18"/>
  <c r="L353" i="18"/>
  <c r="L354" i="18"/>
  <c r="L350" i="18"/>
  <c r="L355" i="18"/>
  <c r="L356" i="18"/>
  <c r="L357" i="18"/>
  <c r="L358" i="18"/>
  <c r="L359" i="18"/>
  <c r="L360" i="18"/>
  <c r="L361" i="18"/>
  <c r="L362" i="18"/>
  <c r="L364" i="18"/>
  <c r="L366" i="18"/>
  <c r="L367" i="18"/>
  <c r="L368" i="18"/>
  <c r="L363" i="18"/>
  <c r="L369" i="18"/>
  <c r="L370" i="18"/>
  <c r="L371" i="18"/>
  <c r="L372" i="18"/>
  <c r="L374" i="18"/>
  <c r="L375" i="18"/>
  <c r="L377" i="18"/>
  <c r="L378" i="18"/>
  <c r="L379" i="18"/>
  <c r="L380" i="18"/>
  <c r="L381" i="18"/>
  <c r="L382" i="18"/>
  <c r="L383" i="18"/>
  <c r="L385" i="18"/>
  <c r="L386" i="18"/>
  <c r="L387" i="18"/>
  <c r="L388" i="18"/>
  <c r="L384" i="18"/>
  <c r="L390" i="18"/>
  <c r="L391" i="18"/>
  <c r="L392" i="18"/>
  <c r="L393" i="18"/>
  <c r="L394" i="18"/>
  <c r="L395" i="18"/>
  <c r="L396" i="18"/>
  <c r="L397" i="18"/>
  <c r="L398" i="18"/>
  <c r="L399" i="18"/>
  <c r="L400" i="18"/>
  <c r="L401" i="18"/>
  <c r="L403" i="18"/>
  <c r="L404" i="18"/>
  <c r="L405" i="18"/>
  <c r="L406" i="18"/>
  <c r="L402" i="18"/>
  <c r="L409" i="18"/>
  <c r="L410" i="18"/>
  <c r="L411" i="18"/>
  <c r="L407" i="18"/>
  <c r="L413" i="18"/>
  <c r="L414" i="18"/>
  <c r="L415" i="18"/>
  <c r="L418" i="18"/>
  <c r="L420" i="18"/>
  <c r="L416" i="18"/>
  <c r="L417" i="18"/>
  <c r="L419" i="18"/>
  <c r="L421" i="18"/>
  <c r="L422" i="18"/>
  <c r="L423" i="18"/>
  <c r="L424" i="18"/>
  <c r="L430" i="18"/>
  <c r="L432" i="18"/>
  <c r="L434" i="18"/>
  <c r="L435" i="18"/>
  <c r="L436" i="18"/>
  <c r="L437" i="18"/>
  <c r="L438" i="18"/>
  <c r="L439"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72" i="18"/>
  <c r="L3" i="18"/>
  <c r="K4" i="18"/>
  <c r="K5" i="18"/>
  <c r="K7" i="18"/>
  <c r="K9" i="18"/>
  <c r="K10" i="18"/>
  <c r="K11" i="18"/>
  <c r="K12" i="18"/>
  <c r="K13" i="18"/>
  <c r="K14" i="18"/>
  <c r="K15" i="18"/>
  <c r="K22" i="18"/>
  <c r="K26" i="18"/>
  <c r="K27" i="18"/>
  <c r="K28" i="18"/>
  <c r="K6" i="18"/>
  <c r="K8" i="18"/>
  <c r="K29" i="18"/>
  <c r="K30" i="18"/>
  <c r="K31" i="18"/>
  <c r="K32" i="18"/>
  <c r="K34" i="18"/>
  <c r="K35" i="18"/>
  <c r="K36" i="18"/>
  <c r="K23" i="18"/>
  <c r="K37" i="18"/>
  <c r="K38" i="18"/>
  <c r="K39" i="18"/>
  <c r="K40" i="18"/>
  <c r="K42" i="18"/>
  <c r="K43" i="18"/>
  <c r="K45" i="18"/>
  <c r="K46" i="18"/>
  <c r="K47" i="18"/>
  <c r="K48" i="18"/>
  <c r="K49" i="18"/>
  <c r="K50" i="18"/>
  <c r="K51" i="18"/>
  <c r="K52" i="18"/>
  <c r="K53" i="18"/>
  <c r="K54" i="18"/>
  <c r="K55" i="18"/>
  <c r="K56" i="18"/>
  <c r="K57" i="18"/>
  <c r="K58" i="18"/>
  <c r="K60" i="18"/>
  <c r="K61" i="18"/>
  <c r="K41" i="18"/>
  <c r="K62" i="18"/>
  <c r="K44" i="18"/>
  <c r="K63" i="18"/>
  <c r="K64" i="18"/>
  <c r="K65" i="18"/>
  <c r="K66" i="18"/>
  <c r="K67" i="18"/>
  <c r="K68" i="18"/>
  <c r="K69" i="18"/>
  <c r="K70" i="18"/>
  <c r="K71" i="18"/>
  <c r="K72" i="18"/>
  <c r="K73" i="18"/>
  <c r="K74" i="18"/>
  <c r="K75" i="18"/>
  <c r="K59" i="18"/>
  <c r="K77" i="18"/>
  <c r="K79" i="18"/>
  <c r="K81" i="18"/>
  <c r="K83" i="18"/>
  <c r="K85" i="18"/>
  <c r="K98" i="18"/>
  <c r="K100" i="18"/>
  <c r="K102" i="18"/>
  <c r="K104" i="18"/>
  <c r="K106" i="18"/>
  <c r="K108" i="18"/>
  <c r="K109" i="18"/>
  <c r="K110" i="18"/>
  <c r="K111" i="18"/>
  <c r="K112" i="18"/>
  <c r="K113" i="18"/>
  <c r="K76" i="18"/>
  <c r="K78" i="18"/>
  <c r="K80" i="18"/>
  <c r="K82" i="18"/>
  <c r="K84" i="18"/>
  <c r="K97" i="18"/>
  <c r="K99" i="18"/>
  <c r="K101" i="18"/>
  <c r="K103" i="18"/>
  <c r="K105" i="18"/>
  <c r="K107"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2" i="18"/>
  <c r="K174" i="18"/>
  <c r="K175" i="18"/>
  <c r="K176" i="18"/>
  <c r="K177" i="18"/>
  <c r="K178" i="18"/>
  <c r="K179" i="18"/>
  <c r="K180" i="18"/>
  <c r="K181" i="18"/>
  <c r="K182" i="18"/>
  <c r="K183" i="18"/>
  <c r="K184" i="18"/>
  <c r="K185" i="18"/>
  <c r="K186" i="18"/>
  <c r="K187" i="18"/>
  <c r="K189" i="18"/>
  <c r="K190" i="18"/>
  <c r="K173" i="18"/>
  <c r="K192" i="18"/>
  <c r="K193" i="18"/>
  <c r="K195" i="18"/>
  <c r="K196" i="18"/>
  <c r="K197" i="18"/>
  <c r="K198" i="18"/>
  <c r="K200" i="18"/>
  <c r="K201" i="18"/>
  <c r="K202" i="18"/>
  <c r="K203" i="18"/>
  <c r="K204" i="18"/>
  <c r="K205" i="18"/>
  <c r="K206" i="18"/>
  <c r="K207" i="18"/>
  <c r="K208" i="18"/>
  <c r="K209" i="18"/>
  <c r="K191" i="18"/>
  <c r="K210" i="18"/>
  <c r="K211" i="18"/>
  <c r="K212" i="18"/>
  <c r="K214" i="18"/>
  <c r="K215" i="18"/>
  <c r="K199" i="18"/>
  <c r="K216" i="18"/>
  <c r="K217" i="18"/>
  <c r="K218" i="18"/>
  <c r="K220" i="18"/>
  <c r="K221" i="18"/>
  <c r="K223" i="18"/>
  <c r="K225" i="18"/>
  <c r="K227" i="18"/>
  <c r="K229" i="18"/>
  <c r="K213" i="18"/>
  <c r="K243" i="18"/>
  <c r="K245" i="18"/>
  <c r="K247" i="18"/>
  <c r="K219" i="18"/>
  <c r="K249" i="18"/>
  <c r="K222" i="18"/>
  <c r="K224" i="18"/>
  <c r="K226" i="18"/>
  <c r="K228" i="18"/>
  <c r="K240" i="18"/>
  <c r="K244" i="18"/>
  <c r="K246" i="18"/>
  <c r="K248" i="18"/>
  <c r="K250" i="18"/>
  <c r="K251" i="18"/>
  <c r="K252" i="18"/>
  <c r="K254" i="18"/>
  <c r="K255" i="18"/>
  <c r="K256" i="18"/>
  <c r="K257" i="18"/>
  <c r="K258" i="18"/>
  <c r="K260" i="18"/>
  <c r="K261" i="18"/>
  <c r="K262" i="18"/>
  <c r="K263" i="18"/>
  <c r="K264" i="18"/>
  <c r="K265" i="18"/>
  <c r="K266" i="18"/>
  <c r="K267" i="18"/>
  <c r="K268" i="18"/>
  <c r="K259" i="18"/>
  <c r="K269" i="18"/>
  <c r="K270" i="18"/>
  <c r="K272" i="18"/>
  <c r="K273" i="18"/>
  <c r="K274" i="18"/>
  <c r="K275" i="18"/>
  <c r="K277" i="18"/>
  <c r="K278" i="18"/>
  <c r="K279" i="18"/>
  <c r="K280" i="18"/>
  <c r="K271" i="18"/>
  <c r="K281" i="18"/>
  <c r="K282" i="18"/>
  <c r="K283" i="18"/>
  <c r="K276" i="18"/>
  <c r="K286" i="18"/>
  <c r="K287" i="18"/>
  <c r="K288" i="18"/>
  <c r="K289" i="18"/>
  <c r="K290" i="18"/>
  <c r="K291" i="18"/>
  <c r="K284" i="18"/>
  <c r="K285" i="18"/>
  <c r="K292" i="18"/>
  <c r="K293" i="18"/>
  <c r="K294" i="18"/>
  <c r="K295" i="18"/>
  <c r="K296" i="18"/>
  <c r="K299" i="18"/>
  <c r="K300" i="18"/>
  <c r="K301" i="18"/>
  <c r="K302" i="18"/>
  <c r="K303" i="18"/>
  <c r="K304" i="18"/>
  <c r="K297" i="18"/>
  <c r="K305" i="18"/>
  <c r="K306" i="18"/>
  <c r="K307" i="18"/>
  <c r="K308" i="18"/>
  <c r="K309" i="18"/>
  <c r="K310" i="18"/>
  <c r="K311" i="18"/>
  <c r="K312" i="18"/>
  <c r="K313" i="18"/>
  <c r="K314" i="18"/>
  <c r="K315" i="18"/>
  <c r="K316" i="18"/>
  <c r="K317" i="18"/>
  <c r="K319" i="18"/>
  <c r="K320" i="18"/>
  <c r="K321" i="18"/>
  <c r="K322" i="18"/>
  <c r="K323" i="18"/>
  <c r="K318" i="18"/>
  <c r="K325" i="18"/>
  <c r="K326" i="18"/>
  <c r="K328" i="18"/>
  <c r="K329" i="18"/>
  <c r="K331" i="18"/>
  <c r="K324" i="18"/>
  <c r="K332" i="18"/>
  <c r="K327" i="18"/>
  <c r="K333" i="18"/>
  <c r="K330" i="18"/>
  <c r="K334" i="18"/>
  <c r="K337" i="18"/>
  <c r="K338" i="18"/>
  <c r="K339" i="18"/>
  <c r="K335" i="18"/>
  <c r="K340" i="18"/>
  <c r="K341" i="18"/>
  <c r="K342" i="18"/>
  <c r="K344" i="18"/>
  <c r="K346" i="18"/>
  <c r="K347" i="18"/>
  <c r="K349" i="18"/>
  <c r="K343" i="18"/>
  <c r="K345" i="18"/>
  <c r="K351" i="18"/>
  <c r="K352" i="18"/>
  <c r="K353" i="18"/>
  <c r="K354" i="18"/>
  <c r="K350" i="18"/>
  <c r="K355" i="18"/>
  <c r="K356" i="18"/>
  <c r="K357" i="18"/>
  <c r="K358" i="18"/>
  <c r="K359" i="18"/>
  <c r="K360" i="18"/>
  <c r="K361" i="18"/>
  <c r="K362" i="18"/>
  <c r="K364" i="18"/>
  <c r="K366" i="18"/>
  <c r="K367" i="18"/>
  <c r="K368" i="18"/>
  <c r="K363" i="18"/>
  <c r="K369" i="18"/>
  <c r="K370" i="18"/>
  <c r="K371" i="18"/>
  <c r="K372" i="18"/>
  <c r="K374" i="18"/>
  <c r="K375" i="18"/>
  <c r="K377" i="18"/>
  <c r="K378" i="18"/>
  <c r="K379" i="18"/>
  <c r="K380" i="18"/>
  <c r="K381" i="18"/>
  <c r="K382" i="18"/>
  <c r="K383" i="18"/>
  <c r="K385" i="18"/>
  <c r="K386" i="18"/>
  <c r="K387" i="18"/>
  <c r="K388" i="18"/>
  <c r="K384" i="18"/>
  <c r="K390" i="18"/>
  <c r="K391" i="18"/>
  <c r="K392" i="18"/>
  <c r="K393" i="18"/>
  <c r="K394" i="18"/>
  <c r="K395" i="18"/>
  <c r="K396" i="18"/>
  <c r="K397" i="18"/>
  <c r="K398" i="18"/>
  <c r="K399" i="18"/>
  <c r="K400" i="18"/>
  <c r="K401" i="18"/>
  <c r="K403" i="18"/>
  <c r="K404" i="18"/>
  <c r="K405" i="18"/>
  <c r="K406" i="18"/>
  <c r="K402" i="18"/>
  <c r="K409" i="18"/>
  <c r="K410" i="18"/>
  <c r="K411" i="18"/>
  <c r="K407" i="18"/>
  <c r="K413" i="18"/>
  <c r="K414" i="18"/>
  <c r="K415" i="18"/>
  <c r="K418" i="18"/>
  <c r="K420" i="18"/>
  <c r="K416" i="18"/>
  <c r="K417" i="18"/>
  <c r="K419" i="18"/>
  <c r="K421" i="18"/>
  <c r="K422" i="18"/>
  <c r="K423" i="18"/>
  <c r="K424" i="18"/>
  <c r="K430" i="18"/>
  <c r="K432" i="18"/>
  <c r="K434" i="18"/>
  <c r="K435" i="18"/>
  <c r="K436" i="18"/>
  <c r="K437" i="18"/>
  <c r="K438" i="18"/>
  <c r="K439"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72" i="18"/>
  <c r="K3" i="18"/>
  <c r="M4" i="18"/>
  <c r="M5" i="18"/>
  <c r="M7" i="18"/>
  <c r="M9" i="18"/>
  <c r="M10" i="18"/>
  <c r="M11" i="18"/>
  <c r="M12" i="18"/>
  <c r="M13" i="18"/>
  <c r="M14" i="18"/>
  <c r="M15" i="18"/>
  <c r="M22" i="18"/>
  <c r="M26" i="18"/>
  <c r="M27" i="18"/>
  <c r="M28" i="18"/>
  <c r="M6" i="18"/>
  <c r="M8" i="18"/>
  <c r="M29" i="18"/>
  <c r="M30" i="18"/>
  <c r="M31" i="18"/>
  <c r="M32" i="18"/>
  <c r="M34" i="18"/>
  <c r="M35" i="18"/>
  <c r="M36" i="18"/>
  <c r="M23" i="18"/>
  <c r="M37" i="18"/>
  <c r="M38" i="18"/>
  <c r="M39" i="18"/>
  <c r="M40" i="18"/>
  <c r="M42" i="18"/>
  <c r="M43" i="18"/>
  <c r="M45" i="18"/>
  <c r="M46" i="18"/>
  <c r="M47" i="18"/>
  <c r="M48" i="18"/>
  <c r="M49" i="18"/>
  <c r="M50" i="18"/>
  <c r="M51" i="18"/>
  <c r="M52" i="18"/>
  <c r="M53" i="18"/>
  <c r="M54" i="18"/>
  <c r="M55" i="18"/>
  <c r="M56" i="18"/>
  <c r="M57" i="18"/>
  <c r="M58" i="18"/>
  <c r="M60" i="18"/>
  <c r="M61" i="18"/>
  <c r="M41" i="18"/>
  <c r="M62" i="18"/>
  <c r="M44" i="18"/>
  <c r="M63" i="18"/>
  <c r="M64" i="18"/>
  <c r="M65" i="18"/>
  <c r="M66" i="18"/>
  <c r="M67" i="18"/>
  <c r="M68" i="18"/>
  <c r="M69" i="18"/>
  <c r="M70" i="18"/>
  <c r="M71" i="18"/>
  <c r="M72" i="18"/>
  <c r="M73" i="18"/>
  <c r="M74" i="18"/>
  <c r="M75" i="18"/>
  <c r="M59" i="18"/>
  <c r="M77" i="18"/>
  <c r="M79" i="18"/>
  <c r="M81" i="18"/>
  <c r="M83" i="18"/>
  <c r="M85" i="18"/>
  <c r="M98" i="18"/>
  <c r="M100" i="18"/>
  <c r="M102" i="18"/>
  <c r="M104" i="18"/>
  <c r="M106" i="18"/>
  <c r="M108" i="18"/>
  <c r="M109" i="18"/>
  <c r="M110" i="18"/>
  <c r="M111" i="18"/>
  <c r="M112" i="18"/>
  <c r="M113" i="18"/>
  <c r="M76" i="18"/>
  <c r="M78" i="18"/>
  <c r="M80" i="18"/>
  <c r="M82" i="18"/>
  <c r="M84" i="18"/>
  <c r="M97" i="18"/>
  <c r="M99" i="18"/>
  <c r="M101" i="18"/>
  <c r="M103" i="18"/>
  <c r="M105" i="18"/>
  <c r="M107"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2" i="18"/>
  <c r="M174" i="18"/>
  <c r="M175" i="18"/>
  <c r="M176" i="18"/>
  <c r="M177" i="18"/>
  <c r="M178" i="18"/>
  <c r="M179" i="18"/>
  <c r="M180" i="18"/>
  <c r="M181" i="18"/>
  <c r="M182" i="18"/>
  <c r="M183" i="18"/>
  <c r="M184" i="18"/>
  <c r="M185" i="18"/>
  <c r="M186" i="18"/>
  <c r="M187" i="18"/>
  <c r="M189" i="18"/>
  <c r="M190" i="18"/>
  <c r="M173" i="18"/>
  <c r="M192" i="18"/>
  <c r="M193" i="18"/>
  <c r="M195" i="18"/>
  <c r="M196" i="18"/>
  <c r="M197" i="18"/>
  <c r="M198" i="18"/>
  <c r="M200" i="18"/>
  <c r="M201" i="18"/>
  <c r="M202" i="18"/>
  <c r="M203" i="18"/>
  <c r="M204" i="18"/>
  <c r="M205" i="18"/>
  <c r="M206" i="18"/>
  <c r="M207" i="18"/>
  <c r="M208" i="18"/>
  <c r="M209" i="18"/>
  <c r="M191" i="18"/>
  <c r="M210" i="18"/>
  <c r="M211" i="18"/>
  <c r="M212" i="18"/>
  <c r="M214" i="18"/>
  <c r="M215" i="18"/>
  <c r="M199" i="18"/>
  <c r="M216" i="18"/>
  <c r="M217" i="18"/>
  <c r="M218" i="18"/>
  <c r="M220" i="18"/>
  <c r="M221" i="18"/>
  <c r="M223" i="18"/>
  <c r="M225" i="18"/>
  <c r="M227" i="18"/>
  <c r="M229" i="18"/>
  <c r="M213" i="18"/>
  <c r="M243" i="18"/>
  <c r="M245" i="18"/>
  <c r="M247" i="18"/>
  <c r="M219" i="18"/>
  <c r="M249" i="18"/>
  <c r="M222" i="18"/>
  <c r="M224" i="18"/>
  <c r="M226" i="18"/>
  <c r="M228" i="18"/>
  <c r="M240" i="18"/>
  <c r="M244" i="18"/>
  <c r="M246" i="18"/>
  <c r="M248" i="18"/>
  <c r="M250" i="18"/>
  <c r="M251" i="18"/>
  <c r="M252" i="18"/>
  <c r="M254" i="18"/>
  <c r="M255" i="18"/>
  <c r="M256" i="18"/>
  <c r="M257" i="18"/>
  <c r="M258" i="18"/>
  <c r="M260" i="18"/>
  <c r="M261" i="18"/>
  <c r="M262" i="18"/>
  <c r="M263" i="18"/>
  <c r="M264" i="18"/>
  <c r="M265" i="18"/>
  <c r="M266" i="18"/>
  <c r="M267" i="18"/>
  <c r="M268" i="18"/>
  <c r="M259" i="18"/>
  <c r="M269" i="18"/>
  <c r="M270" i="18"/>
  <c r="M272" i="18"/>
  <c r="M273" i="18"/>
  <c r="M274" i="18"/>
  <c r="M275" i="18"/>
  <c r="M277" i="18"/>
  <c r="M278" i="18"/>
  <c r="M279" i="18"/>
  <c r="M280" i="18"/>
  <c r="M271" i="18"/>
  <c r="M281" i="18"/>
  <c r="M282" i="18"/>
  <c r="M283" i="18"/>
  <c r="M276" i="18"/>
  <c r="M286" i="18"/>
  <c r="M287" i="18"/>
  <c r="M288" i="18"/>
  <c r="M289" i="18"/>
  <c r="M290" i="18"/>
  <c r="M291" i="18"/>
  <c r="M284" i="18"/>
  <c r="M285" i="18"/>
  <c r="M292" i="18"/>
  <c r="M293" i="18"/>
  <c r="M294" i="18"/>
  <c r="M295" i="18"/>
  <c r="M296" i="18"/>
  <c r="M299" i="18"/>
  <c r="M300" i="18"/>
  <c r="M301" i="18"/>
  <c r="M302" i="18"/>
  <c r="M303" i="18"/>
  <c r="M304" i="18"/>
  <c r="M297" i="18"/>
  <c r="M305" i="18"/>
  <c r="M306" i="18"/>
  <c r="M307" i="18"/>
  <c r="M308" i="18"/>
  <c r="M309" i="18"/>
  <c r="M310" i="18"/>
  <c r="M311" i="18"/>
  <c r="M312" i="18"/>
  <c r="M313" i="18"/>
  <c r="M314" i="18"/>
  <c r="M315" i="18"/>
  <c r="M316" i="18"/>
  <c r="M317" i="18"/>
  <c r="M319" i="18"/>
  <c r="M320" i="18"/>
  <c r="M321" i="18"/>
  <c r="M322" i="18"/>
  <c r="M323" i="18"/>
  <c r="M318" i="18"/>
  <c r="M325" i="18"/>
  <c r="M326" i="18"/>
  <c r="M328" i="18"/>
  <c r="M329" i="18"/>
  <c r="M331" i="18"/>
  <c r="M324" i="18"/>
  <c r="M332" i="18"/>
  <c r="M327" i="18"/>
  <c r="M333" i="18"/>
  <c r="M330" i="18"/>
  <c r="M334" i="18"/>
  <c r="M337" i="18"/>
  <c r="M338" i="18"/>
  <c r="M339" i="18"/>
  <c r="M335" i="18"/>
  <c r="M340" i="18"/>
  <c r="M341" i="18"/>
  <c r="M342" i="18"/>
  <c r="M344" i="18"/>
  <c r="M346" i="18"/>
  <c r="M347" i="18"/>
  <c r="M349" i="18"/>
  <c r="M343" i="18"/>
  <c r="M345" i="18"/>
  <c r="M351" i="18"/>
  <c r="M352" i="18"/>
  <c r="M353" i="18"/>
  <c r="M354" i="18"/>
  <c r="M350" i="18"/>
  <c r="M355" i="18"/>
  <c r="M356" i="18"/>
  <c r="M357" i="18"/>
  <c r="M358" i="18"/>
  <c r="M359" i="18"/>
  <c r="M360" i="18"/>
  <c r="M361" i="18"/>
  <c r="M362" i="18"/>
  <c r="M364" i="18"/>
  <c r="M366" i="18"/>
  <c r="M367" i="18"/>
  <c r="M368" i="18"/>
  <c r="M363" i="18"/>
  <c r="M369" i="18"/>
  <c r="M370" i="18"/>
  <c r="M371" i="18"/>
  <c r="M372" i="18"/>
  <c r="M374" i="18"/>
  <c r="M375" i="18"/>
  <c r="M377" i="18"/>
  <c r="M378" i="18"/>
  <c r="M379" i="18"/>
  <c r="M380" i="18"/>
  <c r="M381" i="18"/>
  <c r="M382" i="18"/>
  <c r="M383" i="18"/>
  <c r="M385" i="18"/>
  <c r="M386" i="18"/>
  <c r="M387" i="18"/>
  <c r="M388" i="18"/>
  <c r="M384" i="18"/>
  <c r="M390" i="18"/>
  <c r="M391" i="18"/>
  <c r="M392" i="18"/>
  <c r="M393" i="18"/>
  <c r="M394" i="18"/>
  <c r="M395" i="18"/>
  <c r="M396" i="18"/>
  <c r="M397" i="18"/>
  <c r="M398" i="18"/>
  <c r="M399" i="18"/>
  <c r="M400" i="18"/>
  <c r="M401" i="18"/>
  <c r="M403" i="18"/>
  <c r="M404" i="18"/>
  <c r="M405" i="18"/>
  <c r="M406" i="18"/>
  <c r="M402" i="18"/>
  <c r="M409" i="18"/>
  <c r="M410" i="18"/>
  <c r="M411" i="18"/>
  <c r="M407" i="18"/>
  <c r="M413" i="18"/>
  <c r="M414" i="18"/>
  <c r="M415" i="18"/>
  <c r="M418" i="18"/>
  <c r="M420" i="18"/>
  <c r="M416" i="18"/>
  <c r="M417" i="18"/>
  <c r="M419" i="18"/>
  <c r="M421" i="18"/>
  <c r="M422" i="18"/>
  <c r="M423" i="18"/>
  <c r="M424" i="18"/>
  <c r="M430" i="18"/>
  <c r="M432" i="18"/>
  <c r="M434" i="18"/>
  <c r="M435" i="18"/>
  <c r="M436" i="18"/>
  <c r="M437" i="18"/>
  <c r="M438" i="18"/>
  <c r="M439"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72" i="18"/>
  <c r="M3" i="18"/>
  <c r="Z610" i="4" l="1"/>
  <c r="AA610" i="4" s="1"/>
  <c r="Z155" i="4"/>
  <c r="AF550" i="4"/>
  <c r="AG550" i="4" s="1"/>
  <c r="AF610" i="4"/>
  <c r="AG610" i="4" s="1"/>
  <c r="Z612" i="4"/>
  <c r="AA612" i="4" s="1"/>
  <c r="Z611" i="4"/>
  <c r="R610" i="4"/>
  <c r="R612" i="4"/>
  <c r="R633" i="4"/>
  <c r="R634" i="4"/>
  <c r="R635" i="4"/>
  <c r="R636" i="4"/>
  <c r="Z634" i="4"/>
  <c r="AA634" i="4" s="1"/>
  <c r="Z636" i="4"/>
  <c r="AA636" i="4" s="1"/>
  <c r="Z632" i="4"/>
  <c r="AA632" i="4" s="1"/>
  <c r="AF634" i="4"/>
  <c r="AG634" i="4" s="1"/>
  <c r="Z630" i="4"/>
  <c r="AA630" i="4" s="1"/>
  <c r="AF632" i="4"/>
  <c r="AG632" i="4" s="1"/>
  <c r="AF636" i="4"/>
  <c r="AG636" i="4" s="1"/>
  <c r="AF630" i="4"/>
  <c r="AG630" i="4" s="1"/>
  <c r="Z633" i="4"/>
  <c r="AA633" i="4" s="1"/>
  <c r="Z635" i="4"/>
  <c r="AA635" i="4" s="1"/>
  <c r="Z631" i="4"/>
  <c r="AA631" i="4" s="1"/>
  <c r="AF633" i="4"/>
  <c r="AG633" i="4" s="1"/>
  <c r="AF635" i="4"/>
  <c r="AG635" i="4" s="1"/>
  <c r="R630" i="4"/>
  <c r="AF631" i="4"/>
  <c r="AG631" i="4" s="1"/>
  <c r="R631" i="4"/>
  <c r="R632"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3" i="4"/>
  <c r="AA613" i="4" s="1"/>
  <c r="AF621" i="4"/>
  <c r="AG621" i="4" s="1"/>
  <c r="AF613" i="4"/>
  <c r="AG613" i="4" s="1"/>
  <c r="Z625" i="4"/>
  <c r="Z616" i="4"/>
  <c r="AA616" i="4" s="1"/>
  <c r="Z622" i="4"/>
  <c r="AF625" i="4"/>
  <c r="AG625" i="4" s="1"/>
  <c r="AF618" i="4"/>
  <c r="AG618" i="4" s="1"/>
  <c r="AF616" i="4"/>
  <c r="AG616" i="4" s="1"/>
  <c r="Z619" i="4"/>
  <c r="AF622" i="4"/>
  <c r="AG622" i="4" s="1"/>
  <c r="AF619" i="4"/>
  <c r="AG619" i="4" s="1"/>
  <c r="R613" i="4"/>
  <c r="R615" i="4"/>
  <c r="Z614" i="4"/>
  <c r="AA614" i="4" s="1"/>
  <c r="Z626" i="4"/>
  <c r="R616" i="4"/>
  <c r="AF614" i="4"/>
  <c r="AG614" i="4" s="1"/>
  <c r="Z623" i="4"/>
  <c r="AF626" i="4"/>
  <c r="AG626" i="4" s="1"/>
  <c r="R617" i="4"/>
  <c r="Z617" i="4"/>
  <c r="AA617" i="4" s="1"/>
  <c r="Z620" i="4"/>
  <c r="AF623" i="4"/>
  <c r="AG623" i="4" s="1"/>
  <c r="R618" i="4"/>
  <c r="AF617" i="4"/>
  <c r="AG617" i="4" s="1"/>
  <c r="AF620" i="4"/>
  <c r="AG620" i="4" s="1"/>
  <c r="Z615" i="4"/>
  <c r="AA615" i="4" s="1"/>
  <c r="Z624" i="4"/>
  <c r="Z618" i="4"/>
  <c r="AA618" i="4" s="1"/>
  <c r="AF615" i="4"/>
  <c r="AG615" i="4" s="1"/>
  <c r="Z621" i="4"/>
  <c r="AF624" i="4"/>
  <c r="AG624" i="4" s="1"/>
  <c r="R614"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G129" i="4"/>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BF316" i="4" s="1"/>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BF317" i="4" s="1"/>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7" i="18"/>
  <c r="J38" i="18"/>
  <c r="J39" i="18"/>
  <c r="J40" i="18"/>
  <c r="J42" i="18"/>
  <c r="J43" i="18"/>
  <c r="J45" i="18"/>
  <c r="J46" i="18"/>
  <c r="J47" i="18"/>
  <c r="J48" i="18"/>
  <c r="J49" i="18"/>
  <c r="J50" i="18"/>
  <c r="J51" i="18"/>
  <c r="J52" i="18"/>
  <c r="J53" i="18"/>
  <c r="J54" i="18"/>
  <c r="J55" i="18"/>
  <c r="J56" i="18"/>
  <c r="J57" i="18"/>
  <c r="J58" i="18"/>
  <c r="J60" i="18"/>
  <c r="J61" i="18"/>
  <c r="J41" i="18"/>
  <c r="J62" i="18"/>
  <c r="J44" i="18"/>
  <c r="J63" i="18"/>
  <c r="J64" i="18"/>
  <c r="J65" i="18"/>
  <c r="J66" i="18"/>
  <c r="J67" i="18"/>
  <c r="J68" i="18"/>
  <c r="J69" i="18"/>
  <c r="J70" i="18"/>
  <c r="J71" i="18"/>
  <c r="J72" i="18"/>
  <c r="J73" i="18"/>
  <c r="J74" i="18"/>
  <c r="J75" i="18"/>
  <c r="J59" i="18"/>
  <c r="J77" i="18"/>
  <c r="J79" i="18"/>
  <c r="J81" i="18"/>
  <c r="J83" i="18"/>
  <c r="J85" i="18"/>
  <c r="J98" i="18"/>
  <c r="J100" i="18"/>
  <c r="J102" i="18"/>
  <c r="J104" i="18"/>
  <c r="J106" i="18"/>
  <c r="J108" i="18"/>
  <c r="J109" i="18"/>
  <c r="J110" i="18"/>
  <c r="J111" i="18"/>
  <c r="J112" i="18"/>
  <c r="J113" i="18"/>
  <c r="J76" i="18"/>
  <c r="J78" i="18"/>
  <c r="J80" i="18"/>
  <c r="J82" i="18"/>
  <c r="J84" i="18"/>
  <c r="J97" i="18"/>
  <c r="J99" i="18"/>
  <c r="J101" i="18"/>
  <c r="J103" i="18"/>
  <c r="J105" i="18"/>
  <c r="J107"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2" i="18"/>
  <c r="J174" i="18"/>
  <c r="J175" i="18"/>
  <c r="J176" i="18"/>
  <c r="J177" i="18"/>
  <c r="J178" i="18"/>
  <c r="J179" i="18"/>
  <c r="J180" i="18"/>
  <c r="J181" i="18"/>
  <c r="J182" i="18"/>
  <c r="J183" i="18"/>
  <c r="J184" i="18"/>
  <c r="J185" i="18"/>
  <c r="J186" i="18"/>
  <c r="J187" i="18"/>
  <c r="J189" i="18"/>
  <c r="J190" i="18"/>
  <c r="J173" i="18"/>
  <c r="J192" i="18"/>
  <c r="J193" i="18"/>
  <c r="J195" i="18"/>
  <c r="J196" i="18"/>
  <c r="J197" i="18"/>
  <c r="J198" i="18"/>
  <c r="J200" i="18"/>
  <c r="J201" i="18"/>
  <c r="J202" i="18"/>
  <c r="J203" i="18"/>
  <c r="J204" i="18"/>
  <c r="J205" i="18"/>
  <c r="J206" i="18"/>
  <c r="J207" i="18"/>
  <c r="J208" i="18"/>
  <c r="J209" i="18"/>
  <c r="J191" i="18"/>
  <c r="J210" i="18"/>
  <c r="J211" i="18"/>
  <c r="J212" i="18"/>
  <c r="J214" i="18"/>
  <c r="J215" i="18"/>
  <c r="J199" i="18"/>
  <c r="J216" i="18"/>
  <c r="J217" i="18"/>
  <c r="J218" i="18"/>
  <c r="J220" i="18"/>
  <c r="J221" i="18"/>
  <c r="J223" i="18"/>
  <c r="J225" i="18"/>
  <c r="J227" i="18"/>
  <c r="J229" i="18"/>
  <c r="J213" i="18"/>
  <c r="J243" i="18"/>
  <c r="J245" i="18"/>
  <c r="J247" i="18"/>
  <c r="J219" i="18"/>
  <c r="J249" i="18"/>
  <c r="J222" i="18"/>
  <c r="J224" i="18"/>
  <c r="J226" i="18"/>
  <c r="J228" i="18"/>
  <c r="J240" i="18"/>
  <c r="J244" i="18"/>
  <c r="J246" i="18"/>
  <c r="J248" i="18"/>
  <c r="J250" i="18"/>
  <c r="J251" i="18"/>
  <c r="J252" i="18"/>
  <c r="J254" i="18"/>
  <c r="J255" i="18"/>
  <c r="J256" i="18"/>
  <c r="J257" i="18"/>
  <c r="J258" i="18"/>
  <c r="J260" i="18"/>
  <c r="J261" i="18"/>
  <c r="J262" i="18"/>
  <c r="J263" i="18"/>
  <c r="J264" i="18"/>
  <c r="J265" i="18"/>
  <c r="J266" i="18"/>
  <c r="J267" i="18"/>
  <c r="J268" i="18"/>
  <c r="J259" i="18"/>
  <c r="J269" i="18"/>
  <c r="J270" i="18"/>
  <c r="J272" i="18"/>
  <c r="J273" i="18"/>
  <c r="J274" i="18"/>
  <c r="J275" i="18"/>
  <c r="J277" i="18"/>
  <c r="J278" i="18"/>
  <c r="J279" i="18"/>
  <c r="J280" i="18"/>
  <c r="J271" i="18"/>
  <c r="J281" i="18"/>
  <c r="J282" i="18"/>
  <c r="J283" i="18"/>
  <c r="J276" i="18"/>
  <c r="J286" i="18"/>
  <c r="J287" i="18"/>
  <c r="J288" i="18"/>
  <c r="J289" i="18"/>
  <c r="J290" i="18"/>
  <c r="J291" i="18"/>
  <c r="J284" i="18"/>
  <c r="J285" i="18"/>
  <c r="J292" i="18"/>
  <c r="J293" i="18"/>
  <c r="J294" i="18"/>
  <c r="J295" i="18"/>
  <c r="J296" i="18"/>
  <c r="J299" i="18"/>
  <c r="J300" i="18"/>
  <c r="J301" i="18"/>
  <c r="J302" i="18"/>
  <c r="J303" i="18"/>
  <c r="J304" i="18"/>
  <c r="J297" i="18"/>
  <c r="J305" i="18"/>
  <c r="J306" i="18"/>
  <c r="J307" i="18"/>
  <c r="J308" i="18"/>
  <c r="J309" i="18"/>
  <c r="J310" i="18"/>
  <c r="J311" i="18"/>
  <c r="J312" i="18"/>
  <c r="J313" i="18"/>
  <c r="J314" i="18"/>
  <c r="J315" i="18"/>
  <c r="J316" i="18"/>
  <c r="J317" i="18"/>
  <c r="J319" i="18"/>
  <c r="J320" i="18"/>
  <c r="J321" i="18"/>
  <c r="J322" i="18"/>
  <c r="J323" i="18"/>
  <c r="J318" i="18"/>
  <c r="J325" i="18"/>
  <c r="J326" i="18"/>
  <c r="J328" i="18"/>
  <c r="J329" i="18"/>
  <c r="J331" i="18"/>
  <c r="J324" i="18"/>
  <c r="J332" i="18"/>
  <c r="J327" i="18"/>
  <c r="J333" i="18"/>
  <c r="J330" i="18"/>
  <c r="J334" i="18"/>
  <c r="J337" i="18"/>
  <c r="J338" i="18"/>
  <c r="J339" i="18"/>
  <c r="J335" i="18"/>
  <c r="J340" i="18"/>
  <c r="J341" i="18"/>
  <c r="J342" i="18"/>
  <c r="J344" i="18"/>
  <c r="J346" i="18"/>
  <c r="J347" i="18"/>
  <c r="J349" i="18"/>
  <c r="J343" i="18"/>
  <c r="J345" i="18"/>
  <c r="J351" i="18"/>
  <c r="J352" i="18"/>
  <c r="J353" i="18"/>
  <c r="J354" i="18"/>
  <c r="J350" i="18"/>
  <c r="J355" i="18"/>
  <c r="J356" i="18"/>
  <c r="J357" i="18"/>
  <c r="J358" i="18"/>
  <c r="J359" i="18"/>
  <c r="J360" i="18"/>
  <c r="J361" i="18"/>
  <c r="J362" i="18"/>
  <c r="J364" i="18"/>
  <c r="J366" i="18"/>
  <c r="J367" i="18"/>
  <c r="J368" i="18"/>
  <c r="J363" i="18"/>
  <c r="J369" i="18"/>
  <c r="J370" i="18"/>
  <c r="J371" i="18"/>
  <c r="J372" i="18"/>
  <c r="J374" i="18"/>
  <c r="J375" i="18"/>
  <c r="J377" i="18"/>
  <c r="J378" i="18"/>
  <c r="J379" i="18"/>
  <c r="J380" i="18"/>
  <c r="J381" i="18"/>
  <c r="J382" i="18"/>
  <c r="J383" i="18"/>
  <c r="J385" i="18"/>
  <c r="J386" i="18"/>
  <c r="J387" i="18"/>
  <c r="J388" i="18"/>
  <c r="J384" i="18"/>
  <c r="J390" i="18"/>
  <c r="J391" i="18"/>
  <c r="J392" i="18"/>
  <c r="J393" i="18"/>
  <c r="J394" i="18"/>
  <c r="J395" i="18"/>
  <c r="J396" i="18"/>
  <c r="J397" i="18"/>
  <c r="J398" i="18"/>
  <c r="J399" i="18"/>
  <c r="J400" i="18"/>
  <c r="J401" i="18"/>
  <c r="J403" i="18"/>
  <c r="J404" i="18"/>
  <c r="J405" i="18"/>
  <c r="J406" i="18"/>
  <c r="J402" i="18"/>
  <c r="J409" i="18"/>
  <c r="J410" i="18"/>
  <c r="J411" i="18"/>
  <c r="J407" i="18"/>
  <c r="J413" i="18"/>
  <c r="J414" i="18"/>
  <c r="J415" i="18"/>
  <c r="J418" i="18"/>
  <c r="J420" i="18"/>
  <c r="J416" i="18"/>
  <c r="J417" i="18"/>
  <c r="J419" i="18"/>
  <c r="J421" i="18"/>
  <c r="J422" i="18"/>
  <c r="J423" i="18"/>
  <c r="J424" i="18"/>
  <c r="J430" i="18"/>
  <c r="J432" i="18"/>
  <c r="J434" i="18"/>
  <c r="J435" i="18"/>
  <c r="J436" i="18"/>
  <c r="J437" i="18"/>
  <c r="J438" i="18"/>
  <c r="J439"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72" i="18"/>
  <c r="J4" i="18"/>
  <c r="J5" i="18"/>
  <c r="J7" i="18"/>
  <c r="J9" i="18"/>
  <c r="J10" i="18"/>
  <c r="J11" i="18"/>
  <c r="J12" i="18"/>
  <c r="J13" i="18"/>
  <c r="J14" i="18"/>
  <c r="J15" i="18"/>
  <c r="J22" i="18"/>
  <c r="J26" i="18"/>
  <c r="J27" i="18"/>
  <c r="J28" i="18"/>
  <c r="J6" i="18"/>
  <c r="J8" i="18"/>
  <c r="J29" i="18"/>
  <c r="J30" i="18"/>
  <c r="J31" i="18"/>
  <c r="J32" i="18"/>
  <c r="J34" i="18"/>
  <c r="J35" i="18"/>
  <c r="J36" i="18"/>
  <c r="J23" i="18"/>
  <c r="J3" i="18"/>
  <c r="BF302" i="4" l="1"/>
  <c r="BF319" i="4"/>
  <c r="BI57" i="4"/>
  <c r="BI570" i="4"/>
  <c r="BI563" i="4"/>
  <c r="BI583" i="4"/>
  <c r="BI595" i="4"/>
  <c r="BF321" i="4"/>
  <c r="BF303" i="4"/>
  <c r="BI613" i="4"/>
  <c r="BI593" i="4"/>
  <c r="BI615" i="4"/>
  <c r="BF300" i="4"/>
  <c r="BI578" i="4"/>
  <c r="BI616" i="4"/>
  <c r="BI577" i="4"/>
  <c r="BI596" i="4"/>
  <c r="BI581" i="4"/>
  <c r="BI586" i="4"/>
  <c r="BI635" i="4"/>
  <c r="BI22" i="4"/>
  <c r="BI573" i="4"/>
  <c r="BI567" i="4"/>
  <c r="BI591" i="4"/>
  <c r="BI610" i="4"/>
  <c r="BI590" i="4"/>
  <c r="BI571" i="4"/>
  <c r="BI561" i="4"/>
  <c r="BI569" i="4"/>
  <c r="BI562" i="4"/>
  <c r="BI582" i="4"/>
  <c r="BI632" i="4"/>
  <c r="BF311" i="4"/>
  <c r="BI560" i="4"/>
  <c r="BI568" i="4"/>
  <c r="BI631" i="4"/>
  <c r="BI636" i="4"/>
  <c r="BF446" i="4"/>
  <c r="BI618" i="4"/>
  <c r="BI630" i="4"/>
  <c r="BI634" i="4"/>
  <c r="BI633" i="4"/>
  <c r="BF315" i="4"/>
  <c r="BI26" i="4"/>
  <c r="BF299" i="4"/>
  <c r="BF310" i="4"/>
  <c r="BI585" i="4"/>
  <c r="BI592" i="4"/>
  <c r="BI612" i="4"/>
  <c r="BF314" i="4"/>
  <c r="BF312" i="4"/>
  <c r="BI566" i="4"/>
  <c r="BI617" i="4"/>
  <c r="BF318" i="4"/>
  <c r="BF479" i="4"/>
  <c r="BF301" i="4"/>
  <c r="BF298" i="4"/>
  <c r="BF313" i="4"/>
  <c r="BF296" i="4"/>
  <c r="BI572" i="4"/>
  <c r="BI579" i="4"/>
  <c r="BF297" i="4"/>
  <c r="BI565" i="4"/>
  <c r="BF320" i="4"/>
  <c r="BI564" i="4"/>
  <c r="BI584" i="4"/>
  <c r="BI598" i="4"/>
  <c r="BI614" i="4"/>
  <c r="BI580" i="4"/>
  <c r="BI597" i="4"/>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Q585" i="4"/>
  <c r="BF585" i="4" s="1"/>
  <c r="Q592" i="4"/>
  <c r="BF592"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Q584" i="4"/>
  <c r="BF584" i="4" s="1"/>
  <c r="Q598" i="4"/>
  <c r="BF598"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Q590" i="4"/>
  <c r="BF590" i="4" s="1"/>
  <c r="AA104" i="4"/>
  <c r="BI104" i="4" s="1"/>
  <c r="AA309" i="4"/>
  <c r="BI309" i="4" s="1"/>
  <c r="Q579" i="4"/>
  <c r="BF57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Q580" i="4"/>
  <c r="BF580" i="4" s="1"/>
  <c r="Q597" i="4"/>
  <c r="BF597"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Q596" i="4"/>
  <c r="BF596"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Q582" i="4"/>
  <c r="BF582" i="4" s="1"/>
  <c r="AA479" i="4"/>
  <c r="BI479" i="4" s="1"/>
  <c r="Q591" i="4"/>
  <c r="BF591"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Q581" i="4"/>
  <c r="BF581"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Q586" i="4"/>
  <c r="BF586"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Q583" i="4"/>
  <c r="BF583"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Q595" i="4"/>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1" i="4"/>
  <c r="BI621" i="4" s="1"/>
  <c r="AA626" i="4"/>
  <c r="BI626" i="4" s="1"/>
  <c r="AA624" i="4"/>
  <c r="BI624" i="4" s="1"/>
  <c r="AA619" i="4"/>
  <c r="BI619" i="4" s="1"/>
  <c r="AA620" i="4"/>
  <c r="BI620" i="4" s="1"/>
  <c r="AA622" i="4"/>
  <c r="BI622" i="4" s="1"/>
  <c r="AA625" i="4"/>
  <c r="BI625" i="4" s="1"/>
  <c r="AA623" i="4"/>
  <c r="BI623"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40" i="9"/>
  <c r="F41" i="9"/>
  <c r="F38" i="9"/>
  <c r="F39" i="9"/>
  <c r="G369" i="7"/>
  <c r="F940" i="7"/>
  <c r="H940" i="7"/>
  <c r="I940" i="7"/>
  <c r="K940" i="7"/>
  <c r="F939" i="7"/>
  <c r="H939" i="7"/>
  <c r="I939" i="7"/>
  <c r="K939" i="7"/>
  <c r="F938" i="7"/>
  <c r="H938" i="7"/>
  <c r="I938" i="7"/>
  <c r="K938" i="7"/>
  <c r="F370" i="7"/>
  <c r="H370" i="7"/>
  <c r="I370" i="7"/>
  <c r="K370" i="7"/>
  <c r="F937" i="7"/>
  <c r="H937" i="7"/>
  <c r="I937" i="7"/>
  <c r="K937" i="7"/>
  <c r="F936" i="7"/>
  <c r="H936" i="7"/>
  <c r="I936" i="7"/>
  <c r="K936" i="7"/>
  <c r="F371" i="7"/>
  <c r="H371" i="7"/>
  <c r="I371" i="7"/>
  <c r="K371" i="7"/>
  <c r="G938" i="7"/>
  <c r="D83" i="20" l="1"/>
  <c r="J83" i="20" s="1"/>
  <c r="Q606" i="4"/>
  <c r="BF606" i="4" s="1"/>
  <c r="Q603" i="4"/>
  <c r="BF603" i="4" s="1"/>
  <c r="Q605" i="4"/>
  <c r="BF605" i="4" s="1"/>
  <c r="AP612" i="4"/>
  <c r="Q604" i="4"/>
  <c r="BF604" i="4" s="1"/>
  <c r="Q601" i="4"/>
  <c r="BF601" i="4" s="1"/>
  <c r="D82" i="20"/>
  <c r="J82" i="20" s="1"/>
  <c r="Q600" i="4"/>
  <c r="BF600" i="4" s="1"/>
  <c r="Q599" i="4"/>
  <c r="BF599" i="4" s="1"/>
  <c r="Q602" i="4"/>
  <c r="BF602" i="4" s="1"/>
  <c r="AP610" i="4"/>
  <c r="Q308" i="4"/>
  <c r="BF308" i="4" s="1"/>
  <c r="Q309" i="4"/>
  <c r="Q307" i="4"/>
  <c r="BF307" i="4" s="1"/>
  <c r="AK309" i="4"/>
  <c r="AK307" i="4"/>
  <c r="AK308" i="4"/>
  <c r="E106" i="5"/>
  <c r="F943" i="7"/>
  <c r="H943" i="7"/>
  <c r="I943" i="7"/>
  <c r="K943" i="7"/>
  <c r="F942" i="7"/>
  <c r="H942" i="7"/>
  <c r="I942" i="7"/>
  <c r="K942" i="7"/>
  <c r="F13" i="5"/>
  <c r="F106" i="5"/>
  <c r="F121" i="5"/>
  <c r="I13" i="5"/>
  <c r="J13" i="5"/>
  <c r="I106" i="5"/>
  <c r="J106" i="5"/>
  <c r="I121" i="5"/>
  <c r="J121" i="5"/>
  <c r="D495" i="4"/>
  <c r="D496" i="4"/>
  <c r="D497" i="4"/>
  <c r="D503" i="4"/>
  <c r="AC503" i="4"/>
  <c r="AD503" i="4"/>
  <c r="D498" i="4"/>
  <c r="D499" i="4"/>
  <c r="D500" i="4"/>
  <c r="D504" i="4"/>
  <c r="AC504" i="4"/>
  <c r="AD504" i="4"/>
  <c r="BH504" i="4" l="1"/>
  <c r="BH503" i="4"/>
  <c r="BF309" i="4"/>
  <c r="Q288" i="4"/>
  <c r="BF288" i="4" s="1"/>
  <c r="Q295" i="4"/>
  <c r="BF295" i="4" s="1"/>
  <c r="Q290" i="4"/>
  <c r="BF290" i="4" s="1"/>
  <c r="Q289" i="4"/>
  <c r="BF289" i="4" s="1"/>
  <c r="Q293" i="4"/>
  <c r="BF293" i="4" s="1"/>
  <c r="Q292" i="4"/>
  <c r="BF292" i="4" s="1"/>
  <c r="Q294" i="4"/>
  <c r="BF294" i="4" s="1"/>
  <c r="Q291" i="4"/>
  <c r="BF291" i="4" s="1"/>
  <c r="AP550"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4" i="20" l="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86" i="20"/>
  <c r="I87" i="20"/>
  <c r="I88" i="20"/>
  <c r="I89" i="20"/>
  <c r="I90" i="20"/>
  <c r="I91" i="20"/>
  <c r="I92" i="20"/>
  <c r="I93" i="20"/>
  <c r="I94" i="20"/>
  <c r="I95" i="20"/>
  <c r="I98" i="20"/>
  <c r="I99" i="20"/>
  <c r="I100" i="20"/>
  <c r="I101" i="20"/>
  <c r="I102" i="20"/>
  <c r="I103" i="20"/>
  <c r="I104" i="20"/>
  <c r="I105" i="20"/>
  <c r="I106" i="20"/>
  <c r="I107" i="20"/>
  <c r="I108" i="20"/>
  <c r="I109" i="20"/>
  <c r="I110" i="20"/>
  <c r="I111" i="20"/>
  <c r="I3" i="20"/>
  <c r="H4" i="20"/>
  <c r="H5" i="20"/>
  <c r="H6" i="20"/>
  <c r="H7" i="20"/>
  <c r="H8" i="20"/>
  <c r="H9" i="20"/>
  <c r="H10" i="20"/>
  <c r="H11" i="20"/>
  <c r="H12" i="20"/>
  <c r="H13" i="20"/>
  <c r="H14" i="20"/>
  <c r="H15" i="20"/>
  <c r="H16" i="20"/>
  <c r="H17" i="20"/>
  <c r="H18" i="20"/>
  <c r="H19" i="20"/>
  <c r="H20" i="20"/>
  <c r="H21" i="20"/>
  <c r="H22" i="20"/>
  <c r="H23" i="20"/>
  <c r="H24" i="20"/>
  <c r="H25" i="20"/>
  <c r="H26" i="20"/>
  <c r="H27" i="20"/>
  <c r="H28" i="20"/>
  <c r="H29" i="20"/>
  <c r="H30" i="20"/>
  <c r="H31" i="20"/>
  <c r="H32" i="20"/>
  <c r="H38" i="20"/>
  <c r="H39" i="20"/>
  <c r="H40" i="20"/>
  <c r="H41"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86" i="20"/>
  <c r="H87" i="20"/>
  <c r="H88" i="20"/>
  <c r="H89" i="20"/>
  <c r="H90" i="20"/>
  <c r="H91" i="20"/>
  <c r="H92" i="20"/>
  <c r="H93" i="20"/>
  <c r="H94" i="20"/>
  <c r="H95" i="20"/>
  <c r="H98" i="20"/>
  <c r="H99" i="20"/>
  <c r="H100" i="20"/>
  <c r="H101" i="20"/>
  <c r="H102" i="20"/>
  <c r="H103" i="20"/>
  <c r="H104" i="20"/>
  <c r="H105" i="20"/>
  <c r="H106" i="20"/>
  <c r="H107" i="20"/>
  <c r="H108" i="20"/>
  <c r="H109" i="20"/>
  <c r="H110" i="20"/>
  <c r="H111" i="20"/>
  <c r="H3" i="20"/>
  <c r="G4" i="20"/>
  <c r="G5" i="20"/>
  <c r="G6" i="20"/>
  <c r="G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8" i="20"/>
  <c r="G39" i="20"/>
  <c r="G40" i="20"/>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86" i="20"/>
  <c r="G87" i="20"/>
  <c r="G88" i="20"/>
  <c r="G89" i="20"/>
  <c r="G90" i="20"/>
  <c r="G91" i="20"/>
  <c r="G92" i="20"/>
  <c r="G93" i="20"/>
  <c r="G94" i="20"/>
  <c r="G95" i="20"/>
  <c r="G98" i="20"/>
  <c r="G99" i="20"/>
  <c r="G100" i="20"/>
  <c r="G101" i="20"/>
  <c r="G102" i="20"/>
  <c r="G103" i="20"/>
  <c r="G104" i="20"/>
  <c r="G105" i="20"/>
  <c r="G106" i="20"/>
  <c r="G107" i="20"/>
  <c r="G108" i="20"/>
  <c r="G109" i="20"/>
  <c r="G110" i="20"/>
  <c r="G111" i="20"/>
  <c r="J111" i="20" s="1"/>
  <c r="G3" i="20"/>
  <c r="C43" i="20"/>
  <c r="C50" i="20"/>
  <c r="J50" i="20" s="1"/>
  <c r="C49" i="20"/>
  <c r="C41" i="20"/>
  <c r="C48" i="20"/>
  <c r="C51" i="20"/>
  <c r="C44" i="20"/>
  <c r="C54" i="20"/>
  <c r="C52" i="20"/>
  <c r="C42" i="20"/>
  <c r="C47" i="20"/>
  <c r="C45" i="20"/>
  <c r="C46" i="20"/>
  <c r="C39" i="20"/>
  <c r="C31" i="20"/>
  <c r="C25" i="20"/>
  <c r="C28" i="20"/>
  <c r="C30" i="20"/>
  <c r="C26" i="20"/>
  <c r="C27" i="20"/>
  <c r="C29" i="20"/>
  <c r="C23" i="20"/>
  <c r="C24" i="20"/>
  <c r="C32" i="20"/>
  <c r="C20" i="20"/>
  <c r="C19" i="20"/>
  <c r="C18" i="20"/>
  <c r="C17" i="20"/>
  <c r="C16" i="20"/>
  <c r="C14" i="20"/>
  <c r="C13" i="20"/>
  <c r="C12" i="20"/>
  <c r="C11" i="20"/>
  <c r="C10" i="20"/>
  <c r="C15" i="20"/>
  <c r="J15" i="20" s="1"/>
  <c r="C21" i="20"/>
  <c r="J21" i="20" s="1"/>
  <c r="C38" i="20"/>
  <c r="J38" i="20" s="1"/>
  <c r="C55" i="20"/>
  <c r="J55" i="20" s="1"/>
  <c r="C86" i="20"/>
  <c r="J86" i="20" s="1"/>
  <c r="C98" i="20"/>
  <c r="J98" i="20" s="1"/>
  <c r="C103" i="20"/>
  <c r="J103" i="20" s="1"/>
  <c r="C107" i="20"/>
  <c r="J107" i="20" s="1"/>
  <c r="C4" i="20"/>
  <c r="C5" i="20"/>
  <c r="C6" i="20"/>
  <c r="C7" i="20"/>
  <c r="C8" i="20"/>
  <c r="C9" i="20"/>
  <c r="J9" i="20" s="1"/>
  <c r="C3" i="20"/>
  <c r="J3" i="20" s="1"/>
  <c r="J43" i="20" l="1"/>
  <c r="J47" i="20"/>
  <c r="J45" i="20"/>
  <c r="J106" i="20"/>
  <c r="J54" i="20"/>
  <c r="J44" i="20"/>
  <c r="J108" i="20"/>
  <c r="J40" i="20"/>
  <c r="J48"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G5" i="7" l="1"/>
  <c r="H5" i="7"/>
  <c r="I5" i="7"/>
  <c r="K5" i="7"/>
  <c r="F5" i="7"/>
  <c r="G965" i="7"/>
  <c r="F967" i="7"/>
  <c r="G967" i="7"/>
  <c r="H967" i="7"/>
  <c r="I967" i="7"/>
  <c r="K967" i="7"/>
  <c r="F966" i="7"/>
  <c r="G966" i="7"/>
  <c r="H966" i="7"/>
  <c r="I966" i="7"/>
  <c r="K966" i="7"/>
  <c r="F965" i="7"/>
  <c r="H965" i="7"/>
  <c r="I965" i="7"/>
  <c r="K965" i="7"/>
  <c r="F963" i="7"/>
  <c r="H963" i="7"/>
  <c r="I963" i="7"/>
  <c r="K963" i="7"/>
  <c r="F962" i="7"/>
  <c r="H962" i="7"/>
  <c r="I962" i="7"/>
  <c r="K962" i="7"/>
  <c r="F961" i="7"/>
  <c r="H961" i="7"/>
  <c r="I961" i="7"/>
  <c r="K961" i="7"/>
  <c r="F960" i="7"/>
  <c r="H960" i="7"/>
  <c r="I960" i="7"/>
  <c r="K960" i="7"/>
  <c r="F959" i="7"/>
  <c r="H959" i="7"/>
  <c r="I959" i="7"/>
  <c r="K959" i="7"/>
  <c r="F958" i="7"/>
  <c r="H958" i="7"/>
  <c r="I958" i="7"/>
  <c r="K958" i="7"/>
  <c r="F956" i="7"/>
  <c r="H956" i="7"/>
  <c r="I956" i="7"/>
  <c r="K956" i="7"/>
  <c r="F955" i="7"/>
  <c r="H955" i="7"/>
  <c r="I955" i="7"/>
  <c r="K955" i="7"/>
  <c r="F951" i="7"/>
  <c r="H951" i="7"/>
  <c r="I951" i="7"/>
  <c r="K951" i="7"/>
  <c r="F950" i="7"/>
  <c r="H950" i="7"/>
  <c r="I950" i="7"/>
  <c r="K950" i="7"/>
  <c r="F949" i="7"/>
  <c r="H949" i="7"/>
  <c r="I949" i="7"/>
  <c r="K949" i="7"/>
  <c r="F948" i="7"/>
  <c r="H948" i="7"/>
  <c r="I948" i="7"/>
  <c r="K948" i="7"/>
  <c r="F947" i="7"/>
  <c r="H947" i="7"/>
  <c r="I947" i="7"/>
  <c r="K947" i="7"/>
  <c r="F945" i="7"/>
  <c r="H945" i="7"/>
  <c r="I945" i="7"/>
  <c r="K945" i="7"/>
  <c r="F944" i="7"/>
  <c r="H944" i="7"/>
  <c r="I944" i="7"/>
  <c r="K944" i="7"/>
  <c r="F369" i="7"/>
  <c r="H369" i="7"/>
  <c r="I369"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P616" i="4" l="1"/>
  <c r="AP617" i="4"/>
  <c r="AU617" i="4"/>
  <c r="AP618" i="4"/>
  <c r="AU618" i="4"/>
  <c r="AU616" i="4"/>
  <c r="Q636" i="4"/>
  <c r="BF636" i="4" s="1"/>
  <c r="Q633" i="4"/>
  <c r="BF633" i="4" s="1"/>
  <c r="Q616" i="4"/>
  <c r="Q613" i="4"/>
  <c r="BF613" i="4" s="1"/>
  <c r="Q631" i="4"/>
  <c r="BF631" i="4" s="1"/>
  <c r="Q618" i="4"/>
  <c r="Q632" i="4"/>
  <c r="BF632" i="4" s="1"/>
  <c r="Q635" i="4"/>
  <c r="BF635" i="4" s="1"/>
  <c r="Q615" i="4"/>
  <c r="BF615" i="4" s="1"/>
  <c r="Q617" i="4"/>
  <c r="Q630" i="4"/>
  <c r="BF630" i="4" s="1"/>
  <c r="Q634" i="4"/>
  <c r="BF634" i="4" s="1"/>
  <c r="AK618" i="4"/>
  <c r="AK616" i="4"/>
  <c r="AK617" i="4"/>
  <c r="Q612" i="4"/>
  <c r="Q610" i="4"/>
  <c r="AK610" i="4"/>
  <c r="Q614" i="4"/>
  <c r="BF614" i="4" s="1"/>
  <c r="AK576" i="4"/>
  <c r="AK577" i="4"/>
  <c r="AK551" i="4"/>
  <c r="AP551" i="4"/>
  <c r="U501" i="4"/>
  <c r="N453" i="18"/>
  <c r="N455" i="18"/>
  <c r="N454" i="18"/>
  <c r="N450" i="18"/>
  <c r="N451" i="18"/>
  <c r="N452" i="18"/>
  <c r="N456" i="18"/>
  <c r="N464" i="18"/>
  <c r="N448" i="18"/>
  <c r="N449" i="18"/>
  <c r="N463" i="18"/>
  <c r="R508" i="4" s="1"/>
  <c r="BI508" i="4" s="1"/>
  <c r="G956" i="7"/>
  <c r="G948" i="7"/>
  <c r="G961" i="7"/>
  <c r="G955" i="7"/>
  <c r="G960" i="7"/>
  <c r="G947" i="7"/>
  <c r="G958" i="7"/>
  <c r="G949" i="7"/>
  <c r="G962" i="7"/>
  <c r="G944" i="7"/>
  <c r="G963" i="7"/>
  <c r="G951" i="7"/>
  <c r="G959" i="7"/>
  <c r="G945" i="7"/>
  <c r="G3" i="19"/>
  <c r="BF610" i="4" l="1"/>
  <c r="BF617" i="4"/>
  <c r="BF618" i="4"/>
  <c r="BF616" i="4"/>
  <c r="U502" i="4"/>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BH473" i="4" s="1"/>
  <c r="AD473" i="4"/>
  <c r="AC472" i="4"/>
  <c r="BH472" i="4" s="1"/>
  <c r="AD472" i="4"/>
  <c r="I21" i="5"/>
  <c r="J21" i="5"/>
  <c r="I23" i="5"/>
  <c r="J23" i="5"/>
  <c r="I111" i="5"/>
  <c r="J111" i="5"/>
  <c r="I104" i="5"/>
  <c r="J104" i="5"/>
  <c r="F133" i="7"/>
  <c r="H133" i="7"/>
  <c r="I133" i="7"/>
  <c r="K133" i="7"/>
  <c r="F364" i="7"/>
  <c r="H364" i="7"/>
  <c r="I364" i="7"/>
  <c r="K364" i="7"/>
  <c r="F970" i="7"/>
  <c r="G970" i="7"/>
  <c r="H970" i="7"/>
  <c r="I970" i="7"/>
  <c r="K970" i="7"/>
  <c r="F367" i="7"/>
  <c r="H367" i="7"/>
  <c r="I367" i="7"/>
  <c r="K367" i="7"/>
  <c r="F368" i="7"/>
  <c r="G368" i="7"/>
  <c r="H368" i="7"/>
  <c r="I368" i="7"/>
  <c r="K368" i="7"/>
  <c r="F969" i="7"/>
  <c r="H969" i="7"/>
  <c r="I969" i="7"/>
  <c r="K969" i="7"/>
  <c r="F968" i="7"/>
  <c r="H968" i="7"/>
  <c r="I968" i="7"/>
  <c r="K968" i="7"/>
  <c r="F941" i="7"/>
  <c r="H941" i="7"/>
  <c r="I941" i="7"/>
  <c r="K941" i="7"/>
  <c r="K459" i="7"/>
  <c r="Q283" i="4" l="1"/>
  <c r="BF283" i="4" s="1"/>
  <c r="Q285" i="4"/>
  <c r="BF285" i="4" s="1"/>
  <c r="Q286" i="4"/>
  <c r="BF286" i="4" s="1"/>
  <c r="Q284" i="4"/>
  <c r="BF284" i="4" s="1"/>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F388" i="7"/>
  <c r="G388" i="7"/>
  <c r="H388" i="7"/>
  <c r="I388" i="7"/>
  <c r="K388" i="7"/>
  <c r="F335" i="7"/>
  <c r="G335" i="7"/>
  <c r="H335" i="7"/>
  <c r="I335" i="7"/>
  <c r="K335" i="7"/>
  <c r="F336" i="7"/>
  <c r="H336" i="7"/>
  <c r="I336" i="7"/>
  <c r="K336" i="7"/>
  <c r="F337" i="7"/>
  <c r="H337" i="7"/>
  <c r="I337" i="7"/>
  <c r="K337" i="7"/>
  <c r="F972" i="7"/>
  <c r="H972" i="7"/>
  <c r="I972" i="7"/>
  <c r="K972" i="7"/>
  <c r="F338" i="7"/>
  <c r="H338" i="7"/>
  <c r="I338" i="7"/>
  <c r="K338" i="7"/>
  <c r="F339" i="7"/>
  <c r="H339" i="7"/>
  <c r="I339" i="7"/>
  <c r="K339" i="7"/>
  <c r="F340" i="7"/>
  <c r="H340" i="7"/>
  <c r="I340" i="7"/>
  <c r="K340" i="7"/>
  <c r="F341" i="7"/>
  <c r="H341" i="7"/>
  <c r="I341" i="7"/>
  <c r="K341" i="7"/>
  <c r="F342" i="7"/>
  <c r="H342" i="7"/>
  <c r="I342" i="7"/>
  <c r="K342" i="7"/>
  <c r="F343" i="7"/>
  <c r="H343" i="7"/>
  <c r="I343" i="7"/>
  <c r="K343" i="7"/>
  <c r="F344" i="7"/>
  <c r="H344" i="7"/>
  <c r="I344" i="7"/>
  <c r="K344" i="7"/>
  <c r="F345" i="7"/>
  <c r="G345" i="7"/>
  <c r="H345" i="7"/>
  <c r="I345" i="7"/>
  <c r="K345" i="7"/>
  <c r="F346" i="7"/>
  <c r="H346" i="7"/>
  <c r="I346" i="7"/>
  <c r="K346" i="7"/>
  <c r="F347" i="7"/>
  <c r="H347" i="7"/>
  <c r="I347" i="7"/>
  <c r="K347" i="7"/>
  <c r="F348" i="7"/>
  <c r="H348" i="7"/>
  <c r="I348" i="7"/>
  <c r="K348" i="7"/>
  <c r="F349" i="7"/>
  <c r="H349" i="7"/>
  <c r="I349" i="7"/>
  <c r="K349" i="7"/>
  <c r="F350" i="7"/>
  <c r="H350" i="7"/>
  <c r="I350" i="7"/>
  <c r="K350" i="7"/>
  <c r="F351" i="7"/>
  <c r="H351" i="7"/>
  <c r="Q141" i="4" s="1"/>
  <c r="BF141" i="4" s="1"/>
  <c r="I351" i="7"/>
  <c r="K351" i="7"/>
  <c r="F971" i="7"/>
  <c r="H971" i="7"/>
  <c r="Q142" i="4" s="1"/>
  <c r="BF142" i="4" s="1"/>
  <c r="I971" i="7"/>
  <c r="K971" i="7"/>
  <c r="F352" i="7"/>
  <c r="H352" i="7"/>
  <c r="Q143" i="4" s="1"/>
  <c r="BF143" i="4" s="1"/>
  <c r="I352" i="7"/>
  <c r="K352" i="7"/>
  <c r="F353" i="7"/>
  <c r="H353" i="7"/>
  <c r="Q140" i="4" s="1"/>
  <c r="BF140" i="4" s="1"/>
  <c r="I353" i="7"/>
  <c r="K353" i="7"/>
  <c r="F354" i="7"/>
  <c r="H354" i="7"/>
  <c r="Q137" i="4" s="1"/>
  <c r="BF137" i="4" s="1"/>
  <c r="I354" i="7"/>
  <c r="K354" i="7"/>
  <c r="F355" i="7"/>
  <c r="H355" i="7"/>
  <c r="Q145" i="4" s="1"/>
  <c r="BF145" i="4" s="1"/>
  <c r="I355" i="7"/>
  <c r="K355" i="7"/>
  <c r="F362" i="7"/>
  <c r="G362" i="7"/>
  <c r="H362" i="7"/>
  <c r="I362" i="7"/>
  <c r="K362" i="7"/>
  <c r="F363" i="7"/>
  <c r="H363" i="7"/>
  <c r="I363" i="7"/>
  <c r="K363" i="7"/>
  <c r="F954" i="7"/>
  <c r="H954" i="7"/>
  <c r="I954" i="7"/>
  <c r="K954" i="7"/>
  <c r="F953" i="7"/>
  <c r="H953" i="7"/>
  <c r="I953" i="7"/>
  <c r="K953" i="7"/>
  <c r="F952" i="7"/>
  <c r="H952" i="7"/>
  <c r="I952" i="7"/>
  <c r="K952" i="7"/>
  <c r="G108" i="5"/>
  <c r="N476" i="18"/>
  <c r="G940" i="7"/>
  <c r="N472" i="18"/>
  <c r="AK443" i="4" l="1"/>
  <c r="AP502" i="4"/>
  <c r="AP549" i="4"/>
  <c r="AP595" i="4"/>
  <c r="U445" i="4"/>
  <c r="U459" i="4"/>
  <c r="N405" i="18"/>
  <c r="N392" i="18"/>
  <c r="N409" i="18"/>
  <c r="N393" i="18"/>
  <c r="N401" i="18"/>
  <c r="N394" i="18"/>
  <c r="N420" i="18"/>
  <c r="N395" i="18"/>
  <c r="N396" i="18"/>
  <c r="N397" i="18"/>
  <c r="N406" i="18"/>
  <c r="N402" i="18"/>
  <c r="N436" i="18"/>
  <c r="N423" i="18"/>
  <c r="N424" i="18"/>
  <c r="N457" i="18"/>
  <c r="N458" i="18"/>
  <c r="N422" i="18"/>
  <c r="N443" i="18"/>
  <c r="N459" i="18"/>
  <c r="N460" i="18"/>
  <c r="N445" i="18"/>
  <c r="R520" i="4" s="1"/>
  <c r="BI520" i="4" s="1"/>
  <c r="N446" i="18"/>
  <c r="N462" i="18"/>
  <c r="N432" i="18"/>
  <c r="N113" i="18"/>
  <c r="N76" i="18"/>
  <c r="N78" i="18"/>
  <c r="N82" i="18"/>
  <c r="N66" i="18"/>
  <c r="N210" i="18"/>
  <c r="N13" i="18"/>
  <c r="N14" i="18"/>
  <c r="N278" i="18"/>
  <c r="N15" i="18"/>
  <c r="R30" i="4" s="1"/>
  <c r="BI30" i="4" s="1"/>
  <c r="N22" i="18"/>
  <c r="N26" i="18"/>
  <c r="N313" i="18"/>
  <c r="N366" i="18"/>
  <c r="N367" i="18"/>
  <c r="N368" i="18"/>
  <c r="N372" i="18"/>
  <c r="N356" i="18"/>
  <c r="N374" i="18"/>
  <c r="N357" i="18"/>
  <c r="N375" i="18"/>
  <c r="N358" i="18"/>
  <c r="N377" i="18"/>
  <c r="N359" i="18"/>
  <c r="N378" i="18"/>
  <c r="N360" i="18"/>
  <c r="N379" i="18"/>
  <c r="N361" i="18"/>
  <c r="N362" i="18"/>
  <c r="N364" i="18"/>
  <c r="N327" i="18"/>
  <c r="N186" i="18"/>
  <c r="N187" i="18"/>
  <c r="N303" i="18"/>
  <c r="N189" i="18"/>
  <c r="N173" i="18"/>
  <c r="N273" i="18"/>
  <c r="N192" i="18"/>
  <c r="N318" i="18"/>
  <c r="N211" i="18"/>
  <c r="N32" i="18"/>
  <c r="N190" i="18"/>
  <c r="N6" i="18"/>
  <c r="N8" i="18"/>
  <c r="N29" i="18"/>
  <c r="N30" i="18"/>
  <c r="N270" i="18"/>
  <c r="N371" i="18"/>
  <c r="N34" i="18"/>
  <c r="N35" i="18"/>
  <c r="N67" i="18"/>
  <c r="N191" i="18"/>
  <c r="N308" i="18"/>
  <c r="N325" i="18"/>
  <c r="N27" i="18"/>
  <c r="N28" i="18"/>
  <c r="N43" i="18"/>
  <c r="N247" i="18"/>
  <c r="N219" i="18"/>
  <c r="N316" i="18"/>
  <c r="N333" i="18"/>
  <c r="N249" i="18"/>
  <c r="N330" i="18"/>
  <c r="N226" i="18"/>
  <c r="N222" i="18"/>
  <c r="N404" i="18"/>
  <c r="N224" i="18"/>
  <c r="N353" i="18"/>
  <c r="N228" i="18"/>
  <c r="N339" i="18"/>
  <c r="N279" i="18"/>
  <c r="N240" i="18"/>
  <c r="N245" i="18"/>
  <c r="N184" i="18"/>
  <c r="N267" i="18"/>
  <c r="N185" i="18"/>
  <c r="N317" i="18"/>
  <c r="N206" i="18"/>
  <c r="N178" i="18"/>
  <c r="N179" i="18"/>
  <c r="N328" i="18"/>
  <c r="N180" i="18"/>
  <c r="N329" i="18"/>
  <c r="N181" i="18"/>
  <c r="N164" i="18"/>
  <c r="N182" i="18"/>
  <c r="N296" i="18"/>
  <c r="N381" i="18"/>
  <c r="N183" i="18"/>
  <c r="N41" i="18"/>
  <c r="R62" i="4" s="1"/>
  <c r="BI62" i="4" s="1"/>
  <c r="N62" i="18"/>
  <c r="N268" i="18"/>
  <c r="N44" i="18"/>
  <c r="N259" i="18"/>
  <c r="N65" i="18"/>
  <c r="N63" i="18"/>
  <c r="N80" i="18"/>
  <c r="N64" i="18"/>
  <c r="N323" i="18"/>
  <c r="N193" i="18"/>
  <c r="N212" i="18"/>
  <c r="N109" i="18"/>
  <c r="N311" i="18"/>
  <c r="N61" i="18"/>
  <c r="N314" i="18"/>
  <c r="N269" i="18"/>
  <c r="N322" i="18"/>
  <c r="N141" i="18"/>
  <c r="N142" i="18"/>
  <c r="N284" i="18"/>
  <c r="N143" i="18"/>
  <c r="N144" i="18"/>
  <c r="N197" i="18"/>
  <c r="N293" i="18"/>
  <c r="N198" i="18"/>
  <c r="N215" i="18"/>
  <c r="N147" i="18"/>
  <c r="N200" i="18"/>
  <c r="N201" i="18"/>
  <c r="N202" i="18"/>
  <c r="N167" i="18"/>
  <c r="N168" i="18"/>
  <c r="N169" i="18"/>
  <c r="N170" i="18"/>
  <c r="N174" i="18"/>
  <c r="N175" i="18"/>
  <c r="N176" i="18"/>
  <c r="N277" i="18"/>
  <c r="N310" i="18"/>
  <c r="N172" i="18"/>
  <c r="N163" i="18"/>
  <c r="N312" i="18"/>
  <c r="N380" i="18"/>
  <c r="N217" i="18"/>
  <c r="N345" i="18"/>
  <c r="R334" i="4" s="1"/>
  <c r="BI334" i="4" s="1"/>
  <c r="N4" i="18"/>
  <c r="N3" i="18"/>
  <c r="R21" i="4" s="1"/>
  <c r="BI21" i="4" s="1"/>
  <c r="N5" i="18"/>
  <c r="N7" i="18"/>
  <c r="N31" i="18"/>
  <c r="N304" i="18"/>
  <c r="N10" i="18"/>
  <c r="N11" i="18"/>
  <c r="R60" i="4" s="1"/>
  <c r="BI60" i="4" s="1"/>
  <c r="N12" i="18"/>
  <c r="N275" i="18"/>
  <c r="N214" i="18"/>
  <c r="N294" i="18"/>
  <c r="N73" i="18"/>
  <c r="N9" i="18"/>
  <c r="R36" i="4" s="1"/>
  <c r="BI36" i="4" s="1"/>
  <c r="N243" i="18"/>
  <c r="N75" i="18"/>
  <c r="N299" i="18"/>
  <c r="N157" i="18"/>
  <c r="N68" i="18"/>
  <c r="N69" i="18"/>
  <c r="N177" i="18"/>
  <c r="N285" i="18"/>
  <c r="N321" i="18"/>
  <c r="N55" i="18"/>
  <c r="N70" i="18"/>
  <c r="N56" i="18"/>
  <c r="N71" i="18"/>
  <c r="N57" i="18"/>
  <c r="N72" i="18"/>
  <c r="N58" i="18"/>
  <c r="N60" i="18"/>
  <c r="N216" i="18"/>
  <c r="N134" i="18"/>
  <c r="N135" i="18"/>
  <c r="N136" i="18"/>
  <c r="N137" i="18"/>
  <c r="N138" i="18"/>
  <c r="N140" i="18"/>
  <c r="N307" i="18"/>
  <c r="N139" i="18"/>
  <c r="N208" i="18"/>
  <c r="N129" i="18"/>
  <c r="N130" i="18"/>
  <c r="N131" i="18"/>
  <c r="N331" i="18"/>
  <c r="N132" i="18"/>
  <c r="N133" i="18"/>
  <c r="N382" i="18"/>
  <c r="N283" i="18"/>
  <c r="N276" i="18"/>
  <c r="N286" i="18"/>
  <c r="N287" i="18"/>
  <c r="N334" i="18"/>
  <c r="N288" i="18"/>
  <c r="N290" i="18"/>
  <c r="N338" i="18"/>
  <c r="N291" i="18"/>
  <c r="N289" i="18"/>
  <c r="N335" i="18"/>
  <c r="N340" i="18"/>
  <c r="N341" i="18"/>
  <c r="N342" i="18"/>
  <c r="N280" i="18"/>
  <c r="N337" i="18"/>
  <c r="N271" i="18"/>
  <c r="N281" i="18"/>
  <c r="N282" i="18"/>
  <c r="N203" i="18"/>
  <c r="N204" i="18"/>
  <c r="N158" i="18"/>
  <c r="N332" i="18"/>
  <c r="N410" i="18"/>
  <c r="N411" i="18"/>
  <c r="N418" i="18"/>
  <c r="N407" i="18"/>
  <c r="N413" i="18"/>
  <c r="N414" i="18"/>
  <c r="N415" i="18"/>
  <c r="N430" i="18"/>
  <c r="N351" i="18"/>
  <c r="N370" i="18"/>
  <c r="R384" i="4" s="1"/>
  <c r="BI384" i="4" s="1"/>
  <c r="N260" i="18"/>
  <c r="N465" i="18"/>
  <c r="N261" i="18"/>
  <c r="N262" i="18"/>
  <c r="N263" i="18"/>
  <c r="N444" i="18"/>
  <c r="N400" i="18"/>
  <c r="N403" i="18"/>
  <c r="N319" i="18"/>
  <c r="N97" i="18"/>
  <c r="N99" i="18"/>
  <c r="N391" i="18"/>
  <c r="N101" i="18"/>
  <c r="N84" i="18"/>
  <c r="N103" i="18"/>
  <c r="N105" i="18"/>
  <c r="N107" i="18"/>
  <c r="N114" i="18"/>
  <c r="N115" i="18"/>
  <c r="N199" i="18"/>
  <c r="N116" i="18"/>
  <c r="N117" i="18"/>
  <c r="N399" i="18"/>
  <c r="N363" i="18"/>
  <c r="N383" i="18"/>
  <c r="N302" i="18"/>
  <c r="N196" i="18"/>
  <c r="N145" i="18"/>
  <c r="N146" i="18"/>
  <c r="N343" i="18"/>
  <c r="N46" i="18"/>
  <c r="N47" i="18"/>
  <c r="N434" i="18"/>
  <c r="N48" i="18"/>
  <c r="N49" i="18"/>
  <c r="N207" i="18"/>
  <c r="N225" i="18"/>
  <c r="N320" i="18"/>
  <c r="N51" i="18"/>
  <c r="N229" i="18"/>
  <c r="N52" i="18"/>
  <c r="N50" i="18"/>
  <c r="R459" i="4" s="1"/>
  <c r="BI459" i="4" s="1"/>
  <c r="N53" i="18"/>
  <c r="N309" i="18"/>
  <c r="N74" i="18"/>
  <c r="N324" i="18"/>
  <c r="N416" i="18"/>
  <c r="N417" i="18"/>
  <c r="N437" i="18"/>
  <c r="N419" i="18"/>
  <c r="N439" i="18"/>
  <c r="N442" i="18"/>
  <c r="N438" i="18"/>
  <c r="N421" i="18"/>
  <c r="N447" i="18"/>
  <c r="N195" i="18"/>
  <c r="N306" i="18"/>
  <c r="N161" i="18"/>
  <c r="N162" i="18"/>
  <c r="N354" i="18"/>
  <c r="N350" i="18"/>
  <c r="N344" i="18"/>
  <c r="N346" i="18"/>
  <c r="N347" i="18"/>
  <c r="N349" i="18"/>
  <c r="N248" i="18"/>
  <c r="N255" i="18"/>
  <c r="N250" i="18"/>
  <c r="N251" i="18"/>
  <c r="N252" i="18"/>
  <c r="N435" i="18"/>
  <c r="N254" i="18"/>
  <c r="N256" i="18"/>
  <c r="N257" i="18"/>
  <c r="N355" i="18"/>
  <c r="N258" i="18"/>
  <c r="N244" i="18"/>
  <c r="N246" i="18"/>
  <c r="N119" i="18"/>
  <c r="N301" i="18"/>
  <c r="N120" i="18"/>
  <c r="N121" i="18"/>
  <c r="N122" i="18"/>
  <c r="N124" i="18"/>
  <c r="N209" i="18"/>
  <c r="N305" i="18"/>
  <c r="N125" i="18"/>
  <c r="N126" i="18"/>
  <c r="N127" i="18"/>
  <c r="N123" i="18"/>
  <c r="N386" i="18"/>
  <c r="N387" i="18"/>
  <c r="N388" i="18"/>
  <c r="R411" i="4" s="1"/>
  <c r="BI411" i="4" s="1"/>
  <c r="N390" i="18"/>
  <c r="N384" i="18"/>
  <c r="N398" i="18"/>
  <c r="R431" i="4" s="1"/>
  <c r="BI431" i="4" s="1"/>
  <c r="N385" i="18"/>
  <c r="N220" i="18"/>
  <c r="N221" i="18"/>
  <c r="N223" i="18"/>
  <c r="N150" i="18"/>
  <c r="N166" i="18"/>
  <c r="N151" i="18"/>
  <c r="N152" i="18"/>
  <c r="N205" i="18"/>
  <c r="N153" i="18"/>
  <c r="N352" i="18"/>
  <c r="N154" i="18"/>
  <c r="N155" i="18"/>
  <c r="N156" i="18"/>
  <c r="N159" i="18"/>
  <c r="N160" i="18"/>
  <c r="N148" i="18"/>
  <c r="N149" i="18"/>
  <c r="N165" i="18"/>
  <c r="N45" i="18"/>
  <c r="N218" i="18"/>
  <c r="N315" i="18"/>
  <c r="N227" i="18"/>
  <c r="N36" i="18"/>
  <c r="R33" i="4" s="1"/>
  <c r="BI33" i="4" s="1"/>
  <c r="N23" i="18"/>
  <c r="N37" i="18"/>
  <c r="R61" i="4" s="1"/>
  <c r="BI61" i="4" s="1"/>
  <c r="N292" i="18"/>
  <c r="N326" i="18"/>
  <c r="N38" i="18"/>
  <c r="N272" i="18"/>
  <c r="N39" i="18"/>
  <c r="N40" i="18"/>
  <c r="N110" i="18"/>
  <c r="N461" i="18"/>
  <c r="N42" i="18"/>
  <c r="N111" i="18"/>
  <c r="N112" i="18"/>
  <c r="N369" i="18"/>
  <c r="N264" i="18"/>
  <c r="N265" i="18"/>
  <c r="N266" i="18"/>
  <c r="N59" i="18"/>
  <c r="N118" i="18"/>
  <c r="N300" i="18"/>
  <c r="N77" i="18"/>
  <c r="N79" i="18"/>
  <c r="N81" i="18"/>
  <c r="N85" i="18"/>
  <c r="N83" i="18"/>
  <c r="N98" i="18"/>
  <c r="N100" i="18"/>
  <c r="N274" i="18"/>
  <c r="N102" i="18"/>
  <c r="N54" i="18"/>
  <c r="N104" i="18"/>
  <c r="N106" i="18"/>
  <c r="N128" i="18"/>
  <c r="N108" i="18"/>
  <c r="N213" i="18"/>
  <c r="N295" i="18"/>
  <c r="N297" i="18"/>
  <c r="G371" i="7"/>
  <c r="G370" i="7"/>
  <c r="G937" i="7"/>
  <c r="G939" i="7"/>
  <c r="G942" i="7"/>
  <c r="G348" i="7"/>
  <c r="G943" i="7"/>
  <c r="G936" i="7"/>
  <c r="G106" i="5"/>
  <c r="G13" i="5"/>
  <c r="G121" i="5"/>
  <c r="D21" i="20"/>
  <c r="D86" i="20"/>
  <c r="D107" i="20"/>
  <c r="D9" i="20"/>
  <c r="D55" i="20"/>
  <c r="D15" i="20"/>
  <c r="D38" i="20"/>
  <c r="G339" i="7"/>
  <c r="G950" i="7"/>
  <c r="G953" i="7"/>
  <c r="G969" i="7"/>
  <c r="G968" i="7"/>
  <c r="G338" i="7"/>
  <c r="G133" i="7"/>
  <c r="G941" i="7"/>
  <c r="G367" i="7"/>
  <c r="G341" i="7"/>
  <c r="G364" i="7"/>
  <c r="G342" i="7"/>
  <c r="G363" i="7"/>
  <c r="G346" i="7"/>
  <c r="G340" i="7"/>
  <c r="G954" i="7"/>
  <c r="G347" i="7"/>
  <c r="G353" i="7"/>
  <c r="G349" i="7"/>
  <c r="G354" i="7"/>
  <c r="G337" i="7"/>
  <c r="G972" i="7"/>
  <c r="G351" i="7"/>
  <c r="G344" i="7"/>
  <c r="G952" i="7"/>
  <c r="G350" i="7"/>
  <c r="G971" i="7"/>
  <c r="G352" i="7"/>
  <c r="G343" i="7"/>
  <c r="G355" i="7"/>
  <c r="G336" i="7"/>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501" i="4" l="1"/>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H333" i="7"/>
  <c r="K333" i="7"/>
  <c r="H334" i="7"/>
  <c r="K334" i="7"/>
  <c r="H356" i="7"/>
  <c r="Q138" i="4" s="1"/>
  <c r="BF138" i="4" s="1"/>
  <c r="K356" i="7"/>
  <c r="H357" i="7"/>
  <c r="K357" i="7"/>
  <c r="H358" i="7"/>
  <c r="K358" i="7"/>
  <c r="H359" i="7"/>
  <c r="K359" i="7"/>
  <c r="H365" i="7"/>
  <c r="K365" i="7"/>
  <c r="G366" i="7"/>
  <c r="H366" i="7"/>
  <c r="K366" i="7"/>
  <c r="Q304" i="4" l="1"/>
  <c r="BF304" i="4" s="1"/>
  <c r="Q335" i="4"/>
  <c r="BF335" i="4" s="1"/>
  <c r="Q305" i="4"/>
  <c r="BF305" i="4" s="1"/>
  <c r="Q576" i="4"/>
  <c r="BF576" i="4" s="1"/>
  <c r="Q306" i="4"/>
  <c r="BF306" i="4" s="1"/>
  <c r="Q333" i="4"/>
  <c r="BF333" i="4" s="1"/>
  <c r="AK522" i="4"/>
  <c r="I334" i="7"/>
  <c r="I357" i="7"/>
  <c r="F359" i="7"/>
  <c r="I358" i="7"/>
  <c r="F333" i="7"/>
  <c r="I333" i="7"/>
  <c r="I366" i="7"/>
  <c r="I365" i="7"/>
  <c r="F357" i="7"/>
  <c r="F356" i="7"/>
  <c r="I356" i="7"/>
  <c r="F365" i="7"/>
  <c r="I359" i="7"/>
  <c r="F366" i="7"/>
  <c r="F334" i="7"/>
  <c r="F358" i="7"/>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F37" i="9"/>
  <c r="H315" i="7"/>
  <c r="K315" i="7"/>
  <c r="H316" i="7"/>
  <c r="K316" i="7"/>
  <c r="G317" i="7"/>
  <c r="H317" i="7"/>
  <c r="K317" i="7"/>
  <c r="H318" i="7"/>
  <c r="K318" i="7"/>
  <c r="H319" i="7"/>
  <c r="K319" i="7"/>
  <c r="H320" i="7"/>
  <c r="K320" i="7"/>
  <c r="G321" i="7"/>
  <c r="H321" i="7"/>
  <c r="K321" i="7"/>
  <c r="H326" i="7"/>
  <c r="K326" i="7"/>
  <c r="G327" i="7"/>
  <c r="H327" i="7"/>
  <c r="K327" i="7"/>
  <c r="H328" i="7"/>
  <c r="K328" i="7"/>
  <c r="G329" i="7"/>
  <c r="H329" i="7"/>
  <c r="K329" i="7"/>
  <c r="G330" i="7"/>
  <c r="H330" i="7"/>
  <c r="K330" i="7"/>
  <c r="H331" i="7"/>
  <c r="K331" i="7"/>
  <c r="H332" i="7"/>
  <c r="K332" i="7"/>
  <c r="H361" i="7"/>
  <c r="K361" i="7"/>
  <c r="H360" i="7"/>
  <c r="K360" i="7"/>
  <c r="F360" i="7" l="1"/>
  <c r="G360" i="7"/>
  <c r="F332" i="7"/>
  <c r="G332" i="7"/>
  <c r="I328" i="7"/>
  <c r="G328" i="7"/>
  <c r="F316" i="7"/>
  <c r="G316" i="7"/>
  <c r="F320" i="7"/>
  <c r="G320" i="7"/>
  <c r="I326" i="7"/>
  <c r="G326" i="7"/>
  <c r="F318" i="7"/>
  <c r="G318" i="7"/>
  <c r="I361" i="7"/>
  <c r="G361" i="7"/>
  <c r="I331" i="7"/>
  <c r="G331" i="7"/>
  <c r="I319" i="7"/>
  <c r="G319" i="7"/>
  <c r="F315" i="7"/>
  <c r="G315" i="7"/>
  <c r="I315" i="7"/>
  <c r="I332" i="7"/>
  <c r="I316" i="7"/>
  <c r="I330" i="7"/>
  <c r="F317" i="7"/>
  <c r="I360" i="7"/>
  <c r="F330" i="7"/>
  <c r="I318" i="7"/>
  <c r="F361" i="7"/>
  <c r="F326" i="7"/>
  <c r="F327" i="7"/>
  <c r="F321" i="7"/>
  <c r="I320" i="7"/>
  <c r="F328" i="7"/>
  <c r="I321" i="7"/>
  <c r="I327" i="7"/>
  <c r="F329" i="7"/>
  <c r="F319" i="7"/>
  <c r="F331" i="7"/>
  <c r="I329" i="7"/>
  <c r="I317" i="7"/>
  <c r="AD329" i="4"/>
  <c r="AD328" i="4"/>
  <c r="AD287" i="4"/>
  <c r="AD220" i="4"/>
  <c r="AC329" i="4"/>
  <c r="BH329" i="4" s="1"/>
  <c r="AC328" i="4"/>
  <c r="AC287" i="4"/>
  <c r="AC220" i="4"/>
  <c r="BH287" i="4" l="1"/>
  <c r="BH328" i="4"/>
  <c r="I4" i="5"/>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39"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946" i="7"/>
  <c r="K177" i="7"/>
  <c r="K178" i="7"/>
  <c r="K179" i="7"/>
  <c r="K180" i="7"/>
  <c r="K181" i="7"/>
  <c r="K182" i="7"/>
  <c r="K183" i="7"/>
  <c r="K184" i="7"/>
  <c r="K185" i="7"/>
  <c r="K186" i="7"/>
  <c r="K957" i="7"/>
  <c r="K187" i="7"/>
  <c r="K188" i="7"/>
  <c r="K189" i="7"/>
  <c r="K190" i="7"/>
  <c r="K191" i="7"/>
  <c r="K192" i="7"/>
  <c r="K964"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983" i="7"/>
  <c r="K240" i="7"/>
  <c r="K985"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987" i="7"/>
  <c r="K986" i="7"/>
  <c r="K984" i="7"/>
  <c r="K982" i="7"/>
  <c r="K981" i="7"/>
  <c r="K980" i="7"/>
  <c r="K302" i="7"/>
  <c r="K303" i="7"/>
  <c r="K304" i="7"/>
  <c r="K979" i="7"/>
  <c r="K305" i="7"/>
  <c r="K306" i="7"/>
  <c r="K307" i="7"/>
  <c r="K308" i="7"/>
  <c r="K309" i="7"/>
  <c r="K310" i="7"/>
  <c r="K311" i="7"/>
  <c r="K978" i="7"/>
  <c r="K312" i="7"/>
  <c r="K977" i="7"/>
  <c r="K409" i="7"/>
  <c r="K859" i="7"/>
  <c r="K398" i="7"/>
  <c r="K865" i="7"/>
  <c r="K314" i="7"/>
  <c r="K322" i="7"/>
  <c r="K975" i="7"/>
  <c r="K323" i="7"/>
  <c r="K324" i="7"/>
  <c r="K325" i="7"/>
  <c r="K974" i="7"/>
  <c r="K973" i="7"/>
  <c r="K774" i="7"/>
  <c r="K313" i="7"/>
  <c r="K976" i="7"/>
  <c r="K884" i="7"/>
  <c r="D405" i="4" l="1"/>
  <c r="D404" i="4"/>
  <c r="D403" i="4"/>
  <c r="D402" i="4"/>
  <c r="D401" i="4"/>
  <c r="D400" i="4"/>
  <c r="D399" i="4"/>
  <c r="D398" i="4"/>
  <c r="H322" i="7"/>
  <c r="H975" i="7"/>
  <c r="H323" i="7"/>
  <c r="H324" i="7"/>
  <c r="H325" i="7"/>
  <c r="H974" i="7"/>
  <c r="H973" i="7"/>
  <c r="H774" i="7"/>
  <c r="H313" i="7"/>
  <c r="H976" i="7"/>
  <c r="G323" i="7"/>
  <c r="G884" i="7"/>
  <c r="G883" i="7"/>
  <c r="G636" i="7"/>
  <c r="G878" i="7"/>
  <c r="G383" i="7"/>
  <c r="G873" i="7"/>
  <c r="G872" i="7"/>
  <c r="G870" i="7"/>
  <c r="G385" i="7"/>
  <c r="G869" i="7"/>
  <c r="G868" i="7"/>
  <c r="G867" i="7"/>
  <c r="G7" i="7"/>
  <c r="G392" i="7"/>
  <c r="G643" i="7"/>
  <c r="G401" i="7"/>
  <c r="G405" i="7"/>
  <c r="G863" i="7"/>
  <c r="G644" i="7"/>
  <c r="G412" i="7"/>
  <c r="G848" i="7"/>
  <c r="G838" i="7"/>
  <c r="G418" i="7"/>
  <c r="G426" i="7"/>
  <c r="G431" i="7"/>
  <c r="G432" i="7"/>
  <c r="G438" i="7"/>
  <c r="G439" i="7"/>
  <c r="G440" i="7"/>
  <c r="G830" i="7"/>
  <c r="G822" i="7"/>
  <c r="G660" i="7"/>
  <c r="G784" i="7"/>
  <c r="G443" i="7"/>
  <c r="G449" i="7"/>
  <c r="G456" i="7"/>
  <c r="G676" i="7"/>
  <c r="G679" i="7"/>
  <c r="G680" i="7"/>
  <c r="G16" i="7"/>
  <c r="G689" i="7"/>
  <c r="G700" i="7"/>
  <c r="G707" i="7"/>
  <c r="G727" i="7"/>
  <c r="G735" i="7"/>
  <c r="G742" i="7"/>
  <c r="G749" i="7"/>
  <c r="G34" i="7"/>
  <c r="G764" i="7"/>
  <c r="G770" i="7"/>
  <c r="G771" i="7"/>
  <c r="G37" i="7"/>
  <c r="G773" i="7"/>
  <c r="G775" i="7"/>
  <c r="G38" i="7"/>
  <c r="G777" i="7"/>
  <c r="G781" i="7"/>
  <c r="G785" i="7"/>
  <c r="G786" i="7"/>
  <c r="G43" i="7"/>
  <c r="G788" i="7"/>
  <c r="G47" i="7"/>
  <c r="G804" i="7"/>
  <c r="G55" i="7"/>
  <c r="G814" i="7"/>
  <c r="G61" i="7"/>
  <c r="G66" i="7"/>
  <c r="G67" i="7"/>
  <c r="G68" i="7"/>
  <c r="G72" i="7"/>
  <c r="G80" i="7"/>
  <c r="G86" i="7"/>
  <c r="G87" i="7"/>
  <c r="G93" i="7"/>
  <c r="G101" i="7"/>
  <c r="G109" i="7"/>
  <c r="G114" i="7"/>
  <c r="G117" i="7"/>
  <c r="G120" i="7"/>
  <c r="G124" i="7"/>
  <c r="G125" i="7"/>
  <c r="G132" i="7"/>
  <c r="G139" i="7"/>
  <c r="G141" i="7"/>
  <c r="G145" i="7"/>
  <c r="G149" i="7"/>
  <c r="G157" i="7"/>
  <c r="G159" i="7"/>
  <c r="G160" i="7"/>
  <c r="G167" i="7"/>
  <c r="G175" i="7"/>
  <c r="G182" i="7"/>
  <c r="G189" i="7"/>
  <c r="G196" i="7"/>
  <c r="G204" i="7"/>
  <c r="G208" i="7"/>
  <c r="G212" i="7"/>
  <c r="G220" i="7"/>
  <c r="G223" i="7"/>
  <c r="G228" i="7"/>
  <c r="G232" i="7"/>
  <c r="G238" i="7"/>
  <c r="G244" i="7"/>
  <c r="G245" i="7"/>
  <c r="G251" i="7"/>
  <c r="G257" i="7"/>
  <c r="G776" i="7"/>
  <c r="G815" i="7"/>
  <c r="G271" i="7"/>
  <c r="G278" i="7"/>
  <c r="G284" i="7"/>
  <c r="G289" i="7"/>
  <c r="G291" i="7"/>
  <c r="G417" i="7"/>
  <c r="G293" i="7"/>
  <c r="G301" i="7"/>
  <c r="G980" i="7"/>
  <c r="G302" i="7"/>
  <c r="G303" i="7"/>
  <c r="G309" i="7"/>
  <c r="G310" i="7"/>
  <c r="G865" i="7"/>
  <c r="F3" i="9"/>
  <c r="F7" i="9"/>
  <c r="F6" i="9"/>
  <c r="F4" i="9"/>
  <c r="F8" i="9"/>
  <c r="F11" i="9"/>
  <c r="F10" i="9"/>
  <c r="F14" i="9"/>
  <c r="F17" i="9"/>
  <c r="F13" i="9"/>
  <c r="F24" i="9"/>
  <c r="F12" i="9"/>
  <c r="F9" i="9"/>
  <c r="F18" i="9"/>
  <c r="F22" i="9"/>
  <c r="F5" i="9"/>
  <c r="F20" i="9"/>
  <c r="F25" i="9"/>
  <c r="F26" i="9"/>
  <c r="F34" i="9"/>
  <c r="F27" i="9"/>
  <c r="F28" i="9"/>
  <c r="F29" i="9"/>
  <c r="F30" i="9"/>
  <c r="F31" i="9"/>
  <c r="F32" i="9"/>
  <c r="F33" i="9"/>
  <c r="F35" i="9"/>
  <c r="F36" i="9"/>
  <c r="D97" i="20" l="1"/>
  <c r="J97" i="20" s="1"/>
  <c r="Q621" i="4"/>
  <c r="BF621" i="4" s="1"/>
  <c r="Q626" i="4"/>
  <c r="BF626" i="4" s="1"/>
  <c r="Q620" i="4"/>
  <c r="BF620" i="4" s="1"/>
  <c r="Q625" i="4"/>
  <c r="BF625" i="4" s="1"/>
  <c r="Q624" i="4"/>
  <c r="BF624" i="4" s="1"/>
  <c r="Q623" i="4"/>
  <c r="BF623" i="4" s="1"/>
  <c r="Q622" i="4"/>
  <c r="BF622" i="4" s="1"/>
  <c r="Q619" i="4"/>
  <c r="BF619" i="4" s="1"/>
  <c r="F19" i="9"/>
  <c r="F16" i="9"/>
  <c r="F15" i="9"/>
  <c r="F21" i="9"/>
  <c r="F23" i="9"/>
  <c r="G398" i="7"/>
  <c r="G300" i="7"/>
  <c r="G292" i="7"/>
  <c r="G288" i="7"/>
  <c r="G283" i="7"/>
  <c r="G277" i="7"/>
  <c r="G270" i="7"/>
  <c r="G20" i="7"/>
  <c r="G859" i="7"/>
  <c r="G308" i="7"/>
  <c r="G299" i="7"/>
  <c r="G410" i="7"/>
  <c r="G287" i="7"/>
  <c r="G820" i="7"/>
  <c r="G276" i="7"/>
  <c r="G269" i="7"/>
  <c r="G263" i="7"/>
  <c r="G445" i="7"/>
  <c r="G384" i="7"/>
  <c r="G256" i="7"/>
  <c r="G249" i="7"/>
  <c r="G242" i="7"/>
  <c r="G236" i="7"/>
  <c r="G230" i="7"/>
  <c r="G226" i="7"/>
  <c r="G218" i="7"/>
  <c r="G210" i="7"/>
  <c r="G202" i="7"/>
  <c r="G194" i="7"/>
  <c r="G187" i="7"/>
  <c r="G180" i="7"/>
  <c r="G173" i="7"/>
  <c r="G165" i="7"/>
  <c r="G161" i="7"/>
  <c r="G920" i="7"/>
  <c r="G155" i="7"/>
  <c r="G147" i="7"/>
  <c r="G130" i="7"/>
  <c r="G897" i="7"/>
  <c r="G889" i="7"/>
  <c r="G881" i="7"/>
  <c r="G714" i="7"/>
  <c r="G409" i="7"/>
  <c r="G307" i="7"/>
  <c r="G930" i="7"/>
  <c r="G664" i="7"/>
  <c r="G358" i="7"/>
  <c r="G977" i="7"/>
  <c r="G306" i="7"/>
  <c r="G982" i="7"/>
  <c r="G297" i="7"/>
  <c r="G285" i="7"/>
  <c r="G281" i="7"/>
  <c r="G274" i="7"/>
  <c r="G267" i="7"/>
  <c r="G261" i="7"/>
  <c r="G446" i="7"/>
  <c r="G254" i="7"/>
  <c r="G248" i="7"/>
  <c r="G985" i="7"/>
  <c r="G365" i="7"/>
  <c r="G333" i="7"/>
  <c r="G359" i="7"/>
  <c r="G356" i="7"/>
  <c r="G357" i="7"/>
  <c r="G312" i="7"/>
  <c r="G305" i="7"/>
  <c r="G984" i="7"/>
  <c r="G296" i="7"/>
  <c r="G290" i="7"/>
  <c r="G436" i="7"/>
  <c r="G280" i="7"/>
  <c r="G273" i="7"/>
  <c r="G266" i="7"/>
  <c r="G260" i="7"/>
  <c r="G451" i="7"/>
  <c r="G247" i="7"/>
  <c r="G240" i="7"/>
  <c r="G882" i="7"/>
  <c r="G215" i="7"/>
  <c r="G207" i="7"/>
  <c r="G199" i="7"/>
  <c r="G192" i="7"/>
  <c r="G185" i="7"/>
  <c r="G177" i="7"/>
  <c r="G170" i="7"/>
  <c r="G933" i="7"/>
  <c r="G925" i="7"/>
  <c r="G917" i="7"/>
  <c r="G152" i="7"/>
  <c r="G144" i="7"/>
  <c r="G136" i="7"/>
  <c r="G127" i="7"/>
  <c r="G894" i="7"/>
  <c r="G123" i="7"/>
  <c r="G879" i="7"/>
  <c r="G112" i="7"/>
  <c r="G104" i="7"/>
  <c r="G96" i="7"/>
  <c r="G89" i="7"/>
  <c r="G334" i="7"/>
  <c r="G978" i="7"/>
  <c r="G979" i="7"/>
  <c r="G809" i="7"/>
  <c r="G758" i="7"/>
  <c r="G386" i="7"/>
  <c r="G259" i="7"/>
  <c r="G250" i="7"/>
  <c r="G243" i="7"/>
  <c r="G237" i="7"/>
  <c r="G231" i="7"/>
  <c r="G227" i="7"/>
  <c r="G219" i="7"/>
  <c r="G211" i="7"/>
  <c r="G203" i="7"/>
  <c r="G195" i="7"/>
  <c r="G188" i="7"/>
  <c r="G181" i="7"/>
  <c r="G174" i="7"/>
  <c r="G166" i="7"/>
  <c r="G162" i="7"/>
  <c r="G156" i="7"/>
  <c r="G148" i="7"/>
  <c r="G140" i="7"/>
  <c r="G131" i="7"/>
  <c r="G898" i="7"/>
  <c r="G890" i="7"/>
  <c r="G119" i="7"/>
  <c r="G877" i="7"/>
  <c r="G108" i="7"/>
  <c r="G100" i="7"/>
  <c r="G92" i="7"/>
  <c r="G85" i="7"/>
  <c r="G79" i="7"/>
  <c r="G833" i="7"/>
  <c r="G60" i="7"/>
  <c r="G811" i="7"/>
  <c r="G803" i="7"/>
  <c r="G46" i="7"/>
  <c r="G780" i="7"/>
  <c r="G763" i="7"/>
  <c r="G755" i="7"/>
  <c r="G29" i="7"/>
  <c r="G25" i="7"/>
  <c r="G24" i="7"/>
  <c r="G726" i="7"/>
  <c r="G720" i="7"/>
  <c r="G19" i="7"/>
  <c r="G699" i="7"/>
  <c r="G694" i="7"/>
  <c r="G18" i="7"/>
  <c r="G15" i="7"/>
  <c r="G678" i="7"/>
  <c r="G675" i="7"/>
  <c r="G455" i="7"/>
  <c r="G448" i="7"/>
  <c r="G442" i="7"/>
  <c r="G787" i="7"/>
  <c r="G805" i="7"/>
  <c r="G659" i="7"/>
  <c r="G655" i="7"/>
  <c r="G437" i="7"/>
  <c r="G834" i="7"/>
  <c r="G649" i="7"/>
  <c r="G648" i="7"/>
  <c r="G839" i="7"/>
  <c r="G849" i="7"/>
  <c r="G411" i="7"/>
  <c r="G860" i="7"/>
  <c r="G864" i="7"/>
  <c r="G397" i="7"/>
  <c r="G391" i="7"/>
  <c r="G973" i="7"/>
  <c r="G876" i="7"/>
  <c r="G107" i="7"/>
  <c r="G99" i="7"/>
  <c r="G91" i="7"/>
  <c r="G84" i="7"/>
  <c r="G78" i="7"/>
  <c r="G71" i="7"/>
  <c r="G824" i="7"/>
  <c r="G59" i="7"/>
  <c r="G810" i="7"/>
  <c r="G802" i="7"/>
  <c r="G45" i="7"/>
  <c r="G40" i="7"/>
  <c r="G762" i="7"/>
  <c r="G33" i="7"/>
  <c r="G28" i="7"/>
  <c r="G733" i="7"/>
  <c r="G23" i="7"/>
  <c r="G719" i="7"/>
  <c r="G712" i="7"/>
  <c r="G706" i="7"/>
  <c r="G698" i="7"/>
  <c r="G693" i="7"/>
  <c r="G17" i="7"/>
  <c r="G682" i="7"/>
  <c r="G674" i="7"/>
  <c r="G454" i="7"/>
  <c r="G447" i="7"/>
  <c r="G665" i="7"/>
  <c r="G793" i="7"/>
  <c r="G663" i="7"/>
  <c r="G818" i="7"/>
  <c r="G826" i="7"/>
  <c r="G9" i="7"/>
  <c r="G430" i="7"/>
  <c r="G424" i="7"/>
  <c r="G416" i="7"/>
  <c r="G840" i="7"/>
  <c r="G850" i="7"/>
  <c r="G647" i="7"/>
  <c r="G861" i="7"/>
  <c r="G404" i="7"/>
  <c r="G396" i="7"/>
  <c r="G390" i="7"/>
  <c r="G382" i="7"/>
  <c r="F974" i="7"/>
  <c r="G974" i="7"/>
  <c r="G981" i="7"/>
  <c r="G298" i="7"/>
  <c r="G286" i="7"/>
  <c r="G282" i="7"/>
  <c r="G275" i="7"/>
  <c r="G268" i="7"/>
  <c r="G262" i="7"/>
  <c r="G754" i="7"/>
  <c r="G255" i="7"/>
  <c r="G880" i="7"/>
  <c r="G241" i="7"/>
  <c r="G235" i="7"/>
  <c r="G225" i="7"/>
  <c r="G217" i="7"/>
  <c r="G209" i="7"/>
  <c r="G201" i="7"/>
  <c r="G193" i="7"/>
  <c r="G957" i="7"/>
  <c r="G179" i="7"/>
  <c r="G172" i="7"/>
  <c r="G164" i="7"/>
  <c r="G927" i="7"/>
  <c r="G919" i="7"/>
  <c r="G154" i="7"/>
  <c r="G146" i="7"/>
  <c r="G138" i="7"/>
  <c r="G129" i="7"/>
  <c r="G896" i="7"/>
  <c r="G888" i="7"/>
  <c r="G118" i="7"/>
  <c r="G875" i="7"/>
  <c r="G106" i="7"/>
  <c r="G98" i="7"/>
  <c r="G90" i="7"/>
  <c r="G847" i="7"/>
  <c r="G77" i="7"/>
  <c r="G70" i="7"/>
  <c r="G823" i="7"/>
  <c r="G58" i="7"/>
  <c r="G54" i="7"/>
  <c r="G801" i="7"/>
  <c r="G44" i="7"/>
  <c r="G39" i="7"/>
  <c r="G36" i="7"/>
  <c r="G761" i="7"/>
  <c r="G753" i="7"/>
  <c r="G27" i="7"/>
  <c r="G740" i="7"/>
  <c r="G732" i="7"/>
  <c r="G725" i="7"/>
  <c r="G718" i="7"/>
  <c r="G711" i="7"/>
  <c r="G705" i="7"/>
  <c r="G692" i="7"/>
  <c r="G687" i="7"/>
  <c r="G673" i="7"/>
  <c r="G670" i="7"/>
  <c r="G668" i="7"/>
  <c r="G769" i="7"/>
  <c r="G794" i="7"/>
  <c r="G807" i="7"/>
  <c r="G658" i="7"/>
  <c r="G10" i="7"/>
  <c r="G832" i="7"/>
  <c r="G652" i="7"/>
  <c r="G423" i="7"/>
  <c r="G415" i="7"/>
  <c r="G841" i="7"/>
  <c r="G851" i="7"/>
  <c r="G8" i="7"/>
  <c r="G408" i="7"/>
  <c r="G403" i="7"/>
  <c r="G642" i="7"/>
  <c r="G389" i="7"/>
  <c r="G381" i="7"/>
  <c r="F325" i="7"/>
  <c r="G325" i="7"/>
  <c r="G976" i="7"/>
  <c r="G234" i="7"/>
  <c r="G224" i="7"/>
  <c r="G216" i="7"/>
  <c r="G200" i="7"/>
  <c r="G964" i="7"/>
  <c r="G186" i="7"/>
  <c r="G178" i="7"/>
  <c r="G171" i="7"/>
  <c r="G163" i="7"/>
  <c r="G926" i="7"/>
  <c r="G918" i="7"/>
  <c r="G153" i="7"/>
  <c r="G137" i="7"/>
  <c r="G128" i="7"/>
  <c r="G895" i="7"/>
  <c r="G887" i="7"/>
  <c r="G113" i="7"/>
  <c r="G105" i="7"/>
  <c r="G97" i="7"/>
  <c r="G852" i="7"/>
  <c r="G83" i="7"/>
  <c r="G76" i="7"/>
  <c r="G69" i="7"/>
  <c r="G65" i="7"/>
  <c r="G808" i="7"/>
  <c r="G800" i="7"/>
  <c r="G792" i="7"/>
  <c r="G42" i="7"/>
  <c r="G768" i="7"/>
  <c r="G760" i="7"/>
  <c r="G32" i="7"/>
  <c r="G746" i="7"/>
  <c r="G739" i="7"/>
  <c r="G731" i="7"/>
  <c r="G724" i="7"/>
  <c r="G717" i="7"/>
  <c r="G710" i="7"/>
  <c r="G704" i="7"/>
  <c r="G697" i="7"/>
  <c r="G686" i="7"/>
  <c r="G672" i="7"/>
  <c r="G453" i="7"/>
  <c r="G14" i="7"/>
  <c r="G772" i="7"/>
  <c r="G795" i="7"/>
  <c r="G662" i="7"/>
  <c r="G657" i="7"/>
  <c r="G435" i="7"/>
  <c r="G429" i="7"/>
  <c r="G422" i="7"/>
  <c r="G414" i="7"/>
  <c r="G842" i="7"/>
  <c r="G853" i="7"/>
  <c r="G856" i="7"/>
  <c r="G862" i="7"/>
  <c r="G402" i="7"/>
  <c r="G395" i="7"/>
  <c r="G640" i="7"/>
  <c r="G874" i="7"/>
  <c r="G324" i="7"/>
  <c r="I313" i="7"/>
  <c r="G313" i="7"/>
  <c r="G82" i="7"/>
  <c r="G75" i="7"/>
  <c r="G829" i="7"/>
  <c r="G64" i="7"/>
  <c r="G813" i="7"/>
  <c r="G53" i="7"/>
  <c r="G50" i="7"/>
  <c r="G791" i="7"/>
  <c r="G783" i="7"/>
  <c r="G767" i="7"/>
  <c r="G759" i="7"/>
  <c r="G751" i="7"/>
  <c r="G745" i="7"/>
  <c r="G738" i="7"/>
  <c r="G730" i="7"/>
  <c r="G22" i="7"/>
  <c r="G716" i="7"/>
  <c r="G703" i="7"/>
  <c r="G696" i="7"/>
  <c r="G685" i="7"/>
  <c r="G681" i="7"/>
  <c r="G671" i="7"/>
  <c r="G452" i="7"/>
  <c r="G756" i="7"/>
  <c r="G13" i="7"/>
  <c r="G796" i="7"/>
  <c r="G812" i="7"/>
  <c r="G11" i="7"/>
  <c r="G434" i="7"/>
  <c r="G428" i="7"/>
  <c r="G421" i="7"/>
  <c r="G835" i="7"/>
  <c r="G844" i="7"/>
  <c r="G854" i="7"/>
  <c r="G857" i="7"/>
  <c r="G394" i="7"/>
  <c r="G866" i="7"/>
  <c r="G871" i="7"/>
  <c r="I774" i="7"/>
  <c r="G774" i="7"/>
  <c r="G986" i="7"/>
  <c r="G295" i="7"/>
  <c r="G425" i="7"/>
  <c r="G827" i="7"/>
  <c r="G279" i="7"/>
  <c r="G272" i="7"/>
  <c r="G265" i="7"/>
  <c r="G806" i="7"/>
  <c r="G752" i="7"/>
  <c r="G253" i="7"/>
  <c r="G246" i="7"/>
  <c r="G983" i="7"/>
  <c r="G229" i="7"/>
  <c r="G222" i="7"/>
  <c r="G214" i="7"/>
  <c r="G206" i="7"/>
  <c r="G198" i="7"/>
  <c r="G191" i="7"/>
  <c r="G184" i="7"/>
  <c r="G946" i="7"/>
  <c r="G169" i="7"/>
  <c r="G932" i="7"/>
  <c r="G924" i="7"/>
  <c r="G158" i="7"/>
  <c r="G151" i="7"/>
  <c r="G143" i="7"/>
  <c r="G135" i="7"/>
  <c r="G126" i="7"/>
  <c r="G893" i="7"/>
  <c r="G122" i="7"/>
  <c r="G116" i="7"/>
  <c r="G111" i="7"/>
  <c r="G103" i="7"/>
  <c r="G95" i="7"/>
  <c r="G88" i="7"/>
  <c r="G81" i="7"/>
  <c r="G74" i="7"/>
  <c r="G828" i="7"/>
  <c r="G63" i="7"/>
  <c r="G57" i="7"/>
  <c r="G52" i="7"/>
  <c r="G49" i="7"/>
  <c r="G790" i="7"/>
  <c r="G41" i="7"/>
  <c r="G766" i="7"/>
  <c r="G35" i="7"/>
  <c r="G31" i="7"/>
  <c r="G744" i="7"/>
  <c r="G737" i="7"/>
  <c r="G729" i="7"/>
  <c r="G21" i="7"/>
  <c r="G709" i="7"/>
  <c r="G702" i="7"/>
  <c r="G695" i="7"/>
  <c r="G691" i="7"/>
  <c r="G669" i="7"/>
  <c r="G666" i="7"/>
  <c r="G778" i="7"/>
  <c r="G797" i="7"/>
  <c r="G12" i="7"/>
  <c r="G821" i="7"/>
  <c r="G433" i="7"/>
  <c r="G651" i="7"/>
  <c r="G420" i="7"/>
  <c r="G836" i="7"/>
  <c r="G845" i="7"/>
  <c r="G855" i="7"/>
  <c r="G858" i="7"/>
  <c r="G407" i="7"/>
  <c r="G400" i="7"/>
  <c r="G393" i="7"/>
  <c r="G639" i="7"/>
  <c r="G6" i="7"/>
  <c r="G975" i="7"/>
  <c r="G314" i="7"/>
  <c r="G311" i="7"/>
  <c r="G304" i="7"/>
  <c r="G987" i="7"/>
  <c r="G294" i="7"/>
  <c r="G427" i="7"/>
  <c r="G825" i="7"/>
  <c r="G819" i="7"/>
  <c r="G817" i="7"/>
  <c r="G264" i="7"/>
  <c r="G799" i="7"/>
  <c r="G387" i="7"/>
  <c r="G258" i="7"/>
  <c r="G252" i="7"/>
  <c r="G239" i="7"/>
  <c r="G233" i="7"/>
  <c r="G221" i="7"/>
  <c r="G213" i="7"/>
  <c r="G205" i="7"/>
  <c r="G197" i="7"/>
  <c r="G190" i="7"/>
  <c r="G183" i="7"/>
  <c r="G176" i="7"/>
  <c r="G168" i="7"/>
  <c r="G931" i="7"/>
  <c r="G923" i="7"/>
  <c r="G915" i="7"/>
  <c r="G150" i="7"/>
  <c r="G142" i="7"/>
  <c r="G134" i="7"/>
  <c r="G900" i="7"/>
  <c r="G892" i="7"/>
  <c r="G121" i="7"/>
  <c r="G115" i="7"/>
  <c r="G110" i="7"/>
  <c r="G102" i="7"/>
  <c r="G94" i="7"/>
  <c r="G843" i="7"/>
  <c r="G73" i="7"/>
  <c r="G62" i="7"/>
  <c r="G56" i="7"/>
  <c r="G51" i="7"/>
  <c r="G48" i="7"/>
  <c r="G789" i="7"/>
  <c r="G782" i="7"/>
  <c r="G765" i="7"/>
  <c r="G757" i="7"/>
  <c r="G30" i="7"/>
  <c r="G26" i="7"/>
  <c r="G736" i="7"/>
  <c r="G728" i="7"/>
  <c r="G722" i="7"/>
  <c r="G715" i="7"/>
  <c r="G708" i="7"/>
  <c r="G701" i="7"/>
  <c r="G690" i="7"/>
  <c r="G677" i="7"/>
  <c r="G457" i="7"/>
  <c r="G450" i="7"/>
  <c r="G444" i="7"/>
  <c r="G779" i="7"/>
  <c r="G798" i="7"/>
  <c r="G816" i="7"/>
  <c r="G441" i="7"/>
  <c r="G831" i="7"/>
  <c r="G650" i="7"/>
  <c r="G419" i="7"/>
  <c r="G837" i="7"/>
  <c r="G846" i="7"/>
  <c r="G413" i="7"/>
  <c r="G645" i="7"/>
  <c r="G406" i="7"/>
  <c r="G399" i="7"/>
  <c r="G641" i="7"/>
  <c r="G635" i="7"/>
  <c r="G322" i="7"/>
  <c r="F976" i="7"/>
  <c r="I324" i="7"/>
  <c r="I973" i="7"/>
  <c r="F324" i="7"/>
  <c r="F313" i="7"/>
  <c r="F975" i="7"/>
  <c r="F323" i="7"/>
  <c r="I976" i="7"/>
  <c r="I974" i="7"/>
  <c r="I323" i="7"/>
  <c r="F774" i="7"/>
  <c r="F322" i="7"/>
  <c r="F973" i="7"/>
  <c r="I975" i="7"/>
  <c r="I325" i="7"/>
  <c r="I322"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883" i="7" l="1"/>
  <c r="I883" i="7"/>
  <c r="H635" i="7"/>
  <c r="I635" i="7"/>
  <c r="H636" i="7"/>
  <c r="I636" i="7"/>
  <c r="H878" i="7"/>
  <c r="I878" i="7"/>
  <c r="H874" i="7"/>
  <c r="I874" i="7"/>
  <c r="H381" i="7"/>
  <c r="I381" i="7"/>
  <c r="H382" i="7"/>
  <c r="I382" i="7"/>
  <c r="H383" i="7"/>
  <c r="D20" i="20" s="1"/>
  <c r="J20" i="20" s="1"/>
  <c r="I383" i="7"/>
  <c r="H873" i="7"/>
  <c r="I873" i="7"/>
  <c r="H872" i="7"/>
  <c r="I872" i="7"/>
  <c r="H6" i="7"/>
  <c r="I6" i="7"/>
  <c r="H871" i="7"/>
  <c r="I871" i="7"/>
  <c r="H870" i="7"/>
  <c r="I870" i="7"/>
  <c r="H385" i="7"/>
  <c r="I385" i="7"/>
  <c r="H869" i="7"/>
  <c r="I869" i="7"/>
  <c r="H868" i="7"/>
  <c r="I868" i="7"/>
  <c r="H867" i="7"/>
  <c r="I867" i="7"/>
  <c r="H7" i="7"/>
  <c r="I7" i="7"/>
  <c r="H639" i="7"/>
  <c r="I639" i="7"/>
  <c r="H866" i="7"/>
  <c r="I866" i="7"/>
  <c r="H640" i="7"/>
  <c r="I640" i="7"/>
  <c r="H389" i="7"/>
  <c r="I389" i="7"/>
  <c r="H390" i="7"/>
  <c r="I390" i="7"/>
  <c r="H391" i="7"/>
  <c r="I391" i="7"/>
  <c r="H392" i="7"/>
  <c r="I392" i="7"/>
  <c r="H641" i="7"/>
  <c r="I641" i="7"/>
  <c r="H393" i="7"/>
  <c r="I393" i="7"/>
  <c r="H394" i="7"/>
  <c r="I394" i="7"/>
  <c r="H395" i="7"/>
  <c r="I395" i="7"/>
  <c r="H642" i="7"/>
  <c r="I642" i="7"/>
  <c r="H396" i="7"/>
  <c r="I396" i="7"/>
  <c r="H397" i="7"/>
  <c r="I397" i="7"/>
  <c r="H643" i="7"/>
  <c r="I643" i="7"/>
  <c r="H399" i="7"/>
  <c r="I399" i="7"/>
  <c r="H400" i="7"/>
  <c r="I400" i="7"/>
  <c r="H401" i="7"/>
  <c r="I401" i="7"/>
  <c r="H402" i="7"/>
  <c r="I402" i="7"/>
  <c r="H403" i="7"/>
  <c r="I403" i="7"/>
  <c r="H404" i="7"/>
  <c r="I404" i="7"/>
  <c r="H864" i="7"/>
  <c r="I864" i="7"/>
  <c r="H405" i="7"/>
  <c r="I405" i="7"/>
  <c r="H406" i="7"/>
  <c r="I406" i="7"/>
  <c r="H407" i="7"/>
  <c r="I407" i="7"/>
  <c r="H863" i="7"/>
  <c r="I863" i="7"/>
  <c r="H862" i="7"/>
  <c r="I862" i="7"/>
  <c r="H408" i="7"/>
  <c r="I408" i="7"/>
  <c r="H861" i="7"/>
  <c r="I861" i="7"/>
  <c r="H860" i="7"/>
  <c r="Q536" i="4" s="1"/>
  <c r="BF536" i="4" s="1"/>
  <c r="I860" i="7"/>
  <c r="H644" i="7"/>
  <c r="I644" i="7"/>
  <c r="H645" i="7"/>
  <c r="I645" i="7"/>
  <c r="H858" i="7"/>
  <c r="I858" i="7"/>
  <c r="H857" i="7"/>
  <c r="I857" i="7"/>
  <c r="H856" i="7"/>
  <c r="I856" i="7"/>
  <c r="H8" i="7"/>
  <c r="I8" i="7"/>
  <c r="H647" i="7"/>
  <c r="I647" i="7"/>
  <c r="H411" i="7"/>
  <c r="I411" i="7"/>
  <c r="H412" i="7"/>
  <c r="I412" i="7"/>
  <c r="H413" i="7"/>
  <c r="I413" i="7"/>
  <c r="H855" i="7"/>
  <c r="I855" i="7"/>
  <c r="H854" i="7"/>
  <c r="I854" i="7"/>
  <c r="H853" i="7"/>
  <c r="I853" i="7"/>
  <c r="H851" i="7"/>
  <c r="I851" i="7"/>
  <c r="H850" i="7"/>
  <c r="I850" i="7"/>
  <c r="H849" i="7"/>
  <c r="I849" i="7"/>
  <c r="H848" i="7"/>
  <c r="I848" i="7"/>
  <c r="H846" i="7"/>
  <c r="I846" i="7"/>
  <c r="H845" i="7"/>
  <c r="I845" i="7"/>
  <c r="H844" i="7"/>
  <c r="I844" i="7"/>
  <c r="H842" i="7"/>
  <c r="I842" i="7"/>
  <c r="H841" i="7"/>
  <c r="I841" i="7"/>
  <c r="H840" i="7"/>
  <c r="I840" i="7"/>
  <c r="H839" i="7"/>
  <c r="AP522" i="4" s="1"/>
  <c r="I839" i="7"/>
  <c r="H838" i="7"/>
  <c r="I838" i="7"/>
  <c r="H837" i="7"/>
  <c r="I837" i="7"/>
  <c r="H836" i="7"/>
  <c r="I836" i="7"/>
  <c r="H835" i="7"/>
  <c r="I835" i="7"/>
  <c r="H414" i="7"/>
  <c r="I414" i="7"/>
  <c r="H415" i="7"/>
  <c r="I415" i="7"/>
  <c r="H416" i="7"/>
  <c r="I416" i="7"/>
  <c r="H648" i="7"/>
  <c r="I648" i="7"/>
  <c r="H418" i="7"/>
  <c r="I418" i="7"/>
  <c r="H419" i="7"/>
  <c r="I419" i="7"/>
  <c r="H420" i="7"/>
  <c r="I420" i="7"/>
  <c r="H421" i="7"/>
  <c r="I421" i="7"/>
  <c r="H422" i="7"/>
  <c r="I422" i="7"/>
  <c r="H423" i="7"/>
  <c r="I423" i="7"/>
  <c r="H424" i="7"/>
  <c r="I424" i="7"/>
  <c r="H649" i="7"/>
  <c r="I649" i="7"/>
  <c r="H426" i="7"/>
  <c r="I426" i="7"/>
  <c r="H650" i="7"/>
  <c r="I650" i="7"/>
  <c r="H651" i="7"/>
  <c r="I651" i="7"/>
  <c r="H428" i="7"/>
  <c r="I428" i="7"/>
  <c r="H429" i="7"/>
  <c r="I429" i="7"/>
  <c r="H652" i="7"/>
  <c r="I652" i="7"/>
  <c r="H430" i="7"/>
  <c r="I430" i="7"/>
  <c r="H834" i="7"/>
  <c r="I834" i="7"/>
  <c r="H431" i="7"/>
  <c r="I431" i="7"/>
  <c r="H432" i="7"/>
  <c r="I432" i="7"/>
  <c r="H433" i="7"/>
  <c r="I433" i="7"/>
  <c r="H434" i="7"/>
  <c r="I434" i="7"/>
  <c r="H435" i="7"/>
  <c r="I435" i="7"/>
  <c r="H832" i="7"/>
  <c r="I832" i="7"/>
  <c r="H9" i="7"/>
  <c r="I9" i="7"/>
  <c r="H437" i="7"/>
  <c r="I437" i="7"/>
  <c r="H438" i="7"/>
  <c r="I438" i="7"/>
  <c r="H831" i="7"/>
  <c r="I831" i="7"/>
  <c r="H439" i="7"/>
  <c r="I439" i="7"/>
  <c r="H440" i="7"/>
  <c r="I440" i="7"/>
  <c r="H830" i="7"/>
  <c r="I830" i="7"/>
  <c r="H10" i="7"/>
  <c r="I10" i="7"/>
  <c r="H826" i="7"/>
  <c r="I826" i="7"/>
  <c r="H655" i="7"/>
  <c r="I655" i="7"/>
  <c r="H822" i="7"/>
  <c r="I822" i="7"/>
  <c r="H441" i="7"/>
  <c r="I441" i="7"/>
  <c r="H821" i="7"/>
  <c r="I821" i="7"/>
  <c r="H11" i="7"/>
  <c r="I11" i="7"/>
  <c r="H657" i="7"/>
  <c r="I657" i="7"/>
  <c r="H658" i="7"/>
  <c r="I658" i="7"/>
  <c r="H818" i="7"/>
  <c r="I818" i="7"/>
  <c r="H659" i="7"/>
  <c r="I659" i="7"/>
  <c r="H660" i="7"/>
  <c r="I660" i="7"/>
  <c r="H816" i="7"/>
  <c r="I816" i="7"/>
  <c r="H12" i="7"/>
  <c r="I12" i="7"/>
  <c r="H812" i="7"/>
  <c r="I812" i="7"/>
  <c r="H662" i="7"/>
  <c r="I662" i="7"/>
  <c r="H807" i="7"/>
  <c r="I807" i="7"/>
  <c r="H663" i="7"/>
  <c r="I663" i="7"/>
  <c r="H805" i="7"/>
  <c r="I805" i="7"/>
  <c r="H664" i="7"/>
  <c r="I664" i="7"/>
  <c r="H798" i="7"/>
  <c r="I798" i="7"/>
  <c r="H797" i="7"/>
  <c r="I797" i="7"/>
  <c r="H796" i="7"/>
  <c r="I796" i="7"/>
  <c r="H795" i="7"/>
  <c r="I795" i="7"/>
  <c r="H794" i="7"/>
  <c r="I794" i="7"/>
  <c r="H793" i="7"/>
  <c r="I793" i="7"/>
  <c r="H787" i="7"/>
  <c r="I787" i="7"/>
  <c r="H784" i="7"/>
  <c r="I784" i="7"/>
  <c r="H779" i="7"/>
  <c r="I779" i="7"/>
  <c r="H778" i="7"/>
  <c r="I778" i="7"/>
  <c r="H13" i="7"/>
  <c r="I13" i="7"/>
  <c r="H772" i="7"/>
  <c r="I772" i="7"/>
  <c r="H769" i="7"/>
  <c r="I769" i="7"/>
  <c r="H665" i="7"/>
  <c r="I665" i="7"/>
  <c r="H442" i="7"/>
  <c r="I442" i="7"/>
  <c r="H443" i="7"/>
  <c r="I443" i="7"/>
  <c r="H444" i="7"/>
  <c r="I444" i="7"/>
  <c r="H666" i="7"/>
  <c r="I666" i="7"/>
  <c r="H756" i="7"/>
  <c r="I756" i="7"/>
  <c r="H14" i="7"/>
  <c r="I14" i="7"/>
  <c r="H668" i="7"/>
  <c r="I668" i="7"/>
  <c r="H447" i="7"/>
  <c r="I447" i="7"/>
  <c r="H448" i="7"/>
  <c r="I448" i="7"/>
  <c r="H449" i="7"/>
  <c r="I449" i="7"/>
  <c r="H450" i="7"/>
  <c r="I450" i="7"/>
  <c r="H669" i="7"/>
  <c r="I669" i="7"/>
  <c r="H452" i="7"/>
  <c r="I452" i="7"/>
  <c r="H453" i="7"/>
  <c r="I453" i="7"/>
  <c r="H670" i="7"/>
  <c r="I670" i="7"/>
  <c r="H454" i="7"/>
  <c r="I454" i="7"/>
  <c r="H455" i="7"/>
  <c r="I455" i="7"/>
  <c r="H456" i="7"/>
  <c r="I456" i="7"/>
  <c r="H457" i="7"/>
  <c r="I457" i="7"/>
  <c r="H671" i="7"/>
  <c r="I671" i="7"/>
  <c r="H672" i="7"/>
  <c r="I672" i="7"/>
  <c r="H673" i="7"/>
  <c r="I673" i="7"/>
  <c r="H674" i="7"/>
  <c r="I674" i="7"/>
  <c r="H675" i="7"/>
  <c r="I675" i="7"/>
  <c r="H676" i="7"/>
  <c r="I676" i="7"/>
  <c r="H677" i="7"/>
  <c r="I677" i="7"/>
  <c r="H678" i="7"/>
  <c r="I678" i="7"/>
  <c r="H679" i="7"/>
  <c r="I679" i="7"/>
  <c r="H680" i="7"/>
  <c r="I680" i="7"/>
  <c r="H681" i="7"/>
  <c r="I681" i="7"/>
  <c r="H682" i="7"/>
  <c r="I682" i="7"/>
  <c r="H15" i="7"/>
  <c r="I15" i="7"/>
  <c r="H16" i="7"/>
  <c r="I16" i="7"/>
  <c r="H685" i="7"/>
  <c r="I685" i="7"/>
  <c r="H686" i="7"/>
  <c r="I686" i="7"/>
  <c r="H687" i="7"/>
  <c r="I687" i="7"/>
  <c r="H17" i="7"/>
  <c r="I17" i="7"/>
  <c r="H18" i="7"/>
  <c r="AK445" i="4" s="1"/>
  <c r="I18" i="7"/>
  <c r="H689" i="7"/>
  <c r="I689" i="7"/>
  <c r="H690" i="7"/>
  <c r="I690" i="7"/>
  <c r="H691" i="7"/>
  <c r="I691" i="7"/>
  <c r="H692" i="7"/>
  <c r="I692" i="7"/>
  <c r="H693" i="7"/>
  <c r="I693" i="7"/>
  <c r="H694" i="7"/>
  <c r="I694" i="7"/>
  <c r="H695" i="7"/>
  <c r="I695" i="7"/>
  <c r="H696" i="7"/>
  <c r="I696" i="7"/>
  <c r="H697" i="7"/>
  <c r="I697" i="7"/>
  <c r="H698" i="7"/>
  <c r="I698" i="7"/>
  <c r="H699" i="7"/>
  <c r="I699" i="7"/>
  <c r="H700" i="7"/>
  <c r="I700" i="7"/>
  <c r="H701" i="7"/>
  <c r="I701" i="7"/>
  <c r="H702" i="7"/>
  <c r="I702" i="7"/>
  <c r="H703" i="7"/>
  <c r="I703" i="7"/>
  <c r="H704" i="7"/>
  <c r="I704" i="7"/>
  <c r="H705" i="7"/>
  <c r="I705" i="7"/>
  <c r="H706" i="7"/>
  <c r="I706" i="7"/>
  <c r="H707" i="7"/>
  <c r="I707" i="7"/>
  <c r="H708" i="7"/>
  <c r="I708" i="7"/>
  <c r="H709" i="7"/>
  <c r="I709" i="7"/>
  <c r="H710" i="7"/>
  <c r="I710" i="7"/>
  <c r="H711" i="7"/>
  <c r="I711" i="7"/>
  <c r="H712" i="7"/>
  <c r="I712" i="7"/>
  <c r="H19" i="7"/>
  <c r="I19" i="7"/>
  <c r="H714" i="7"/>
  <c r="I714" i="7"/>
  <c r="H715" i="7"/>
  <c r="I715" i="7"/>
  <c r="H716" i="7"/>
  <c r="I716" i="7"/>
  <c r="H717" i="7"/>
  <c r="I717" i="7"/>
  <c r="H718" i="7"/>
  <c r="I718" i="7"/>
  <c r="H719" i="7"/>
  <c r="I719" i="7"/>
  <c r="H720" i="7"/>
  <c r="I720" i="7"/>
  <c r="H20" i="7"/>
  <c r="I20" i="7"/>
  <c r="H722" i="7"/>
  <c r="I722" i="7"/>
  <c r="H21" i="7"/>
  <c r="I21" i="7"/>
  <c r="H22" i="7"/>
  <c r="I22" i="7"/>
  <c r="H724" i="7"/>
  <c r="I724" i="7"/>
  <c r="H725" i="7"/>
  <c r="I725" i="7"/>
  <c r="H23" i="7"/>
  <c r="I23" i="7"/>
  <c r="H726" i="7"/>
  <c r="I726" i="7"/>
  <c r="H727" i="7"/>
  <c r="I727" i="7"/>
  <c r="H728" i="7"/>
  <c r="I728" i="7"/>
  <c r="H729" i="7"/>
  <c r="I729" i="7"/>
  <c r="H730" i="7"/>
  <c r="I730" i="7"/>
  <c r="H731" i="7"/>
  <c r="I731" i="7"/>
  <c r="H732" i="7"/>
  <c r="I732" i="7"/>
  <c r="H733" i="7"/>
  <c r="I733" i="7"/>
  <c r="H24" i="7"/>
  <c r="I24" i="7"/>
  <c r="H735" i="7"/>
  <c r="I735" i="7"/>
  <c r="H736" i="7"/>
  <c r="I736" i="7"/>
  <c r="H737" i="7"/>
  <c r="I737" i="7"/>
  <c r="H738" i="7"/>
  <c r="I738" i="7"/>
  <c r="H739" i="7"/>
  <c r="AK237" i="4" s="1"/>
  <c r="I739" i="7"/>
  <c r="H740" i="7"/>
  <c r="I740" i="7"/>
  <c r="H25" i="7"/>
  <c r="I25" i="7"/>
  <c r="H742" i="7"/>
  <c r="I742" i="7"/>
  <c r="H26" i="7"/>
  <c r="I26" i="7"/>
  <c r="H744" i="7"/>
  <c r="I744" i="7"/>
  <c r="H745" i="7"/>
  <c r="I745" i="7"/>
  <c r="H746" i="7"/>
  <c r="I746" i="7"/>
  <c r="H27" i="7"/>
  <c r="I27" i="7"/>
  <c r="H28" i="7"/>
  <c r="I28" i="7"/>
  <c r="H29" i="7"/>
  <c r="I29" i="7"/>
  <c r="H749" i="7"/>
  <c r="I749" i="7"/>
  <c r="H30" i="7"/>
  <c r="I30" i="7"/>
  <c r="H31" i="7"/>
  <c r="I31" i="7"/>
  <c r="H751" i="7"/>
  <c r="I751" i="7"/>
  <c r="H32" i="7"/>
  <c r="I32" i="7"/>
  <c r="H753" i="7"/>
  <c r="I753" i="7"/>
  <c r="H33" i="7"/>
  <c r="I33" i="7"/>
  <c r="H755" i="7"/>
  <c r="I755" i="7"/>
  <c r="H34" i="7"/>
  <c r="I34" i="7"/>
  <c r="H757" i="7"/>
  <c r="I757" i="7"/>
  <c r="H35" i="7"/>
  <c r="I35" i="7"/>
  <c r="H759" i="7"/>
  <c r="I759" i="7"/>
  <c r="H760" i="7"/>
  <c r="I760" i="7"/>
  <c r="H761" i="7"/>
  <c r="I761" i="7"/>
  <c r="H762" i="7"/>
  <c r="I762" i="7"/>
  <c r="H763" i="7"/>
  <c r="I763" i="7"/>
  <c r="H764" i="7"/>
  <c r="I764" i="7"/>
  <c r="H765" i="7"/>
  <c r="I765" i="7"/>
  <c r="H766" i="7"/>
  <c r="I766" i="7"/>
  <c r="H767" i="7"/>
  <c r="I767" i="7"/>
  <c r="H768" i="7"/>
  <c r="I768" i="7"/>
  <c r="H36" i="7"/>
  <c r="I36" i="7"/>
  <c r="H770" i="7"/>
  <c r="I770" i="7"/>
  <c r="H771" i="7"/>
  <c r="I771" i="7"/>
  <c r="H37" i="7"/>
  <c r="I37" i="7"/>
  <c r="H773" i="7"/>
  <c r="I773" i="7"/>
  <c r="H775" i="7"/>
  <c r="I775" i="7"/>
  <c r="H38" i="7"/>
  <c r="I38" i="7"/>
  <c r="H777" i="7"/>
  <c r="I777" i="7"/>
  <c r="H39" i="7"/>
  <c r="I39" i="7"/>
  <c r="H40" i="7"/>
  <c r="I40" i="7"/>
  <c r="H780" i="7"/>
  <c r="I780" i="7"/>
  <c r="H781" i="7"/>
  <c r="I781" i="7"/>
  <c r="H782" i="7"/>
  <c r="I782" i="7"/>
  <c r="H41" i="7"/>
  <c r="I41" i="7"/>
  <c r="H783" i="7"/>
  <c r="I783" i="7"/>
  <c r="H42" i="7"/>
  <c r="I42" i="7"/>
  <c r="H785" i="7"/>
  <c r="I785" i="7"/>
  <c r="H786" i="7"/>
  <c r="I786" i="7"/>
  <c r="H43" i="7"/>
  <c r="I43" i="7"/>
  <c r="H788" i="7"/>
  <c r="I788" i="7"/>
  <c r="H789" i="7"/>
  <c r="I789" i="7"/>
  <c r="H790" i="7"/>
  <c r="I790" i="7"/>
  <c r="H791" i="7"/>
  <c r="I791" i="7"/>
  <c r="H792" i="7"/>
  <c r="I792" i="7"/>
  <c r="H44" i="7"/>
  <c r="I44" i="7"/>
  <c r="H45" i="7"/>
  <c r="I45" i="7"/>
  <c r="H46" i="7"/>
  <c r="I46" i="7"/>
  <c r="H47" i="7"/>
  <c r="I47" i="7"/>
  <c r="H48" i="7"/>
  <c r="I48" i="7"/>
  <c r="H49" i="7"/>
  <c r="I49" i="7"/>
  <c r="H50" i="7"/>
  <c r="I50" i="7"/>
  <c r="H800" i="7"/>
  <c r="I800" i="7"/>
  <c r="H801" i="7"/>
  <c r="I801" i="7"/>
  <c r="H802" i="7"/>
  <c r="I802" i="7"/>
  <c r="H803" i="7"/>
  <c r="I803" i="7"/>
  <c r="H804" i="7"/>
  <c r="I804" i="7"/>
  <c r="H51" i="7"/>
  <c r="I51" i="7"/>
  <c r="H52" i="7"/>
  <c r="I52" i="7"/>
  <c r="H53" i="7"/>
  <c r="I53" i="7"/>
  <c r="H808" i="7"/>
  <c r="I808" i="7"/>
  <c r="H54" i="7"/>
  <c r="I54" i="7"/>
  <c r="H810" i="7"/>
  <c r="I810" i="7"/>
  <c r="H811" i="7"/>
  <c r="I811" i="7"/>
  <c r="H55" i="7"/>
  <c r="I55" i="7"/>
  <c r="H56" i="7"/>
  <c r="I56" i="7"/>
  <c r="H57" i="7"/>
  <c r="I57" i="7"/>
  <c r="H813" i="7"/>
  <c r="I813" i="7"/>
  <c r="H814" i="7"/>
  <c r="I814" i="7"/>
  <c r="H58" i="7"/>
  <c r="I58" i="7"/>
  <c r="H59" i="7"/>
  <c r="I59" i="7"/>
  <c r="H60" i="7"/>
  <c r="I60" i="7"/>
  <c r="H61" i="7"/>
  <c r="I61" i="7"/>
  <c r="H62" i="7"/>
  <c r="I62" i="7"/>
  <c r="H63" i="7"/>
  <c r="I63" i="7"/>
  <c r="H64" i="7"/>
  <c r="I64" i="7"/>
  <c r="H65" i="7"/>
  <c r="I65" i="7"/>
  <c r="H823" i="7"/>
  <c r="I823" i="7"/>
  <c r="H824" i="7"/>
  <c r="I824" i="7"/>
  <c r="H66" i="7"/>
  <c r="I66" i="7"/>
  <c r="H67" i="7"/>
  <c r="I67" i="7"/>
  <c r="H68" i="7"/>
  <c r="I68" i="7"/>
  <c r="H828" i="7"/>
  <c r="I828" i="7"/>
  <c r="H829" i="7"/>
  <c r="I829" i="7"/>
  <c r="H69" i="7"/>
  <c r="I69" i="7"/>
  <c r="H70" i="7"/>
  <c r="I70" i="7"/>
  <c r="H71" i="7"/>
  <c r="I71" i="7"/>
  <c r="H833" i="7"/>
  <c r="I833" i="7"/>
  <c r="H72" i="7"/>
  <c r="I72" i="7"/>
  <c r="H73" i="7"/>
  <c r="I73" i="7"/>
  <c r="H74" i="7"/>
  <c r="I74" i="7"/>
  <c r="H75" i="7"/>
  <c r="I75" i="7"/>
  <c r="H76" i="7"/>
  <c r="I76" i="7"/>
  <c r="H77" i="7"/>
  <c r="I77" i="7"/>
  <c r="H78" i="7"/>
  <c r="I78" i="7"/>
  <c r="H79" i="7"/>
  <c r="I79" i="7"/>
  <c r="H80" i="7"/>
  <c r="I80" i="7"/>
  <c r="H843" i="7"/>
  <c r="I843" i="7"/>
  <c r="H81" i="7"/>
  <c r="I81" i="7"/>
  <c r="H82" i="7"/>
  <c r="D88" i="20" s="1"/>
  <c r="J88" i="20" s="1"/>
  <c r="I82" i="7"/>
  <c r="H83" i="7"/>
  <c r="I83" i="7"/>
  <c r="H847" i="7"/>
  <c r="I847" i="7"/>
  <c r="H84" i="7"/>
  <c r="I84" i="7"/>
  <c r="H85" i="7"/>
  <c r="I85" i="7"/>
  <c r="H86" i="7"/>
  <c r="I86" i="7"/>
  <c r="H87" i="7"/>
  <c r="I87" i="7"/>
  <c r="H88" i="7"/>
  <c r="I88" i="7"/>
  <c r="H89" i="7"/>
  <c r="I89" i="7"/>
  <c r="H852" i="7"/>
  <c r="I852"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I113" i="7"/>
  <c r="H875" i="7"/>
  <c r="I875" i="7"/>
  <c r="H876" i="7"/>
  <c r="I876" i="7"/>
  <c r="H877" i="7"/>
  <c r="I877" i="7"/>
  <c r="H114" i="7"/>
  <c r="I114" i="7"/>
  <c r="H115" i="7"/>
  <c r="I115" i="7"/>
  <c r="H116" i="7"/>
  <c r="I116" i="7"/>
  <c r="H879" i="7"/>
  <c r="D90" i="20" s="1"/>
  <c r="J90" i="20" s="1"/>
  <c r="I879" i="7"/>
  <c r="H117" i="7"/>
  <c r="I117" i="7"/>
  <c r="H118" i="7"/>
  <c r="I118" i="7"/>
  <c r="H881" i="7"/>
  <c r="I881" i="7"/>
  <c r="H119" i="7"/>
  <c r="I119" i="7"/>
  <c r="H120" i="7"/>
  <c r="I120" i="7"/>
  <c r="H121" i="7"/>
  <c r="I121" i="7"/>
  <c r="H122" i="7"/>
  <c r="I122" i="7"/>
  <c r="H123" i="7"/>
  <c r="I123" i="7"/>
  <c r="H887" i="7"/>
  <c r="I887" i="7"/>
  <c r="H888" i="7"/>
  <c r="I888" i="7"/>
  <c r="H889" i="7"/>
  <c r="I889" i="7"/>
  <c r="H890" i="7"/>
  <c r="I890" i="7"/>
  <c r="H124" i="7"/>
  <c r="I124" i="7"/>
  <c r="H892" i="7"/>
  <c r="I892" i="7"/>
  <c r="H893" i="7"/>
  <c r="I893" i="7"/>
  <c r="H894" i="7"/>
  <c r="I894" i="7"/>
  <c r="H895" i="7"/>
  <c r="I895" i="7"/>
  <c r="H896" i="7"/>
  <c r="I896" i="7"/>
  <c r="H897" i="7"/>
  <c r="I897" i="7"/>
  <c r="H898" i="7"/>
  <c r="I898" i="7"/>
  <c r="H125" i="7"/>
  <c r="I125" i="7"/>
  <c r="H900" i="7"/>
  <c r="I900" i="7"/>
  <c r="H126" i="7"/>
  <c r="I126" i="7"/>
  <c r="H127" i="7"/>
  <c r="I127" i="7"/>
  <c r="H128" i="7"/>
  <c r="I128" i="7"/>
  <c r="H129" i="7"/>
  <c r="I129" i="7"/>
  <c r="H130" i="7"/>
  <c r="I130" i="7"/>
  <c r="H131" i="7"/>
  <c r="I131" i="7"/>
  <c r="H132" i="7"/>
  <c r="I132" i="7"/>
  <c r="H134" i="7"/>
  <c r="I134" i="7"/>
  <c r="H135" i="7"/>
  <c r="I135" i="7"/>
  <c r="H136" i="7"/>
  <c r="I136" i="7"/>
  <c r="H137" i="7"/>
  <c r="I137" i="7"/>
  <c r="H138" i="7"/>
  <c r="I138" i="7"/>
  <c r="H139" i="7"/>
  <c r="I139" i="7"/>
  <c r="H140" i="7"/>
  <c r="I140" i="7"/>
  <c r="H141" i="7"/>
  <c r="I141" i="7"/>
  <c r="H142" i="7"/>
  <c r="I142" i="7"/>
  <c r="H143" i="7"/>
  <c r="I143" i="7"/>
  <c r="H144" i="7"/>
  <c r="I144" i="7"/>
  <c r="H145" i="7"/>
  <c r="I145" i="7"/>
  <c r="H146" i="7"/>
  <c r="I146" i="7"/>
  <c r="H147" i="7"/>
  <c r="I147" i="7"/>
  <c r="H148" i="7"/>
  <c r="I148" i="7"/>
  <c r="H149" i="7"/>
  <c r="I149" i="7"/>
  <c r="H150" i="7"/>
  <c r="I150" i="7"/>
  <c r="H151" i="7"/>
  <c r="I151" i="7"/>
  <c r="H152" i="7"/>
  <c r="I152" i="7"/>
  <c r="H153" i="7"/>
  <c r="I153" i="7"/>
  <c r="H154" i="7"/>
  <c r="I154" i="7"/>
  <c r="H155" i="7"/>
  <c r="I155" i="7"/>
  <c r="H156" i="7"/>
  <c r="I156" i="7"/>
  <c r="H157" i="7"/>
  <c r="I157" i="7"/>
  <c r="H915" i="7"/>
  <c r="I915" i="7"/>
  <c r="H158" i="7"/>
  <c r="I158" i="7"/>
  <c r="H917" i="7"/>
  <c r="I917" i="7"/>
  <c r="H918" i="7"/>
  <c r="I918" i="7"/>
  <c r="H919" i="7"/>
  <c r="I919" i="7"/>
  <c r="H920" i="7"/>
  <c r="I920" i="7"/>
  <c r="H159" i="7"/>
  <c r="I159" i="7"/>
  <c r="H160" i="7"/>
  <c r="I160" i="7"/>
  <c r="H923" i="7"/>
  <c r="I923" i="7"/>
  <c r="H924" i="7"/>
  <c r="I924" i="7"/>
  <c r="H925" i="7"/>
  <c r="I925" i="7"/>
  <c r="H926" i="7"/>
  <c r="I926" i="7"/>
  <c r="H927" i="7"/>
  <c r="I927" i="7"/>
  <c r="H161" i="7"/>
  <c r="I161" i="7"/>
  <c r="H162" i="7"/>
  <c r="I162" i="7"/>
  <c r="H930" i="7"/>
  <c r="I930" i="7"/>
  <c r="H931" i="7"/>
  <c r="I931" i="7"/>
  <c r="H932" i="7"/>
  <c r="I932" i="7"/>
  <c r="H933" i="7"/>
  <c r="I933" i="7"/>
  <c r="H163" i="7"/>
  <c r="I163" i="7"/>
  <c r="H164" i="7"/>
  <c r="I164" i="7"/>
  <c r="H165" i="7"/>
  <c r="I165" i="7"/>
  <c r="H166" i="7"/>
  <c r="I166" i="7"/>
  <c r="H167" i="7"/>
  <c r="I167" i="7"/>
  <c r="H168" i="7"/>
  <c r="I168" i="7"/>
  <c r="H169" i="7"/>
  <c r="I169" i="7"/>
  <c r="H170" i="7"/>
  <c r="I170" i="7"/>
  <c r="H171" i="7"/>
  <c r="I171" i="7"/>
  <c r="H172" i="7"/>
  <c r="I172" i="7"/>
  <c r="H173" i="7"/>
  <c r="I173" i="7"/>
  <c r="H174" i="7"/>
  <c r="I174" i="7"/>
  <c r="H175" i="7"/>
  <c r="I175" i="7"/>
  <c r="H176" i="7"/>
  <c r="I176" i="7"/>
  <c r="H946" i="7"/>
  <c r="I946" i="7"/>
  <c r="H177" i="7"/>
  <c r="I177" i="7"/>
  <c r="H178" i="7"/>
  <c r="I178" i="7"/>
  <c r="H179" i="7"/>
  <c r="I179" i="7"/>
  <c r="H180" i="7"/>
  <c r="I180" i="7"/>
  <c r="H181" i="7"/>
  <c r="I181" i="7"/>
  <c r="H182" i="7"/>
  <c r="I182" i="7"/>
  <c r="H183" i="7"/>
  <c r="I183" i="7"/>
  <c r="H184" i="7"/>
  <c r="I184" i="7"/>
  <c r="H185" i="7"/>
  <c r="I185" i="7"/>
  <c r="H186" i="7"/>
  <c r="I186" i="7"/>
  <c r="H957" i="7"/>
  <c r="I957" i="7"/>
  <c r="H187" i="7"/>
  <c r="I187" i="7"/>
  <c r="H188" i="7"/>
  <c r="I188" i="7"/>
  <c r="H189" i="7"/>
  <c r="I189" i="7"/>
  <c r="H190" i="7"/>
  <c r="I190" i="7"/>
  <c r="H191" i="7"/>
  <c r="I191" i="7"/>
  <c r="H192" i="7"/>
  <c r="I192" i="7"/>
  <c r="H964" i="7"/>
  <c r="I964" i="7"/>
  <c r="H193" i="7"/>
  <c r="I193" i="7"/>
  <c r="H194" i="7"/>
  <c r="I194" i="7"/>
  <c r="H195" i="7"/>
  <c r="I195" i="7"/>
  <c r="H196" i="7"/>
  <c r="I196" i="7"/>
  <c r="H197" i="7"/>
  <c r="I197" i="7"/>
  <c r="H198" i="7"/>
  <c r="I198" i="7"/>
  <c r="H199" i="7"/>
  <c r="I199" i="7"/>
  <c r="H200" i="7"/>
  <c r="I200" i="7"/>
  <c r="H201" i="7"/>
  <c r="I201" i="7"/>
  <c r="H202" i="7"/>
  <c r="I202" i="7"/>
  <c r="H203" i="7"/>
  <c r="I203" i="7"/>
  <c r="H204" i="7"/>
  <c r="I204" i="7"/>
  <c r="H205" i="7"/>
  <c r="I205" i="7"/>
  <c r="H206" i="7"/>
  <c r="I206" i="7"/>
  <c r="H207" i="7"/>
  <c r="I207" i="7"/>
  <c r="H208" i="7"/>
  <c r="I208" i="7"/>
  <c r="H209" i="7"/>
  <c r="I209" i="7"/>
  <c r="H210" i="7"/>
  <c r="I210" i="7"/>
  <c r="H211" i="7"/>
  <c r="I211" i="7"/>
  <c r="H212" i="7"/>
  <c r="I212" i="7"/>
  <c r="H213" i="7"/>
  <c r="I213" i="7"/>
  <c r="H214" i="7"/>
  <c r="I214" i="7"/>
  <c r="H215" i="7"/>
  <c r="I215" i="7"/>
  <c r="H216" i="7"/>
  <c r="I216" i="7"/>
  <c r="H217" i="7"/>
  <c r="I217" i="7"/>
  <c r="H218" i="7"/>
  <c r="I218" i="7"/>
  <c r="H219" i="7"/>
  <c r="I219" i="7"/>
  <c r="H220" i="7"/>
  <c r="I220" i="7"/>
  <c r="H221" i="7"/>
  <c r="I221" i="7"/>
  <c r="H222" i="7"/>
  <c r="I222" i="7"/>
  <c r="H223" i="7"/>
  <c r="I223" i="7"/>
  <c r="H224" i="7"/>
  <c r="I224" i="7"/>
  <c r="H225" i="7"/>
  <c r="I225" i="7"/>
  <c r="H226" i="7"/>
  <c r="I226" i="7"/>
  <c r="H227" i="7"/>
  <c r="I227" i="7"/>
  <c r="H228" i="7"/>
  <c r="I228" i="7"/>
  <c r="H229" i="7"/>
  <c r="I229" i="7"/>
  <c r="H230" i="7"/>
  <c r="I230" i="7"/>
  <c r="H231" i="7"/>
  <c r="I231" i="7"/>
  <c r="H232" i="7"/>
  <c r="I232" i="7"/>
  <c r="H233" i="7"/>
  <c r="I233" i="7"/>
  <c r="H882" i="7"/>
  <c r="I882" i="7"/>
  <c r="H234" i="7"/>
  <c r="I234" i="7"/>
  <c r="H235" i="7"/>
  <c r="I235" i="7"/>
  <c r="H236" i="7"/>
  <c r="I236" i="7"/>
  <c r="H237" i="7"/>
  <c r="I237" i="7"/>
  <c r="H238" i="7"/>
  <c r="I238" i="7"/>
  <c r="H239" i="7"/>
  <c r="I239" i="7"/>
  <c r="H983" i="7"/>
  <c r="I983" i="7"/>
  <c r="H240" i="7"/>
  <c r="I240" i="7"/>
  <c r="H985" i="7"/>
  <c r="D60" i="20" s="1"/>
  <c r="J60" i="20" s="1"/>
  <c r="I985" i="7"/>
  <c r="H241" i="7"/>
  <c r="D61" i="20" s="1"/>
  <c r="J61" i="20" s="1"/>
  <c r="I241" i="7"/>
  <c r="H242" i="7"/>
  <c r="D91" i="20" s="1"/>
  <c r="J91" i="20" s="1"/>
  <c r="I242" i="7"/>
  <c r="H243" i="7"/>
  <c r="I243" i="7"/>
  <c r="H244" i="7"/>
  <c r="I244" i="7"/>
  <c r="H245" i="7"/>
  <c r="J26" i="20" s="1"/>
  <c r="I245" i="7"/>
  <c r="H246" i="7"/>
  <c r="I246" i="7"/>
  <c r="H247" i="7"/>
  <c r="I247" i="7"/>
  <c r="H248" i="7"/>
  <c r="I248" i="7"/>
  <c r="H880" i="7"/>
  <c r="Q334" i="4" s="1"/>
  <c r="BF334" i="4" s="1"/>
  <c r="I880" i="7"/>
  <c r="H249" i="7"/>
  <c r="I249" i="7"/>
  <c r="H250" i="7"/>
  <c r="I250" i="7"/>
  <c r="H251" i="7"/>
  <c r="I251" i="7"/>
  <c r="H252" i="7"/>
  <c r="I252" i="7"/>
  <c r="H253" i="7"/>
  <c r="I253" i="7"/>
  <c r="H254" i="7"/>
  <c r="I254" i="7"/>
  <c r="H255" i="7"/>
  <c r="I255" i="7"/>
  <c r="H256" i="7"/>
  <c r="I256" i="7"/>
  <c r="H257" i="7"/>
  <c r="I257" i="7"/>
  <c r="H258" i="7"/>
  <c r="I258" i="7"/>
  <c r="D92" i="20"/>
  <c r="J92" i="20" s="1"/>
  <c r="H259" i="7"/>
  <c r="I259" i="7"/>
  <c r="D62" i="20"/>
  <c r="J62" i="20" s="1"/>
  <c r="D63" i="20"/>
  <c r="J63" i="20" s="1"/>
  <c r="J27" i="20"/>
  <c r="H384" i="7"/>
  <c r="I384" i="7"/>
  <c r="H386" i="7"/>
  <c r="I386" i="7"/>
  <c r="H387" i="7"/>
  <c r="I387" i="7"/>
  <c r="H752" i="7"/>
  <c r="I752" i="7"/>
  <c r="H451" i="7"/>
  <c r="I451" i="7"/>
  <c r="H446" i="7"/>
  <c r="I446" i="7"/>
  <c r="H754" i="7"/>
  <c r="I754" i="7"/>
  <c r="H445" i="7"/>
  <c r="I445" i="7"/>
  <c r="H758" i="7"/>
  <c r="I758" i="7"/>
  <c r="H776" i="7"/>
  <c r="I776" i="7"/>
  <c r="H799" i="7"/>
  <c r="I799" i="7"/>
  <c r="H806" i="7"/>
  <c r="I806" i="7"/>
  <c r="H260" i="7"/>
  <c r="I260" i="7"/>
  <c r="H261" i="7"/>
  <c r="I261" i="7"/>
  <c r="H262" i="7"/>
  <c r="I262" i="7"/>
  <c r="H263" i="7"/>
  <c r="I263" i="7"/>
  <c r="H809" i="7"/>
  <c r="I809" i="7"/>
  <c r="H815" i="7"/>
  <c r="I815" i="7"/>
  <c r="H264" i="7"/>
  <c r="I264" i="7"/>
  <c r="H265" i="7"/>
  <c r="I265" i="7"/>
  <c r="H266" i="7"/>
  <c r="I266" i="7"/>
  <c r="H267" i="7"/>
  <c r="I267" i="7"/>
  <c r="H268" i="7"/>
  <c r="I268" i="7"/>
  <c r="H269" i="7"/>
  <c r="I269" i="7"/>
  <c r="H270" i="7"/>
  <c r="I270" i="7"/>
  <c r="H271" i="7"/>
  <c r="I271" i="7"/>
  <c r="H817" i="7"/>
  <c r="I817" i="7"/>
  <c r="H272" i="7"/>
  <c r="I272" i="7"/>
  <c r="H273" i="7"/>
  <c r="I273" i="7"/>
  <c r="H274" i="7"/>
  <c r="I274" i="7"/>
  <c r="H275" i="7"/>
  <c r="I275" i="7"/>
  <c r="H276" i="7"/>
  <c r="I276" i="7"/>
  <c r="H277" i="7"/>
  <c r="I277" i="7"/>
  <c r="H278" i="7"/>
  <c r="I278" i="7"/>
  <c r="H819" i="7"/>
  <c r="I819" i="7"/>
  <c r="H279" i="7"/>
  <c r="I279" i="7"/>
  <c r="H280" i="7"/>
  <c r="I280" i="7"/>
  <c r="H281" i="7"/>
  <c r="I281" i="7"/>
  <c r="H282" i="7"/>
  <c r="I282" i="7"/>
  <c r="H820" i="7"/>
  <c r="I820" i="7"/>
  <c r="H283" i="7"/>
  <c r="I283" i="7"/>
  <c r="H284" i="7"/>
  <c r="I284" i="7"/>
  <c r="H825" i="7"/>
  <c r="I825" i="7"/>
  <c r="H827" i="7"/>
  <c r="I827" i="7"/>
  <c r="H436" i="7"/>
  <c r="I436" i="7"/>
  <c r="H285" i="7"/>
  <c r="I285" i="7"/>
  <c r="H286" i="7"/>
  <c r="I286" i="7"/>
  <c r="H287" i="7"/>
  <c r="I287" i="7"/>
  <c r="H288" i="7"/>
  <c r="I288" i="7"/>
  <c r="H289" i="7"/>
  <c r="I289" i="7"/>
  <c r="H427" i="7"/>
  <c r="I427" i="7"/>
  <c r="H425" i="7"/>
  <c r="I425" i="7"/>
  <c r="H290" i="7"/>
  <c r="I290" i="7"/>
  <c r="H291" i="7"/>
  <c r="I291" i="7"/>
  <c r="H417" i="7"/>
  <c r="I417" i="7"/>
  <c r="H410" i="7"/>
  <c r="I410" i="7"/>
  <c r="H292" i="7"/>
  <c r="I292" i="7"/>
  <c r="H293" i="7"/>
  <c r="I293" i="7"/>
  <c r="H294" i="7"/>
  <c r="I294" i="7"/>
  <c r="H295" i="7"/>
  <c r="I295" i="7"/>
  <c r="H296" i="7"/>
  <c r="I296" i="7"/>
  <c r="H297" i="7"/>
  <c r="I297" i="7"/>
  <c r="H298" i="7"/>
  <c r="I298" i="7"/>
  <c r="H299" i="7"/>
  <c r="I299" i="7"/>
  <c r="H300" i="7"/>
  <c r="I300" i="7"/>
  <c r="H301" i="7"/>
  <c r="I301" i="7"/>
  <c r="H987" i="7"/>
  <c r="I987" i="7"/>
  <c r="H986" i="7"/>
  <c r="I986" i="7"/>
  <c r="H984" i="7"/>
  <c r="I984" i="7"/>
  <c r="H982" i="7"/>
  <c r="I982" i="7"/>
  <c r="H981" i="7"/>
  <c r="I981" i="7"/>
  <c r="H980" i="7"/>
  <c r="I980" i="7"/>
  <c r="H302" i="7"/>
  <c r="I302" i="7"/>
  <c r="H303" i="7"/>
  <c r="I303" i="7"/>
  <c r="H304" i="7"/>
  <c r="I304" i="7"/>
  <c r="H979" i="7"/>
  <c r="I979" i="7"/>
  <c r="H305" i="7"/>
  <c r="I305" i="7"/>
  <c r="H306" i="7"/>
  <c r="I306" i="7"/>
  <c r="H307" i="7"/>
  <c r="I307" i="7"/>
  <c r="H308" i="7"/>
  <c r="I308" i="7"/>
  <c r="H309" i="7"/>
  <c r="I309" i="7"/>
  <c r="H310" i="7"/>
  <c r="I310" i="7"/>
  <c r="H311" i="7"/>
  <c r="I311" i="7"/>
  <c r="H978" i="7"/>
  <c r="I978" i="7"/>
  <c r="H312" i="7"/>
  <c r="I312" i="7"/>
  <c r="H977" i="7"/>
  <c r="D94" i="20" s="1"/>
  <c r="J94" i="20" s="1"/>
  <c r="I977" i="7"/>
  <c r="H409" i="7"/>
  <c r="I409" i="7"/>
  <c r="H859" i="7"/>
  <c r="AU549" i="4" s="1"/>
  <c r="I859" i="7"/>
  <c r="H398" i="7"/>
  <c r="I398" i="7"/>
  <c r="H865" i="7"/>
  <c r="I865" i="7"/>
  <c r="H314" i="7"/>
  <c r="I314" i="7"/>
  <c r="F883" i="7"/>
  <c r="F635" i="7"/>
  <c r="F636" i="7"/>
  <c r="F878" i="7"/>
  <c r="F874" i="7"/>
  <c r="F381" i="7"/>
  <c r="F382" i="7"/>
  <c r="F383" i="7"/>
  <c r="F873" i="7"/>
  <c r="F872" i="7"/>
  <c r="F6" i="7"/>
  <c r="F871" i="7"/>
  <c r="F870" i="7"/>
  <c r="F385" i="7"/>
  <c r="F869" i="7"/>
  <c r="F868" i="7"/>
  <c r="F867" i="7"/>
  <c r="F7" i="7"/>
  <c r="F639" i="7"/>
  <c r="F866" i="7"/>
  <c r="F640" i="7"/>
  <c r="F389" i="7"/>
  <c r="F390" i="7"/>
  <c r="F391" i="7"/>
  <c r="F392" i="7"/>
  <c r="F641" i="7"/>
  <c r="F393" i="7"/>
  <c r="F394" i="7"/>
  <c r="F395" i="7"/>
  <c r="F642" i="7"/>
  <c r="F396" i="7"/>
  <c r="F397" i="7"/>
  <c r="F643" i="7"/>
  <c r="F399" i="7"/>
  <c r="F400" i="7"/>
  <c r="F401" i="7"/>
  <c r="F402" i="7"/>
  <c r="F403" i="7"/>
  <c r="F404" i="7"/>
  <c r="F864" i="7"/>
  <c r="F405" i="7"/>
  <c r="F406" i="7"/>
  <c r="F407" i="7"/>
  <c r="F863" i="7"/>
  <c r="F862" i="7"/>
  <c r="F408" i="7"/>
  <c r="F861" i="7"/>
  <c r="F860" i="7"/>
  <c r="F644" i="7"/>
  <c r="F645" i="7"/>
  <c r="F858" i="7"/>
  <c r="F857" i="7"/>
  <c r="F856" i="7"/>
  <c r="F8" i="7"/>
  <c r="F647" i="7"/>
  <c r="F411" i="7"/>
  <c r="F412" i="7"/>
  <c r="F413" i="7"/>
  <c r="F855" i="7"/>
  <c r="F854" i="7"/>
  <c r="F853" i="7"/>
  <c r="F851" i="7"/>
  <c r="F850" i="7"/>
  <c r="F849" i="7"/>
  <c r="F848" i="7"/>
  <c r="F846" i="7"/>
  <c r="F845" i="7"/>
  <c r="F844" i="7"/>
  <c r="F842" i="7"/>
  <c r="F841" i="7"/>
  <c r="F840" i="7"/>
  <c r="F839" i="7"/>
  <c r="F838" i="7"/>
  <c r="F837" i="7"/>
  <c r="F836" i="7"/>
  <c r="F835" i="7"/>
  <c r="F414" i="7"/>
  <c r="F415" i="7"/>
  <c r="F416" i="7"/>
  <c r="F648" i="7"/>
  <c r="F418" i="7"/>
  <c r="F419" i="7"/>
  <c r="F420" i="7"/>
  <c r="F421" i="7"/>
  <c r="F422" i="7"/>
  <c r="F423" i="7"/>
  <c r="F424" i="7"/>
  <c r="F649" i="7"/>
  <c r="F426" i="7"/>
  <c r="F650" i="7"/>
  <c r="F651" i="7"/>
  <c r="F428" i="7"/>
  <c r="F429" i="7"/>
  <c r="F652" i="7"/>
  <c r="F430" i="7"/>
  <c r="F834" i="7"/>
  <c r="F431" i="7"/>
  <c r="F432" i="7"/>
  <c r="F433" i="7"/>
  <c r="F434" i="7"/>
  <c r="F435" i="7"/>
  <c r="F832" i="7"/>
  <c r="F9" i="7"/>
  <c r="F437" i="7"/>
  <c r="F438" i="7"/>
  <c r="F831" i="7"/>
  <c r="F439" i="7"/>
  <c r="F440" i="7"/>
  <c r="F830" i="7"/>
  <c r="F10" i="7"/>
  <c r="F826" i="7"/>
  <c r="F655" i="7"/>
  <c r="F822" i="7"/>
  <c r="F441" i="7"/>
  <c r="F821" i="7"/>
  <c r="F11" i="7"/>
  <c r="F657" i="7"/>
  <c r="F658" i="7"/>
  <c r="F818" i="7"/>
  <c r="F659" i="7"/>
  <c r="F660" i="7"/>
  <c r="F816" i="7"/>
  <c r="F12" i="7"/>
  <c r="F812" i="7"/>
  <c r="F662" i="7"/>
  <c r="F807" i="7"/>
  <c r="F663" i="7"/>
  <c r="F805" i="7"/>
  <c r="F664" i="7"/>
  <c r="F798" i="7"/>
  <c r="F797" i="7"/>
  <c r="F796" i="7"/>
  <c r="F795" i="7"/>
  <c r="F794" i="7"/>
  <c r="F793" i="7"/>
  <c r="F787" i="7"/>
  <c r="F784" i="7"/>
  <c r="F779" i="7"/>
  <c r="F778" i="7"/>
  <c r="F13" i="7"/>
  <c r="F772" i="7"/>
  <c r="F769" i="7"/>
  <c r="F665" i="7"/>
  <c r="F442" i="7"/>
  <c r="F443" i="7"/>
  <c r="F444" i="7"/>
  <c r="F666" i="7"/>
  <c r="F756" i="7"/>
  <c r="F14" i="7"/>
  <c r="F668" i="7"/>
  <c r="F447" i="7"/>
  <c r="F448" i="7"/>
  <c r="F449" i="7"/>
  <c r="F450" i="7"/>
  <c r="F669" i="7"/>
  <c r="F452" i="7"/>
  <c r="F453" i="7"/>
  <c r="F670" i="7"/>
  <c r="F454" i="7"/>
  <c r="F455" i="7"/>
  <c r="F456" i="7"/>
  <c r="F457" i="7"/>
  <c r="F671" i="7"/>
  <c r="F672" i="7"/>
  <c r="F673" i="7"/>
  <c r="F674" i="7"/>
  <c r="F675" i="7"/>
  <c r="F676" i="7"/>
  <c r="F677" i="7"/>
  <c r="F678" i="7"/>
  <c r="F679" i="7"/>
  <c r="F680" i="7"/>
  <c r="F681" i="7"/>
  <c r="F682" i="7"/>
  <c r="F15" i="7"/>
  <c r="F16" i="7"/>
  <c r="F685" i="7"/>
  <c r="F686" i="7"/>
  <c r="F687" i="7"/>
  <c r="F17" i="7"/>
  <c r="F18" i="7"/>
  <c r="F689" i="7"/>
  <c r="F690" i="7"/>
  <c r="F691" i="7"/>
  <c r="F692" i="7"/>
  <c r="F693" i="7"/>
  <c r="F694" i="7"/>
  <c r="F695" i="7"/>
  <c r="F696" i="7"/>
  <c r="F697" i="7"/>
  <c r="F698" i="7"/>
  <c r="F699" i="7"/>
  <c r="F700" i="7"/>
  <c r="F701" i="7"/>
  <c r="F702" i="7"/>
  <c r="F703" i="7"/>
  <c r="F704" i="7"/>
  <c r="F705" i="7"/>
  <c r="F706" i="7"/>
  <c r="F707" i="7"/>
  <c r="F708" i="7"/>
  <c r="F709" i="7"/>
  <c r="F710" i="7"/>
  <c r="F711" i="7"/>
  <c r="F712" i="7"/>
  <c r="F19" i="7"/>
  <c r="F714" i="7"/>
  <c r="F715" i="7"/>
  <c r="F716" i="7"/>
  <c r="F717" i="7"/>
  <c r="F718" i="7"/>
  <c r="F719" i="7"/>
  <c r="F720" i="7"/>
  <c r="F20" i="7"/>
  <c r="F722" i="7"/>
  <c r="F21" i="7"/>
  <c r="F22" i="7"/>
  <c r="F724" i="7"/>
  <c r="F725" i="7"/>
  <c r="F23" i="7"/>
  <c r="F726" i="7"/>
  <c r="F727" i="7"/>
  <c r="F728" i="7"/>
  <c r="F729" i="7"/>
  <c r="F730" i="7"/>
  <c r="F731" i="7"/>
  <c r="F732" i="7"/>
  <c r="F733" i="7"/>
  <c r="F24" i="7"/>
  <c r="F735" i="7"/>
  <c r="F736" i="7"/>
  <c r="F737" i="7"/>
  <c r="F738" i="7"/>
  <c r="F739" i="7"/>
  <c r="F740" i="7"/>
  <c r="F25" i="7"/>
  <c r="F742" i="7"/>
  <c r="F26" i="7"/>
  <c r="F744" i="7"/>
  <c r="F745" i="7"/>
  <c r="F746" i="7"/>
  <c r="F27" i="7"/>
  <c r="F28" i="7"/>
  <c r="F29" i="7"/>
  <c r="F749" i="7"/>
  <c r="F30" i="7"/>
  <c r="F31" i="7"/>
  <c r="F751" i="7"/>
  <c r="F32" i="7"/>
  <c r="F753" i="7"/>
  <c r="F33" i="7"/>
  <c r="F755" i="7"/>
  <c r="F34" i="7"/>
  <c r="F757" i="7"/>
  <c r="F35" i="7"/>
  <c r="F759" i="7"/>
  <c r="F760" i="7"/>
  <c r="F761" i="7"/>
  <c r="F762" i="7"/>
  <c r="F763" i="7"/>
  <c r="F764" i="7"/>
  <c r="F765" i="7"/>
  <c r="F766" i="7"/>
  <c r="F767" i="7"/>
  <c r="F768" i="7"/>
  <c r="F36" i="7"/>
  <c r="F770" i="7"/>
  <c r="F771" i="7"/>
  <c r="F37" i="7"/>
  <c r="F773" i="7"/>
  <c r="F775" i="7"/>
  <c r="F38" i="7"/>
  <c r="F777" i="7"/>
  <c r="F39" i="7"/>
  <c r="F40" i="7"/>
  <c r="F780" i="7"/>
  <c r="F781" i="7"/>
  <c r="F782" i="7"/>
  <c r="F41" i="7"/>
  <c r="F783" i="7"/>
  <c r="F42" i="7"/>
  <c r="F785" i="7"/>
  <c r="F786" i="7"/>
  <c r="F43" i="7"/>
  <c r="F788" i="7"/>
  <c r="F789" i="7"/>
  <c r="F790" i="7"/>
  <c r="F791" i="7"/>
  <c r="F792" i="7"/>
  <c r="F44" i="7"/>
  <c r="F45" i="7"/>
  <c r="F46" i="7"/>
  <c r="F47" i="7"/>
  <c r="F48" i="7"/>
  <c r="F49" i="7"/>
  <c r="F50" i="7"/>
  <c r="F800" i="7"/>
  <c r="F801" i="7"/>
  <c r="F802" i="7"/>
  <c r="F803" i="7"/>
  <c r="F804" i="7"/>
  <c r="F51" i="7"/>
  <c r="F52" i="7"/>
  <c r="F53" i="7"/>
  <c r="F808" i="7"/>
  <c r="F54" i="7"/>
  <c r="F810" i="7"/>
  <c r="F811" i="7"/>
  <c r="F55" i="7"/>
  <c r="F56" i="7"/>
  <c r="F57" i="7"/>
  <c r="F813" i="7"/>
  <c r="F814" i="7"/>
  <c r="F58" i="7"/>
  <c r="F59" i="7"/>
  <c r="F60" i="7"/>
  <c r="F61" i="7"/>
  <c r="F62" i="7"/>
  <c r="F63" i="7"/>
  <c r="F64" i="7"/>
  <c r="F65" i="7"/>
  <c r="F823" i="7"/>
  <c r="F824" i="7"/>
  <c r="F66" i="7"/>
  <c r="F67" i="7"/>
  <c r="F68" i="7"/>
  <c r="F828" i="7"/>
  <c r="F829" i="7"/>
  <c r="F69" i="7"/>
  <c r="F70" i="7"/>
  <c r="F71" i="7"/>
  <c r="F833" i="7"/>
  <c r="F72" i="7"/>
  <c r="F73" i="7"/>
  <c r="F74" i="7"/>
  <c r="F75" i="7"/>
  <c r="F76" i="7"/>
  <c r="F77" i="7"/>
  <c r="F78" i="7"/>
  <c r="F79" i="7"/>
  <c r="F80" i="7"/>
  <c r="F843" i="7"/>
  <c r="F81" i="7"/>
  <c r="F82" i="7"/>
  <c r="F83" i="7"/>
  <c r="F847" i="7"/>
  <c r="F84" i="7"/>
  <c r="F85" i="7"/>
  <c r="F86" i="7"/>
  <c r="F87" i="7"/>
  <c r="F88" i="7"/>
  <c r="F89" i="7"/>
  <c r="F852" i="7"/>
  <c r="F90" i="7"/>
  <c r="F91" i="7"/>
  <c r="F92" i="7"/>
  <c r="F93" i="7"/>
  <c r="F94" i="7"/>
  <c r="F95" i="7"/>
  <c r="F96" i="7"/>
  <c r="F97" i="7"/>
  <c r="F98" i="7"/>
  <c r="F99" i="7"/>
  <c r="F100" i="7"/>
  <c r="F101" i="7"/>
  <c r="F102" i="7"/>
  <c r="F103" i="7"/>
  <c r="F104" i="7"/>
  <c r="F105" i="7"/>
  <c r="F106" i="7"/>
  <c r="F107" i="7"/>
  <c r="F108" i="7"/>
  <c r="F109" i="7"/>
  <c r="F110" i="7"/>
  <c r="F111" i="7"/>
  <c r="F112" i="7"/>
  <c r="F113" i="7"/>
  <c r="F875" i="7"/>
  <c r="F876" i="7"/>
  <c r="F877" i="7"/>
  <c r="F114" i="7"/>
  <c r="F115" i="7"/>
  <c r="F116" i="7"/>
  <c r="F879" i="7"/>
  <c r="F117" i="7"/>
  <c r="F118" i="7"/>
  <c r="F881" i="7"/>
  <c r="F119" i="7"/>
  <c r="F120" i="7"/>
  <c r="F121" i="7"/>
  <c r="F122" i="7"/>
  <c r="F123" i="7"/>
  <c r="F887" i="7"/>
  <c r="F888" i="7"/>
  <c r="F889" i="7"/>
  <c r="F890" i="7"/>
  <c r="F124" i="7"/>
  <c r="F892" i="7"/>
  <c r="F893" i="7"/>
  <c r="F894" i="7"/>
  <c r="F895" i="7"/>
  <c r="F896" i="7"/>
  <c r="F897" i="7"/>
  <c r="F898" i="7"/>
  <c r="F125" i="7"/>
  <c r="F900" i="7"/>
  <c r="F126" i="7"/>
  <c r="F127" i="7"/>
  <c r="F128" i="7"/>
  <c r="F129" i="7"/>
  <c r="F130" i="7"/>
  <c r="F131" i="7"/>
  <c r="F132" i="7"/>
  <c r="F134" i="7"/>
  <c r="F135" i="7"/>
  <c r="F136" i="7"/>
  <c r="F137" i="7"/>
  <c r="F138" i="7"/>
  <c r="F139" i="7"/>
  <c r="F140" i="7"/>
  <c r="F141" i="7"/>
  <c r="F142" i="7"/>
  <c r="F143" i="7"/>
  <c r="F144" i="7"/>
  <c r="F145" i="7"/>
  <c r="F146" i="7"/>
  <c r="F147" i="7"/>
  <c r="F148" i="7"/>
  <c r="F149" i="7"/>
  <c r="F150" i="7"/>
  <c r="F151" i="7"/>
  <c r="F152" i="7"/>
  <c r="F153" i="7"/>
  <c r="F154" i="7"/>
  <c r="F155" i="7"/>
  <c r="F156" i="7"/>
  <c r="F157" i="7"/>
  <c r="F915" i="7"/>
  <c r="F158" i="7"/>
  <c r="F917" i="7"/>
  <c r="F918" i="7"/>
  <c r="F919" i="7"/>
  <c r="F920" i="7"/>
  <c r="F159" i="7"/>
  <c r="F160" i="7"/>
  <c r="F923" i="7"/>
  <c r="F924" i="7"/>
  <c r="F925" i="7"/>
  <c r="F926" i="7"/>
  <c r="F927" i="7"/>
  <c r="F161" i="7"/>
  <c r="F162" i="7"/>
  <c r="F930" i="7"/>
  <c r="F931" i="7"/>
  <c r="F932" i="7"/>
  <c r="F933" i="7"/>
  <c r="F163" i="7"/>
  <c r="F164" i="7"/>
  <c r="F165" i="7"/>
  <c r="F166" i="7"/>
  <c r="F167" i="7"/>
  <c r="F168" i="7"/>
  <c r="F169" i="7"/>
  <c r="F170" i="7"/>
  <c r="F171" i="7"/>
  <c r="F172" i="7"/>
  <c r="F173" i="7"/>
  <c r="F174" i="7"/>
  <c r="F175" i="7"/>
  <c r="F176" i="7"/>
  <c r="F946" i="7"/>
  <c r="F177" i="7"/>
  <c r="F178" i="7"/>
  <c r="F179" i="7"/>
  <c r="F180" i="7"/>
  <c r="F181" i="7"/>
  <c r="F182" i="7"/>
  <c r="F183" i="7"/>
  <c r="F184" i="7"/>
  <c r="F185" i="7"/>
  <c r="F186" i="7"/>
  <c r="F957" i="7"/>
  <c r="F187" i="7"/>
  <c r="F188" i="7"/>
  <c r="F189" i="7"/>
  <c r="F190" i="7"/>
  <c r="F191" i="7"/>
  <c r="F192" i="7"/>
  <c r="F964"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882" i="7"/>
  <c r="F234" i="7"/>
  <c r="F235" i="7"/>
  <c r="F236" i="7"/>
  <c r="F237" i="7"/>
  <c r="F238" i="7"/>
  <c r="F239" i="7"/>
  <c r="F983" i="7"/>
  <c r="F240" i="7"/>
  <c r="F985" i="7"/>
  <c r="F241" i="7"/>
  <c r="F242" i="7"/>
  <c r="F243" i="7"/>
  <c r="F244" i="7"/>
  <c r="F245" i="7"/>
  <c r="F246" i="7"/>
  <c r="F247" i="7"/>
  <c r="F248" i="7"/>
  <c r="F880" i="7"/>
  <c r="F249" i="7"/>
  <c r="F250" i="7"/>
  <c r="F251" i="7"/>
  <c r="F252" i="7"/>
  <c r="F253" i="7"/>
  <c r="F254" i="7"/>
  <c r="F255" i="7"/>
  <c r="F256" i="7"/>
  <c r="F257" i="7"/>
  <c r="F258" i="7"/>
  <c r="F259" i="7"/>
  <c r="F384" i="7"/>
  <c r="F386" i="7"/>
  <c r="F387" i="7"/>
  <c r="F752" i="7"/>
  <c r="F451" i="7"/>
  <c r="F446" i="7"/>
  <c r="F754" i="7"/>
  <c r="F445" i="7"/>
  <c r="F758" i="7"/>
  <c r="F776" i="7"/>
  <c r="F799" i="7"/>
  <c r="F806" i="7"/>
  <c r="F260" i="7"/>
  <c r="F261" i="7"/>
  <c r="F262" i="7"/>
  <c r="F263" i="7"/>
  <c r="F809" i="7"/>
  <c r="F815" i="7"/>
  <c r="F264" i="7"/>
  <c r="F265" i="7"/>
  <c r="F266" i="7"/>
  <c r="F267" i="7"/>
  <c r="F268" i="7"/>
  <c r="F269" i="7"/>
  <c r="F270" i="7"/>
  <c r="F271" i="7"/>
  <c r="F817" i="7"/>
  <c r="F272" i="7"/>
  <c r="F273" i="7"/>
  <c r="F274" i="7"/>
  <c r="F275" i="7"/>
  <c r="F276" i="7"/>
  <c r="F277" i="7"/>
  <c r="F278" i="7"/>
  <c r="F819" i="7"/>
  <c r="F279" i="7"/>
  <c r="F280" i="7"/>
  <c r="F281" i="7"/>
  <c r="F282" i="7"/>
  <c r="F820" i="7"/>
  <c r="F283" i="7"/>
  <c r="F284" i="7"/>
  <c r="F825" i="7"/>
  <c r="F827" i="7"/>
  <c r="F436" i="7"/>
  <c r="F285" i="7"/>
  <c r="F286" i="7"/>
  <c r="F287" i="7"/>
  <c r="F288" i="7"/>
  <c r="F289" i="7"/>
  <c r="F427" i="7"/>
  <c r="F425" i="7"/>
  <c r="F290" i="7"/>
  <c r="F291" i="7"/>
  <c r="F417" i="7"/>
  <c r="F410" i="7"/>
  <c r="F292" i="7"/>
  <c r="F293" i="7"/>
  <c r="F294" i="7"/>
  <c r="F295" i="7"/>
  <c r="F296" i="7"/>
  <c r="F297" i="7"/>
  <c r="F298" i="7"/>
  <c r="F299" i="7"/>
  <c r="F300" i="7"/>
  <c r="F301" i="7"/>
  <c r="F987" i="7"/>
  <c r="F986" i="7"/>
  <c r="F984" i="7"/>
  <c r="F982" i="7"/>
  <c r="F981" i="7"/>
  <c r="F980" i="7"/>
  <c r="F302" i="7"/>
  <c r="F303" i="7"/>
  <c r="F304" i="7"/>
  <c r="F979" i="7"/>
  <c r="F305" i="7"/>
  <c r="F306" i="7"/>
  <c r="F307" i="7"/>
  <c r="F308" i="7"/>
  <c r="F309" i="7"/>
  <c r="F310" i="7"/>
  <c r="F311" i="7"/>
  <c r="F978" i="7"/>
  <c r="F312" i="7"/>
  <c r="F977" i="7"/>
  <c r="F409" i="7"/>
  <c r="F859" i="7"/>
  <c r="F398" i="7"/>
  <c r="F865" i="7"/>
  <c r="F314" i="7"/>
  <c r="AU593" i="4" l="1"/>
  <c r="Q237" i="4"/>
  <c r="Q507" i="4"/>
  <c r="D33" i="20"/>
  <c r="J33" i="20" s="1"/>
  <c r="Q505" i="4"/>
  <c r="Q506" i="4"/>
  <c r="AK506" i="4"/>
  <c r="AK505" i="4"/>
  <c r="AK507" i="4"/>
  <c r="Q508" i="4"/>
  <c r="BF508" i="4" s="1"/>
  <c r="Q520" i="4"/>
  <c r="Q521" i="4"/>
  <c r="Q509" i="4"/>
  <c r="BF509" i="4" s="1"/>
  <c r="Q519" i="4"/>
  <c r="Q510" i="4"/>
  <c r="BF510" i="4" s="1"/>
  <c r="Q643" i="4"/>
  <c r="BF643" i="4" s="1"/>
  <c r="Q637" i="4"/>
  <c r="BF637" i="4" s="1"/>
  <c r="Q639" i="4"/>
  <c r="BF639" i="4" s="1"/>
  <c r="Q638" i="4"/>
  <c r="BF638" i="4" s="1"/>
  <c r="Q144" i="4"/>
  <c r="BF144" i="4" s="1"/>
  <c r="Q517" i="4"/>
  <c r="BF517" i="4" s="1"/>
  <c r="Q516" i="4"/>
  <c r="BF516" i="4" s="1"/>
  <c r="Q515" i="4"/>
  <c r="BF515" i="4" s="1"/>
  <c r="Q513" i="4"/>
  <c r="BF513" i="4" s="1"/>
  <c r="Q514" i="4"/>
  <c r="BF514" i="4" s="1"/>
  <c r="Q512" i="4"/>
  <c r="BF512" i="4" s="1"/>
  <c r="Q518" i="4"/>
  <c r="BF518" i="4" s="1"/>
  <c r="Q511" i="4"/>
  <c r="BF511" i="4" s="1"/>
  <c r="AP458" i="4"/>
  <c r="AK595" i="4"/>
  <c r="BF595" i="4" s="1"/>
  <c r="Q548" i="4"/>
  <c r="BF548" i="4" s="1"/>
  <c r="Q546" i="4"/>
  <c r="BF546" i="4" s="1"/>
  <c r="Q547" i="4"/>
  <c r="BF547" i="4" s="1"/>
  <c r="D79" i="20"/>
  <c r="J79"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02" i="20"/>
  <c r="J102"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Q563" i="4"/>
  <c r="Q564" i="4"/>
  <c r="Q560" i="4"/>
  <c r="BF560" i="4" s="1"/>
  <c r="AK611" i="4"/>
  <c r="BF611" i="4" s="1"/>
  <c r="Q545" i="4"/>
  <c r="BF545" i="4" s="1"/>
  <c r="D78" i="20"/>
  <c r="J78" i="20" s="1"/>
  <c r="Q544" i="4"/>
  <c r="BF544" i="4" s="1"/>
  <c r="Q555" i="4"/>
  <c r="BF555" i="4" s="1"/>
  <c r="Q543" i="4"/>
  <c r="BF543" i="4" s="1"/>
  <c r="AK550" i="4"/>
  <c r="Q503" i="4"/>
  <c r="BF503" i="4" s="1"/>
  <c r="Q497" i="4"/>
  <c r="BF497" i="4" s="1"/>
  <c r="Q496" i="4"/>
  <c r="BF496" i="4" s="1"/>
  <c r="Q495" i="4"/>
  <c r="BF495" i="4" s="1"/>
  <c r="Q642" i="4"/>
  <c r="BF642" i="4" s="1"/>
  <c r="Q641" i="4"/>
  <c r="BF641" i="4" s="1"/>
  <c r="Q644" i="4"/>
  <c r="BF644" i="4" s="1"/>
  <c r="Q640" i="4"/>
  <c r="BF640" i="4" s="1"/>
  <c r="Q526" i="4"/>
  <c r="BF526" i="4" s="1"/>
  <c r="Q528" i="4"/>
  <c r="BF528" i="4" s="1"/>
  <c r="Q533" i="4"/>
  <c r="BF533" i="4" s="1"/>
  <c r="Q527" i="4"/>
  <c r="BF527" i="4" s="1"/>
  <c r="Q531" i="4"/>
  <c r="BF531" i="4" s="1"/>
  <c r="Q532" i="4"/>
  <c r="BF532" i="4" s="1"/>
  <c r="Q530" i="4"/>
  <c r="BF530" i="4" s="1"/>
  <c r="Q529" i="4"/>
  <c r="BF529" i="4" s="1"/>
  <c r="AK612" i="4"/>
  <c r="BF612" i="4" s="1"/>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BF406" i="4" s="1"/>
  <c r="Q408" i="4"/>
  <c r="BF408" i="4" s="1"/>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BF594" i="4" s="1"/>
  <c r="Q76" i="4"/>
  <c r="Q50" i="4"/>
  <c r="Q10" i="4"/>
  <c r="Q55" i="4"/>
  <c r="BF55" i="4" s="1"/>
  <c r="Q549" i="4"/>
  <c r="Q56" i="4"/>
  <c r="BF56" i="4" s="1"/>
  <c r="Q587" i="4"/>
  <c r="Q552" i="4"/>
  <c r="Q113" i="4"/>
  <c r="Q607" i="4"/>
  <c r="Q79" i="4"/>
  <c r="Q553" i="4"/>
  <c r="Q114" i="4"/>
  <c r="Q588" i="4"/>
  <c r="Q71" i="4"/>
  <c r="Q629" i="4"/>
  <c r="BF629" i="4" s="1"/>
  <c r="Q420" i="4"/>
  <c r="BF420" i="4" s="1"/>
  <c r="Q65" i="4"/>
  <c r="Q541" i="4"/>
  <c r="Q197" i="4"/>
  <c r="Q589" i="4"/>
  <c r="Q554" i="4"/>
  <c r="Q540" i="4"/>
  <c r="Q86" i="4"/>
  <c r="Q201" i="4"/>
  <c r="Q112" i="4"/>
  <c r="Q23" i="4"/>
  <c r="Q628" i="4"/>
  <c r="BF628" i="4" s="1"/>
  <c r="Q421" i="4"/>
  <c r="BF421" i="4" s="1"/>
  <c r="Q58" i="4"/>
  <c r="Q108" i="4"/>
  <c r="Q609" i="4"/>
  <c r="Q34" i="4"/>
  <c r="Q627" i="4"/>
  <c r="BF627"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BF46" i="4" s="1"/>
  <c r="Q244" i="4"/>
  <c r="Q88" i="4"/>
  <c r="BF88" i="4" s="1"/>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BF445" i="4" s="1"/>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BF116" i="4" s="1"/>
  <c r="Q250" i="4"/>
  <c r="Q81" i="4"/>
  <c r="BF81" i="4" s="1"/>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99" i="20"/>
  <c r="J99" i="20" s="1"/>
  <c r="AU577" i="4"/>
  <c r="AP519" i="4"/>
  <c r="AK457" i="4"/>
  <c r="AK575" i="4"/>
  <c r="AP207" i="4"/>
  <c r="AP575" i="4"/>
  <c r="D105" i="20"/>
  <c r="J105" i="20" s="1"/>
  <c r="AK459" i="4"/>
  <c r="AP574" i="4"/>
  <c r="D100" i="20"/>
  <c r="J100" i="20" s="1"/>
  <c r="AK578" i="4"/>
  <c r="AK520" i="4"/>
  <c r="AP578" i="4"/>
  <c r="D101" i="20"/>
  <c r="J101"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0" i="20"/>
  <c r="J10" i="20" s="1"/>
  <c r="D104" i="20"/>
  <c r="J104" i="20" s="1"/>
  <c r="D13" i="20"/>
  <c r="J13"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5" i="20"/>
  <c r="J5" i="20" s="1"/>
  <c r="D65" i="20"/>
  <c r="J65" i="20" s="1"/>
  <c r="D25" i="20"/>
  <c r="J25" i="20" s="1"/>
  <c r="D12" i="20"/>
  <c r="J12" i="20" s="1"/>
  <c r="D57" i="20"/>
  <c r="J57" i="20" s="1"/>
  <c r="D67" i="20"/>
  <c r="J67" i="20" s="1"/>
  <c r="D23" i="20"/>
  <c r="J23" i="20" s="1"/>
  <c r="D56" i="20"/>
  <c r="J56" i="20" s="1"/>
  <c r="D58" i="20"/>
  <c r="J58" i="20" s="1"/>
  <c r="D39" i="20"/>
  <c r="J39" i="20" s="1"/>
  <c r="D64" i="20"/>
  <c r="J64" i="20" s="1"/>
  <c r="D46" i="20"/>
  <c r="J46" i="20" s="1"/>
  <c r="D8" i="20"/>
  <c r="J8" i="20" s="1"/>
  <c r="D110" i="20"/>
  <c r="J110" i="20" s="1"/>
  <c r="D66" i="20"/>
  <c r="J66" i="20" s="1"/>
  <c r="D93" i="20"/>
  <c r="J93" i="20" s="1"/>
  <c r="J32" i="20"/>
  <c r="D100" i="5"/>
  <c r="D95" i="20"/>
  <c r="J95" i="20" s="1"/>
  <c r="D79" i="5"/>
  <c r="D89" i="20"/>
  <c r="J89" i="20" s="1"/>
  <c r="J31" i="20"/>
  <c r="D30" i="20"/>
  <c r="J30" i="20" s="1"/>
  <c r="D68" i="20"/>
  <c r="J68" i="20" s="1"/>
  <c r="D92" i="5"/>
  <c r="D81" i="5"/>
  <c r="D18" i="20"/>
  <c r="J18" i="20" s="1"/>
  <c r="D41" i="20"/>
  <c r="J41" i="20" s="1"/>
  <c r="D75" i="20"/>
  <c r="J75" i="20" s="1"/>
  <c r="D69" i="20"/>
  <c r="J69" i="20" s="1"/>
  <c r="D89" i="5"/>
  <c r="D94" i="5"/>
  <c r="D51" i="20"/>
  <c r="J51" i="20" s="1"/>
  <c r="D17" i="20"/>
  <c r="J17" i="20" s="1"/>
  <c r="D49" i="20"/>
  <c r="J49" i="20" s="1"/>
  <c r="D87" i="20"/>
  <c r="J87" i="20" s="1"/>
  <c r="D74" i="20"/>
  <c r="J74" i="20" s="1"/>
  <c r="D11" i="20"/>
  <c r="J11" i="20" s="1"/>
  <c r="D53" i="20"/>
  <c r="J53" i="20" s="1"/>
  <c r="D59" i="20"/>
  <c r="J59" i="20" s="1"/>
  <c r="D21" i="5"/>
  <c r="D72" i="20"/>
  <c r="J72" i="20" s="1"/>
  <c r="D23" i="5"/>
  <c r="D42" i="20"/>
  <c r="J42" i="20" s="1"/>
  <c r="D71" i="20"/>
  <c r="J71" i="20" s="1"/>
  <c r="D123" i="5"/>
  <c r="D98" i="5"/>
  <c r="D14" i="20"/>
  <c r="J14" i="20" s="1"/>
  <c r="D96" i="5"/>
  <c r="D75" i="5"/>
  <c r="D70" i="20"/>
  <c r="J70" i="20" s="1"/>
  <c r="D19" i="20"/>
  <c r="J19" i="20" s="1"/>
  <c r="D7" i="20"/>
  <c r="J7" i="20" s="1"/>
  <c r="D52" i="20"/>
  <c r="J52" i="20" s="1"/>
  <c r="D22" i="20"/>
  <c r="J22" i="20" s="1"/>
  <c r="D4" i="20"/>
  <c r="J4" i="20" s="1"/>
  <c r="D109" i="20"/>
  <c r="J109" i="20" s="1"/>
  <c r="D111" i="5"/>
  <c r="D104" i="5"/>
  <c r="D73" i="20"/>
  <c r="J73" i="20" s="1"/>
  <c r="D6" i="20"/>
  <c r="J6" i="20" s="1"/>
  <c r="D29" i="20"/>
  <c r="J29" i="20" s="1"/>
  <c r="D28" i="20"/>
  <c r="J28" i="20" s="1"/>
  <c r="D24" i="20"/>
  <c r="J24" i="20" s="1"/>
  <c r="D16" i="20"/>
  <c r="J16"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BF563" i="4" l="1"/>
  <c r="BF646" i="4"/>
  <c r="BF369" i="4"/>
  <c r="BF387" i="4"/>
  <c r="BF128" i="4"/>
  <c r="BF205" i="4"/>
  <c r="BF249" i="4"/>
  <c r="BF119" i="4"/>
  <c r="BF482" i="4"/>
  <c r="BF6" i="4"/>
  <c r="BF122" i="4"/>
  <c r="BF242" i="4"/>
  <c r="BF5" i="4"/>
  <c r="BF248" i="4"/>
  <c r="BF502" i="4"/>
  <c r="BF207" i="4"/>
  <c r="BF206" i="4"/>
  <c r="BF481" i="4"/>
  <c r="BF505" i="4"/>
  <c r="BF107" i="4"/>
  <c r="BF541" i="4"/>
  <c r="BF10" i="4"/>
  <c r="BF177" i="4"/>
  <c r="BF241" i="4"/>
  <c r="BF238" i="4"/>
  <c r="BF58" i="4"/>
  <c r="BF588" i="4"/>
  <c r="BF68" i="4"/>
  <c r="BF42" i="4"/>
  <c r="BF106" i="4"/>
  <c r="BF101" i="4"/>
  <c r="BF506" i="4"/>
  <c r="BF49" i="4"/>
  <c r="BF608" i="4"/>
  <c r="BF99" i="4"/>
  <c r="BF542" i="4"/>
  <c r="BF51" i="4"/>
  <c r="BF593" i="4"/>
  <c r="BF14" i="4"/>
  <c r="BF250" i="4"/>
  <c r="BF388" i="4"/>
  <c r="BF126" i="4"/>
  <c r="BF244" i="4"/>
  <c r="BF111" i="4"/>
  <c r="BF65" i="4"/>
  <c r="BF50" i="4"/>
  <c r="BF429" i="4"/>
  <c r="BF52" i="4"/>
  <c r="BF31" i="4"/>
  <c r="BF127" i="4"/>
  <c r="BF34" i="4"/>
  <c r="BF76" i="4"/>
  <c r="BF428" i="4"/>
  <c r="BF519" i="4"/>
  <c r="BF332" i="4"/>
  <c r="BF331" i="4"/>
  <c r="BF247" i="4"/>
  <c r="BF82" i="4"/>
  <c r="BF609" i="4"/>
  <c r="BF4" i="4"/>
  <c r="BF9" i="4"/>
  <c r="BF330" i="4"/>
  <c r="BF15" i="4"/>
  <c r="BF80" i="4"/>
  <c r="BF199" i="4"/>
  <c r="BF91" i="4"/>
  <c r="BF108" i="4"/>
  <c r="BF71" i="4"/>
  <c r="BF441" i="4"/>
  <c r="BF407" i="4"/>
  <c r="BF11" i="4"/>
  <c r="BF480" i="4"/>
  <c r="BF521" i="4"/>
  <c r="BF459" i="4"/>
  <c r="BF38" i="4"/>
  <c r="BF475" i="4"/>
  <c r="BF550" i="4"/>
  <c r="BF520" i="4"/>
  <c r="BF574" i="4"/>
  <c r="BF443" i="4"/>
  <c r="BF45" i="4"/>
  <c r="BF75" i="4"/>
  <c r="BF198" i="4"/>
  <c r="BF553" i="4"/>
  <c r="BF20" i="4"/>
  <c r="BF44" i="4"/>
  <c r="BF100" i="4"/>
  <c r="BF94" i="4"/>
  <c r="BF123" i="4"/>
  <c r="BF368" i="4"/>
  <c r="BF109" i="4"/>
  <c r="BF23" i="4"/>
  <c r="BF79" i="4"/>
  <c r="BF87" i="4"/>
  <c r="BF159" i="4"/>
  <c r="BF476" i="4"/>
  <c r="BF564" i="4"/>
  <c r="BF95" i="4"/>
  <c r="BF67" i="4"/>
  <c r="BF112" i="4"/>
  <c r="BF607" i="4"/>
  <c r="BF457" i="4"/>
  <c r="BF474" i="4"/>
  <c r="BF565" i="4"/>
  <c r="BF83" i="4"/>
  <c r="BF89" i="4"/>
  <c r="BF93" i="4"/>
  <c r="BF196" i="4"/>
  <c r="BF458" i="4"/>
  <c r="BF18" i="4"/>
  <c r="BF114" i="4"/>
  <c r="BF47" i="4"/>
  <c r="BF201" i="4"/>
  <c r="BF354" i="4"/>
  <c r="BF239" i="4"/>
  <c r="BF86" i="4"/>
  <c r="BF552" i="4"/>
  <c r="BF191" i="4"/>
  <c r="BF102" i="4"/>
  <c r="BF353" i="4"/>
  <c r="BF40" i="4"/>
  <c r="BF240" i="4"/>
  <c r="BF364" i="4"/>
  <c r="BF200" i="4"/>
  <c r="BF540" i="4"/>
  <c r="BF587" i="4"/>
  <c r="BF190" i="4"/>
  <c r="BF39" i="4"/>
  <c r="BF274" i="4"/>
  <c r="BF98" i="4"/>
  <c r="BF113" i="4"/>
  <c r="BF97" i="4"/>
  <c r="BF29" i="4"/>
  <c r="BF366" i="4"/>
  <c r="BF110" i="4"/>
  <c r="BF554" i="4"/>
  <c r="BF501" i="4"/>
  <c r="BF427" i="4"/>
  <c r="BF246" i="4"/>
  <c r="BF273" i="4"/>
  <c r="BF578" i="4"/>
  <c r="BF507" i="4"/>
  <c r="BF352" i="4"/>
  <c r="BF245" i="4"/>
  <c r="BF575" i="4"/>
  <c r="BF41" i="4"/>
  <c r="BF90" i="4"/>
  <c r="BF589" i="4"/>
  <c r="BF549" i="4"/>
  <c r="BF185" i="4"/>
  <c r="BF72" i="4"/>
  <c r="BF243" i="4"/>
  <c r="BF275" i="4"/>
  <c r="BF648" i="4"/>
  <c r="BF237" i="4"/>
  <c r="BF365" i="4"/>
  <c r="BF48" i="4"/>
  <c r="BF389" i="4"/>
  <c r="BF32" i="4"/>
  <c r="BF367" i="4"/>
  <c r="BF197" i="4"/>
  <c r="BF179" i="4"/>
  <c r="BF96" i="4"/>
  <c r="BF577" i="4"/>
  <c r="BF647" i="4"/>
  <c r="T97" i="4"/>
  <c r="BE97" i="4" s="1"/>
  <c r="T241" i="4"/>
  <c r="BE241" i="4" s="1"/>
  <c r="T455" i="4"/>
  <c r="BE455" i="4" s="1"/>
  <c r="T235" i="4"/>
  <c r="BE235" i="4" s="1"/>
  <c r="T40" i="4"/>
  <c r="BE40" i="4" s="1"/>
  <c r="T240" i="4"/>
  <c r="BE240" i="4" s="1"/>
  <c r="T125" i="4"/>
  <c r="BE125" i="4" s="1"/>
  <c r="T162" i="4"/>
  <c r="BE162" i="4" s="1"/>
  <c r="T98" i="4"/>
  <c r="BE98" i="4" s="1"/>
  <c r="T244" i="4"/>
  <c r="BE244" i="4" s="1"/>
  <c r="T111" i="4"/>
  <c r="BE111" i="4" s="1"/>
  <c r="T65" i="4"/>
  <c r="BE65" i="4" s="1"/>
  <c r="T50" i="4"/>
  <c r="BE50" i="4" s="1"/>
  <c r="T262" i="4"/>
  <c r="BE262" i="4" s="1"/>
  <c r="T341" i="4"/>
  <c r="BE341" i="4" s="1"/>
  <c r="T52" i="4"/>
  <c r="BE52" i="4" s="1"/>
  <c r="T432" i="4"/>
  <c r="BE432" i="4" s="1"/>
  <c r="T270" i="4"/>
  <c r="BE270" i="4" s="1"/>
  <c r="T209" i="4"/>
  <c r="BE209" i="4" s="1"/>
  <c r="T107" i="4"/>
  <c r="BE107" i="4" s="1"/>
  <c r="T454" i="4"/>
  <c r="BE454" i="4" s="1"/>
  <c r="T53" i="4"/>
  <c r="BE53" i="4" s="1"/>
  <c r="T105" i="4"/>
  <c r="BE105" i="4" s="1"/>
  <c r="T29" i="4"/>
  <c r="BE29" i="4" s="1"/>
  <c r="T148" i="4"/>
  <c r="BE148" i="4" s="1"/>
  <c r="T158" i="4"/>
  <c r="BE158" i="4" s="1"/>
  <c r="T151" i="4"/>
  <c r="BE151" i="4" s="1"/>
  <c r="T46" i="4"/>
  <c r="BE46" i="4" s="1"/>
  <c r="T369" i="4"/>
  <c r="BE369" i="4" s="1"/>
  <c r="T34" i="4"/>
  <c r="BE34" i="4" s="1"/>
  <c r="T420" i="4"/>
  <c r="BE420" i="4" s="1"/>
  <c r="T76" i="4"/>
  <c r="BE76" i="4" s="1"/>
  <c r="T230" i="4"/>
  <c r="BE230" i="4" s="1"/>
  <c r="T342" i="4"/>
  <c r="BE342" i="4" s="1"/>
  <c r="T242" i="4"/>
  <c r="BE242" i="4" s="1"/>
  <c r="T16" i="4"/>
  <c r="BE16" i="4" s="1"/>
  <c r="T170" i="4"/>
  <c r="BE170" i="4" s="1"/>
  <c r="T351" i="4"/>
  <c r="BE351" i="4" s="1"/>
  <c r="T456" i="4"/>
  <c r="BE456" i="4" s="1"/>
  <c r="T245" i="4"/>
  <c r="BE245" i="4" s="1"/>
  <c r="T216" i="4"/>
  <c r="BE216" i="4" s="1"/>
  <c r="T266" i="4"/>
  <c r="BE266" i="4" s="1"/>
  <c r="T419" i="4"/>
  <c r="BE419" i="4" s="1"/>
  <c r="T120" i="4"/>
  <c r="BE120" i="4" s="1"/>
  <c r="T160" i="4"/>
  <c r="BE160" i="4" s="1"/>
  <c r="T150" i="4"/>
  <c r="BE150" i="4" s="1"/>
  <c r="T82" i="4"/>
  <c r="BE82" i="4" s="1"/>
  <c r="T9" i="4"/>
  <c r="BE9" i="4" s="1"/>
  <c r="T85" i="4"/>
  <c r="BE85" i="4" s="1"/>
  <c r="T338" i="4"/>
  <c r="BE338" i="4" s="1"/>
  <c r="T5" i="4"/>
  <c r="BE5" i="4" s="1"/>
  <c r="T466" i="4"/>
  <c r="BE466" i="4" s="1"/>
  <c r="T154" i="4"/>
  <c r="BE154" i="4" s="1"/>
  <c r="T433" i="4"/>
  <c r="BE433" i="4" s="1"/>
  <c r="T345" i="4"/>
  <c r="BE345" i="4" s="1"/>
  <c r="T472" i="4"/>
  <c r="BE472" i="4" s="1"/>
  <c r="T14" i="4"/>
  <c r="BE14" i="4" s="1"/>
  <c r="T212" i="4"/>
  <c r="BE212" i="4" s="1"/>
  <c r="T236" i="4"/>
  <c r="BE236" i="4" s="1"/>
  <c r="T417" i="4"/>
  <c r="BE417" i="4" s="1"/>
  <c r="T117" i="4"/>
  <c r="BE117" i="4" s="1"/>
  <c r="T37" i="4"/>
  <c r="BE37" i="4" s="1"/>
  <c r="T149" i="4"/>
  <c r="BE149" i="4" s="1"/>
  <c r="T233" i="4"/>
  <c r="BE233" i="4" s="1"/>
  <c r="T199" i="4"/>
  <c r="BE199" i="4" s="1"/>
  <c r="T91" i="4"/>
  <c r="BE91" i="4" s="1"/>
  <c r="T108" i="4"/>
  <c r="BE108" i="4" s="1"/>
  <c r="T71" i="4"/>
  <c r="BE71" i="4" s="1"/>
  <c r="T156" i="4"/>
  <c r="BE156" i="4" s="1"/>
  <c r="T340" i="4"/>
  <c r="BE340" i="4" s="1"/>
  <c r="T11" i="4"/>
  <c r="BE11" i="4" s="1"/>
  <c r="T271" i="4"/>
  <c r="BE271" i="4" s="1"/>
  <c r="T208" i="4"/>
  <c r="BE208" i="4" s="1"/>
  <c r="T349" i="4"/>
  <c r="BE349" i="4" s="1"/>
  <c r="T118" i="4"/>
  <c r="BE118" i="4" s="1"/>
  <c r="T81" i="4"/>
  <c r="BE81" i="4" s="1"/>
  <c r="T215" i="4"/>
  <c r="BE215" i="4" s="1"/>
  <c r="T73" i="4"/>
  <c r="BE73" i="4" s="1"/>
  <c r="T415" i="4"/>
  <c r="BE415" i="4" s="1"/>
  <c r="T115" i="4"/>
  <c r="BE115" i="4" s="1"/>
  <c r="T161" i="4"/>
  <c r="BE161" i="4" s="1"/>
  <c r="T19" i="4"/>
  <c r="BE19" i="4" s="1"/>
  <c r="T132" i="4"/>
  <c r="BE132" i="4" s="1"/>
  <c r="T365" i="4"/>
  <c r="BE365" i="4" s="1"/>
  <c r="T49" i="4"/>
  <c r="BE49" i="4" s="1"/>
  <c r="T58" i="4"/>
  <c r="BE58" i="4" s="1"/>
  <c r="T167" i="4"/>
  <c r="BE167" i="4" s="1"/>
  <c r="T339" i="4"/>
  <c r="BE339" i="4" s="1"/>
  <c r="T38" i="4"/>
  <c r="BE38" i="4" s="1"/>
  <c r="T70" i="4"/>
  <c r="BE70" i="4" s="1"/>
  <c r="T211" i="4"/>
  <c r="BE211" i="4" s="1"/>
  <c r="T231" i="4"/>
  <c r="BE231" i="4" s="1"/>
  <c r="T210" i="4"/>
  <c r="BE210" i="4" s="1"/>
  <c r="T350" i="4"/>
  <c r="BE350" i="4" s="1"/>
  <c r="T121" i="4"/>
  <c r="BE121" i="4" s="1"/>
  <c r="T250" i="4"/>
  <c r="BE250" i="4" s="1"/>
  <c r="T214" i="4"/>
  <c r="BE214" i="4" s="1"/>
  <c r="T60" i="4"/>
  <c r="BE60" i="4" s="1"/>
  <c r="T416" i="4"/>
  <c r="BE416" i="4" s="1"/>
  <c r="T103" i="4"/>
  <c r="BE103" i="4" s="1"/>
  <c r="T139" i="4"/>
  <c r="BE139" i="4" s="1"/>
  <c r="T252" i="4"/>
  <c r="BE252" i="4" s="1"/>
  <c r="T264" i="4"/>
  <c r="BE264" i="4" s="1"/>
  <c r="T106" i="4"/>
  <c r="BE106" i="4" s="1"/>
  <c r="T421" i="4"/>
  <c r="BE421" i="4" s="1"/>
  <c r="T114" i="4"/>
  <c r="BE114" i="4" s="1"/>
  <c r="T68" i="4"/>
  <c r="BE68" i="4" s="1"/>
  <c r="T48" i="4"/>
  <c r="BE48" i="4" s="1"/>
  <c r="T157" i="4"/>
  <c r="BE157" i="4" s="1"/>
  <c r="T337" i="4"/>
  <c r="BE337" i="4" s="1"/>
  <c r="T254" i="4"/>
  <c r="BE254" i="4" s="1"/>
  <c r="T267" i="4"/>
  <c r="BE267" i="4" s="1"/>
  <c r="T152" i="4"/>
  <c r="BE152" i="4" s="1"/>
  <c r="T31" i="4"/>
  <c r="BE31" i="4" s="1"/>
  <c r="T124" i="4"/>
  <c r="BE124" i="4" s="1"/>
  <c r="T116" i="4"/>
  <c r="BE116" i="4" s="1"/>
  <c r="T383" i="4"/>
  <c r="BE383" i="4" s="1"/>
  <c r="T25" i="4"/>
  <c r="BE25" i="4" s="1"/>
  <c r="T134" i="4"/>
  <c r="BE134" i="4" s="1"/>
  <c r="T229" i="4"/>
  <c r="BE229" i="4" s="1"/>
  <c r="T165" i="4"/>
  <c r="BE165" i="4" s="1"/>
  <c r="T223" i="4"/>
  <c r="BE223" i="4" s="1"/>
  <c r="T263" i="4"/>
  <c r="BE263" i="4" s="1"/>
  <c r="T45" i="4"/>
  <c r="BE45" i="4" s="1"/>
  <c r="T198" i="4"/>
  <c r="BE198" i="4" s="1"/>
  <c r="T20" i="4"/>
  <c r="BE20" i="4" s="1"/>
  <c r="T28" i="4"/>
  <c r="BE28" i="4" s="1"/>
  <c r="T44" i="4"/>
  <c r="BE44" i="4" s="1"/>
  <c r="T13" i="4"/>
  <c r="BE13" i="4" s="1"/>
  <c r="T155" i="4"/>
  <c r="BE155" i="4" s="1"/>
  <c r="T343" i="4"/>
  <c r="BE343" i="4" s="1"/>
  <c r="T130" i="4"/>
  <c r="BE130" i="4" s="1"/>
  <c r="T268" i="4"/>
  <c r="BE268" i="4" s="1"/>
  <c r="T169" i="4"/>
  <c r="BE169" i="4" s="1"/>
  <c r="T10" i="4"/>
  <c r="BE10" i="4" s="1"/>
  <c r="T247" i="4"/>
  <c r="BE247" i="4" s="1"/>
  <c r="T146" i="4"/>
  <c r="BE146" i="4" s="1"/>
  <c r="T4" i="4"/>
  <c r="BE4" i="4" s="1"/>
  <c r="T382" i="4"/>
  <c r="BE382" i="4" s="1"/>
  <c r="T30" i="4"/>
  <c r="BE30" i="4" s="1"/>
  <c r="T228" i="4"/>
  <c r="BE228" i="4" s="1"/>
  <c r="T258" i="4"/>
  <c r="BE258" i="4" s="1"/>
  <c r="T164" i="4"/>
  <c r="BE164" i="4" s="1"/>
  <c r="T391" i="4"/>
  <c r="BE391" i="4" s="1"/>
  <c r="T92" i="4"/>
  <c r="BE92" i="4" s="1"/>
  <c r="T257" i="4"/>
  <c r="BE257" i="4" s="1"/>
  <c r="T368" i="4"/>
  <c r="BE368" i="4" s="1"/>
  <c r="T109" i="4"/>
  <c r="BE109" i="4" s="1"/>
  <c r="T23" i="4"/>
  <c r="BE23" i="4" s="1"/>
  <c r="T79" i="4"/>
  <c r="BE79" i="4" s="1"/>
  <c r="T87" i="4"/>
  <c r="BE87" i="4" s="1"/>
  <c r="T265" i="4"/>
  <c r="BE265" i="4" s="1"/>
  <c r="T159" i="4"/>
  <c r="BE159" i="4" s="1"/>
  <c r="T255" i="4"/>
  <c r="BE255" i="4" s="1"/>
  <c r="T336" i="4"/>
  <c r="BE336" i="4" s="1"/>
  <c r="T12" i="4"/>
  <c r="BE12" i="4" s="1"/>
  <c r="T272" i="4"/>
  <c r="BE272" i="4" s="1"/>
  <c r="T153" i="4"/>
  <c r="BE153" i="4" s="1"/>
  <c r="T218" i="4"/>
  <c r="BE218" i="4" s="1"/>
  <c r="T15" i="4"/>
  <c r="BE15" i="4" s="1"/>
  <c r="T195" i="4"/>
  <c r="BE195" i="4" s="1"/>
  <c r="T57" i="4"/>
  <c r="BE57" i="4" s="1"/>
  <c r="T418" i="4"/>
  <c r="BE418" i="4" s="1"/>
  <c r="T380" i="4"/>
  <c r="BE380" i="4" s="1"/>
  <c r="T80" i="4"/>
  <c r="BE80" i="4" s="1"/>
  <c r="T133" i="4"/>
  <c r="BE133" i="4" s="1"/>
  <c r="T473" i="4"/>
  <c r="BE473" i="4" s="1"/>
  <c r="T348" i="4"/>
  <c r="BE348" i="4" s="1"/>
  <c r="T390" i="4"/>
  <c r="BE390" i="4" s="1"/>
  <c r="T100" i="4"/>
  <c r="BE100" i="4" s="1"/>
  <c r="T78" i="4"/>
  <c r="BE78" i="4" s="1"/>
  <c r="T95" i="4"/>
  <c r="BE95" i="4" s="1"/>
  <c r="T67" i="4"/>
  <c r="BE67" i="4" s="1"/>
  <c r="T112" i="4"/>
  <c r="BE112" i="4" s="1"/>
  <c r="T54" i="4"/>
  <c r="BE54" i="4" s="1"/>
  <c r="T163" i="4"/>
  <c r="BE163" i="4" s="1"/>
  <c r="T377" i="4"/>
  <c r="BE377" i="4" s="1"/>
  <c r="T225" i="4"/>
  <c r="BE225" i="4" s="1"/>
  <c r="T8" i="4"/>
  <c r="BE8" i="4" s="1"/>
  <c r="T89" i="4"/>
  <c r="BE89" i="4" s="1"/>
  <c r="T604" i="4"/>
  <c r="BE604" i="4" s="1"/>
  <c r="T600" i="4"/>
  <c r="BE600" i="4" s="1"/>
  <c r="T603" i="4"/>
  <c r="BE603" i="4" s="1"/>
  <c r="T173" i="4"/>
  <c r="BE173" i="4" s="1"/>
  <c r="T171" i="4"/>
  <c r="BE171" i="4" s="1"/>
  <c r="T602" i="4"/>
  <c r="BE602" i="4" s="1"/>
  <c r="T606" i="4"/>
  <c r="BE606" i="4" s="1"/>
  <c r="T601" i="4"/>
  <c r="BE601" i="4" s="1"/>
  <c r="T605" i="4"/>
  <c r="BE605" i="4" s="1"/>
  <c r="T172" i="4"/>
  <c r="BE172"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248" i="4"/>
  <c r="BE248" i="4" s="1"/>
  <c r="T194" i="4"/>
  <c r="BE194" i="4" s="1"/>
  <c r="T26" i="4"/>
  <c r="BE26" i="4" s="1"/>
  <c r="T413" i="4"/>
  <c r="BE413" i="4" s="1"/>
  <c r="T381" i="4"/>
  <c r="BE381" i="4" s="1"/>
  <c r="T238" i="4"/>
  <c r="BE238" i="4" s="1"/>
  <c r="T135" i="4"/>
  <c r="BE135" i="4" s="1"/>
  <c r="T451" i="4"/>
  <c r="BE451" i="4" s="1"/>
  <c r="T347" i="4"/>
  <c r="BE347" i="4" s="1"/>
  <c r="T393" i="4"/>
  <c r="BE393" i="4" s="1"/>
  <c r="T99" i="4"/>
  <c r="BE99" i="4" s="1"/>
  <c r="T224" i="4"/>
  <c r="BE224" i="4" s="1"/>
  <c r="T83" i="4"/>
  <c r="BE83" i="4" s="1"/>
  <c r="T201" i="4"/>
  <c r="BE201" i="4" s="1"/>
  <c r="T113" i="4"/>
  <c r="BE113" i="4" s="1"/>
  <c r="T234" i="4"/>
  <c r="BE234" i="4" s="1"/>
  <c r="T226" i="4"/>
  <c r="BE226" i="4" s="1"/>
  <c r="T379" i="4"/>
  <c r="BE379" i="4" s="1"/>
  <c r="T434" i="4"/>
  <c r="BE434" i="4" s="1"/>
  <c r="T69" i="4"/>
  <c r="BE69" i="4" s="1"/>
  <c r="T469" i="4"/>
  <c r="BE469" i="4" s="1"/>
  <c r="T222" i="4"/>
  <c r="BE222" i="4" s="1"/>
  <c r="T35" i="4"/>
  <c r="BE35" i="4" s="1"/>
  <c r="T18" i="4"/>
  <c r="BE18" i="4" s="1"/>
  <c r="T192" i="4"/>
  <c r="BE192" i="4" s="1"/>
  <c r="T22" i="4"/>
  <c r="BE22" i="4" s="1"/>
  <c r="T412" i="4"/>
  <c r="BE412" i="4" s="1"/>
  <c r="T42" i="4"/>
  <c r="BE42" i="4" s="1"/>
  <c r="T237" i="4"/>
  <c r="BE237" i="4" s="1"/>
  <c r="T453" i="4"/>
  <c r="BE453" i="4" s="1"/>
  <c r="T344" i="4"/>
  <c r="BE344" i="4" s="1"/>
  <c r="T396" i="4"/>
  <c r="BE396" i="4" s="1"/>
  <c r="T101" i="4"/>
  <c r="BE101" i="4" s="1"/>
  <c r="T256" i="4"/>
  <c r="BE256" i="4" s="1"/>
  <c r="T93" i="4"/>
  <c r="BE93" i="4" s="1"/>
  <c r="T196" i="4"/>
  <c r="BE196" i="4" s="1"/>
  <c r="T86" i="4"/>
  <c r="BE86" i="4" s="1"/>
  <c r="T403" i="4"/>
  <c r="BE403" i="4" s="1"/>
  <c r="T74" i="4"/>
  <c r="BE74" i="4" s="1"/>
  <c r="T378" i="4"/>
  <c r="BE378" i="4" s="1"/>
  <c r="T435" i="4"/>
  <c r="BE435" i="4" s="1"/>
  <c r="T77" i="4"/>
  <c r="BE77" i="4" s="1"/>
  <c r="T470" i="4"/>
  <c r="BE470" i="4" s="1"/>
  <c r="T239" i="4"/>
  <c r="BE239" i="4" s="1"/>
  <c r="T422" i="4"/>
  <c r="BE422" i="4" s="1"/>
  <c r="T249" i="4"/>
  <c r="BE249" i="4" s="1"/>
  <c r="T193" i="4"/>
  <c r="BE193" i="4" s="1"/>
  <c r="T75" i="4"/>
  <c r="BE75" i="4" s="1"/>
  <c r="T414" i="4"/>
  <c r="BE414" i="4" s="1"/>
  <c r="T21" i="4"/>
  <c r="BE21" i="4" s="1"/>
  <c r="T63" i="4"/>
  <c r="BE63" i="4" s="1"/>
  <c r="T147" i="4"/>
  <c r="BE147" i="4" s="1"/>
  <c r="T452" i="4"/>
  <c r="BE452" i="4" s="1"/>
  <c r="T346" i="4"/>
  <c r="BE346" i="4" s="1"/>
  <c r="T394" i="4"/>
  <c r="BE394" i="4" s="1"/>
  <c r="T221" i="4"/>
  <c r="BE221" i="4" s="1"/>
  <c r="T144" i="4"/>
  <c r="BE144" i="4" s="1"/>
  <c r="T399" i="4"/>
  <c r="BE399" i="4" s="1"/>
  <c r="T364" i="4"/>
  <c r="BE364" i="4" s="1"/>
  <c r="T200" i="4"/>
  <c r="BE200" i="4" s="1"/>
  <c r="T405" i="4"/>
  <c r="BE405" i="4" s="1"/>
  <c r="T66" i="4"/>
  <c r="BE66" i="4" s="1"/>
  <c r="T376" i="4"/>
  <c r="BE376" i="4" s="1"/>
  <c r="T437" i="4"/>
  <c r="BE437" i="4" s="1"/>
  <c r="T39" i="4"/>
  <c r="BE39" i="4" s="1"/>
  <c r="T467" i="4"/>
  <c r="BE467" i="4" s="1"/>
  <c r="T227" i="4"/>
  <c r="BE227" i="4" s="1"/>
  <c r="T88" i="4"/>
  <c r="BE88" i="4" s="1"/>
  <c r="T260" i="4"/>
  <c r="BE260" i="4" s="1"/>
  <c r="T94" i="4"/>
  <c r="BE94" i="4" s="1"/>
  <c r="T24" i="4"/>
  <c r="BE24" i="4" s="1"/>
  <c r="T64" i="4"/>
  <c r="BE64" i="4" s="1"/>
  <c r="T119" i="4"/>
  <c r="BE119" i="4" s="1"/>
  <c r="T43" i="4"/>
  <c r="BE43" i="4" s="1"/>
  <c r="T59" i="4"/>
  <c r="BE59" i="4" s="1"/>
  <c r="T395" i="4"/>
  <c r="BE395" i="4" s="1"/>
  <c r="T251" i="4"/>
  <c r="BE251" i="4" s="1"/>
  <c r="T404" i="4"/>
  <c r="BE404" i="4" s="1"/>
  <c r="T366" i="4"/>
  <c r="BE366" i="4" s="1"/>
  <c r="T110" i="4"/>
  <c r="BE110" i="4" s="1"/>
  <c r="T56" i="4"/>
  <c r="BE56" i="4" s="1"/>
  <c r="T402" i="4"/>
  <c r="BE402" i="4" s="1"/>
  <c r="T246" i="4"/>
  <c r="BE246" i="4" s="1"/>
  <c r="T217" i="4"/>
  <c r="BE217" i="4" s="1"/>
  <c r="T33" i="4"/>
  <c r="BE33" i="4" s="1"/>
  <c r="T438" i="4"/>
  <c r="BE438" i="4" s="1"/>
  <c r="T51" i="4"/>
  <c r="BE51" i="4" s="1"/>
  <c r="T269" i="4"/>
  <c r="BE269" i="4" s="1"/>
  <c r="T232" i="4"/>
  <c r="BE232" i="4" s="1"/>
  <c r="T468" i="4"/>
  <c r="BE468" i="4" s="1"/>
  <c r="T259" i="4"/>
  <c r="BE259" i="4" s="1"/>
  <c r="T6" i="4"/>
  <c r="BE6" i="4" s="1"/>
  <c r="T36" i="4"/>
  <c r="BE36" i="4" s="1"/>
  <c r="T123" i="4"/>
  <c r="BE123" i="4" s="1"/>
  <c r="T253" i="4"/>
  <c r="BE253" i="4" s="1"/>
  <c r="T261" i="4"/>
  <c r="BE261" i="4" s="1"/>
  <c r="T397" i="4"/>
  <c r="BE397" i="4" s="1"/>
  <c r="T166" i="4"/>
  <c r="BE166" i="4" s="1"/>
  <c r="T398" i="4"/>
  <c r="BE398" i="4" s="1"/>
  <c r="T41" i="4"/>
  <c r="BE41" i="4" s="1"/>
  <c r="T90" i="4"/>
  <c r="BE90" i="4" s="1"/>
  <c r="T401" i="4"/>
  <c r="BE401" i="4" s="1"/>
  <c r="T72" i="4"/>
  <c r="BE72" i="4" s="1"/>
  <c r="T213" i="4"/>
  <c r="BE213" i="4" s="1"/>
  <c r="T62" i="4"/>
  <c r="BE62" i="4" s="1"/>
  <c r="T436" i="4"/>
  <c r="BE436" i="4" s="1"/>
  <c r="T243" i="4"/>
  <c r="BE243" i="4" s="1"/>
  <c r="T7" i="4"/>
  <c r="BE7" i="4" s="1"/>
  <c r="T104" i="4"/>
  <c r="BE104" i="4" s="1"/>
  <c r="T131" i="4"/>
  <c r="BE131" i="4" s="1"/>
  <c r="T3" i="4"/>
  <c r="T47" i="4"/>
  <c r="BE47" i="4" s="1"/>
  <c r="T27" i="4"/>
  <c r="BE27" i="4" s="1"/>
  <c r="T122" i="4"/>
  <c r="BE122" i="4" s="1"/>
  <c r="T17" i="4"/>
  <c r="BE17" i="4" s="1"/>
  <c r="T84" i="4"/>
  <c r="BE84" i="4" s="1"/>
  <c r="T392" i="4"/>
  <c r="BE392" i="4" s="1"/>
  <c r="T102" i="4"/>
  <c r="BE102" i="4" s="1"/>
  <c r="T400" i="4"/>
  <c r="BE400" i="4" s="1"/>
  <c r="T32" i="4"/>
  <c r="BE32" i="4" s="1"/>
  <c r="T367" i="4"/>
  <c r="BE367" i="4" s="1"/>
  <c r="T197" i="4"/>
  <c r="BE197" i="4" s="1"/>
  <c r="T55" i="4"/>
  <c r="BE55" i="4" s="1"/>
  <c r="T96" i="4"/>
  <c r="BE96" i="4" s="1"/>
  <c r="T219" i="4"/>
  <c r="BE219" i="4" s="1"/>
  <c r="T61" i="4"/>
  <c r="BE61" i="4" s="1"/>
  <c r="T439" i="4"/>
  <c r="BE439" i="4" s="1"/>
  <c r="T471" i="4"/>
  <c r="BE471" i="4" s="1"/>
  <c r="T168" i="4"/>
  <c r="BE168" i="4" s="1"/>
  <c r="E594" i="7" a="1"/>
  <c r="E594" i="7" s="1"/>
  <c r="E609" i="7" a="1"/>
  <c r="E609" i="7" s="1"/>
  <c r="E622" i="7" a="1"/>
  <c r="E622" i="7" s="1"/>
  <c r="E604" i="7" a="1"/>
  <c r="E604" i="7" s="1"/>
  <c r="E617" i="7" a="1"/>
  <c r="E617" i="7" s="1"/>
  <c r="E600" i="7" a="1"/>
  <c r="E600" i="7" s="1"/>
  <c r="E646" i="7" a="1"/>
  <c r="E646" i="7" s="1"/>
  <c r="E595" i="7" a="1"/>
  <c r="E595" i="7" s="1"/>
  <c r="E610" i="7" a="1"/>
  <c r="E610" i="7" s="1"/>
  <c r="E623" i="7" a="1"/>
  <c r="E623" i="7" s="1"/>
  <c r="E605" i="7" a="1"/>
  <c r="E605" i="7" s="1"/>
  <c r="E618" i="7" a="1"/>
  <c r="E618" i="7" s="1"/>
  <c r="E601" i="7" a="1"/>
  <c r="E601" i="7" s="1"/>
  <c r="E638" i="7" a="1"/>
  <c r="E638" i="7" s="1"/>
  <c r="E596" i="7" a="1"/>
  <c r="E596" i="7" s="1"/>
  <c r="E611" i="7" a="1"/>
  <c r="E611" i="7" s="1"/>
  <c r="E624" i="7" a="1"/>
  <c r="E624" i="7" s="1"/>
  <c r="E606" i="7" a="1"/>
  <c r="E606" i="7" s="1"/>
  <c r="E619" i="7" a="1"/>
  <c r="E619" i="7" s="1"/>
  <c r="E653" i="7" a="1"/>
  <c r="E653" i="7" s="1"/>
  <c r="E637" i="7" a="1"/>
  <c r="E637" i="7" s="1"/>
  <c r="E597" i="7" a="1"/>
  <c r="E597" i="7" s="1"/>
  <c r="E612" i="7" a="1"/>
  <c r="E612" i="7" s="1"/>
  <c r="E625" i="7" a="1"/>
  <c r="E625" i="7" s="1"/>
  <c r="E607" i="7" a="1"/>
  <c r="E607" i="7" s="1"/>
  <c r="E620" i="7" a="1"/>
  <c r="E620" i="7" s="1"/>
  <c r="E602" i="7" a="1"/>
  <c r="E602" i="7" s="1"/>
  <c r="E615" i="7" a="1"/>
  <c r="E615" i="7" s="1"/>
  <c r="E598" i="7" a="1"/>
  <c r="E598" i="7" s="1"/>
  <c r="E613" i="7" a="1"/>
  <c r="E613" i="7" s="1"/>
  <c r="E608" i="7" a="1"/>
  <c r="E608" i="7" s="1"/>
  <c r="E621" i="7" a="1"/>
  <c r="E621" i="7" s="1"/>
  <c r="E603" i="7" a="1"/>
  <c r="E603" i="7" s="1"/>
  <c r="E616" i="7" a="1"/>
  <c r="E616" i="7" s="1"/>
  <c r="E599" i="7" a="1"/>
  <c r="E599" i="7" s="1"/>
  <c r="E614" i="7" a="1"/>
  <c r="E614" i="7" s="1"/>
  <c r="E592" i="7" a="1"/>
  <c r="E592" i="7" s="1"/>
  <c r="E656" i="7" a="1"/>
  <c r="E656" i="7" s="1"/>
  <c r="E593" i="7" a="1"/>
  <c r="E593" i="7" s="1"/>
  <c r="E654" i="7" a="1"/>
  <c r="E654" i="7" s="1"/>
  <c r="E565" i="7" a="1"/>
  <c r="E565" i="7" s="1"/>
  <c r="E573" i="7" a="1"/>
  <c r="E573" i="7" s="1"/>
  <c r="E575" i="7" a="1"/>
  <c r="E575" i="7" s="1"/>
  <c r="E577" i="7" a="1"/>
  <c r="E577" i="7" s="1"/>
  <c r="E579" i="7" a="1"/>
  <c r="E579" i="7" s="1"/>
  <c r="E581" i="7" a="1"/>
  <c r="E581" i="7" s="1"/>
  <c r="E583" i="7" a="1"/>
  <c r="E583" i="7" s="1"/>
  <c r="E589" i="7" a="1"/>
  <c r="E589" i="7" s="1"/>
  <c r="E591" i="7" a="1"/>
  <c r="E591" i="7" s="1"/>
  <c r="E588" i="7" a="1"/>
  <c r="E588" i="7" s="1"/>
  <c r="E587" i="7" a="1"/>
  <c r="E587" i="7" s="1"/>
  <c r="E590" i="7" a="1"/>
  <c r="E590" i="7" s="1"/>
  <c r="E585" i="7" a="1"/>
  <c r="E585" i="7" s="1"/>
  <c r="E582" i="7" a="1"/>
  <c r="E582" i="7" s="1"/>
  <c r="E584" i="7" a="1"/>
  <c r="E584" i="7" s="1"/>
  <c r="E572" i="7" a="1"/>
  <c r="E572" i="7" s="1"/>
  <c r="E574" i="7" a="1"/>
  <c r="E574" i="7" s="1"/>
  <c r="E576" i="7" a="1"/>
  <c r="E576" i="7" s="1"/>
  <c r="E578" i="7" a="1"/>
  <c r="E578" i="7" s="1"/>
  <c r="E580" i="7" a="1"/>
  <c r="E580" i="7" s="1"/>
  <c r="E586" i="7" a="1"/>
  <c r="E586" i="7" s="1"/>
  <c r="E537" i="7" a="1"/>
  <c r="E537" i="7" s="1"/>
  <c r="E540" i="7" a="1"/>
  <c r="E540" i="7" s="1"/>
  <c r="E543" i="7" a="1"/>
  <c r="E543" i="7" s="1"/>
  <c r="E545" i="7" a="1"/>
  <c r="E545" i="7" s="1"/>
  <c r="E547" i="7" a="1"/>
  <c r="E547" i="7" s="1"/>
  <c r="E549" i="7" a="1"/>
  <c r="E549" i="7" s="1"/>
  <c r="E553" i="7" a="1"/>
  <c r="E553" i="7" s="1"/>
  <c r="E557" i="7" a="1"/>
  <c r="E557" i="7" s="1"/>
  <c r="E563" i="7" a="1"/>
  <c r="E563" i="7" s="1"/>
  <c r="E570" i="7" a="1"/>
  <c r="E570" i="7" s="1"/>
  <c r="E568" i="7" a="1"/>
  <c r="E568" i="7" s="1"/>
  <c r="E554" i="7" a="1"/>
  <c r="E554" i="7" s="1"/>
  <c r="E556" i="7" a="1"/>
  <c r="E556" i="7" s="1"/>
  <c r="E558" i="7" a="1"/>
  <c r="E558" i="7" s="1"/>
  <c r="E552" i="7" a="1"/>
  <c r="E552" i="7" s="1"/>
  <c r="E539" i="7" a="1"/>
  <c r="E539" i="7" s="1"/>
  <c r="E541" i="7" a="1"/>
  <c r="E541" i="7" s="1"/>
  <c r="E544" i="7" a="1"/>
  <c r="E544" i="7" s="1"/>
  <c r="E546" i="7" a="1"/>
  <c r="E546" i="7" s="1"/>
  <c r="E548" i="7" a="1"/>
  <c r="E548" i="7" s="1"/>
  <c r="E550" i="7" a="1"/>
  <c r="E550" i="7" s="1"/>
  <c r="E560" i="7" a="1"/>
  <c r="E560" i="7" s="1"/>
  <c r="E569" i="7" a="1"/>
  <c r="E569" i="7" s="1"/>
  <c r="E571" i="7" a="1"/>
  <c r="E571" i="7" s="1"/>
  <c r="E551" i="7" a="1"/>
  <c r="E551" i="7" s="1"/>
  <c r="E555" i="7" a="1"/>
  <c r="E555" i="7" s="1"/>
  <c r="E559" i="7" a="1"/>
  <c r="E559" i="7" s="1"/>
  <c r="E567" i="7" a="1"/>
  <c r="E567" i="7" s="1"/>
  <c r="E566" i="7" a="1"/>
  <c r="E566" i="7" s="1"/>
  <c r="BF3" i="4"/>
  <c r="E518" i="7" a="1"/>
  <c r="E518" i="7" s="1"/>
  <c r="E526" i="7" a="1"/>
  <c r="E526" i="7" s="1"/>
  <c r="E519" i="7" a="1"/>
  <c r="E519" i="7" s="1"/>
  <c r="E527" i="7" a="1"/>
  <c r="E527" i="7" s="1"/>
  <c r="E530" i="7" a="1"/>
  <c r="E530" i="7" s="1"/>
  <c r="E520" i="7" a="1"/>
  <c r="E520" i="7" s="1"/>
  <c r="E528" i="7" a="1"/>
  <c r="E528" i="7" s="1"/>
  <c r="E535" i="7" a="1"/>
  <c r="E535" i="7" s="1"/>
  <c r="E521" i="7" a="1"/>
  <c r="E521" i="7" s="1"/>
  <c r="E529" i="7" a="1"/>
  <c r="E529" i="7" s="1"/>
  <c r="E536" i="7" a="1"/>
  <c r="E536" i="7" s="1"/>
  <c r="E538" i="7" a="1"/>
  <c r="E538" i="7" s="1"/>
  <c r="E561" i="7" a="1"/>
  <c r="E561" i="7" s="1"/>
  <c r="E522" i="7" a="1"/>
  <c r="E522" i="7" s="1"/>
  <c r="E531" i="7" a="1"/>
  <c r="E531" i="7" s="1"/>
  <c r="E523" i="7" a="1"/>
  <c r="E523" i="7" s="1"/>
  <c r="E534" i="7" a="1"/>
  <c r="E534" i="7" s="1"/>
  <c r="E564" i="7" a="1"/>
  <c r="E564" i="7" s="1"/>
  <c r="E524" i="7" a="1"/>
  <c r="E524" i="7" s="1"/>
  <c r="E525" i="7" a="1"/>
  <c r="E525" i="7" s="1"/>
  <c r="E562" i="7" a="1"/>
  <c r="E562" i="7" s="1"/>
  <c r="E661" i="7" a="1"/>
  <c r="E661" i="7" s="1"/>
  <c r="E512" i="7" a="1"/>
  <c r="E512" i="7" s="1"/>
  <c r="E514" i="7" a="1"/>
  <c r="E514" i="7" s="1"/>
  <c r="E516" i="7" a="1"/>
  <c r="E516" i="7" s="1"/>
  <c r="E517" i="7" a="1"/>
  <c r="E517" i="7" s="1"/>
  <c r="E513" i="7" a="1"/>
  <c r="E513" i="7" s="1"/>
  <c r="E515" i="7" a="1"/>
  <c r="E515" i="7" s="1"/>
  <c r="E458" i="7" a="1"/>
  <c r="E458" i="7" s="1"/>
  <c r="E748" i="7" a="1"/>
  <c r="E748" i="7" s="1"/>
  <c r="E713" i="7" a="1"/>
  <c r="E713" i="7" s="1"/>
  <c r="E489" i="7" a="1"/>
  <c r="E489" i="7" s="1"/>
  <c r="E505" i="7" a="1"/>
  <c r="E505" i="7" s="1"/>
  <c r="E462" i="7" a="1"/>
  <c r="E462" i="7" s="1"/>
  <c r="E734" i="7" a="1"/>
  <c r="E734" i="7" s="1"/>
  <c r="E484" i="7" a="1"/>
  <c r="E484" i="7" s="1"/>
  <c r="E500" i="7" a="1"/>
  <c r="E500" i="7" s="1"/>
  <c r="E486" i="7" a="1"/>
  <c r="E486" i="7" s="1"/>
  <c r="E750" i="7" a="1"/>
  <c r="E750" i="7" s="1"/>
  <c r="E747" i="7" a="1"/>
  <c r="E747" i="7" s="1"/>
  <c r="E476" i="7" a="1"/>
  <c r="E476" i="7" s="1"/>
  <c r="E492" i="7" a="1"/>
  <c r="E492" i="7" s="1"/>
  <c r="E683" i="7" a="1"/>
  <c r="E683" i="7" s="1"/>
  <c r="E532" i="7" a="1"/>
  <c r="E532" i="7" s="1"/>
  <c r="E473" i="7" a="1"/>
  <c r="E473" i="7" s="1"/>
  <c r="E487" i="7" a="1"/>
  <c r="E487" i="7" s="1"/>
  <c r="E503" i="7" a="1"/>
  <c r="E503" i="7" s="1"/>
  <c r="E511" i="7" a="1"/>
  <c r="E511" i="7" s="1"/>
  <c r="E463" i="7" a="1"/>
  <c r="E463" i="7" s="1"/>
  <c r="E467" i="7" a="1"/>
  <c r="E467" i="7" s="1"/>
  <c r="E479" i="7" a="1"/>
  <c r="E479" i="7" s="1"/>
  <c r="E495" i="7" a="1"/>
  <c r="E495" i="7" s="1"/>
  <c r="E507" i="7" a="1"/>
  <c r="E507" i="7" s="1"/>
  <c r="E470" i="7" a="1"/>
  <c r="E470" i="7" s="1"/>
  <c r="E482" i="7" a="1"/>
  <c r="E482" i="7" s="1"/>
  <c r="E498" i="7" a="1"/>
  <c r="E498" i="7" s="1"/>
  <c r="E510" i="7" a="1"/>
  <c r="E510" i="7" s="1"/>
  <c r="E459" i="7" a="1"/>
  <c r="E459" i="7" s="1"/>
  <c r="E465" i="7" a="1"/>
  <c r="E465" i="7" s="1"/>
  <c r="E474" i="7" a="1"/>
  <c r="E474" i="7" s="1"/>
  <c r="E490" i="7" a="1"/>
  <c r="E490" i="7" s="1"/>
  <c r="E688" i="7" a="1"/>
  <c r="E688" i="7" s="1"/>
  <c r="E494" i="7" a="1"/>
  <c r="E494" i="7" s="1"/>
  <c r="E723" i="7" a="1"/>
  <c r="E723" i="7" s="1"/>
  <c r="E485" i="7" a="1"/>
  <c r="E485" i="7" s="1"/>
  <c r="E501" i="7" a="1"/>
  <c r="E501" i="7" s="1"/>
  <c r="E533" i="7" a="1"/>
  <c r="E533" i="7" s="1"/>
  <c r="E461" i="7" a="1"/>
  <c r="E461" i="7" s="1"/>
  <c r="E743" i="7" a="1"/>
  <c r="E743" i="7" s="1"/>
  <c r="E477" i="7" a="1"/>
  <c r="E477" i="7" s="1"/>
  <c r="E493" i="7" a="1"/>
  <c r="E493" i="7" s="1"/>
  <c r="E667" i="7" a="1"/>
  <c r="E667" i="7" s="1"/>
  <c r="E502" i="7" a="1"/>
  <c r="E502" i="7" s="1"/>
  <c r="E721" i="7" a="1"/>
  <c r="E721" i="7" s="1"/>
  <c r="E488" i="7" a="1"/>
  <c r="E488" i="7" s="1"/>
  <c r="E504" i="7" a="1"/>
  <c r="E504" i="7" s="1"/>
  <c r="E741" i="7" a="1"/>
  <c r="E741" i="7" s="1"/>
  <c r="E464" i="7" a="1"/>
  <c r="E464" i="7" s="1"/>
  <c r="E468" i="7" a="1"/>
  <c r="E468" i="7" s="1"/>
  <c r="E480" i="7" a="1"/>
  <c r="E480" i="7" s="1"/>
  <c r="E496" i="7" a="1"/>
  <c r="E496" i="7" s="1"/>
  <c r="E508" i="7" a="1"/>
  <c r="E508" i="7" s="1"/>
  <c r="E478" i="7" a="1"/>
  <c r="E478" i="7" s="1"/>
  <c r="E471" i="7" a="1"/>
  <c r="E471" i="7" s="1"/>
  <c r="E483" i="7" a="1"/>
  <c r="E483" i="7" s="1"/>
  <c r="E499" i="7" a="1"/>
  <c r="E499" i="7" s="1"/>
  <c r="E472" i="7" a="1"/>
  <c r="E472" i="7" s="1"/>
  <c r="E460" i="7" a="1"/>
  <c r="E460" i="7" s="1"/>
  <c r="E466" i="7" a="1"/>
  <c r="E466" i="7" s="1"/>
  <c r="E475" i="7" a="1"/>
  <c r="E475" i="7" s="1"/>
  <c r="E491" i="7" a="1"/>
  <c r="E491" i="7" s="1"/>
  <c r="E684" i="7" a="1"/>
  <c r="E684" i="7" s="1"/>
  <c r="E506" i="7" a="1"/>
  <c r="E506" i="7" s="1"/>
  <c r="E469" i="7" a="1"/>
  <c r="E469" i="7" s="1"/>
  <c r="E481" i="7" a="1"/>
  <c r="E481" i="7" s="1"/>
  <c r="E497" i="7" a="1"/>
  <c r="E497" i="7" s="1"/>
  <c r="E509" i="7" a="1"/>
  <c r="E509" i="7" s="1"/>
  <c r="E904" i="7" a="1"/>
  <c r="E904" i="7" s="1"/>
  <c r="E886" i="7" a="1"/>
  <c r="E886" i="7" s="1"/>
  <c r="E885" i="7" a="1"/>
  <c r="E885" i="7" s="1"/>
  <c r="E891" i="7" a="1"/>
  <c r="E891" i="7" s="1"/>
  <c r="E901" i="7" a="1"/>
  <c r="E901" i="7" s="1"/>
  <c r="E903" i="7" a="1"/>
  <c r="E903" i="7" s="1"/>
  <c r="E899" i="7" a="1"/>
  <c r="E899" i="7" s="1"/>
  <c r="E902" i="7" a="1"/>
  <c r="E902" i="7" s="1"/>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372" i="7" a="1"/>
  <c r="E372" i="7" s="1"/>
  <c r="E373" i="7" a="1"/>
  <c r="E373" i="7" s="1"/>
  <c r="E380" i="7" a="1"/>
  <c r="E380" i="7" s="1"/>
  <c r="E922" i="7" a="1"/>
  <c r="E922" i="7" s="1"/>
  <c r="E921" i="7" a="1"/>
  <c r="E921" i="7" s="1"/>
  <c r="E905" i="7" a="1"/>
  <c r="E905" i="7" s="1"/>
  <c r="E374" i="7" a="1"/>
  <c r="E374" i="7" s="1"/>
  <c r="E909" i="7" a="1"/>
  <c r="E909" i="7" s="1"/>
  <c r="E914" i="7" a="1"/>
  <c r="E914" i="7" s="1"/>
  <c r="E935" i="7" a="1"/>
  <c r="E935" i="7" s="1"/>
  <c r="E911" i="7" a="1"/>
  <c r="E911" i="7" s="1"/>
  <c r="E908" i="7" a="1"/>
  <c r="E908" i="7" s="1"/>
  <c r="E378" i="7" a="1"/>
  <c r="E378" i="7" s="1"/>
  <c r="E913" i="7" a="1"/>
  <c r="E913" i="7" s="1"/>
  <c r="E376" i="7" a="1"/>
  <c r="E376" i="7" s="1"/>
  <c r="E916" i="7" a="1"/>
  <c r="E916" i="7" s="1"/>
  <c r="E912" i="7" a="1"/>
  <c r="E912" i="7" s="1"/>
  <c r="E929" i="7" a="1"/>
  <c r="E929" i="7" s="1"/>
  <c r="E907" i="7" a="1"/>
  <c r="E907" i="7" s="1"/>
  <c r="E934" i="7" a="1"/>
  <c r="E934" i="7" s="1"/>
  <c r="E375" i="7" a="1"/>
  <c r="E375" i="7" s="1"/>
  <c r="E377" i="7" a="1"/>
  <c r="E377" i="7" s="1"/>
  <c r="E906" i="7" a="1"/>
  <c r="E906" i="7" s="1"/>
  <c r="E379" i="7" a="1"/>
  <c r="E379" i="7" s="1"/>
  <c r="E910" i="7" a="1"/>
  <c r="E910" i="7" s="1"/>
  <c r="E928" i="7" a="1"/>
  <c r="E928" i="7" s="1"/>
  <c r="E940" i="7" a="1"/>
  <c r="E940" i="7" s="1"/>
  <c r="E370" i="7" a="1"/>
  <c r="E370" i="7" s="1"/>
  <c r="E936" i="7" a="1"/>
  <c r="E936" i="7" s="1"/>
  <c r="E937" i="7" a="1"/>
  <c r="E937" i="7" s="1"/>
  <c r="E939" i="7" a="1"/>
  <c r="E939" i="7" s="1"/>
  <c r="E938" i="7" a="1"/>
  <c r="E938" i="7" s="1"/>
  <c r="E371" i="7" a="1"/>
  <c r="E371" i="7" s="1"/>
  <c r="E943" i="7" a="1"/>
  <c r="E943" i="7" s="1"/>
  <c r="E942" i="7" a="1"/>
  <c r="E942" i="7" s="1"/>
  <c r="E5" i="7" a="1"/>
  <c r="E5" i="7" s="1"/>
  <c r="E959" i="7" a="1"/>
  <c r="E959" i="7" s="1"/>
  <c r="E967" i="7" a="1"/>
  <c r="E967" i="7" s="1"/>
  <c r="E945" i="7" a="1"/>
  <c r="E945" i="7" s="1"/>
  <c r="E956" i="7" a="1"/>
  <c r="E956" i="7" s="1"/>
  <c r="E965" i="7" a="1"/>
  <c r="E965" i="7" s="1"/>
  <c r="E369" i="7" a="1"/>
  <c r="E369" i="7" s="1"/>
  <c r="E951" i="7" a="1"/>
  <c r="E951" i="7" s="1"/>
  <c r="E962" i="7" a="1"/>
  <c r="E962" i="7" s="1"/>
  <c r="E949" i="7" a="1"/>
  <c r="E949" i="7" s="1"/>
  <c r="E960" i="7" a="1"/>
  <c r="E960" i="7" s="1"/>
  <c r="E948" i="7" a="1"/>
  <c r="E948" i="7" s="1"/>
  <c r="E947" i="7" a="1"/>
  <c r="E947" i="7" s="1"/>
  <c r="E958" i="7" a="1"/>
  <c r="E958" i="7" s="1"/>
  <c r="E966" i="7" a="1"/>
  <c r="E966" i="7" s="1"/>
  <c r="E944" i="7" a="1"/>
  <c r="E944" i="7" s="1"/>
  <c r="E955" i="7" a="1"/>
  <c r="E955" i="7" s="1"/>
  <c r="E963" i="7" a="1"/>
  <c r="E963" i="7" s="1"/>
  <c r="E950" i="7" a="1"/>
  <c r="E950" i="7" s="1"/>
  <c r="E961" i="7" a="1"/>
  <c r="E961" i="7" s="1"/>
  <c r="E941" i="7" a="1"/>
  <c r="E941" i="7" s="1"/>
  <c r="E133" i="7" a="1"/>
  <c r="E133" i="7" s="1"/>
  <c r="E968" i="7" a="1"/>
  <c r="E968" i="7" s="1"/>
  <c r="E364" i="7" a="1"/>
  <c r="E364" i="7" s="1"/>
  <c r="E368" i="7" a="1"/>
  <c r="E368" i="7" s="1"/>
  <c r="E970" i="7" a="1"/>
  <c r="E970" i="7" s="1"/>
  <c r="E969" i="7" a="1"/>
  <c r="E969" i="7" s="1"/>
  <c r="E367" i="7" a="1"/>
  <c r="E367" i="7" s="1"/>
  <c r="E3" i="5"/>
  <c r="E340" i="7" a="1"/>
  <c r="E340" i="7" s="1"/>
  <c r="E348" i="7" a="1"/>
  <c r="E348" i="7" s="1"/>
  <c r="E355" i="7" a="1"/>
  <c r="E355" i="7" s="1"/>
  <c r="E363" i="7" a="1"/>
  <c r="E363" i="7" s="1"/>
  <c r="E345" i="7" a="1"/>
  <c r="E345" i="7" s="1"/>
  <c r="E388" i="7" a="1"/>
  <c r="E388" i="7" s="1"/>
  <c r="E341" i="7" a="1"/>
  <c r="E341" i="7" s="1"/>
  <c r="E349" i="7" a="1"/>
  <c r="E349" i="7" s="1"/>
  <c r="E953" i="7" a="1"/>
  <c r="E953" i="7" s="1"/>
  <c r="E952" i="7" a="1"/>
  <c r="E952" i="7" s="1"/>
  <c r="E335" i="7" a="1"/>
  <c r="E335" i="7" s="1"/>
  <c r="E342" i="7" a="1"/>
  <c r="E342" i="7" s="1"/>
  <c r="E350" i="7" a="1"/>
  <c r="E350" i="7" s="1"/>
  <c r="E972" i="7" a="1"/>
  <c r="E972" i="7" s="1"/>
  <c r="E336" i="7" a="1"/>
  <c r="E336" i="7" s="1"/>
  <c r="E343" i="7" a="1"/>
  <c r="E343" i="7" s="1"/>
  <c r="E351" i="7" a="1"/>
  <c r="E351" i="7" s="1"/>
  <c r="E954" i="7" a="1"/>
  <c r="E954" i="7" s="1"/>
  <c r="E971" i="7" a="1"/>
  <c r="E971" i="7" s="1"/>
  <c r="E352" i="7" a="1"/>
  <c r="E352" i="7" s="1"/>
  <c r="E337" i="7" a="1"/>
  <c r="E337" i="7" s="1"/>
  <c r="E344" i="7" a="1"/>
  <c r="E344" i="7" s="1"/>
  <c r="E338" i="7" a="1"/>
  <c r="E338" i="7" s="1"/>
  <c r="E346" i="7" a="1"/>
  <c r="E346" i="7" s="1"/>
  <c r="E353" i="7" a="1"/>
  <c r="E353" i="7" s="1"/>
  <c r="E339" i="7" a="1"/>
  <c r="E339" i="7" s="1"/>
  <c r="E347" i="7" a="1"/>
  <c r="E347" i="7" s="1"/>
  <c r="E354" i="7" a="1"/>
  <c r="E354" i="7" s="1"/>
  <c r="E362" i="7" a="1"/>
  <c r="E362" i="7" s="1"/>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F884" i="7"/>
  <c r="K85" i="5" l="1"/>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4" i="4"/>
  <c r="U3" i="4"/>
  <c r="BE3" i="4"/>
  <c r="U532" i="4"/>
  <c r="U471" i="4"/>
  <c r="U466" i="4"/>
  <c r="U469" i="4"/>
  <c r="U467" i="4"/>
  <c r="U470" i="4"/>
  <c r="U468"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101"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99"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98" i="4"/>
  <c r="U230" i="4"/>
  <c r="U295" i="4"/>
  <c r="U349" i="4"/>
  <c r="U234" i="4"/>
  <c r="U35" i="4"/>
  <c r="U115" i="4"/>
  <c r="U292" i="4"/>
  <c r="U252" i="4"/>
  <c r="U97" i="4"/>
  <c r="U254" i="4"/>
  <c r="U260" i="4"/>
  <c r="U236" i="4"/>
  <c r="U228" i="4"/>
  <c r="U139" i="4"/>
  <c r="U340" i="4"/>
  <c r="U283" i="4"/>
  <c r="U398" i="4"/>
  <c r="U105" i="4"/>
  <c r="U143" i="4"/>
  <c r="U286" i="4"/>
  <c r="U288" i="4"/>
  <c r="U253" i="4"/>
  <c r="U100" i="4"/>
  <c r="U158" i="4"/>
  <c r="U311" i="4"/>
  <c r="U117" i="4"/>
  <c r="U215" i="4"/>
  <c r="U399" i="4"/>
  <c r="U350" i="4"/>
  <c r="U255" i="4"/>
  <c r="U123" i="4"/>
  <c r="U320" i="4"/>
  <c r="U294" i="4"/>
  <c r="U102"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I884" i="7"/>
  <c r="H884" i="7"/>
  <c r="T206" i="4" l="1"/>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19" i="4"/>
  <c r="BE619" i="4" s="1"/>
  <c r="T621" i="4"/>
  <c r="BE621" i="4" s="1"/>
  <c r="T516" i="4"/>
  <c r="BE516" i="4" s="1"/>
  <c r="T488" i="4"/>
  <c r="BE488" i="4" s="1"/>
  <c r="T506" i="4"/>
  <c r="BE506" i="4" s="1"/>
  <c r="T592" i="4"/>
  <c r="BE592" i="4" s="1"/>
  <c r="T371" i="4"/>
  <c r="BE371" i="4" s="1"/>
  <c r="T388" i="4"/>
  <c r="BE388" i="4" s="1"/>
  <c r="T625" i="4"/>
  <c r="BE625"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4" i="4"/>
  <c r="BE624" i="4" s="1"/>
  <c r="T626" i="4"/>
  <c r="BE626"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3" i="4"/>
  <c r="BE623"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2" i="4"/>
  <c r="BE622" i="4" s="1"/>
  <c r="T514" i="4"/>
  <c r="BE514" i="4" s="1"/>
  <c r="T491" i="4"/>
  <c r="BE491" i="4" s="1"/>
  <c r="T562" i="4"/>
  <c r="BE562" i="4" s="1"/>
  <c r="T411" i="4"/>
  <c r="BE411" i="4" s="1"/>
  <c r="T389" i="4"/>
  <c r="BE389" i="4" s="1"/>
  <c r="T620" i="4"/>
  <c r="BE620"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E359" i="7" a="1"/>
  <c r="E359" i="7" s="1"/>
  <c r="E358" i="7" a="1"/>
  <c r="E358" i="7" s="1"/>
  <c r="E357" i="7" a="1"/>
  <c r="E357" i="7" s="1"/>
  <c r="E356" i="7" a="1"/>
  <c r="E356" i="7" s="1"/>
  <c r="E366" i="7" a="1"/>
  <c r="E366" i="7" s="1"/>
  <c r="E334" i="7" a="1"/>
  <c r="E334" i="7" s="1"/>
  <c r="E365" i="7" a="1"/>
  <c r="E365" i="7" s="1"/>
  <c r="E333" i="7" a="1"/>
  <c r="E333" i="7" s="1"/>
  <c r="E320" i="7" a="1"/>
  <c r="E320" i="7" s="1"/>
  <c r="E332" i="7" a="1"/>
  <c r="E332" i="7" s="1"/>
  <c r="E319" i="7" a="1"/>
  <c r="E319" i="7" s="1"/>
  <c r="E331" i="7" a="1"/>
  <c r="E331" i="7" s="1"/>
  <c r="E318" i="7" a="1"/>
  <c r="E318" i="7" s="1"/>
  <c r="E330" i="7" a="1"/>
  <c r="E330" i="7" s="1"/>
  <c r="E315" i="7" a="1"/>
  <c r="E315" i="7" s="1"/>
  <c r="E317" i="7" a="1"/>
  <c r="E317" i="7" s="1"/>
  <c r="E329" i="7" a="1"/>
  <c r="E329" i="7" s="1"/>
  <c r="E316" i="7" a="1"/>
  <c r="E316" i="7" s="1"/>
  <c r="E328" i="7" a="1"/>
  <c r="E328" i="7" s="1"/>
  <c r="E327" i="7" a="1"/>
  <c r="E327" i="7" s="1"/>
  <c r="E326" i="7" a="1"/>
  <c r="E326" i="7" s="1"/>
  <c r="E321" i="7" a="1"/>
  <c r="E321" i="7" s="1"/>
  <c r="E360" i="7" a="1"/>
  <c r="E360" i="7" s="1"/>
  <c r="E361" i="7" a="1"/>
  <c r="E361" i="7" s="1"/>
  <c r="F3" i="5"/>
  <c r="K3" i="5" s="1"/>
  <c r="E398" i="7" a="1"/>
  <c r="E398" i="7" s="1"/>
  <c r="E865" i="7" a="1"/>
  <c r="E865" i="7" s="1"/>
  <c r="E323" i="7" a="1"/>
  <c r="E323" i="7" s="1"/>
  <c r="E974" i="7" a="1"/>
  <c r="E974" i="7" s="1"/>
  <c r="E976" i="7" a="1"/>
  <c r="E976" i="7" s="1"/>
  <c r="E324" i="7" a="1"/>
  <c r="E324" i="7" s="1"/>
  <c r="E313" i="7" a="1"/>
  <c r="E313" i="7" s="1"/>
  <c r="E314" i="7" a="1"/>
  <c r="E314" i="7" s="1"/>
  <c r="E973" i="7" a="1"/>
  <c r="E973" i="7" s="1"/>
  <c r="E774" i="7" a="1"/>
  <c r="E774" i="7" s="1"/>
  <c r="E322" i="7" a="1"/>
  <c r="E322" i="7" s="1"/>
  <c r="E325" i="7" a="1"/>
  <c r="E325" i="7" s="1"/>
  <c r="E975" i="7" a="1"/>
  <c r="E975" i="7" s="1"/>
  <c r="E883" i="7" a="1"/>
  <c r="E883" i="7" s="1"/>
  <c r="E382" i="7" a="1"/>
  <c r="E382" i="7" s="1"/>
  <c r="E866" i="7" a="1"/>
  <c r="E866" i="7" s="1"/>
  <c r="E641" i="7" a="1"/>
  <c r="E641" i="7" s="1"/>
  <c r="E643" i="7" a="1"/>
  <c r="E643" i="7" s="1"/>
  <c r="E404" i="7" a="1"/>
  <c r="E404" i="7" s="1"/>
  <c r="E857" i="7" a="1"/>
  <c r="E857" i="7" s="1"/>
  <c r="E413" i="7" a="1"/>
  <c r="E413" i="7" s="1"/>
  <c r="E848" i="7" a="1"/>
  <c r="E848" i="7" s="1"/>
  <c r="E840" i="7" a="1"/>
  <c r="E840" i="7" s="1"/>
  <c r="E421" i="7" a="1"/>
  <c r="E421" i="7" s="1"/>
  <c r="E650" i="7" a="1"/>
  <c r="E650" i="7" s="1"/>
  <c r="E431" i="7" a="1"/>
  <c r="E431" i="7" s="1"/>
  <c r="E9" i="7" a="1"/>
  <c r="E9" i="7" s="1"/>
  <c r="E11" i="7" a="1"/>
  <c r="E11" i="7" s="1"/>
  <c r="E816" i="7" a="1"/>
  <c r="E816" i="7" s="1"/>
  <c r="E664" i="7" a="1"/>
  <c r="E664" i="7" s="1"/>
  <c r="E793" i="7" a="1"/>
  <c r="E793" i="7" s="1"/>
  <c r="E756" i="7" a="1"/>
  <c r="E756" i="7" s="1"/>
  <c r="E450" i="7" a="1"/>
  <c r="E450" i="7" s="1"/>
  <c r="E456" i="7" a="1"/>
  <c r="E456" i="7" s="1"/>
  <c r="E674" i="7" a="1"/>
  <c r="E674" i="7" s="1"/>
  <c r="E681" i="7" a="1"/>
  <c r="E681" i="7" s="1"/>
  <c r="E689" i="7" a="1"/>
  <c r="E689" i="7" s="1"/>
  <c r="E693" i="7" a="1"/>
  <c r="E693" i="7" s="1"/>
  <c r="E703" i="7" a="1"/>
  <c r="E703" i="7" s="1"/>
  <c r="E708" i="7" a="1"/>
  <c r="E708" i="7" s="1"/>
  <c r="E714" i="7" a="1"/>
  <c r="E714" i="7" s="1"/>
  <c r="E719" i="7" a="1"/>
  <c r="E719" i="7" s="1"/>
  <c r="E730" i="7" a="1"/>
  <c r="E730" i="7" s="1"/>
  <c r="E736" i="7" a="1"/>
  <c r="E736" i="7" s="1"/>
  <c r="E742" i="7" a="1"/>
  <c r="E742" i="7" s="1"/>
  <c r="E28" i="7" a="1"/>
  <c r="E28" i="7" s="1"/>
  <c r="E759" i="7" a="1"/>
  <c r="E759" i="7" s="1"/>
  <c r="E765" i="7" a="1"/>
  <c r="E765" i="7" s="1"/>
  <c r="E37" i="7" a="1"/>
  <c r="E37" i="7" s="1"/>
  <c r="E40" i="7" a="1"/>
  <c r="E40" i="7" s="1"/>
  <c r="E791" i="7" a="1"/>
  <c r="E791" i="7" s="1"/>
  <c r="E48" i="7" a="1"/>
  <c r="E48" i="7" s="1"/>
  <c r="E804" i="7" a="1"/>
  <c r="E804" i="7" s="1"/>
  <c r="E810" i="7" a="1"/>
  <c r="E810" i="7" s="1"/>
  <c r="E64" i="7" a="1"/>
  <c r="E64" i="7" s="1"/>
  <c r="E383" i="7" a="1"/>
  <c r="E383" i="7" s="1"/>
  <c r="E385" i="7" a="1"/>
  <c r="E385" i="7" s="1"/>
  <c r="E640" i="7" a="1"/>
  <c r="E640" i="7" s="1"/>
  <c r="E393" i="7" a="1"/>
  <c r="E393" i="7" s="1"/>
  <c r="E864" i="7" a="1"/>
  <c r="E864" i="7" s="1"/>
  <c r="E408" i="7" a="1"/>
  <c r="E408" i="7" s="1"/>
  <c r="E856" i="7" a="1"/>
  <c r="E856" i="7" s="1"/>
  <c r="E855" i="7" a="1"/>
  <c r="E855" i="7" s="1"/>
  <c r="E839" i="7" a="1"/>
  <c r="E839" i="7" s="1"/>
  <c r="E415" i="7" a="1"/>
  <c r="E415" i="7" s="1"/>
  <c r="E422" i="7" a="1"/>
  <c r="E422" i="7" s="1"/>
  <c r="E651" i="7" a="1"/>
  <c r="E651" i="7" s="1"/>
  <c r="E437" i="7" a="1"/>
  <c r="E437" i="7" s="1"/>
  <c r="E10" i="7" a="1"/>
  <c r="E10" i="7" s="1"/>
  <c r="E657" i="7" a="1"/>
  <c r="E657" i="7" s="1"/>
  <c r="E12" i="7" a="1"/>
  <c r="E12" i="7" s="1"/>
  <c r="E787" i="7" a="1"/>
  <c r="E787" i="7" s="1"/>
  <c r="E769" i="7" a="1"/>
  <c r="E769" i="7" s="1"/>
  <c r="E14" i="7" a="1"/>
  <c r="E14" i="7" s="1"/>
  <c r="E669" i="7" a="1"/>
  <c r="E669" i="7" s="1"/>
  <c r="E675" i="7" a="1"/>
  <c r="E675" i="7" s="1"/>
  <c r="E694" i="7" a="1"/>
  <c r="E694" i="7" s="1"/>
  <c r="E704" i="7" a="1"/>
  <c r="E704" i="7" s="1"/>
  <c r="E709" i="7" a="1"/>
  <c r="E709" i="7" s="1"/>
  <c r="E720" i="7" a="1"/>
  <c r="E720" i="7" s="1"/>
  <c r="E725" i="7" a="1"/>
  <c r="E725" i="7" s="1"/>
  <c r="E731" i="7" a="1"/>
  <c r="E731" i="7" s="1"/>
  <c r="E737" i="7" a="1"/>
  <c r="E737" i="7" s="1"/>
  <c r="E29" i="7" a="1"/>
  <c r="E29" i="7" s="1"/>
  <c r="E753" i="7" a="1"/>
  <c r="E753" i="7" s="1"/>
  <c r="E760" i="7" a="1"/>
  <c r="E760" i="7" s="1"/>
  <c r="E766" i="7" a="1"/>
  <c r="E766" i="7" s="1"/>
  <c r="E780" i="7" a="1"/>
  <c r="E780" i="7" s="1"/>
  <c r="E785" i="7" a="1"/>
  <c r="E785" i="7" s="1"/>
  <c r="E792" i="7" a="1"/>
  <c r="E792" i="7" s="1"/>
  <c r="E49" i="7" a="1"/>
  <c r="E49" i="7" s="1"/>
  <c r="E811" i="7" a="1"/>
  <c r="E811" i="7" s="1"/>
  <c r="E58" i="7" a="1"/>
  <c r="E58" i="7" s="1"/>
  <c r="E65" i="7" a="1"/>
  <c r="E65" i="7" s="1"/>
  <c r="E635" i="7" a="1"/>
  <c r="E635" i="7" s="1"/>
  <c r="E873" i="7" a="1"/>
  <c r="E873" i="7" s="1"/>
  <c r="E869" i="7" a="1"/>
  <c r="E869" i="7" s="1"/>
  <c r="E394" i="7" a="1"/>
  <c r="E394" i="7" s="1"/>
  <c r="E399" i="7" a="1"/>
  <c r="E399" i="7" s="1"/>
  <c r="E405" i="7" a="1"/>
  <c r="E405" i="7" s="1"/>
  <c r="E861" i="7" a="1"/>
  <c r="E861" i="7" s="1"/>
  <c r="E854" i="7" a="1"/>
  <c r="E854" i="7" s="1"/>
  <c r="E846" i="7" a="1"/>
  <c r="E846" i="7" s="1"/>
  <c r="E838" i="7" a="1"/>
  <c r="E838" i="7" s="1"/>
  <c r="E416" i="7" a="1"/>
  <c r="E416" i="7" s="1"/>
  <c r="E428" i="7" a="1"/>
  <c r="E428" i="7" s="1"/>
  <c r="E432" i="7" a="1"/>
  <c r="E432" i="7" s="1"/>
  <c r="E438" i="7" a="1"/>
  <c r="E438" i="7" s="1"/>
  <c r="E826" i="7" a="1"/>
  <c r="E826" i="7" s="1"/>
  <c r="E812" i="7" a="1"/>
  <c r="E812" i="7" s="1"/>
  <c r="E798" i="7" a="1"/>
  <c r="E798" i="7" s="1"/>
  <c r="E784" i="7" a="1"/>
  <c r="E784" i="7" s="1"/>
  <c r="E665" i="7" a="1"/>
  <c r="E665" i="7" s="1"/>
  <c r="E452" i="7" a="1"/>
  <c r="E452" i="7" s="1"/>
  <c r="E457" i="7" a="1"/>
  <c r="E457" i="7" s="1"/>
  <c r="E676" i="7" a="1"/>
  <c r="E676" i="7" s="1"/>
  <c r="E685" i="7" a="1"/>
  <c r="E685" i="7" s="1"/>
  <c r="E690" i="7" a="1"/>
  <c r="E690" i="7" s="1"/>
  <c r="E698" i="7" a="1"/>
  <c r="E698" i="7" s="1"/>
  <c r="E715" i="7" a="1"/>
  <c r="E715" i="7" s="1"/>
  <c r="E20" i="7" a="1"/>
  <c r="E20" i="7" s="1"/>
  <c r="E23" i="7" a="1"/>
  <c r="E23" i="7" s="1"/>
  <c r="E738" i="7" a="1"/>
  <c r="E738" i="7" s="1"/>
  <c r="E26" i="7" a="1"/>
  <c r="E26" i="7" s="1"/>
  <c r="E749" i="7" a="1"/>
  <c r="E749" i="7" s="1"/>
  <c r="E33" i="7" a="1"/>
  <c r="E33" i="7" s="1"/>
  <c r="E767" i="7" a="1"/>
  <c r="E767" i="7" s="1"/>
  <c r="E773" i="7" a="1"/>
  <c r="E773" i="7" s="1"/>
  <c r="E781" i="7" a="1"/>
  <c r="E781" i="7" s="1"/>
  <c r="E786" i="7" a="1"/>
  <c r="E786" i="7" s="1"/>
  <c r="E50" i="7" a="1"/>
  <c r="E50" i="7" s="1"/>
  <c r="E51" i="7" a="1"/>
  <c r="E51" i="7" s="1"/>
  <c r="E55" i="7" a="1"/>
  <c r="E55" i="7" s="1"/>
  <c r="E59" i="7" a="1"/>
  <c r="E59" i="7" s="1"/>
  <c r="E636" i="7" a="1"/>
  <c r="E636" i="7" s="1"/>
  <c r="E868" i="7" a="1"/>
  <c r="E868" i="7" s="1"/>
  <c r="E389" i="7" a="1"/>
  <c r="E389" i="7" s="1"/>
  <c r="E395" i="7" a="1"/>
  <c r="E395" i="7" s="1"/>
  <c r="E400" i="7" a="1"/>
  <c r="E400" i="7" s="1"/>
  <c r="E860" i="7" a="1"/>
  <c r="E860" i="7" s="1"/>
  <c r="E8" i="7" a="1"/>
  <c r="E8" i="7" s="1"/>
  <c r="E853" i="7" a="1"/>
  <c r="E853" i="7" s="1"/>
  <c r="E845" i="7" a="1"/>
  <c r="E845" i="7" s="1"/>
  <c r="E648" i="7" a="1"/>
  <c r="E648" i="7" s="1"/>
  <c r="E423" i="7" a="1"/>
  <c r="E423" i="7" s="1"/>
  <c r="E429" i="7" a="1"/>
  <c r="E429" i="7" s="1"/>
  <c r="E433" i="7" a="1"/>
  <c r="E433" i="7" s="1"/>
  <c r="E655" i="7" a="1"/>
  <c r="E655" i="7" s="1"/>
  <c r="E658" i="7" a="1"/>
  <c r="E658" i="7" s="1"/>
  <c r="E662" i="7" a="1"/>
  <c r="E662" i="7" s="1"/>
  <c r="E797" i="7" a="1"/>
  <c r="E797" i="7" s="1"/>
  <c r="E442" i="7" a="1"/>
  <c r="E442" i="7" s="1"/>
  <c r="E668" i="7" a="1"/>
  <c r="E668" i="7" s="1"/>
  <c r="E453" i="7" a="1"/>
  <c r="E453" i="7" s="1"/>
  <c r="E678" i="7" a="1"/>
  <c r="E678" i="7" s="1"/>
  <c r="E686" i="7" a="1"/>
  <c r="E686" i="7" s="1"/>
  <c r="E691" i="7" a="1"/>
  <c r="E691" i="7" s="1"/>
  <c r="E699" i="7" a="1"/>
  <c r="E699" i="7" s="1"/>
  <c r="E705" i="7" a="1"/>
  <c r="E705" i="7" s="1"/>
  <c r="E710" i="7" a="1"/>
  <c r="E710" i="7" s="1"/>
  <c r="E726" i="7" a="1"/>
  <c r="E726" i="7" s="1"/>
  <c r="E732" i="7" a="1"/>
  <c r="E732" i="7" s="1"/>
  <c r="E739" i="7" a="1"/>
  <c r="E739" i="7" s="1"/>
  <c r="E744" i="7" a="1"/>
  <c r="E744" i="7" s="1"/>
  <c r="E755" i="7" a="1"/>
  <c r="E755" i="7" s="1"/>
  <c r="E761" i="7" a="1"/>
  <c r="E761" i="7" s="1"/>
  <c r="E768" i="7" a="1"/>
  <c r="E768" i="7" s="1"/>
  <c r="E775" i="7" a="1"/>
  <c r="E775" i="7" s="1"/>
  <c r="E43" i="7" a="1"/>
  <c r="E43" i="7" s="1"/>
  <c r="E44" i="7" a="1"/>
  <c r="E44" i="7" s="1"/>
  <c r="E800" i="7" a="1"/>
  <c r="E800" i="7" s="1"/>
  <c r="E52" i="7" a="1"/>
  <c r="E52" i="7" s="1"/>
  <c r="E60" i="7" a="1"/>
  <c r="E60" i="7" s="1"/>
  <c r="E823" i="7" a="1"/>
  <c r="E823" i="7" s="1"/>
  <c r="E68" i="7" a="1"/>
  <c r="E68" i="7" s="1"/>
  <c r="E878" i="7" a="1"/>
  <c r="E878" i="7" s="1"/>
  <c r="E872" i="7" a="1"/>
  <c r="E872" i="7" s="1"/>
  <c r="E867" i="7" a="1"/>
  <c r="E867" i="7" s="1"/>
  <c r="E390" i="7" a="1"/>
  <c r="E390" i="7" s="1"/>
  <c r="E401" i="7" a="1"/>
  <c r="E401" i="7" s="1"/>
  <c r="E406" i="7" a="1"/>
  <c r="E406" i="7" s="1"/>
  <c r="E644" i="7" a="1"/>
  <c r="E644" i="7" s="1"/>
  <c r="E647" i="7" a="1"/>
  <c r="E647" i="7" s="1"/>
  <c r="E844" i="7" a="1"/>
  <c r="E844" i="7" s="1"/>
  <c r="E837" i="7" a="1"/>
  <c r="E837" i="7" s="1"/>
  <c r="E418" i="7" a="1"/>
  <c r="E418" i="7" s="1"/>
  <c r="E424" i="7" a="1"/>
  <c r="E424" i="7" s="1"/>
  <c r="E434" i="7" a="1"/>
  <c r="E434" i="7" s="1"/>
  <c r="E831" i="7" a="1"/>
  <c r="E831" i="7" s="1"/>
  <c r="E822" i="7" a="1"/>
  <c r="E822" i="7" s="1"/>
  <c r="E818" i="7" a="1"/>
  <c r="E818" i="7" s="1"/>
  <c r="E796" i="7" a="1"/>
  <c r="E796" i="7" s="1"/>
  <c r="E779" i="7" a="1"/>
  <c r="E779" i="7" s="1"/>
  <c r="E443" i="7" a="1"/>
  <c r="E443" i="7" s="1"/>
  <c r="E447" i="7" a="1"/>
  <c r="E447" i="7" s="1"/>
  <c r="E671" i="7" a="1"/>
  <c r="E671" i="7" s="1"/>
  <c r="E677" i="7" a="1"/>
  <c r="E677" i="7" s="1"/>
  <c r="E679" i="7" a="1"/>
  <c r="E679" i="7" s="1"/>
  <c r="E682" i="7" a="1"/>
  <c r="E682" i="7" s="1"/>
  <c r="E700" i="7" a="1"/>
  <c r="E700" i="7" s="1"/>
  <c r="E706" i="7" a="1"/>
  <c r="E706" i="7" s="1"/>
  <c r="E716" i="7" a="1"/>
  <c r="E716" i="7" s="1"/>
  <c r="E722" i="7" a="1"/>
  <c r="E722" i="7" s="1"/>
  <c r="E727" i="7" a="1"/>
  <c r="E727" i="7" s="1"/>
  <c r="E733" i="7" a="1"/>
  <c r="E733" i="7" s="1"/>
  <c r="E745" i="7" a="1"/>
  <c r="E745" i="7" s="1"/>
  <c r="E30" i="7" a="1"/>
  <c r="E30" i="7" s="1"/>
  <c r="E34" i="7" a="1"/>
  <c r="E34" i="7" s="1"/>
  <c r="E762" i="7" a="1"/>
  <c r="E762" i="7" s="1"/>
  <c r="E38" i="7" a="1"/>
  <c r="E38" i="7" s="1"/>
  <c r="E782" i="7" a="1"/>
  <c r="E782" i="7" s="1"/>
  <c r="E788" i="7" a="1"/>
  <c r="E788" i="7" s="1"/>
  <c r="E45" i="7" a="1"/>
  <c r="E45" i="7" s="1"/>
  <c r="E53" i="7" a="1"/>
  <c r="E53" i="7" s="1"/>
  <c r="E56" i="7" a="1"/>
  <c r="E56" i="7" s="1"/>
  <c r="E61" i="7" a="1"/>
  <c r="E61" i="7" s="1"/>
  <c r="E874" i="7" a="1"/>
  <c r="E874" i="7" s="1"/>
  <c r="E6" i="7" a="1"/>
  <c r="E6" i="7" s="1"/>
  <c r="E391" i="7" a="1"/>
  <c r="E391" i="7" s="1"/>
  <c r="E642" i="7" a="1"/>
  <c r="E642" i="7" s="1"/>
  <c r="E402" i="7" a="1"/>
  <c r="E402" i="7" s="1"/>
  <c r="E407" i="7" a="1"/>
  <c r="E407" i="7" s="1"/>
  <c r="E411" i="7" a="1"/>
  <c r="E411" i="7" s="1"/>
  <c r="E851" i="7" a="1"/>
  <c r="E851" i="7" s="1"/>
  <c r="E842" i="7" a="1"/>
  <c r="E842" i="7" s="1"/>
  <c r="E836" i="7" a="1"/>
  <c r="E836" i="7" s="1"/>
  <c r="E649" i="7" a="1"/>
  <c r="E649" i="7" s="1"/>
  <c r="E652" i="7" a="1"/>
  <c r="E652" i="7" s="1"/>
  <c r="E435" i="7" a="1"/>
  <c r="E435" i="7" s="1"/>
  <c r="E439" i="7" a="1"/>
  <c r="E439" i="7" s="1"/>
  <c r="E659" i="7" a="1"/>
  <c r="E659" i="7" s="1"/>
  <c r="E807" i="7" a="1"/>
  <c r="E807" i="7" s="1"/>
  <c r="E795" i="7" a="1"/>
  <c r="E795" i="7" s="1"/>
  <c r="E778" i="7" a="1"/>
  <c r="E778" i="7" s="1"/>
  <c r="E448" i="7" a="1"/>
  <c r="E448" i="7" s="1"/>
  <c r="E670" i="7" a="1"/>
  <c r="E670" i="7" s="1"/>
  <c r="E672" i="7" a="1"/>
  <c r="E672" i="7" s="1"/>
  <c r="E15" i="7" a="1"/>
  <c r="E15" i="7" s="1"/>
  <c r="E687" i="7" a="1"/>
  <c r="E687" i="7" s="1"/>
  <c r="E695" i="7" a="1"/>
  <c r="E695" i="7" s="1"/>
  <c r="E711" i="7" a="1"/>
  <c r="E711" i="7" s="1"/>
  <c r="E717" i="7" a="1"/>
  <c r="E717" i="7" s="1"/>
  <c r="E21" i="7" a="1"/>
  <c r="E21" i="7" s="1"/>
  <c r="E24" i="7" a="1"/>
  <c r="E24" i="7" s="1"/>
  <c r="E740" i="7" a="1"/>
  <c r="E740" i="7" s="1"/>
  <c r="E746" i="7" a="1"/>
  <c r="E746" i="7" s="1"/>
  <c r="E31" i="7" a="1"/>
  <c r="E31" i="7" s="1"/>
  <c r="E763" i="7" a="1"/>
  <c r="E763" i="7" s="1"/>
  <c r="E36" i="7" a="1"/>
  <c r="E36" i="7" s="1"/>
  <c r="E777" i="7" a="1"/>
  <c r="E777" i="7" s="1"/>
  <c r="E41" i="7" a="1"/>
  <c r="E41" i="7" s="1"/>
  <c r="E46" i="7" a="1"/>
  <c r="E46" i="7" s="1"/>
  <c r="E801" i="7" a="1"/>
  <c r="E801" i="7" s="1"/>
  <c r="E808" i="7" a="1"/>
  <c r="E808" i="7" s="1"/>
  <c r="E57" i="7" a="1"/>
  <c r="E57" i="7" s="1"/>
  <c r="E824" i="7" a="1"/>
  <c r="E824" i="7" s="1"/>
  <c r="E828" i="7" a="1"/>
  <c r="E828" i="7" s="1"/>
  <c r="E871" i="7" a="1"/>
  <c r="E871" i="7" s="1"/>
  <c r="E7" i="7" a="1"/>
  <c r="E7" i="7" s="1"/>
  <c r="E392" i="7" a="1"/>
  <c r="E392" i="7" s="1"/>
  <c r="E396" i="7" a="1"/>
  <c r="E396" i="7" s="1"/>
  <c r="E863" i="7" a="1"/>
  <c r="E863" i="7" s="1"/>
  <c r="E645" i="7" a="1"/>
  <c r="E645" i="7" s="1"/>
  <c r="E412" i="7" a="1"/>
  <c r="E412" i="7" s="1"/>
  <c r="E850" i="7" a="1"/>
  <c r="E850" i="7" s="1"/>
  <c r="E835" i="7" a="1"/>
  <c r="E835" i="7" s="1"/>
  <c r="E419" i="7" a="1"/>
  <c r="E419" i="7" s="1"/>
  <c r="E426" i="7" a="1"/>
  <c r="E426" i="7" s="1"/>
  <c r="E430" i="7" a="1"/>
  <c r="E430" i="7" s="1"/>
  <c r="E440" i="7" a="1"/>
  <c r="E440" i="7" s="1"/>
  <c r="E441" i="7" a="1"/>
  <c r="E441" i="7" s="1"/>
  <c r="E660" i="7" a="1"/>
  <c r="E660" i="7" s="1"/>
  <c r="E663" i="7" a="1"/>
  <c r="E663" i="7" s="1"/>
  <c r="E13" i="7" a="1"/>
  <c r="E13" i="7" s="1"/>
  <c r="E444" i="7" a="1"/>
  <c r="E444" i="7" s="1"/>
  <c r="E381" i="7" a="1"/>
  <c r="E381" i="7" s="1"/>
  <c r="E870" i="7" a="1"/>
  <c r="E870" i="7" s="1"/>
  <c r="E639" i="7" a="1"/>
  <c r="E639" i="7" s="1"/>
  <c r="E397" i="7" a="1"/>
  <c r="E397" i="7" s="1"/>
  <c r="E403" i="7" a="1"/>
  <c r="E403" i="7" s="1"/>
  <c r="E862" i="7" a="1"/>
  <c r="E862" i="7" s="1"/>
  <c r="E858" i="7" a="1"/>
  <c r="E858" i="7" s="1"/>
  <c r="E849" i="7" a="1"/>
  <c r="E849" i="7" s="1"/>
  <c r="E841" i="7" a="1"/>
  <c r="E841" i="7" s="1"/>
  <c r="E414" i="7" a="1"/>
  <c r="E414" i="7" s="1"/>
  <c r="E420" i="7" a="1"/>
  <c r="E420" i="7" s="1"/>
  <c r="E834" i="7" a="1"/>
  <c r="E834" i="7" s="1"/>
  <c r="E832" i="7" a="1"/>
  <c r="E832" i="7" s="1"/>
  <c r="E830" i="7" a="1"/>
  <c r="E830" i="7" s="1"/>
  <c r="E821" i="7" a="1"/>
  <c r="E821" i="7" s="1"/>
  <c r="E805" i="7" a="1"/>
  <c r="E805" i="7" s="1"/>
  <c r="E794" i="7" a="1"/>
  <c r="E794" i="7" s="1"/>
  <c r="E772" i="7" a="1"/>
  <c r="E772" i="7" s="1"/>
  <c r="E666" i="7" a="1"/>
  <c r="E666" i="7" s="1"/>
  <c r="E455" i="7" a="1"/>
  <c r="E455" i="7" s="1"/>
  <c r="E673" i="7" a="1"/>
  <c r="E673" i="7" s="1"/>
  <c r="E18" i="7" a="1"/>
  <c r="E18" i="7" s="1"/>
  <c r="E692" i="7" a="1"/>
  <c r="E692" i="7" s="1"/>
  <c r="E697" i="7" a="1"/>
  <c r="E697" i="7" s="1"/>
  <c r="E702" i="7" a="1"/>
  <c r="E702" i="7" s="1"/>
  <c r="E19" i="7" a="1"/>
  <c r="E19" i="7" s="1"/>
  <c r="E718" i="7" a="1"/>
  <c r="E718" i="7" s="1"/>
  <c r="E724" i="7" a="1"/>
  <c r="E724" i="7" s="1"/>
  <c r="E729" i="7" a="1"/>
  <c r="E729" i="7" s="1"/>
  <c r="E25" i="7" a="1"/>
  <c r="E25" i="7" s="1"/>
  <c r="E27" i="7" a="1"/>
  <c r="E27" i="7" s="1"/>
  <c r="E32" i="7" a="1"/>
  <c r="E32" i="7" s="1"/>
  <c r="E35" i="7" a="1"/>
  <c r="E35" i="7" s="1"/>
  <c r="E771" i="7" a="1"/>
  <c r="E771" i="7" s="1"/>
  <c r="E39" i="7" a="1"/>
  <c r="E39" i="7" s="1"/>
  <c r="E42" i="7" a="1"/>
  <c r="E42" i="7" s="1"/>
  <c r="E790" i="7" a="1"/>
  <c r="E790" i="7" s="1"/>
  <c r="E803" i="7" a="1"/>
  <c r="E803" i="7" s="1"/>
  <c r="E54" i="7" a="1"/>
  <c r="E54" i="7" s="1"/>
  <c r="E814" i="7" a="1"/>
  <c r="E814" i="7" s="1"/>
  <c r="E63" i="7" a="1"/>
  <c r="E63" i="7" s="1"/>
  <c r="E66" i="7" a="1"/>
  <c r="E66" i="7" s="1"/>
  <c r="E449" i="7" a="1"/>
  <c r="E449" i="7" s="1"/>
  <c r="E696" i="7" a="1"/>
  <c r="E696" i="7" s="1"/>
  <c r="E789" i="7" a="1"/>
  <c r="E789" i="7" s="1"/>
  <c r="E67" i="7" a="1"/>
  <c r="E67" i="7" s="1"/>
  <c r="E76" i="7" a="1"/>
  <c r="E76" i="7" s="1"/>
  <c r="E843" i="7" a="1"/>
  <c r="E843" i="7" s="1"/>
  <c r="E852" i="7" a="1"/>
  <c r="E852" i="7" s="1"/>
  <c r="E94" i="7" a="1"/>
  <c r="E94" i="7" s="1"/>
  <c r="E105" i="7" a="1"/>
  <c r="E105" i="7" s="1"/>
  <c r="E110" i="7" a="1"/>
  <c r="E110" i="7" s="1"/>
  <c r="E117" i="7" a="1"/>
  <c r="E117" i="7" s="1"/>
  <c r="E121" i="7" a="1"/>
  <c r="E121" i="7" s="1"/>
  <c r="E895" i="7" a="1"/>
  <c r="E895" i="7" s="1"/>
  <c r="E900" i="7" a="1"/>
  <c r="E900" i="7" s="1"/>
  <c r="E454" i="7" a="1"/>
  <c r="E454" i="7" s="1"/>
  <c r="E701" i="7" a="1"/>
  <c r="E701" i="7" s="1"/>
  <c r="E47" i="7" a="1"/>
  <c r="E47" i="7" s="1"/>
  <c r="E833" i="7" a="1"/>
  <c r="E833" i="7" s="1"/>
  <c r="E81" i="7" a="1"/>
  <c r="E81" i="7" s="1"/>
  <c r="E85" i="7" a="1"/>
  <c r="E85" i="7" s="1"/>
  <c r="E95" i="7" a="1"/>
  <c r="E95" i="7" s="1"/>
  <c r="E100" i="7" a="1"/>
  <c r="E100" i="7" s="1"/>
  <c r="E111" i="7" a="1"/>
  <c r="E111" i="7" s="1"/>
  <c r="E877" i="7" a="1"/>
  <c r="E877" i="7" s="1"/>
  <c r="E122" i="7" a="1"/>
  <c r="E122" i="7" s="1"/>
  <c r="E890" i="7" a="1"/>
  <c r="E890" i="7" s="1"/>
  <c r="E126" i="7" a="1"/>
  <c r="E126" i="7" s="1"/>
  <c r="E707" i="7" a="1"/>
  <c r="E707" i="7" s="1"/>
  <c r="E751" i="7" a="1"/>
  <c r="E751" i="7" s="1"/>
  <c r="E802" i="7" a="1"/>
  <c r="E802" i="7" s="1"/>
  <c r="E72" i="7" a="1"/>
  <c r="E72" i="7" s="1"/>
  <c r="E77" i="7" a="1"/>
  <c r="E77" i="7" s="1"/>
  <c r="E86" i="7" a="1"/>
  <c r="E86" i="7" s="1"/>
  <c r="E90" i="7" a="1"/>
  <c r="E90" i="7" s="1"/>
  <c r="E101" i="7" a="1"/>
  <c r="E101" i="7" s="1"/>
  <c r="E106" i="7" a="1"/>
  <c r="E106" i="7" s="1"/>
  <c r="E114" i="7" a="1"/>
  <c r="E114" i="7" s="1"/>
  <c r="E118" i="7" a="1"/>
  <c r="E118" i="7" s="1"/>
  <c r="E124" i="7" a="1"/>
  <c r="E124" i="7" s="1"/>
  <c r="E896" i="7" a="1"/>
  <c r="E896" i="7" s="1"/>
  <c r="E132" i="7" a="1"/>
  <c r="E132" i="7" s="1"/>
  <c r="E712" i="7" a="1"/>
  <c r="E712" i="7" s="1"/>
  <c r="E757" i="7" a="1"/>
  <c r="E757" i="7" s="1"/>
  <c r="E829" i="7" a="1"/>
  <c r="E829" i="7" s="1"/>
  <c r="E78" i="7" a="1"/>
  <c r="E78" i="7" s="1"/>
  <c r="E82" i="7" a="1"/>
  <c r="E82" i="7" s="1"/>
  <c r="E91" i="7" a="1"/>
  <c r="E91" i="7" s="1"/>
  <c r="E96" i="7" a="1"/>
  <c r="E96" i="7" s="1"/>
  <c r="E107" i="7" a="1"/>
  <c r="E107" i="7" s="1"/>
  <c r="E112" i="7" a="1"/>
  <c r="E112" i="7" s="1"/>
  <c r="E881" i="7" a="1"/>
  <c r="E881" i="7" s="1"/>
  <c r="E123" i="7" a="1"/>
  <c r="E123" i="7" s="1"/>
  <c r="E897" i="7" a="1"/>
  <c r="E897" i="7" s="1"/>
  <c r="E127" i="7" a="1"/>
  <c r="E127" i="7" s="1"/>
  <c r="E680" i="7" a="1"/>
  <c r="E680" i="7" s="1"/>
  <c r="E764" i="7" a="1"/>
  <c r="E764" i="7" s="1"/>
  <c r="E813" i="7" a="1"/>
  <c r="E813" i="7" s="1"/>
  <c r="E69" i="7" a="1"/>
  <c r="E69" i="7" s="1"/>
  <c r="E73" i="7" a="1"/>
  <c r="E73" i="7" s="1"/>
  <c r="E83" i="7" a="1"/>
  <c r="E83" i="7" s="1"/>
  <c r="E87" i="7" a="1"/>
  <c r="E87" i="7" s="1"/>
  <c r="E97" i="7" a="1"/>
  <c r="E97" i="7" s="1"/>
  <c r="E102" i="7" a="1"/>
  <c r="E102" i="7" s="1"/>
  <c r="E113" i="7" a="1"/>
  <c r="E113" i="7" s="1"/>
  <c r="E115" i="7" a="1"/>
  <c r="E115" i="7" s="1"/>
  <c r="E887" i="7" a="1"/>
  <c r="E887" i="7" s="1"/>
  <c r="E892" i="7" a="1"/>
  <c r="E892" i="7" s="1"/>
  <c r="E16" i="7" a="1"/>
  <c r="E16" i="7" s="1"/>
  <c r="E22" i="7" a="1"/>
  <c r="E22" i="7" s="1"/>
  <c r="E770" i="7" a="1"/>
  <c r="E770" i="7" s="1"/>
  <c r="E62" i="7" a="1"/>
  <c r="E62" i="7" s="1"/>
  <c r="E74" i="7" a="1"/>
  <c r="E74" i="7" s="1"/>
  <c r="E79" i="7" a="1"/>
  <c r="E79" i="7" s="1"/>
  <c r="E88" i="7" a="1"/>
  <c r="E88" i="7" s="1"/>
  <c r="E92" i="7" a="1"/>
  <c r="E92" i="7" s="1"/>
  <c r="E103" i="7" a="1"/>
  <c r="E103" i="7" s="1"/>
  <c r="E108" i="7" a="1"/>
  <c r="E108" i="7" s="1"/>
  <c r="E116" i="7" a="1"/>
  <c r="E116" i="7" s="1"/>
  <c r="E119" i="7" a="1"/>
  <c r="E119" i="7" s="1"/>
  <c r="E17" i="7" a="1"/>
  <c r="E17" i="7" s="1"/>
  <c r="E728" i="7" a="1"/>
  <c r="E728" i="7" s="1"/>
  <c r="E70" i="7" a="1"/>
  <c r="E70" i="7" s="1"/>
  <c r="E80" i="7" a="1"/>
  <c r="E80" i="7" s="1"/>
  <c r="E847" i="7" a="1"/>
  <c r="E847" i="7" s="1"/>
  <c r="E93" i="7" a="1"/>
  <c r="E93" i="7" s="1"/>
  <c r="E98" i="7" a="1"/>
  <c r="E98" i="7" s="1"/>
  <c r="E109" i="7" a="1"/>
  <c r="E109" i="7" s="1"/>
  <c r="E875" i="7" a="1"/>
  <c r="E875" i="7" s="1"/>
  <c r="E120" i="7" a="1"/>
  <c r="E120" i="7" s="1"/>
  <c r="E888" i="7" a="1"/>
  <c r="E888" i="7" s="1"/>
  <c r="E125" i="7" a="1"/>
  <c r="E125" i="7" s="1"/>
  <c r="E129" i="7" a="1"/>
  <c r="E129" i="7" s="1"/>
  <c r="E735" i="7" a="1"/>
  <c r="E735" i="7" s="1"/>
  <c r="E783" i="7" a="1"/>
  <c r="E783" i="7" s="1"/>
  <c r="E71" i="7" a="1"/>
  <c r="E71" i="7" s="1"/>
  <c r="E75" i="7" a="1"/>
  <c r="E75" i="7" s="1"/>
  <c r="E84" i="7" a="1"/>
  <c r="E84" i="7" s="1"/>
  <c r="E89" i="7" a="1"/>
  <c r="E89" i="7" s="1"/>
  <c r="E99" i="7" a="1"/>
  <c r="E99" i="7" s="1"/>
  <c r="E104" i="7" a="1"/>
  <c r="E104" i="7" s="1"/>
  <c r="E136" i="7" a="1"/>
  <c r="E136" i="7" s="1"/>
  <c r="E141" i="7" a="1"/>
  <c r="E141" i="7" s="1"/>
  <c r="E150" i="7" a="1"/>
  <c r="E150" i="7" s="1"/>
  <c r="E158" i="7" a="1"/>
  <c r="E158" i="7" s="1"/>
  <c r="E925" i="7" a="1"/>
  <c r="E925" i="7" s="1"/>
  <c r="E930" i="7" a="1"/>
  <c r="E930" i="7" s="1"/>
  <c r="E168" i="7" a="1"/>
  <c r="E168" i="7" s="1"/>
  <c r="E946" i="7" a="1"/>
  <c r="E946" i="7" s="1"/>
  <c r="E185" i="7" a="1"/>
  <c r="E185" i="7" s="1"/>
  <c r="E189" i="7" a="1"/>
  <c r="E189" i="7" s="1"/>
  <c r="E197" i="7" a="1"/>
  <c r="E197" i="7" s="1"/>
  <c r="E206" i="7" a="1"/>
  <c r="E206" i="7" s="1"/>
  <c r="E215" i="7" a="1"/>
  <c r="E215" i="7" s="1"/>
  <c r="E220" i="7" a="1"/>
  <c r="E220" i="7" s="1"/>
  <c r="E239" i="7" a="1"/>
  <c r="E239" i="7" s="1"/>
  <c r="E246" i="7" a="1"/>
  <c r="E246" i="7" s="1"/>
  <c r="E257" i="7" a="1"/>
  <c r="E257" i="7" s="1"/>
  <c r="E451" i="7" a="1"/>
  <c r="E451" i="7" s="1"/>
  <c r="E776" i="7" a="1"/>
  <c r="E776" i="7" s="1"/>
  <c r="E264" i="7" a="1"/>
  <c r="E264" i="7" s="1"/>
  <c r="E272" i="7" a="1"/>
  <c r="E272" i="7" s="1"/>
  <c r="E280" i="7" a="1"/>
  <c r="E280" i="7" s="1"/>
  <c r="E284" i="7" a="1"/>
  <c r="E284" i="7" s="1"/>
  <c r="E285" i="7" a="1"/>
  <c r="E285" i="7" s="1"/>
  <c r="E291" i="7" a="1"/>
  <c r="E291" i="7" s="1"/>
  <c r="E297" i="7" a="1"/>
  <c r="E297" i="7" s="1"/>
  <c r="E982" i="7" a="1"/>
  <c r="E982" i="7" s="1"/>
  <c r="E306" i="7" a="1"/>
  <c r="E306" i="7" s="1"/>
  <c r="E977" i="7" a="1"/>
  <c r="E977" i="7" s="1"/>
  <c r="E311" i="7" a="1"/>
  <c r="E311" i="7" s="1"/>
  <c r="E876" i="7" a="1"/>
  <c r="E876" i="7" s="1"/>
  <c r="E898" i="7" a="1"/>
  <c r="E898" i="7" s="1"/>
  <c r="E137" i="7" a="1"/>
  <c r="E137" i="7" s="1"/>
  <c r="E146" i="7" a="1"/>
  <c r="E146" i="7" s="1"/>
  <c r="E155" i="7" a="1"/>
  <c r="E155" i="7" s="1"/>
  <c r="E159" i="7" a="1"/>
  <c r="E159" i="7" s="1"/>
  <c r="E926" i="7" a="1"/>
  <c r="E926" i="7" s="1"/>
  <c r="E164" i="7" a="1"/>
  <c r="E164" i="7" s="1"/>
  <c r="E173" i="7" a="1"/>
  <c r="E173" i="7" s="1"/>
  <c r="E181" i="7" a="1"/>
  <c r="E181" i="7" s="1"/>
  <c r="E186" i="7" a="1"/>
  <c r="E186" i="7" s="1"/>
  <c r="E193" i="7" a="1"/>
  <c r="E193" i="7" s="1"/>
  <c r="E202" i="7" a="1"/>
  <c r="E202" i="7" s="1"/>
  <c r="E211" i="7" a="1"/>
  <c r="E211" i="7" s="1"/>
  <c r="E216" i="7" a="1"/>
  <c r="E216" i="7" s="1"/>
  <c r="E225" i="7" a="1"/>
  <c r="E225" i="7" s="1"/>
  <c r="E230" i="7" a="1"/>
  <c r="E230" i="7" s="1"/>
  <c r="E235" i="7" a="1"/>
  <c r="E235" i="7" s="1"/>
  <c r="E242" i="7" a="1"/>
  <c r="E242" i="7" s="1"/>
  <c r="E250" i="7" a="1"/>
  <c r="E250" i="7" s="1"/>
  <c r="E254" i="7" a="1"/>
  <c r="E254" i="7" s="1"/>
  <c r="E384" i="7" a="1"/>
  <c r="E384" i="7" s="1"/>
  <c r="E386" i="7" a="1"/>
  <c r="E386" i="7" s="1"/>
  <c r="E446" i="7" a="1"/>
  <c r="E446" i="7" s="1"/>
  <c r="E262" i="7" a="1"/>
  <c r="E262" i="7" s="1"/>
  <c r="E269" i="7" a="1"/>
  <c r="E269" i="7" s="1"/>
  <c r="E277" i="7" a="1"/>
  <c r="E277" i="7" s="1"/>
  <c r="E281" i="7" a="1"/>
  <c r="E281" i="7" s="1"/>
  <c r="E987" i="7" a="1"/>
  <c r="E987" i="7" s="1"/>
  <c r="E304" i="7" a="1"/>
  <c r="E304" i="7" s="1"/>
  <c r="E879" i="7" a="1"/>
  <c r="E879" i="7" s="1"/>
  <c r="E142" i="7" a="1"/>
  <c r="E142" i="7" s="1"/>
  <c r="E151" i="7" a="1"/>
  <c r="E151" i="7" s="1"/>
  <c r="E917" i="7" a="1"/>
  <c r="E917" i="7" s="1"/>
  <c r="E160" i="7" a="1"/>
  <c r="E160" i="7" s="1"/>
  <c r="E931" i="7" a="1"/>
  <c r="E931" i="7" s="1"/>
  <c r="E169" i="7" a="1"/>
  <c r="E169" i="7" s="1"/>
  <c r="E177" i="7" a="1"/>
  <c r="E177" i="7" s="1"/>
  <c r="E182" i="7" a="1"/>
  <c r="E182" i="7" s="1"/>
  <c r="E190" i="7" a="1"/>
  <c r="E190" i="7" s="1"/>
  <c r="E198" i="7" a="1"/>
  <c r="E198" i="7" s="1"/>
  <c r="E207" i="7" a="1"/>
  <c r="E207" i="7" s="1"/>
  <c r="E212" i="7" a="1"/>
  <c r="E212" i="7" s="1"/>
  <c r="E221" i="7" a="1"/>
  <c r="E221" i="7" s="1"/>
  <c r="E229" i="7" a="1"/>
  <c r="E229" i="7" s="1"/>
  <c r="E983" i="7" a="1"/>
  <c r="E983" i="7" s="1"/>
  <c r="E247" i="7" a="1"/>
  <c r="E247" i="7" s="1"/>
  <c r="E251" i="7" a="1"/>
  <c r="E251" i="7" s="1"/>
  <c r="E258" i="7" a="1"/>
  <c r="E258" i="7" s="1"/>
  <c r="E799" i="7" a="1"/>
  <c r="E799" i="7" s="1"/>
  <c r="E265" i="7" a="1"/>
  <c r="E265" i="7" s="1"/>
  <c r="E273" i="7" a="1"/>
  <c r="E273" i="7" s="1"/>
  <c r="E278" i="7" a="1"/>
  <c r="E278" i="7" s="1"/>
  <c r="E825" i="7" a="1"/>
  <c r="E825" i="7" s="1"/>
  <c r="E286" i="7" a="1"/>
  <c r="E286" i="7" s="1"/>
  <c r="E427" i="7" a="1"/>
  <c r="E427" i="7" s="1"/>
  <c r="E417" i="7" a="1"/>
  <c r="E417" i="7" s="1"/>
  <c r="E294" i="7" a="1"/>
  <c r="E294" i="7" s="1"/>
  <c r="E298" i="7" a="1"/>
  <c r="E298" i="7" s="1"/>
  <c r="E981" i="7" a="1"/>
  <c r="E981" i="7" s="1"/>
  <c r="E307" i="7" a="1"/>
  <c r="E307" i="7" s="1"/>
  <c r="E128" i="7" a="1"/>
  <c r="E128" i="7" s="1"/>
  <c r="E138" i="7" a="1"/>
  <c r="E138" i="7" s="1"/>
  <c r="E147" i="7" a="1"/>
  <c r="E147" i="7" s="1"/>
  <c r="E156" i="7" a="1"/>
  <c r="E156" i="7" s="1"/>
  <c r="E918" i="7" a="1"/>
  <c r="E918" i="7" s="1"/>
  <c r="E927" i="7" a="1"/>
  <c r="E927" i="7" s="1"/>
  <c r="E165" i="7" a="1"/>
  <c r="E165" i="7" s="1"/>
  <c r="E174" i="7" a="1"/>
  <c r="E174" i="7" s="1"/>
  <c r="E178" i="7" a="1"/>
  <c r="E178" i="7" s="1"/>
  <c r="E957" i="7" a="1"/>
  <c r="E957" i="7" s="1"/>
  <c r="E194" i="7" a="1"/>
  <c r="E194" i="7" s="1"/>
  <c r="E203" i="7" a="1"/>
  <c r="E203" i="7" s="1"/>
  <c r="E208" i="7" a="1"/>
  <c r="E208" i="7" s="1"/>
  <c r="E217" i="7" a="1"/>
  <c r="E217" i="7" s="1"/>
  <c r="E226" i="7" a="1"/>
  <c r="E226" i="7" s="1"/>
  <c r="E231" i="7" a="1"/>
  <c r="E231" i="7" s="1"/>
  <c r="E236" i="7" a="1"/>
  <c r="E236" i="7" s="1"/>
  <c r="E243" i="7" a="1"/>
  <c r="E243" i="7" s="1"/>
  <c r="E248" i="7" a="1"/>
  <c r="E248" i="7" s="1"/>
  <c r="E255" i="7" a="1"/>
  <c r="E255" i="7" s="1"/>
  <c r="E754" i="7" a="1"/>
  <c r="E754" i="7" s="1"/>
  <c r="E263" i="7" a="1"/>
  <c r="E263" i="7" s="1"/>
  <c r="E270" i="7" a="1"/>
  <c r="E270" i="7" s="1"/>
  <c r="E274" i="7" a="1"/>
  <c r="E274" i="7" s="1"/>
  <c r="E282" i="7" a="1"/>
  <c r="E282" i="7" s="1"/>
  <c r="E425" i="7" a="1"/>
  <c r="E425" i="7" s="1"/>
  <c r="E295" i="7" a="1"/>
  <c r="E295" i="7" s="1"/>
  <c r="E986" i="7" a="1"/>
  <c r="E986" i="7" s="1"/>
  <c r="E979" i="7" a="1"/>
  <c r="E979" i="7" s="1"/>
  <c r="E978" i="7" a="1"/>
  <c r="E978" i="7" s="1"/>
  <c r="E134" i="7" a="1"/>
  <c r="E134" i="7" s="1"/>
  <c r="E143" i="7" a="1"/>
  <c r="E143" i="7" s="1"/>
  <c r="E152" i="7" a="1"/>
  <c r="E152" i="7" s="1"/>
  <c r="E157" i="7" a="1"/>
  <c r="E157" i="7" s="1"/>
  <c r="E923" i="7" a="1"/>
  <c r="E923" i="7" s="1"/>
  <c r="E932" i="7" a="1"/>
  <c r="E932" i="7" s="1"/>
  <c r="E170" i="7" a="1"/>
  <c r="E170" i="7" s="1"/>
  <c r="E175" i="7" a="1"/>
  <c r="E175" i="7" s="1"/>
  <c r="E183" i="7" a="1"/>
  <c r="E183" i="7" s="1"/>
  <c r="E191" i="7" a="1"/>
  <c r="E191" i="7" s="1"/>
  <c r="E199" i="7" a="1"/>
  <c r="E199" i="7" s="1"/>
  <c r="E204" i="7" a="1"/>
  <c r="E204" i="7" s="1"/>
  <c r="E213" i="7" a="1"/>
  <c r="E213" i="7" s="1"/>
  <c r="E222" i="7" a="1"/>
  <c r="E222" i="7" s="1"/>
  <c r="E232" i="7" a="1"/>
  <c r="E232" i="7" s="1"/>
  <c r="E240" i="7" a="1"/>
  <c r="E240" i="7" s="1"/>
  <c r="E244" i="7" a="1"/>
  <c r="E244" i="7" s="1"/>
  <c r="E252" i="7" a="1"/>
  <c r="E252" i="7" s="1"/>
  <c r="E387" i="7" a="1"/>
  <c r="E387" i="7" s="1"/>
  <c r="E806" i="7" a="1"/>
  <c r="E806" i="7" s="1"/>
  <c r="E266" i="7" a="1"/>
  <c r="E266" i="7" s="1"/>
  <c r="E271" i="7" a="1"/>
  <c r="E271" i="7" s="1"/>
  <c r="E819" i="7" a="1"/>
  <c r="E819" i="7" s="1"/>
  <c r="E827" i="7" a="1"/>
  <c r="E827" i="7" s="1"/>
  <c r="E287" i="7" a="1"/>
  <c r="E287" i="7" s="1"/>
  <c r="E410" i="7" a="1"/>
  <c r="E410" i="7" s="1"/>
  <c r="E299" i="7" a="1"/>
  <c r="E299" i="7" s="1"/>
  <c r="E980" i="7" a="1"/>
  <c r="E980" i="7" s="1"/>
  <c r="E308" i="7" a="1"/>
  <c r="E308" i="7" s="1"/>
  <c r="E859" i="7" a="1"/>
  <c r="E859" i="7" s="1"/>
  <c r="E889" i="7" a="1"/>
  <c r="E889" i="7" s="1"/>
  <c r="E130" i="7" a="1"/>
  <c r="E130" i="7" s="1"/>
  <c r="E139" i="7" a="1"/>
  <c r="E139" i="7" s="1"/>
  <c r="E148" i="7" a="1"/>
  <c r="E148" i="7" s="1"/>
  <c r="E153" i="7" a="1"/>
  <c r="E153" i="7" s="1"/>
  <c r="E919" i="7" a="1"/>
  <c r="E919" i="7" s="1"/>
  <c r="E161" i="7" a="1"/>
  <c r="E161" i="7" s="1"/>
  <c r="E166" i="7" a="1"/>
  <c r="E166" i="7" s="1"/>
  <c r="E171" i="7" a="1"/>
  <c r="E171" i="7" s="1"/>
  <c r="E179" i="7" a="1"/>
  <c r="E179" i="7" s="1"/>
  <c r="E187" i="7" a="1"/>
  <c r="E187" i="7" s="1"/>
  <c r="E195" i="7" a="1"/>
  <c r="E195" i="7" s="1"/>
  <c r="E200" i="7" a="1"/>
  <c r="E200" i="7" s="1"/>
  <c r="E209" i="7" a="1"/>
  <c r="E209" i="7" s="1"/>
  <c r="E218" i="7" a="1"/>
  <c r="E218" i="7" s="1"/>
  <c r="E227" i="7" a="1"/>
  <c r="E227" i="7" s="1"/>
  <c r="E237" i="7" a="1"/>
  <c r="E237" i="7" s="1"/>
  <c r="E985" i="7" a="1"/>
  <c r="E985" i="7" s="1"/>
  <c r="E880" i="7" a="1"/>
  <c r="E880" i="7" s="1"/>
  <c r="E256" i="7" a="1"/>
  <c r="E256" i="7" s="1"/>
  <c r="E259" i="7" a="1"/>
  <c r="E259" i="7" s="1"/>
  <c r="E445" i="7" a="1"/>
  <c r="E445" i="7" s="1"/>
  <c r="E809" i="7" a="1"/>
  <c r="E809" i="7" s="1"/>
  <c r="E267" i="7" a="1"/>
  <c r="E267" i="7" s="1"/>
  <c r="E275" i="7" a="1"/>
  <c r="E275" i="7" s="1"/>
  <c r="E820" i="7" a="1"/>
  <c r="E820" i="7" s="1"/>
  <c r="E436" i="7" a="1"/>
  <c r="E436" i="7" s="1"/>
  <c r="E290" i="7" a="1"/>
  <c r="E290" i="7" s="1"/>
  <c r="E296" i="7" a="1"/>
  <c r="E296" i="7" s="1"/>
  <c r="E984" i="7" a="1"/>
  <c r="E984" i="7" s="1"/>
  <c r="E305" i="7" a="1"/>
  <c r="E305" i="7" s="1"/>
  <c r="E312" i="7" a="1"/>
  <c r="E312" i="7" s="1"/>
  <c r="E409" i="7" a="1"/>
  <c r="E409" i="7" s="1"/>
  <c r="E893" i="7" a="1"/>
  <c r="E893" i="7" s="1"/>
  <c r="E131" i="7" a="1"/>
  <c r="E131" i="7" s="1"/>
  <c r="E135" i="7" a="1"/>
  <c r="E135" i="7" s="1"/>
  <c r="E144" i="7" a="1"/>
  <c r="E144" i="7" s="1"/>
  <c r="E149" i="7" a="1"/>
  <c r="E149" i="7" s="1"/>
  <c r="E915" i="7" a="1"/>
  <c r="E915" i="7" s="1"/>
  <c r="E924" i="7" a="1"/>
  <c r="E924" i="7" s="1"/>
  <c r="E933" i="7" a="1"/>
  <c r="E933" i="7" s="1"/>
  <c r="E167" i="7" a="1"/>
  <c r="E167" i="7" s="1"/>
  <c r="E176" i="7" a="1"/>
  <c r="E176" i="7" s="1"/>
  <c r="E184" i="7" a="1"/>
  <c r="E184" i="7" s="1"/>
  <c r="E192" i="7" a="1"/>
  <c r="E192" i="7" s="1"/>
  <c r="E196" i="7" a="1"/>
  <c r="E196" i="7" s="1"/>
  <c r="E205" i="7" a="1"/>
  <c r="E205" i="7" s="1"/>
  <c r="E214" i="7" a="1"/>
  <c r="E214" i="7" s="1"/>
  <c r="E223" i="7" a="1"/>
  <c r="E223" i="7" s="1"/>
  <c r="E228" i="7" a="1"/>
  <c r="E228" i="7" s="1"/>
  <c r="E233" i="7" a="1"/>
  <c r="E233" i="7" s="1"/>
  <c r="E882" i="7" a="1"/>
  <c r="E882" i="7" s="1"/>
  <c r="E238" i="7" a="1"/>
  <c r="E238" i="7" s="1"/>
  <c r="E245" i="7" a="1"/>
  <c r="E245" i="7" s="1"/>
  <c r="E253" i="7" a="1"/>
  <c r="E253" i="7" s="1"/>
  <c r="E752" i="7" a="1"/>
  <c r="E752" i="7" s="1"/>
  <c r="E260" i="7" a="1"/>
  <c r="E260" i="7" s="1"/>
  <c r="E815" i="7" a="1"/>
  <c r="E815" i="7" s="1"/>
  <c r="E817" i="7" a="1"/>
  <c r="E817" i="7" s="1"/>
  <c r="E279" i="7" a="1"/>
  <c r="E279" i="7" s="1"/>
  <c r="E288" i="7" a="1"/>
  <c r="E288" i="7" s="1"/>
  <c r="E292" i="7" a="1"/>
  <c r="E292" i="7" s="1"/>
  <c r="E300" i="7" a="1"/>
  <c r="E300" i="7" s="1"/>
  <c r="E302" i="7" a="1"/>
  <c r="E302" i="7" s="1"/>
  <c r="E309" i="7" a="1"/>
  <c r="E309" i="7" s="1"/>
  <c r="E894" i="7" a="1"/>
  <c r="E894" i="7" s="1"/>
  <c r="E140" i="7" a="1"/>
  <c r="E140" i="7" s="1"/>
  <c r="E145" i="7" a="1"/>
  <c r="E145" i="7" s="1"/>
  <c r="E154" i="7" a="1"/>
  <c r="E154" i="7" s="1"/>
  <c r="E920" i="7" a="1"/>
  <c r="E920" i="7" s="1"/>
  <c r="E162" i="7" a="1"/>
  <c r="E162" i="7" s="1"/>
  <c r="E163" i="7" a="1"/>
  <c r="E163" i="7" s="1"/>
  <c r="E172" i="7" a="1"/>
  <c r="E172" i="7" s="1"/>
  <c r="E180" i="7" a="1"/>
  <c r="E180" i="7" s="1"/>
  <c r="E188" i="7" a="1"/>
  <c r="E188" i="7" s="1"/>
  <c r="E964" i="7" a="1"/>
  <c r="E964" i="7" s="1"/>
  <c r="E201" i="7" a="1"/>
  <c r="E201" i="7" s="1"/>
  <c r="E210" i="7" a="1"/>
  <c r="E210" i="7" s="1"/>
  <c r="E219" i="7" a="1"/>
  <c r="E219" i="7" s="1"/>
  <c r="E224" i="7" a="1"/>
  <c r="E224" i="7" s="1"/>
  <c r="E234" i="7" a="1"/>
  <c r="E234" i="7" s="1"/>
  <c r="E241" i="7" a="1"/>
  <c r="E241" i="7" s="1"/>
  <c r="E249" i="7" a="1"/>
  <c r="E249" i="7" s="1"/>
  <c r="E758" i="7" a="1"/>
  <c r="E758" i="7" s="1"/>
  <c r="E261" i="7" a="1"/>
  <c r="E261" i="7" s="1"/>
  <c r="E268" i="7" a="1"/>
  <c r="E268" i="7" s="1"/>
  <c r="E276" i="7" a="1"/>
  <c r="E276" i="7" s="1"/>
  <c r="E283" i="7" a="1"/>
  <c r="E283" i="7" s="1"/>
  <c r="E289" i="7" a="1"/>
  <c r="E289" i="7" s="1"/>
  <c r="E293" i="7" a="1"/>
  <c r="E293" i="7" s="1"/>
  <c r="E301" i="7" a="1"/>
  <c r="E301" i="7" s="1"/>
  <c r="E303" i="7" a="1"/>
  <c r="E303" i="7" s="1"/>
  <c r="E310" i="7" a="1"/>
  <c r="E310" i="7" s="1"/>
  <c r="E884" i="7" a="1"/>
  <c r="E884" i="7" s="1"/>
  <c r="U460" i="4" l="1"/>
  <c r="U463" i="4"/>
  <c r="U464" i="4"/>
  <c r="U461" i="4"/>
  <c r="U462" i="4"/>
  <c r="U465" i="4"/>
  <c r="U280" i="4"/>
  <c r="U329" i="4"/>
  <c r="U279" i="4"/>
  <c r="U287" i="4"/>
  <c r="U281" i="4"/>
  <c r="U328" i="4"/>
  <c r="U282" i="4"/>
  <c r="G3" i="5"/>
  <c r="U626" i="4"/>
  <c r="U623" i="4"/>
  <c r="U622" i="4"/>
  <c r="U619" i="4"/>
  <c r="U620" i="4"/>
  <c r="U621" i="4"/>
  <c r="U625" i="4"/>
  <c r="U624"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<sst xmlns="http://schemas.openxmlformats.org/spreadsheetml/2006/main" count="11384" uniqueCount="3963">
  <si>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</si>
  <si>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</si>
  <si>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</si>
  <si>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</si>
  <si>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</si>
  <si>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</si>
  <si>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</si>
  <si>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</si>
  <si>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</si>
  <si>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</si>
  <si>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</si>
  <si>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</si>
  <si>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</si>
  <si>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</si>
  <si>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</si>
  <si>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</si>
  <si>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</si>
  <si>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</si>
  <si>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</si>
  <si>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</si>
  <si>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</si>
  <si>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</si>
  <si>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</si>
  <si>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</si>
  <si>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</si>
  <si>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</si>
  <si>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</si>
  <si>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</si>
  <si>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</si>
  <si>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</si>
  <si>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</si>
  <si>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</si>
  <si>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</si>
  <si>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</si>
  <si>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</si>
  <si>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</si>
  <si>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</si>
  <si>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</si>
  <si>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</si>
  <si>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</si>
  <si>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</si>
  <si>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</si>
  <si>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</si>
  <si>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</si>
  <si>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</si>
  <si>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</si>
  <si>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</si>
  <si>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</si>
  <si>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</si>
  <si>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</si>
  <si>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</si>
  <si>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</si>
  <si>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</si>
  <si>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</si>
  <si>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</si>
  <si>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</si>
  <si>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</si>
  <si>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</si>
  <si>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</si>
  <si>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</si>
  <si>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</si>
  <si>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</si>
  <si>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</si>
  <si>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</si>
  <si>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</si>
  <si>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</si>
  <si>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</si>
  <si>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</si>
  <si>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</si>
  <si>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</si>
  <si>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</si>
  <si>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</si>
  <si>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</si>
  <si>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</si>
  <si>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</si>
  <si>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</si>
  <si>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</si>
  <si>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</si>
  <si>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</si>
  <si>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</si>
  <si>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</si>
  <si>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</si>
  <si>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</si>
  <si>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</si>
  <si>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</si>
  <si>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</si>
  <si>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</si>
  <si>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</si>
  <si>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</si>
  <si>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</si>
  <si>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</si>
  <si>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</si>
  <si>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</si>
  <si>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</si>
  <si>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</si>
  <si>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</si>
  <si>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</si>
  <si>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</si>
  <si>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</si>
  <si>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</si>
  <si>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</si>
  <si>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</si>
  <si>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</si>
  <si>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</si>
  <si>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</si>
  <si>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</si>
  <si>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</si>
  <si>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</si>
  <si>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</si>
  <si>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</si>
  <si>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</si>
  <si>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</si>
  <si>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</si>
  <si>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</si>
  <si>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</si>
  <si>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</si>
  <si>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</si>
  <si>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</si>
  <si>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</si>
  <si>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</si>
  <si>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</si>
  <si>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</si>
  <si>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</si>
  <si>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</si>
  <si>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</si>
  <si>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</si>
  <si>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</si>
  <si>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</si>
  <si>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</si>
  <si>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</si>
  <si>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</si>
  <si>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</si>
  <si>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</si>
  <si>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</si>
  <si>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</si>
  <si>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</si>
  <si>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</si>
  <si>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</si>
  <si>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</si>
  <si>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</si>
  <si>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</si>
  <si>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</si>
  <si>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</si>
  <si>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</si>
  <si>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</si>
  <si>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</si>
  <si>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</si>
  <si>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</si>
  <si>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</si>
  <si>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</si>
  <si>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</si>
  <si>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</si>
  <si>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</si>
  <si>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</si>
  <si>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</si>
  <si>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</si>
  <si>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</si>
  <si>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</si>
  <si>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</si>
  <si>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</si>
  <si>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</si>
  <si>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</si>
  <si>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</si>
  <si>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</si>
  <si>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</si>
  <si>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</si>
  <si>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</si>
  <si>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</si>
  <si>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</si>
  <si>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</si>
  <si>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</si>
  <si>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</si>
  <si>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</si>
  <si>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</si>
  <si>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</si>
  <si>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</si>
  <si>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</si>
  <si>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</si>
  <si>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</si>
  <si>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</si>
  <si>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</si>
  <si>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</si>
  <si>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</si>
  <si>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</si>
  <si>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</si>
  <si>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</si>
  <si>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</si>
  <si>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</si>
  <si>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</si>
  <si>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</si>
  <si>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</si>
  <si>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</si>
  <si>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</si>
  <si>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</si>
  <si>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</si>
  <si>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</si>
  <si>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</si>
  <si>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</si>
  <si>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</si>
  <si>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</si>
  <si>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</si>
  <si>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</si>
  <si>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</si>
  <si>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</si>
  <si>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</si>
  <si>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</si>
  <si>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</si>
  <si>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</si>
  <si>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</si>
  <si>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</si>
  <si>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</si>
  <si>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</si>
  <si>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</si>
  <si>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</si>
  <si>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</si>
  <si>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</si>
  <si>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</si>
  <si>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</si>
  <si>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</si>
  <si>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</si>
  <si>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</si>
  <si>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</si>
  <si>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</si>
  <si>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</si>
  <si>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</si>
  <si>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</si>
  <si>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</si>
  <si>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</si>
  <si>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</si>
  <si>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</si>
  <si>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</si>
  <si>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</si>
  <si>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</si>
  <si>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</si>
  <si>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</si>
  <si>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</si>
  <si>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</si>
  <si>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</si>
  <si>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</si>
  <si>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</si>
  <si>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</si>
  <si>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</si>
  <si>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</si>
  <si>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</si>
  <si>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</si>
  <si>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</si>
  <si>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</si>
  <si>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</si>
  <si>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</si>
  <si>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</si>
  <si>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</si>
  <si>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</si>
  <si>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</si>
  <si>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</si>
  <si>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</si>
  <si>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</si>
  <si>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</si>
  <si>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</si>
  <si>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</si>
  <si>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</si>
  <si>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</si>
  <si>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</si>
  <si>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</si>
  <si>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</si>
  <si>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</si>
  <si>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</si>
  <si>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</si>
  <si>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</si>
  <si>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</si>
  <si>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</si>
  <si>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</si>
  <si>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</si>
  <si>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</si>
  <si>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</si>
  <si>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</si>
  <si>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</si>
  <si>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</si>
  <si>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</si>
  <si>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</si>
  <si>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</si>
  <si>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</si>
  <si>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</si>
  <si>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</si>
  <si>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</si>
  <si>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</si>
  <si>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</si>
  <si>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</si>
  <si>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</si>
  <si>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</si>
  <si>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</si>
  <si>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</si>
  <si>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</si>
  <si>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</si>
  <si>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</si>
  <si>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</si>
  <si>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</si>
  <si>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</si>
  <si>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</si>
  <si>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</si>
  <si>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</si>
  <si>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</si>
  <si>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</si>
  <si>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</si>
  <si>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</si>
  <si>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</si>
  <si>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</si>
  <si>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</si>
  <si>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</si>
  <si>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</si>
  <si>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</si>
  <si>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</si>
  <si>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</si>
  <si>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</si>
  <si>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</si>
  <si>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</si>
  <si>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</si>
  <si>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</si>
  <si>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</si>
  <si>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</si>
  <si>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</si>
  <si>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</si>
  <si>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</si>
  <si>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</si>
  <si>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</si>
  <si>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</si>
  <si>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</si>
  <si>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</si>
  <si>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</si>
  <si>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</si>
  <si>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</si>
  <si>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</si>
  <si>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</si>
  <si>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</si>
  <si>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</si>
  <si>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</si>
  <si>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</si>
  <si>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</si>
  <si>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</si>
  <si>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</si>
  <si>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</si>
  <si>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</si>
  <si>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</si>
  <si>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</si>
  <si>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</si>
  <si>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</si>
  <si>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</si>
  <si>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</si>
  <si>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</si>
  <si>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</si>
  <si>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</si>
  <si>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</si>
  <si>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</si>
  <si>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</si>
  <si>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</si>
  <si>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</si>
  <si>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</si>
  <si>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</si>
  <si>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</si>
  <si>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</si>
  <si>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</si>
  <si>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</si>
  <si>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</si>
  <si>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</si>
  <si>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</si>
  <si>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</si>
  <si>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</si>
  <si>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</si>
  <si>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</si>
  <si>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</si>
  <si>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</si>
  <si>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</si>
  <si>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</si>
  <si>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</si>
  <si>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</si>
  <si>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</si>
  <si>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</si>
  <si>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</si>
  <si>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</si>
  <si>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</si>
  <si>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</si>
  <si>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</si>
  <si>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</si>
  <si>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</si>
  <si>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</si>
  <si>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</si>
  <si>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</si>
  <si>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</si>
  <si>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</si>
  <si>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</si>
  <si>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</si>
  <si>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</si>
  <si>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</si>
  <si>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</si>
  <si>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</si>
  <si>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</si>
  <si>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</si>
  <si>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</si>
  <si>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</si>
  <si>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</si>
  <si>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</si>
  <si>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</si>
  <si>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</si>
  <si>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</si>
  <si>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</si>
  <si>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</si>
  <si>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</si>
  <si>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</si>
  <si>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</si>
  <si>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</si>
  <si>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</si>
  <si>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</si>
  <si>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</si>
  <si>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</si>
  <si>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</si>
  <si>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</si>
  <si>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</si>
  <si>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</si>
  <si>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</si>
  <si>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</si>
  <si>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</si>
  <si>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</si>
  <si>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</si>
  <si>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</si>
  <si>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</si>
  <si>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</si>
  <si>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</si>
  <si>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</si>
  <si>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</si>
  <si>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</si>
  <si>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</si>
  <si>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</si>
  <si>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</si>
  <si>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</si>
  <si>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</si>
  <si>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</si>
  <si>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</si>
  <si>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</si>
  <si>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</si>
  <si>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</si>
  <si>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</si>
  <si>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</si>
  <si>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</si>
  <si>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</si>
  <si>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</si>
  <si>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</si>
  <si>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</si>
  <si>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</si>
  <si>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</si>
  <si>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</si>
  <si>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</si>
  <si>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</si>
  <si>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</si>
  <si>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</si>
  <si>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</si>
  <si>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</si>
  <si>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</si>
  <si>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</si>
  <si>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</si>
  <si>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</si>
  <si>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</si>
  <si>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</si>
  <si>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</si>
  <si>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</si>
  <si>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</si>
  <si>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</si>
  <si>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</si>
  <si>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</si>
  <si>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</si>
  <si>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</si>
  <si>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</si>
  <si>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</si>
  <si>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</si>
  <si>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</si>
  <si>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</si>
  <si>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</si>
  <si>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</si>
  <si>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</si>
  <si>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</si>
  <si>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</si>
  <si>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</si>
  <si>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</si>
  <si>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</si>
  <si>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</si>
  <si>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</si>
  <si>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</si>
  <si>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</si>
  <si>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</si>
  <si>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</si>
  <si>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</si>
  <si>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</si>
  <si>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</si>
  <si>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</si>
  <si>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</si>
  <si>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</si>
  <si>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</si>
  <si>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</si>
  <si>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</si>
  <si>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</si>
  <si>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</si>
  <si>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</si>
  <si>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</si>
  <si>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</si>
  <si>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</si>
  <si>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</si>
  <si>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</si>
  <si>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</si>
  <si>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</si>
  <si>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</si>
  <si>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</si>
  <si>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</si>
  <si>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</si>
  <si>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</si>
  <si>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</si>
  <si>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</si>
  <si>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</si>
  <si>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</si>
  <si>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</si>
  <si>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</si>
  <si>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</si>
  <si>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</si>
  <si>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</si>
  <si>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</si>
  <si>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</si>
  <si>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</si>
  <si>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</si>
  <si>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</si>
  <si>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</si>
  <si>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</si>
  <si>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</si>
  <si>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</si>
  <si>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</si>
  <si>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</si>
  <si>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</si>
  <si>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</si>
  <si>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</si>
  <si>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</si>
  <si>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</si>
  <si>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</si>
  <si>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</si>
  <si>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</si>
  <si>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</si>
  <si>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</si>
  <si>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</si>
  <si>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</si>
  <si>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</si>
  <si>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</si>
  <si>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</si>
  <si>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</si>
  <si>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</si>
  <si>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</si>
  <si>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</si>
  <si>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</si>
  <si>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</si>
  <si>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</si>
  <si>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</si>
  <si>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</si>
  <si>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</si>
  <si>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</si>
  <si>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</si>
  <si>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</si>
  <si>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</si>
  <si>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</si>
  <si>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</si>
  <si>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</si>
  <si>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</si>
  <si>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</si>
  <si>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</si>
  <si>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</si>
  <si>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</si>
  <si>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</si>
  <si>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</si>
  <si>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</si>
  <si>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</si>
  <si>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</si>
  <si>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</si>
  <si>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</si>
  <si>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</si>
  <si>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</si>
  <si>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</si>
  <si>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</si>
  <si>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</si>
  <si>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</si>
  <si>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</si>
  <si>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</si>
  <si>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</si>
  <si>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</si>
  <si>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</si>
  <si>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</si>
  <si>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</si>
  <si>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</si>
  <si>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</si>
  <si>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</si>
  <si>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</si>
  <si>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</si>
  <si>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</si>
  <si>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</si>
  <si>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</si>
  <si>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</si>
  <si>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</si>
  <si>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</si>
  <si>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</si>
  <si>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</si>
  <si>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</si>
  <si>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</si>
  <si>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</si>
  <si>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</si>
  <si>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</si>
  <si>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</si>
  <si>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</si>
  <si>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</si>
  <si>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</si>
  <si>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</si>
  <si>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</si>
  <si>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</si>
  <si>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</si>
  <si>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</si>
  <si>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</si>
  <si>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</si>
  <si>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</si>
  <si>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</si>
  <si>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</si>
  <si>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</si>
  <si>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</si>
  <si>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</si>
  <si>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</si>
  <si>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</si>
  <si>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</si>
  <si>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</si>
  <si>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</si>
  <si>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</si>
  <si>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</si>
  <si>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</si>
  <si>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</si>
  <si>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</si>
  <si>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</si>
  <si>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</si>
  <si>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</si>
  <si>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</si>
  <si>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</si>
  <si>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</si>
  <si>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</si>
  <si>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</si>
  <si>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</si>
  <si>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</si>
  <si>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</si>
  <si>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</si>
  <si>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</si>
  <si>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</si>
  <si>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</si>
  <si>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</si>
  <si>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</si>
  <si>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</si>
  <si>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</si>
  <si>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</si>
  <si>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</si>
  <si>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</si>
  <si>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</si>
  <si>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</si>
  <si>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</si>
  <si>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</si>
  <si>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</si>
  <si>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</si>
  <si>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</si>
  <si>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</si>
  <si>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</si>
  <si>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</si>
  <si>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</si>
  <si>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</si>
  <si>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</si>
  <si>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</si>
  <si>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</si>
  <si>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</si>
  <si>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</si>
  <si>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</si>
  <si>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</si>
  <si>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</si>
  <si>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</si>
  <si>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</si>
  <si>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</si>
  <si>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</si>
  <si>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</si>
  <si>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</si>
  <si>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</si>
  <si>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</si>
  <si>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</si>
  <si>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</si>
  <si>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</si>
  <si>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</si>
  <si>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</si>
  <si>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</si>
  <si>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</si>
  <si>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</si>
  <si>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</si>
  <si>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</si>
  <si>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</si>
  <si>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</si>
  <si>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</si>
  <si>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</si>
  <si>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</si>
  <si>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</si>
  <si>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</si>
  <si>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</si>
  <si>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</si>
  <si>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</si>
  <si>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</si>
  <si>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</si>
  <si>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</si>
  <si>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</si>
  <si>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</si>
  <si>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</si>
  <si>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</si>
  <si>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</si>
  <si>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</si>
  <si>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</si>
  <si>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</si>
  <si>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</si>
  <si>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</si>
  <si>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</si>
  <si>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</si>
  <si>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</si>
  <si>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</si>
  <si>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</si>
  <si>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</si>
  <si>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</si>
  <si>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</si>
  <si>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</si>
  <si>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</si>
  <si>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</si>
  <si>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</si>
  <si>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</si>
  <si>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</si>
  <si>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</si>
  <si>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</si>
  <si>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</si>
  <si>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</si>
  <si>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</si>
  <si>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</si>
  <si>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</si>
  <si>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</si>
  <si>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</si>
  <si>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</si>
  <si>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</si>
  <si>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</si>
  <si>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</si>
  <si>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</si>
  <si>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</si>
  <si>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</si>
  <si>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</si>
  <si>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</si>
  <si>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</si>
  <si>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</si>
  <si>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</si>
  <si>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</si>
  <si>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</si>
  <si>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</si>
  <si>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</si>
  <si>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</si>
  <si>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</si>
  <si>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</si>
  <si>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</si>
  <si>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</si>
  <si>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</si>
  <si>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</si>
  <si>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</si>
  <si>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</si>
  <si>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</si>
  <si>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</si>
  <si>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</si>
  <si>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</si>
  <si>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</si>
  <si>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</si>
  <si>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</si>
  <si>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</si>
  <si>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</si>
  <si>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</si>
  <si>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</si>
  <si>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</si>
  <si>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</si>
  <si>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</si>
  <si>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</si>
  <si>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</si>
  <si>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</si>
  <si>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</si>
  <si>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</si>
  <si>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</si>
  <si>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</si>
  <si>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</si>
  <si>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</si>
  <si>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</si>
  <si>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</si>
  <si>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</si>
  <si>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</si>
  <si>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</si>
  <si>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</si>
  <si>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</si>
  <si>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</si>
  <si>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</si>
  <si>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</si>
  <si>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</si>
  <si>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</si>
  <si>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</si>
  <si>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</si>
  <si>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</si>
  <si>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</si>
  <si>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</si>
  <si>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</si>
  <si>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</si>
  <si>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</si>
  <si>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</si>
  <si>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</si>
  <si>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</si>
  <si>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</si>
  <si>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</si>
  <si>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</si>
  <si>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</si>
  <si>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</si>
  <si>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</si>
  <si>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</si>
  <si>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</si>
  <si>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</si>
  <si>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</si>
  <si>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</si>
  <si>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</si>
  <si>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</si>
  <si>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</si>
  <si>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</si>
  <si>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</si>
  <si>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</si>
  <si>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</si>
  <si>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</si>
  <si>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</si>
  <si>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</si>
  <si>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</si>
  <si>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</si>
  <si>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</si>
  <si>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</si>
  <si>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</si>
  <si>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</si>
  <si>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</si>
  <si>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</si>
  <si>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</si>
  <si>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</si>
  <si>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</si>
  <si>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</si>
  <si>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</si>
  <si>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</si>
  <si>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</si>
  <si>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</si>
  <si>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</si>
  <si>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</si>
  <si>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</si>
  <si>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</si>
  <si>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</si>
  <si>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</si>
  <si>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</si>
  <si>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</si>
  <si>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</si>
  <si>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</si>
  <si>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</si>
  <si>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</si>
  <si>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</si>
  <si>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</si>
  <si>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</si>
  <si>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</si>
  <si>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</si>
  <si>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</si>
  <si>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</si>
  <si>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</si>
  <si>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</si>
  <si>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</si>
  <si>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</si>
  <si>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</si>
  <si>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</si>
  <si>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</si>
  <si>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</si>
  <si>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</si>
  <si>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</si>
  <si>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</si>
  <si>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</si>
  <si>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</si>
  <si>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</si>
  <si>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</si>
  <si>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</si>
  <si>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</si>
  <si>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</si>
  <si>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</si>
  <si>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</si>
  <si>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</si>
  <si>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</si>
  <si>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</si>
  <si>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</si>
  <si>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</si>
  <si>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</si>
  <si>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</si>
  <si>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</si>
  <si>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</si>
  <si>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</si>
  <si>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</si>
  <si>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</si>
  <si>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</si>
  <si>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</si>
  <si>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</si>
  <si>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</si>
  <si>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</si>
  <si>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</si>
  <si>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</si>
  <si>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</si>
  <si>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</si>
  <si>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</si>
  <si>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</si>
  <si>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</si>
  <si>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</si>
  <si>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</si>
  <si>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</si>
  <si>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</si>
  <si>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</si>
  <si>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</si>
  <si>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</si>
  <si>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</si>
  <si>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</si>
  <si>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</si>
  <si>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</si>
  <si>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</si>
  <si>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</si>
  <si>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</si>
  <si>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</si>
  <si>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</si>
  <si>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</si>
  <si>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</si>
  <si>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</si>
  <si>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</si>
  <si>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</si>
  <si>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</si>
  <si>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</si>
  <si>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</si>
  <si>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</si>
  <si>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</si>
  <si>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</si>
  <si>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</si>
  <si>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</si>
  <si>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</si>
  <si>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</si>
  <si>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</si>
  <si>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</si>
  <si>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</si>
  <si>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</si>
  <si>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</si>
  <si>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</si>
  <si>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</si>
  <si>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</si>
  <si>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</si>
  <si>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</si>
  <si>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</si>
  <si>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</si>
  <si>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</si>
  <si>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</si>
  <si>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</si>
  <si>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</si>
  <si>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</si>
  <si>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</si>
  <si>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</si>
  <si>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</si>
  <si>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</si>
  <si>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</si>
  <si>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</si>
  <si>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</si>
  <si>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</si>
  <si>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</si>
  <si>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</si>
  <si>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</si>
  <si>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</si>
  <si>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</si>
  <si>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</si>
  <si>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</si>
  <si>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</si>
  <si>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</si>
  <si>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</si>
  <si>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</si>
  <si>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</si>
  <si>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</si>
  <si>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</si>
  <si>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</si>
  <si>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</si>
  <si>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</si>
  <si>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</si>
  <si>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</si>
  <si>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</si>
  <si>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</si>
  <si>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</si>
  <si>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</si>
  <si>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</si>
  <si>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</si>
  <si>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</si>
  <si>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</si>
  <si>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</si>
  <si>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</si>
  <si>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</si>
  <si>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</si>
  <si>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</si>
  <si>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</si>
  <si>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</si>
  <si>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</si>
  <si>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</si>
  <si>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</si>
  <si>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</si>
  <si>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</si>
  <si>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</si>
  <si>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</si>
  <si>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</si>
  <si>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</si>
  <si>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</si>
  <si>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</si>
  <si>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</si>
  <si>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</si>
  <si>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</si>
  <si>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</si>
  <si>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</si>
  <si>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</si>
  <si>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</si>
  <si>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</si>
  <si>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</si>
  <si>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</si>
  <si>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</si>
  <si>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</si>
  <si>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</si>
  <si>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</si>
  <si>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</si>
  <si>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</si>
  <si>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</si>
  <si>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</si>
  <si>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</si>
  <si>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</si>
  <si>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</si>
  <si>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</si>
  <si>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</si>
  <si>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</si>
  <si>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</si>
  <si>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</si>
  <si>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</si>
  <si>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</si>
  <si>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</si>
  <si>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</si>
  <si>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</si>
  <si>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</si>
  <si>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</si>
  <si>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</si>
  <si>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</si>
  <si>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</si>
  <si>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</si>
  <si>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</si>
  <si>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</si>
  <si>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</si>
  <si>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</si>
  <si>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</si>
  <si>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</si>
  <si>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</si>
  <si>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</si>
  <si>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</si>
  <si>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</si>
  <si>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</si>
  <si>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</si>
  <si>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</si>
  <si>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</si>
  <si>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</si>
  <si>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</si>
  <si>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</si>
  <si>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</si>
  <si>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</si>
  <si>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</si>
  <si>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</si>
  <si>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</si>
  <si>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</si>
  <si>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</si>
  <si>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</si>
  <si>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</si>
  <si>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</si>
  <si>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</si>
  <si>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</si>
  <si>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</si>
  <si>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</si>
  <si>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</si>
  <si>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</si>
  <si>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</si>
  <si>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</si>
  <si>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</si>
  <si>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</si>
  <si>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</si>
  <si>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</si>
  <si>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</si>
  <si>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</si>
  <si>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</si>
  <si>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</si>
  <si>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</si>
  <si>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</si>
  <si>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</si>
  <si>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</si>
  <si>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</si>
  <si>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</si>
  <si>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</si>
  <si>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</si>
  <si>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</si>
  <si>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</si>
  <si>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</si>
  <si>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</si>
  <si>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</si>
  <si>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</si>
  <si>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</si>
  <si>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</si>
  <si>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</si>
  <si>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</si>
  <si>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</si>
  <si>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</si>
  <si>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</si>
  <si>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</si>
  <si>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</si>
  <si>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</si>
  <si>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</si>
  <si>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</si>
  <si>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</si>
  <si>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</si>
  <si>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</si>
  <si>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</si>
  <si>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</si>
  <si>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</si>
  <si>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</si>
  <si>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</si>
  <si>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</si>
  <si>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</si>
  <si>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</si>
  <si>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</si>
  <si>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</si>
  <si>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</si>
  <si>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</si>
  <si>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</si>
  <si>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</si>
  <si>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</si>
  <si>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</si>
  <si>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</si>
  <si>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</si>
  <si>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</si>
  <si>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</si>
  <si>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</si>
  <si>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</si>
  <si>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</si>
  <si>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</si>
  <si>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</si>
  <si>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</si>
  <si>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</si>
  <si>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</si>
  <si>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</si>
  <si>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</si>
  <si>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</si>
  <si>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</si>
  <si>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</si>
  <si>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</si>
  <si>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</si>
  <si>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</si>
  <si>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</si>
  <si>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</si>
  <si>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</si>
  <si>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</si>
  <si>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</si>
  <si>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</si>
  <si>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</si>
  <si>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</si>
  <si>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</si>
  <si>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</si>
  <si>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</si>
  <si>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</si>
  <si>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</si>
  <si>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</si>
  <si>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</si>
  <si>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</si>
  <si>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</si>
  <si>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</si>
  <si>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</si>
  <si>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</si>
  <si>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</si>
  <si>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</si>
  <si>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</si>
  <si>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</si>
  <si>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</si>
  <si>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</si>
  <si>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</si>
  <si>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</si>
  <si>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</si>
  <si>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</si>
  <si>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</si>
  <si>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</si>
  <si>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</si>
  <si>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</si>
  <si>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</si>
  <si>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</si>
  <si>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</si>
  <si>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</si>
  <si>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</si>
  <si>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</si>
  <si>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</si>
  <si>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</si>
  <si>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</si>
  <si>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</si>
  <si>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</si>
  <si>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</si>
  <si>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</si>
  <si>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</si>
  <si>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</si>
  <si>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</si>
  <si>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</si>
  <si>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</si>
  <si>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</si>
  <si>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</si>
  <si>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</si>
  <si>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</si>
  <si>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</si>
  <si>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</si>
  <si>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</si>
  <si>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</si>
  <si>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</si>
  <si>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</si>
  <si>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</si>
  <si>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</si>
  <si>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</si>
  <si>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</si>
  <si>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</si>
  <si>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</si>
  <si>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</si>
  <si>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</si>
  <si>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</si>
  <si>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</si>
  <si>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</si>
  <si>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</si>
  <si>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</si>
  <si>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</si>
  <si>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</si>
  <si>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</si>
  <si>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</si>
  <si>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</si>
  <si>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</si>
  <si>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</si>
  <si>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</si>
  <si>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</si>
  <si>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</si>
  <si>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</si>
  <si>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</si>
  <si>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</si>
  <si>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</si>
  <si>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</si>
  <si>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</si>
  <si>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</si>
  <si>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</si>
  <si>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</si>
  <si>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</si>
  <si>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</si>
  <si>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</si>
  <si>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</si>
  <si>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</si>
  <si>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</si>
  <si>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</si>
  <si>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</si>
  <si>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</si>
  <si>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</si>
  <si>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</si>
  <si>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</si>
  <si>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</si>
  <si>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</si>
  <si>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</si>
  <si>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</si>
  <si>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</si>
  <si>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</si>
  <si>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</si>
  <si>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</si>
  <si>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</si>
  <si>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</si>
  <si>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</si>
  <si>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</si>
  <si>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</si>
  <si>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</si>
  <si>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</si>
  <si>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</si>
  <si>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</si>
  <si>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</si>
  <si>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</si>
  <si>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</si>
  <si>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</si>
  <si>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</si>
  <si>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</si>
  <si>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</si>
  <si>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</si>
  <si>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</si>
  <si>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</si>
  <si>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</si>
  <si>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</si>
  <si>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</si>
  <si>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</si>
  <si>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</si>
  <si>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</si>
  <si>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</si>
  <si>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</si>
  <si>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</si>
  <si>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</si>
  <si>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</si>
  <si>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</si>
  <si>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</si>
  <si>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</si>
  <si>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</si>
  <si>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</si>
  <si>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</si>
  <si>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</si>
  <si>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</si>
  <si>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</si>
  <si>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</si>
  <si>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</si>
  <si>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</si>
  <si>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</si>
  <si>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</si>
  <si>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</si>
  <si>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</si>
  <si>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</si>
  <si>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</si>
  <si>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</si>
  <si>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</si>
  <si>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</si>
  <si>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</si>
  <si>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</si>
  <si>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</si>
  <si>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</si>
  <si>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</si>
  <si>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</si>
  <si>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</si>
  <si>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</si>
  <si>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</si>
  <si>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</si>
  <si>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</si>
  <si>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</si>
  <si>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</si>
  <si>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</si>
  <si>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</si>
  <si>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</si>
  <si>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</si>
  <si>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</si>
  <si>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</si>
  <si>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</si>
  <si>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</si>
  <si>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</si>
  <si>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</si>
  <si>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</si>
  <si>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</si>
  <si>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</si>
  <si>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</si>
  <si>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</si>
  <si>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</si>
  <si>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</si>
  <si>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</si>
  <si>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</si>
  <si>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</si>
  <si>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</si>
  <si>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</si>
  <si>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</si>
  <si>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</si>
  <si>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</si>
  <si>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</si>
  <si>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</si>
  <si>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</si>
  <si>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</si>
  <si>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</si>
  <si>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</si>
  <si>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</si>
  <si>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</si>
  <si>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</si>
  <si>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</si>
  <si>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</si>
  <si>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</si>
  <si>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</si>
  <si>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</si>
  <si>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</si>
  <si>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</si>
  <si>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</si>
  <si>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</si>
  <si>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</si>
  <si>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</si>
  <si>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</si>
  <si>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</si>
  <si>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</si>
  <si>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</si>
  <si>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</si>
  <si>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Wayshrine Node  ID</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</si>
  <si>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</si>
  <si>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</si>
  <si>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</si>
  <si>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</si>
  <si>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</si>
  <si>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</si>
  <si>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</si>
  <si>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</si>
  <si>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</si>
  <si>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</si>
  <si>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</si>
  <si>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</si>
  <si>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</si>
  <si>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</si>
  <si>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</si>
  <si>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</si>
  <si>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</si>
  <si>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</si>
  <si>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</si>
  <si>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</si>
  <si>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</si>
  <si>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</si>
  <si>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</si>
  <si>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</si>
  <si>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</si>
  <si>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</si>
  <si>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Cheesemonger Hollow</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</si>
  <si>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</si>
  <si>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</si>
  <si>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</si>
  <si>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</si>
  <si>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</si>
  <si>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</si>
  <si>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</si>
  <si>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</si>
  <si>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</si>
  <si>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</si>
  <si>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</si>
  <si>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</si>
  <si>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</si>
  <si>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</si>
  <si>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</si>
  <si>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</si>
  <si>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</si>
  <si>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</si>
  <si>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</si>
  <si>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</si>
  <si>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</si>
  <si>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</si>
  <si>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</si>
  <si>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</si>
  <si>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</si>
  <si>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</si>
  <si>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</si>
  <si>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</si>
  <si>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</si>
  <si>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</si>
  <si>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</si>
  <si>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</si>
  <si>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</si>
  <si>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</si>
  <si>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</si>
  <si>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</si>
  <si>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</si>
  <si>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</si>
  <si>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</si>
  <si>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</si>
  <si>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</si>
  <si>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</si>
  <si>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</si>
  <si>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</si>
  <si>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</si>
  <si>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</si>
  <si>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</si>
  <si>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</si>
  <si>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</si>
  <si>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</si>
  <si>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</si>
  <si>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</si>
  <si>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</si>
  <si>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</si>
  <si>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</si>
  <si>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</si>
  <si>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</si>
  <si>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</si>
  <si>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</si>
  <si>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</si>
  <si>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</si>
  <si>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</si>
  <si>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</si>
  <si>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</si>
  <si>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</si>
  <si>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</si>
  <si>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</si>
  <si>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</si>
  <si>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</si>
  <si>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</si>
  <si>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</si>
  <si>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</si>
  <si>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</si>
  <si>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</si>
  <si>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</si>
  <si>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</si>
  <si>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</si>
  <si>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</si>
  <si>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</si>
  <si>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</si>
  <si>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</si>
  <si>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</si>
  <si>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</si>
  <si>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</si>
  <si>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</si>
  <si>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</si>
  <si>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</si>
  <si>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</si>
  <si>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</si>
  <si>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</si>
  <si>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</si>
  <si>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</si>
  <si>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</si>
  <si>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</si>
  <si>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</si>
  <si>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</si>
  <si>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</si>
  <si>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</si>
  <si>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</si>
  <si>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</si>
  <si>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</si>
  <si>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</si>
  <si>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</si>
  <si>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</si>
  <si>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</si>
  <si>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</si>
  <si>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</si>
  <si>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</si>
  <si>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</si>
  <si>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</si>
  <si>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</si>
  <si>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</si>
  <si>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</si>
  <si>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</si>
  <si>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</si>
  <si>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</si>
  <si>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</si>
  <si>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</si>
  <si>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</si>
  <si>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</si>
  <si>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</si>
  <si>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</si>
  <si>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</si>
  <si>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</si>
  <si>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</si>
  <si>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</si>
  <si>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</si>
  <si>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</si>
  <si>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</si>
  <si>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</si>
  <si>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</si>
  <si>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</si>
  <si>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</si>
  <si>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</si>
  <si>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</si>
  <si>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</si>
  <si>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</si>
  <si>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</si>
  <si>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</si>
  <si>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</si>
  <si>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</si>
  <si>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</si>
  <si>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</si>
  <si>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</si>
  <si>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</si>
  <si>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</si>
  <si>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</si>
  <si>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</si>
  <si>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</si>
  <si>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</si>
  <si>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</si>
  <si>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</si>
  <si>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</si>
  <si>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</si>
  <si>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</si>
  <si>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</si>
  <si>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</si>
  <si>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</si>
  <si>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</si>
  <si>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</si>
  <si>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</si>
  <si>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</si>
  <si>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</si>
  <si>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</si>
  <si>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</si>
  <si>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</si>
  <si>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</si>
  <si>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</si>
  <si>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</si>
  <si>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</si>
  <si>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</si>
  <si>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</si>
  <si>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</si>
  <si>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</si>
  <si>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</si>
  <si>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</si>
  <si>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</si>
  <si>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</si>
  <si>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</si>
  <si>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</si>
  <si>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</si>
  <si>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</si>
  <si>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</si>
  <si>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</si>
  <si>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</si>
  <si>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</si>
  <si>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</si>
  <si>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</si>
  <si>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</si>
  <si>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</si>
  <si>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</si>
  <si>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</si>
  <si>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</si>
  <si>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</si>
  <si>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</si>
  <si>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</si>
  <si>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</si>
  <si>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</si>
  <si>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</si>
  <si>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</si>
  <si>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</si>
  <si>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</si>
  <si>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</si>
  <si>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</si>
  <si>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</si>
  <si>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</si>
  <si>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</si>
  <si>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</si>
  <si>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</si>
  <si>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</si>
  <si>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Ilambris Zwillinge</t>
  </si>
  <si>
    <t>Nerien\’eth</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</si>
  <si>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</si>
  <si>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</si>
  <si>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</si>
  <si>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</si>
  <si>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</si>
  <si>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</si>
  <si>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</si>
  <si>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</si>
  <si>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</si>
  <si>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</si>
  <si>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</si>
  <si>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</si>
  <si>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</si>
  <si>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</si>
  <si>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</si>
  <si>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</si>
  <si>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</si>
  <si>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</si>
  <si>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</si>
  <si>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</si>
  <si>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</si>
  <si>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</si>
  <si>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</si>
  <si>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Kjalnar\’s Nightmare</t>
  </si>
  <si>
    <t>Critical Riposte</t>
  </si>
  <si>
    <t>Unchained Aggressor</t>
  </si>
  <si>
    <t>Dauntless Combatant</t>
  </si>
  <si>
    <t>Mutter Ciannait</t>
  </si>
  <si>
    <t>Kjalnar\’s Albtraum</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</si>
  <si>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</si>
  <si>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</si>
  <si>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</si>
  <si>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</si>
  <si>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</si>
  <si>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</si>
  <si>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</si>
  <si>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</si>
  <si>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</si>
  <si>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</si>
  <si>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</si>
  <si>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</si>
  <si>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</si>
  <si>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</si>
  <si>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</si>
  <si>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</si>
  <si>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</si>
  <si>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</si>
  <si>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</si>
  <si>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</si>
  <si>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</si>
  <si>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</si>
  <si>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</si>
  <si>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</si>
  <si>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</si>
  <si>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</si>
  <si>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</si>
  <si>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</si>
  <si>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</si>
  <si>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</si>
  <si>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</si>
  <si>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</si>
  <si>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</si>
  <si>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</si>
  <si>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</si>
  <si>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</si>
  <si>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</si>
  <si>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</si>
  <si>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</si>
  <si>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</si>
  <si>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</si>
  <si>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</si>
  <si>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</si>
  <si>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</si>
  <si>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</si>
  <si>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</si>
  <si>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</si>
  <si>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</si>
  <si>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</si>
  <si>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</si>
  <si>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</si>
  <si>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</si>
  <si>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</si>
  <si>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</si>
  <si>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</si>
  <si>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</si>
  <si>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</si>
  <si>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</si>
  <si>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</si>
  <si>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</si>
  <si>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</si>
  <si>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</si>
  <si>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</si>
  <si>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</si>
  <si>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</si>
  <si>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</si>
  <si>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</si>
  <si>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</si>
  <si>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</si>
  <si>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</si>
  <si>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</si>
  <si>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</si>
  <si>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</si>
  <si>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</si>
  <si>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</si>
  <si>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</si>
  <si>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</si>
  <si>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</si>
  <si>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</si>
  <si>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</si>
  <si>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</si>
  <si>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</si>
  <si>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</si>
  <si>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</si>
  <si>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</si>
  <si>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</si>
  <si>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</si>
  <si>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</si>
  <si>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</si>
  <si>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</si>
  <si>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</si>
  <si>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</si>
  <si>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</si>
  <si>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</si>
  <si>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</si>
  <si>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</si>
  <si>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</si>
  <si>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</si>
  <si>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</si>
  <si>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</si>
  <si>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</si>
  <si>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</si>
  <si>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</si>
  <si>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</si>
  <si>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</si>
  <si>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</si>
  <si>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</si>
  <si>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</si>
  <si>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</si>
  <si>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</si>
  <si>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</si>
  <si>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</si>
  <si>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</si>
  <si>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</si>
  <si>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</si>
  <si>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</si>
  <si>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</si>
  <si>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</si>
  <si>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</si>
  <si>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</si>
  <si>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</si>
  <si>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</si>
  <si>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</si>
  <si>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</si>
  <si>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</si>
  <si>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</si>
  <si>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</si>
  <si>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</si>
  <si>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</si>
  <si>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</si>
  <si>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</si>
  <si>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</si>
  <si>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</si>
  <si>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</si>
  <si>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</si>
  <si>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</si>
  <si>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</si>
  <si>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</si>
  <si>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</si>
  <si>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</si>
  <si>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</si>
  <si>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</si>
  <si>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</si>
  <si>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</si>
  <si>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</si>
  <si>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</si>
  <si>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</si>
  <si>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</si>
  <si>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</si>
  <si>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</si>
  <si>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</si>
  <si>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</si>
  <si>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</si>
  <si>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</si>
  <si>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</si>
  <si>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</si>
  <si>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</si>
  <si>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</si>
  <si>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</si>
  <si>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</si>
  <si>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</si>
  <si>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</si>
  <si>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</si>
  <si>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</si>
  <si>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</si>
  <si>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</si>
  <si>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</si>
  <si>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</si>
  <si>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</si>
  <si>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</si>
  <si>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</si>
  <si>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</si>
  <si>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</si>
  <si>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</si>
  <si>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</si>
  <si>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</si>
  <si>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</si>
  <si>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</si>
  <si>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</si>
  <si>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</si>
  <si>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</si>
  <si>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</si>
  <si>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</si>
  <si>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</si>
  <si>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</si>
  <si>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</si>
  <si>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</si>
  <si>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</si>
  <si>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</si>
  <si>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</si>
  <si>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</si>
  <si>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</si>
  <si>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</si>
  <si>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</si>
  <si>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</si>
  <si>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</si>
  <si>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</si>
  <si>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</si>
  <si>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</si>
  <si>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</si>
  <si>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</si>
  <si>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</si>
  <si>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</si>
  <si>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</si>
  <si>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</si>
  <si>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</si>
  <si>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</si>
  <si>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</si>
  <si>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</si>
  <si>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</si>
  <si>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</si>
  <si>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</si>
  <si>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</si>
  <si>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</si>
  <si>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</si>
  <si>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</si>
  <si>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</si>
  <si>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</si>
  <si>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</si>
  <si>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</si>
  <si>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</si>
  <si>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</si>
  <si>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</si>
  <si>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</si>
  <si>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</si>
  <si>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</si>
  <si>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</si>
  <si>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</si>
  <si>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</si>
  <si>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</si>
  <si>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</si>
  <si>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</si>
  <si>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</si>
  <si>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</si>
  <si>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</si>
  <si>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</si>
  <si>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</si>
  <si>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</si>
  <si>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</si>
  <si>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</si>
  <si>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</si>
  <si>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</si>
  <si>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</si>
  <si>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</si>
  <si>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</si>
  <si>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</si>
  <si>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</si>
  <si>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</si>
  <si>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</si>
  <si>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</si>
  <si>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</si>
  <si>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</si>
  <si>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</si>
  <si>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</si>
  <si>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</si>
  <si>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</si>
  <si>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</si>
  <si>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</si>
  <si>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</si>
  <si>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</si>
  <si>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</si>
  <si>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</si>
  <si>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</si>
  <si>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</si>
  <si>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</si>
  <si>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</si>
  <si>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</si>
  <si>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</si>
  <si>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</si>
  <si>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</si>
  <si>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</si>
  <si>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</si>
  <si>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</si>
  <si>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</si>
  <si>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</si>
  <si>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</si>
  <si>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</si>
  <si>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</si>
  <si>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</si>
  <si>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</si>
  <si>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</si>
  <si>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</si>
  <si>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</si>
  <si>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</si>
  <si>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</si>
  <si>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</si>
  <si>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</si>
  <si>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</si>
  <si>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</si>
  <si>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</si>
  <si>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</si>
  <si>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</si>
  <si>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</si>
  <si>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</si>
  <si>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</si>
  <si>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</si>
  <si>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</si>
  <si>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</si>
  <si>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</si>
  <si>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</si>
  <si>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</si>
  <si>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</si>
  <si>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</si>
  <si>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</si>
  <si>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</si>
  <si>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</si>
  <si>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</si>
  <si>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</si>
  <si>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</si>
  <si>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</si>
  <si>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</si>
  <si>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</si>
  <si>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</si>
  <si>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</si>
  <si>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</si>
  <si>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</si>
  <si>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</si>
  <si>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</si>
  <si>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</si>
  <si>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</si>
  <si>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</si>
  <si>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</si>
  <si>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</si>
  <si>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</si>
  <si>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</si>
  <si>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</si>
  <si>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</si>
  <si>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</si>
  <si>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</si>
  <si>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</si>
  <si>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</si>
  <si>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</si>
  <si>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</si>
  <si>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</si>
  <si>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</si>
  <si>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</si>
  <si>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</si>
  <si>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</si>
  <si>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</si>
  <si>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</si>
  <si>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</si>
  <si>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</si>
  <si>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</si>
  <si>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</si>
  <si>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</si>
  <si>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</si>
  <si>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</si>
  <si>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</si>
  <si>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</si>
  <si>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</si>
  <si>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</si>
  <si>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</si>
  <si>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</si>
  <si>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</si>
  <si>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</si>
  <si>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</si>
  <si>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</si>
  <si>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</si>
  <si>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</si>
  <si>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</si>
  <si>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</si>
  <si>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</si>
  <si>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</si>
  <si>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</si>
  <si>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</si>
  <si>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</si>
  <si>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</si>
  <si>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</si>
  <si>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</si>
  <si>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</si>
  <si>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</si>
  <si>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</si>
  <si>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</si>
  <si>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</si>
  <si>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</si>
  <si>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</si>
  <si>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</si>
  <si>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</si>
  <si>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</si>
  <si>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</si>
  <si>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</si>
  <si>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</si>
  <si>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</si>
  <si>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</si>
  <si>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</si>
  <si>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</si>
  <si>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</si>
  <si>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</si>
  <si>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</si>
  <si>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</si>
  <si>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</si>
  <si>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</si>
  <si>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</si>
  <si>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</si>
  <si>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</si>
  <si>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</si>
  <si>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</si>
  <si>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</si>
  <si>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</si>
  <si>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</si>
  <si>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</si>
  <si>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</si>
  <si>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</si>
  <si>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</si>
  <si>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</si>
  <si>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</si>
  <si>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</si>
  <si>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</si>
  <si>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</si>
  <si>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</si>
  <si>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</si>
  <si>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</si>
  <si>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</si>
  <si>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</si>
  <si>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</si>
  <si>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</si>
  <si>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</si>
  <si>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</si>
  <si>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</si>
  <si>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</si>
  <si>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</si>
  <si>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</si>
  <si>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</si>
  <si>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</si>
  <si>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</si>
  <si>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</si>
  <si>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</si>
  <si>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</si>
  <si>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</si>
  <si>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</si>
  <si>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</si>
  <si>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</si>
  <si>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</si>
  <si>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</si>
  <si>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</si>
  <si>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</si>
  <si>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</si>
  <si>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</si>
  <si>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</si>
  <si>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</si>
  <si>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</si>
  <si>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</si>
  <si>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</si>
  <si>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</si>
  <si>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</si>
  <si>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</si>
  <si>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</si>
  <si>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</si>
  <si>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</si>
  <si>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</si>
  <si>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</si>
  <si>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</si>
  <si>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</si>
  <si>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</si>
  <si>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</si>
  <si>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</si>
  <si>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</si>
  <si>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</si>
  <si>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</si>
  <si>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</si>
  <si>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</si>
  <si>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</si>
  <si>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</si>
  <si>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</si>
  <si>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</si>
  <si>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</si>
  <si>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</si>
  <si>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</si>
  <si>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</si>
  <si>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</si>
  <si>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</si>
  <si>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</si>
  <si>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</si>
  <si>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</si>
  <si>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</si>
  <si>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</si>
  <si>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</si>
  <si>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</si>
  <si>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</si>
  <si>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</si>
  <si>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</si>
  <si>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</si>
  <si>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</si>
  <si>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</si>
  <si>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</si>
  <si>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</si>
  <si>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</si>
  <si>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</si>
  <si>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</si>
  <si>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</si>
  <si>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</si>
  <si>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</si>
  <si>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</si>
  <si>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</si>
  <si>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</si>
  <si>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</si>
  <si>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</si>
  <si>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</si>
  <si>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</si>
  <si>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</si>
  <si>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</si>
  <si>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</si>
  <si>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</si>
  <si>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</si>
  <si>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</si>
  <si>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</si>
  <si>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</si>
  <si>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</si>
  <si>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</si>
  <si>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</si>
  <si>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</si>
  <si>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</si>
  <si>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</si>
  <si>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</si>
  <si>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</si>
  <si>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</si>
  <si>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</si>
  <si>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</si>
  <si>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</si>
  <si>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</si>
  <si>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</si>
  <si>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</si>
  <si>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</si>
  <si>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</si>
  <si>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</si>
  <si>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</si>
  <si>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</si>
  <si>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</si>
  <si>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</si>
  <si>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</si>
  <si>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</si>
  <si>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</si>
  <si>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</si>
  <si>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</si>
  <si>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</si>
  <si>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</si>
  <si>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</si>
  <si>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</si>
  <si>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</si>
  <si>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</si>
  <si>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</si>
  <si>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</si>
  <si>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</si>
  <si>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</si>
  <si>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</si>
  <si>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</si>
  <si>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</si>
  <si>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</si>
  <si>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</si>
  <si>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</si>
  <si>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</si>
  <si>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</si>
  <si>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</si>
  <si>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</si>
  <si>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</si>
  <si>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</si>
  <si>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</si>
  <si>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</si>
  <si>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</si>
  <si>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</si>
  <si>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</si>
  <si>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</si>
  <si>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</si>
  <si>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</si>
  <si>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</si>
  <si>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</si>
  <si>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</si>
  <si>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</si>
  <si>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</si>
  <si>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</si>
  <si>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</si>
  <si>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</si>
  <si>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</si>
  <si>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</si>
  <si>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</si>
  <si>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</si>
  <si>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</si>
  <si>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</si>
  <si>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</si>
  <si>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</si>
  <si>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</si>
  <si>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</si>
  <si>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</si>
  <si>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</si>
  <si>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</si>
  <si>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</si>
  <si>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</si>
  <si>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</si>
  <si>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</si>
  <si>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</si>
  <si>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</si>
  <si>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</si>
  <si>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</si>
  <si>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</si>
  <si>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</si>
  <si>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</si>
  <si>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</si>
  <si>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</si>
  <si>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</si>
  <si>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</si>
  <si>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</si>
  <si>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</si>
  <si>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</si>
  <si>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</si>
  <si>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</si>
  <si>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</si>
  <si>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</si>
  <si>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</si>
  <si>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</si>
  <si>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</si>
  <si>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</si>
  <si>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</si>
  <si>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</si>
  <si>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</si>
  <si>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</si>
  <si>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</si>
  <si>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</si>
  <si>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</si>
  <si>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</si>
  <si>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</si>
  <si>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</si>
  <si>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</si>
  <si>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</si>
  <si>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</si>
  <si>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</si>
  <si>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</si>
  <si>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</si>
  <si>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</si>
  <si>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</si>
  <si>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</si>
  <si>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</si>
  <si>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</si>
  <si>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</si>
  <si>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</si>
  <si>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</si>
  <si>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</si>
  <si>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</si>
  <si>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</si>
  <si>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</si>
  <si>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</si>
  <si>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</si>
  <si>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</si>
  <si>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</si>
  <si>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</si>
  <si>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</si>
  <si>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</si>
  <si>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</si>
  <si>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</si>
  <si>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</si>
  <si>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</si>
  <si>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</si>
  <si>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</si>
  <si>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</si>
  <si>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</si>
  <si>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</si>
  <si>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</si>
  <si>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</si>
  <si>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</si>
  <si>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</si>
  <si>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</si>
  <si>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</si>
  <si>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</si>
  <si>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</si>
  <si>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</si>
  <si>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</si>
  <si>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</si>
  <si>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</si>
  <si>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</si>
  <si>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</si>
  <si>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</si>
  <si>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</si>
  <si>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</si>
  <si>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</si>
  <si>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</si>
  <si>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</si>
  <si>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</si>
  <si>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</si>
  <si>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</si>
  <si>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</si>
  <si>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</si>
  <si>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</si>
  <si>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</si>
  <si>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</si>
  <si>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</si>
  <si>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</si>
  <si>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</si>
  <si>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</si>
  <si>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</si>
  <si>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</si>
  <si>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</si>
  <si>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</si>
  <si>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</si>
  <si>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</si>
  <si>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</si>
  <si>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</si>
  <si>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</si>
  <si>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</si>
  <si>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</si>
  <si>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</si>
  <si>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</si>
  <si>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</si>
  <si>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</si>
  <si>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</si>
  <si>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</si>
  <si>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</si>
  <si>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</si>
  <si>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</si>
  <si>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</si>
  <si>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</si>
  <si>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</si>
  <si>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</si>
  <si>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</si>
  <si>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</si>
  <si>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</si>
  <si>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</si>
  <si>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</si>
  <si>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</si>
  <si>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</si>
  <si>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</si>
  <si>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</si>
  <si>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</si>
  <si>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</si>
  <si>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</si>
  <si>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</si>
  <si>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</si>
  <si>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</si>
  <si>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</si>
  <si>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</si>
  <si>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</si>
  <si>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</si>
  <si>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</si>
  <si>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</si>
  <si>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</si>
  <si>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</si>
  <si>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</si>
  <si>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</si>
  <si>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</si>
  <si>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</si>
  <si>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</si>
  <si>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</si>
  <si>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</si>
  <si>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</si>
  <si>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</si>
  <si>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</si>
  <si>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</si>
  <si>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</si>
  <si>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</si>
  <si>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</si>
  <si>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</si>
  <si>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</si>
  <si>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</si>
  <si>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</si>
  <si>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</si>
  <si>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</si>
  <si>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</si>
  <si>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</si>
  <si>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</si>
  <si>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</si>
  <si>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</si>
  <si>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</si>
  <si>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</si>
  <si>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</si>
  <si>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</si>
  <si>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</si>
  <si>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</si>
  <si>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</si>
  <si>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</si>
  <si>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</si>
  <si>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</si>
  <si>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</si>
  <si>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</si>
  <si>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</si>
  <si>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</si>
  <si>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</si>
  <si>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</si>
  <si>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</si>
  <si>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</si>
  <si>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</si>
  <si>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</si>
  <si>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</si>
  <si>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</si>
  <si>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</si>
  <si>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</si>
  <si>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</si>
  <si>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</si>
  <si>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</si>
  <si>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</si>
  <si>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</si>
  <si>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</si>
  <si>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</si>
  <si>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</si>
  <si>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</si>
  <si>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</si>
  <si>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</si>
  <si>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</si>
  <si>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</si>
  <si>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</si>
  <si>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</si>
  <si>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</si>
  <si>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</si>
  <si>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</si>
  <si>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</si>
  <si>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</si>
  <si>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</si>
  <si>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</si>
  <si>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</si>
  <si>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</si>
  <si>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</si>
  <si>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</si>
  <si>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</si>
  <si>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</si>
  <si>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</si>
  <si>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</si>
  <si>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</si>
  <si>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</si>
  <si>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</si>
  <si>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</si>
  <si>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</si>
  <si>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</si>
  <si>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</si>
  <si>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</si>
  <si>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</si>
  <si>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</si>
  <si>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</si>
  <si>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</si>
  <si>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</si>
  <si>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</si>
  <si>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</si>
  <si>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</si>
  <si>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</si>
  <si>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</si>
  <si>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</si>
  <si>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</si>
  <si>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</si>
  <si>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</si>
  <si>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</si>
  <si>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</si>
  <si>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</si>
  <si>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</si>
  <si>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</si>
  <si>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</si>
  <si>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</si>
  <si>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</si>
  <si>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</si>
  <si>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</si>
  <si>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</si>
  <si>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</si>
  <si>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</si>
  <si>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</si>
  <si>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</si>
  <si>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</si>
  <si>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</si>
  <si>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</si>
  <si>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</si>
  <si>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</si>
  <si>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</si>
  <si>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</si>
  <si>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</si>
  <si>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</si>
  <si>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</si>
  <si>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</si>
  <si>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</si>
  <si>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</si>
  <si>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</si>
  <si>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</si>
  <si>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</si>
  <si>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</si>
  <si>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</si>
  <si>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</si>
  <si>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</si>
  <si>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</si>
  <si>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</si>
  <si>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</si>
  <si>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</si>
  <si>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</si>
  <si>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</si>
  <si>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</si>
  <si>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</si>
  <si>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</si>
  <si>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</si>
  <si>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</si>
  <si>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</si>
  <si>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</si>
  <si>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</si>
  <si>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</si>
  <si>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</si>
  <si>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</si>
  <si>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</si>
  <si>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</si>
  <si>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</si>
  <si>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</si>
  <si>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</si>
  <si>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</si>
  <si>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</si>
  <si>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</si>
  <si>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</si>
  <si>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</si>
  <si>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</si>
  <si>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</si>
  <si>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</si>
  <si>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</si>
  <si>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</si>
  <si>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</si>
  <si>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</si>
  <si>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</si>
  <si>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</si>
  <si>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</si>
  <si>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</si>
  <si>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</si>
  <si>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</si>
  <si>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</si>
  <si>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</si>
  <si>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</si>
  <si>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</si>
  <si>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</si>
  <si>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</si>
  <si>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</si>
  <si>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</si>
  <si>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</si>
  <si>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</si>
  <si>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</si>
  <si>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</si>
  <si>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</si>
  <si>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</si>
  <si>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</si>
  <si>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</si>
  <si>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</si>
  <si>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</si>
  <si>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</si>
  <si>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</si>
  <si>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</si>
  <si>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</si>
  <si>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</si>
  <si>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</si>
  <si>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</si>
  <si>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</si>
  <si>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</si>
  <si>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</si>
  <si>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</si>
  <si>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</si>
  <si>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</si>
  <si>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</si>
  <si>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</si>
  <si>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</si>
  <si>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</si>
  <si>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</si>
  <si>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</si>
  <si>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</si>
  <si>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</si>
  <si>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</si>
  <si>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</si>
  <si>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</si>
  <si>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</si>
  <si>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</si>
  <si>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</si>
  <si>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</si>
  <si>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</si>
  <si>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</si>
  <si>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</si>
  <si>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</si>
  <si>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</si>
  <si>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</si>
  <si>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</si>
  <si>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</si>
  <si>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</si>
  <si>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</si>
  <si>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</si>
  <si>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</si>
  <si>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</si>
  <si>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</si>
  <si>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</si>
  <si>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</si>
  <si>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</si>
  <si>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</si>
  <si>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</si>
  <si>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</si>
  <si>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</si>
  <si>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</si>
  <si>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</si>
  <si>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</si>
  <si>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</si>
  <si>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</si>
  <si>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</si>
  <si>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</si>
  <si>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</si>
  <si>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</si>
  <si>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</si>
  <si>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</si>
  <si>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</si>
  <si>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</si>
  <si>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</si>
  <si>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</si>
  <si>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</si>
  <si>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</si>
  <si>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</si>
  <si>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</si>
  <si>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</si>
  <si>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</si>
  <si>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</si>
  <si>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</si>
  <si>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</si>
  <si>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</si>
  <si>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</si>
  <si>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</si>
  <si>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</si>
  <si>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</si>
  <si>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</si>
  <si>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</si>
  <si>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</si>
  <si>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</si>
  <si>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</si>
  <si>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</si>
  <si>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</si>
  <si>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</si>
  <si>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</si>
  <si>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</si>
  <si>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</si>
  <si>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</si>
  <si>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</si>
  <si>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</si>
  <si>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</si>
  <si>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</si>
  <si>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</si>
  <si>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</si>
  <si>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</si>
  <si>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</si>
  <si>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</si>
  <si>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</si>
  <si>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</si>
  <si>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</si>
  <si>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</si>
  <si>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</si>
  <si>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</si>
  <si>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</si>
  <si>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</si>
  <si>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</si>
  <si>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</si>
  <si>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</si>
  <si>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</si>
  <si>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</si>
  <si>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</si>
  <si>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</si>
  <si>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</si>
  <si>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</si>
  <si>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</si>
  <si>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</si>
  <si>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</si>
  <si>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</si>
  <si>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</si>
  <si>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</si>
  <si>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</si>
  <si>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</si>
  <si>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</si>
  <si>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</si>
  <si>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</si>
  <si>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</si>
  <si>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</si>
  <si>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</si>
  <si>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</si>
  <si>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</si>
  <si>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</si>
  <si>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</si>
  <si>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</si>
  <si>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</si>
  <si>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</si>
  <si>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</si>
  <si>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</si>
  <si>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</si>
  <si>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</si>
  <si>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</si>
  <si>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</si>
  <si>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</si>
  <si>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</si>
  <si>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</si>
  <si>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</si>
  <si>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</si>
  <si>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</si>
  <si>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</si>
  <si>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Storm-Cursed\’s Revenge</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</si>
  <si>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</si>
  <si>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</si>
  <si>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</si>
  <si>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</si>
  <si>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</si>
  <si>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</si>
  <si>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</si>
  <si>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</si>
  <si>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</si>
  <si>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</si>
  <si>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</si>
  <si>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</si>
  <si>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</si>
  <si>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</si>
  <si>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</si>
  <si>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</si>
  <si>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</si>
  <si>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</si>
  <si>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</si>
  <si>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</si>
  <si>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</si>
  <si>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</si>
  <si>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</si>
  <si>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</si>
  <si>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</si>
  <si>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</si>
  <si>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</si>
  <si>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</si>
  <si>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</si>
  <si>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</si>
  <si>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</si>
  <si>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</si>
  <si>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</si>
  <si>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</si>
  <si>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</si>
  <si>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</si>
  <si>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</si>
  <si>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</si>
  <si>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</si>
  <si>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Ilambris-Athor or Ilambris-Zaven</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</si>
  <si>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</si>
  <si>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</si>
  <si>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</si>
  <si>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</si>
  <si>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</si>
  <si>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</si>
  <si>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</si>
  <si>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</si>
  <si>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</si>
  <si>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</si>
  <si>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</si>
  <si>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</si>
  <si>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</si>
  <si>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</si>
  <si>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</si>
  <si>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</si>
  <si>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</si>
  <si>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</si>
  <si>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</si>
  <si>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</si>
  <si>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</si>
  <si>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</si>
  <si>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</si>
  <si>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</si>
  <si>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</si>
  <si>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</si>
  <si>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</si>
  <si>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</si>
  <si>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</si>
  <si>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</si>
  <si>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</si>
  <si>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</si>
  <si>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</si>
  <si>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</si>
  <si>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</si>
  <si>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</si>
  <si>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</si>
  <si>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</si>
  <si>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</si>
  <si>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</si>
  <si>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</si>
  <si>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</si>
  <si>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</si>
  <si>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</si>
  <si>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</si>
  <si>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</si>
  <si>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</si>
  <si>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</si>
  <si>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</si>
  <si>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</si>
  <si>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</si>
  <si>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</si>
  <si>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</si>
  <si>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</si>
  <si>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</si>
  <si>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</si>
  <si>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</si>
  <si>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</si>
  <si>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</si>
  <si>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</si>
  <si>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</si>
  <si>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</si>
  <si>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</si>
  <si>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</si>
  <si>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</si>
  <si>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</si>
  <si>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</si>
  <si>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</si>
  <si>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</si>
  <si>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</si>
  <si>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</si>
  <si>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</si>
  <si>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</si>
  <si>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</si>
  <si>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</si>
  <si>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</si>
  <si>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</si>
  <si>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</si>
  <si>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</si>
  <si>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</si>
  <si>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</si>
  <si>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</si>
  <si>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</si>
  <si>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</si>
  <si>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</si>
  <si>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</si>
  <si>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</si>
  <si>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</si>
  <si>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</si>
  <si>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</si>
  <si>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</si>
  <si>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</si>
  <si>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</si>
  <si>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</si>
  <si>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</si>
  <si>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</si>
  <si>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</si>
  <si>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</si>
  <si>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</si>
  <si>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</si>
  <si>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</si>
  <si>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</si>
  <si>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</si>
  <si>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</si>
  <si>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</si>
  <si>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</si>
  <si>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</si>
  <si>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</si>
  <si>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</si>
  <si>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</si>
  <si>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</si>
  <si>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</si>
  <si>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</si>
  <si>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</si>
  <si>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</si>
  <si>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</si>
  <si>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</si>
  <si>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</si>
  <si>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</si>
  <si>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</si>
  <si>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</si>
  <si>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</si>
  <si>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</si>
  <si>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</si>
  <si>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</si>
  <si>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</si>
  <si>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</si>
  <si>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</si>
  <si>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</si>
  <si>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</si>
  <si>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</si>
  <si>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</si>
  <si>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</si>
  <si>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</si>
  <si>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</si>
  <si>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</si>
  <si>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</si>
  <si>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</si>
  <si>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</si>
  <si>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</si>
  <si>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</si>
  <si>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</si>
  <si>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</si>
  <si>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</si>
  <si>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</si>
  <si>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</si>
  <si>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</si>
  <si>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</si>
  <si>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</si>
  <si>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</si>
  <si>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</si>
  <si>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</si>
  <si>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</si>
  <si>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</si>
  <si>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</si>
  <si>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</si>
  <si>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</si>
  <si>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</si>
  <si>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</si>
  <si>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</si>
  <si>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</si>
  <si>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</si>
  <si>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</si>
  <si>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</si>
  <si>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</si>
  <si>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</si>
  <si>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</si>
  <si>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</si>
  <si>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</si>
  <si>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</si>
  <si>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</si>
  <si>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</si>
  <si>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</si>
  <si>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</si>
  <si>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</si>
  <si>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</si>
  <si>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</si>
  <si>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</si>
  <si>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</si>
  <si>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</si>
  <si>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</si>
  <si>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</si>
  <si>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</si>
  <si>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</si>
  <si>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</si>
  <si>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</si>
  <si>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</si>
  <si>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</si>
  <si>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</si>
  <si>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</si>
  <si>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</si>
  <si>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</si>
  <si>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</si>
  <si>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</si>
  <si>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</si>
  <si>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</si>
  <si>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</si>
  <si>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</si>
  <si>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</si>
  <si>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</si>
  <si>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</si>
  <si>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</si>
  <si>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</si>
  <si>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</si>
  <si>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</si>
  <si>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</si>
  <si>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</si>
  <si>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</si>
  <si>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</si>
  <si>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</si>
  <si>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</si>
  <si>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</si>
  <si>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</si>
  <si>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</si>
  <si>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</si>
  <si>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</si>
  <si>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</si>
  <si>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</si>
  <si>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</si>
  <si>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</si>
  <si>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</si>
  <si>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</si>
  <si>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</si>
  <si>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</si>
  <si>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</si>
  <si>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</si>
  <si>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</si>
  <si>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</si>
  <si>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</si>
  <si>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</si>
  <si>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</si>
  <si>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</si>
  <si>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</si>
  <si>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</si>
  <si>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</si>
  <si>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</si>
  <si>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</si>
  <si>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</si>
  <si>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</si>
  <si>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</si>
  <si>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</si>
  <si>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</si>
  <si>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</si>
  <si>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</si>
  <si>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</si>
  <si>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</si>
  <si>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</si>
  <si>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</si>
  <si>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</si>
  <si>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</si>
  <si>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</si>
  <si>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</si>
  <si>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</si>
  <si>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</si>
  <si>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</si>
  <si>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</si>
  <si>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</si>
  <si>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</si>
  <si>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</si>
  <si>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</si>
  <si>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</si>
  <si>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</si>
  <si>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</si>
  <si>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</si>
  <si>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</si>
  <si>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</si>
  <si>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</si>
  <si>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</si>
  <si>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</si>
  <si>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</si>
  <si>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</si>
  <si>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</si>
  <si>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</si>
  <si>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</si>
  <si>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</si>
  <si>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</si>
  <si>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</si>
  <si>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</si>
  <si>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</si>
  <si>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</si>
  <si>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</si>
  <si>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</si>
  <si>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</si>
  <si>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</si>
  <si>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</si>
  <si>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</si>
  <si>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</si>
  <si>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</si>
  <si>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</si>
  <si>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</si>
  <si>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</si>
  <si>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</si>
  <si>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</si>
  <si>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</si>
  <si>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</si>
  <si>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</si>
  <si>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</si>
  <si>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</si>
  <si>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</si>
  <si>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</si>
  <si>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</si>
  <si>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</si>
  <si>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</si>
  <si>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</si>
  <si>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</si>
  <si>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</si>
  <si>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</si>
  <si>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</si>
  <si>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</si>
  <si>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</si>
  <si>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</si>
  <si>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</si>
  <si>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</si>
  <si>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</si>
  <si>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</si>
  <si>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</si>
  <si>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</si>
  <si>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</si>
  <si>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</si>
  <si>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</si>
  <si>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</si>
  <si>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</si>
  <si>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</si>
  <si>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</si>
  <si>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</si>
  <si>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</si>
  <si>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</si>
  <si>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</si>
  <si>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</si>
  <si>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</si>
  <si>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</si>
  <si>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</si>
  <si>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</si>
  <si>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</si>
  <si>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</si>
  <si>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</si>
  <si>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</si>
  <si>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</si>
  <si>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</si>
  <si>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</si>
  <si>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</si>
  <si>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</si>
  <si>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</si>
  <si>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</si>
  <si>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</si>
  <si>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</si>
  <si>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</si>
  <si>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</si>
  <si>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</si>
  <si>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</si>
  <si>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</si>
  <si>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</si>
  <si>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</si>
  <si>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</si>
  <si>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</si>
  <si>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</si>
  <si>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</si>
  <si>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</si>
  <si>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</si>
  <si>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</si>
  <si>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</si>
  <si>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</si>
  <si>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</si>
  <si>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</si>
  <si>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</si>
  <si>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</si>
  <si>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</si>
  <si>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</si>
  <si>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</si>
  <si>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</si>
  <si>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</si>
  <si>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</si>
  <si>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</si>
  <si>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</si>
  <si>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</si>
  <si>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</si>
  <si>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</si>
  <si>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</si>
  <si>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</si>
  <si>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</si>
  <si>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</si>
  <si>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</si>
  <si>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</si>
  <si>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</si>
  <si>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</si>
  <si>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</si>
  <si>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</si>
  <si>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</si>
  <si>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</si>
  <si>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</si>
  <si>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</si>
  <si>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</si>
  <si>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</si>
  <si>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</si>
  <si>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</si>
  <si>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</si>
  <si>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</si>
  <si>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</si>
  <si>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</si>
  <si>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</si>
  <si>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</si>
  <si>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</si>
  <si>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</si>
  <si>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</si>
  <si>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</si>
  <si>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</si>
  <si>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</si>
  <si>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</si>
  <si>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</si>
  <si>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</si>
  <si>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</si>
  <si>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</si>
  <si>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</si>
  <si>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</si>
  <si>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</si>
  <si>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</si>
  <si>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</si>
  <si>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</si>
  <si>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</si>
  <si>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</si>
  <si>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</si>
  <si>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</si>
  <si>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</si>
  <si>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</si>
  <si>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</si>
  <si>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</si>
  <si>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</si>
  <si>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</si>
  <si>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</si>
  <si>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</si>
  <si>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</si>
  <si>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</si>
  <si>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</si>
  <si>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</si>
  <si>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</si>
  <si>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</si>
  <si>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</si>
  <si>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</si>
  <si>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</si>
  <si>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</si>
  <si>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</si>
  <si>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</si>
  <si>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</si>
  <si>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</si>
  <si>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</si>
  <si>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</si>
  <si>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</si>
  <si>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</si>
  <si>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</si>
  <si>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</si>
  <si>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</si>
  <si>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</si>
  <si>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</si>
  <si>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</si>
  <si>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</si>
  <si>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</si>
  <si>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</si>
  <si>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</si>
  <si>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</si>
  <si>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</si>
  <si>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</si>
  <si>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High Kinlord Rillis</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</si>
  <si>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</si>
  <si>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</si>
  <si>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</si>
  <si>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</si>
  <si>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</si>
  <si>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</si>
  <si>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</si>
  <si>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</si>
  <si>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</si>
  <si>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</si>
  <si>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</si>
  <si>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</si>
  <si>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</si>
  <si>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Portals</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</si>
  <si>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</si>
  <si>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</si>
  <si>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</si>
  <si>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</si>
  <si>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</si>
  <si>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</si>
  <si>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</si>
  <si>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</si>
  <si>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</si>
  <si>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</si>
  <si>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</si>
  <si>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</si>
  <si>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</si>
  <si>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</si>
  <si>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</si>
  <si>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</si>
  <si>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</si>
  <si>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</si>
  <si>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</si>
  <si>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</si>
  <si>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</si>
  <si>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</si>
  <si>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</si>
  <si>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</si>
  <si>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</si>
  <si>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</si>
  <si>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</si>
  <si>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</si>
  <si>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</si>
  <si>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</si>
  <si>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</si>
  <si>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</si>
  <si>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</si>
  <si>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</si>
  <si>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</si>
  <si>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</si>
  <si>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</si>
  <si>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</si>
  <si>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</si>
  <si>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</si>
  <si>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</si>
  <si>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</si>
  <si>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</si>
  <si>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</si>
  <si>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</si>
  <si>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</si>
  <si>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</si>
  <si>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</si>
  <si>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</si>
  <si>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</si>
  <si>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</si>
  <si>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</si>
  <si>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</si>
  <si>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</si>
  <si>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</si>
  <si>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</si>
  <si>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</si>
  <si>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</si>
  <si>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</si>
  <si>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</si>
  <si>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</si>
  <si>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</si>
  <si>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</si>
  <si>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</si>
  <si>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</si>
  <si>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</si>
  <si>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</si>
  <si>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</si>
  <si>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</si>
  <si>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</si>
  <si>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</si>
  <si>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</si>
  <si>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</si>
  <si>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</si>
  <si>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</si>
  <si>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</si>
  <si>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</si>
  <si>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</si>
  <si>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</si>
  <si>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</si>
  <si>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</si>
  <si>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</si>
  <si>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</si>
  <si>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</si>
  <si>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</si>
  <si>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</si>
  <si>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</si>
  <si>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</si>
  <si>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</si>
  <si>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</si>
  <si>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</si>
  <si>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</si>
  <si>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</si>
  <si>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</si>
  <si>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</si>
  <si>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</si>
  <si>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</si>
  <si>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</si>
  <si>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</si>
  <si>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</si>
  <si>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</si>
  <si>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</si>
  <si>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</si>
  <si>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</si>
  <si>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</si>
  <si>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</si>
  <si>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</si>
  <si>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</si>
  <si>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</si>
  <si>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</si>
  <si>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</si>
  <si>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</si>
  <si>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</si>
  <si>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</si>
  <si>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</si>
  <si>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</si>
  <si>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</si>
  <si>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</si>
  <si>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</si>
  <si>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</si>
  <si>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</si>
  <si>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</si>
  <si>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</si>
  <si>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</si>
  <si>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</si>
  <si>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</si>
  <si>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</si>
  <si>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</si>
  <si>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</si>
  <si>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</si>
  <si>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</si>
  <si>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</si>
  <si>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</si>
  <si>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</si>
  <si>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</si>
  <si>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</si>
  <si>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</si>
  <si>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</si>
  <si>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</si>
  <si>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</si>
  <si>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</si>
  <si>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</si>
  <si>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</si>
  <si>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</si>
  <si>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Phylactery\’s Grasp</t>
  </si>
  <si>
    <t>Pangrit Denmother</t>
  </si>
  <si>
    <t>Euphotic Gatekeeper</t>
  </si>
  <si>
    <t>Langour of Peryite</t>
  </si>
  <si>
    <t>Nocturnal\’s Ploy </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</si>
  <si>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</si>
  <si>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</si>
  <si>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</si>
  <si>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</si>
  <si>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</si>
  <si>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</si>
  <si>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</si>
  <si>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</si>
  <si>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</si>
  <si>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</si>
  <si>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</si>
  <si>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</si>
  <si>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</si>
  <si>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</si>
  <si>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</si>
  <si>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</si>
  <si>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</si>
  <si>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</si>
  <si>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</si>
  <si>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</si>
  <si>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</si>
  <si>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</si>
  <si>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</si>
  <si>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</si>
  <si>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</si>
  <si>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</si>
  <si>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</si>
  <si>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</si>
  <si>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</si>
  <si>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</si>
  <si>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</si>
  <si>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</si>
  <si>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</si>
  <si>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</si>
  <si>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</si>
  <si>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</si>
  <si>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</si>
  <si>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</si>
  <si>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</si>
  <si>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</si>
  <si>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</si>
  <si>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</si>
  <si>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</si>
  <si>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</si>
  <si>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</si>
  <si>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</si>
  <si>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</si>
  <si>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</si>
  <si>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</si>
  <si>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</si>
  <si>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</si>
  <si>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</si>
  <si>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</si>
  <si>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</si>
  <si>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</si>
  <si>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</si>
  <si>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</si>
  <si>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</si>
  <si>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</si>
  <si>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</si>
  <si>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</si>
  <si>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</si>
  <si>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</si>
  <si>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</si>
  <si>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</si>
  <si>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</si>
  <si>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</si>
  <si>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</si>
  <si>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</si>
  <si>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</si>
  <si>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</si>
  <si>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</si>
  <si>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</si>
  <si>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</si>
  <si>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</si>
  <si>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</si>
  <si>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</si>
  <si>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</si>
  <si>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</si>
  <si>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</si>
  <si>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</si>
  <si>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</si>
  <si>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</si>
  <si>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</si>
  <si>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</si>
  <si>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</si>
  <si>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</si>
  <si>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</si>
  <si>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</si>
  <si>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</si>
  <si>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</si>
  <si>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</si>
  <si>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</si>
  <si>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</si>
  <si>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</si>
  <si>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</si>
  <si>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</si>
  <si>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</si>
  <si>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</si>
  <si>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</si>
  <si>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</si>
  <si>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</si>
  <si>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</si>
  <si>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</si>
  <si>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Psijic portal</t>
  </si>
  <si>
    <t>Psijic Portal</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</si>
  <si>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</si>
  <si>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</si>
  <si>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</si>
  <si>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</si>
  <si>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</si>
  <si>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</si>
  <si>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</si>
  <si>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</si>
  <si>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</si>
  <si>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</si>
  <si>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</si>
  <si>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</si>
  <si>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</si>
  <si>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</si>
  <si>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</si>
  <si>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</si>
  <si>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</si>
  <si>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</si>
  <si>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</si>
  <si>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</si>
  <si>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</si>
  <si>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</si>
  <si>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</si>
  <si>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</si>
  <si>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</si>
  <si>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</si>
  <si>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Volcanic Vent</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</si>
  <si>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</si>
  <si>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</si>
  <si>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</si>
  <si>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</si>
  <si>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</si>
  <si>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</si>
  <si>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</si>
  <si>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</si>
  <si>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</si>
  <si>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</si>
  <si>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</si>
  <si>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</si>
  <si>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</si>
  <si>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</si>
  <si>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</si>
  <si>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</si>
  <si>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</si>
  <si>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</si>
  <si>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</si>
  <si>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</si>
  <si>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</si>
  <si>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</si>
  <si>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</si>
  <si>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</si>
  <si>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</si>
  <si>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</si>
  <si>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</si>
  <si>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</si>
  <si>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</si>
  <si>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</si>
  <si>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Ritemaster\’s Bond</t>
  </si>
  <si>
    <t>Nix-Hound\’s Howl</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</si>
  <si>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</si>
  <si>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</si>
  <si>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</si>
  <si>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</si>
  <si>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</si>
  <si>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</si>
  <si>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</si>
  <si>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</si>
  <si>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</si>
  <si>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</si>
  <si>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</si>
  <si>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</si>
  <si>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</si>
  <si>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</si>
  <si>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</si>
  <si>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</si>
  <si>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</si>
  <si>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</si>
  <si>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</si>
  <si>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</si>
  <si>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</si>
  <si>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</si>
  <si>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</si>
  <si>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</si>
  <si>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</si>
  <si>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</si>
  <si>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</si>
  <si>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</si>
  <si>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</si>
  <si>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</si>
  <si>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</si>
  <si>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</si>
  <si>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</si>
  <si>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</si>
  <si>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</si>
  <si>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</si>
  <si>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</si>
  <si>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</si>
  <si>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</si>
  <si>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</si>
  <si>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</si>
  <si>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</si>
  <si>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</si>
  <si>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</si>
  <si>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</si>
  <si>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</si>
  <si>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</si>
  <si>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</si>
  <si>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</si>
  <si>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</si>
  <si>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</si>
  <si>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</si>
  <si>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</si>
  <si>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</si>
  <si>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</si>
  <si>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</si>
  <si>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</si>
  <si>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</si>
  <si>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</si>
  <si>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</si>
  <si>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</si>
  <si>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</si>
  <si>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</si>
  <si>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</si>
  <si>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</si>
  <si>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</si>
  <si>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</si>
  <si>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</si>
  <si>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</si>
  <si>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</si>
  <si>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</si>
  <si>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</si>
  <si>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</si>
  <si>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</si>
  <si>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</si>
  <si>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</si>
  <si>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</si>
  <si>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</si>
  <si>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</si>
  <si>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</si>
  <si>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</si>
  <si>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</si>
  <si>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</si>
  <si>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</si>
  <si>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</si>
  <si>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</si>
  <si>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</si>
  <si>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</si>
  <si>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</si>
  <si>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</si>
  <si>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</si>
  <si>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</si>
  <si>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</si>
  <si>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</si>
  <si>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</si>
  <si>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</si>
  <si>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</si>
  <si>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</si>
  <si>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</si>
  <si>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</si>
  <si>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</si>
  <si>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</si>
  <si>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</si>
  <si>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</si>
  <si>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</si>
  <si>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</si>
  <si>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</si>
  <si>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</si>
  <si>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</si>
  <si>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</si>
  <si>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</si>
  <si>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</si>
  <si>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</si>
  <si>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</si>
  <si>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</si>
  <si>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</si>
  <si>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</si>
  <si>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</si>
  <si>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</si>
  <si>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</si>
  <si>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</si>
  <si>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</si>
  <si>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</si>
  <si>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</si>
  <si>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</si>
  <si>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</si>
  <si>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</si>
  <si>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</si>
  <si>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</si>
  <si>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</si>
  <si>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</si>
  <si>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</si>
  <si>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</si>
  <si>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</si>
  <si>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</si>
  <si>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</si>
  <si>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</si>
  <si>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</si>
  <si>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</si>
  <si>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</si>
  <si>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</si>
  <si>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</si>
  <si>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</si>
  <si>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</si>
  <si>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</si>
  <si>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</si>
  <si>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</si>
  <si>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</si>
  <si>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</si>
  <si>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</si>
  <si>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</si>
  <si>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</si>
  <si>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</si>
  <si>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</si>
  <si>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</si>
  <si>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</si>
  <si>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</si>
  <si>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</si>
  <si>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</si>
  <si>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</si>
  <si>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</si>
  <si>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</si>
  <si>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</si>
  <si>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</si>
  <si>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</si>
  <si>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</si>
  <si>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</si>
  <si>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</si>
  <si>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</si>
  <si>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</si>
  <si>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</si>
  <si>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</si>
  <si>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</si>
  <si>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</si>
  <si>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</si>
  <si>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</si>
  <si>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</si>
  <si>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</si>
  <si>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</si>
  <si>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</si>
  <si>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</si>
  <si>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</si>
  <si>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</si>
  <si>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</si>
  <si>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</si>
  <si>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</si>
  <si>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</si>
  <si>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</si>
  <si>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</si>
  <si>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</si>
  <si>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</si>
  <si>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</si>
  <si>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</si>
  <si>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</si>
  <si>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</si>
  <si>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</si>
  <si>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</si>
  <si>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</si>
  <si>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</si>
  <si>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</si>
  <si>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</si>
  <si>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</si>
  <si>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</si>
  <si>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</si>
  <si>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</si>
  <si>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</si>
  <si>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</si>
  <si>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</si>
  <si>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</si>
  <si>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</si>
  <si>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</si>
  <si>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</si>
  <si>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</si>
  <si>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</si>
  <si>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</si>
  <si>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</si>
  <si>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</si>
  <si>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</si>
  <si>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</si>
  <si>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</si>
  <si>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</si>
  <si>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</si>
  <si>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</si>
  <si>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</si>
  <si>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</si>
  <si>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</si>
  <si>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</si>
  <si>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</si>
  <si>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</si>
  <si>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</si>
  <si>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</si>
  <si>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</si>
  <si>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</si>
  <si>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</si>
  <si>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</si>
  <si>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</si>
  <si>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</si>
  <si>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</si>
  <si>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</si>
  <si>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</si>
  <si>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</si>
  <si>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</si>
  <si>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</si>
  <si>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</si>
  <si>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</si>
  <si>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</si>
  <si>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</si>
  <si>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</si>
  <si>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</si>
  <si>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</si>
  <si>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</si>
  <si>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</si>
  <si>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</si>
  <si>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</si>
  <si>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</si>
  <si>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</si>
  <si>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</si>
  <si>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</si>
  <si>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</si>
  <si>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</si>
  <si>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</si>
  <si>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</si>
  <si>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</si>
  <si>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</si>
  <si>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</si>
  <si>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</si>
  <si>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</si>
  <si>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</si>
  <si>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</si>
  <si>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</si>
  <si>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</si>
  <si>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</si>
  <si>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</si>
  <si>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</si>
  <si>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</si>
  <si>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</si>
  <si>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</si>
  <si>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</si>
  <si>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</si>
  <si>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</si>
  <si>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</si>
  <si>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</si>
  <si>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</si>
  <si>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</si>
  <si>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</si>
  <si>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</si>
  <si>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</si>
  <si>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</si>
  <si>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</si>
  <si>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</si>
  <si>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</si>
  <si>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</si>
  <si>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</si>
  <si>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</si>
  <si>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</si>
  <si>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</si>
  <si>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</si>
  <si>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</si>
  <si>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</si>
  <si>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</si>
  <si>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Illambris twins</t>
  </si>
  <si>
    <t>Illambris Zwillinge</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</si>
  <si>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</si>
  <si>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</si>
  <si>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</si>
  <si>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</si>
  <si>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</si>
  <si>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</si>
  <si>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</si>
  <si>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</si>
  <si>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</si>
  <si>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</si>
  <si>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</si>
  <si>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</si>
  <si>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</si>
  <si>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</si>
  <si>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</si>
  <si>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</si>
  <si>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</si>
  <si>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</si>
  <si>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</si>
  <si>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</si>
  <si>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</si>
  <si>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</si>
  <si>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</si>
  <si>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</si>
  <si>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</si>
  <si>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</si>
  <si>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</si>
  <si>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</si>
  <si>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</si>
  <si>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</si>
  <si>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</si>
  <si>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</si>
  <si>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</si>
  <si>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</si>
  <si>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</si>
  <si>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</si>
  <si>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</si>
  <si>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</si>
  <si>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</si>
  <si>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</si>
  <si>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</si>
  <si>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</si>
  <si>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</si>
  <si>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</si>
  <si>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</si>
  <si>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</si>
  <si>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</si>
  <si>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</si>
  <si>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</si>
  <si>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</si>
  <si>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</si>
  <si>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</si>
  <si>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</si>
  <si>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</si>
  <si>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</si>
  <si>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</si>
  <si>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</si>
  <si>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</si>
  <si>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</si>
  <si>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</si>
  <si>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</si>
  <si>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</si>
  <si>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t>Last dumped: 2024-02-02, PTS 101041</t>
  </si>
  <si>
    <r>
      <rPr>
        <sz val="11"/>
        <color theme="1"/>
        <rFont val="Calibri"/>
        <family val="2"/>
        <scheme val="minor"/>
      </rPr>
      <t>Last dumped: 2024-02-02, PTS 101041</t>
    </r>
    <r>
      <rPr>
        <sz val="11"/>
        <color rgb="FFFF0000"/>
        <rFont val="Calibri"/>
        <family val="2"/>
        <scheme val="minor"/>
      </rPr>
      <t xml:space="preserve">	As you update zoneData copy the excel formulas of all other columns, then enter the correct ESO DLC Id in column J</t>
    </r>
  </si>
  <si>
    <t>Last updated: 2024-02-02, API101041</t>
  </si>
  <si>
    <r>
      <t>[</t>
    </r>
    <r>
      <rPr>
        <sz val="10"/>
        <color rgb="FF1750EB"/>
        <rFont val="Consolas"/>
        <family val="3"/>
      </rPr>
      <t>348</t>
    </r>
    <r>
      <rPr>
        <sz val="10"/>
        <color rgb="FF080808"/>
        <rFont val="Consolas"/>
        <family val="3"/>
      </rPr>
      <t xml:space="preserve">] = </t>
    </r>
    <r>
      <rPr>
        <sz val="10"/>
        <color rgb="FF067D17"/>
        <rFont val="Consolas"/>
        <family val="3"/>
      </rPr>
      <t>"348|27|667|Wrothgar|380|684|Wrothgar|7|Pariah's Pinnacle"</t>
    </r>
    <r>
      <rPr>
        <sz val="10"/>
        <color rgb="FF080808"/>
        <rFont val="Consolas"/>
        <family val="3"/>
      </rPr>
      <t>,</t>
    </r>
  </si>
  <si>
    <r>
      <t>[</t>
    </r>
    <r>
      <rPr>
        <sz val="10"/>
        <color rgb="FF1750EB"/>
        <rFont val="Consolas"/>
        <family val="3"/>
      </rPr>
      <t>565</t>
    </r>
    <r>
      <rPr>
        <sz val="10"/>
        <color rgb="FF080808"/>
        <rFont val="Consolas"/>
        <family val="3"/>
      </rPr>
      <t xml:space="preserve">] = </t>
    </r>
    <r>
      <rPr>
        <sz val="10"/>
        <color rgb="FF067D17"/>
        <rFont val="Consolas"/>
        <family val="3"/>
      </rPr>
      <t>"565|27|667|Wrothgar|380|684|Wrothgar|6|Dungeon: Bedlam Veil"</t>
    </r>
    <r>
      <rPr>
        <sz val="10"/>
        <color rgb="FF080808"/>
        <rFont val="Consolas"/>
        <family val="3"/>
      </rPr>
      <t>,</t>
    </r>
  </si>
  <si>
    <r>
      <t>[</t>
    </r>
    <r>
      <rPr>
        <sz val="10"/>
        <color rgb="FF1750EB"/>
        <rFont val="Consolas"/>
        <family val="3"/>
      </rPr>
      <t>457</t>
    </r>
    <r>
      <rPr>
        <sz val="10"/>
        <color rgb="FF080808"/>
        <rFont val="Consolas"/>
        <family val="3"/>
      </rPr>
      <t xml:space="preserve">] = </t>
    </r>
    <r>
      <rPr>
        <sz val="10"/>
        <color rgb="FF067D17"/>
        <rFont val="Consolas"/>
        <family val="3"/>
      </rPr>
      <t>"457|42|1814|The Reach|784|1207|The Reach|0|Vateshran Hollows"</t>
    </r>
    <r>
      <rPr>
        <sz val="10"/>
        <color rgb="FF080808"/>
        <rFont val="Consolas"/>
        <family val="3"/>
      </rPr>
      <t>,</t>
    </r>
  </si>
  <si>
    <r>
      <t>[</t>
    </r>
    <r>
      <rPr>
        <sz val="10"/>
        <color rgb="FF1750EB"/>
        <rFont val="Consolas"/>
        <family val="3"/>
      </rPr>
      <t>428</t>
    </r>
    <r>
      <rPr>
        <sz val="10"/>
        <color rgb="FF080808"/>
        <rFont val="Consolas"/>
        <family val="3"/>
      </rPr>
      <t xml:space="preserve">] = </t>
    </r>
    <r>
      <rPr>
        <sz val="10"/>
        <color rgb="FF067D17"/>
        <rFont val="Consolas"/>
        <family val="3"/>
      </rPr>
      <t>"428|27|667|Wrothgar|380|684|Wrothgar|7|Forgemaster Falls"</t>
    </r>
    <r>
      <rPr>
        <sz val="10"/>
        <color rgb="FF080808"/>
        <rFont val="Consolas"/>
        <family val="3"/>
      </rPr>
      <t>,</t>
    </r>
  </si>
  <si>
    <r>
      <t>[</t>
    </r>
    <r>
      <rPr>
        <sz val="10"/>
        <color rgb="FF1750EB"/>
        <rFont val="Consolas"/>
        <family val="3"/>
      </rPr>
      <t>449</t>
    </r>
    <r>
      <rPr>
        <sz val="10"/>
        <color rgb="FF080808"/>
        <rFont val="Consolas"/>
        <family val="3"/>
      </rPr>
      <t xml:space="preserve">] = </t>
    </r>
    <r>
      <rPr>
        <sz val="10"/>
        <color rgb="FF067D17"/>
        <rFont val="Consolas"/>
        <family val="3"/>
      </rPr>
      <t>"449|42|1814|The Reach|784|1207|The Reach|1|Markarth Wayshrine"</t>
    </r>
    <r>
      <rPr>
        <sz val="10"/>
        <color rgb="FF080808"/>
        <rFont val="Consolas"/>
        <family val="3"/>
      </rPr>
      <t>,</t>
    </r>
  </si>
  <si>
    <r>
      <t>[</t>
    </r>
    <r>
      <rPr>
        <sz val="10"/>
        <color rgb="FF1750EB"/>
        <rFont val="Consolas"/>
        <family val="3"/>
      </rPr>
      <t>442</t>
    </r>
    <r>
      <rPr>
        <sz val="10"/>
        <color rgb="FF080808"/>
        <rFont val="Consolas"/>
        <family val="3"/>
      </rPr>
      <t xml:space="preserve">] = </t>
    </r>
    <r>
      <rPr>
        <sz val="10"/>
        <color rgb="FF067D17"/>
        <rFont val="Consolas"/>
        <family val="3"/>
      </rPr>
      <t>"442|42|1814|The Reach|784|1207|The Reach|1|Druadach Mountains Wayshrine"</t>
    </r>
    <r>
      <rPr>
        <sz val="10"/>
        <color rgb="FF080808"/>
        <rFont val="Consolas"/>
        <family val="3"/>
      </rPr>
      <t>,</t>
    </r>
  </si>
  <si>
    <r>
      <t>[</t>
    </r>
    <r>
      <rPr>
        <sz val="10"/>
        <color rgb="FF1750EB"/>
        <rFont val="Consolas"/>
        <family val="3"/>
      </rPr>
      <t>424</t>
    </r>
    <r>
      <rPr>
        <sz val="10"/>
        <color rgb="FF080808"/>
        <rFont val="Consolas"/>
        <family val="3"/>
      </rPr>
      <t xml:space="preserve">] = </t>
    </r>
    <r>
      <rPr>
        <sz val="10"/>
        <color rgb="FF067D17"/>
        <rFont val="Consolas"/>
        <family val="3"/>
      </rPr>
      <t>"424|27|667|Wrothgar|380|684|Wrothgar|6|Dungeon: Icereach"</t>
    </r>
    <r>
      <rPr>
        <sz val="10"/>
        <color rgb="FF080808"/>
        <rFont val="Consolas"/>
        <family val="3"/>
      </rPr>
      <t>,</t>
    </r>
  </si>
  <si>
    <r>
      <t>[</t>
    </r>
    <r>
      <rPr>
        <sz val="10"/>
        <color rgb="FF1750EB"/>
        <rFont val="Consolas"/>
        <family val="3"/>
      </rPr>
      <t>441</t>
    </r>
    <r>
      <rPr>
        <sz val="10"/>
        <color rgb="FF080808"/>
        <rFont val="Consolas"/>
        <family val="3"/>
      </rPr>
      <t xml:space="preserve">] = </t>
    </r>
    <r>
      <rPr>
        <sz val="10"/>
        <color rgb="FF067D17"/>
        <rFont val="Consolas"/>
        <family val="3"/>
      </rPr>
      <t>"441|42|1814|The Reach|784|1207|The Reach|1|Briar Rock Wayshrine"</t>
    </r>
    <r>
      <rPr>
        <sz val="10"/>
        <color rgb="FF080808"/>
        <rFont val="Consolas"/>
        <family val="3"/>
      </rPr>
      <t>,</t>
    </r>
  </si>
  <si>
    <r>
      <t>[</t>
    </r>
    <r>
      <rPr>
        <sz val="10"/>
        <color rgb="FF1750EB"/>
        <rFont val="Consolas"/>
        <family val="3"/>
      </rPr>
      <t>237</t>
    </r>
    <r>
      <rPr>
        <sz val="10"/>
        <color rgb="FF080808"/>
        <rFont val="Consolas"/>
        <family val="3"/>
      </rPr>
      <t xml:space="preserve">] = </t>
    </r>
    <r>
      <rPr>
        <sz val="10"/>
        <color rgb="FF067D17"/>
        <rFont val="Consolas"/>
        <family val="3"/>
      </rPr>
      <t>"237|27|667|Wrothgar|380|684|Wrothgar|1|Shatul Wayshrine"</t>
    </r>
    <r>
      <rPr>
        <sz val="10"/>
        <color rgb="FF080808"/>
        <rFont val="Consolas"/>
        <family val="3"/>
      </rPr>
      <t>,</t>
    </r>
  </si>
  <si>
    <r>
      <t>[</t>
    </r>
    <r>
      <rPr>
        <sz val="10"/>
        <color rgb="FF1750EB"/>
        <rFont val="Consolas"/>
        <family val="3"/>
      </rPr>
      <t>238</t>
    </r>
    <r>
      <rPr>
        <sz val="10"/>
        <color rgb="FF080808"/>
        <rFont val="Consolas"/>
        <family val="3"/>
      </rPr>
      <t xml:space="preserve">] = </t>
    </r>
    <r>
      <rPr>
        <sz val="10"/>
        <color rgb="FF067D17"/>
        <rFont val="Consolas"/>
        <family val="3"/>
      </rPr>
      <t>"238|27|667|Wrothgar|380|684|Wrothgar|1|Icy Shore Wayshrine"</t>
    </r>
    <r>
      <rPr>
        <sz val="10"/>
        <color rgb="FF080808"/>
        <rFont val="Consolas"/>
        <family val="3"/>
      </rPr>
      <t>,</t>
    </r>
  </si>
  <si>
    <r>
      <t>[</t>
    </r>
    <r>
      <rPr>
        <sz val="10"/>
        <color rgb="FF1750EB"/>
        <rFont val="Consolas"/>
        <family val="3"/>
      </rPr>
      <t>239</t>
    </r>
    <r>
      <rPr>
        <sz val="10"/>
        <color rgb="FF080808"/>
        <rFont val="Consolas"/>
        <family val="3"/>
      </rPr>
      <t xml:space="preserve">] = </t>
    </r>
    <r>
      <rPr>
        <sz val="10"/>
        <color rgb="FF067D17"/>
        <rFont val="Consolas"/>
        <family val="3"/>
      </rPr>
      <t>"239|27|667|Wrothgar|380|684|Wrothgar|1|Two Rivers Wayshrine"</t>
    </r>
    <r>
      <rPr>
        <sz val="10"/>
        <color rgb="FF080808"/>
        <rFont val="Consolas"/>
        <family val="3"/>
      </rPr>
      <t>,</t>
    </r>
  </si>
  <si>
    <r>
      <t>[</t>
    </r>
    <r>
      <rPr>
        <sz val="10"/>
        <color rgb="FF1750EB"/>
        <rFont val="Consolas"/>
        <family val="3"/>
      </rPr>
      <t>240</t>
    </r>
    <r>
      <rPr>
        <sz val="10"/>
        <color rgb="FF080808"/>
        <rFont val="Consolas"/>
        <family val="3"/>
      </rPr>
      <t xml:space="preserve">] = </t>
    </r>
    <r>
      <rPr>
        <sz val="10"/>
        <color rgb="FF067D17"/>
        <rFont val="Consolas"/>
        <family val="3"/>
      </rPr>
      <t>"240|27|667|Wrothgar|380|684|Wrothgar|1|Morkul Plain Wayshrine"</t>
    </r>
    <r>
      <rPr>
        <sz val="10"/>
        <color rgb="FF080808"/>
        <rFont val="Consolas"/>
        <family val="3"/>
      </rPr>
      <t>,</t>
    </r>
  </si>
  <si>
    <r>
      <t>[</t>
    </r>
    <r>
      <rPr>
        <sz val="10"/>
        <color rgb="FF1750EB"/>
        <rFont val="Consolas"/>
        <family val="3"/>
      </rPr>
      <t>241</t>
    </r>
    <r>
      <rPr>
        <sz val="10"/>
        <color rgb="FF080808"/>
        <rFont val="Consolas"/>
        <family val="3"/>
      </rPr>
      <t xml:space="preserve">] = </t>
    </r>
    <r>
      <rPr>
        <sz val="10"/>
        <color rgb="FF067D17"/>
        <rFont val="Consolas"/>
        <family val="3"/>
      </rPr>
      <t>"241|27|667|Wrothgar|380|684|Wrothgar|1|Great Bay Wayshrine"</t>
    </r>
    <r>
      <rPr>
        <sz val="10"/>
        <color rgb="FF080808"/>
        <rFont val="Consolas"/>
        <family val="3"/>
      </rPr>
      <t>,</t>
    </r>
  </si>
  <si>
    <r>
      <t>[</t>
    </r>
    <r>
      <rPr>
        <sz val="10"/>
        <color rgb="FF1750EB"/>
        <rFont val="Consolas"/>
        <family val="3"/>
      </rPr>
      <t>242</t>
    </r>
    <r>
      <rPr>
        <sz val="10"/>
        <color rgb="FF080808"/>
        <rFont val="Consolas"/>
        <family val="3"/>
      </rPr>
      <t xml:space="preserve">] = </t>
    </r>
    <r>
      <rPr>
        <sz val="10"/>
        <color rgb="FF067D17"/>
        <rFont val="Consolas"/>
        <family val="3"/>
      </rPr>
      <t>"242|27|667|Wrothgar|380|684|Wrothgar|1|Frostbreak Ridge Wayshrine"</t>
    </r>
    <r>
      <rPr>
        <sz val="10"/>
        <color rgb="FF080808"/>
        <rFont val="Consolas"/>
        <family val="3"/>
      </rPr>
      <t>,</t>
    </r>
  </si>
  <si>
    <r>
      <t>[</t>
    </r>
    <r>
      <rPr>
        <sz val="10"/>
        <color rgb="FF1750EB"/>
        <rFont val="Consolas"/>
        <family val="3"/>
      </rPr>
      <t>243</t>
    </r>
    <r>
      <rPr>
        <sz val="10"/>
        <color rgb="FF080808"/>
        <rFont val="Consolas"/>
        <family val="3"/>
      </rPr>
      <t xml:space="preserve">] = </t>
    </r>
    <r>
      <rPr>
        <sz val="10"/>
        <color rgb="FF067D17"/>
        <rFont val="Consolas"/>
        <family val="3"/>
      </rPr>
      <t>"243|27|667|Wrothgar|380|684|Wrothgar|1|Siege Road Wayshrine"</t>
    </r>
    <r>
      <rPr>
        <sz val="10"/>
        <color rgb="FF080808"/>
        <rFont val="Consolas"/>
        <family val="3"/>
      </rPr>
      <t>,</t>
    </r>
  </si>
  <si>
    <r>
      <t>[</t>
    </r>
    <r>
      <rPr>
        <sz val="10"/>
        <color rgb="FF1750EB"/>
        <rFont val="Consolas"/>
        <family val="3"/>
      </rPr>
      <t>244</t>
    </r>
    <r>
      <rPr>
        <sz val="10"/>
        <color rgb="FF080808"/>
        <rFont val="Consolas"/>
        <family val="3"/>
      </rPr>
      <t xml:space="preserve">] = </t>
    </r>
    <r>
      <rPr>
        <sz val="10"/>
        <color rgb="FF067D17"/>
        <rFont val="Consolas"/>
        <family val="3"/>
      </rPr>
      <t>"244|27|667|Wrothgar|380|684|Wrothgar|1|Orsinium Wayshrine"</t>
    </r>
    <r>
      <rPr>
        <sz val="10"/>
        <color rgb="FF080808"/>
        <rFont val="Consolas"/>
        <family val="3"/>
      </rPr>
      <t>,</t>
    </r>
  </si>
  <si>
    <r>
      <t>[</t>
    </r>
    <r>
      <rPr>
        <sz val="10"/>
        <color rgb="FF1750EB"/>
        <rFont val="Consolas"/>
        <family val="3"/>
      </rPr>
      <t>245</t>
    </r>
    <r>
      <rPr>
        <sz val="10"/>
        <color rgb="FF080808"/>
        <rFont val="Consolas"/>
        <family val="3"/>
      </rPr>
      <t xml:space="preserve">] = </t>
    </r>
    <r>
      <rPr>
        <sz val="10"/>
        <color rgb="FF067D17"/>
        <rFont val="Consolas"/>
        <family val="3"/>
      </rPr>
      <t>"245|27|667|Wrothgar|380|684|Wrothgar|1|Trader's Road Wayshrine"</t>
    </r>
    <r>
      <rPr>
        <sz val="10"/>
        <color rgb="FF080808"/>
        <rFont val="Consolas"/>
        <family val="3"/>
      </rPr>
      <t>,</t>
    </r>
  </si>
  <si>
    <r>
      <t>[</t>
    </r>
    <r>
      <rPr>
        <sz val="10"/>
        <color rgb="FF1750EB"/>
        <rFont val="Consolas"/>
        <family val="3"/>
      </rPr>
      <t>246</t>
    </r>
    <r>
      <rPr>
        <sz val="10"/>
        <color rgb="FF080808"/>
        <rFont val="Consolas"/>
        <family val="3"/>
      </rPr>
      <t xml:space="preserve">] = </t>
    </r>
    <r>
      <rPr>
        <sz val="10"/>
        <color rgb="FF067D17"/>
        <rFont val="Consolas"/>
        <family val="3"/>
      </rPr>
      <t>"246|27|667|Wrothgar|380|684|Wrothgar|1|Merchant's Gate Wayshrine"</t>
    </r>
    <r>
      <rPr>
        <sz val="10"/>
        <color rgb="FF080808"/>
        <rFont val="Consolas"/>
        <family val="3"/>
      </rPr>
      <t>,</t>
    </r>
  </si>
  <si>
    <r>
      <t>[</t>
    </r>
    <r>
      <rPr>
        <sz val="10"/>
        <color rgb="FF1750EB"/>
        <rFont val="Consolas"/>
        <family val="3"/>
      </rPr>
      <t>456</t>
    </r>
    <r>
      <rPr>
        <sz val="10"/>
        <color rgb="FF080808"/>
        <rFont val="Consolas"/>
        <family val="3"/>
      </rPr>
      <t xml:space="preserve">] = </t>
    </r>
    <r>
      <rPr>
        <sz val="10"/>
        <color rgb="FF067D17"/>
        <rFont val="Consolas"/>
        <family val="3"/>
      </rPr>
      <t>"456|42|1814|The Reach|784|1207|The Reach|7|Stone Eagle Aerie"</t>
    </r>
    <r>
      <rPr>
        <sz val="10"/>
        <color rgb="FF080808"/>
        <rFont val="Consolas"/>
        <family val="3"/>
      </rPr>
      <t>,</t>
    </r>
  </si>
  <si>
    <r>
      <t>[</t>
    </r>
    <r>
      <rPr>
        <sz val="10"/>
        <color rgb="FF1750EB"/>
        <rFont val="Consolas"/>
        <family val="3"/>
      </rPr>
      <t>556</t>
    </r>
    <r>
      <rPr>
        <sz val="10"/>
        <color rgb="FF080808"/>
        <rFont val="Consolas"/>
        <family val="3"/>
      </rPr>
      <t xml:space="preserve">] = </t>
    </r>
    <r>
      <rPr>
        <sz val="10"/>
        <color rgb="FF067D17"/>
        <rFont val="Consolas"/>
        <family val="3"/>
      </rPr>
      <t>"556|42|1814|The Reach|784|1207|The Reach|6|Dungeon: Oathsworn Pit"</t>
    </r>
    <r>
      <rPr>
        <sz val="10"/>
        <color rgb="FF080808"/>
        <rFont val="Consolas"/>
        <family val="3"/>
      </rPr>
      <t>,</t>
    </r>
  </si>
  <si>
    <r>
      <t>[</t>
    </r>
    <r>
      <rPr>
        <sz val="10"/>
        <color rgb="FF1750EB"/>
        <rFont val="Consolas"/>
        <family val="3"/>
      </rPr>
      <t>249</t>
    </r>
    <r>
      <rPr>
        <sz val="10"/>
        <color rgb="FF080808"/>
        <rFont val="Consolas"/>
        <family val="3"/>
      </rPr>
      <t xml:space="preserve">] = </t>
    </r>
    <r>
      <rPr>
        <sz val="10"/>
        <color rgb="FF067D17"/>
        <rFont val="Consolas"/>
        <family val="3"/>
      </rPr>
      <t>"249|27|667|Wrothgar|380|684|Wrothgar|0|Maelstrom Arena"</t>
    </r>
    <r>
      <rPr>
        <sz val="10"/>
        <color rgb="FF080808"/>
        <rFont val="Consolas"/>
        <family val="3"/>
      </rPr>
      <t>,</t>
    </r>
  </si>
  <si>
    <r>
      <t>[</t>
    </r>
    <r>
      <rPr>
        <sz val="10"/>
        <color rgb="FF1750EB"/>
        <rFont val="Consolas"/>
        <family val="3"/>
      </rPr>
      <t>250</t>
    </r>
    <r>
      <rPr>
        <sz val="10"/>
        <color rgb="FF080808"/>
        <rFont val="Consolas"/>
        <family val="3"/>
      </rPr>
      <t xml:space="preserve">] = </t>
    </r>
    <r>
      <rPr>
        <sz val="10"/>
        <color rgb="FF067D17"/>
        <rFont val="Consolas"/>
        <family val="3"/>
      </rPr>
      <t>"250|27|667|Wrothgar|380|684|Wrothgar|0|Maelstrom Arena"</t>
    </r>
    <r>
      <rPr>
        <sz val="10"/>
        <color rgb="FF080808"/>
        <rFont val="Consolas"/>
        <family val="3"/>
      </rPr>
      <t>,</t>
    </r>
  </si>
  <si>
    <r>
      <t>[</t>
    </r>
    <r>
      <rPr>
        <sz val="10"/>
        <color rgb="FF1750EB"/>
        <rFont val="Consolas"/>
        <family val="3"/>
      </rPr>
      <t>443</t>
    </r>
    <r>
      <rPr>
        <sz val="10"/>
        <color rgb="FF080808"/>
        <rFont val="Consolas"/>
        <family val="3"/>
      </rPr>
      <t xml:space="preserve">] = </t>
    </r>
    <r>
      <rPr>
        <sz val="10"/>
        <color rgb="FF067D17"/>
        <rFont val="Consolas"/>
        <family val="3"/>
      </rPr>
      <t>"443|42|1814|The Reach|784|1207|The Reach|1|North Markarth Wayshrine"</t>
    </r>
    <r>
      <rPr>
        <sz val="10"/>
        <color rgb="FF080808"/>
        <rFont val="Consolas"/>
        <family val="3"/>
      </rPr>
      <t>,</t>
    </r>
  </si>
  <si>
    <r>
      <t>[</t>
    </r>
    <r>
      <rPr>
        <sz val="10"/>
        <color rgb="FF1750EB"/>
        <rFont val="Consolas"/>
        <family val="3"/>
      </rPr>
      <t>444</t>
    </r>
    <r>
      <rPr>
        <sz val="10"/>
        <color rgb="FF080808"/>
        <rFont val="Consolas"/>
        <family val="3"/>
      </rPr>
      <t xml:space="preserve">] = </t>
    </r>
    <r>
      <rPr>
        <sz val="10"/>
        <color rgb="FF067D17"/>
        <rFont val="Consolas"/>
        <family val="3"/>
      </rPr>
      <t>"444|42|1814|The Reach|784|1207|The Reach|1|Lost Valley Wayshrine"</t>
    </r>
    <r>
      <rPr>
        <sz val="10"/>
        <color rgb="FF080808"/>
        <rFont val="Consolas"/>
        <family val="3"/>
      </rPr>
      <t>,</t>
    </r>
  </si>
  <si>
    <r>
      <t>[</t>
    </r>
    <r>
      <rPr>
        <sz val="10"/>
        <color rgb="FF1750EB"/>
        <rFont val="Consolas"/>
        <family val="3"/>
      </rPr>
      <t>445</t>
    </r>
    <r>
      <rPr>
        <sz val="10"/>
        <color rgb="FF080808"/>
        <rFont val="Consolas"/>
        <family val="3"/>
      </rPr>
      <t xml:space="preserve">] = </t>
    </r>
    <r>
      <rPr>
        <sz val="10"/>
        <color rgb="FF067D17"/>
        <rFont val="Consolas"/>
        <family val="3"/>
      </rPr>
      <t>"445|42|1814|The Reach|784|1207|The Reach|1|Karthwasten Wayshrine"</t>
    </r>
    <r>
      <rPr>
        <sz val="10"/>
        <color rgb="FF080808"/>
        <rFont val="Consolas"/>
        <family val="3"/>
      </rPr>
      <t>,</t>
    </r>
  </si>
  <si>
    <r>
      <t>[</t>
    </r>
    <r>
      <rPr>
        <sz val="10"/>
        <color rgb="FF1750EB"/>
        <rFont val="Consolas"/>
        <family val="3"/>
      </rPr>
      <t>447</t>
    </r>
    <r>
      <rPr>
        <sz val="10"/>
        <color rgb="FF080808"/>
        <rFont val="Consolas"/>
        <family val="3"/>
      </rPr>
      <t xml:space="preserve">] = </t>
    </r>
    <r>
      <rPr>
        <sz val="10"/>
        <color rgb="FF067D17"/>
        <rFont val="Consolas"/>
        <family val="3"/>
      </rPr>
      <t>"447|42|1814|The Reach|784|1207|The Reach|1|Rebel's Retreat Wayshrine"</t>
    </r>
    <r>
      <rPr>
        <sz val="10"/>
        <color rgb="FF080808"/>
        <rFont val="Consolas"/>
        <family val="3"/>
      </rPr>
      <t>,</t>
    </r>
  </si>
  <si>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</si>
  <si>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</si>
  <si>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</si>
  <si>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</si>
  <si>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</si>
  <si>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</si>
  <si>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Last updated: 2024-03-27, PTS 101041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</si>
</sst>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1750EB"/>
      <name val="Consolas"/>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s>
  <fills count="16">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rgb="FF00B0F0"/>
        <bgColor indexed="64"/>
      </patternFill>
    </fill>
    <fill>
      <patternFill patternType="solid">
        <fgColor theme="6" tint="0.79998168889431442"/>
        <bgColor indexed="64"/>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23">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3" fillId="0" borderId="0" xfId="0" applyFont="1" applyAlignment="1">
      <alignment vertical="center"/>
    </xf>
    <xf numFmtId="0" fontId="24" fillId="9" borderId="0" xfId="0" applyFont="1" applyFill="1" applyAlignment="1">
      <alignment vertical="center"/>
    </xf>
    <xf numFmtId="0" fontId="23" fillId="9" borderId="0" xfId="0" applyFont="1" applyFill="1" applyAlignment="1">
      <alignment vertical="center"/>
    </xf>
    <xf numFmtId="0" fontId="26" fillId="0" borderId="0" xfId="0" applyFont="1" applyFill="1" applyAlignment="1"/>
    <xf numFmtId="0" fontId="14" fillId="0" borderId="1" xfId="3" applyFont="1" applyFill="1" applyAlignment="1">
      <alignment wrapText="1"/>
    </xf>
    <xf numFmtId="0" fontId="14" fillId="0" borderId="1" xfId="3" applyFont="1" applyFill="1"/>
    <xf numFmtId="0" fontId="26"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6" fillId="0" borderId="1" xfId="3" applyFont="1" applyFill="1" applyBorder="1"/>
    <xf numFmtId="0" fontId="0" fillId="12" borderId="0" xfId="0" applyFill="1"/>
    <xf numFmtId="0" fontId="14" fillId="0" borderId="1" xfId="3" applyFont="1" applyFill="1" applyBorder="1"/>
    <xf numFmtId="0" fontId="26" fillId="0" borderId="0" xfId="0" applyFont="1"/>
    <xf numFmtId="0" fontId="0" fillId="0" borderId="7" xfId="0" applyBorder="1"/>
    <xf numFmtId="0" fontId="24"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23" fillId="14" borderId="0" xfId="0" applyFont="1" applyFill="1" applyAlignment="1">
      <alignment vertical="center"/>
    </xf>
    <xf numFmtId="0" fontId="30" fillId="0" borderId="0" xfId="0" applyFont="1" applyAlignment="1">
      <alignment vertical="center"/>
    </xf>
    <xf numFmtId="0" fontId="3" fillId="0" borderId="1" xfId="3" applyFill="1"/>
    <xf numFmtId="0" fontId="26" fillId="0" borderId="1" xfId="3" applyFont="1" applyFill="1"/>
    <xf numFmtId="49" fontId="4" fillId="0" borderId="0" xfId="0" applyNumberFormat="1" applyFont="1" applyAlignment="1">
      <alignment wrapText="1"/>
    </xf>
    <xf numFmtId="49" fontId="0" fillId="10" borderId="0" xfId="0" applyNumberFormat="1" applyFill="1"/>
    <xf numFmtId="0" fontId="12" fillId="15" borderId="1" xfId="5" applyFill="1"/>
    <xf numFmtId="0" fontId="32" fillId="0" borderId="0" xfId="0" applyFont="1"/>
    <xf numFmtId="0" fontId="33"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3" fillId="4" borderId="1" xfId="3" applyNumberFormat="1" applyBorder="1"/>
    <xf numFmtId="0" fontId="19" fillId="4" borderId="2" xfId="6" applyNumberFormat="1" applyFont="1" applyBorder="1" applyAlignment="1">
      <alignment wrapText="1"/>
    </xf>
    <xf numFmtId="49" fontId="0" fillId="6" borderId="0" xfId="0" applyNumberFormat="1" applyFill="1"/>
    <xf numFmtId="0" fontId="16" fillId="2" borderId="2" xfId="1" applyFont="1" applyBorder="1"/>
    <xf numFmtId="0" fontId="16" fillId="2" borderId="0" xfId="1" applyFont="1" applyBorder="1"/>
    <xf numFmtId="0" fontId="27"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648"/>
  <sheetViews>
    <sheetView tabSelected="1" zoomScale="70" zoomScaleNormal="70" workbookViewId="0">
      <pane xSplit="7" ySplit="2" topLeftCell="BI607" activePane="bottomRight" state="frozen"/>
      <selection pane="topRight" activeCell="H1" sqref="H1"/>
      <selection pane="bottomLeft" activeCell="A3" sqref="A3"/>
      <selection pane="bottomRight" activeCell="BE3" sqref="BE3:BI648"/>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7" customWidth="1"/>
    <col min="53" max="53" width="19.85546875" style="77" customWidth="1"/>
    <col min="54" max="54" width="20.5703125" style="77" customWidth="1"/>
    <col min="55" max="55" width="7.7109375" style="77" customWidth="1"/>
    <col min="56" max="56" width="13.28515625" style="77"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12" t="s">
        <v>3783</v>
      </c>
      <c r="B1" s="112"/>
      <c r="C1" s="112"/>
      <c r="D1" s="57" t="s">
        <v>3962</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5"/>
      <c r="BA1" s="75"/>
      <c r="BB1" s="75"/>
      <c r="BC1" s="75"/>
      <c r="BD1" s="75"/>
      <c r="BE1" s="57"/>
      <c r="BF1" s="57"/>
      <c r="BG1" s="57"/>
      <c r="BH1" s="57"/>
      <c r="BI1" s="58"/>
    </row>
    <row r="2" spans="1:61" s="1" customFormat="1" ht="120" customHeight="1" x14ac:dyDescent="0.25">
      <c r="A2" s="5" t="s">
        <v>83</v>
      </c>
      <c r="B2" s="1" t="s">
        <v>81</v>
      </c>
      <c r="C2" s="1" t="s">
        <v>82</v>
      </c>
      <c r="D2" s="3" t="s">
        <v>1436</v>
      </c>
      <c r="E2" s="1" t="s">
        <v>1336</v>
      </c>
      <c r="F2" s="1" t="s">
        <v>1338</v>
      </c>
      <c r="G2" s="3" t="s">
        <v>1415</v>
      </c>
      <c r="H2" s="11" t="s">
        <v>1377</v>
      </c>
      <c r="I2" s="11" t="s">
        <v>1791</v>
      </c>
      <c r="J2" s="11" t="s">
        <v>1376</v>
      </c>
      <c r="K2" s="11" t="s">
        <v>1438</v>
      </c>
      <c r="L2" s="11" t="s">
        <v>1374</v>
      </c>
      <c r="M2" s="11" t="s">
        <v>1375</v>
      </c>
      <c r="N2" s="11" t="s">
        <v>1373</v>
      </c>
      <c r="O2" s="60" t="s">
        <v>1790</v>
      </c>
      <c r="P2" s="60" t="s">
        <v>3278</v>
      </c>
      <c r="Q2" s="13" t="s">
        <v>1333</v>
      </c>
      <c r="R2" s="23" t="s">
        <v>1378</v>
      </c>
      <c r="S2" s="60" t="s">
        <v>1785</v>
      </c>
      <c r="T2" s="22" t="s">
        <v>1416</v>
      </c>
      <c r="U2" s="3" t="s">
        <v>75</v>
      </c>
      <c r="V2" s="32" t="s">
        <v>1522</v>
      </c>
      <c r="W2" s="13" t="s">
        <v>1510</v>
      </c>
      <c r="X2" s="13" t="s">
        <v>1511</v>
      </c>
      <c r="Y2" s="60" t="s">
        <v>2709</v>
      </c>
      <c r="Z2" s="13" t="s">
        <v>1334</v>
      </c>
      <c r="AA2" s="23" t="s">
        <v>1379</v>
      </c>
      <c r="AB2" s="32" t="s">
        <v>1526</v>
      </c>
      <c r="AC2" s="13" t="s">
        <v>1512</v>
      </c>
      <c r="AD2" s="13" t="s">
        <v>1513</v>
      </c>
      <c r="AE2" s="13" t="s">
        <v>3276</v>
      </c>
      <c r="AF2" s="13" t="s">
        <v>1335</v>
      </c>
      <c r="AG2" s="23" t="s">
        <v>1380</v>
      </c>
      <c r="AH2" s="33" t="s">
        <v>2765</v>
      </c>
      <c r="AI2" s="13" t="s">
        <v>1514</v>
      </c>
      <c r="AJ2" s="13" t="s">
        <v>1515</v>
      </c>
      <c r="AK2" s="13" t="s">
        <v>1421</v>
      </c>
      <c r="AL2" s="23" t="s">
        <v>1422</v>
      </c>
      <c r="AM2" s="32" t="s">
        <v>1566</v>
      </c>
      <c r="AN2" s="13" t="s">
        <v>1516</v>
      </c>
      <c r="AO2" s="13" t="s">
        <v>1517</v>
      </c>
      <c r="AP2" s="13" t="s">
        <v>1423</v>
      </c>
      <c r="AQ2" s="23" t="s">
        <v>1424</v>
      </c>
      <c r="AR2" s="32" t="s">
        <v>1567</v>
      </c>
      <c r="AS2" s="13" t="s">
        <v>1518</v>
      </c>
      <c r="AT2" s="13" t="s">
        <v>1519</v>
      </c>
      <c r="AU2" s="13" t="s">
        <v>1434</v>
      </c>
      <c r="AV2" s="23" t="s">
        <v>1435</v>
      </c>
      <c r="AW2" s="32" t="s">
        <v>1568</v>
      </c>
      <c r="AX2" s="13" t="s">
        <v>1520</v>
      </c>
      <c r="AY2" s="13" t="s">
        <v>1521</v>
      </c>
      <c r="AZ2" s="76" t="s">
        <v>2655</v>
      </c>
      <c r="BA2" s="76" t="s">
        <v>3272</v>
      </c>
      <c r="BB2" s="76" t="s">
        <v>3273</v>
      </c>
      <c r="BC2" s="76" t="s">
        <v>3778</v>
      </c>
      <c r="BD2" s="76" t="s">
        <v>3958</v>
      </c>
      <c r="BE2" s="20" t="s">
        <v>3281</v>
      </c>
      <c r="BF2" s="20" t="s">
        <v>3282</v>
      </c>
      <c r="BG2" s="20" t="s">
        <v>3283</v>
      </c>
      <c r="BH2" s="20" t="s">
        <v>3279</v>
      </c>
      <c r="BI2" s="20" t="s">
        <v>3280</v>
      </c>
    </row>
    <row r="3" spans="1:61" x14ac:dyDescent="0.25">
      <c r="A3" s="12">
        <v>19</v>
      </c>
      <c r="B3" t="s">
        <v>729</v>
      </c>
      <c r="C3" t="s">
        <v>730</v>
      </c>
      <c r="D3" s="3">
        <f t="shared" ref="D3:D66" si="0">A3</f>
        <v>19</v>
      </c>
      <c r="G3" s="8" t="s">
        <v>1473</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WayshrineInfo'!$K$3:$N$9972,4,FALSE),"")))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constants'!$B$4:$C$1012,2,FALSE),"")</f>
        <v>Included in base game</v>
      </c>
      <c r="V3" s="89" t="s">
        <v>3285</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constants'!$A$5:$D$10001,4,FALSE),"")</f>
        <v>Reaper's March</v>
      </c>
      <c r="AB3" s="89"/>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8" t="s">
        <v>2653</v>
      </c>
      <c r="BA3" s="78"/>
      <c r="BB3" s="78"/>
      <c r="BC3" s="78"/>
      <c r="BD3" s="78"/>
      <c r="BE3" s="21" t="str">
        <f t="shared" ref="BE3"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 t="shared" ref="BF3"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 t="shared" ref="BG3" si="3">IF(A3&lt;&gt;"",IF(F3&lt;&gt;"Not in the game (anymore)",IF(A3&lt;&gt;"",", setType="&amp;G3,"")&amp;IF(G3="LIBSETS_SETTYPE_CLASS",", classId="&amp;BC3,"")&amp;IF(J3="true",", multiTrialSet=true",""),"")
&amp; IF(AND(H3&lt;&gt;"",ISNUMBER(H3)),", undauntedChestId=" &amp; H3,""),"")</f>
        <v>, setType=LIBSETS_SETTYPE_DUNGEON</v>
      </c>
      <c r="BH3" s="21"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 t="shared" ref="BI3" si="4">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2">
        <v>20</v>
      </c>
      <c r="B4" t="s">
        <v>731</v>
      </c>
      <c r="C4" t="s">
        <v>732</v>
      </c>
      <c r="D4" s="3">
        <f t="shared" si="0"/>
        <v>20</v>
      </c>
      <c r="G4" s="8" t="s">
        <v>1476</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WayshrineInfo'!$K$3:$N$9972,4,FALSE),"")))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constants'!$B$4:$C$1012,2,FALSE),"")</f>
        <v>Included in base game</v>
      </c>
      <c r="V4" s="89" t="s">
        <v>1554</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constants'!$A$5:$D$10001,4,FALSE),"")</f>
        <v>The Rift</v>
      </c>
      <c r="AB4" s="89" t="s">
        <v>1555</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constants'!$A$5:$D$10001,4,FALSE),"")</f>
        <v>The Lion's Den</v>
      </c>
      <c r="AH4" s="42" t="s">
        <v>1556</v>
      </c>
      <c r="AI4" s="41"/>
      <c r="AJ4" s="41"/>
      <c r="AK4" s="3">
        <f>IF(AND(G4&lt;&gt;"LIBSETS_SETTYPE_BATTLEGROUND",G4&lt;&gt;"LIBSETS_SETTYPE_SPECIAL"),IF(AL4&lt;&gt;"",VLOOKUP(AL4,'ESO zone constants'!$D$5:$H$4955,5,FALSE),""),"")</f>
        <v>103</v>
      </c>
      <c r="AL4" t="s">
        <v>111</v>
      </c>
      <c r="AM4" s="42" t="s">
        <v>1557</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8" t="s">
        <v>2653</v>
      </c>
      <c r="BA4" s="78"/>
      <c r="BB4" s="78"/>
      <c r="BC4" s="78"/>
      <c r="BD4" s="78"/>
      <c r="BE4" s="21" t="str">
        <f t="shared" ref="BE4:BE67" si="5">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21" t="str">
        <f t="shared" ref="BF4:BF67" si="6">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 veteran=false</v>
      </c>
      <c r="BG4" s="21" t="str">
        <f t="shared" ref="BG4:BG67" si="7">IF(A4&lt;&gt;"",IF(F4&lt;&gt;"Not in the game (anymore)",IF(A4&lt;&gt;"",", setType="&amp;G4,"")&amp;IF(G4="LIBSETS_SETTYPE_CLASS",", classId="&amp;BC4,"")&amp;IF(J4="true",", multiTrialSet=true",""),"")
&amp; IF(AND(H4&lt;&gt;"",ISNUMBER(H4)),", undauntedChestId=" &amp; H4,""),"")</f>
        <v>, setType=LIBSETS_SETTYPE_OVERLAND</v>
      </c>
      <c r="BH4" s="21" t="str">
        <f t="shared" ref="BH4:BH67" si="8">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v>
      </c>
      <c r="BI4" s="21" t="str">
        <f t="shared" ref="BI4:BI67" si="9">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v>
      </c>
    </row>
    <row r="5" spans="1:61" x14ac:dyDescent="0.25">
      <c r="A5" s="12">
        <v>21</v>
      </c>
      <c r="B5" t="s">
        <v>733</v>
      </c>
      <c r="C5" t="s">
        <v>734</v>
      </c>
      <c r="D5" s="3">
        <f t="shared" si="0"/>
        <v>21</v>
      </c>
      <c r="G5" s="8" t="s">
        <v>1476</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WayshrineInfo'!$K$3:$N$9972,4,FALSE),"")))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constants'!$B$4:$C$1012,2,FALSE),"")</f>
        <v>Included in base game</v>
      </c>
      <c r="V5" s="89" t="s">
        <v>1554</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constants'!$A$5:$D$10001,4,FALSE),"")</f>
        <v>Eastmarch</v>
      </c>
      <c r="AB5" s="89" t="s">
        <v>1555</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constants'!$A$5:$D$10001,4,FALSE),"")</f>
        <v>Hall of the Dead</v>
      </c>
      <c r="AH5" s="42" t="s">
        <v>1556</v>
      </c>
      <c r="AI5" s="41"/>
      <c r="AJ5" s="41"/>
      <c r="AK5" s="3">
        <f>IF(AND(G5&lt;&gt;"LIBSETS_SETTYPE_BATTLEGROUND",G5&lt;&gt;"LIBSETS_SETTYPE_SPECIAL"),IF(AL5&lt;&gt;"",VLOOKUP(AL5,'ESO zone constants'!$D$5:$H$4955,5,FALSE),""),"")</f>
        <v>101</v>
      </c>
      <c r="AL5" t="s">
        <v>110</v>
      </c>
      <c r="AM5" s="42" t="s">
        <v>1557</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8" t="s">
        <v>2654</v>
      </c>
      <c r="BA5" s="78"/>
      <c r="BB5" s="78"/>
      <c r="BC5" s="78"/>
      <c r="BD5" s="78"/>
      <c r="BE5" s="21" t="str">
        <f t="shared" si="5"/>
        <v>[21] = {wayshrines={93,93,93,}, dlcId=DLC_BASE_GAME</v>
      </c>
      <c r="BF5" s="21" t="str">
        <f t="shared" si="6"/>
        <v>, zoneIds={101,101,339,101}, veteran=false</v>
      </c>
      <c r="BG5" s="21" t="str">
        <f t="shared" si="7"/>
        <v>, setType=LIBSETS_SETTYPE_OVERLAND</v>
      </c>
      <c r="BH5" s="21" t="str">
        <f t="shared" si="8"/>
        <v>, isProcSetAllowedInPvP=1, dropMechanic={LIBSETS_DROP_MECHANIC_OVERLAND_BOSS_DELVE,LIBSETS_DROP_MECHANIC_OVERLAND_WORLDBOSS,LIBSETS_DROP_MECHANIC_OVERLAND_BOSS_PUBLIC_DUNGEON,LIBSETS_DROP_MECHANIC_OVERLAND_CHEST}</v>
      </c>
      <c r="BI5" s="21" t="str">
        <f t="shared" si="9"/>
        <v>}, --Akaviri Dragonguard / Akavirische Drachengarde   [Eastmarch, Eastmarch, Hall of the Dead, Eastmarch]</v>
      </c>
    </row>
    <row r="6" spans="1:61" x14ac:dyDescent="0.25">
      <c r="A6" s="12">
        <v>22</v>
      </c>
      <c r="B6" t="s">
        <v>735</v>
      </c>
      <c r="C6" t="s">
        <v>2532</v>
      </c>
      <c r="D6" s="3">
        <f t="shared" si="0"/>
        <v>22</v>
      </c>
      <c r="G6" s="8" t="s">
        <v>1476</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WayshrineInfo'!$K$3:$N$9972,4,FALSE),"")))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constants'!$B$4:$C$1012,2,FALSE),"")</f>
        <v>Included in base game</v>
      </c>
      <c r="V6" s="89" t="s">
        <v>1554</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constants'!$A$5:$D$10001,4,FALSE),"")</f>
        <v>Stormhaven</v>
      </c>
      <c r="AB6" s="89" t="s">
        <v>1555</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constants'!$A$5:$D$10001,4,FALSE),"")</f>
        <v>Bonesnap Ruins</v>
      </c>
      <c r="AH6" s="42" t="s">
        <v>1556</v>
      </c>
      <c r="AI6" s="41"/>
      <c r="AJ6" s="41"/>
      <c r="AK6" s="3">
        <f>IF(AND(G6&lt;&gt;"LIBSETS_SETTYPE_BATTLEGROUND",G6&lt;&gt;"LIBSETS_SETTYPE_SPECIAL"),IF(AL6&lt;&gt;"",VLOOKUP(AL6,'ESO zone constants'!$D$5:$H$4955,5,FALSE),""),"")</f>
        <v>19</v>
      </c>
      <c r="AL6" t="s">
        <v>104</v>
      </c>
      <c r="AM6" s="42" t="s">
        <v>1557</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8" t="s">
        <v>2653</v>
      </c>
      <c r="BA6" s="78"/>
      <c r="BB6" s="78"/>
      <c r="BC6" s="78"/>
      <c r="BD6" s="78"/>
      <c r="BE6" s="21" t="str">
        <f t="shared" si="5"/>
        <v>[22] = {wayshrines={17,17,17,}, dlcId=DLC_BASE_GAME</v>
      </c>
      <c r="BF6" s="21" t="str">
        <f t="shared" si="6"/>
        <v>, zoneIds={19,19,142,19}, veteran=false</v>
      </c>
      <c r="BG6" s="21" t="str">
        <f t="shared" si="7"/>
        <v>, setType=LIBSETS_SETTYPE_OVERLAND</v>
      </c>
      <c r="BH6" s="21" t="str">
        <f t="shared" si="8"/>
        <v>, dropMechanic={LIBSETS_DROP_MECHANIC_OVERLAND_BOSS_DELVE,LIBSETS_DROP_MECHANIC_OVERLAND_WORLDBOSS,LIBSETS_DROP_MECHANIC_OVERLAND_BOSS_PUBLIC_DUNGEON,LIBSETS_DROP_MECHANIC_OVERLAND_CHEST}</v>
      </c>
      <c r="BI6" s="21" t="str">
        <f t="shared" si="9"/>
        <v>}, --Dreamer\'s Mantle / Mantel des Träumers   [Stormhaven, Stormhaven, Bonesnap Ruins, Stormhaven]</v>
      </c>
    </row>
    <row r="7" spans="1:61" x14ac:dyDescent="0.25">
      <c r="A7" s="12">
        <v>23</v>
      </c>
      <c r="B7" t="s">
        <v>736</v>
      </c>
      <c r="C7" t="s">
        <v>2533</v>
      </c>
      <c r="D7" s="3">
        <f t="shared" si="0"/>
        <v>23</v>
      </c>
      <c r="G7" s="8" t="s">
        <v>1468</v>
      </c>
      <c r="I7" t="s">
        <v>91</v>
      </c>
      <c r="J7" t="s">
        <v>91</v>
      </c>
      <c r="K7">
        <v>270</v>
      </c>
      <c r="L7">
        <v>270</v>
      </c>
      <c r="M7">
        <v>270</v>
      </c>
      <c r="O7" s="61" t="s">
        <v>439</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constants'!$B$4:$C$1012,2,FALSE),"")</f>
        <v>Clockwork City</v>
      </c>
      <c r="V7" s="89" t="s">
        <v>1550</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constants'!$A$5:$D$10001,4,FALSE),"")</f>
        <v>Craglorn</v>
      </c>
      <c r="AB7" s="89" t="s">
        <v>1550</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8" t="s">
        <v>2654</v>
      </c>
      <c r="BA7" s="78"/>
      <c r="BB7" s="78"/>
      <c r="BC7" s="78"/>
      <c r="BD7" s="78"/>
      <c r="BE7" s="21" t="str">
        <f t="shared" si="5"/>
        <v>[23] = {wayshrines={270,270,270,}, dlcId=DLC_CLOCKWORK_CITY</v>
      </c>
      <c r="BF7" s="21" t="str">
        <f t="shared" si="6"/>
        <v>, zoneIds={635,888,888}, veteran=false</v>
      </c>
      <c r="BG7" s="21" t="str">
        <f t="shared" si="7"/>
        <v>, setType=LIBSETS_SETTYPE_ARENA</v>
      </c>
      <c r="BH7" s="21" t="str">
        <f t="shared" si="8"/>
        <v>, isProcSetAllowedInPvP=1, dropMechanic={LIBSETS_DROP_MECHANIC_ARENA_STAGE_CHEST,LIBSETS_DROP_MECHANIC_ARENA_STAGE_CHEST}</v>
      </c>
      <c r="BI7" s="21" t="str">
        <f t="shared" si="9"/>
        <v>}, --Archer\'s Mind / Schützensinn   [Dragonstar Arena, Craglorn, Craglorn]</v>
      </c>
    </row>
    <row r="8" spans="1:61" x14ac:dyDescent="0.25">
      <c r="A8" s="12">
        <v>24</v>
      </c>
      <c r="B8" t="s">
        <v>737</v>
      </c>
      <c r="C8" t="s">
        <v>2534</v>
      </c>
      <c r="D8" s="3">
        <f t="shared" si="0"/>
        <v>24</v>
      </c>
      <c r="G8" s="8" t="s">
        <v>1468</v>
      </c>
      <c r="I8" t="s">
        <v>91</v>
      </c>
      <c r="J8" t="s">
        <v>91</v>
      </c>
      <c r="K8">
        <v>270</v>
      </c>
      <c r="L8">
        <v>270</v>
      </c>
      <c r="M8">
        <v>270</v>
      </c>
      <c r="O8" s="61" t="s">
        <v>439</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constants'!$B$4:$C$1012,2,FALSE),"")</f>
        <v>Clockwork City</v>
      </c>
      <c r="V8" s="89" t="s">
        <v>1550</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constants'!$A$5:$D$10001,4,FALSE),"")</f>
        <v>Craglorn</v>
      </c>
      <c r="AB8" s="89" t="s">
        <v>1550</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8" t="s">
        <v>2653</v>
      </c>
      <c r="BA8" s="78"/>
      <c r="BB8" s="78"/>
      <c r="BC8" s="78"/>
      <c r="BD8" s="78"/>
      <c r="BE8" s="21" t="str">
        <f t="shared" si="5"/>
        <v>[24] = {wayshrines={270,270,270,}, dlcId=DLC_CLOCKWORK_CITY</v>
      </c>
      <c r="BF8" s="21" t="str">
        <f t="shared" si="6"/>
        <v>, zoneIds={635,888,888}, veteran=false</v>
      </c>
      <c r="BG8" s="21" t="str">
        <f t="shared" si="7"/>
        <v>, setType=LIBSETS_SETTYPE_ARENA</v>
      </c>
      <c r="BH8" s="21" t="str">
        <f t="shared" si="8"/>
        <v>, dropMechanic={LIBSETS_DROP_MECHANIC_ARENA_STAGE_CHEST,LIBSETS_DROP_MECHANIC_ARENA_STAGE_CHEST}</v>
      </c>
      <c r="BI8" s="21" t="str">
        <f t="shared" si="9"/>
        <v>}, --Footman\'s Fortune / Geschick des Fußsoldaten   [Dragonstar Arena, Craglorn, Craglorn]</v>
      </c>
    </row>
    <row r="9" spans="1:61" x14ac:dyDescent="0.25">
      <c r="A9" s="12">
        <v>25</v>
      </c>
      <c r="B9" t="s">
        <v>738</v>
      </c>
      <c r="C9" t="s">
        <v>739</v>
      </c>
      <c r="D9" s="3">
        <f t="shared" si="0"/>
        <v>25</v>
      </c>
      <c r="E9" s="40"/>
      <c r="G9" s="8" t="s">
        <v>1471</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WayshrineInfo'!$K$3:$N$9972,4,FALSE),"")))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constants'!$B$4:$C$1012,2,FALSE),"")</f>
        <v>Included in base game</v>
      </c>
      <c r="V9" s="89" t="s">
        <v>2770</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constants'!$A$5:$D$10001,4,FALSE),"")</f>
        <v>Cyrodiil</v>
      </c>
      <c r="AB9" s="33" t="s">
        <v>3737</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constants'!$A$5:$D$10001,4,FALSE),"")</f>
        <v>Cyrodiil</v>
      </c>
      <c r="AH9" s="33" t="s">
        <v>2765</v>
      </c>
      <c r="AK9" s="3">
        <f>IF(AND(G9&lt;&gt;"LIBSETS_SETTYPE_BATTLEGROUND",G9&lt;&gt;"LIBSETS_SETTYPE_SPECIAL"),IF(AL9&lt;&gt;"",VLOOKUP(AL9,'ESO zone constants'!$D$5:$H$4955,5,FALSE),""),"")</f>
        <v>181</v>
      </c>
      <c r="AL9" t="s">
        <v>125</v>
      </c>
      <c r="AM9" s="33" t="s">
        <v>3740</v>
      </c>
      <c r="AP9" s="3">
        <f>IF(AND(G9&lt;&gt;"LIBSETS_SETTYPE_BATTLEGROUND",G9&lt;&gt;"LIBSETS_SETTYPE_SPECIAL"),IF(AQ9&lt;&gt;"",VLOOKUP(AQ9,'ESO zone constants'!$D$5:$H$4955,5,FALSE),""),"")</f>
        <v>181</v>
      </c>
      <c r="AQ9" t="s">
        <v>125</v>
      </c>
      <c r="AR9" s="33" t="s">
        <v>1554</v>
      </c>
      <c r="AU9" s="3">
        <f>IF(AND(G9&lt;&gt;"LIBSETS_SETTYPE_BATTLEGROUND",G9&lt;&gt;"LIBSETS_SETTYPE_SPECIAL"),IF(AV9&lt;&gt;"",VLOOKUP(AV9,'ESO zone constants'!$D$5:$H$4955,5,FALSE),""),"")</f>
        <v>181</v>
      </c>
      <c r="AV9" t="s">
        <v>125</v>
      </c>
      <c r="AW9" s="33" t="s">
        <v>3236</v>
      </c>
      <c r="AZ9" s="78" t="s">
        <v>2653</v>
      </c>
      <c r="BA9" s="78"/>
      <c r="BB9" s="78"/>
      <c r="BC9" s="78"/>
      <c r="BD9" s="78"/>
      <c r="BE9" s="21" t="str">
        <f t="shared" si="5"/>
        <v>[25] = {wayshrines={-1,-1,-1,}, dlcId=DLC_BASE_GAME</v>
      </c>
      <c r="BF9" s="21" t="str">
        <f t="shared" si="6"/>
        <v>, zoneIds={181,181,181,181,181,181}, veteran=false</v>
      </c>
      <c r="BG9" s="21" t="str">
        <f t="shared" si="7"/>
        <v>, setType=LIBSETS_SETTYPE_CYRODIIL</v>
      </c>
      <c r="BH9"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 t="shared" si="9"/>
        <v>}, --Desert Rose / Wüstenrose   [Cyrodiil, Cyrodiil, Cyrodiil, Cyrodiil, Cyrodiil, Cyrodiil]</v>
      </c>
    </row>
    <row r="10" spans="1:61" x14ac:dyDescent="0.25">
      <c r="A10" s="12">
        <v>26</v>
      </c>
      <c r="B10" t="s">
        <v>740</v>
      </c>
      <c r="C10" t="s">
        <v>2535</v>
      </c>
      <c r="D10" s="3">
        <f t="shared" si="0"/>
        <v>26</v>
      </c>
      <c r="E10" s="40"/>
      <c r="G10" s="8" t="s">
        <v>1476</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constants'!$B$4:$C$1012,2,FALSE),"")</f>
        <v>Included in base game</v>
      </c>
      <c r="V10" s="89" t="s">
        <v>1554</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constants'!$A$5:$D$10001,4,FALSE),"")</f>
        <v>Coldharbour</v>
      </c>
      <c r="AB10" s="33" t="s">
        <v>1555</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constants'!$A$5:$D$10001,4,FALSE),"")</f>
        <v>Village of the Lost</v>
      </c>
      <c r="AH10" s="42" t="s">
        <v>1556</v>
      </c>
      <c r="AI10" s="41"/>
      <c r="AJ10" s="41"/>
      <c r="AK10" s="3">
        <f>IF(AND(G10&lt;&gt;"LIBSETS_SETTYPE_BATTLEGROUND",G10&lt;&gt;"LIBSETS_SETTYPE_SPECIAL"),IF(AL10&lt;&gt;"",VLOOKUP(AL10,'ESO zone constants'!$D$5:$H$4955,5,FALSE),""),"")</f>
        <v>347</v>
      </c>
      <c r="AL10" t="s">
        <v>239</v>
      </c>
      <c r="AM10" s="33" t="s">
        <v>1557</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8" t="s">
        <v>2653</v>
      </c>
      <c r="BA10" s="78"/>
      <c r="BB10" s="78"/>
      <c r="BC10" s="78"/>
      <c r="BD10" s="78"/>
      <c r="BE10" s="21" t="str">
        <f t="shared" si="5"/>
        <v>[26] = {wayshrines={131,131,131,}, dlcId=DLC_BASE_GAME</v>
      </c>
      <c r="BF10" s="21" t="str">
        <f t="shared" si="6"/>
        <v>, zoneIds={347,347,557,347}, veteran=false</v>
      </c>
      <c r="BG10" s="21" t="str">
        <f t="shared" si="7"/>
        <v>, setType=LIBSETS_SETTYPE_OVERLAND</v>
      </c>
      <c r="BH10" s="21" t="str">
        <f t="shared" si="8"/>
        <v>, dropMechanic={LIBSETS_DROP_MECHANIC_OVERLAND_BOSS_DELVE,LIBSETS_DROP_MECHANIC_OVERLAND_WORLDBOSS,LIBSETS_DROP_MECHANIC_OVERLAND_BOSS_PUBLIC_DUNGEON,LIBSETS_DROP_MECHANIC_OVERLAND_CHEST}</v>
      </c>
      <c r="BI10" s="21" t="str">
        <f t="shared" si="9"/>
        <v>}, --Prisoner\'s Rags / Lumpen des Gefangenen   [Coldharbour, Coldharbour, Village of the Lost, Coldharbour]</v>
      </c>
    </row>
    <row r="11" spans="1:61" x14ac:dyDescent="0.25">
      <c r="A11" s="12">
        <v>27</v>
      </c>
      <c r="B11" t="s">
        <v>741</v>
      </c>
      <c r="C11" t="s">
        <v>2536</v>
      </c>
      <c r="D11" s="3">
        <f t="shared" si="0"/>
        <v>27</v>
      </c>
      <c r="E11" s="40"/>
      <c r="G11" s="8" t="s">
        <v>1476</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constants'!$B$4:$C$1012,2,FALSE),"")</f>
        <v>Included in base game</v>
      </c>
      <c r="V11" s="89" t="s">
        <v>1554</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constants'!$A$5:$D$10001,4,FALSE),"")</f>
        <v>Eastmarch</v>
      </c>
      <c r="AB11" s="33" t="s">
        <v>1555</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constants'!$A$5:$D$10001,4,FALSE),"")</f>
        <v>Hall of the Dead</v>
      </c>
      <c r="AH11" s="42" t="s">
        <v>1556</v>
      </c>
      <c r="AI11" s="41"/>
      <c r="AJ11" s="41"/>
      <c r="AK11" s="3">
        <f>IF(AND(G11&lt;&gt;"LIBSETS_SETTYPE_BATTLEGROUND",G11&lt;&gt;"LIBSETS_SETTYPE_SPECIAL"),IF(AL11&lt;&gt;"",VLOOKUP(AL11,'ESO zone constants'!$D$5:$H$4955,5,FALSE),""),"")</f>
        <v>101</v>
      </c>
      <c r="AL11" t="s">
        <v>110</v>
      </c>
      <c r="AM11" s="33" t="s">
        <v>1557</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8" t="s">
        <v>2653</v>
      </c>
      <c r="BA11" s="78"/>
      <c r="BB11" s="78"/>
      <c r="BC11" s="78"/>
      <c r="BD11" s="78"/>
      <c r="BE11" s="21" t="str">
        <f t="shared" si="5"/>
        <v>[27] = {wayshrines={93,93,93,}, dlcId=DLC_BASE_GAME</v>
      </c>
      <c r="BF11" s="21" t="str">
        <f t="shared" si="6"/>
        <v>, zoneIds={101,101,339,101}, veteran=false</v>
      </c>
      <c r="BG11" s="21" t="str">
        <f t="shared" si="7"/>
        <v>, setType=LIBSETS_SETTYPE_OVERLAND</v>
      </c>
      <c r="BH11" s="21" t="str">
        <f t="shared" si="8"/>
        <v>, dropMechanic={LIBSETS_DROP_MECHANIC_OVERLAND_BOSS_DELVE,LIBSETS_DROP_MECHANIC_OVERLAND_WORLDBOSS,LIBSETS_DROP_MECHANIC_OVERLAND_BOSS_PUBLIC_DUNGEON,LIBSETS_DROP_MECHANIC_OVERLAND_CHEST}</v>
      </c>
      <c r="BI11" s="21" t="str">
        <f t="shared" si="9"/>
        <v>}, --Fiord\'s Legacy / Fiords Erbe   [Eastmarch, Eastmarch, Hall of the Dead, Eastmarch]</v>
      </c>
    </row>
    <row r="12" spans="1:61" x14ac:dyDescent="0.25">
      <c r="A12" s="12">
        <v>28</v>
      </c>
      <c r="B12" t="s">
        <v>742</v>
      </c>
      <c r="C12" t="s">
        <v>743</v>
      </c>
      <c r="D12" s="3">
        <f t="shared" si="0"/>
        <v>28</v>
      </c>
      <c r="G12" s="8" t="s">
        <v>1473</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constants'!$B$4:$C$1012,2,FALSE),"")</f>
        <v>Included in base game</v>
      </c>
      <c r="V12" s="89" t="s">
        <v>3285</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constants'!$A$5:$D$10001,4,FALSE),"")</f>
        <v>Elden Hollow II</v>
      </c>
      <c r="AB12" s="33" t="s">
        <v>3285</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constants'!$A$5:$D$10001,4,FALSE),"")</f>
        <v>Grahtwood</v>
      </c>
      <c r="AH12" s="89"/>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8" t="s">
        <v>2653</v>
      </c>
      <c r="BA12" s="78"/>
      <c r="BB12" s="78"/>
      <c r="BC12" s="78"/>
      <c r="BD12" s="78"/>
      <c r="BE12" s="21" t="str">
        <f t="shared" si="5"/>
        <v>[28] = {wayshrines={191,191,191,}, dlcId=DLC_BASE_GAME</v>
      </c>
      <c r="BF12" s="21" t="str">
        <f t="shared" si="6"/>
        <v>, zoneIds={126,931,383}, veteran=false</v>
      </c>
      <c r="BG12" s="21" t="str">
        <f t="shared" si="7"/>
        <v>, setType=LIBSETS_SETTYPE_DUNGEON</v>
      </c>
      <c r="BH12" s="21" t="str">
        <f t="shared" si="8"/>
        <v>, dropMechanic={LIBSETS_DROP_MECHANIC_GROUP_DUNGEON_BOSS,LIBSETS_DROP_MECHANIC_GROUP_DUNGEON_BOSS}</v>
      </c>
      <c r="BI12" s="21" t="str">
        <f t="shared" si="9"/>
        <v>}, --Barkskin / Borkenhaut   [Elden Hollow I, Elden Hollow II, Grahtwood]</v>
      </c>
    </row>
    <row r="13" spans="1:61" x14ac:dyDescent="0.25">
      <c r="A13" s="12">
        <v>29</v>
      </c>
      <c r="B13" t="s">
        <v>744</v>
      </c>
      <c r="C13" t="s">
        <v>2537</v>
      </c>
      <c r="D13" s="3">
        <f t="shared" si="0"/>
        <v>29</v>
      </c>
      <c r="G13" s="8" t="s">
        <v>1473</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constants'!$B$4:$C$1012,2,FALSE),"")</f>
        <v>Included in base game</v>
      </c>
      <c r="V13" s="89" t="s">
        <v>3285</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constants'!$A$5:$D$10001,4,FALSE),"")</f>
        <v>Wayrest Sewers II</v>
      </c>
      <c r="AB13" s="33" t="s">
        <v>3285</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constants'!$A$5:$D$10001,4,FALSE),"")</f>
        <v>Stormhaven</v>
      </c>
      <c r="AH13" s="89"/>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8" t="s">
        <v>2654</v>
      </c>
      <c r="BA13" s="78"/>
      <c r="BB13" s="78"/>
      <c r="BC13" s="78"/>
      <c r="BD13" s="78"/>
      <c r="BE13" s="21" t="str">
        <f t="shared" si="5"/>
        <v>[29] = {wayshrines={189,189,189,}, dlcId=DLC_BASE_GAME</v>
      </c>
      <c r="BF13" s="21" t="str">
        <f t="shared" si="6"/>
        <v>, zoneIds={146,933,19}, veteran=false</v>
      </c>
      <c r="BG13" s="21" t="str">
        <f t="shared" si="7"/>
        <v>, setType=LIBSETS_SETTYPE_DUNGEON</v>
      </c>
      <c r="BH13" s="21" t="str">
        <f t="shared" si="8"/>
        <v>, isProcSetAllowedInPvP=1, dropMechanic={LIBSETS_DROP_MECHANIC_GROUP_DUNGEON_BOSS,LIBSETS_DROP_MECHANIC_GROUP_DUNGEON_BOSS}</v>
      </c>
      <c r="BI13" s="21" t="str">
        <f t="shared" si="9"/>
        <v>}, --Sergeant\'s Mail / Rüstung des Feldwebels   [Wayrest Sewers I, Wayrest Sewers II, Stormhaven]</v>
      </c>
    </row>
    <row r="14" spans="1:61" s="14" customFormat="1" x14ac:dyDescent="0.25">
      <c r="A14" s="12">
        <v>30</v>
      </c>
      <c r="B14" t="s">
        <v>745</v>
      </c>
      <c r="C14" t="s">
        <v>2538</v>
      </c>
      <c r="D14" s="3">
        <f t="shared" si="0"/>
        <v>30</v>
      </c>
      <c r="E14" s="40"/>
      <c r="F14"/>
      <c r="G14" s="8" t="s">
        <v>1476</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constants'!$B$4:$C$1012,2,FALSE),"")</f>
        <v>Included in base game</v>
      </c>
      <c r="V14" s="89" t="s">
        <v>1554</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constants'!$A$5:$D$10001,4,FALSE),"")</f>
        <v>Malabal Tor</v>
      </c>
      <c r="AB14" s="33" t="s">
        <v>1555</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constants'!$A$5:$D$10001,4,FALSE),"")</f>
        <v>Crimson Cove</v>
      </c>
      <c r="AH14" s="42" t="s">
        <v>1556</v>
      </c>
      <c r="AI14" s="41"/>
      <c r="AJ14" s="41"/>
      <c r="AK14" s="3">
        <f>IF(AND(G14&lt;&gt;"LIBSETS_SETTYPE_BATTLEGROUND",G14&lt;&gt;"LIBSETS_SETTYPE_SPECIAL"),IF(AL14&lt;&gt;"",VLOOKUP(AL14,'ESO zone constants'!$D$5:$H$4955,5,FALSE),""),"")</f>
        <v>58</v>
      </c>
      <c r="AL14" t="s">
        <v>108</v>
      </c>
      <c r="AM14" s="33" t="s">
        <v>1557</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8" t="s">
        <v>2653</v>
      </c>
      <c r="BA14" s="78"/>
      <c r="BB14" s="78"/>
      <c r="BC14" s="78"/>
      <c r="BD14" s="78"/>
      <c r="BE14" s="21" t="str">
        <f t="shared" si="5"/>
        <v>[30] = {wayshrines={102,102,102,}, dlcId=DLC_BASE_GAME</v>
      </c>
      <c r="BF14" s="21" t="str">
        <f t="shared" si="6"/>
        <v>, zoneIds={58,58,138,58}, veteran=false</v>
      </c>
      <c r="BG14" s="21" t="str">
        <f t="shared" si="7"/>
        <v>, setType=LIBSETS_SETTYPE_OVERLAND</v>
      </c>
      <c r="BH14" s="21" t="str">
        <f t="shared" si="8"/>
        <v>, dropMechanic={LIBSETS_DROP_MECHANIC_OVERLAND_BOSS_DELVE,LIBSETS_DROP_MECHANIC_OVERLAND_WORLDBOSS,LIBSETS_DROP_MECHANIC_OVERLAND_BOSS_PUBLIC_DUNGEON,LIBSETS_DROP_MECHANIC_OVERLAND_CHEST}</v>
      </c>
      <c r="BI14" s="21" t="str">
        <f t="shared" si="9"/>
        <v>}, --Thunderbug\'s Carapace / Donnerkäferpanzer   [Malabal Tor, Malabal Tor, Crimson Cove, Malabal Tor]</v>
      </c>
    </row>
    <row r="15" spans="1:61" x14ac:dyDescent="0.25">
      <c r="A15" s="12">
        <v>31</v>
      </c>
      <c r="B15" t="s">
        <v>746</v>
      </c>
      <c r="C15" t="s">
        <v>747</v>
      </c>
      <c r="D15" s="3">
        <f t="shared" si="0"/>
        <v>31</v>
      </c>
      <c r="E15" s="40"/>
      <c r="G15" s="8" t="s">
        <v>1476</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constants'!$B$4:$C$1012,2,FALSE),"")</f>
        <v>Included in base game</v>
      </c>
      <c r="V15" s="89" t="s">
        <v>1554</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constants'!$A$5:$D$10001,4,FALSE),"")</f>
        <v>Stonefalls</v>
      </c>
      <c r="AB15" s="33" t="s">
        <v>1555</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constants'!$A$5:$D$10001,4,FALSE),"")</f>
        <v>Crow's Wood</v>
      </c>
      <c r="AH15" s="42" t="s">
        <v>1556</v>
      </c>
      <c r="AI15" s="41"/>
      <c r="AJ15" s="41"/>
      <c r="AK15" s="3">
        <f>IF(AND(G15&lt;&gt;"LIBSETS_SETTYPE_BATTLEGROUND",G15&lt;&gt;"LIBSETS_SETTYPE_SPECIAL"),IF(AL15&lt;&gt;"",VLOOKUP(AL15,'ESO zone constants'!$D$5:$H$4955,5,FALSE),""),"")</f>
        <v>41</v>
      </c>
      <c r="AL15" t="s">
        <v>106</v>
      </c>
      <c r="AM15" s="33" t="s">
        <v>1557</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8" t="s">
        <v>2654</v>
      </c>
      <c r="BA15" s="78"/>
      <c r="BB15" s="78"/>
      <c r="BC15" s="78"/>
      <c r="BD15" s="78"/>
      <c r="BE15" s="21" t="str">
        <f t="shared" si="5"/>
        <v>[31] = {wayshrines={65,65,65,}, dlcId=DLC_BASE_GAME</v>
      </c>
      <c r="BF15" s="21" t="str">
        <f t="shared" si="6"/>
        <v>, zoneIds={41,41,216,41}, veteran=false</v>
      </c>
      <c r="BG15" s="21" t="str">
        <f t="shared" si="7"/>
        <v>, setType=LIBSETS_SETTYPE_OVERLAND</v>
      </c>
      <c r="BH15" s="21" t="str">
        <f t="shared" si="8"/>
        <v>, isProcSetAllowedInPvP=1, dropMechanic={LIBSETS_DROP_MECHANIC_OVERLAND_BOSS_DELVE,LIBSETS_DROP_MECHANIC_OVERLAND_WORLDBOSS,LIBSETS_DROP_MECHANIC_OVERLAND_BOSS_PUBLIC_DUNGEON,LIBSETS_DROP_MECHANIC_OVERLAND_CHEST}</v>
      </c>
      <c r="BI15" s="21" t="str">
        <f t="shared" si="9"/>
        <v>}, --Silks of the Sun / Sonnenseide   [Stonefalls, Stonefalls, Crow's Wood, Stonefalls]</v>
      </c>
    </row>
    <row r="16" spans="1:61" x14ac:dyDescent="0.25">
      <c r="A16" s="12">
        <v>32</v>
      </c>
      <c r="B16" t="s">
        <v>748</v>
      </c>
      <c r="C16" t="s">
        <v>2539</v>
      </c>
      <c r="D16" s="3">
        <f t="shared" si="0"/>
        <v>32</v>
      </c>
      <c r="G16" s="8" t="s">
        <v>1468</v>
      </c>
      <c r="I16" t="s">
        <v>91</v>
      </c>
      <c r="J16" t="s">
        <v>91</v>
      </c>
      <c r="K16">
        <v>270</v>
      </c>
      <c r="L16">
        <v>270</v>
      </c>
      <c r="M16">
        <v>270</v>
      </c>
      <c r="O16" s="61" t="s">
        <v>439</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constants'!$B$4:$C$1012,2,FALSE),"")</f>
        <v>Clockwork City</v>
      </c>
      <c r="V16" s="89" t="s">
        <v>1550</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constants'!$A$5:$D$10001,4,FALSE),"")</f>
        <v>Craglorn</v>
      </c>
      <c r="AB16" s="33" t="s">
        <v>1550</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8" t="s">
        <v>2653</v>
      </c>
      <c r="BA16" s="78"/>
      <c r="BB16" s="78"/>
      <c r="BC16" s="78"/>
      <c r="BD16" s="78"/>
      <c r="BE16" s="21" t="str">
        <f t="shared" si="5"/>
        <v>[32] = {wayshrines={270,270,270,}, dlcId=DLC_CLOCKWORK_CITY</v>
      </c>
      <c r="BF16" s="21" t="str">
        <f t="shared" si="6"/>
        <v>, zoneIds={635,888,888}, veteran=false</v>
      </c>
      <c r="BG16" s="21" t="str">
        <f t="shared" si="7"/>
        <v>, setType=LIBSETS_SETTYPE_ARENA</v>
      </c>
      <c r="BH16" s="21" t="str">
        <f t="shared" si="8"/>
        <v>, dropMechanic={LIBSETS_DROP_MECHANIC_ARENA_STAGE_CHEST,LIBSETS_DROP_MECHANIC_ARENA_STAGE_CHEST}</v>
      </c>
      <c r="BI16" s="21" t="str">
        <f t="shared" si="9"/>
        <v>}, --Healer\'s Habit / Bräuche des Heilers   [Dragonstar Arena, Craglorn, Craglorn]</v>
      </c>
    </row>
    <row r="17" spans="1:61" x14ac:dyDescent="0.25">
      <c r="A17" s="12">
        <v>33</v>
      </c>
      <c r="B17" t="s">
        <v>749</v>
      </c>
      <c r="C17" t="s">
        <v>2540</v>
      </c>
      <c r="D17" s="3">
        <f t="shared" si="0"/>
        <v>33</v>
      </c>
      <c r="G17" s="8" t="s">
        <v>1473</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constants'!$B$4:$C$1012,2,FALSE),"")</f>
        <v>Included in base game</v>
      </c>
      <c r="V17" s="89" t="s">
        <v>3285</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constants'!$A$5:$D$10001,4,FALSE),"")</f>
        <v>Fungal Grotto II</v>
      </c>
      <c r="AB17" s="33" t="s">
        <v>3285</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constants'!$A$5:$D$10001,4,FALSE),"")</f>
        <v>Stonefalls</v>
      </c>
      <c r="AH17" s="89"/>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8" t="s">
        <v>2653</v>
      </c>
      <c r="BA17" s="78"/>
      <c r="BB17" s="78"/>
      <c r="BC17" s="78"/>
      <c r="BD17" s="78"/>
      <c r="BE17" s="21" t="str">
        <f t="shared" si="5"/>
        <v>[33] = {wayshrines={98,98,98,}, dlcId=DLC_BASE_GAME</v>
      </c>
      <c r="BF17" s="21" t="str">
        <f t="shared" si="6"/>
        <v>, zoneIds={283,934,41}, veteran=false</v>
      </c>
      <c r="BG17" s="21" t="str">
        <f t="shared" si="7"/>
        <v>, setType=LIBSETS_SETTYPE_DUNGEON</v>
      </c>
      <c r="BH17" s="21" t="str">
        <f t="shared" si="8"/>
        <v>, dropMechanic={LIBSETS_DROP_MECHANIC_GROUP_DUNGEON_BOSS,LIBSETS_DROP_MECHANIC_GROUP_DUNGEON_BOSS}</v>
      </c>
      <c r="BI17" s="21" t="str">
        <f t="shared" si="9"/>
        <v>}, --Viper\'s Sting / Vipernbiss   [Fungal Grotto I, Fungal Grotto II, Stonefalls]</v>
      </c>
    </row>
    <row r="18" spans="1:61" x14ac:dyDescent="0.25">
      <c r="A18" s="12">
        <v>34</v>
      </c>
      <c r="B18" t="s">
        <v>750</v>
      </c>
      <c r="C18" t="s">
        <v>2541</v>
      </c>
      <c r="D18" s="3">
        <f t="shared" si="0"/>
        <v>34</v>
      </c>
      <c r="E18" s="40"/>
      <c r="G18" s="8" t="s">
        <v>1476</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constants'!$B$4:$C$1012,2,FALSE),"")</f>
        <v>Included in base game</v>
      </c>
      <c r="V18" s="89" t="s">
        <v>1554</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constants'!$A$5:$D$10001,4,FALSE),"")</f>
        <v>Deshaan</v>
      </c>
      <c r="AB18" s="33" t="s">
        <v>1555</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constants'!$A$5:$D$10001,4,FALSE),"")</f>
        <v>Forgotten Crypts</v>
      </c>
      <c r="AH18" s="42" t="s">
        <v>1556</v>
      </c>
      <c r="AI18" s="41"/>
      <c r="AJ18" s="41"/>
      <c r="AK18" s="3">
        <f>IF(AND(G18&lt;&gt;"LIBSETS_SETTYPE_BATTLEGROUND",G18&lt;&gt;"LIBSETS_SETTYPE_SPECIAL"),IF(AL18&lt;&gt;"",VLOOKUP(AL18,'ESO zone constants'!$D$5:$H$4955,5,FALSE),""),"")</f>
        <v>57</v>
      </c>
      <c r="AL18" t="s">
        <v>107</v>
      </c>
      <c r="AM18" s="33" t="s">
        <v>1557</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8" t="s">
        <v>2654</v>
      </c>
      <c r="BA18" s="78"/>
      <c r="BB18" s="78"/>
      <c r="BC18" s="78"/>
      <c r="BD18" s="78"/>
      <c r="BE18" s="21" t="str">
        <f t="shared" si="5"/>
        <v>[34] = {wayshrines={28,28,28,}, dlcId=DLC_BASE_GAME</v>
      </c>
      <c r="BF18" s="21" t="str">
        <f t="shared" si="6"/>
        <v>, zoneIds={57,57,306,57}, veteran=false</v>
      </c>
      <c r="BG18" s="21" t="str">
        <f t="shared" si="7"/>
        <v>, setType=LIBSETS_SETTYPE_OVERLAND</v>
      </c>
      <c r="BH18" s="21" t="str">
        <f t="shared" si="8"/>
        <v>, isProcSetAllowedInPvP=1, dropMechanic={LIBSETS_DROP_MECHANIC_OVERLAND_BOSS_DELVE,LIBSETS_DROP_MECHANIC_OVERLAND_WORLDBOSS,LIBSETS_DROP_MECHANIC_OVERLAND_BOSS_PUBLIC_DUNGEON,LIBSETS_DROP_MECHANIC_OVERLAND_CHEST}</v>
      </c>
      <c r="BI18" s="21" t="str">
        <f t="shared" si="9"/>
        <v>}, --Night Mother\'s Embrace / Umarmung der Mutter der Nacht   [Deshaan, Deshaan, Forgotten Crypts, Deshaan]</v>
      </c>
    </row>
    <row r="19" spans="1:61" x14ac:dyDescent="0.25">
      <c r="A19" s="12">
        <v>35</v>
      </c>
      <c r="B19" t="s">
        <v>751</v>
      </c>
      <c r="C19" t="s">
        <v>752</v>
      </c>
      <c r="D19" s="3">
        <f t="shared" si="0"/>
        <v>35</v>
      </c>
      <c r="G19" s="8" t="s">
        <v>1473</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constants'!$B$4:$C$1012,2,FALSE),"")</f>
        <v>Included in base game</v>
      </c>
      <c r="V19" s="89" t="s">
        <v>3285</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constants'!$A$5:$D$10001,4,FALSE),"")</f>
        <v>Spindleclutch II</v>
      </c>
      <c r="AB19" s="33" t="s">
        <v>3285</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constants'!$A$5:$D$10001,4,FALSE),"")</f>
        <v>Glenumbra</v>
      </c>
      <c r="AH19" s="89"/>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8" t="s">
        <v>2653</v>
      </c>
      <c r="BA19" s="78"/>
      <c r="BB19" s="78"/>
      <c r="BC19" s="78"/>
      <c r="BD19" s="78"/>
      <c r="BE19" s="21" t="str">
        <f t="shared" si="5"/>
        <v>[35] = {wayshrines={193,193,193,}, dlcId=DLC_BASE_GAME</v>
      </c>
      <c r="BF19" s="21" t="str">
        <f t="shared" si="6"/>
        <v>, zoneIds={144,936,3}, veteran=false</v>
      </c>
      <c r="BG19" s="21" t="str">
        <f t="shared" si="7"/>
        <v>, setType=LIBSETS_SETTYPE_DUNGEON</v>
      </c>
      <c r="BH19" s="21" t="str">
        <f t="shared" si="8"/>
        <v>, dropMechanic={LIBSETS_DROP_MECHANIC_GROUP_DUNGEON_BOSS,LIBSETS_DROP_MECHANIC_GROUP_DUNGEON_BOSS}</v>
      </c>
      <c r="BI19" s="21" t="str">
        <f t="shared" si="9"/>
        <v>}, --Knightmare / Albtraumritter   [Spindleclutch I, Spindleclutch II, Glenumbra]</v>
      </c>
    </row>
    <row r="20" spans="1:61" x14ac:dyDescent="0.25">
      <c r="A20" s="12">
        <v>36</v>
      </c>
      <c r="B20" t="s">
        <v>753</v>
      </c>
      <c r="C20" t="s">
        <v>754</v>
      </c>
      <c r="D20" s="3">
        <f t="shared" si="0"/>
        <v>36</v>
      </c>
      <c r="E20" s="40"/>
      <c r="G20" s="8" t="s">
        <v>1476</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constants'!$B$4:$C$1012,2,FALSE),"")</f>
        <v>Included in base game</v>
      </c>
      <c r="V20" s="89" t="s">
        <v>1554</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constants'!$A$5:$D$10001,4,FALSE),"")</f>
        <v>Auridon</v>
      </c>
      <c r="AB20" s="33" t="s">
        <v>1555</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constants'!$A$5:$D$10001,4,FALSE),"")</f>
        <v>Toothmaul Gully</v>
      </c>
      <c r="AH20" s="42" t="s">
        <v>1556</v>
      </c>
      <c r="AI20" s="41"/>
      <c r="AJ20" s="41"/>
      <c r="AK20" s="3">
        <f>IF(AND(G20&lt;&gt;"LIBSETS_SETTYPE_BATTLEGROUND",G20&lt;&gt;"LIBSETS_SETTYPE_SPECIAL"),IF(AL20&lt;&gt;"",VLOOKUP(AL20,'ESO zone constants'!$D$5:$H$4955,5,FALSE),""),"")</f>
        <v>381</v>
      </c>
      <c r="AL20" t="s">
        <v>262</v>
      </c>
      <c r="AM20" s="33" t="s">
        <v>1557</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8" t="s">
        <v>2653</v>
      </c>
      <c r="BA20" s="78"/>
      <c r="BB20" s="78"/>
      <c r="BC20" s="78"/>
      <c r="BD20" s="78"/>
      <c r="BE20" s="21" t="str">
        <f t="shared" si="5"/>
        <v>[36] = {wayshrines={121,121,121,}, dlcId=DLC_BASE_GAME</v>
      </c>
      <c r="BF20" s="21" t="str">
        <f t="shared" si="6"/>
        <v>, zoneIds={381,381,486,381}, veteran=false</v>
      </c>
      <c r="BG20" s="21" t="str">
        <f t="shared" si="7"/>
        <v>, setType=LIBSETS_SETTYPE_OVERLAND</v>
      </c>
      <c r="BH20" s="21" t="str">
        <f t="shared" si="8"/>
        <v>, dropMechanic={LIBSETS_DROP_MECHANIC_OVERLAND_BOSS_DELVE,LIBSETS_DROP_MECHANIC_OVERLAND_WORLDBOSS,LIBSETS_DROP_MECHANIC_OVERLAND_BOSS_PUBLIC_DUNGEON,LIBSETS_DROP_MECHANIC_OVERLAND_CHEST}</v>
      </c>
      <c r="BI20" s="21" t="str">
        <f t="shared" si="9"/>
        <v>}, --Armor of the Veiled Heritance / Rüstung des Schleiererbes   [Auridon, Auridon, Toothmaul Gully, Auridon]</v>
      </c>
    </row>
    <row r="21" spans="1:61" x14ac:dyDescent="0.25">
      <c r="A21" s="5">
        <v>37</v>
      </c>
      <c r="B21" t="s">
        <v>2773</v>
      </c>
      <c r="C21" t="s">
        <v>2542</v>
      </c>
      <c r="D21" s="3">
        <f t="shared" si="0"/>
        <v>37</v>
      </c>
      <c r="G21" s="8" t="s">
        <v>1470</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constants'!$B$4:$C$1012,2,FALSE),"")</f>
        <v>Included in base game</v>
      </c>
      <c r="V21" s="33" t="s">
        <v>3288</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constants'!$A$5:$D$10001,4,FALSE),"")</f>
        <v>Auridon</v>
      </c>
      <c r="AB21" s="33" t="s">
        <v>3288</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constants'!$A$5:$D$10001,4,FALSE),"")</f>
        <v>Stonefalls</v>
      </c>
      <c r="AH21" s="33" t="s">
        <v>3288</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8" t="s">
        <v>2653</v>
      </c>
      <c r="BA21" s="78"/>
      <c r="BB21" s="78"/>
      <c r="BC21" s="78"/>
      <c r="BD21" s="78"/>
      <c r="BE21" s="21" t="str">
        <f t="shared" si="5"/>
        <v>[37] = {wayshrines={1,177,71,}, traitsNeeded=2, dlcId=DLC_BASE_GAME</v>
      </c>
      <c r="BF21" s="21" t="str">
        <f t="shared" si="6"/>
        <v>, zoneIds={3,381,41}, veteran=false</v>
      </c>
      <c r="BG21" s="21" t="str">
        <f t="shared" si="7"/>
        <v>, setType=LIBSETS_SETTYPE_CRAFTED</v>
      </c>
      <c r="BH21" s="21" t="str">
        <f t="shared" si="8"/>
        <v>, dropMechanic={LIBSETS_DROP_MECHANIC_CRAFTED,LIBSETS_DROP_MECHANIC_CRAFTED,LIBSETS_DROP_MECHANIC_CRAFTED}</v>
      </c>
      <c r="BI21" s="21" t="str">
        <f t="shared" si="9"/>
        <v>}, --Death\'s Wind / Todeswind   [Glenumbra, Auridon, Stonefalls]</v>
      </c>
    </row>
    <row r="22" spans="1:61" x14ac:dyDescent="0.25">
      <c r="A22" s="5">
        <v>38</v>
      </c>
      <c r="B22" t="s">
        <v>2774</v>
      </c>
      <c r="C22" t="s">
        <v>2543</v>
      </c>
      <c r="D22" s="3">
        <f t="shared" si="0"/>
        <v>38</v>
      </c>
      <c r="G22" s="8" t="s">
        <v>1470</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constants'!$B$4:$C$1012,2,FALSE),"")</f>
        <v>Included in base game</v>
      </c>
      <c r="V22" s="33" t="s">
        <v>3288</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constants'!$A$5:$D$10001,4,FALSE),"")</f>
        <v>Grahtwood</v>
      </c>
      <c r="AB22" s="33" t="s">
        <v>3288</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constants'!$A$5:$D$10001,4,FALSE),"")</f>
        <v>Deshaan</v>
      </c>
      <c r="AH22" s="33" t="s">
        <v>3288</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8" t="s">
        <v>2654</v>
      </c>
      <c r="BA22" s="78"/>
      <c r="BB22" s="78"/>
      <c r="BC22" s="78"/>
      <c r="BD22" s="78"/>
      <c r="BE22" s="21" t="str">
        <f t="shared" si="5"/>
        <v>[38] = {wayshrines={15,169,205,}, traitsNeeded=3, dlcId=DLC_BASE_GAME</v>
      </c>
      <c r="BF22" s="21" t="str">
        <f t="shared" si="6"/>
        <v>, zoneIds={19,383,57}, veteran=false</v>
      </c>
      <c r="BG22" s="21" t="str">
        <f t="shared" si="7"/>
        <v>, setType=LIBSETS_SETTYPE_CRAFTED</v>
      </c>
      <c r="BH22" s="21" t="str">
        <f t="shared" si="8"/>
        <v>, isProcSetAllowedInPvP=1, dropMechanic={LIBSETS_DROP_MECHANIC_CRAFTED,LIBSETS_DROP_MECHANIC_CRAFTED,LIBSETS_DROP_MECHANIC_CRAFTED}</v>
      </c>
      <c r="BI22" s="21" t="str">
        <f t="shared" si="9"/>
        <v>}, --Twilight\'s Embrace / Zwielichtkuss   [Stormhaven, Grahtwood, Deshaan]</v>
      </c>
    </row>
    <row r="23" spans="1:61" x14ac:dyDescent="0.25">
      <c r="A23" s="12">
        <v>39</v>
      </c>
      <c r="B23" t="s">
        <v>755</v>
      </c>
      <c r="C23" t="s">
        <v>756</v>
      </c>
      <c r="D23" s="3">
        <f t="shared" si="0"/>
        <v>39</v>
      </c>
      <c r="E23" s="40"/>
      <c r="G23" s="8" t="s">
        <v>1471</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constants'!$B$4:$C$1012,2,FALSE),"")</f>
        <v>Included in base game</v>
      </c>
      <c r="V23" s="33" t="s">
        <v>1529</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constants'!$A$5:$D$10001,4,FALSE),"")</f>
        <v>Cyrodiil</v>
      </c>
      <c r="AB23" s="33" t="s">
        <v>3737</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constants'!$A$5:$D$10001,4,FALSE),"")</f>
        <v>Cyrodiil</v>
      </c>
      <c r="AH23" s="33" t="s">
        <v>2765</v>
      </c>
      <c r="AK23" s="3">
        <f>IF(AND(G23&lt;&gt;"LIBSETS_SETTYPE_BATTLEGROUND",G23&lt;&gt;"LIBSETS_SETTYPE_SPECIAL"),IF(AL23&lt;&gt;"",VLOOKUP(AL23,'ESO zone constants'!$D$5:$H$4955,5,FALSE),""),"")</f>
        <v>181</v>
      </c>
      <c r="AL23" t="s">
        <v>125</v>
      </c>
      <c r="AM23" s="33" t="s">
        <v>3740</v>
      </c>
      <c r="AP23" s="3">
        <f>IF(AND(G23&lt;&gt;"LIBSETS_SETTYPE_BATTLEGROUND",G23&lt;&gt;"LIBSETS_SETTYPE_SPECIAL"),IF(AQ23&lt;&gt;"",VLOOKUP(AQ23,'ESO zone constants'!$D$5:$H$4955,5,FALSE),""),"")</f>
        <v>181</v>
      </c>
      <c r="AQ23" t="s">
        <v>125</v>
      </c>
      <c r="AR23" s="33" t="s">
        <v>1554</v>
      </c>
      <c r="AU23" s="3">
        <f>IF(AND(G23&lt;&gt;"LIBSETS_SETTYPE_BATTLEGROUND",G23&lt;&gt;"LIBSETS_SETTYPE_SPECIAL"),IF(AV23&lt;&gt;"",VLOOKUP(AV23,'ESO zone constants'!$D$5:$H$4955,5,FALSE),""),"")</f>
        <v>181</v>
      </c>
      <c r="AV23" t="s">
        <v>125</v>
      </c>
      <c r="AW23" s="33" t="s">
        <v>3236</v>
      </c>
      <c r="AZ23" s="78" t="s">
        <v>2653</v>
      </c>
      <c r="BA23" s="78"/>
      <c r="BB23" s="78"/>
      <c r="BC23" s="78"/>
      <c r="BD23" s="78"/>
      <c r="BE23" s="21" t="str">
        <f t="shared" si="5"/>
        <v>[39] = {wayshrines={-1,-1,-1,}, dlcId=DLC_BASE_GAME</v>
      </c>
      <c r="BF23" s="21" t="str">
        <f t="shared" si="6"/>
        <v>, zoneIds={181,181,181,181,181,181}, veteran=false</v>
      </c>
      <c r="BG23" s="21" t="str">
        <f t="shared" si="7"/>
        <v>, setType=LIBSETS_SETTYPE_CYRODIIL</v>
      </c>
      <c r="BH23"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 t="shared" si="9"/>
        <v>}, --Alessian Order / Alessianischer Orden   [Cyrodiil, Cyrodiil, Cyrodiil, Cyrodiil, Cyrodiil, Cyrodiil]</v>
      </c>
    </row>
    <row r="24" spans="1:61" x14ac:dyDescent="0.25">
      <c r="A24" s="5">
        <v>40</v>
      </c>
      <c r="B24" t="s">
        <v>2775</v>
      </c>
      <c r="C24" t="s">
        <v>2544</v>
      </c>
      <c r="D24" s="3">
        <f t="shared" si="0"/>
        <v>40</v>
      </c>
      <c r="G24" s="8" t="s">
        <v>1470</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constants'!$B$4:$C$1012,2,FALSE),"")</f>
        <v>Included in base game</v>
      </c>
      <c r="V24" s="33" t="s">
        <v>3288</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constants'!$A$5:$D$10001,4,FALSE),"")</f>
        <v>Auridon</v>
      </c>
      <c r="AB24" s="33" t="s">
        <v>3288</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constants'!$A$5:$D$10001,4,FALSE),"")</f>
        <v>Stonefalls</v>
      </c>
      <c r="AH24" s="33" t="s">
        <v>3288</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8" t="s">
        <v>2653</v>
      </c>
      <c r="BA24" s="78"/>
      <c r="BB24" s="78"/>
      <c r="BC24" s="78"/>
      <c r="BD24" s="78"/>
      <c r="BE24" s="21" t="str">
        <f t="shared" si="5"/>
        <v>[40] = {wayshrines={216,121,65,}, traitsNeeded=2, dlcId=DLC_BASE_GAME</v>
      </c>
      <c r="BF24" s="21" t="str">
        <f t="shared" si="6"/>
        <v>, zoneIds={3,381,41}, veteran=false</v>
      </c>
      <c r="BG24" s="21" t="str">
        <f t="shared" si="7"/>
        <v>, setType=LIBSETS_SETTYPE_CRAFTED</v>
      </c>
      <c r="BH24" s="21" t="str">
        <f t="shared" si="8"/>
        <v>, dropMechanic={LIBSETS_DROP_MECHANIC_CRAFTED,LIBSETS_DROP_MECHANIC_CRAFTED,LIBSETS_DROP_MECHANIC_CRAFTED}</v>
      </c>
      <c r="BI24" s="21" t="str">
        <f t="shared" si="9"/>
        <v>}, --Night\'s Silence / Stille der Nacht   [Glenumbra, Auridon, Stonefalls]</v>
      </c>
    </row>
    <row r="25" spans="1:61" x14ac:dyDescent="0.25">
      <c r="A25" s="5">
        <v>41</v>
      </c>
      <c r="B25" t="s">
        <v>2776</v>
      </c>
      <c r="C25" t="s">
        <v>2545</v>
      </c>
      <c r="D25" s="3">
        <f t="shared" si="0"/>
        <v>41</v>
      </c>
      <c r="G25" s="8" t="s">
        <v>1470</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constants'!$B$4:$C$1012,2,FALSE),"")</f>
        <v>Included in base game</v>
      </c>
      <c r="V25" s="33" t="s">
        <v>3288</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constants'!$A$5:$D$10001,4,FALSE),"")</f>
        <v>Greenshade</v>
      </c>
      <c r="AB25" s="33" t="s">
        <v>3288</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constants'!$A$5:$D$10001,4,FALSE),"")</f>
        <v>Shadowfen</v>
      </c>
      <c r="AH25" s="33" t="s">
        <v>3288</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8" t="s">
        <v>2653</v>
      </c>
      <c r="BA25" s="78"/>
      <c r="BB25" s="78"/>
      <c r="BC25" s="78"/>
      <c r="BD25" s="78"/>
      <c r="BE25" s="21" t="str">
        <f t="shared" si="5"/>
        <v>[41] = {wayshrines={82,151,78,}, traitsNeeded=4, dlcId=DLC_BASE_GAME</v>
      </c>
      <c r="BF25" s="21" t="str">
        <f t="shared" si="6"/>
        <v>, zoneIds={20,108,117}, veteran=false</v>
      </c>
      <c r="BG25" s="21" t="str">
        <f t="shared" si="7"/>
        <v>, setType=LIBSETS_SETTYPE_CRAFTED</v>
      </c>
      <c r="BH25" s="21" t="str">
        <f t="shared" si="8"/>
        <v>, dropMechanic={LIBSETS_DROP_MECHANIC_CRAFTED,LIBSETS_DROP_MECHANIC_CRAFTED,LIBSETS_DROP_MECHANIC_CRAFTED}</v>
      </c>
      <c r="BI25" s="21" t="str">
        <f t="shared" si="9"/>
        <v>}, --Whitestrake\'s Retribution / Weißplankes Vergeltung   [Rivenspire, Greenshade, Shadowfen]</v>
      </c>
    </row>
    <row r="26" spans="1:61" x14ac:dyDescent="0.25">
      <c r="A26" s="5">
        <v>43</v>
      </c>
      <c r="B26" t="s">
        <v>2777</v>
      </c>
      <c r="C26" t="s">
        <v>757</v>
      </c>
      <c r="D26" s="3">
        <f t="shared" si="0"/>
        <v>43</v>
      </c>
      <c r="G26" s="8" t="s">
        <v>1470</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constants'!$B$4:$C$1012,2,FALSE),"")</f>
        <v>Included in base game</v>
      </c>
      <c r="V26" s="33" t="s">
        <v>3288</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constants'!$A$5:$D$10001,4,FALSE),"")</f>
        <v>Grahtwood</v>
      </c>
      <c r="AB26" s="33" t="s">
        <v>3288</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constants'!$A$5:$D$10001,4,FALSE),"")</f>
        <v>Deshaan</v>
      </c>
      <c r="AH26" s="33" t="s">
        <v>3288</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8" t="s">
        <v>2654</v>
      </c>
      <c r="BA26" s="78"/>
      <c r="BB26" s="78"/>
      <c r="BC26" s="78"/>
      <c r="BD26" s="78"/>
      <c r="BE26" s="21" t="str">
        <f t="shared" si="5"/>
        <v>[43] = {wayshrines={23,164,32,}, traitsNeeded=3, dlcId=DLC_BASE_GAME</v>
      </c>
      <c r="BF26" s="21" t="str">
        <f t="shared" si="6"/>
        <v>, zoneIds={19,383,57}, veteran=false</v>
      </c>
      <c r="BG26" s="21" t="str">
        <f t="shared" si="7"/>
        <v>, setType=LIBSETS_SETTYPE_CRAFTED</v>
      </c>
      <c r="BH26" s="21" t="str">
        <f t="shared" si="8"/>
        <v>, isProcSetAllowedInPvP=1, dropMechanic={LIBSETS_DROP_MECHANIC_CRAFTED,LIBSETS_DROP_MECHANIC_CRAFTED,LIBSETS_DROP_MECHANIC_CRAFTED}</v>
      </c>
      <c r="BI26" s="21" t="str">
        <f t="shared" si="9"/>
        <v>}, --Armor of the Seducer / Rüstung der Verführung   [Stormhaven, Grahtwood, Deshaan]</v>
      </c>
    </row>
    <row r="27" spans="1:61" x14ac:dyDescent="0.25">
      <c r="A27" s="5">
        <v>44</v>
      </c>
      <c r="B27" t="s">
        <v>2778</v>
      </c>
      <c r="C27" t="s">
        <v>2546</v>
      </c>
      <c r="D27" s="3">
        <f t="shared" si="0"/>
        <v>44</v>
      </c>
      <c r="G27" s="8" t="s">
        <v>1470</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constants'!$B$4:$C$1012,2,FALSE),"")</f>
        <v>Included in base game</v>
      </c>
      <c r="V27" s="33" t="s">
        <v>3288</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constants'!$A$5:$D$10001,4,FALSE),"")</f>
        <v>Malabal Tor</v>
      </c>
      <c r="AB27" s="33" t="s">
        <v>3288</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constants'!$A$5:$D$10001,4,FALSE),"")</f>
        <v>Eastmarch</v>
      </c>
      <c r="AH27" s="33" t="s">
        <v>3288</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8" t="s">
        <v>2653</v>
      </c>
      <c r="BA27" s="78"/>
      <c r="BB27" s="78"/>
      <c r="BC27" s="78"/>
      <c r="BD27" s="78"/>
      <c r="BE27" s="21" t="str">
        <f t="shared" si="5"/>
        <v>[44] = {wayshrines={58,101,93,}, traitsNeeded=5, dlcId=DLC_BASE_GAME</v>
      </c>
      <c r="BF27" s="21" t="str">
        <f t="shared" si="6"/>
        <v>, zoneIds={104,58,101}, veteran=false</v>
      </c>
      <c r="BG27" s="21" t="str">
        <f t="shared" si="7"/>
        <v>, setType=LIBSETS_SETTYPE_CRAFTED</v>
      </c>
      <c r="BH27" s="21" t="str">
        <f t="shared" si="8"/>
        <v>, dropMechanic={LIBSETS_DROP_MECHANIC_CRAFTED,LIBSETS_DROP_MECHANIC_CRAFTED,LIBSETS_DROP_MECHANIC_CRAFTED}</v>
      </c>
      <c r="BI27" s="21" t="str">
        <f t="shared" si="9"/>
        <v>}, --Vampire\'s Kiss / Kuss des Vampirs   [Alik'r Desert, Malabal Tor, Eastmarch]</v>
      </c>
    </row>
    <row r="28" spans="1:61" x14ac:dyDescent="0.25">
      <c r="A28" s="12">
        <v>46</v>
      </c>
      <c r="B28" t="s">
        <v>758</v>
      </c>
      <c r="C28" t="s">
        <v>2547</v>
      </c>
      <c r="D28" s="3">
        <f t="shared" si="0"/>
        <v>46</v>
      </c>
      <c r="E28" s="40"/>
      <c r="G28" s="8" t="s">
        <v>1473</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constants'!$B$4:$C$1012,2,FALSE),"")</f>
        <v>Included in base game</v>
      </c>
      <c r="V28" s="33" t="s">
        <v>3285</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8" t="s">
        <v>2653</v>
      </c>
      <c r="BA28" s="78"/>
      <c r="BB28" s="78"/>
      <c r="BC28" s="78"/>
      <c r="BD28" s="78"/>
      <c r="BE28" s="21" t="str">
        <f t="shared" si="5"/>
        <v>[46] = {wayshrines={187,187,187,}, dlcId=DLC_BASE_GAME</v>
      </c>
      <c r="BF28" s="21" t="str">
        <f t="shared" si="6"/>
        <v>, zoneIds={64,103,103}, veteran=false</v>
      </c>
      <c r="BG28" s="21" t="str">
        <f t="shared" si="7"/>
        <v>, setType=LIBSETS_SETTYPE_DUNGEON</v>
      </c>
      <c r="BH28" s="21" t="str">
        <f t="shared" si="8"/>
        <v>, dropMechanic={LIBSETS_DROP_MECHANIC_GROUP_DUNGEON_BOSS}</v>
      </c>
      <c r="BI28" s="21" t="str">
        <f t="shared" si="9"/>
        <v>}, --Noble Duelist\'s Silks / Seide des edlen Duellanten   [Blessed Crucible, The Rift, The Rift]</v>
      </c>
    </row>
    <row r="29" spans="1:61" x14ac:dyDescent="0.25">
      <c r="A29" s="12">
        <v>47</v>
      </c>
      <c r="B29" t="s">
        <v>759</v>
      </c>
      <c r="C29" t="s">
        <v>760</v>
      </c>
      <c r="D29" s="3">
        <f t="shared" si="0"/>
        <v>47</v>
      </c>
      <c r="E29" s="40"/>
      <c r="G29" s="8" t="s">
        <v>1476</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constants'!$B$4:$C$1012,2,FALSE),"")</f>
        <v>Included in base game</v>
      </c>
      <c r="V29" s="33" t="s">
        <v>1554</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constants'!$A$5:$D$10001,4,FALSE),"")</f>
        <v>Alik'r Desert</v>
      </c>
      <c r="AB29" s="33" t="s">
        <v>1555</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constants'!$A$5:$D$10001,4,FALSE),"")</f>
        <v>Lost City of the Na-Totambu</v>
      </c>
      <c r="AH29" s="42" t="s">
        <v>1556</v>
      </c>
      <c r="AI29" s="41"/>
      <c r="AJ29" s="41"/>
      <c r="AK29" s="3">
        <f>IF(AND(G29&lt;&gt;"LIBSETS_SETTYPE_BATTLEGROUND",G29&lt;&gt;"LIBSETS_SETTYPE_SPECIAL"),IF(AL29&lt;&gt;"",VLOOKUP(AL29,'ESO zone constants'!$D$5:$H$4955,5,FALSE),""),"")</f>
        <v>104</v>
      </c>
      <c r="AL29" t="s">
        <v>112</v>
      </c>
      <c r="AM29" s="33" t="s">
        <v>1557</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8" t="s">
        <v>2653</v>
      </c>
      <c r="BA29" s="78"/>
      <c r="BB29" s="78"/>
      <c r="BC29" s="78"/>
      <c r="BD29" s="78"/>
      <c r="BE29" s="21" t="str">
        <f t="shared" si="5"/>
        <v>[47] = {wayshrines={61,61,61,}, dlcId=DLC_BASE_GAME</v>
      </c>
      <c r="BF29" s="21" t="str">
        <f t="shared" si="6"/>
        <v>, zoneIds={104,104,308,104}, veteran=false</v>
      </c>
      <c r="BG29" s="21" t="str">
        <f t="shared" si="7"/>
        <v>, setType=LIBSETS_SETTYPE_OVERLAND</v>
      </c>
      <c r="BH29" s="21" t="str">
        <f t="shared" si="8"/>
        <v>, dropMechanic={LIBSETS_DROP_MECHANIC_OVERLAND_BOSS_DELVE,LIBSETS_DROP_MECHANIC_OVERLAND_WORLDBOSS,LIBSETS_DROP_MECHANIC_OVERLAND_BOSS_PUBLIC_DUNGEON,LIBSETS_DROP_MECHANIC_OVERLAND_CHEST}</v>
      </c>
      <c r="BI29" s="21" t="str">
        <f t="shared" si="9"/>
        <v>}, --Robes of the Withered Hand / Roben der Verdorrten Hand   [Alik'r Desert, Alik'r Desert, Lost City of the Na-Totambu, Alik'r Desert]</v>
      </c>
    </row>
    <row r="30" spans="1:61" x14ac:dyDescent="0.25">
      <c r="A30" s="5">
        <v>48</v>
      </c>
      <c r="B30" t="s">
        <v>761</v>
      </c>
      <c r="C30" t="s">
        <v>2548</v>
      </c>
      <c r="D30" s="3">
        <f t="shared" si="0"/>
        <v>48</v>
      </c>
      <c r="G30" s="8" t="s">
        <v>1470</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constants'!$B$4:$C$1012,2,FALSE),"")</f>
        <v>Included in base game</v>
      </c>
      <c r="V30" s="33" t="s">
        <v>3288</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constants'!$A$5:$D$10001,4,FALSE),"")</f>
        <v>Greenshade</v>
      </c>
      <c r="AB30" s="33" t="s">
        <v>3288</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constants'!$A$5:$D$10001,4,FALSE),"")</f>
        <v>Shadowfen</v>
      </c>
      <c r="AH30" s="33" t="s">
        <v>3288</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8" t="s">
        <v>2653</v>
      </c>
      <c r="BA30" s="78"/>
      <c r="BB30" s="78"/>
      <c r="BC30" s="78"/>
      <c r="BD30" s="78"/>
      <c r="BE30" s="21" t="str">
        <f t="shared" si="5"/>
        <v>[48] = {wayshrines={13,148,48,}, traitsNeeded=4, dlcId=DLC_BASE_GAME</v>
      </c>
      <c r="BF30" s="21" t="str">
        <f t="shared" si="6"/>
        <v>, zoneIds={20,108,117}, veteran=false</v>
      </c>
      <c r="BG30" s="21" t="str">
        <f t="shared" si="7"/>
        <v>, setType=LIBSETS_SETTYPE_CRAFTED</v>
      </c>
      <c r="BH30" s="21" t="str">
        <f t="shared" si="8"/>
        <v>, dropMechanic={LIBSETS_DROP_MECHANIC_CRAFTED,LIBSETS_DROP_MECHANIC_CRAFTED,LIBSETS_DROP_MECHANIC_CRAFTED}</v>
      </c>
      <c r="BI30" s="21" t="str">
        <f t="shared" si="9"/>
        <v>}, --Magnus\' Gift / Magnus' Gabe   [Rivenspire, Greenshade, Shadowfen]</v>
      </c>
    </row>
    <row r="31" spans="1:61" x14ac:dyDescent="0.25">
      <c r="A31" s="12">
        <v>49</v>
      </c>
      <c r="B31" t="s">
        <v>762</v>
      </c>
      <c r="C31" t="s">
        <v>763</v>
      </c>
      <c r="D31" s="3">
        <f t="shared" si="0"/>
        <v>49</v>
      </c>
      <c r="G31" s="8" t="s">
        <v>1476</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constants'!$B$4:$C$1012,2,FALSE),"")</f>
        <v>Included in base game</v>
      </c>
      <c r="V31" s="33" t="s">
        <v>1554</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constants'!$A$5:$D$10001,4,FALSE),"")</f>
        <v>Stonefalls</v>
      </c>
      <c r="AB31" s="33" t="s">
        <v>1555</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constants'!$A$5:$D$10001,4,FALSE),"")</f>
        <v>Crow's Wood</v>
      </c>
      <c r="AH31" s="42" t="s">
        <v>1556</v>
      </c>
      <c r="AI31" s="41"/>
      <c r="AJ31" s="41"/>
      <c r="AK31" s="3">
        <f>IF(AND(G31&lt;&gt;"LIBSETS_SETTYPE_BATTLEGROUND",G31&lt;&gt;"LIBSETS_SETTYPE_SPECIAL"),IF(AL31&lt;&gt;"",VLOOKUP(AL31,'ESO zone constants'!$D$5:$H$4955,5,FALSE),""),"")</f>
        <v>41</v>
      </c>
      <c r="AL31" t="s">
        <v>106</v>
      </c>
      <c r="AM31" s="33" t="s">
        <v>1557</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8" t="s">
        <v>2653</v>
      </c>
      <c r="BA31" s="78"/>
      <c r="BB31" s="78"/>
      <c r="BC31" s="78"/>
      <c r="BD31" s="78"/>
      <c r="BE31" s="21" t="str">
        <f t="shared" si="5"/>
        <v>[49] = {wayshrines={65,65,65,}, dlcId=DLC_BASE_GAME</v>
      </c>
      <c r="BF31" s="21" t="str">
        <f t="shared" si="6"/>
        <v>, zoneIds={41,41,216,41}, veteran=false</v>
      </c>
      <c r="BG31" s="21" t="str">
        <f t="shared" si="7"/>
        <v>, setType=LIBSETS_SETTYPE_OVERLAND</v>
      </c>
      <c r="BH31" s="21" t="str">
        <f t="shared" si="8"/>
        <v>, dropMechanic={LIBSETS_DROP_MECHANIC_OVERLAND_BOSS_DELVE,LIBSETS_DROP_MECHANIC_OVERLAND_WORLDBOSS,LIBSETS_DROP_MECHANIC_OVERLAND_BOSS_PUBLIC_DUNGEON,LIBSETS_DROP_MECHANIC_OVERLAND_CHEST}</v>
      </c>
      <c r="BI31" s="21" t="str">
        <f t="shared" si="9"/>
        <v>}, --Shadow of the Red Mountain / Schatten des Roten Berges   [Stonefalls, Stonefalls, Crow's Wood, Stonefalls]</v>
      </c>
    </row>
    <row r="32" spans="1:61" x14ac:dyDescent="0.25">
      <c r="A32" s="12">
        <v>50</v>
      </c>
      <c r="B32" t="s">
        <v>764</v>
      </c>
      <c r="C32" t="s">
        <v>765</v>
      </c>
      <c r="D32" s="3">
        <f t="shared" si="0"/>
        <v>50</v>
      </c>
      <c r="E32" s="40"/>
      <c r="G32" s="8" t="s">
        <v>1471</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constants'!$B$4:$C$1012,2,FALSE),"")</f>
        <v>Included in base game</v>
      </c>
      <c r="V32" s="33" t="s">
        <v>1527</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constants'!$A$5:$D$10001,4,FALSE),"")</f>
        <v>Cyrodiil</v>
      </c>
      <c r="AB32" s="33" t="s">
        <v>3737</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constants'!$A$5:$D$10001,4,FALSE),"")</f>
        <v>Cyrodiil</v>
      </c>
      <c r="AH32" s="33" t="s">
        <v>2765</v>
      </c>
      <c r="AK32" s="3">
        <f>IF(AND(G32&lt;&gt;"LIBSETS_SETTYPE_BATTLEGROUND",G32&lt;&gt;"LIBSETS_SETTYPE_SPECIAL"),IF(AL32&lt;&gt;"",VLOOKUP(AL32,'ESO zone constants'!$D$5:$H$4955,5,FALSE),""),"")</f>
        <v>181</v>
      </c>
      <c r="AL32" t="s">
        <v>125</v>
      </c>
      <c r="AM32" s="33" t="s">
        <v>3740</v>
      </c>
      <c r="AP32" s="3">
        <f>IF(AND(G32&lt;&gt;"LIBSETS_SETTYPE_BATTLEGROUND",G32&lt;&gt;"LIBSETS_SETTYPE_SPECIAL"),IF(AQ32&lt;&gt;"",VLOOKUP(AQ32,'ESO zone constants'!$D$5:$H$4955,5,FALSE),""),"")</f>
        <v>181</v>
      </c>
      <c r="AQ32" t="s">
        <v>125</v>
      </c>
      <c r="AR32" s="33" t="s">
        <v>1554</v>
      </c>
      <c r="AU32" s="3">
        <f>IF(AND(G32&lt;&gt;"LIBSETS_SETTYPE_BATTLEGROUND",G32&lt;&gt;"LIBSETS_SETTYPE_SPECIAL"),IF(AV32&lt;&gt;"",VLOOKUP(AV32,'ESO zone constants'!$D$5:$H$4955,5,FALSE),""),"")</f>
        <v>181</v>
      </c>
      <c r="AV32" t="s">
        <v>125</v>
      </c>
      <c r="AW32" s="33" t="s">
        <v>3236</v>
      </c>
      <c r="AZ32" s="78" t="s">
        <v>2653</v>
      </c>
      <c r="BA32" s="78"/>
      <c r="BB32" s="78"/>
      <c r="BC32" s="78"/>
      <c r="BD32" s="78"/>
      <c r="BE32" s="21" t="str">
        <f t="shared" si="5"/>
        <v>[50] = {wayshrines={-1,-1,-1,}, dlcId=DLC_BASE_GAME</v>
      </c>
      <c r="BF32" s="21" t="str">
        <f t="shared" si="6"/>
        <v>, zoneIds={181,181,181,181,181,181}, veteran=false</v>
      </c>
      <c r="BG32" s="21" t="str">
        <f t="shared" si="7"/>
        <v>, setType=LIBSETS_SETTYPE_CYRODIIL</v>
      </c>
      <c r="BH32"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 t="shared" si="9"/>
        <v>}, --The Morag Tong / Morag Tong   [Cyrodiil, Cyrodiil, Cyrodiil, Cyrodiil, Cyrodiil, Cyrodiil]</v>
      </c>
    </row>
    <row r="33" spans="1:61" x14ac:dyDescent="0.25">
      <c r="A33" s="5">
        <v>51</v>
      </c>
      <c r="B33" t="s">
        <v>766</v>
      </c>
      <c r="C33" t="s">
        <v>2549</v>
      </c>
      <c r="D33" s="3">
        <f t="shared" si="0"/>
        <v>51</v>
      </c>
      <c r="G33" s="8" t="s">
        <v>1470</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constants'!$B$4:$C$1012,2,FALSE),"")</f>
        <v>Included in base game</v>
      </c>
      <c r="V33" s="33" t="s">
        <v>3288</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constants'!$A$5:$D$10001,4,FALSE),"")</f>
        <v>Reaper's March</v>
      </c>
      <c r="AB33" s="33" t="s">
        <v>3288</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constants'!$A$5:$D$10001,4,FALSE),"")</f>
        <v>The Rift</v>
      </c>
      <c r="AH33" s="33" t="s">
        <v>3288</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8" t="s">
        <v>2653</v>
      </c>
      <c r="BA33" s="78"/>
      <c r="BB33" s="78"/>
      <c r="BC33" s="78"/>
      <c r="BD33" s="78"/>
      <c r="BE33" s="21" t="str">
        <f t="shared" si="5"/>
        <v>[51] = {wayshrines={34,156,118,}, traitsNeeded=6, dlcId=DLC_BASE_GAME</v>
      </c>
      <c r="BF33" s="21" t="str">
        <f t="shared" si="6"/>
        <v>, zoneIds={92,382,103}, veteran=false</v>
      </c>
      <c r="BG33" s="21" t="str">
        <f t="shared" si="7"/>
        <v>, setType=LIBSETS_SETTYPE_CRAFTED</v>
      </c>
      <c r="BH33" s="21" t="str">
        <f t="shared" si="8"/>
        <v>, dropMechanic={LIBSETS_DROP_MECHANIC_CRAFTED,LIBSETS_DROP_MECHANIC_CRAFTED,LIBSETS_DROP_MECHANIC_CRAFTED}</v>
      </c>
      <c r="BI33" s="21" t="str">
        <f t="shared" si="9"/>
        <v>}, --Night Mother\'s Gaze / Blick der Mutter der Nacht   [Bangkorai, Reaper's March, The Rift]</v>
      </c>
    </row>
    <row r="34" spans="1:61" x14ac:dyDescent="0.25">
      <c r="A34" s="12">
        <v>52</v>
      </c>
      <c r="B34" t="s">
        <v>767</v>
      </c>
      <c r="C34" t="s">
        <v>768</v>
      </c>
      <c r="D34" s="3">
        <f t="shared" si="0"/>
        <v>52</v>
      </c>
      <c r="E34" s="40"/>
      <c r="G34" s="8" t="s">
        <v>1471</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constants'!$B$4:$C$1012,2,FALSE),"")</f>
        <v>Included in base game</v>
      </c>
      <c r="V34" s="33" t="s">
        <v>1529</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constants'!$A$5:$D$10001,4,FALSE),"")</f>
        <v>Cyrodiil</v>
      </c>
      <c r="AB34" s="33" t="s">
        <v>3737</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constants'!$A$5:$D$10001,4,FALSE),"")</f>
        <v>Cyrodiil</v>
      </c>
      <c r="AH34" s="33" t="s">
        <v>2765</v>
      </c>
      <c r="AK34" s="3">
        <f>IF(AND(G34&lt;&gt;"LIBSETS_SETTYPE_BATTLEGROUND",G34&lt;&gt;"LIBSETS_SETTYPE_SPECIAL"),IF(AL34&lt;&gt;"",VLOOKUP(AL34,'ESO zone constants'!$D$5:$H$4955,5,FALSE),""),"")</f>
        <v>181</v>
      </c>
      <c r="AL34" t="s">
        <v>125</v>
      </c>
      <c r="AM34" s="33" t="s">
        <v>3740</v>
      </c>
      <c r="AP34" s="3">
        <f>IF(AND(G34&lt;&gt;"LIBSETS_SETTYPE_BATTLEGROUND",G34&lt;&gt;"LIBSETS_SETTYPE_SPECIAL"),IF(AQ34&lt;&gt;"",VLOOKUP(AQ34,'ESO zone constants'!$D$5:$H$4955,5,FALSE),""),"")</f>
        <v>181</v>
      </c>
      <c r="AQ34" t="s">
        <v>125</v>
      </c>
      <c r="AR34" s="33" t="s">
        <v>1554</v>
      </c>
      <c r="AU34" s="3">
        <f>IF(AND(G34&lt;&gt;"LIBSETS_SETTYPE_BATTLEGROUND",G34&lt;&gt;"LIBSETS_SETTYPE_SPECIAL"),IF(AV34&lt;&gt;"",VLOOKUP(AV34,'ESO zone constants'!$D$5:$H$4955,5,FALSE),""),"")</f>
        <v>181</v>
      </c>
      <c r="AV34" t="s">
        <v>125</v>
      </c>
      <c r="AW34" s="33" t="s">
        <v>3236</v>
      </c>
      <c r="AZ34" s="78" t="s">
        <v>2653</v>
      </c>
      <c r="BA34" s="78"/>
      <c r="BB34" s="78"/>
      <c r="BC34" s="78"/>
      <c r="BD34" s="78"/>
      <c r="BE34" s="21" t="str">
        <f t="shared" si="5"/>
        <v>[52] = {wayshrines={-1,-1,-1,}, dlcId=DLC_BASE_GAME</v>
      </c>
      <c r="BF34" s="21" t="str">
        <f t="shared" si="6"/>
        <v>, zoneIds={181,181,181,181,181,181}, veteran=false</v>
      </c>
      <c r="BG34" s="21" t="str">
        <f t="shared" si="7"/>
        <v>, setType=LIBSETS_SETTYPE_CYRODIIL</v>
      </c>
      <c r="BH34"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 t="shared" si="9"/>
        <v>}, --Beckoning Steel / Klingender Stahl   [Cyrodiil, Cyrodiil, Cyrodiil, Cyrodiil, Cyrodiil, Cyrodiil]</v>
      </c>
    </row>
    <row r="35" spans="1:61" x14ac:dyDescent="0.25">
      <c r="A35" s="12">
        <v>53</v>
      </c>
      <c r="B35" t="s">
        <v>769</v>
      </c>
      <c r="C35" t="s">
        <v>770</v>
      </c>
      <c r="D35" s="3">
        <f t="shared" si="0"/>
        <v>53</v>
      </c>
      <c r="G35" s="8" t="s">
        <v>1473</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constants'!$B$4:$C$1012,2,FALSE),"")</f>
        <v>Included in base game</v>
      </c>
      <c r="V35" s="33" t="s">
        <v>3285</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8" t="s">
        <v>2653</v>
      </c>
      <c r="BA35" s="78"/>
      <c r="BB35" s="78"/>
      <c r="BC35" s="78"/>
      <c r="BD35" s="78"/>
      <c r="BE35" s="21" t="str">
        <f t="shared" si="5"/>
        <v>[53] = {wayshrines={195,195,195,}, dlcId=DLC_BASE_GAME</v>
      </c>
      <c r="BF35" s="21" t="str">
        <f t="shared" si="6"/>
        <v>, zoneIds={449,101,101}, veteran=false</v>
      </c>
      <c r="BG35" s="21" t="str">
        <f t="shared" si="7"/>
        <v>, setType=LIBSETS_SETTYPE_DUNGEON</v>
      </c>
      <c r="BH35" s="21" t="str">
        <f t="shared" si="8"/>
        <v>, dropMechanic={LIBSETS_DROP_MECHANIC_GROUP_DUNGEON_BOSS}</v>
      </c>
      <c r="BI35" s="21" t="str">
        <f t="shared" si="9"/>
        <v>}, --The Ice Furnace / Eisschmiede   [Direfrost Keep, Eastmarch, Eastmarch]</v>
      </c>
    </row>
    <row r="36" spans="1:61" x14ac:dyDescent="0.25">
      <c r="A36" s="5">
        <v>54</v>
      </c>
      <c r="B36" t="s">
        <v>771</v>
      </c>
      <c r="C36" t="s">
        <v>772</v>
      </c>
      <c r="D36" s="3">
        <f t="shared" si="0"/>
        <v>54</v>
      </c>
      <c r="G36" s="8" t="s">
        <v>1470</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constants'!$B$4:$C$1012,2,FALSE),"")</f>
        <v>Included in base game</v>
      </c>
      <c r="V36" s="33" t="s">
        <v>3288</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constants'!$A$5:$D$10001,4,FALSE),"")</f>
        <v>Auridon</v>
      </c>
      <c r="AB36" s="33" t="s">
        <v>3288</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constants'!$A$5:$D$10001,4,FALSE),"")</f>
        <v>Stonefalls</v>
      </c>
      <c r="AH36" s="33" t="s">
        <v>3288</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8" t="s">
        <v>2653</v>
      </c>
      <c r="BA36" s="78"/>
      <c r="BB36" s="78"/>
      <c r="BC36" s="78"/>
      <c r="BD36" s="78"/>
      <c r="BE36" s="21" t="str">
        <f t="shared" si="5"/>
        <v>[54] = {wayshrines={7,175,77,}, traitsNeeded=2, dlcId=DLC_BASE_GAME</v>
      </c>
      <c r="BF36" s="21" t="str">
        <f t="shared" si="6"/>
        <v>, zoneIds={3,381,41}, veteran=false</v>
      </c>
      <c r="BG36" s="21" t="str">
        <f t="shared" si="7"/>
        <v>, setType=LIBSETS_SETTYPE_CRAFTED</v>
      </c>
      <c r="BH36" s="21" t="str">
        <f t="shared" si="8"/>
        <v>, dropMechanic={LIBSETS_DROP_MECHANIC_CRAFTED,LIBSETS_DROP_MECHANIC_CRAFTED,LIBSETS_DROP_MECHANIC_CRAFTED}</v>
      </c>
      <c r="BI36" s="21" t="str">
        <f t="shared" si="9"/>
        <v>}, --Ashen Grip / Aschengriff   [Glenumbra, Auridon, Stonefalls]</v>
      </c>
    </row>
    <row r="37" spans="1:61" x14ac:dyDescent="0.25">
      <c r="A37" s="12">
        <v>55</v>
      </c>
      <c r="B37" t="s">
        <v>773</v>
      </c>
      <c r="C37" t="s">
        <v>774</v>
      </c>
      <c r="D37" s="3">
        <f t="shared" si="0"/>
        <v>55</v>
      </c>
      <c r="E37" s="56"/>
      <c r="G37" s="8" t="s">
        <v>1473</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constants'!$B$4:$C$1012,2,FALSE),"")</f>
        <v>Included in base game</v>
      </c>
      <c r="V37" s="33" t="s">
        <v>3285</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constants'!$A$5:$D$10001,4,FALSE),"")</f>
        <v>Spindleclutch II</v>
      </c>
      <c r="AB37" s="33" t="s">
        <v>3285</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constants'!$A$5:$D$10001,4,FALSE),"")</f>
        <v>Glenumbra</v>
      </c>
      <c r="AH37" s="89"/>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8" t="s">
        <v>2653</v>
      </c>
      <c r="BA37" s="78"/>
      <c r="BB37" s="78"/>
      <c r="BC37" s="78"/>
      <c r="BD37" s="78"/>
      <c r="BE37" s="21" t="str">
        <f t="shared" si="5"/>
        <v>[55] = {wayshrines={193,193,193,}, dlcId=DLC_BASE_GAME</v>
      </c>
      <c r="BF37" s="21" t="str">
        <f t="shared" si="6"/>
        <v>, zoneIds={144,936,3}, veteran=false</v>
      </c>
      <c r="BG37" s="21" t="str">
        <f t="shared" si="7"/>
        <v>, setType=LIBSETS_SETTYPE_DUNGEON</v>
      </c>
      <c r="BH37" s="21" t="str">
        <f t="shared" si="8"/>
        <v>, dropMechanic={LIBSETS_DROP_MECHANIC_GROUP_DUNGEON_BOSS,LIBSETS_DROP_MECHANIC_GROUP_DUNGEON_BOSS}</v>
      </c>
      <c r="BI37" s="21" t="str">
        <f t="shared" si="9"/>
        <v>}, --Prayer Shawl / Gebetstuch   [Spindleclutch I, Spindleclutch II, Glenumbra]</v>
      </c>
    </row>
    <row r="38" spans="1:61" x14ac:dyDescent="0.25">
      <c r="A38" s="12">
        <v>56</v>
      </c>
      <c r="B38" t="s">
        <v>775</v>
      </c>
      <c r="C38" t="s">
        <v>2550</v>
      </c>
      <c r="D38" s="3">
        <f t="shared" si="0"/>
        <v>56</v>
      </c>
      <c r="E38" s="56"/>
      <c r="G38" s="8" t="s">
        <v>1476</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constants'!$B$4:$C$1012,2,FALSE),"")</f>
        <v>Included in base game</v>
      </c>
      <c r="V38" s="33" t="s">
        <v>1554</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constants'!$A$5:$D$10001,4,FALSE),"")</f>
        <v>Eastmarch</v>
      </c>
      <c r="AB38" s="33" t="s">
        <v>1555</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constants'!$A$5:$D$10001,4,FALSE),"")</f>
        <v>Hall of the Dead</v>
      </c>
      <c r="AH38" s="42" t="s">
        <v>1556</v>
      </c>
      <c r="AI38" s="41"/>
      <c r="AJ38" s="41"/>
      <c r="AK38" s="3">
        <f>IF(AND(G38&lt;&gt;"LIBSETS_SETTYPE_BATTLEGROUND",G38&lt;&gt;"LIBSETS_SETTYPE_SPECIAL"),IF(AL38&lt;&gt;"",VLOOKUP(AL38,'ESO zone constants'!$D$5:$H$4955,5,FALSE),""),"")</f>
        <v>101</v>
      </c>
      <c r="AL38" t="s">
        <v>110</v>
      </c>
      <c r="AM38" s="33" t="s">
        <v>1557</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8" t="s">
        <v>2653</v>
      </c>
      <c r="BA38" s="78"/>
      <c r="BB38" s="78"/>
      <c r="BC38" s="78"/>
      <c r="BD38" s="78"/>
      <c r="BE38" s="21" t="str">
        <f t="shared" si="5"/>
        <v>[56] = {wayshrines={93,93,93,}, dlcId=DLC_BASE_GAME</v>
      </c>
      <c r="BF38" s="21" t="str">
        <f t="shared" si="6"/>
        <v>, zoneIds={101,101,339,101}, veteran=false</v>
      </c>
      <c r="BG38" s="21" t="str">
        <f t="shared" si="7"/>
        <v>, setType=LIBSETS_SETTYPE_OVERLAND</v>
      </c>
      <c r="BH38" s="21" t="str">
        <f t="shared" si="8"/>
        <v>, dropMechanic={LIBSETS_DROP_MECHANIC_OVERLAND_BOSS_DELVE,LIBSETS_DROP_MECHANIC_OVERLAND_WORLDBOSS,LIBSETS_DROP_MECHANIC_OVERLAND_BOSS_PUBLIC_DUNGEON,LIBSETS_DROP_MECHANIC_OVERLAND_CHEST}</v>
      </c>
      <c r="BI38" s="21" t="str">
        <f t="shared" si="9"/>
        <v>}, --Stendarr\'s Embrace / Stendarrs Umarmung   [Eastmarch, Eastmarch, Hall of the Dead, Eastmarch]</v>
      </c>
    </row>
    <row r="39" spans="1:61" x14ac:dyDescent="0.25">
      <c r="A39" s="12">
        <v>57</v>
      </c>
      <c r="B39" t="s">
        <v>776</v>
      </c>
      <c r="C39" t="s">
        <v>2551</v>
      </c>
      <c r="D39" s="3">
        <f t="shared" si="0"/>
        <v>57</v>
      </c>
      <c r="E39" s="56"/>
      <c r="G39" s="8" t="s">
        <v>1476</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constants'!$B$4:$C$1012,2,FALSE),"")</f>
        <v>Included in base game</v>
      </c>
      <c r="V39" s="33" t="s">
        <v>1554</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constants'!$A$5:$D$10001,4,FALSE),"")</f>
        <v>Grahtwood</v>
      </c>
      <c r="AB39" s="33" t="s">
        <v>1555</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constants'!$A$5:$D$10001,4,FALSE),"")</f>
        <v>Root Sunder Ruins</v>
      </c>
      <c r="AH39" s="42" t="s">
        <v>1556</v>
      </c>
      <c r="AI39" s="41"/>
      <c r="AJ39" s="41"/>
      <c r="AK39" s="3">
        <f>IF(AND(G39&lt;&gt;"LIBSETS_SETTYPE_BATTLEGROUND",G39&lt;&gt;"LIBSETS_SETTYPE_SPECIAL"),IF(AL39&lt;&gt;"",VLOOKUP(AL39,'ESO zone constants'!$D$5:$H$4955,5,FALSE),""),"")</f>
        <v>383</v>
      </c>
      <c r="AL39" t="s">
        <v>264</v>
      </c>
      <c r="AM39" s="33" t="s">
        <v>1557</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8" t="s">
        <v>2653</v>
      </c>
      <c r="BA39" s="78"/>
      <c r="BB39" s="78"/>
      <c r="BC39" s="78"/>
      <c r="BD39" s="78"/>
      <c r="BE39" s="21" t="str">
        <f t="shared" si="5"/>
        <v>[57] = {wayshrines={214,214,214,}, dlcId=DLC_BASE_GAME</v>
      </c>
      <c r="BF39" s="21" t="str">
        <f t="shared" si="6"/>
        <v>, zoneIds={383,383,124,383}, veteran=false</v>
      </c>
      <c r="BG39" s="21" t="str">
        <f t="shared" si="7"/>
        <v>, setType=LIBSETS_SETTYPE_OVERLAND</v>
      </c>
      <c r="BH39" s="21" t="str">
        <f t="shared" si="8"/>
        <v>, dropMechanic={LIBSETS_DROP_MECHANIC_OVERLAND_BOSS_DELVE,LIBSETS_DROP_MECHANIC_OVERLAND_WORLDBOSS,LIBSETS_DROP_MECHANIC_OVERLAND_BOSS_PUBLIC_DUNGEON,LIBSETS_DROP_MECHANIC_OVERLAND_CHEST}</v>
      </c>
      <c r="BI39" s="21" t="str">
        <f t="shared" si="9"/>
        <v>}, --Syrabane\'s Grip / Syrabanns Griff   [Grahtwood, Grahtwood, Root Sunder Ruins, Grahtwood]</v>
      </c>
    </row>
    <row r="40" spans="1:61" x14ac:dyDescent="0.25">
      <c r="A40" s="12">
        <v>58</v>
      </c>
      <c r="B40" t="s">
        <v>777</v>
      </c>
      <c r="C40" t="s">
        <v>778</v>
      </c>
      <c r="D40" s="3">
        <f t="shared" si="0"/>
        <v>58</v>
      </c>
      <c r="E40" s="56"/>
      <c r="G40" s="8" t="s">
        <v>1476</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constants'!$B$4:$C$1012,2,FALSE),"")</f>
        <v>Included in base game</v>
      </c>
      <c r="V40" s="33" t="s">
        <v>1554</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constants'!$A$5:$D$10001,4,FALSE),"")</f>
        <v>Glenumbra</v>
      </c>
      <c r="AB40" s="33" t="s">
        <v>1555</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constants'!$A$5:$D$10001,4,FALSE),"")</f>
        <v>Bad Man's Hallows</v>
      </c>
      <c r="AH40" s="42" t="s">
        <v>1556</v>
      </c>
      <c r="AI40" s="41"/>
      <c r="AJ40" s="41"/>
      <c r="AK40" s="3">
        <f>IF(AND(G40&lt;&gt;"LIBSETS_SETTYPE_BATTLEGROUND",G40&lt;&gt;"LIBSETS_SETTYPE_SPECIAL"),IF(AL40&lt;&gt;"",VLOOKUP(AL40,'ESO zone constants'!$D$5:$H$4955,5,FALSE),""),"")</f>
        <v>3</v>
      </c>
      <c r="AL40" t="s">
        <v>103</v>
      </c>
      <c r="AM40" s="33" t="s">
        <v>1557</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8" t="s">
        <v>2653</v>
      </c>
      <c r="BA40" s="78"/>
      <c r="BB40" s="78"/>
      <c r="BC40" s="78"/>
      <c r="BD40" s="78"/>
      <c r="BE40" s="21" t="str">
        <f t="shared" si="5"/>
        <v>[58] = {wayshrines={62,62,62,}, dlcId=DLC_BASE_GAME</v>
      </c>
      <c r="BF40" s="21" t="str">
        <f t="shared" si="6"/>
        <v>, zoneIds={3,3,284,3}, veteran=false</v>
      </c>
      <c r="BG40" s="21" t="str">
        <f t="shared" si="7"/>
        <v>, setType=LIBSETS_SETTYPE_OVERLAND</v>
      </c>
      <c r="BH40" s="21" t="str">
        <f t="shared" si="8"/>
        <v>, dropMechanic={LIBSETS_DROP_MECHANIC_OVERLAND_BOSS_DELVE,LIBSETS_DROP_MECHANIC_OVERLAND_WORLDBOSS,LIBSETS_DROP_MECHANIC_OVERLAND_BOSS_PUBLIC_DUNGEON,LIBSETS_DROP_MECHANIC_OVERLAND_CHEST}</v>
      </c>
      <c r="BI40" s="21" t="str">
        <f t="shared" si="9"/>
        <v>}, --Hide of the Werewolf / Fell des Werwolfs   [Glenumbra, Glenumbra, Bad Man's Hallows, Glenumbra]</v>
      </c>
    </row>
    <row r="41" spans="1:61" x14ac:dyDescent="0.25">
      <c r="A41" s="12">
        <v>59</v>
      </c>
      <c r="B41" t="s">
        <v>779</v>
      </c>
      <c r="C41" t="s">
        <v>2552</v>
      </c>
      <c r="D41" s="3">
        <f t="shared" si="0"/>
        <v>59</v>
      </c>
      <c r="E41" s="56"/>
      <c r="G41" s="8" t="s">
        <v>1471</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constants'!$B$4:$C$1012,2,FALSE),"")</f>
        <v>Included in base game</v>
      </c>
      <c r="V41" s="33" t="s">
        <v>1527</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constants'!$A$5:$D$10001,4,FALSE),"")</f>
        <v>Cyrodiil</v>
      </c>
      <c r="AB41" s="33" t="s">
        <v>3737</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constants'!$A$5:$D$10001,4,FALSE),"")</f>
        <v>Cyrodiil</v>
      </c>
      <c r="AH41" s="33" t="s">
        <v>2765</v>
      </c>
      <c r="AK41" s="3">
        <f>IF(AND(G41&lt;&gt;"LIBSETS_SETTYPE_BATTLEGROUND",G41&lt;&gt;"LIBSETS_SETTYPE_SPECIAL"),IF(AL41&lt;&gt;"",VLOOKUP(AL41,'ESO zone constants'!$D$5:$H$4955,5,FALSE),""),"")</f>
        <v>181</v>
      </c>
      <c r="AL41" t="s">
        <v>125</v>
      </c>
      <c r="AM41" s="33" t="s">
        <v>3740</v>
      </c>
      <c r="AP41" s="3">
        <f>IF(AND(G41&lt;&gt;"LIBSETS_SETTYPE_BATTLEGROUND",G41&lt;&gt;"LIBSETS_SETTYPE_SPECIAL"),IF(AQ41&lt;&gt;"",VLOOKUP(AQ41,'ESO zone constants'!$D$5:$H$4955,5,FALSE),""),"")</f>
        <v>181</v>
      </c>
      <c r="AQ41" t="s">
        <v>125</v>
      </c>
      <c r="AR41" s="33" t="s">
        <v>1554</v>
      </c>
      <c r="AU41" s="3">
        <f>IF(AND(G41&lt;&gt;"LIBSETS_SETTYPE_BATTLEGROUND",G41&lt;&gt;"LIBSETS_SETTYPE_SPECIAL"),IF(AV41&lt;&gt;"",VLOOKUP(AV41,'ESO zone constants'!$D$5:$H$4955,5,FALSE),""),"")</f>
        <v>181</v>
      </c>
      <c r="AV41" t="s">
        <v>125</v>
      </c>
      <c r="AW41" s="33" t="s">
        <v>3236</v>
      </c>
      <c r="AZ41" s="78" t="s">
        <v>2653</v>
      </c>
      <c r="BA41" s="78"/>
      <c r="BB41" s="78"/>
      <c r="BC41" s="78"/>
      <c r="BD41" s="78"/>
      <c r="BE41" s="21" t="str">
        <f t="shared" si="5"/>
        <v>[59] = {wayshrines={-1,-1,-1,}, dlcId=DLC_BASE_GAME</v>
      </c>
      <c r="BF41" s="21" t="str">
        <f t="shared" si="6"/>
        <v>, zoneIds={181,181,181,181,181,181}, veteran=false</v>
      </c>
      <c r="BG41" s="21" t="str">
        <f t="shared" si="7"/>
        <v>, setType=LIBSETS_SETTYPE_CYRODIIL</v>
      </c>
      <c r="BH41"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 t="shared" si="9"/>
        <v>}, --Kyne\'s Kiss / Kynes Kuss   [Cyrodiil, Cyrodiil, Cyrodiil, Cyrodiil, Cyrodiil, Cyrodiil]</v>
      </c>
    </row>
    <row r="42" spans="1:61" x14ac:dyDescent="0.25">
      <c r="A42" s="12">
        <v>60</v>
      </c>
      <c r="B42" t="s">
        <v>780</v>
      </c>
      <c r="C42" t="s">
        <v>781</v>
      </c>
      <c r="D42" s="3">
        <f t="shared" si="0"/>
        <v>60</v>
      </c>
      <c r="E42" s="56"/>
      <c r="G42" s="8" t="s">
        <v>1476</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constants'!$B$4:$C$1012,2,FALSE),"")</f>
        <v>Included in base game</v>
      </c>
      <c r="V42" s="33" t="s">
        <v>1554</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constants'!$A$5:$D$10001,4,FALSE),"")</f>
        <v>Rivenspire</v>
      </c>
      <c r="AB42" s="33" t="s">
        <v>1555</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constants'!$A$5:$D$10001,4,FALSE),"")</f>
        <v>Obsidian Scar</v>
      </c>
      <c r="AH42" s="42" t="s">
        <v>1556</v>
      </c>
      <c r="AI42" s="41"/>
      <c r="AJ42" s="41"/>
      <c r="AK42" s="3">
        <f>IF(AND(G42&lt;&gt;"LIBSETS_SETTYPE_BATTLEGROUND",G42&lt;&gt;"LIBSETS_SETTYPE_SPECIAL"),IF(AL42&lt;&gt;"",VLOOKUP(AL42,'ESO zone constants'!$D$5:$H$4955,5,FALSE),""),"")</f>
        <v>20</v>
      </c>
      <c r="AL42" t="s">
        <v>105</v>
      </c>
      <c r="AM42" s="33" t="s">
        <v>1557</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8" t="s">
        <v>2654</v>
      </c>
      <c r="BA42" s="78"/>
      <c r="BB42" s="78"/>
      <c r="BC42" s="78"/>
      <c r="BD42" s="78"/>
      <c r="BE42" s="21" t="str">
        <f t="shared" si="5"/>
        <v>[60] = {wayshrines={55,55,55,}, dlcId=DLC_BASE_GAME</v>
      </c>
      <c r="BF42" s="21" t="str">
        <f t="shared" si="6"/>
        <v>, zoneIds={20,20,162,20}, veteran=false</v>
      </c>
      <c r="BG42" s="21" t="str">
        <f t="shared" si="7"/>
        <v>, setType=LIBSETS_SETTYPE_OVERLAND</v>
      </c>
      <c r="BH42" s="21" t="str">
        <f t="shared" si="8"/>
        <v>, isProcSetAllowedInPvP=1, dropMechanic={LIBSETS_DROP_MECHANIC_OVERLAND_BOSS_DELVE,LIBSETS_DROP_MECHANIC_OVERLAND_WORLDBOSS,LIBSETS_DROP_MECHANIC_OVERLAND_BOSS_PUBLIC_DUNGEON,LIBSETS_DROP_MECHANIC_OVERLAND_CHEST}</v>
      </c>
      <c r="BI42" s="21" t="str">
        <f t="shared" si="9"/>
        <v>}, --Darkstride / Dunkelschritt   [Rivenspire, Rivenspire, Obsidian Scar, Rivenspire]</v>
      </c>
    </row>
    <row r="43" spans="1:61" x14ac:dyDescent="0.25">
      <c r="A43" s="12">
        <v>61</v>
      </c>
      <c r="B43" t="s">
        <v>782</v>
      </c>
      <c r="C43" t="s">
        <v>783</v>
      </c>
      <c r="D43" s="3">
        <f t="shared" si="0"/>
        <v>61</v>
      </c>
      <c r="E43" s="56"/>
      <c r="G43" s="8" t="s">
        <v>1473</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constants'!$B$4:$C$1012,2,FALSE),"")</f>
        <v>Included in base game</v>
      </c>
      <c r="V43" s="33" t="s">
        <v>3285</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constants'!$A$5:$D$10001,4,FALSE),"")</f>
        <v>Fungal Grotto II</v>
      </c>
      <c r="AB43" s="33" t="s">
        <v>3285</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constants'!$A$5:$D$10001,4,FALSE),"")</f>
        <v>Stonefalls</v>
      </c>
      <c r="AH43" s="89"/>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8" t="s">
        <v>2653</v>
      </c>
      <c r="BA43" s="78"/>
      <c r="BB43" s="78"/>
      <c r="BC43" s="78"/>
      <c r="BD43" s="78"/>
      <c r="BE43" s="21" t="str">
        <f t="shared" si="5"/>
        <v>[61] = {wayshrines={98,98,98,}, dlcId=DLC_BASE_GAME</v>
      </c>
      <c r="BF43" s="21" t="str">
        <f t="shared" si="6"/>
        <v>, zoneIds={283,934,41}, veteran=false</v>
      </c>
      <c r="BG43" s="21" t="str">
        <f t="shared" si="7"/>
        <v>, setType=LIBSETS_SETTYPE_DUNGEON</v>
      </c>
      <c r="BH43" s="21" t="str">
        <f t="shared" si="8"/>
        <v>, dropMechanic={LIBSETS_DROP_MECHANIC_GROUP_DUNGEON_BOSS,LIBSETS_DROP_MECHANIC_GROUP_DUNGEON_BOSS}</v>
      </c>
      <c r="BI43" s="21" t="str">
        <f t="shared" si="9"/>
        <v>}, --Dreugh King Slayer / Dreughkönigsschlächter   [Fungal Grotto I, Fungal Grotto II, Stonefalls]</v>
      </c>
    </row>
    <row r="44" spans="1:61" x14ac:dyDescent="0.25">
      <c r="A44" s="12">
        <v>62</v>
      </c>
      <c r="B44" t="s">
        <v>784</v>
      </c>
      <c r="C44" t="s">
        <v>2553</v>
      </c>
      <c r="D44" s="3">
        <f t="shared" si="0"/>
        <v>62</v>
      </c>
      <c r="E44" s="56"/>
      <c r="G44" s="8" t="s">
        <v>1476</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constants'!$B$4:$C$1012,2,FALSE),"")</f>
        <v>Included in base game</v>
      </c>
      <c r="V44" s="33" t="s">
        <v>1554</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constants'!$A$5:$D$10001,4,FALSE),"")</f>
        <v>Shadowfen</v>
      </c>
      <c r="AB44" s="33" t="s">
        <v>1555</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constants'!$A$5:$D$10001,4,FALSE),"")</f>
        <v>Sanguine's Demesne</v>
      </c>
      <c r="AH44" s="42" t="s">
        <v>1556</v>
      </c>
      <c r="AI44" s="41"/>
      <c r="AJ44" s="41"/>
      <c r="AK44" s="3">
        <f>IF(AND(G44&lt;&gt;"LIBSETS_SETTYPE_BATTLEGROUND",G44&lt;&gt;"LIBSETS_SETTYPE_SPECIAL"),IF(AL44&lt;&gt;"",VLOOKUP(AL44,'ESO zone constants'!$D$5:$H$4955,5,FALSE),""),"")</f>
        <v>117</v>
      </c>
      <c r="AL44" t="s">
        <v>114</v>
      </c>
      <c r="AM44" s="33" t="s">
        <v>1557</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8" t="s">
        <v>2653</v>
      </c>
      <c r="BA44" s="78"/>
      <c r="BB44" s="78"/>
      <c r="BC44" s="78"/>
      <c r="BD44" s="78"/>
      <c r="BE44" s="21" t="str">
        <f t="shared" si="5"/>
        <v>[62] = {wayshrines={48,48,48,}, dlcId=DLC_BASE_GAME</v>
      </c>
      <c r="BF44" s="21" t="str">
        <f t="shared" si="6"/>
        <v>, zoneIds={117,117,134,117}, veteran=false</v>
      </c>
      <c r="BG44" s="21" t="str">
        <f t="shared" si="7"/>
        <v>, setType=LIBSETS_SETTYPE_OVERLAND</v>
      </c>
      <c r="BH44" s="21" t="str">
        <f t="shared" si="8"/>
        <v>, dropMechanic={LIBSETS_DROP_MECHANIC_OVERLAND_BOSS_DELVE,LIBSETS_DROP_MECHANIC_OVERLAND_WORLDBOSS,LIBSETS_DROP_MECHANIC_OVERLAND_BOSS_PUBLIC_DUNGEON,LIBSETS_DROP_MECHANIC_OVERLAND_CHEST}</v>
      </c>
      <c r="BI44" s="21" t="str">
        <f t="shared" si="9"/>
        <v>}, --Hatchling\'s Shell / Schlüpflingspanzer   [Shadowfen, Shadowfen, Sanguine's Demesne, Shadowfen]</v>
      </c>
    </row>
    <row r="45" spans="1:61" x14ac:dyDescent="0.25">
      <c r="A45" s="12">
        <v>63</v>
      </c>
      <c r="B45" t="s">
        <v>785</v>
      </c>
      <c r="C45" t="s">
        <v>786</v>
      </c>
      <c r="D45" s="3">
        <f t="shared" si="0"/>
        <v>63</v>
      </c>
      <c r="E45" s="56"/>
      <c r="G45" s="8" t="s">
        <v>1471</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constants'!$B$4:$C$1012,2,FALSE),"")</f>
        <v>Included in base game</v>
      </c>
      <c r="V45" s="33" t="s">
        <v>1529</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constants'!$A$5:$D$10001,4,FALSE),"")</f>
        <v>Cyrodiil</v>
      </c>
      <c r="AB45" s="33" t="s">
        <v>3737</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constants'!$A$5:$D$10001,4,FALSE),"")</f>
        <v>Cyrodiil</v>
      </c>
      <c r="AH45" s="33" t="s">
        <v>2765</v>
      </c>
      <c r="AK45" s="3">
        <f>IF(AND(G45&lt;&gt;"LIBSETS_SETTYPE_BATTLEGROUND",G45&lt;&gt;"LIBSETS_SETTYPE_SPECIAL"),IF(AL45&lt;&gt;"",VLOOKUP(AL45,'ESO zone constants'!$D$5:$H$4955,5,FALSE),""),"")</f>
        <v>181</v>
      </c>
      <c r="AL45" t="s">
        <v>125</v>
      </c>
      <c r="AM45" s="33" t="s">
        <v>3740</v>
      </c>
      <c r="AP45" s="3">
        <f>IF(AND(G45&lt;&gt;"LIBSETS_SETTYPE_BATTLEGROUND",G45&lt;&gt;"LIBSETS_SETTYPE_SPECIAL"),IF(AQ45&lt;&gt;"",VLOOKUP(AQ45,'ESO zone constants'!$D$5:$H$4955,5,FALSE),""),"")</f>
        <v>181</v>
      </c>
      <c r="AQ45" t="s">
        <v>125</v>
      </c>
      <c r="AR45" s="33" t="s">
        <v>1554</v>
      </c>
      <c r="AU45" s="3">
        <f>IF(AND(G45&lt;&gt;"LIBSETS_SETTYPE_BATTLEGROUND",G45&lt;&gt;"LIBSETS_SETTYPE_SPECIAL"),IF(AV45&lt;&gt;"",VLOOKUP(AV45,'ESO zone constants'!$D$5:$H$4955,5,FALSE),""),"")</f>
        <v>181</v>
      </c>
      <c r="AV45" t="s">
        <v>125</v>
      </c>
      <c r="AW45" s="33" t="s">
        <v>3236</v>
      </c>
      <c r="AZ45" s="78" t="s">
        <v>2653</v>
      </c>
      <c r="BA45" s="78"/>
      <c r="BB45" s="78"/>
      <c r="BC45" s="78"/>
      <c r="BD45" s="78"/>
      <c r="BE45" s="21" t="str">
        <f t="shared" si="5"/>
        <v>[63] = {wayshrines={-1,-1,-1,}, dlcId=DLC_BASE_GAME</v>
      </c>
      <c r="BF45" s="21" t="str">
        <f t="shared" si="6"/>
        <v>, zoneIds={181,181,181,181,181,181}, veteran=false</v>
      </c>
      <c r="BG45" s="21" t="str">
        <f t="shared" si="7"/>
        <v>, setType=LIBSETS_SETTYPE_CYRODIIL</v>
      </c>
      <c r="BH45"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 t="shared" si="9"/>
        <v>}, --The Juggernaut / Koloss   [Cyrodiil, Cyrodiil, Cyrodiil, Cyrodiil, Cyrodiil, Cyrodiil]</v>
      </c>
    </row>
    <row r="46" spans="1:61" x14ac:dyDescent="0.25">
      <c r="A46" s="12">
        <v>64</v>
      </c>
      <c r="B46" t="s">
        <v>787</v>
      </c>
      <c r="C46" t="s">
        <v>2554</v>
      </c>
      <c r="D46" s="3">
        <f t="shared" si="0"/>
        <v>64</v>
      </c>
      <c r="E46" s="56"/>
      <c r="G46" s="8" t="s">
        <v>1476</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constants'!$B$4:$C$1012,2,FALSE),"")</f>
        <v>Included in base game</v>
      </c>
      <c r="V46" s="33" t="s">
        <v>1554</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constants'!$A$5:$D$10001,4,FALSE),"")</f>
        <v>Greenshade</v>
      </c>
      <c r="AB46" s="33" t="s">
        <v>1555</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constants'!$A$5:$D$10001,4,FALSE),"")</f>
        <v>Rulanyil's Fall</v>
      </c>
      <c r="AH46" s="42" t="s">
        <v>1556</v>
      </c>
      <c r="AI46" s="41"/>
      <c r="AJ46" s="41"/>
      <c r="AK46" s="3">
        <f>IF(AND(G46&lt;&gt;"LIBSETS_SETTYPE_BATTLEGROUND",G46&lt;&gt;"LIBSETS_SETTYPE_SPECIAL"),IF(AL46&lt;&gt;"",VLOOKUP(AL46,'ESO zone constants'!$D$5:$H$4955,5,FALSE),""),"")</f>
        <v>108</v>
      </c>
      <c r="AL46" t="s">
        <v>113</v>
      </c>
      <c r="AM46" s="33" t="s">
        <v>1557</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8" t="s">
        <v>2653</v>
      </c>
      <c r="BA46" s="78"/>
      <c r="BB46" s="78"/>
      <c r="BC46" s="78"/>
      <c r="BD46" s="78"/>
      <c r="BE46" s="21" t="str">
        <f t="shared" si="5"/>
        <v>[64] = {wayshrines={143,143,143,}, dlcId=DLC_BASE_GAME</v>
      </c>
      <c r="BF46" s="21" t="str">
        <f t="shared" si="6"/>
        <v>, zoneIds={108,108,137,108}, veteran=false</v>
      </c>
      <c r="BG46" s="21" t="str">
        <f t="shared" si="7"/>
        <v>, setType=LIBSETS_SETTYPE_OVERLAND</v>
      </c>
      <c r="BH46" s="21" t="str">
        <f t="shared" si="8"/>
        <v>, dropMechanic={LIBSETS_DROP_MECHANIC_OVERLAND_BOSS_DELVE,LIBSETS_DROP_MECHANIC_OVERLAND_WORLDBOSS,LIBSETS_DROP_MECHANIC_OVERLAND_BOSS_PUBLIC_DUNGEON,LIBSETS_DROP_MECHANIC_OVERLAND_CHEST}</v>
      </c>
      <c r="BI46" s="21" t="str">
        <f t="shared" si="9"/>
        <v>}, --Shadow Dancer\'s Raiment / Kleidung des Schattentänzers   [Greenshade, Greenshade, Rulanyil's Fall, Greenshade]</v>
      </c>
    </row>
    <row r="47" spans="1:61" x14ac:dyDescent="0.25">
      <c r="A47" s="12">
        <v>65</v>
      </c>
      <c r="B47" t="s">
        <v>788</v>
      </c>
      <c r="C47" t="s">
        <v>2555</v>
      </c>
      <c r="D47" s="3">
        <f t="shared" si="0"/>
        <v>65</v>
      </c>
      <c r="E47" s="56"/>
      <c r="G47" s="8" t="s">
        <v>1476</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constants'!$B$4:$C$1012,2,FALSE),"")</f>
        <v>Included in base game</v>
      </c>
      <c r="V47" s="33" t="s">
        <v>1554</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constants'!$A$5:$D$10001,4,FALSE),"")</f>
        <v>Glenumbra</v>
      </c>
      <c r="AB47" s="33" t="s">
        <v>1555</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constants'!$A$5:$D$10001,4,FALSE),"")</f>
        <v>Bad Man's Hallows</v>
      </c>
      <c r="AH47" s="42" t="s">
        <v>1556</v>
      </c>
      <c r="AI47" s="41"/>
      <c r="AJ47" s="41"/>
      <c r="AK47" s="3">
        <f>IF(AND(G47&lt;&gt;"LIBSETS_SETTYPE_BATTLEGROUND",G47&lt;&gt;"LIBSETS_SETTYPE_SPECIAL"),IF(AL47&lt;&gt;"",VLOOKUP(AL47,'ESO zone constants'!$D$5:$H$4955,5,FALSE),""),"")</f>
        <v>3</v>
      </c>
      <c r="AL47" t="s">
        <v>103</v>
      </c>
      <c r="AM47" s="33" t="s">
        <v>1557</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8" t="s">
        <v>2653</v>
      </c>
      <c r="BA47" s="78"/>
      <c r="BB47" s="78"/>
      <c r="BC47" s="78"/>
      <c r="BD47" s="78"/>
      <c r="BE47" s="21" t="str">
        <f t="shared" si="5"/>
        <v>[65] = {wayshrines={62,62,62,}, dlcId=DLC_BASE_GAME</v>
      </c>
      <c r="BF47" s="21" t="str">
        <f t="shared" si="6"/>
        <v>, zoneIds={3,3,284,3}, veteran=false</v>
      </c>
      <c r="BG47" s="21" t="str">
        <f t="shared" si="7"/>
        <v>, setType=LIBSETS_SETTYPE_OVERLAND</v>
      </c>
      <c r="BH47" s="21" t="str">
        <f t="shared" si="8"/>
        <v>, dropMechanic={LIBSETS_DROP_MECHANIC_OVERLAND_BOSS_DELVE,LIBSETS_DROP_MECHANIC_OVERLAND_WORLDBOSS,LIBSETS_DROP_MECHANIC_OVERLAND_BOSS_PUBLIC_DUNGEON,LIBSETS_DROP_MECHANIC_OVERLAND_CHEST}</v>
      </c>
      <c r="BI47" s="21" t="str">
        <f t="shared" si="9"/>
        <v>}, --Bloodthorn\'s Touch / Spur eines Blutdorns   [Glenumbra, Glenumbra, Bad Man's Hallows, Glenumbra]</v>
      </c>
    </row>
    <row r="48" spans="1:61" x14ac:dyDescent="0.25">
      <c r="A48" s="12">
        <v>66</v>
      </c>
      <c r="B48" t="s">
        <v>789</v>
      </c>
      <c r="C48" t="s">
        <v>790</v>
      </c>
      <c r="D48" s="3">
        <f t="shared" si="0"/>
        <v>66</v>
      </c>
      <c r="E48" s="56"/>
      <c r="G48" s="8" t="s">
        <v>1476</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constants'!$B$4:$C$1012,2,FALSE),"")</f>
        <v>Included in base game</v>
      </c>
      <c r="V48" s="33" t="s">
        <v>1554</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constants'!$A$5:$D$10001,4,FALSE),"")</f>
        <v>Shadowfen</v>
      </c>
      <c r="AB48" s="33" t="s">
        <v>1555</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constants'!$A$5:$D$10001,4,FALSE),"")</f>
        <v>Sanguine's Demesne</v>
      </c>
      <c r="AH48" s="42" t="s">
        <v>1556</v>
      </c>
      <c r="AI48" s="41"/>
      <c r="AJ48" s="41"/>
      <c r="AK48" s="3">
        <f>IF(AND(G48&lt;&gt;"LIBSETS_SETTYPE_BATTLEGROUND",G48&lt;&gt;"LIBSETS_SETTYPE_SPECIAL"),IF(AL48&lt;&gt;"",VLOOKUP(AL48,'ESO zone constants'!$D$5:$H$4955,5,FALSE),""),"")</f>
        <v>117</v>
      </c>
      <c r="AL48" t="s">
        <v>114</v>
      </c>
      <c r="AM48" s="33" t="s">
        <v>1557</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8" t="s">
        <v>2653</v>
      </c>
      <c r="BA48" s="78"/>
      <c r="BB48" s="78"/>
      <c r="BC48" s="78"/>
      <c r="BD48" s="78"/>
      <c r="BE48" s="21" t="str">
        <f t="shared" si="5"/>
        <v>[66] = {wayshrines={48,48,48,}, dlcId=DLC_BASE_GAME</v>
      </c>
      <c r="BF48" s="21" t="str">
        <f t="shared" si="6"/>
        <v>, zoneIds={117,117,134,117}, veteran=false</v>
      </c>
      <c r="BG48" s="21" t="str">
        <f t="shared" si="7"/>
        <v>, setType=LIBSETS_SETTYPE_OVERLAND</v>
      </c>
      <c r="BH48" s="21" t="str">
        <f t="shared" si="8"/>
        <v>, dropMechanic={LIBSETS_DROP_MECHANIC_OVERLAND_BOSS_DELVE,LIBSETS_DROP_MECHANIC_OVERLAND_WORLDBOSS,LIBSETS_DROP_MECHANIC_OVERLAND_BOSS_PUBLIC_DUNGEON,LIBSETS_DROP_MECHANIC_OVERLAND_CHEST}</v>
      </c>
      <c r="BI48" s="21" t="str">
        <f t="shared" si="9"/>
        <v>}, --Robes of the Hist / Roben des Hist   [Shadowfen, Shadowfen, Sanguine's Demesne, Shadowfen]</v>
      </c>
    </row>
    <row r="49" spans="1:61" x14ac:dyDescent="0.25">
      <c r="A49" s="12">
        <v>67</v>
      </c>
      <c r="B49" t="s">
        <v>791</v>
      </c>
      <c r="C49" t="s">
        <v>792</v>
      </c>
      <c r="D49" s="3">
        <f t="shared" si="0"/>
        <v>67</v>
      </c>
      <c r="E49" s="56"/>
      <c r="G49" s="8" t="s">
        <v>1471</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constants'!$B$4:$C$1012,2,FALSE),"")</f>
        <v>Included in base game</v>
      </c>
      <c r="V49" s="33" t="s">
        <v>1527</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constants'!$A$5:$D$10001,4,FALSE),"")</f>
        <v>Cyrodiil</v>
      </c>
      <c r="AB49" s="33" t="s">
        <v>3737</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constants'!$A$5:$D$10001,4,FALSE),"")</f>
        <v>Cyrodiil</v>
      </c>
      <c r="AH49" s="33" t="s">
        <v>2765</v>
      </c>
      <c r="AK49" s="3">
        <f>IF(AND(G49&lt;&gt;"LIBSETS_SETTYPE_BATTLEGROUND",G49&lt;&gt;"LIBSETS_SETTYPE_SPECIAL"),IF(AL49&lt;&gt;"",VLOOKUP(AL49,'ESO zone constants'!$D$5:$H$4955,5,FALSE),""),"")</f>
        <v>181</v>
      </c>
      <c r="AL49" t="s">
        <v>125</v>
      </c>
      <c r="AM49" s="33" t="s">
        <v>3740</v>
      </c>
      <c r="AP49" s="3">
        <f>IF(AND(G49&lt;&gt;"LIBSETS_SETTYPE_BATTLEGROUND",G49&lt;&gt;"LIBSETS_SETTYPE_SPECIAL"),IF(AQ49&lt;&gt;"",VLOOKUP(AQ49,'ESO zone constants'!$D$5:$H$4955,5,FALSE),""),"")</f>
        <v>181</v>
      </c>
      <c r="AQ49" t="s">
        <v>125</v>
      </c>
      <c r="AR49" s="33" t="s">
        <v>1554</v>
      </c>
      <c r="AU49" s="3">
        <f>IF(AND(G49&lt;&gt;"LIBSETS_SETTYPE_BATTLEGROUND",G49&lt;&gt;"LIBSETS_SETTYPE_SPECIAL"),IF(AV49&lt;&gt;"",VLOOKUP(AV49,'ESO zone constants'!$D$5:$H$4955,5,FALSE),""),"")</f>
        <v>181</v>
      </c>
      <c r="AV49" t="s">
        <v>125</v>
      </c>
      <c r="AW49" s="33" t="s">
        <v>3236</v>
      </c>
      <c r="AZ49" s="78" t="s">
        <v>2653</v>
      </c>
      <c r="BA49" s="78"/>
      <c r="BB49" s="78"/>
      <c r="BC49" s="78"/>
      <c r="BD49" s="78"/>
      <c r="BE49" s="21" t="str">
        <f t="shared" si="5"/>
        <v>[67] = {wayshrines={-1,-1,-1,}, dlcId=DLC_BASE_GAME</v>
      </c>
      <c r="BF49" s="21" t="str">
        <f t="shared" si="6"/>
        <v>, zoneIds={181,181,181,181,181,181}, veteran=false</v>
      </c>
      <c r="BG49" s="21" t="str">
        <f t="shared" si="7"/>
        <v>, setType=LIBSETS_SETTYPE_CYRODIIL</v>
      </c>
      <c r="BH49"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 t="shared" si="9"/>
        <v>}, --Shadow Walker / Schattengänger   [Cyrodiil, Cyrodiil, Cyrodiil, Cyrodiil, Cyrodiil, Cyrodiil]</v>
      </c>
    </row>
    <row r="50" spans="1:61" x14ac:dyDescent="0.25">
      <c r="A50" s="12">
        <v>68</v>
      </c>
      <c r="B50" t="s">
        <v>793</v>
      </c>
      <c r="C50" t="s">
        <v>794</v>
      </c>
      <c r="D50" s="3">
        <f t="shared" si="0"/>
        <v>68</v>
      </c>
      <c r="E50" s="56"/>
      <c r="G50" s="8" t="s">
        <v>1476</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constants'!$B$4:$C$1012,2,FALSE),"")</f>
        <v>Included in base game</v>
      </c>
      <c r="V50" s="33" t="s">
        <v>1554</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constants'!$A$5:$D$10001,4,FALSE),"")</f>
        <v>Coldharbour</v>
      </c>
      <c r="AB50" s="33" t="s">
        <v>1555</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constants'!$A$5:$D$10001,4,FALSE),"")</f>
        <v>Village of the Lost</v>
      </c>
      <c r="AH50" s="42" t="s">
        <v>1556</v>
      </c>
      <c r="AI50" s="41"/>
      <c r="AJ50" s="41"/>
      <c r="AK50" s="3">
        <f>IF(AND(G50&lt;&gt;"LIBSETS_SETTYPE_BATTLEGROUND",G50&lt;&gt;"LIBSETS_SETTYPE_SPECIAL"),IF(AL50&lt;&gt;"",VLOOKUP(AL50,'ESO zone constants'!$D$5:$H$4955,5,FALSE),""),"")</f>
        <v>347</v>
      </c>
      <c r="AL50" t="s">
        <v>239</v>
      </c>
      <c r="AM50" s="33" t="s">
        <v>1557</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8" t="s">
        <v>2653</v>
      </c>
      <c r="BA50" s="78"/>
      <c r="BB50" s="78"/>
      <c r="BC50" s="78"/>
      <c r="BD50" s="78"/>
      <c r="BE50" s="21" t="str">
        <f t="shared" si="5"/>
        <v>[68] = {wayshrines={131,131,131,}, dlcId=DLC_BASE_GAME</v>
      </c>
      <c r="BF50" s="21" t="str">
        <f t="shared" si="6"/>
        <v>, zoneIds={347,347,557,347}, veteran=false</v>
      </c>
      <c r="BG50" s="21" t="str">
        <f t="shared" si="7"/>
        <v>, setType=LIBSETS_SETTYPE_OVERLAND</v>
      </c>
      <c r="BH50" s="21" t="str">
        <f t="shared" si="8"/>
        <v>, dropMechanic={LIBSETS_DROP_MECHANIC_OVERLAND_BOSS_DELVE,LIBSETS_DROP_MECHANIC_OVERLAND_WORLDBOSS,LIBSETS_DROP_MECHANIC_OVERLAND_BOSS_PUBLIC_DUNGEON,LIBSETS_DROP_MECHANIC_OVERLAND_CHEST}</v>
      </c>
      <c r="BI50" s="21" t="str">
        <f t="shared" si="9"/>
        <v>}, --Stygian / Stygier   [Coldharbour, Coldharbour, Village of the Lost, Coldharbour]</v>
      </c>
    </row>
    <row r="51" spans="1:61" x14ac:dyDescent="0.25">
      <c r="A51" s="12">
        <v>69</v>
      </c>
      <c r="B51" t="s">
        <v>795</v>
      </c>
      <c r="C51" t="s">
        <v>2556</v>
      </c>
      <c r="D51" s="3">
        <f t="shared" si="0"/>
        <v>69</v>
      </c>
      <c r="E51" s="56"/>
      <c r="G51" s="8" t="s">
        <v>1476</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constants'!$B$4:$C$1012,2,FALSE),"")</f>
        <v>Included in base game</v>
      </c>
      <c r="V51" s="33" t="s">
        <v>1554</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constants'!$A$5:$D$10001,4,FALSE),"")</f>
        <v>Grahtwood</v>
      </c>
      <c r="AB51" s="33" t="s">
        <v>1555</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constants'!$A$5:$D$10001,4,FALSE),"")</f>
        <v>Root Sunder Ruins</v>
      </c>
      <c r="AH51" s="42" t="s">
        <v>1556</v>
      </c>
      <c r="AI51" s="41"/>
      <c r="AJ51" s="41"/>
      <c r="AK51" s="3">
        <f>IF(AND(G51&lt;&gt;"LIBSETS_SETTYPE_BATTLEGROUND",G51&lt;&gt;"LIBSETS_SETTYPE_SPECIAL"),IF(AL51&lt;&gt;"",VLOOKUP(AL51,'ESO zone constants'!$D$5:$H$4955,5,FALSE),""),"")</f>
        <v>383</v>
      </c>
      <c r="AL51" t="s">
        <v>264</v>
      </c>
      <c r="AM51" s="33" t="s">
        <v>1557</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8" t="s">
        <v>2654</v>
      </c>
      <c r="BA51" s="78"/>
      <c r="BB51" s="78"/>
      <c r="BC51" s="78"/>
      <c r="BD51" s="78"/>
      <c r="BE51" s="21" t="str">
        <f t="shared" si="5"/>
        <v>[69] = {wayshrines={214,214,214,}, dlcId=DLC_BASE_GAME</v>
      </c>
      <c r="BF51" s="21" t="str">
        <f t="shared" si="6"/>
        <v>, zoneIds={383,383,124,383}, veteran=false</v>
      </c>
      <c r="BG51" s="21" t="str">
        <f t="shared" si="7"/>
        <v>, setType=LIBSETS_SETTYPE_OVERLAND</v>
      </c>
      <c r="BH51" s="21" t="str">
        <f t="shared" si="8"/>
        <v>, isProcSetAllowedInPvP=1, dropMechanic={LIBSETS_DROP_MECHANIC_OVERLAND_BOSS_DELVE,LIBSETS_DROP_MECHANIC_OVERLAND_WORLDBOSS,LIBSETS_DROP_MECHANIC_OVERLAND_BOSS_PUBLIC_DUNGEON,LIBSETS_DROP_MECHANIC_OVERLAND_CHEST}</v>
      </c>
      <c r="BI51" s="21" t="str">
        <f t="shared" si="9"/>
        <v>}, --Ranger\'s Gait / Laufstil des Waldläufers   [Grahtwood, Grahtwood, Root Sunder Ruins, Grahtwood]</v>
      </c>
    </row>
    <row r="52" spans="1:61" x14ac:dyDescent="0.25">
      <c r="A52" s="12">
        <v>70</v>
      </c>
      <c r="B52" t="s">
        <v>796</v>
      </c>
      <c r="C52" t="s">
        <v>797</v>
      </c>
      <c r="D52" s="3">
        <f t="shared" si="0"/>
        <v>70</v>
      </c>
      <c r="E52" s="56"/>
      <c r="G52" s="8" t="s">
        <v>1476</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constants'!$B$4:$C$1012,2,FALSE),"")</f>
        <v>Included in base game</v>
      </c>
      <c r="V52" s="33" t="s">
        <v>1554</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constants'!$A$5:$D$10001,4,FALSE),"")</f>
        <v>Bangkorai</v>
      </c>
      <c r="AB52" s="33" t="s">
        <v>1555</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constants'!$A$5:$D$10001,4,FALSE),"")</f>
        <v>Razak's Wheel</v>
      </c>
      <c r="AH52" s="42" t="s">
        <v>1556</v>
      </c>
      <c r="AI52" s="41"/>
      <c r="AJ52" s="41"/>
      <c r="AK52" s="3">
        <f>IF(AND(G52&lt;&gt;"LIBSETS_SETTYPE_BATTLEGROUND",G52&lt;&gt;"LIBSETS_SETTYPE_SPECIAL"),IF(AL52&lt;&gt;"",VLOOKUP(AL52,'ESO zone constants'!$D$5:$H$4955,5,FALSE),""),"")</f>
        <v>92</v>
      </c>
      <c r="AL52" t="s">
        <v>109</v>
      </c>
      <c r="AM52" s="33" t="s">
        <v>1557</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8" t="s">
        <v>2653</v>
      </c>
      <c r="BA52" s="78"/>
      <c r="BB52" s="78"/>
      <c r="BC52" s="78"/>
      <c r="BD52" s="78"/>
      <c r="BE52" s="21" t="str">
        <f t="shared" si="5"/>
        <v>[70] = {wayshrines={36,36,36,}, dlcId=DLC_BASE_GAME</v>
      </c>
      <c r="BF52" s="21" t="str">
        <f t="shared" si="6"/>
        <v>, zoneIds={92,92,169,92}, veteran=false</v>
      </c>
      <c r="BG52" s="21" t="str">
        <f t="shared" si="7"/>
        <v>, setType=LIBSETS_SETTYPE_OVERLAND</v>
      </c>
      <c r="BH52" s="21" t="str">
        <f t="shared" si="8"/>
        <v>, dropMechanic={LIBSETS_DROP_MECHANIC_OVERLAND_BOSS_DELVE,LIBSETS_DROP_MECHANIC_OVERLAND_WORLDBOSS,LIBSETS_DROP_MECHANIC_OVERLAND_BOSS_PUBLIC_DUNGEON,LIBSETS_DROP_MECHANIC_OVERLAND_CHEST}</v>
      </c>
      <c r="BI52" s="21" t="str">
        <f t="shared" si="9"/>
        <v>}, --Seventh Legion Brute / Rohling der siebten Legion   [Bangkorai, Bangkorai, Razak's Wheel, Bangkorai]</v>
      </c>
    </row>
    <row r="53" spans="1:61" x14ac:dyDescent="0.25">
      <c r="A53" s="12">
        <v>71</v>
      </c>
      <c r="B53" t="s">
        <v>798</v>
      </c>
      <c r="C53" t="s">
        <v>2557</v>
      </c>
      <c r="D53" s="3">
        <f t="shared" si="0"/>
        <v>71</v>
      </c>
      <c r="E53" s="56"/>
      <c r="G53" s="8" t="s">
        <v>1473</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constants'!$B$4:$C$1012,2,FALSE),"")</f>
        <v>Included in base game</v>
      </c>
      <c r="V53" s="33" t="s">
        <v>3285</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8" t="s">
        <v>2653</v>
      </c>
      <c r="BA53" s="78"/>
      <c r="BB53" s="78"/>
      <c r="BC53" s="78"/>
      <c r="BD53" s="78"/>
      <c r="BE53" s="21" t="str">
        <f t="shared" si="5"/>
        <v>[71] = {wayshrines={185,185,185,}, dlcId=DLC_BASE_GAME</v>
      </c>
      <c r="BF53" s="21" t="str">
        <f t="shared" si="6"/>
        <v>, zoneIds={31,382,382}, veteran=false</v>
      </c>
      <c r="BG53" s="21" t="str">
        <f t="shared" si="7"/>
        <v>, setType=LIBSETS_SETTYPE_DUNGEON</v>
      </c>
      <c r="BH53" s="21" t="str">
        <f t="shared" si="8"/>
        <v>, dropMechanic={LIBSETS_DROP_MECHANIC_GROUP_DUNGEON_BOSS}</v>
      </c>
      <c r="BI53" s="21" t="str">
        <f t="shared" si="9"/>
        <v>}, --Durok\'s Bane / Duroks Fluch   [Selene's Web, Reaper's March, Reaper's March]</v>
      </c>
    </row>
    <row r="54" spans="1:61" x14ac:dyDescent="0.25">
      <c r="A54" s="12">
        <v>72</v>
      </c>
      <c r="B54" t="s">
        <v>799</v>
      </c>
      <c r="C54" t="s">
        <v>2558</v>
      </c>
      <c r="D54" s="3">
        <f t="shared" si="0"/>
        <v>72</v>
      </c>
      <c r="E54" s="56"/>
      <c r="G54" s="8" t="s">
        <v>1473</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constants'!$B$4:$C$1012,2,FALSE),"")</f>
        <v>Included in base game</v>
      </c>
      <c r="V54" s="33" t="s">
        <v>3285</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8" t="s">
        <v>2653</v>
      </c>
      <c r="BA54" s="78"/>
      <c r="BB54" s="78"/>
      <c r="BC54" s="78"/>
      <c r="BD54" s="78"/>
      <c r="BE54" s="21" t="str">
        <f t="shared" si="5"/>
        <v>[72] = {wayshrines={187,187,187,}, dlcId=DLC_BASE_GAME</v>
      </c>
      <c r="BF54" s="21" t="str">
        <f t="shared" si="6"/>
        <v>, zoneIds={64,103,103}, veteran=false</v>
      </c>
      <c r="BG54" s="21" t="str">
        <f t="shared" si="7"/>
        <v>, setType=LIBSETS_SETTYPE_DUNGEON</v>
      </c>
      <c r="BH54" s="21" t="str">
        <f t="shared" si="8"/>
        <v>, dropMechanic={LIBSETS_DROP_MECHANIC_GROUP_DUNGEON_BOSS}</v>
      </c>
      <c r="BI54" s="21" t="str">
        <f t="shared" si="9"/>
        <v>}, --Nikulas\' Heavy Armor / Nikulas' schwere Rüstung   [Blessed Crucible, The Rift, The Rift]</v>
      </c>
    </row>
    <row r="55" spans="1:61" x14ac:dyDescent="0.25">
      <c r="A55" s="5">
        <v>73</v>
      </c>
      <c r="B55" t="s">
        <v>800</v>
      </c>
      <c r="C55" t="s">
        <v>2559</v>
      </c>
      <c r="D55" s="3">
        <f t="shared" si="0"/>
        <v>73</v>
      </c>
      <c r="E55" s="56"/>
      <c r="G55" s="8" t="s">
        <v>1470</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constants'!$B$4:$C$1012,2,FALSE),"")</f>
        <v>Included in base game</v>
      </c>
      <c r="V55" s="33" t="s">
        <v>3288</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constants'!$A$5:$D$10001,4,FALSE),"")</f>
        <v>Coldharbour</v>
      </c>
      <c r="AB55" s="33" t="s">
        <v>3288</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8" t="s">
        <v>2653</v>
      </c>
      <c r="BA55" s="78"/>
      <c r="BB55" s="78"/>
      <c r="BC55" s="78"/>
      <c r="BD55" s="78"/>
      <c r="BE55" s="21" t="str">
        <f t="shared" si="5"/>
        <v>[73] = {wayshrines={135,135,135,}, traitsNeeded=8, dlcId=DLC_BASE_GAME</v>
      </c>
      <c r="BF55" s="21" t="str">
        <f t="shared" si="6"/>
        <v>, zoneIds={347,347,347}, veteran=false</v>
      </c>
      <c r="BG55" s="21" t="str">
        <f t="shared" si="7"/>
        <v>, setType=LIBSETS_SETTYPE_CRAFTED</v>
      </c>
      <c r="BH55" s="21" t="str">
        <f t="shared" si="8"/>
        <v>, dropMechanic={LIBSETS_DROP_MECHANIC_CRAFTED,LIBSETS_DROP_MECHANIC_CRAFTED}</v>
      </c>
      <c r="BI55" s="21" t="str">
        <f t="shared" si="9"/>
        <v>}, --Oblivion\'s Foe / Erinnerung   [Coldharbour, Coldharbour, Coldharbour]</v>
      </c>
    </row>
    <row r="56" spans="1:61" x14ac:dyDescent="0.25">
      <c r="A56" s="5">
        <v>74</v>
      </c>
      <c r="B56" t="s">
        <v>801</v>
      </c>
      <c r="C56" t="s">
        <v>2560</v>
      </c>
      <c r="D56" s="3">
        <f t="shared" si="0"/>
        <v>74</v>
      </c>
      <c r="E56" s="56"/>
      <c r="G56" s="8" t="s">
        <v>1470</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constants'!$B$4:$C$1012,2,FALSE),"")</f>
        <v>Included in base game</v>
      </c>
      <c r="V56" s="33" t="s">
        <v>3288</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constants'!$A$5:$D$10001,4,FALSE),"")</f>
        <v>Coldharbour</v>
      </c>
      <c r="AB56" s="33" t="s">
        <v>3288</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8" t="s">
        <v>2653</v>
      </c>
      <c r="BA56" s="78"/>
      <c r="BB56" s="78"/>
      <c r="BC56" s="78"/>
      <c r="BD56" s="78"/>
      <c r="BE56" s="21" t="str">
        <f t="shared" si="5"/>
        <v>[74] = {wayshrines={133,133,133,}, traitsNeeded=8, dlcId=DLC_BASE_GAME</v>
      </c>
      <c r="BF56" s="21" t="str">
        <f t="shared" si="6"/>
        <v>, zoneIds={347,347,347}, veteran=false</v>
      </c>
      <c r="BG56" s="21" t="str">
        <f t="shared" si="7"/>
        <v>, setType=LIBSETS_SETTYPE_CRAFTED</v>
      </c>
      <c r="BH56" s="21" t="str">
        <f t="shared" si="8"/>
        <v>, dropMechanic={LIBSETS_DROP_MECHANIC_CRAFTED,LIBSETS_DROP_MECHANIC_CRAFTED}</v>
      </c>
      <c r="BI56" s="21" t="str">
        <f t="shared" si="9"/>
        <v>}, --Spectre\'s Eye / Schemenauge   [Coldharbour, Coldharbour, Coldharbour]</v>
      </c>
    </row>
    <row r="57" spans="1:61" x14ac:dyDescent="0.25">
      <c r="A57" s="5">
        <v>75</v>
      </c>
      <c r="B57" t="s">
        <v>802</v>
      </c>
      <c r="C57" t="s">
        <v>2561</v>
      </c>
      <c r="D57" s="3">
        <f t="shared" si="0"/>
        <v>75</v>
      </c>
      <c r="E57" s="56"/>
      <c r="G57" s="8" t="s">
        <v>1470</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constants'!$B$4:$C$1012,2,FALSE),"")</f>
        <v>Included in base game</v>
      </c>
      <c r="V57" s="33" t="s">
        <v>3288</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constants'!$A$5:$D$10001,4,FALSE),"")</f>
        <v>Grahtwood</v>
      </c>
      <c r="AB57" s="33" t="s">
        <v>3288</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constants'!$A$5:$D$10001,4,FALSE),"")</f>
        <v>Deshaan</v>
      </c>
      <c r="AH57" s="33" t="s">
        <v>3288</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8" t="s">
        <v>2654</v>
      </c>
      <c r="BA57" s="78"/>
      <c r="BB57" s="78"/>
      <c r="BC57" s="78"/>
      <c r="BD57" s="78"/>
      <c r="BE57" s="21" t="str">
        <f t="shared" si="5"/>
        <v>[75] = {wayshrines={19,165,24,}, traitsNeeded=3, dlcId=DLC_BASE_GAME</v>
      </c>
      <c r="BF57" s="21" t="str">
        <f t="shared" si="6"/>
        <v>, zoneIds={19,383,57}, veteran=false</v>
      </c>
      <c r="BG57" s="21" t="str">
        <f t="shared" si="7"/>
        <v>, setType=LIBSETS_SETTYPE_CRAFTED</v>
      </c>
      <c r="BH57" s="21" t="str">
        <f t="shared" si="8"/>
        <v>, isProcSetAllowedInPvP=1, dropMechanic={LIBSETS_DROP_MECHANIC_CRAFTED,LIBSETS_DROP_MECHANIC_CRAFTED,LIBSETS_DROP_MECHANIC_CRAFTED}</v>
      </c>
      <c r="BI57" s="21" t="str">
        <f t="shared" si="9"/>
        <v>}, --Torug\'s Pact / Torugs Pakt   [Stormhaven, Grahtwood, Deshaan]</v>
      </c>
    </row>
    <row r="58" spans="1:61" x14ac:dyDescent="0.25">
      <c r="A58" s="12">
        <v>76</v>
      </c>
      <c r="B58" t="s">
        <v>803</v>
      </c>
      <c r="C58" t="s">
        <v>804</v>
      </c>
      <c r="D58" s="3">
        <f t="shared" si="0"/>
        <v>76</v>
      </c>
      <c r="E58" s="56"/>
      <c r="G58" s="8" t="s">
        <v>1471</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constants'!$B$4:$C$1012,2,FALSE),"")</f>
        <v>Included in base game</v>
      </c>
      <c r="V58" s="33" t="s">
        <v>2770</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constants'!$A$5:$D$10001,4,FALSE),"")</f>
        <v>Cyrodiil</v>
      </c>
      <c r="AB58" s="33" t="s">
        <v>3737</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constants'!$A$5:$D$10001,4,FALSE),"")</f>
        <v>Cyrodiil</v>
      </c>
      <c r="AH58" s="33" t="s">
        <v>2765</v>
      </c>
      <c r="AK58" s="3">
        <f>IF(AND(G58&lt;&gt;"LIBSETS_SETTYPE_BATTLEGROUND",G58&lt;&gt;"LIBSETS_SETTYPE_SPECIAL"),IF(AL58&lt;&gt;"",VLOOKUP(AL58,'ESO zone constants'!$D$5:$H$4955,5,FALSE),""),"")</f>
        <v>181</v>
      </c>
      <c r="AL58" t="s">
        <v>125</v>
      </c>
      <c r="AM58" s="33" t="s">
        <v>3740</v>
      </c>
      <c r="AP58" s="3">
        <f>IF(AND(G58&lt;&gt;"LIBSETS_SETTYPE_BATTLEGROUND",G58&lt;&gt;"LIBSETS_SETTYPE_SPECIAL"),IF(AQ58&lt;&gt;"",VLOOKUP(AQ58,'ESO zone constants'!$D$5:$H$4955,5,FALSE),""),"")</f>
        <v>181</v>
      </c>
      <c r="AQ58" t="s">
        <v>125</v>
      </c>
      <c r="AR58" s="33" t="s">
        <v>1554</v>
      </c>
      <c r="AU58" s="3">
        <f>IF(AND(G58&lt;&gt;"LIBSETS_SETTYPE_BATTLEGROUND",G58&lt;&gt;"LIBSETS_SETTYPE_SPECIAL"),IF(AV58&lt;&gt;"",VLOOKUP(AV58,'ESO zone constants'!$D$5:$H$4955,5,FALSE),""),"")</f>
        <v>181</v>
      </c>
      <c r="AV58" t="s">
        <v>125</v>
      </c>
      <c r="AW58" s="33" t="s">
        <v>3236</v>
      </c>
      <c r="AZ58" s="78" t="s">
        <v>2654</v>
      </c>
      <c r="BA58" s="78"/>
      <c r="BB58" s="78"/>
      <c r="BC58" s="78"/>
      <c r="BD58" s="78"/>
      <c r="BE58" s="21" t="str">
        <f t="shared" si="5"/>
        <v>[76] = {wayshrines={-1,-1,-1,}, dlcId=DLC_BASE_GAME</v>
      </c>
      <c r="BF58" s="21" t="str">
        <f t="shared" si="6"/>
        <v>, zoneIds={181,181,181,181,181,181}, veteran=false</v>
      </c>
      <c r="BG58" s="21" t="str">
        <f t="shared" si="7"/>
        <v>, setType=LIBSETS_SETTYPE_CYRODIIL</v>
      </c>
      <c r="BH58" s="21" t="str">
        <f t="shared" si="8"/>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 t="shared" si="9"/>
        <v>}, --Robes of Alteration Mastery / Roben der Veränderungsbeherrschung   [Cyrodiil, Cyrodiil, Cyrodiil, Cyrodiil, Cyrodiil, Cyrodiil]</v>
      </c>
    </row>
    <row r="59" spans="1:61" x14ac:dyDescent="0.25">
      <c r="A59" s="12">
        <v>77</v>
      </c>
      <c r="B59" t="s">
        <v>805</v>
      </c>
      <c r="C59" t="s">
        <v>806</v>
      </c>
      <c r="D59" s="3">
        <f t="shared" si="0"/>
        <v>77</v>
      </c>
      <c r="E59" s="56"/>
      <c r="G59" s="8" t="s">
        <v>1473</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constants'!$B$4:$C$1012,2,FALSE),"")</f>
        <v>Included in base game</v>
      </c>
      <c r="V59" s="33" t="s">
        <v>3285</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8" t="s">
        <v>2653</v>
      </c>
      <c r="BA59" s="78"/>
      <c r="BB59" s="78"/>
      <c r="BC59" s="78"/>
      <c r="BD59" s="78"/>
      <c r="BE59" s="21" t="str">
        <f t="shared" si="5"/>
        <v>[77] = {wayshrines={196,196,196,}, dlcId=DLC_BASE_GAME</v>
      </c>
      <c r="BF59" s="21" t="str">
        <f t="shared" si="6"/>
        <v>, zoneIds={22,104,104}, veteran=false</v>
      </c>
      <c r="BG59" s="21" t="str">
        <f t="shared" si="7"/>
        <v>, setType=LIBSETS_SETTYPE_DUNGEON</v>
      </c>
      <c r="BH59" s="21" t="str">
        <f t="shared" si="8"/>
        <v>, dropMechanic={LIBSETS_DROP_MECHANIC_GROUP_DUNGEON_BOSS}</v>
      </c>
      <c r="BI59" s="21" t="str">
        <f t="shared" si="9"/>
        <v>}, --Crusader / Glaubenskrieger   [Volenfell, Alik'r Desert, Alik'r Desert]</v>
      </c>
    </row>
    <row r="60" spans="1:61" x14ac:dyDescent="0.25">
      <c r="A60" s="5">
        <v>78</v>
      </c>
      <c r="B60" t="s">
        <v>807</v>
      </c>
      <c r="C60" t="s">
        <v>808</v>
      </c>
      <c r="D60" s="3">
        <f t="shared" si="0"/>
        <v>78</v>
      </c>
      <c r="E60" s="56"/>
      <c r="G60" s="8" t="s">
        <v>1470</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constants'!$B$4:$C$1012,2,FALSE),"")</f>
        <v>Included in base game</v>
      </c>
      <c r="V60" s="33" t="s">
        <v>3288</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constants'!$A$5:$D$10001,4,FALSE),"")</f>
        <v>Greenshade</v>
      </c>
      <c r="AB60" s="33" t="s">
        <v>3288</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constants'!$A$5:$D$10001,4,FALSE),"")</f>
        <v>Shadowfen</v>
      </c>
      <c r="AH60" s="33" t="s">
        <v>3288</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8" t="s">
        <v>2653</v>
      </c>
      <c r="BA60" s="78"/>
      <c r="BB60" s="78"/>
      <c r="BC60" s="78"/>
      <c r="BD60" s="78"/>
      <c r="BE60" s="21" t="str">
        <f t="shared" si="5"/>
        <v>[78] = {wayshrines={9,154,51,}, traitsNeeded=4, dlcId=DLC_BASE_GAME</v>
      </c>
      <c r="BF60" s="21" t="str">
        <f t="shared" si="6"/>
        <v>, zoneIds={20,108,117}, veteran=false</v>
      </c>
      <c r="BG60" s="21" t="str">
        <f t="shared" si="7"/>
        <v>, setType=LIBSETS_SETTYPE_CRAFTED</v>
      </c>
      <c r="BH60" s="21" t="str">
        <f t="shared" si="8"/>
        <v>, dropMechanic={LIBSETS_DROP_MECHANIC_CRAFTED,LIBSETS_DROP_MECHANIC_CRAFTED,LIBSETS_DROP_MECHANIC_CRAFTED}</v>
      </c>
      <c r="BI60" s="21" t="str">
        <f t="shared" si="9"/>
        <v>}, --Hist Bark / Histrinde   [Rivenspire, Greenshade, Shadowfen]</v>
      </c>
    </row>
    <row r="61" spans="1:61" x14ac:dyDescent="0.25">
      <c r="A61" s="5">
        <v>79</v>
      </c>
      <c r="B61" t="s">
        <v>809</v>
      </c>
      <c r="C61" t="s">
        <v>2562</v>
      </c>
      <c r="D61" s="3">
        <f t="shared" si="0"/>
        <v>79</v>
      </c>
      <c r="E61" s="56"/>
      <c r="G61" s="8" t="s">
        <v>1470</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constants'!$B$4:$C$1012,2,FALSE),"")</f>
        <v>Included in base game</v>
      </c>
      <c r="V61" s="33" t="s">
        <v>3288</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constants'!$A$5:$D$10001,4,FALSE),"")</f>
        <v>Reaper's March</v>
      </c>
      <c r="AB61" s="33" t="s">
        <v>3288</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constants'!$A$5:$D$10001,4,FALSE),"")</f>
        <v>The Rift</v>
      </c>
      <c r="AH61" s="33" t="s">
        <v>3288</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8" t="s">
        <v>2654</v>
      </c>
      <c r="BA61" s="78"/>
      <c r="BB61" s="78"/>
      <c r="BC61" s="78"/>
      <c r="BD61" s="78"/>
      <c r="BE61" s="21" t="str">
        <f t="shared" si="5"/>
        <v>[79] = {wayshrines={35,144,111,}, traitsNeeded=6, dlcId=DLC_BASE_GAME</v>
      </c>
      <c r="BF61" s="21" t="str">
        <f t="shared" si="6"/>
        <v>, zoneIds={92,382,103}, veteran=false</v>
      </c>
      <c r="BG61" s="21" t="str">
        <f t="shared" si="7"/>
        <v>, setType=LIBSETS_SETTYPE_CRAFTED</v>
      </c>
      <c r="BH61" s="21" t="str">
        <f t="shared" si="8"/>
        <v>, isProcSetAllowedInPvP=1, dropMechanic={LIBSETS_DROP_MECHANIC_CRAFTED,LIBSETS_DROP_MECHANIC_CRAFTED,LIBSETS_DROP_MECHANIC_CRAFTED}</v>
      </c>
      <c r="BI61" s="21" t="str">
        <f t="shared" si="9"/>
        <v>}, --Willow\'s Path / Weidenpfad   [Bangkorai, Reaper's March, The Rift]</v>
      </c>
    </row>
    <row r="62" spans="1:61" x14ac:dyDescent="0.25">
      <c r="A62" s="5">
        <v>80</v>
      </c>
      <c r="B62" t="s">
        <v>810</v>
      </c>
      <c r="C62" t="s">
        <v>2563</v>
      </c>
      <c r="D62" s="3">
        <f t="shared" si="0"/>
        <v>80</v>
      </c>
      <c r="E62" s="56"/>
      <c r="G62" s="8" t="s">
        <v>1470</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constants'!$B$4:$C$1012,2,FALSE),"")</f>
        <v>Included in base game</v>
      </c>
      <c r="V62" s="33" t="s">
        <v>3288</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constants'!$A$5:$D$10001,4,FALSE),"")</f>
        <v>Reaper's March</v>
      </c>
      <c r="AB62" s="33" t="s">
        <v>3288</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constants'!$A$5:$D$10001,4,FALSE),"")</f>
        <v>The Rift</v>
      </c>
      <c r="AH62" s="33" t="s">
        <v>3288</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8" t="s">
        <v>2653</v>
      </c>
      <c r="BA62" s="78"/>
      <c r="BB62" s="78"/>
      <c r="BC62" s="78"/>
      <c r="BD62" s="78"/>
      <c r="BE62" s="21" t="str">
        <f t="shared" si="5"/>
        <v>[80] = {wayshrines={39,161,113,}, traitsNeeded=6, dlcId=DLC_BASE_GAME</v>
      </c>
      <c r="BF62" s="21" t="str">
        <f t="shared" si="6"/>
        <v>, zoneIds={92,382,103}, veteran=false</v>
      </c>
      <c r="BG62" s="21" t="str">
        <f t="shared" si="7"/>
        <v>, setType=LIBSETS_SETTYPE_CRAFTED</v>
      </c>
      <c r="BH62" s="21" t="str">
        <f t="shared" si="8"/>
        <v>, dropMechanic={LIBSETS_DROP_MECHANIC_CRAFTED,LIBSETS_DROP_MECHANIC_CRAFTED,LIBSETS_DROP_MECHANIC_CRAFTED}</v>
      </c>
      <c r="BI62" s="21" t="str">
        <f t="shared" si="9"/>
        <v>}, --Hunding\'s Rage / Hundings Zorn   [Bangkorai, Reaper's March, The Rift]</v>
      </c>
    </row>
    <row r="63" spans="1:61" x14ac:dyDescent="0.25">
      <c r="A63" s="5">
        <v>81</v>
      </c>
      <c r="B63" t="s">
        <v>811</v>
      </c>
      <c r="C63" t="s">
        <v>812</v>
      </c>
      <c r="D63" s="3">
        <f t="shared" si="0"/>
        <v>81</v>
      </c>
      <c r="G63" s="8" t="s">
        <v>1470</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constants'!$B$4:$C$1012,2,FALSE),"")</f>
        <v>Included in base game</v>
      </c>
      <c r="V63" s="33" t="s">
        <v>3288</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constants'!$A$5:$D$10001,4,FALSE),"")</f>
        <v>Malabal Tor</v>
      </c>
      <c r="AB63" s="33" t="s">
        <v>3288</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constants'!$A$5:$D$10001,4,FALSE),"")</f>
        <v>Eastmarch</v>
      </c>
      <c r="AH63" s="33" t="s">
        <v>3288</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8" t="s">
        <v>2653</v>
      </c>
      <c r="BA63" s="78"/>
      <c r="BB63" s="78"/>
      <c r="BC63" s="78"/>
      <c r="BD63" s="78"/>
      <c r="BE63" s="21" t="str">
        <f t="shared" si="5"/>
        <v>[81] = {wayshrines={137,103,89,}, traitsNeeded=5, dlcId=DLC_BASE_GAME</v>
      </c>
      <c r="BF63" s="21" t="str">
        <f t="shared" si="6"/>
        <v>, zoneIds={104,58,101}, veteran=false</v>
      </c>
      <c r="BG63" s="21" t="str">
        <f t="shared" si="7"/>
        <v>, setType=LIBSETS_SETTYPE_CRAFTED</v>
      </c>
      <c r="BH63" s="21" t="str">
        <f t="shared" si="8"/>
        <v>, dropMechanic={LIBSETS_DROP_MECHANIC_CRAFTED,LIBSETS_DROP_MECHANIC_CRAFTED,LIBSETS_DROP_MECHANIC_CRAFTED}</v>
      </c>
      <c r="BI63" s="21" t="str">
        <f t="shared" si="9"/>
        <v>}, --Song of Lamae / Lied der Lamien   [Alik'r Desert, Malabal Tor, Eastmarch]</v>
      </c>
    </row>
    <row r="64" spans="1:61" x14ac:dyDescent="0.25">
      <c r="A64" s="5">
        <v>82</v>
      </c>
      <c r="B64" t="s">
        <v>813</v>
      </c>
      <c r="C64" t="s">
        <v>2564</v>
      </c>
      <c r="D64" s="3">
        <f t="shared" si="0"/>
        <v>82</v>
      </c>
      <c r="G64" s="8" t="s">
        <v>1470</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constants'!$B$4:$C$1012,2,FALSE),"")</f>
        <v>Included in base game</v>
      </c>
      <c r="V64" s="33" t="s">
        <v>3288</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constants'!$A$5:$D$10001,4,FALSE),"")</f>
        <v>Malabal Tor</v>
      </c>
      <c r="AB64" s="33" t="s">
        <v>3288</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constants'!$A$5:$D$10001,4,FALSE),"")</f>
        <v>Eastmarch</v>
      </c>
      <c r="AH64" s="33" t="s">
        <v>3288</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8" t="s">
        <v>2653</v>
      </c>
      <c r="BA64" s="78"/>
      <c r="BB64" s="78"/>
      <c r="BC64" s="78"/>
      <c r="BD64" s="78"/>
      <c r="BE64" s="21" t="str">
        <f t="shared" si="5"/>
        <v>[82] = {wayshrines={155,105,95,}, traitsNeeded=5, dlcId=DLC_BASE_GAME</v>
      </c>
      <c r="BF64" s="21" t="str">
        <f t="shared" si="6"/>
        <v>, zoneIds={104,58,101}, veteran=false</v>
      </c>
      <c r="BG64" s="21" t="str">
        <f t="shared" si="7"/>
        <v>, setType=LIBSETS_SETTYPE_CRAFTED</v>
      </c>
      <c r="BH64" s="21" t="str">
        <f t="shared" si="8"/>
        <v>, dropMechanic={LIBSETS_DROP_MECHANIC_CRAFTED,LIBSETS_DROP_MECHANIC_CRAFTED,LIBSETS_DROP_MECHANIC_CRAFTED}</v>
      </c>
      <c r="BI64" s="21" t="str">
        <f t="shared" si="9"/>
        <v>}, --Alessia\'s Bulwark / Alessias Bollwerk   [Alik'r Desert, Malabal Tor, Eastmarch]</v>
      </c>
    </row>
    <row r="65" spans="1:61" x14ac:dyDescent="0.25">
      <c r="A65" s="12">
        <v>83</v>
      </c>
      <c r="B65" t="s">
        <v>814</v>
      </c>
      <c r="C65" t="s">
        <v>815</v>
      </c>
      <c r="D65" s="3">
        <f t="shared" si="0"/>
        <v>83</v>
      </c>
      <c r="E65" s="40"/>
      <c r="G65" s="8" t="s">
        <v>1471</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constants'!$B$4:$C$1012,2,FALSE),"")</f>
        <v>Included in base game</v>
      </c>
      <c r="V65" s="33" t="s">
        <v>1529</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constants'!$A$5:$D$10001,4,FALSE),"")</f>
        <v>Cyrodiil</v>
      </c>
      <c r="AB65" s="33" t="s">
        <v>3737</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constants'!$A$5:$D$10001,4,FALSE),"")</f>
        <v>Cyrodiil</v>
      </c>
      <c r="AH65" s="33" t="s">
        <v>2765</v>
      </c>
      <c r="AK65" s="3">
        <f>IF(AND(G65&lt;&gt;"LIBSETS_SETTYPE_BATTLEGROUND",G65&lt;&gt;"LIBSETS_SETTYPE_SPECIAL"),IF(AL65&lt;&gt;"",VLOOKUP(AL65,'ESO zone constants'!$D$5:$H$4955,5,FALSE),""),"")</f>
        <v>181</v>
      </c>
      <c r="AL65" t="s">
        <v>125</v>
      </c>
      <c r="AM65" s="33" t="s">
        <v>3740</v>
      </c>
      <c r="AP65" s="3">
        <f>IF(AND(G65&lt;&gt;"LIBSETS_SETTYPE_BATTLEGROUND",G65&lt;&gt;"LIBSETS_SETTYPE_SPECIAL"),IF(AQ65&lt;&gt;"",VLOOKUP(AQ65,'ESO zone constants'!$D$5:$H$4955,5,FALSE),""),"")</f>
        <v>181</v>
      </c>
      <c r="AQ65" t="s">
        <v>125</v>
      </c>
      <c r="AR65" s="33" t="s">
        <v>1554</v>
      </c>
      <c r="AU65" s="3">
        <f>IF(AND(G65&lt;&gt;"LIBSETS_SETTYPE_BATTLEGROUND",G65&lt;&gt;"LIBSETS_SETTYPE_SPECIAL"),IF(AV65&lt;&gt;"",VLOOKUP(AV65,'ESO zone constants'!$D$5:$H$4955,5,FALSE),""),"")</f>
        <v>181</v>
      </c>
      <c r="AV65" t="s">
        <v>125</v>
      </c>
      <c r="AW65" s="33" t="s">
        <v>3236</v>
      </c>
      <c r="AZ65" s="78" t="s">
        <v>2654</v>
      </c>
      <c r="BA65" s="78"/>
      <c r="BB65" s="78"/>
      <c r="BC65" s="78"/>
      <c r="BD65" s="78"/>
      <c r="BE65" s="21" t="str">
        <f t="shared" si="5"/>
        <v>[83] = {wayshrines={-1,-1,-1,}, dlcId=DLC_BASE_GAME</v>
      </c>
      <c r="BF65" s="21" t="str">
        <f t="shared" si="6"/>
        <v>, zoneIds={181,181,181,181,181,181}, veteran=false</v>
      </c>
      <c r="BG65" s="21" t="str">
        <f t="shared" si="7"/>
        <v>, setType=LIBSETS_SETTYPE_CYRODIIL</v>
      </c>
      <c r="BH65" s="21" t="str">
        <f t="shared" si="8"/>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 t="shared" si="9"/>
        <v>}, --Elf Bane / Elfenfluch   [Cyrodiil, Cyrodiil, Cyrodiil, Cyrodiil, Cyrodiil, Cyrodiil]</v>
      </c>
    </row>
    <row r="66" spans="1:61" x14ac:dyDescent="0.25">
      <c r="A66" s="5">
        <v>84</v>
      </c>
      <c r="B66" t="s">
        <v>816</v>
      </c>
      <c r="C66" t="s">
        <v>2565</v>
      </c>
      <c r="D66" s="3">
        <f t="shared" si="0"/>
        <v>84</v>
      </c>
      <c r="G66" s="8" t="s">
        <v>1470</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constants'!$B$4:$C$1012,2,FALSE),"")</f>
        <v>Included in base game</v>
      </c>
      <c r="V66" s="33" t="s">
        <v>3288</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constants'!$A$5:$D$10001,4,FALSE),"")</f>
        <v>Imperial Sewers</v>
      </c>
      <c r="AB66" s="33" t="s">
        <v>3288</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8" t="s">
        <v>2654</v>
      </c>
      <c r="BA66" s="78"/>
      <c r="BB66" s="78"/>
      <c r="BC66" s="78"/>
      <c r="BD66" s="78"/>
      <c r="BE66" s="21" t="str">
        <f t="shared" si="5"/>
        <v>[84] = {wayshrines={-2,-2,-2,}, traitsNeeded=8, dlcId=DLC_BASE_GAME</v>
      </c>
      <c r="BF66" s="21" t="str">
        <f t="shared" si="6"/>
        <v>, zoneIds={208,643}, veteran=false</v>
      </c>
      <c r="BG66" s="21" t="str">
        <f t="shared" si="7"/>
        <v>, setType=LIBSETS_SETTYPE_CRAFTED</v>
      </c>
      <c r="BH66" s="21" t="str">
        <f t="shared" si="8"/>
        <v>, isProcSetAllowedInPvP=1, dropMechanic={LIBSETS_DROP_MECHANIC_CRAFTED,LIBSETS_DROP_MECHANIC_CRAFTED}</v>
      </c>
      <c r="BI66" s="21" t="str">
        <f t="shared" si="9"/>
        <v>}, --Orgnum\'s Scales / Orgnums Schuppen   [The Earth Forge, Imperial Sewers]</v>
      </c>
    </row>
    <row r="67" spans="1:61" x14ac:dyDescent="0.25">
      <c r="A67" s="12">
        <v>85</v>
      </c>
      <c r="B67" t="s">
        <v>817</v>
      </c>
      <c r="C67" t="s">
        <v>2566</v>
      </c>
      <c r="D67" s="3">
        <f t="shared" ref="D67:D130" si="10">A67</f>
        <v>85</v>
      </c>
      <c r="G67" s="8" t="s">
        <v>1471</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constants'!$B$4:$C$1012,2,FALSE),"")</f>
        <v>Included in base game</v>
      </c>
      <c r="V67" s="33" t="s">
        <v>2770</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constants'!$A$5:$D$10001,4,FALSE),"")</f>
        <v>Cyrodiil</v>
      </c>
      <c r="AB67" s="33" t="s">
        <v>3737</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constants'!$A$5:$D$10001,4,FALSE),"")</f>
        <v>Cyrodiil</v>
      </c>
      <c r="AH67" s="33" t="s">
        <v>2765</v>
      </c>
      <c r="AK67" s="3">
        <f>IF(AND(G67&lt;&gt;"LIBSETS_SETTYPE_BATTLEGROUND",G67&lt;&gt;"LIBSETS_SETTYPE_SPECIAL"),IF(AL67&lt;&gt;"",VLOOKUP(AL67,'ESO zone constants'!$D$5:$H$4955,5,FALSE),""),"")</f>
        <v>181</v>
      </c>
      <c r="AL67" t="s">
        <v>125</v>
      </c>
      <c r="AM67" s="33" t="s">
        <v>3740</v>
      </c>
      <c r="AP67" s="3">
        <f>IF(AND(G67&lt;&gt;"LIBSETS_SETTYPE_BATTLEGROUND",G67&lt;&gt;"LIBSETS_SETTYPE_SPECIAL"),IF(AQ67&lt;&gt;"",VLOOKUP(AQ67,'ESO zone constants'!$D$5:$H$4955,5,FALSE),""),"")</f>
        <v>181</v>
      </c>
      <c r="AQ67" t="s">
        <v>125</v>
      </c>
      <c r="AR67" s="33" t="s">
        <v>1554</v>
      </c>
      <c r="AU67" s="3">
        <f>IF(AND(G67&lt;&gt;"LIBSETS_SETTYPE_BATTLEGROUND",G67&lt;&gt;"LIBSETS_SETTYPE_SPECIAL"),IF(AV67&lt;&gt;"",VLOOKUP(AV67,'ESO zone constants'!$D$5:$H$4955,5,FALSE),""),"")</f>
        <v>181</v>
      </c>
      <c r="AV67" t="s">
        <v>125</v>
      </c>
      <c r="AW67" s="33" t="s">
        <v>3236</v>
      </c>
      <c r="AZ67" s="78" t="s">
        <v>2653</v>
      </c>
      <c r="BA67" s="78"/>
      <c r="BB67" s="78"/>
      <c r="BC67" s="78"/>
      <c r="BD67" s="78"/>
      <c r="BE67" s="21" t="str">
        <f t="shared" si="5"/>
        <v>[85] = {wayshrines={-1,-1,-1,}, dlcId=DLC_BASE_GAME</v>
      </c>
      <c r="BF67" s="21" t="str">
        <f t="shared" si="6"/>
        <v>, zoneIds={181,181,181,181,181,181}, veteran=false</v>
      </c>
      <c r="BG67" s="21" t="str">
        <f t="shared" si="7"/>
        <v>, setType=LIBSETS_SETTYPE_CYRODIIL</v>
      </c>
      <c r="BH67"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 t="shared" si="9"/>
        <v>}, --Almalexia\'s Mercy / Almalexias Gnade   [Cyrodiil, Cyrodiil, Cyrodiil, Cyrodiil, Cyrodiil, Cyrodiil]</v>
      </c>
    </row>
    <row r="68" spans="1:61" x14ac:dyDescent="0.25">
      <c r="A68" s="12">
        <v>86</v>
      </c>
      <c r="B68" t="s">
        <v>818</v>
      </c>
      <c r="C68" t="s">
        <v>2567</v>
      </c>
      <c r="D68" s="3">
        <f t="shared" si="10"/>
        <v>86</v>
      </c>
      <c r="G68" s="8" t="s">
        <v>1476</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constants'!$B$4:$C$1012,2,FALSE),"")</f>
        <v>Included in base game</v>
      </c>
      <c r="V68" s="33" t="s">
        <v>1554</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constants'!$A$5:$D$10001,4,FALSE),"")</f>
        <v>Auridon</v>
      </c>
      <c r="AB68" s="33" t="s">
        <v>1555</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constants'!$A$5:$D$10001,4,FALSE),"")</f>
        <v>Toothmaul Gully</v>
      </c>
      <c r="AH68" s="42" t="s">
        <v>1556</v>
      </c>
      <c r="AI68" s="41"/>
      <c r="AJ68" s="41"/>
      <c r="AK68" s="3">
        <f>IF(AND(G68&lt;&gt;"LIBSETS_SETTYPE_BATTLEGROUND",G68&lt;&gt;"LIBSETS_SETTYPE_SPECIAL"),IF(AL68&lt;&gt;"",VLOOKUP(AL68,'ESO zone constants'!$D$5:$H$4955,5,FALSE),""),"")</f>
        <v>381</v>
      </c>
      <c r="AL68" t="s">
        <v>262</v>
      </c>
      <c r="AM68" s="33" t="s">
        <v>1557</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8" t="s">
        <v>2653</v>
      </c>
      <c r="BA68" s="78"/>
      <c r="BB68" s="78"/>
      <c r="BC68" s="78"/>
      <c r="BD68" s="78"/>
      <c r="BE68" s="21" t="str">
        <f t="shared" ref="BE68:BE131" si="11">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21" t="str">
        <f t="shared" ref="BF68:BF131" si="12">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 veteran=false</v>
      </c>
      <c r="BG68" s="21" t="str">
        <f t="shared" ref="BG68:BG131" si="13">IF(A68&lt;&gt;"",IF(F68&lt;&gt;"Not in the game (anymore)",IF(A68&lt;&gt;"",", setType="&amp;G68,"")&amp;IF(G68="LIBSETS_SETTYPE_CLASS",", classId="&amp;BC68,"")&amp;IF(J68="true",", multiTrialSet=true",""),"")
&amp; IF(AND(H68&lt;&gt;"",ISNUMBER(H68)),", undauntedChestId=" &amp; H68,""),"")</f>
        <v>, setType=LIBSETS_SETTYPE_OVERLAND</v>
      </c>
      <c r="BH68" s="21" t="str">
        <f t="shared" ref="BH68:BH131" si="14">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v>
      </c>
      <c r="BI68" s="21" t="str">
        <f t="shared" ref="BI68:BI131" si="15">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v>
      </c>
    </row>
    <row r="69" spans="1:61" x14ac:dyDescent="0.25">
      <c r="A69" s="5">
        <v>87</v>
      </c>
      <c r="B69" t="s">
        <v>819</v>
      </c>
      <c r="C69" t="s">
        <v>820</v>
      </c>
      <c r="D69" s="3">
        <f t="shared" si="10"/>
        <v>87</v>
      </c>
      <c r="G69" s="8" t="s">
        <v>1470</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constants'!$B$4:$C$1012,2,FALSE),"")</f>
        <v>Included in base game</v>
      </c>
      <c r="V69" s="33" t="s">
        <v>3288</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constants'!$A$5:$D$10001,4,FALSE),"")</f>
        <v>Imperial Sewers</v>
      </c>
      <c r="AB69" s="33" t="s">
        <v>3288</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8" t="s">
        <v>2654</v>
      </c>
      <c r="BA69" s="78"/>
      <c r="BB69" s="78"/>
      <c r="BC69" s="78"/>
      <c r="BD69" s="78"/>
      <c r="BE69" s="21" t="str">
        <f t="shared" si="11"/>
        <v>[87] = {wayshrines={-2,-2,-2,}, traitsNeeded=8, dlcId=DLC_BASE_GAME</v>
      </c>
      <c r="BF69" s="21" t="str">
        <f t="shared" si="12"/>
        <v>, zoneIds={267,643}, veteran=false</v>
      </c>
      <c r="BG69" s="21" t="str">
        <f t="shared" si="13"/>
        <v>, setType=LIBSETS_SETTYPE_CRAFTED</v>
      </c>
      <c r="BH69" s="21" t="str">
        <f t="shared" si="14"/>
        <v>, isProcSetAllowedInPvP=1, dropMechanic={LIBSETS_DROP_MECHANIC_CRAFTED,LIBSETS_DROP_MECHANIC_CRAFTED}</v>
      </c>
      <c r="BI69" s="21" t="str">
        <f t="shared" si="15"/>
        <v>}, --Eyes of Mara / Augen von Mara   [Eyevea, Imperial Sewers]</v>
      </c>
    </row>
    <row r="70" spans="1:61" x14ac:dyDescent="0.25">
      <c r="A70" s="12">
        <v>88</v>
      </c>
      <c r="B70" t="s">
        <v>821</v>
      </c>
      <c r="C70" t="s">
        <v>822</v>
      </c>
      <c r="D70" s="3">
        <f t="shared" si="10"/>
        <v>88</v>
      </c>
      <c r="G70" s="8" t="s">
        <v>1468</v>
      </c>
      <c r="I70" t="s">
        <v>91</v>
      </c>
      <c r="J70" t="s">
        <v>91</v>
      </c>
      <c r="K70">
        <v>270</v>
      </c>
      <c r="L70">
        <v>270</v>
      </c>
      <c r="M70">
        <v>270</v>
      </c>
      <c r="O70" s="61" t="s">
        <v>439</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constants'!$B$4:$C$1012,2,FALSE),"")</f>
        <v>Clockwork City</v>
      </c>
      <c r="V70" s="33" t="s">
        <v>1550</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constants'!$A$5:$D$10001,4,FALSE),"")</f>
        <v>Craglorn</v>
      </c>
      <c r="AB70" s="33" t="s">
        <v>1550</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8" t="s">
        <v>2654</v>
      </c>
      <c r="BA70" s="78"/>
      <c r="BB70" s="78"/>
      <c r="BC70" s="78"/>
      <c r="BD70" s="78"/>
      <c r="BE70" s="21" t="str">
        <f t="shared" si="11"/>
        <v>[88] = {wayshrines={270,270,270,}, dlcId=DLC_CLOCKWORK_CITY</v>
      </c>
      <c r="BF70" s="21" t="str">
        <f t="shared" si="12"/>
        <v>, zoneIds={635,888,888}, veteran=false</v>
      </c>
      <c r="BG70" s="21" t="str">
        <f t="shared" si="13"/>
        <v>, setType=LIBSETS_SETTYPE_ARENA</v>
      </c>
      <c r="BH70" s="21" t="str">
        <f t="shared" si="14"/>
        <v>, isProcSetAllowedInPvP=1, dropMechanic={LIBSETS_DROP_MECHANIC_ARENA_STAGE_CHEST,LIBSETS_DROP_MECHANIC_ARENA_STAGE_CHEST}</v>
      </c>
      <c r="BI70" s="21" t="str">
        <f t="shared" si="15"/>
        <v>}, --Robes of Destruction Mastery / Roben der Zerstörungsbeherrschung   [Dragonstar Arena, Craglorn, Craglorn]</v>
      </c>
    </row>
    <row r="71" spans="1:61" x14ac:dyDescent="0.25">
      <c r="A71" s="12">
        <v>89</v>
      </c>
      <c r="B71" t="s">
        <v>823</v>
      </c>
      <c r="C71" t="s">
        <v>824</v>
      </c>
      <c r="D71" s="3">
        <f t="shared" si="10"/>
        <v>89</v>
      </c>
      <c r="G71" s="8" t="s">
        <v>1471</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constants'!$B$4:$C$1012,2,FALSE),"")</f>
        <v>Included in base game</v>
      </c>
      <c r="V71" s="33" t="s">
        <v>1527</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constants'!$A$5:$D$10001,4,FALSE),"")</f>
        <v>Cyrodiil</v>
      </c>
      <c r="AB71" s="33" t="s">
        <v>3737</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constants'!$A$5:$D$10001,4,FALSE),"")</f>
        <v>Cyrodiil</v>
      </c>
      <c r="AH71" s="33" t="s">
        <v>2765</v>
      </c>
      <c r="AK71" s="3">
        <f>IF(AND(G71&lt;&gt;"LIBSETS_SETTYPE_BATTLEGROUND",G71&lt;&gt;"LIBSETS_SETTYPE_SPECIAL"),IF(AL71&lt;&gt;"",VLOOKUP(AL71,'ESO zone constants'!$D$5:$H$4955,5,FALSE),""),"")</f>
        <v>181</v>
      </c>
      <c r="AL71" t="s">
        <v>125</v>
      </c>
      <c r="AM71" s="33" t="s">
        <v>3740</v>
      </c>
      <c r="AP71" s="3">
        <f>IF(AND(G71&lt;&gt;"LIBSETS_SETTYPE_BATTLEGROUND",G71&lt;&gt;"LIBSETS_SETTYPE_SPECIAL"),IF(AQ71&lt;&gt;"",VLOOKUP(AQ71,'ESO zone constants'!$D$5:$H$4955,5,FALSE),""),"")</f>
        <v>181</v>
      </c>
      <c r="AQ71" t="s">
        <v>125</v>
      </c>
      <c r="AR71" s="33" t="s">
        <v>1554</v>
      </c>
      <c r="AU71" s="3">
        <f>IF(AND(G71&lt;&gt;"LIBSETS_SETTYPE_BATTLEGROUND",G71&lt;&gt;"LIBSETS_SETTYPE_SPECIAL"),IF(AV71&lt;&gt;"",VLOOKUP(AV71,'ESO zone constants'!$D$5:$H$4955,5,FALSE),""),"")</f>
        <v>181</v>
      </c>
      <c r="AV71" t="s">
        <v>125</v>
      </c>
      <c r="AW71" s="33" t="s">
        <v>3236</v>
      </c>
      <c r="AZ71" s="78" t="s">
        <v>2653</v>
      </c>
      <c r="BA71" s="78"/>
      <c r="BB71" s="78"/>
      <c r="BC71" s="78"/>
      <c r="BD71" s="78"/>
      <c r="BE71" s="21" t="str">
        <f t="shared" si="11"/>
        <v>[89] = {wayshrines={-1,-1,-1,}, dlcId=DLC_BASE_GAME</v>
      </c>
      <c r="BF71" s="21" t="str">
        <f t="shared" si="12"/>
        <v>, zoneIds={181,181,181,181,181,181}, veteran=false</v>
      </c>
      <c r="BG71" s="21" t="str">
        <f t="shared" si="13"/>
        <v>, setType=LIBSETS_SETTYPE_CYRODIIL</v>
      </c>
      <c r="BH71"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 t="shared" si="15"/>
        <v>}, --Sentry / Wachposten   [Cyrodiil, Cyrodiil, Cyrodiil, Cyrodiil, Cyrodiil, Cyrodiil]</v>
      </c>
    </row>
    <row r="72" spans="1:61" x14ac:dyDescent="0.25">
      <c r="A72" s="12">
        <v>90</v>
      </c>
      <c r="B72" t="s">
        <v>825</v>
      </c>
      <c r="C72" t="s">
        <v>2568</v>
      </c>
      <c r="D72" s="3">
        <f t="shared" si="10"/>
        <v>90</v>
      </c>
      <c r="G72" s="8" t="s">
        <v>1476</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constants'!$B$4:$C$1012,2,FALSE),"")</f>
        <v>Included in base game</v>
      </c>
      <c r="V72" s="33" t="s">
        <v>1554</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constants'!$A$5:$D$10001,4,FALSE),"")</f>
        <v>Reaper's March</v>
      </c>
      <c r="AB72" s="33" t="s">
        <v>1555</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constants'!$A$5:$D$10001,4,FALSE),"")</f>
        <v>The Vile Manse</v>
      </c>
      <c r="AH72" s="42" t="s">
        <v>1556</v>
      </c>
      <c r="AI72" s="41"/>
      <c r="AJ72" s="41"/>
      <c r="AK72" s="3">
        <f>IF(AND(G72&lt;&gt;"LIBSETS_SETTYPE_BATTLEGROUND",G72&lt;&gt;"LIBSETS_SETTYPE_SPECIAL"),IF(AL72&lt;&gt;"",VLOOKUP(AL72,'ESO zone constants'!$D$5:$H$4955,5,FALSE),""),"")</f>
        <v>382</v>
      </c>
      <c r="AL72" t="s">
        <v>263</v>
      </c>
      <c r="AM72" s="33" t="s">
        <v>1557</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8" t="s">
        <v>2653</v>
      </c>
      <c r="BA72" s="78"/>
      <c r="BB72" s="78"/>
      <c r="BC72" s="78"/>
      <c r="BD72" s="78"/>
      <c r="BE72" s="21" t="str">
        <f t="shared" si="11"/>
        <v>[90] = {wayshrines={162,162,162,}, dlcId=DLC_BASE_GAME</v>
      </c>
      <c r="BF72" s="21" t="str">
        <f t="shared" si="12"/>
        <v>, zoneIds={382,382,487,382}, veteran=false</v>
      </c>
      <c r="BG72" s="21" t="str">
        <f t="shared" si="13"/>
        <v>, setType=LIBSETS_SETTYPE_OVERLAND</v>
      </c>
      <c r="BH72" s="21" t="str">
        <f t="shared" si="14"/>
        <v>, dropMechanic={LIBSETS_DROP_MECHANIC_OVERLAND_BOSS_DELVE,LIBSETS_DROP_MECHANIC_OVERLAND_WORLDBOSS,LIBSETS_DROP_MECHANIC_OVERLAND_BOSS_PUBLIC_DUNGEON,LIBSETS_DROP_MECHANIC_OVERLAND_CHEST}</v>
      </c>
      <c r="BI72" s="21" t="str">
        <f t="shared" si="15"/>
        <v>}, --Senche\'s Bite / Biss des Senche   [Reaper's March, Reaper's March, The Vile Manse, Reaper's March]</v>
      </c>
    </row>
    <row r="73" spans="1:61" x14ac:dyDescent="0.25">
      <c r="A73" s="12">
        <v>91</v>
      </c>
      <c r="B73" t="s">
        <v>826</v>
      </c>
      <c r="C73" t="s">
        <v>2569</v>
      </c>
      <c r="D73" s="3">
        <f t="shared" si="10"/>
        <v>91</v>
      </c>
      <c r="G73" s="8" t="s">
        <v>1473</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constants'!$B$4:$C$1012,2,FALSE),"")</f>
        <v>Included in base game</v>
      </c>
      <c r="V73" s="33" t="s">
        <v>3285</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8" t="s">
        <v>2653</v>
      </c>
      <c r="BA73" s="78"/>
      <c r="BB73" s="78"/>
      <c r="BC73" s="78"/>
      <c r="BD73" s="78"/>
      <c r="BE73" s="21" t="str">
        <f t="shared" si="11"/>
        <v>[91] = {wayshrines={184,184,184,}, dlcId=DLC_BASE_GAME</v>
      </c>
      <c r="BF73" s="21" t="str">
        <f t="shared" si="12"/>
        <v>, zoneIds={11,347,347}, veteran=false</v>
      </c>
      <c r="BG73" s="21" t="str">
        <f t="shared" si="13"/>
        <v>, setType=LIBSETS_SETTYPE_DUNGEON</v>
      </c>
      <c r="BH73" s="21" t="str">
        <f t="shared" si="14"/>
        <v>, dropMechanic={LIBSETS_DROP_MECHANIC_GROUP_DUNGEON_BOSS}</v>
      </c>
      <c r="BI73" s="21" t="str">
        <f t="shared" si="15"/>
        <v>}, --Oblivion\'s Edge / Vorteil des Vergessens   [Vaults of Madness, Coldharbour, Coldharbour]</v>
      </c>
    </row>
    <row r="74" spans="1:61" x14ac:dyDescent="0.25">
      <c r="A74" s="5">
        <v>92</v>
      </c>
      <c r="B74" t="s">
        <v>827</v>
      </c>
      <c r="C74" t="s">
        <v>2570</v>
      </c>
      <c r="D74" s="3">
        <f t="shared" si="10"/>
        <v>92</v>
      </c>
      <c r="G74" s="8" t="s">
        <v>1470</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constants'!$B$4:$C$1012,2,FALSE),"")</f>
        <v>Included in base game</v>
      </c>
      <c r="V74" s="33" t="s">
        <v>3288</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constants'!$A$5:$D$10001,4,FALSE),"")</f>
        <v>Imperial Sewers</v>
      </c>
      <c r="AB74" s="33" t="s">
        <v>3288</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8" t="s">
        <v>2653</v>
      </c>
      <c r="BA74" s="78"/>
      <c r="BB74" s="78"/>
      <c r="BC74" s="78"/>
      <c r="BD74" s="78"/>
      <c r="BE74" s="21" t="str">
        <f t="shared" si="11"/>
        <v>[92] = {wayshrines={-2,-2,-2,}, traitsNeeded=8, dlcId=DLC_BASE_GAME</v>
      </c>
      <c r="BF74" s="21" t="str">
        <f t="shared" si="12"/>
        <v>, zoneIds={208,643}, veteran=false</v>
      </c>
      <c r="BG74" s="21" t="str">
        <f t="shared" si="13"/>
        <v>, setType=LIBSETS_SETTYPE_CRAFTED</v>
      </c>
      <c r="BH74" s="21" t="str">
        <f t="shared" si="14"/>
        <v>, dropMechanic={LIBSETS_DROP_MECHANIC_CRAFTED,LIBSETS_DROP_MECHANIC_CRAFTED}</v>
      </c>
      <c r="BI74" s="21" t="str">
        <f t="shared" si="15"/>
        <v>}, --Kagrenac\'s Hope / Kagrenacs Hoffnung   [The Earth Forge, Imperial Sewers]</v>
      </c>
    </row>
    <row r="75" spans="1:61" x14ac:dyDescent="0.25">
      <c r="A75" s="12">
        <v>93</v>
      </c>
      <c r="B75" t="s">
        <v>828</v>
      </c>
      <c r="C75" t="s">
        <v>2571</v>
      </c>
      <c r="D75" s="3">
        <f t="shared" si="10"/>
        <v>93</v>
      </c>
      <c r="G75" s="8" t="s">
        <v>1476</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constants'!$B$4:$C$1012,2,FALSE),"")</f>
        <v>Included in base game</v>
      </c>
      <c r="V75" s="33" t="s">
        <v>1554</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constants'!$A$5:$D$10001,4,FALSE),"")</f>
        <v>Stormhaven</v>
      </c>
      <c r="AB75" s="33" t="s">
        <v>1555</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constants'!$A$5:$D$10001,4,FALSE),"")</f>
        <v>Bonesnap Ruins</v>
      </c>
      <c r="AH75" s="42" t="s">
        <v>1556</v>
      </c>
      <c r="AI75" s="41"/>
      <c r="AJ75" s="41"/>
      <c r="AK75" s="3">
        <f>IF(AND(G75&lt;&gt;"LIBSETS_SETTYPE_BATTLEGROUND",G75&lt;&gt;"LIBSETS_SETTYPE_SPECIAL"),IF(AL75&lt;&gt;"",VLOOKUP(AL75,'ESO zone constants'!$D$5:$H$4955,5,FALSE),""),"")</f>
        <v>19</v>
      </c>
      <c r="AL75" t="s">
        <v>104</v>
      </c>
      <c r="AM75" s="33" t="s">
        <v>1557</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8" t="s">
        <v>2653</v>
      </c>
      <c r="BA75" s="78"/>
      <c r="BB75" s="78"/>
      <c r="BC75" s="78"/>
      <c r="BD75" s="78"/>
      <c r="BE75" s="21" t="str">
        <f t="shared" si="11"/>
        <v>[93] = {wayshrines={17,17,17,}, dlcId=DLC_BASE_GAME</v>
      </c>
      <c r="BF75" s="21" t="str">
        <f t="shared" si="12"/>
        <v>, zoneIds={19,19,142,19}, veteran=false</v>
      </c>
      <c r="BG75" s="21" t="str">
        <f t="shared" si="13"/>
        <v>, setType=LIBSETS_SETTYPE_OVERLAND</v>
      </c>
      <c r="BH75" s="21" t="str">
        <f t="shared" si="14"/>
        <v>, dropMechanic={LIBSETS_DROP_MECHANIC_OVERLAND_BOSS_DELVE,LIBSETS_DROP_MECHANIC_OVERLAND_WORLDBOSS,LIBSETS_DROP_MECHANIC_OVERLAND_BOSS_PUBLIC_DUNGEON,LIBSETS_DROP_MECHANIC_OVERLAND_CHEST}</v>
      </c>
      <c r="BI75" s="21" t="str">
        <f t="shared" si="15"/>
        <v>}, --Storm Knight\'s Plate / Wut des Sturmritters   [Stormhaven, Stormhaven, Bonesnap Ruins, Stormhaven]</v>
      </c>
    </row>
    <row r="76" spans="1:61" x14ac:dyDescent="0.25">
      <c r="A76" s="12">
        <v>94</v>
      </c>
      <c r="B76" t="s">
        <v>829</v>
      </c>
      <c r="C76" t="s">
        <v>2572</v>
      </c>
      <c r="D76" s="3">
        <f t="shared" si="10"/>
        <v>94</v>
      </c>
      <c r="E76" s="40"/>
      <c r="G76" s="8" t="s">
        <v>1476</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constants'!$B$4:$C$1012,2,FALSE),"")</f>
        <v>Included in base game</v>
      </c>
      <c r="V76" s="33" t="s">
        <v>1554</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constants'!$A$5:$D$10001,4,FALSE),"")</f>
        <v>Coldharbour</v>
      </c>
      <c r="AB76" s="33" t="s">
        <v>1555</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constants'!$A$5:$D$10001,4,FALSE),"")</f>
        <v>Village of the Lost</v>
      </c>
      <c r="AH76" s="42" t="s">
        <v>1556</v>
      </c>
      <c r="AI76" s="41"/>
      <c r="AJ76" s="41"/>
      <c r="AK76" s="3">
        <f>IF(AND(G76&lt;&gt;"LIBSETS_SETTYPE_BATTLEGROUND",G76&lt;&gt;"LIBSETS_SETTYPE_SPECIAL"),IF(AL76&lt;&gt;"",VLOOKUP(AL76,'ESO zone constants'!$D$5:$H$4955,5,FALSE),""),"")</f>
        <v>347</v>
      </c>
      <c r="AL76" t="s">
        <v>239</v>
      </c>
      <c r="AM76" s="33" t="s">
        <v>1557</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8" t="s">
        <v>2653</v>
      </c>
      <c r="BA76" s="78"/>
      <c r="BB76" s="78"/>
      <c r="BC76" s="78"/>
      <c r="BD76" s="78"/>
      <c r="BE76" s="21" t="str">
        <f t="shared" si="11"/>
        <v>[94] = {wayshrines={131,131,131,}, dlcId=DLC_BASE_GAME</v>
      </c>
      <c r="BF76" s="21" t="str">
        <f t="shared" si="12"/>
        <v>, zoneIds={347,347,557,347}, veteran=false</v>
      </c>
      <c r="BG76" s="21" t="str">
        <f t="shared" si="13"/>
        <v>, setType=LIBSETS_SETTYPE_OVERLAND</v>
      </c>
      <c r="BH76" s="21" t="str">
        <f t="shared" si="14"/>
        <v>, dropMechanic={LIBSETS_DROP_MECHANIC_OVERLAND_BOSS_DELVE,LIBSETS_DROP_MECHANIC_OVERLAND_WORLDBOSS,LIBSETS_DROP_MECHANIC_OVERLAND_BOSS_PUBLIC_DUNGEON,LIBSETS_DROP_MECHANIC_OVERLAND_CHEST}</v>
      </c>
      <c r="BI76" s="21" t="str">
        <f t="shared" si="15"/>
        <v>}, --Meridia\'s Blessed Armor / Meridias gesegnete Rüstung   [Coldharbour, Coldharbour, Village of the Lost, Coldharbour]</v>
      </c>
    </row>
    <row r="77" spans="1:61" x14ac:dyDescent="0.25">
      <c r="A77" s="5">
        <v>95</v>
      </c>
      <c r="B77" t="s">
        <v>830</v>
      </c>
      <c r="C77" t="s">
        <v>2573</v>
      </c>
      <c r="D77" s="3">
        <f t="shared" si="10"/>
        <v>95</v>
      </c>
      <c r="G77" s="8" t="s">
        <v>1470</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constants'!$B$4:$C$1012,2,FALSE),"")</f>
        <v>Included in base game</v>
      </c>
      <c r="V77" s="33" t="s">
        <v>3288</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constants'!$A$5:$D$10001,4,FALSE),"")</f>
        <v>Imperial Sewers</v>
      </c>
      <c r="AB77" s="33" t="s">
        <v>3288</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8" t="s">
        <v>2653</v>
      </c>
      <c r="BA77" s="78"/>
      <c r="BB77" s="78"/>
      <c r="BC77" s="78"/>
      <c r="BD77" s="78"/>
      <c r="BE77" s="21" t="str">
        <f t="shared" si="11"/>
        <v>[95] = {wayshrines={-2,-2,-2,}, traitsNeeded=8, dlcId=DLC_BASE_GAME</v>
      </c>
      <c r="BF77" s="21" t="str">
        <f t="shared" si="12"/>
        <v>, zoneIds={267,643}, veteran=false</v>
      </c>
      <c r="BG77" s="21" t="str">
        <f t="shared" si="13"/>
        <v>, setType=LIBSETS_SETTYPE_CRAFTED</v>
      </c>
      <c r="BH77" s="21" t="str">
        <f t="shared" si="14"/>
        <v>, dropMechanic={LIBSETS_DROP_MECHANIC_CRAFTED,LIBSETS_DROP_MECHANIC_CRAFTED}</v>
      </c>
      <c r="BI77" s="21" t="str">
        <f t="shared" si="15"/>
        <v>}, --Shalidor\'s Curse / Shalidors Fluch   [Eyevea, Imperial Sewers]</v>
      </c>
    </row>
    <row r="78" spans="1:61" x14ac:dyDescent="0.25">
      <c r="A78" s="12">
        <v>96</v>
      </c>
      <c r="B78" t="s">
        <v>831</v>
      </c>
      <c r="C78" t="s">
        <v>832</v>
      </c>
      <c r="D78" s="3">
        <f t="shared" si="10"/>
        <v>96</v>
      </c>
      <c r="G78" s="8" t="s">
        <v>1473</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constants'!$B$4:$C$1012,2,FALSE),"")</f>
        <v>Included in base game</v>
      </c>
      <c r="V78" s="33" t="s">
        <v>3285</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constants'!$A$5:$D$10001,4,FALSE),"")</f>
        <v>Darkshade Caverns II</v>
      </c>
      <c r="AB78" s="33" t="s">
        <v>3285</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constants'!$A$5:$D$10001,4,FALSE),"")</f>
        <v>Deshaan</v>
      </c>
      <c r="AH78" s="89"/>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8" t="s">
        <v>2653</v>
      </c>
      <c r="BA78" s="78"/>
      <c r="BB78" s="78"/>
      <c r="BC78" s="78"/>
      <c r="BD78" s="78"/>
      <c r="BE78" s="21" t="str">
        <f t="shared" si="11"/>
        <v>[96] = {wayshrines={198,198,198,}, dlcId=DLC_BASE_GAME</v>
      </c>
      <c r="BF78" s="21" t="str">
        <f t="shared" si="12"/>
        <v>, zoneIds={63,930,57}, veteran=false</v>
      </c>
      <c r="BG78" s="21" t="str">
        <f t="shared" si="13"/>
        <v>, setType=LIBSETS_SETTYPE_DUNGEON</v>
      </c>
      <c r="BH78" s="21" t="str">
        <f t="shared" si="14"/>
        <v>, dropMechanic={LIBSETS_DROP_MECHANIC_GROUP_DUNGEON_BOSS,LIBSETS_DROP_MECHANIC_GROUP_DUNGEON_BOSS}</v>
      </c>
      <c r="BI78" s="21" t="str">
        <f t="shared" si="15"/>
        <v>}, --Armor of Truth / Rüstung der Wahrheit   [Darkshade Caverns I, Darkshade Caverns II, Deshaan]</v>
      </c>
    </row>
    <row r="79" spans="1:61" x14ac:dyDescent="0.25">
      <c r="A79" s="12">
        <v>97</v>
      </c>
      <c r="B79" t="s">
        <v>833</v>
      </c>
      <c r="C79" t="s">
        <v>834</v>
      </c>
      <c r="D79" s="3">
        <f t="shared" si="10"/>
        <v>97</v>
      </c>
      <c r="G79" s="8" t="s">
        <v>1471</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constants'!$B$4:$C$1012,2,FALSE),"")</f>
        <v>Included in base game</v>
      </c>
      <c r="V79" s="33" t="s">
        <v>2770</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constants'!$A$5:$D$10001,4,FALSE),"")</f>
        <v>Cyrodiil</v>
      </c>
      <c r="AB79" s="33" t="s">
        <v>3737</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constants'!$A$5:$D$10001,4,FALSE),"")</f>
        <v>Cyrodiil</v>
      </c>
      <c r="AH79" s="33" t="s">
        <v>2765</v>
      </c>
      <c r="AK79" s="3">
        <f>IF(AND(G79&lt;&gt;"LIBSETS_SETTYPE_BATTLEGROUND",G79&lt;&gt;"LIBSETS_SETTYPE_SPECIAL"),IF(AL79&lt;&gt;"",VLOOKUP(AL79,'ESO zone constants'!$D$5:$H$4955,5,FALSE),""),"")</f>
        <v>181</v>
      </c>
      <c r="AL79" t="s">
        <v>125</v>
      </c>
      <c r="AM79" s="33" t="s">
        <v>3740</v>
      </c>
      <c r="AP79" s="3">
        <f>IF(AND(G79&lt;&gt;"LIBSETS_SETTYPE_BATTLEGROUND",G79&lt;&gt;"LIBSETS_SETTYPE_SPECIAL"),IF(AQ79&lt;&gt;"",VLOOKUP(AQ79,'ESO zone constants'!$D$5:$H$4955,5,FALSE),""),"")</f>
        <v>181</v>
      </c>
      <c r="AQ79" t="s">
        <v>125</v>
      </c>
      <c r="AR79" s="33" t="s">
        <v>1554</v>
      </c>
      <c r="AU79" s="3">
        <f>IF(AND(G79&lt;&gt;"LIBSETS_SETTYPE_BATTLEGROUND",G79&lt;&gt;"LIBSETS_SETTYPE_SPECIAL"),IF(AV79&lt;&gt;"",VLOOKUP(AV79,'ESO zone constants'!$D$5:$H$4955,5,FALSE),""),"")</f>
        <v>181</v>
      </c>
      <c r="AV79" t="s">
        <v>125</v>
      </c>
      <c r="AW79" s="33" t="s">
        <v>3236</v>
      </c>
      <c r="AZ79" s="78" t="s">
        <v>2653</v>
      </c>
      <c r="BA79" s="78"/>
      <c r="BB79" s="78"/>
      <c r="BC79" s="78"/>
      <c r="BD79" s="78"/>
      <c r="BE79" s="21" t="str">
        <f t="shared" si="11"/>
        <v>[97] = {wayshrines={-1,-1,-1,}, dlcId=DLC_BASE_GAME</v>
      </c>
      <c r="BF79" s="21" t="str">
        <f t="shared" si="12"/>
        <v>, zoneIds={181,181,181,181,181,181}, veteran=false</v>
      </c>
      <c r="BG79" s="21" t="str">
        <f t="shared" si="13"/>
        <v>, setType=LIBSETS_SETTYPE_CYRODIIL</v>
      </c>
      <c r="BH79"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 t="shared" si="15"/>
        <v>}, --The Arch-Mage / Erzmagier   [Cyrodiil, Cyrodiil, Cyrodiil, Cyrodiil, Cyrodiil, Cyrodiil]</v>
      </c>
    </row>
    <row r="80" spans="1:61" x14ac:dyDescent="0.25">
      <c r="A80" s="12">
        <v>98</v>
      </c>
      <c r="B80" t="s">
        <v>835</v>
      </c>
      <c r="C80" t="s">
        <v>836</v>
      </c>
      <c r="D80" s="3">
        <f t="shared" si="10"/>
        <v>98</v>
      </c>
      <c r="G80" s="8" t="s">
        <v>1476</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constants'!$B$4:$C$1012,2,FALSE),"")</f>
        <v>Included in base game</v>
      </c>
      <c r="V80" s="33" t="s">
        <v>1554</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constants'!$A$5:$D$10001,4,FALSE),"")</f>
        <v>Rivenspire</v>
      </c>
      <c r="AB80" s="33" t="s">
        <v>1555</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constants'!$A$5:$D$10001,4,FALSE),"")</f>
        <v>Obsidian Scar</v>
      </c>
      <c r="AH80" s="42" t="s">
        <v>1556</v>
      </c>
      <c r="AI80" s="41"/>
      <c r="AJ80" s="41"/>
      <c r="AK80" s="3">
        <f>IF(AND(G80&lt;&gt;"LIBSETS_SETTYPE_BATTLEGROUND",G80&lt;&gt;"LIBSETS_SETTYPE_SPECIAL"),IF(AL80&lt;&gt;"",VLOOKUP(AL80,'ESO zone constants'!$D$5:$H$4955,5,FALSE),""),"")</f>
        <v>20</v>
      </c>
      <c r="AL80" t="s">
        <v>105</v>
      </c>
      <c r="AM80" s="33" t="s">
        <v>1557</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8" t="s">
        <v>2653</v>
      </c>
      <c r="BA80" s="78"/>
      <c r="BB80" s="78"/>
      <c r="BC80" s="78"/>
      <c r="BD80" s="78"/>
      <c r="BE80" s="21" t="str">
        <f t="shared" si="11"/>
        <v>[98] = {wayshrines={55,55,55,}, dlcId=DLC_BASE_GAME</v>
      </c>
      <c r="BF80" s="21" t="str">
        <f t="shared" si="12"/>
        <v>, zoneIds={20,20,162,20}, veteran=false</v>
      </c>
      <c r="BG80" s="21" t="str">
        <f t="shared" si="13"/>
        <v>, setType=LIBSETS_SETTYPE_OVERLAND</v>
      </c>
      <c r="BH80" s="21" t="str">
        <f t="shared" si="14"/>
        <v>, dropMechanic={LIBSETS_DROP_MECHANIC_OVERLAND_BOSS_DELVE,LIBSETS_DROP_MECHANIC_OVERLAND_WORLDBOSS,LIBSETS_DROP_MECHANIC_OVERLAND_BOSS_PUBLIC_DUNGEON,LIBSETS_DROP_MECHANIC_OVERLAND_CHEST}</v>
      </c>
      <c r="BI80" s="21" t="str">
        <f t="shared" si="15"/>
        <v>}, --Necropotence / Nekropotenz   [Rivenspire, Rivenspire, Obsidian Scar, Rivenspire]</v>
      </c>
    </row>
    <row r="81" spans="1:61" x14ac:dyDescent="0.25">
      <c r="A81" s="12">
        <v>99</v>
      </c>
      <c r="B81" t="s">
        <v>837</v>
      </c>
      <c r="C81" t="s">
        <v>838</v>
      </c>
      <c r="D81" s="3">
        <f t="shared" si="10"/>
        <v>99</v>
      </c>
      <c r="G81" s="8" t="s">
        <v>1476</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constants'!$B$4:$C$1012,2,FALSE),"")</f>
        <v>Included in base game</v>
      </c>
      <c r="V81" s="33" t="s">
        <v>1554</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constants'!$A$5:$D$10001,4,FALSE),"")</f>
        <v>Malabal Tor</v>
      </c>
      <c r="AB81" s="33" t="s">
        <v>1555</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constants'!$A$5:$D$10001,4,FALSE),"")</f>
        <v>Crimson Cove</v>
      </c>
      <c r="AH81" s="42" t="s">
        <v>1556</v>
      </c>
      <c r="AI81" s="41"/>
      <c r="AJ81" s="41"/>
      <c r="AK81" s="3">
        <f>IF(AND(G81&lt;&gt;"LIBSETS_SETTYPE_BATTLEGROUND",G81&lt;&gt;"LIBSETS_SETTYPE_SPECIAL"),IF(AL81&lt;&gt;"",VLOOKUP(AL81,'ESO zone constants'!$D$5:$H$4955,5,FALSE),""),"")</f>
        <v>58</v>
      </c>
      <c r="AL81" t="s">
        <v>108</v>
      </c>
      <c r="AM81" s="33" t="s">
        <v>1557</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8" t="s">
        <v>2654</v>
      </c>
      <c r="BA81" s="78"/>
      <c r="BB81" s="78"/>
      <c r="BC81" s="78"/>
      <c r="BD81" s="78"/>
      <c r="BE81" s="21" t="str">
        <f t="shared" si="11"/>
        <v>[99] = {wayshrines={102,102,102,}, dlcId=DLC_BASE_GAME</v>
      </c>
      <c r="BF81" s="21" t="str">
        <f t="shared" si="12"/>
        <v>, zoneIds={58,58,138,58}, veteran=false</v>
      </c>
      <c r="BG81" s="21" t="str">
        <f t="shared" si="13"/>
        <v>, setType=LIBSETS_SETTYPE_OVERLAND</v>
      </c>
      <c r="BH81" s="21" t="str">
        <f t="shared" si="14"/>
        <v>, isProcSetAllowedInPvP=1, dropMechanic={LIBSETS_DROP_MECHANIC_OVERLAND_BOSS_DELVE,LIBSETS_DROP_MECHANIC_OVERLAND_WORLDBOSS,LIBSETS_DROP_MECHANIC_OVERLAND_BOSS_PUBLIC_DUNGEON,LIBSETS_DROP_MECHANIC_OVERLAND_CHEST}</v>
      </c>
      <c r="BI81" s="21" t="str">
        <f t="shared" si="15"/>
        <v>}, --Salvation / Erlösung   [Malabal Tor, Malabal Tor, Crimson Cove, Malabal Tor]</v>
      </c>
    </row>
    <row r="82" spans="1:61" x14ac:dyDescent="0.25">
      <c r="A82" s="12">
        <v>100</v>
      </c>
      <c r="B82" t="s">
        <v>839</v>
      </c>
      <c r="C82" t="s">
        <v>2574</v>
      </c>
      <c r="D82" s="3">
        <f t="shared" si="10"/>
        <v>100</v>
      </c>
      <c r="G82" s="8" t="s">
        <v>1471</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constants'!$B$4:$C$1012,2,FALSE),"")</f>
        <v>Included in base game</v>
      </c>
      <c r="V82" s="33" t="s">
        <v>1527</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constants'!$A$5:$D$10001,4,FALSE),"")</f>
        <v>Cyrodiil</v>
      </c>
      <c r="AB82" s="33" t="s">
        <v>3737</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constants'!$A$5:$D$10001,4,FALSE),"")</f>
        <v>Cyrodiil</v>
      </c>
      <c r="AH82" s="33" t="s">
        <v>2765</v>
      </c>
      <c r="AK82" s="3">
        <f>IF(AND(G82&lt;&gt;"LIBSETS_SETTYPE_BATTLEGROUND",G82&lt;&gt;"LIBSETS_SETTYPE_SPECIAL"),IF(AL82&lt;&gt;"",VLOOKUP(AL82,'ESO zone constants'!$D$5:$H$4955,5,FALSE),""),"")</f>
        <v>181</v>
      </c>
      <c r="AL82" t="s">
        <v>125</v>
      </c>
      <c r="AM82" s="33" t="s">
        <v>3740</v>
      </c>
      <c r="AP82" s="3">
        <f>IF(AND(G82&lt;&gt;"LIBSETS_SETTYPE_BATTLEGROUND",G82&lt;&gt;"LIBSETS_SETTYPE_SPECIAL"),IF(AQ82&lt;&gt;"",VLOOKUP(AQ82,'ESO zone constants'!$D$5:$H$4955,5,FALSE),""),"")</f>
        <v>181</v>
      </c>
      <c r="AQ82" t="s">
        <v>125</v>
      </c>
      <c r="AR82" s="33" t="s">
        <v>1554</v>
      </c>
      <c r="AU82" s="3">
        <f>IF(AND(G82&lt;&gt;"LIBSETS_SETTYPE_BATTLEGROUND",G82&lt;&gt;"LIBSETS_SETTYPE_SPECIAL"),IF(AV82&lt;&gt;"",VLOOKUP(AV82,'ESO zone constants'!$D$5:$H$4955,5,FALSE),""),"")</f>
        <v>181</v>
      </c>
      <c r="AV82" t="s">
        <v>125</v>
      </c>
      <c r="AW82" s="33" t="s">
        <v>3236</v>
      </c>
      <c r="AZ82" s="78" t="s">
        <v>2654</v>
      </c>
      <c r="BA82" s="78"/>
      <c r="BB82" s="78"/>
      <c r="BC82" s="78"/>
      <c r="BD82" s="78"/>
      <c r="BE82" s="21" t="str">
        <f t="shared" si="11"/>
        <v>[100] = {wayshrines={-1,-1,-1,}, dlcId=DLC_BASE_GAME</v>
      </c>
      <c r="BF82" s="21" t="str">
        <f t="shared" si="12"/>
        <v>, zoneIds={181,181,181,181,181,181}, veteran=false</v>
      </c>
      <c r="BG82" s="21" t="str">
        <f t="shared" si="13"/>
        <v>, setType=LIBSETS_SETTYPE_CYRODIIL</v>
      </c>
      <c r="BH82"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 t="shared" si="15"/>
        <v>}, --Hawk\'s Eye / Falkenauge   [Cyrodiil, Cyrodiil, Cyrodiil, Cyrodiil, Cyrodiil, Cyrodiil]</v>
      </c>
    </row>
    <row r="83" spans="1:61" x14ac:dyDescent="0.25">
      <c r="A83" s="12">
        <v>101</v>
      </c>
      <c r="B83" t="s">
        <v>2769</v>
      </c>
      <c r="C83" t="s">
        <v>840</v>
      </c>
      <c r="D83" s="3">
        <f t="shared" si="10"/>
        <v>101</v>
      </c>
      <c r="E83" s="40"/>
      <c r="G83" s="8" t="s">
        <v>1471</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constants'!$B$4:$C$1012,2,FALSE),"")</f>
        <v>Included in base game</v>
      </c>
      <c r="V83" s="33" t="s">
        <v>1529</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constants'!$A$5:$D$10001,4,FALSE),"")</f>
        <v>Cyrodiil</v>
      </c>
      <c r="AB83" s="33" t="s">
        <v>3737</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constants'!$A$5:$D$10001,4,FALSE),"")</f>
        <v>Cyrodiil</v>
      </c>
      <c r="AH83" s="33" t="s">
        <v>2765</v>
      </c>
      <c r="AK83" s="3">
        <f>IF(AND(G83&lt;&gt;"LIBSETS_SETTYPE_BATTLEGROUND",G83&lt;&gt;"LIBSETS_SETTYPE_SPECIAL"),IF(AL83&lt;&gt;"",VLOOKUP(AL83,'ESO zone constants'!$D$5:$H$4955,5,FALSE),""),"")</f>
        <v>181</v>
      </c>
      <c r="AL83" t="s">
        <v>125</v>
      </c>
      <c r="AM83" s="33" t="s">
        <v>3740</v>
      </c>
      <c r="AP83" s="3">
        <f>IF(AND(G83&lt;&gt;"LIBSETS_SETTYPE_BATTLEGROUND",G83&lt;&gt;"LIBSETS_SETTYPE_SPECIAL"),IF(AQ83&lt;&gt;"",VLOOKUP(AQ83,'ESO zone constants'!$D$5:$H$4955,5,FALSE),""),"")</f>
        <v>181</v>
      </c>
      <c r="AQ83" t="s">
        <v>125</v>
      </c>
      <c r="AR83" s="33" t="s">
        <v>1554</v>
      </c>
      <c r="AU83" s="3">
        <f>IF(AND(G83&lt;&gt;"LIBSETS_SETTYPE_BATTLEGROUND",G83&lt;&gt;"LIBSETS_SETTYPE_SPECIAL"),IF(AV83&lt;&gt;"",VLOOKUP(AV83,'ESO zone constants'!$D$5:$H$4955,5,FALSE),""),"")</f>
        <v>181</v>
      </c>
      <c r="AV83" t="s">
        <v>125</v>
      </c>
      <c r="AW83" s="33" t="s">
        <v>3236</v>
      </c>
      <c r="AZ83" s="78" t="s">
        <v>2653</v>
      </c>
      <c r="BA83" s="78"/>
      <c r="BB83" s="78"/>
      <c r="BC83" s="78"/>
      <c r="BD83" s="78"/>
      <c r="BE83" s="21" t="str">
        <f t="shared" si="11"/>
        <v>[101] = {wayshrines={-1,-1,-1,}, dlcId=DLC_BASE_GAME</v>
      </c>
      <c r="BF83" s="21" t="str">
        <f t="shared" si="12"/>
        <v>, zoneIds={181,181,181,181,181,181}, veteran=false</v>
      </c>
      <c r="BG83" s="21" t="str">
        <f t="shared" si="13"/>
        <v>, setType=LIBSETS_SETTYPE_CYRODIIL</v>
      </c>
      <c r="BH83"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 t="shared" si="15"/>
        <v>}, --Affliction / Elend (Befallen)   [Cyrodiil, Cyrodiil, Cyrodiil, Cyrodiil, Cyrodiil, Cyrodiil]</v>
      </c>
    </row>
    <row r="84" spans="1:61" x14ac:dyDescent="0.25">
      <c r="A84" s="12">
        <v>102</v>
      </c>
      <c r="B84" t="s">
        <v>841</v>
      </c>
      <c r="C84" t="s">
        <v>2575</v>
      </c>
      <c r="D84" s="3">
        <f t="shared" si="10"/>
        <v>102</v>
      </c>
      <c r="G84" s="8" t="s">
        <v>1473</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constants'!$B$4:$C$1012,2,FALSE),"")</f>
        <v>Included in base game</v>
      </c>
      <c r="V84" s="33" t="s">
        <v>3285</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8" t="s">
        <v>2654</v>
      </c>
      <c r="BA84" s="78"/>
      <c r="BB84" s="78"/>
      <c r="BC84" s="78"/>
      <c r="BD84" s="78"/>
      <c r="BE84" s="21" t="str">
        <f t="shared" si="11"/>
        <v>[102] = {wayshrines={196,196,196,}, dlcId=DLC_BASE_GAME</v>
      </c>
      <c r="BF84" s="21" t="str">
        <f t="shared" si="12"/>
        <v>, zoneIds={22,104,104}, veteran=false</v>
      </c>
      <c r="BG84" s="21" t="str">
        <f t="shared" si="13"/>
        <v>, setType=LIBSETS_SETTYPE_DUNGEON</v>
      </c>
      <c r="BH84" s="21" t="str">
        <f t="shared" si="14"/>
        <v>, isProcSetAllowedInPvP=1, dropMechanic={LIBSETS_DROP_MECHANIC_GROUP_DUNGEON_BOSS}</v>
      </c>
      <c r="BI84" s="21" t="str">
        <f t="shared" si="15"/>
        <v>}, --Duneripper\'s Scales / Schuppen des Dünenbrechers   [Volenfell, Alik'r Desert, Alik'r Desert]</v>
      </c>
    </row>
    <row r="85" spans="1:61" x14ac:dyDescent="0.25">
      <c r="A85" s="12">
        <v>103</v>
      </c>
      <c r="B85" t="s">
        <v>842</v>
      </c>
      <c r="C85" t="s">
        <v>843</v>
      </c>
      <c r="D85" s="3">
        <f t="shared" si="10"/>
        <v>103</v>
      </c>
      <c r="G85" s="8" t="s">
        <v>1473</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constants'!$B$4:$C$1012,2,FALSE),"")</f>
        <v>Included in base game</v>
      </c>
      <c r="V85" s="33" t="s">
        <v>3285</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8" t="s">
        <v>2653</v>
      </c>
      <c r="BA85" s="78"/>
      <c r="BB85" s="78"/>
      <c r="BC85" s="78"/>
      <c r="BD85" s="78"/>
      <c r="BE85" s="21" t="str">
        <f t="shared" si="11"/>
        <v>[103] = {wayshrines={195,195,195,}, dlcId=DLC_BASE_GAME</v>
      </c>
      <c r="BF85" s="21" t="str">
        <f t="shared" si="12"/>
        <v>, zoneIds={449,101,101}, veteran=false</v>
      </c>
      <c r="BG85" s="21" t="str">
        <f t="shared" si="13"/>
        <v>, setType=LIBSETS_SETTYPE_DUNGEON</v>
      </c>
      <c r="BH85" s="21" t="str">
        <f t="shared" si="14"/>
        <v>, dropMechanic={LIBSETS_DROP_MECHANIC_GROUP_DUNGEON_BOSS}</v>
      </c>
      <c r="BI85" s="21" t="str">
        <f t="shared" si="15"/>
        <v>}, --Magicka Furnace / Magickaschmiede   [Direfrost Keep, Eastmarch, Eastmarch]</v>
      </c>
    </row>
    <row r="86" spans="1:61" x14ac:dyDescent="0.25">
      <c r="A86" s="12">
        <v>104</v>
      </c>
      <c r="B86" t="s">
        <v>844</v>
      </c>
      <c r="C86" t="s">
        <v>845</v>
      </c>
      <c r="D86" s="3">
        <f t="shared" si="10"/>
        <v>104</v>
      </c>
      <c r="G86" s="8" t="s">
        <v>1471</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constants'!$B$4:$C$1012,2,FALSE),"")</f>
        <v>Included in base game</v>
      </c>
      <c r="V86" s="33" t="s">
        <v>2770</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constants'!$A$5:$D$10001,4,FALSE),"")</f>
        <v>Cyrodiil</v>
      </c>
      <c r="AB86" s="33" t="s">
        <v>3737</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constants'!$A$5:$D$10001,4,FALSE),"")</f>
        <v>Cyrodiil</v>
      </c>
      <c r="AH86" s="33" t="s">
        <v>2765</v>
      </c>
      <c r="AK86" s="3">
        <f>IF(AND(G86&lt;&gt;"LIBSETS_SETTYPE_BATTLEGROUND",G86&lt;&gt;"LIBSETS_SETTYPE_SPECIAL"),IF(AL86&lt;&gt;"",VLOOKUP(AL86,'ESO zone constants'!$D$5:$H$4955,5,FALSE),""),"")</f>
        <v>181</v>
      </c>
      <c r="AL86" t="s">
        <v>125</v>
      </c>
      <c r="AM86" s="33" t="s">
        <v>3740</v>
      </c>
      <c r="AP86" s="3">
        <f>IF(AND(G86&lt;&gt;"LIBSETS_SETTYPE_BATTLEGROUND",G86&lt;&gt;"LIBSETS_SETTYPE_SPECIAL"),IF(AQ86&lt;&gt;"",VLOOKUP(AQ86,'ESO zone constants'!$D$5:$H$4955,5,FALSE),""),"")</f>
        <v>181</v>
      </c>
      <c r="AQ86" t="s">
        <v>125</v>
      </c>
      <c r="AR86" s="33" t="s">
        <v>1554</v>
      </c>
      <c r="AU86" s="3">
        <f>IF(AND(G86&lt;&gt;"LIBSETS_SETTYPE_BATTLEGROUND",G86&lt;&gt;"LIBSETS_SETTYPE_SPECIAL"),IF(AV86&lt;&gt;"",VLOOKUP(AV86,'ESO zone constants'!$D$5:$H$4955,5,FALSE),""),"")</f>
        <v>181</v>
      </c>
      <c r="AV86" t="s">
        <v>125</v>
      </c>
      <c r="AW86" s="33" t="s">
        <v>3236</v>
      </c>
      <c r="AZ86" s="78" t="s">
        <v>2653</v>
      </c>
      <c r="BA86" s="78"/>
      <c r="BB86" s="78"/>
      <c r="BC86" s="78"/>
      <c r="BD86" s="78"/>
      <c r="BE86" s="21" t="str">
        <f t="shared" si="11"/>
        <v>[104] = {wayshrines={-1,-1,-1,}, dlcId=DLC_BASE_GAME</v>
      </c>
      <c r="BF86" s="21" t="str">
        <f t="shared" si="12"/>
        <v>, zoneIds={181,181,181,181,181,181}, veteran=false</v>
      </c>
      <c r="BG86" s="21" t="str">
        <f t="shared" si="13"/>
        <v>, setType=LIBSETS_SETTYPE_CYRODIIL</v>
      </c>
      <c r="BH86"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 t="shared" si="15"/>
        <v>}, --Curse Eater / Fluchfresser   [Cyrodiil, Cyrodiil, Cyrodiil, Cyrodiil, Cyrodiil, Cyrodiil]</v>
      </c>
    </row>
    <row r="87" spans="1:61" x14ac:dyDescent="0.25">
      <c r="A87" s="12">
        <v>105</v>
      </c>
      <c r="B87" t="s">
        <v>846</v>
      </c>
      <c r="C87" t="s">
        <v>847</v>
      </c>
      <c r="D87" s="3">
        <f t="shared" si="10"/>
        <v>105</v>
      </c>
      <c r="G87" s="8" t="s">
        <v>1476</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constants'!$B$4:$C$1012,2,FALSE),"")</f>
        <v>Included in base game</v>
      </c>
      <c r="V87" s="33" t="s">
        <v>1554</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constants'!$A$5:$D$10001,4,FALSE),"")</f>
        <v>Auridon</v>
      </c>
      <c r="AB87" s="33" t="s">
        <v>1555</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constants'!$A$5:$D$10001,4,FALSE),"")</f>
        <v>Toothmaul Gully</v>
      </c>
      <c r="AH87" s="42" t="s">
        <v>1556</v>
      </c>
      <c r="AI87" s="41"/>
      <c r="AJ87" s="41"/>
      <c r="AK87" s="3">
        <f>IF(AND(G87&lt;&gt;"LIBSETS_SETTYPE_BATTLEGROUND",G87&lt;&gt;"LIBSETS_SETTYPE_SPECIAL"),IF(AL87&lt;&gt;"",VLOOKUP(AL87,'ESO zone constants'!$D$5:$H$4955,5,FALSE),""),"")</f>
        <v>381</v>
      </c>
      <c r="AL87" t="s">
        <v>262</v>
      </c>
      <c r="AM87" s="33" t="s">
        <v>1557</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8" t="s">
        <v>2653</v>
      </c>
      <c r="BA87" s="78"/>
      <c r="BB87" s="78"/>
      <c r="BC87" s="78"/>
      <c r="BD87" s="78"/>
      <c r="BE87" s="21" t="str">
        <f t="shared" si="11"/>
        <v>[105] = {wayshrines={121,121,121,}, dlcId=DLC_BASE_GAME</v>
      </c>
      <c r="BF87" s="21" t="str">
        <f t="shared" si="12"/>
        <v>, zoneIds={381,381,486,381}, veteran=false</v>
      </c>
      <c r="BG87" s="21" t="str">
        <f t="shared" si="13"/>
        <v>, setType=LIBSETS_SETTYPE_OVERLAND</v>
      </c>
      <c r="BH87" s="21" t="str">
        <f t="shared" si="14"/>
        <v>, dropMechanic={LIBSETS_DROP_MECHANIC_OVERLAND_BOSS_DELVE,LIBSETS_DROP_MECHANIC_OVERLAND_WORLDBOSS,LIBSETS_DROP_MECHANIC_OVERLAND_BOSS_PUBLIC_DUNGEON,LIBSETS_DROP_MECHANIC_OVERLAND_CHEST}</v>
      </c>
      <c r="BI87" s="21" t="str">
        <f t="shared" si="15"/>
        <v>}, --Twin Sisters / Zwillingsschwestern   [Auridon, Auridon, Toothmaul Gully, Auridon]</v>
      </c>
    </row>
    <row r="88" spans="1:61" x14ac:dyDescent="0.25">
      <c r="A88" s="12">
        <v>106</v>
      </c>
      <c r="B88" t="s">
        <v>848</v>
      </c>
      <c r="C88" t="s">
        <v>2576</v>
      </c>
      <c r="D88" s="3">
        <f t="shared" si="10"/>
        <v>106</v>
      </c>
      <c r="G88" s="8" t="s">
        <v>1476</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constants'!$B$4:$C$1012,2,FALSE),"")</f>
        <v>Included in base game</v>
      </c>
      <c r="V88" s="33" t="s">
        <v>1554</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constants'!$A$5:$D$10001,4,FALSE),"")</f>
        <v>Greenshade</v>
      </c>
      <c r="AB88" s="33" t="s">
        <v>1555</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constants'!$A$5:$D$10001,4,FALSE),"")</f>
        <v>Rulanyil's Fall</v>
      </c>
      <c r="AH88" s="42" t="s">
        <v>1556</v>
      </c>
      <c r="AI88" s="41"/>
      <c r="AJ88" s="41"/>
      <c r="AK88" s="3">
        <f>IF(AND(G88&lt;&gt;"LIBSETS_SETTYPE_BATTLEGROUND",G88&lt;&gt;"LIBSETS_SETTYPE_SPECIAL"),IF(AL88&lt;&gt;"",VLOOKUP(AL88,'ESO zone constants'!$D$5:$H$4955,5,FALSE),""),"")</f>
        <v>108</v>
      </c>
      <c r="AL88" t="s">
        <v>113</v>
      </c>
      <c r="AM88" s="33" t="s">
        <v>1557</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8" t="s">
        <v>2653</v>
      </c>
      <c r="BA88" s="78"/>
      <c r="BB88" s="78"/>
      <c r="BC88" s="78"/>
      <c r="BD88" s="78"/>
      <c r="BE88" s="21" t="str">
        <f t="shared" si="11"/>
        <v>[106] = {wayshrines={143,143,143,}, dlcId=DLC_BASE_GAME</v>
      </c>
      <c r="BF88" s="21" t="str">
        <f t="shared" si="12"/>
        <v>, zoneIds={108,108,137,108}, veteran=false</v>
      </c>
      <c r="BG88" s="21" t="str">
        <f t="shared" si="13"/>
        <v>, setType=LIBSETS_SETTYPE_OVERLAND</v>
      </c>
      <c r="BH88" s="21" t="str">
        <f t="shared" si="14"/>
        <v>, dropMechanic={LIBSETS_DROP_MECHANIC_OVERLAND_BOSS_DELVE,LIBSETS_DROP_MECHANIC_OVERLAND_WORLDBOSS,LIBSETS_DROP_MECHANIC_OVERLAND_BOSS_PUBLIC_DUNGEON,LIBSETS_DROP_MECHANIC_OVERLAND_CHEST}</v>
      </c>
      <c r="BI88" s="21" t="str">
        <f t="shared" si="15"/>
        <v>}, --Wilderqueen\'s Arch / Bogen der Wildkönigin   [Greenshade, Greenshade, Rulanyil's Fall, Greenshade]</v>
      </c>
    </row>
    <row r="89" spans="1:61" x14ac:dyDescent="0.25">
      <c r="A89" s="12">
        <v>107</v>
      </c>
      <c r="B89" t="s">
        <v>849</v>
      </c>
      <c r="C89" t="s">
        <v>2577</v>
      </c>
      <c r="D89" s="3">
        <f t="shared" si="10"/>
        <v>107</v>
      </c>
      <c r="G89" s="8" t="s">
        <v>1476</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constants'!$B$4:$C$1012,2,FALSE),"")</f>
        <v>Included in base game</v>
      </c>
      <c r="V89" s="33" t="s">
        <v>1554</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constants'!$A$5:$D$10001,4,FALSE),"")</f>
        <v>Glenumbra</v>
      </c>
      <c r="AB89" s="33" t="s">
        <v>1555</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constants'!$A$5:$D$10001,4,FALSE),"")</f>
        <v>Bad Man's Hallows</v>
      </c>
      <c r="AH89" s="42" t="s">
        <v>1556</v>
      </c>
      <c r="AI89" s="41"/>
      <c r="AJ89" s="41"/>
      <c r="AK89" s="3">
        <f>IF(AND(G89&lt;&gt;"LIBSETS_SETTYPE_BATTLEGROUND",G89&lt;&gt;"LIBSETS_SETTYPE_SPECIAL"),IF(AL89&lt;&gt;"",VLOOKUP(AL89,'ESO zone constants'!$D$5:$H$4955,5,FALSE),""),"")</f>
        <v>3</v>
      </c>
      <c r="AL89" t="s">
        <v>103</v>
      </c>
      <c r="AM89" s="33" t="s">
        <v>1557</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8" t="s">
        <v>2653</v>
      </c>
      <c r="BA89" s="78"/>
      <c r="BB89" s="78"/>
      <c r="BC89" s="78"/>
      <c r="BD89" s="78"/>
      <c r="BE89" s="21" t="str">
        <f t="shared" si="11"/>
        <v>[107] = {wayshrines={62,62,62,}, dlcId=DLC_BASE_GAME</v>
      </c>
      <c r="BF89" s="21" t="str">
        <f t="shared" si="12"/>
        <v>, zoneIds={3,3,284,3}, veteran=false</v>
      </c>
      <c r="BG89" s="21" t="str">
        <f t="shared" si="13"/>
        <v>, setType=LIBSETS_SETTYPE_OVERLAND</v>
      </c>
      <c r="BH89" s="21" t="str">
        <f t="shared" si="14"/>
        <v>, dropMechanic={LIBSETS_DROP_MECHANIC_OVERLAND_BOSS_DELVE,LIBSETS_DROP_MECHANIC_OVERLAND_WORLDBOSS,LIBSETS_DROP_MECHANIC_OVERLAND_BOSS_PUBLIC_DUNGEON,LIBSETS_DROP_MECHANIC_OVERLAND_CHEST}</v>
      </c>
      <c r="BI89" s="21" t="str">
        <f t="shared" si="15"/>
        <v>}, --Wyrd Tree\'s Blessing / Segen des Wyrdbaums   [Glenumbra, Glenumbra, Bad Man's Hallows, Glenumbra]</v>
      </c>
    </row>
    <row r="90" spans="1:61" x14ac:dyDescent="0.25">
      <c r="A90" s="12">
        <v>108</v>
      </c>
      <c r="B90" t="s">
        <v>850</v>
      </c>
      <c r="C90" t="s">
        <v>851</v>
      </c>
      <c r="D90" s="3">
        <f t="shared" si="10"/>
        <v>108</v>
      </c>
      <c r="G90" s="8" t="s">
        <v>1471</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constants'!$B$4:$C$1012,2,FALSE),"")</f>
        <v>Included in base game</v>
      </c>
      <c r="V90" s="33" t="s">
        <v>1529</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constants'!$A$5:$D$10001,4,FALSE),"")</f>
        <v>Cyrodiil</v>
      </c>
      <c r="AB90" s="33" t="s">
        <v>3737</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constants'!$A$5:$D$10001,4,FALSE),"")</f>
        <v>Cyrodiil</v>
      </c>
      <c r="AH90" s="33" t="s">
        <v>2765</v>
      </c>
      <c r="AK90" s="3">
        <f>IF(AND(G90&lt;&gt;"LIBSETS_SETTYPE_BATTLEGROUND",G90&lt;&gt;"LIBSETS_SETTYPE_SPECIAL"),IF(AL90&lt;&gt;"",VLOOKUP(AL90,'ESO zone constants'!$D$5:$H$4955,5,FALSE),""),"")</f>
        <v>181</v>
      </c>
      <c r="AL90" t="s">
        <v>125</v>
      </c>
      <c r="AM90" s="33" t="s">
        <v>3740</v>
      </c>
      <c r="AP90" s="3">
        <f>IF(AND(G90&lt;&gt;"LIBSETS_SETTYPE_BATTLEGROUND",G90&lt;&gt;"LIBSETS_SETTYPE_SPECIAL"),IF(AQ90&lt;&gt;"",VLOOKUP(AQ90,'ESO zone constants'!$D$5:$H$4955,5,FALSE),""),"")</f>
        <v>181</v>
      </c>
      <c r="AQ90" t="s">
        <v>125</v>
      </c>
      <c r="AR90" s="33" t="s">
        <v>1554</v>
      </c>
      <c r="AU90" s="3">
        <f>IF(AND(G90&lt;&gt;"LIBSETS_SETTYPE_BATTLEGROUND",G90&lt;&gt;"LIBSETS_SETTYPE_SPECIAL"),IF(AV90&lt;&gt;"",VLOOKUP(AV90,'ESO zone constants'!$D$5:$H$4955,5,FALSE),""),"")</f>
        <v>181</v>
      </c>
      <c r="AV90" t="s">
        <v>125</v>
      </c>
      <c r="AW90" s="33" t="s">
        <v>3236</v>
      </c>
      <c r="AZ90" s="78" t="s">
        <v>2653</v>
      </c>
      <c r="BA90" s="78"/>
      <c r="BB90" s="78"/>
      <c r="BC90" s="78"/>
      <c r="BD90" s="78"/>
      <c r="BE90" s="21" t="str">
        <f t="shared" si="11"/>
        <v>[108] = {wayshrines={-1,-1,-1,}, dlcId=DLC_BASE_GAME</v>
      </c>
      <c r="BF90" s="21" t="str">
        <f t="shared" si="12"/>
        <v>, zoneIds={181,181,181,181,181,181}, veteran=false</v>
      </c>
      <c r="BG90" s="21" t="str">
        <f t="shared" si="13"/>
        <v>, setType=LIBSETS_SETTYPE_CYRODIIL</v>
      </c>
      <c r="BH90"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 t="shared" si="15"/>
        <v>}, --Ravager / Verwüster   [Cyrodiil, Cyrodiil, Cyrodiil, Cyrodiil, Cyrodiil, Cyrodiil]</v>
      </c>
    </row>
    <row r="91" spans="1:61" s="28" customFormat="1" x14ac:dyDescent="0.25">
      <c r="A91" s="12">
        <v>109</v>
      </c>
      <c r="B91" t="s">
        <v>852</v>
      </c>
      <c r="C91" t="s">
        <v>853</v>
      </c>
      <c r="D91" s="3">
        <f t="shared" si="10"/>
        <v>109</v>
      </c>
      <c r="E91"/>
      <c r="F91"/>
      <c r="G91" s="8" t="s">
        <v>1471</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constants'!$B$4:$C$1012,2,FALSE),"")</f>
        <v>Included in base game</v>
      </c>
      <c r="V91" s="33" t="s">
        <v>2770</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constants'!$A$5:$D$10001,4,FALSE),"")</f>
        <v>Cyrodiil</v>
      </c>
      <c r="AB91" s="33" t="s">
        <v>3737</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constants'!$A$5:$D$10001,4,FALSE),"")</f>
        <v>Cyrodiil</v>
      </c>
      <c r="AH91" s="33" t="s">
        <v>2765</v>
      </c>
      <c r="AI91" s="3"/>
      <c r="AJ91" s="3"/>
      <c r="AK91" s="3">
        <f>IF(AND(G91&lt;&gt;"LIBSETS_SETTYPE_BATTLEGROUND",G91&lt;&gt;"LIBSETS_SETTYPE_SPECIAL"),IF(AL91&lt;&gt;"",VLOOKUP(AL91,'ESO zone constants'!$D$5:$H$4955,5,FALSE),""),"")</f>
        <v>181</v>
      </c>
      <c r="AL91" t="s">
        <v>125</v>
      </c>
      <c r="AM91" s="33" t="s">
        <v>3740</v>
      </c>
      <c r="AN91" s="3"/>
      <c r="AO91" s="3"/>
      <c r="AP91" s="3">
        <f>IF(AND(G91&lt;&gt;"LIBSETS_SETTYPE_BATTLEGROUND",G91&lt;&gt;"LIBSETS_SETTYPE_SPECIAL"),IF(AQ91&lt;&gt;"",VLOOKUP(AQ91,'ESO zone constants'!$D$5:$H$4955,5,FALSE),""),"")</f>
        <v>181</v>
      </c>
      <c r="AQ91" t="s">
        <v>125</v>
      </c>
      <c r="AR91" s="33" t="s">
        <v>1554</v>
      </c>
      <c r="AS91" s="3"/>
      <c r="AT91" s="3"/>
      <c r="AU91" s="3">
        <f>IF(AND(G91&lt;&gt;"LIBSETS_SETTYPE_BATTLEGROUND",G91&lt;&gt;"LIBSETS_SETTYPE_SPECIAL"),IF(AV91&lt;&gt;"",VLOOKUP(AV91,'ESO zone constants'!$D$5:$H$4955,5,FALSE),""),"")</f>
        <v>181</v>
      </c>
      <c r="AV91" t="s">
        <v>125</v>
      </c>
      <c r="AW91" s="33" t="s">
        <v>3236</v>
      </c>
      <c r="AX91" s="3"/>
      <c r="AY91" s="3"/>
      <c r="AZ91" s="78" t="s">
        <v>2653</v>
      </c>
      <c r="BA91" s="78"/>
      <c r="BB91" s="78"/>
      <c r="BC91" s="78"/>
      <c r="BD91" s="78"/>
      <c r="BE91" s="21" t="str">
        <f t="shared" si="11"/>
        <v>[109] = {wayshrines={-1,-1,-1,}, dlcId=DLC_BASE_GAME</v>
      </c>
      <c r="BF91" s="21" t="str">
        <f t="shared" si="12"/>
        <v>, zoneIds={181,181,181,181,181,181}, veteran=false</v>
      </c>
      <c r="BG91" s="21" t="str">
        <f t="shared" si="13"/>
        <v>, setType=LIBSETS_SETTYPE_CYRODIIL</v>
      </c>
      <c r="BH91"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 t="shared" si="15"/>
        <v>}, --Light of Cyrodiil / Licht von Cyrodiil   [Cyrodiil, Cyrodiil, Cyrodiil, Cyrodiil, Cyrodiil, Cyrodiil]</v>
      </c>
    </row>
    <row r="92" spans="1:61" x14ac:dyDescent="0.25">
      <c r="A92" s="12">
        <v>110</v>
      </c>
      <c r="B92" t="s">
        <v>854</v>
      </c>
      <c r="C92" t="s">
        <v>855</v>
      </c>
      <c r="D92" s="3">
        <f t="shared" si="10"/>
        <v>110</v>
      </c>
      <c r="G92" s="8" t="s">
        <v>1473</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constants'!$B$4:$C$1012,2,FALSE),"")</f>
        <v>Included in base game</v>
      </c>
      <c r="V92" s="33" t="s">
        <v>3285</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constants'!$A$5:$D$10001,4,FALSE),"")</f>
        <v>The Banished Cells II</v>
      </c>
      <c r="AB92" s="33" t="s">
        <v>3285</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constants'!$A$5:$D$10001,4,FALSE),"")</f>
        <v>Auridon</v>
      </c>
      <c r="AH92" s="89"/>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8" t="s">
        <v>2653</v>
      </c>
      <c r="BA92" s="78"/>
      <c r="BB92" s="78"/>
      <c r="BC92" s="78"/>
      <c r="BD92" s="78"/>
      <c r="BE92" s="21" t="str">
        <f t="shared" si="11"/>
        <v>[110] = {wayshrines={194,194,194,}, dlcId=DLC_BASE_GAME</v>
      </c>
      <c r="BF92" s="21" t="str">
        <f t="shared" si="12"/>
        <v>, zoneIds={380,935,381}, veteran=false</v>
      </c>
      <c r="BG92" s="21" t="str">
        <f t="shared" si="13"/>
        <v>, setType=LIBSETS_SETTYPE_DUNGEON</v>
      </c>
      <c r="BH92" s="21" t="str">
        <f t="shared" si="14"/>
        <v>, dropMechanic={LIBSETS_DROP_MECHANIC_GROUP_DUNGEON_BOSS,LIBSETS_DROP_MECHANIC_GROUP_DUNGEON_BOSS}</v>
      </c>
      <c r="BI92" s="21" t="str">
        <f t="shared" si="15"/>
        <v>}, --Sanctuary / Heiligtum   [The Banished Cells I, The Banished Cells II, Auridon]</v>
      </c>
    </row>
    <row r="93" spans="1:61" x14ac:dyDescent="0.25">
      <c r="A93" s="12">
        <v>111</v>
      </c>
      <c r="B93" t="s">
        <v>856</v>
      </c>
      <c r="C93" t="s">
        <v>857</v>
      </c>
      <c r="D93" s="3">
        <f t="shared" si="10"/>
        <v>111</v>
      </c>
      <c r="G93" s="8" t="s">
        <v>1471</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constants'!$B$4:$C$1012,2,FALSE),"")</f>
        <v>Included in base game</v>
      </c>
      <c r="V93" s="33" t="s">
        <v>1527</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constants'!$A$5:$D$10001,4,FALSE),"")</f>
        <v>Cyrodiil</v>
      </c>
      <c r="AB93" s="33" t="s">
        <v>3737</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constants'!$A$5:$D$10001,4,FALSE),"")</f>
        <v>Cyrodiil</v>
      </c>
      <c r="AH93" s="33" t="s">
        <v>2765</v>
      </c>
      <c r="AK93" s="3">
        <f>IF(AND(G93&lt;&gt;"LIBSETS_SETTYPE_BATTLEGROUND",G93&lt;&gt;"LIBSETS_SETTYPE_SPECIAL"),IF(AL93&lt;&gt;"",VLOOKUP(AL93,'ESO zone constants'!$D$5:$H$4955,5,FALSE),""),"")</f>
        <v>181</v>
      </c>
      <c r="AL93" t="s">
        <v>125</v>
      </c>
      <c r="AM93" s="33" t="s">
        <v>3740</v>
      </c>
      <c r="AP93" s="3">
        <f>IF(AND(G93&lt;&gt;"LIBSETS_SETTYPE_BATTLEGROUND",G93&lt;&gt;"LIBSETS_SETTYPE_SPECIAL"),IF(AQ93&lt;&gt;"",VLOOKUP(AQ93,'ESO zone constants'!$D$5:$H$4955,5,FALSE),""),"")</f>
        <v>181</v>
      </c>
      <c r="AQ93" t="s">
        <v>125</v>
      </c>
      <c r="AR93" s="33" t="s">
        <v>1554</v>
      </c>
      <c r="AU93" s="3">
        <f>IF(AND(G93&lt;&gt;"LIBSETS_SETTYPE_BATTLEGROUND",G93&lt;&gt;"LIBSETS_SETTYPE_SPECIAL"),IF(AV93&lt;&gt;"",VLOOKUP(AV93,'ESO zone constants'!$D$5:$H$4955,5,FALSE),""),"")</f>
        <v>181</v>
      </c>
      <c r="AV93" t="s">
        <v>125</v>
      </c>
      <c r="AW93" s="33" t="s">
        <v>3236</v>
      </c>
      <c r="AZ93" s="78" t="s">
        <v>2653</v>
      </c>
      <c r="BA93" s="78"/>
      <c r="BB93" s="78"/>
      <c r="BC93" s="78"/>
      <c r="BD93" s="78"/>
      <c r="BE93" s="21" t="str">
        <f t="shared" si="11"/>
        <v>[111] = {wayshrines={-1,-1,-1,}, dlcId=DLC_BASE_GAME</v>
      </c>
      <c r="BF93" s="21" t="str">
        <f t="shared" si="12"/>
        <v>, zoneIds={181,181,181,181,181,181}, veteran=false</v>
      </c>
      <c r="BG93" s="21" t="str">
        <f t="shared" si="13"/>
        <v>, setType=LIBSETS_SETTYPE_CYRODIIL</v>
      </c>
      <c r="BH93"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 t="shared" si="15"/>
        <v>}, --Ward of Cyrodiil / Schutz von Cyrodiil   [Cyrodiil, Cyrodiil, Cyrodiil, Cyrodiil, Cyrodiil, Cyrodiil]</v>
      </c>
    </row>
    <row r="94" spans="1:61" x14ac:dyDescent="0.25">
      <c r="A94" s="12">
        <v>112</v>
      </c>
      <c r="B94" t="s">
        <v>858</v>
      </c>
      <c r="C94" t="s">
        <v>859</v>
      </c>
      <c r="D94" s="3">
        <f t="shared" si="10"/>
        <v>112</v>
      </c>
      <c r="G94" s="8" t="s">
        <v>1476</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constants'!$B$4:$C$1012,2,FALSE),"")</f>
        <v>Included in base game</v>
      </c>
      <c r="V94" s="33" t="s">
        <v>1554</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constants'!$A$5:$D$10001,4,FALSE),"")</f>
        <v>Stormhaven</v>
      </c>
      <c r="AB94" s="33" t="s">
        <v>1555</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constants'!$A$5:$D$10001,4,FALSE),"")</f>
        <v>Bonesnap Ruins</v>
      </c>
      <c r="AH94" s="42" t="s">
        <v>1556</v>
      </c>
      <c r="AI94" s="41"/>
      <c r="AJ94" s="41"/>
      <c r="AK94" s="3">
        <f>IF(AND(G94&lt;&gt;"LIBSETS_SETTYPE_BATTLEGROUND",G94&lt;&gt;"LIBSETS_SETTYPE_SPECIAL"),IF(AL94&lt;&gt;"",VLOOKUP(AL94,'ESO zone constants'!$D$5:$H$4955,5,FALSE),""),"")</f>
        <v>19</v>
      </c>
      <c r="AL94" t="s">
        <v>104</v>
      </c>
      <c r="AM94" s="33" t="s">
        <v>1557</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8" t="s">
        <v>2654</v>
      </c>
      <c r="BA94" s="78"/>
      <c r="BB94" s="78"/>
      <c r="BC94" s="78"/>
      <c r="BD94" s="78"/>
      <c r="BE94" s="21" t="str">
        <f t="shared" si="11"/>
        <v>[112] = {wayshrines={17,17,17,}, dlcId=DLC_BASE_GAME</v>
      </c>
      <c r="BF94" s="21" t="str">
        <f t="shared" si="12"/>
        <v>, zoneIds={19,19,142,19}, veteran=false</v>
      </c>
      <c r="BG94" s="21" t="str">
        <f t="shared" si="13"/>
        <v>, setType=LIBSETS_SETTYPE_OVERLAND</v>
      </c>
      <c r="BH94" s="21" t="str">
        <f t="shared" si="14"/>
        <v>, isProcSetAllowedInPvP=1, dropMechanic={LIBSETS_DROP_MECHANIC_OVERLAND_BOSS_DELVE,LIBSETS_DROP_MECHANIC_OVERLAND_WORLDBOSS,LIBSETS_DROP_MECHANIC_OVERLAND_BOSS_PUBLIC_DUNGEON,LIBSETS_DROP_MECHANIC_OVERLAND_CHEST}</v>
      </c>
      <c r="BI94" s="21" t="str">
        <f t="shared" si="15"/>
        <v>}, --Night Terror / Nachtschrecken   [Stormhaven, Stormhaven, Bonesnap Ruins, Stormhaven]</v>
      </c>
    </row>
    <row r="95" spans="1:61" x14ac:dyDescent="0.25">
      <c r="A95" s="12">
        <v>113</v>
      </c>
      <c r="B95" t="s">
        <v>860</v>
      </c>
      <c r="C95" t="s">
        <v>861</v>
      </c>
      <c r="D95" s="3">
        <f t="shared" si="10"/>
        <v>113</v>
      </c>
      <c r="G95" s="8" t="s">
        <v>1471</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constants'!$B$4:$C$1012,2,FALSE),"")</f>
        <v>Included in base game</v>
      </c>
      <c r="V95" s="33" t="s">
        <v>1529</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constants'!$A$5:$D$10001,4,FALSE),"")</f>
        <v>Cyrodiil</v>
      </c>
      <c r="AB95" s="33" t="s">
        <v>3737</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constants'!$A$5:$D$10001,4,FALSE),"")</f>
        <v>Cyrodiil</v>
      </c>
      <c r="AH95" s="33" t="s">
        <v>2765</v>
      </c>
      <c r="AK95" s="3">
        <f>IF(AND(G95&lt;&gt;"LIBSETS_SETTYPE_BATTLEGROUND",G95&lt;&gt;"LIBSETS_SETTYPE_SPECIAL"),IF(AL95&lt;&gt;"",VLOOKUP(AL95,'ESO zone constants'!$D$5:$H$4955,5,FALSE),""),"")</f>
        <v>181</v>
      </c>
      <c r="AL95" t="s">
        <v>125</v>
      </c>
      <c r="AM95" s="33" t="s">
        <v>3740</v>
      </c>
      <c r="AP95" s="3">
        <f>IF(AND(G95&lt;&gt;"LIBSETS_SETTYPE_BATTLEGROUND",G95&lt;&gt;"LIBSETS_SETTYPE_SPECIAL"),IF(AQ95&lt;&gt;"",VLOOKUP(AQ95,'ESO zone constants'!$D$5:$H$4955,5,FALSE),""),"")</f>
        <v>181</v>
      </c>
      <c r="AQ95" t="s">
        <v>125</v>
      </c>
      <c r="AR95" s="33" t="s">
        <v>1554</v>
      </c>
      <c r="AU95" s="3">
        <f>IF(AND(G95&lt;&gt;"LIBSETS_SETTYPE_BATTLEGROUND",G95&lt;&gt;"LIBSETS_SETTYPE_SPECIAL"),IF(AV95&lt;&gt;"",VLOOKUP(AV95,'ESO zone constants'!$D$5:$H$4955,5,FALSE),""),"")</f>
        <v>181</v>
      </c>
      <c r="AV95" t="s">
        <v>125</v>
      </c>
      <c r="AW95" s="33" t="s">
        <v>3236</v>
      </c>
      <c r="AZ95" s="78" t="s">
        <v>2653</v>
      </c>
      <c r="BA95" s="78"/>
      <c r="BB95" s="78"/>
      <c r="BC95" s="78"/>
      <c r="BD95" s="78"/>
      <c r="BE95" s="21" t="str">
        <f t="shared" si="11"/>
        <v>[113] = {wayshrines={-1,-1,-1,}, dlcId=DLC_BASE_GAME</v>
      </c>
      <c r="BF95" s="21" t="str">
        <f t="shared" si="12"/>
        <v>, zoneIds={181,181,181,181,181,181}, veteran=false</v>
      </c>
      <c r="BG95" s="21" t="str">
        <f t="shared" si="13"/>
        <v>, setType=LIBSETS_SETTYPE_CYRODIIL</v>
      </c>
      <c r="BH95"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 t="shared" si="15"/>
        <v>}, --Crest of Cyrodiil / Wappen von Cyrodiil   [Cyrodiil, Cyrodiil, Cyrodiil, Cyrodiil, Cyrodiil, Cyrodiil]</v>
      </c>
    </row>
    <row r="96" spans="1:61" x14ac:dyDescent="0.25">
      <c r="A96" s="12">
        <v>114</v>
      </c>
      <c r="B96" t="s">
        <v>862</v>
      </c>
      <c r="C96" t="s">
        <v>863</v>
      </c>
      <c r="D96" s="3">
        <f t="shared" si="10"/>
        <v>114</v>
      </c>
      <c r="G96" s="8" t="s">
        <v>1476</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constants'!$B$4:$C$1012,2,FALSE),"")</f>
        <v>Included in base game</v>
      </c>
      <c r="V96" s="33" t="s">
        <v>1554</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constants'!$A$5:$D$10001,4,FALSE),"")</f>
        <v>Reaper's March</v>
      </c>
      <c r="AB96" s="33" t="s">
        <v>1555</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constants'!$A$5:$D$10001,4,FALSE),"")</f>
        <v>The Vile Manse</v>
      </c>
      <c r="AH96" s="42" t="s">
        <v>1556</v>
      </c>
      <c r="AI96" s="41"/>
      <c r="AJ96" s="41"/>
      <c r="AK96" s="3">
        <f>IF(AND(G96&lt;&gt;"LIBSETS_SETTYPE_BATTLEGROUND",G96&lt;&gt;"LIBSETS_SETTYPE_SPECIAL"),IF(AL96&lt;&gt;"",VLOOKUP(AL96,'ESO zone constants'!$D$5:$H$4955,5,FALSE),""),"")</f>
        <v>382</v>
      </c>
      <c r="AL96" t="s">
        <v>263</v>
      </c>
      <c r="AM96" s="33" t="s">
        <v>1557</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8" t="s">
        <v>2653</v>
      </c>
      <c r="BA96" s="78"/>
      <c r="BB96" s="78"/>
      <c r="BC96" s="78"/>
      <c r="BD96" s="78"/>
      <c r="BE96" s="21" t="str">
        <f t="shared" si="11"/>
        <v>[114] = {wayshrines={162,162,162,}, dlcId=DLC_BASE_GAME</v>
      </c>
      <c r="BF96" s="21" t="str">
        <f t="shared" si="12"/>
        <v>, zoneIds={382,382,487,382}, veteran=false</v>
      </c>
      <c r="BG96" s="21" t="str">
        <f t="shared" si="13"/>
        <v>, setType=LIBSETS_SETTYPE_OVERLAND</v>
      </c>
      <c r="BH96" s="21" t="str">
        <f t="shared" si="14"/>
        <v>, dropMechanic={LIBSETS_DROP_MECHANIC_OVERLAND_BOSS_DELVE,LIBSETS_DROP_MECHANIC_OVERLAND_WORLDBOSS,LIBSETS_DROP_MECHANIC_OVERLAND_BOSS_PUBLIC_DUNGEON,LIBSETS_DROP_MECHANIC_OVERLAND_CHEST}</v>
      </c>
      <c r="BI96" s="21" t="str">
        <f t="shared" si="15"/>
        <v>}, --Soulshine / Seelenschein   [Reaper's March, Reaper's March, The Vile Manse, Reaper's March]</v>
      </c>
    </row>
    <row r="97" spans="1:61" x14ac:dyDescent="0.25">
      <c r="A97" s="12">
        <v>116</v>
      </c>
      <c r="B97" t="s">
        <v>864</v>
      </c>
      <c r="C97" t="s">
        <v>865</v>
      </c>
      <c r="D97" s="3">
        <f t="shared" si="10"/>
        <v>116</v>
      </c>
      <c r="G97" s="8" t="s">
        <v>1473</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constants'!$B$4:$C$1012,2,FALSE),"")</f>
        <v>Included in base game</v>
      </c>
      <c r="V97" s="33" t="s">
        <v>3285</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constants'!$A$5:$D$10001,4,FALSE),"")</f>
        <v>Wayrest Sewers I</v>
      </c>
      <c r="AB97" s="33" t="s">
        <v>3285</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constants'!$A$5:$D$10001,4,FALSE),"")</f>
        <v>Elden Hollow I</v>
      </c>
      <c r="AH97" s="33" t="s">
        <v>3285</v>
      </c>
      <c r="AI97" s="41"/>
      <c r="AJ97" s="41"/>
      <c r="AK97" s="3">
        <f>IF(AND(G97&lt;&gt;"LIBSETS_SETTYPE_BATTLEGROUND",G97&lt;&gt;"LIBSETS_SETTYPE_SPECIAL"),IF(AL97&lt;&gt;"",VLOOKUP(AL97,'ESO zone constants'!$D$5:$H$4955,5,FALSE),""),"")</f>
        <v>63</v>
      </c>
      <c r="AL97" t="s">
        <v>61</v>
      </c>
      <c r="AM97" s="33" t="s">
        <v>3285</v>
      </c>
      <c r="AN97" s="41"/>
      <c r="AO97" s="41"/>
      <c r="AP97" s="3">
        <f>IF(AND(G97&lt;&gt;"LIBSETS_SETTYPE_BATTLEGROUND",G97&lt;&gt;"LIBSETS_SETTYPE_SPECIAL"),IF(AQ97&lt;&gt;"",VLOOKUP(AQ97,'ESO zone constants'!$D$5:$H$4955,5,FALSE),""),"")</f>
        <v>283</v>
      </c>
      <c r="AQ97" t="s">
        <v>51</v>
      </c>
      <c r="AR97" s="33" t="s">
        <v>3285</v>
      </c>
      <c r="AS97" s="41"/>
      <c r="AT97" s="41"/>
      <c r="AU97" s="3" t="str">
        <f>IF(AND(G97&lt;&gt;"LIBSETS_SETTYPE_BATTLEGROUND",G97&lt;&gt;"LIBSETS_SETTYPE_SPECIAL"),IF(AV97&lt;&gt;"",VLOOKUP(AV97,'ESO zone constants'!$D$5:$H$4955,5,FALSE),""),"")</f>
        <v/>
      </c>
      <c r="AX97" s="41"/>
      <c r="AY97" s="41"/>
      <c r="AZ97" s="78" t="s">
        <v>2653</v>
      </c>
      <c r="BA97" s="78"/>
      <c r="BB97" s="78"/>
      <c r="BC97" s="78"/>
      <c r="BD97" s="78"/>
      <c r="BE97" s="21" t="str">
        <f t="shared" si="11"/>
        <v>[116] = {wayshrines={194,194,194,}, dlcId=DLC_BASE_GAME</v>
      </c>
      <c r="BF97" s="21" t="str">
        <f t="shared" si="12"/>
        <v>, zoneIds={381,146,126,63,283}, veteran=false</v>
      </c>
      <c r="BG97" s="21" t="str">
        <f t="shared" si="13"/>
        <v>, setType=LIBSETS_SETTYPE_DUNGEON</v>
      </c>
      <c r="BH97" s="21" t="str">
        <f t="shared" si="14"/>
        <v>, dropMechanic={LIBSETS_DROP_MECHANIC_GROUP_DUNGEON_BOSS,LIBSETS_DROP_MECHANIC_GROUP_DUNGEON_BOSS,LIBSETS_DROP_MECHANIC_GROUP_DUNGEON_BOSS,LIBSETS_DROP_MECHANIC_GROUP_DUNGEON_BOSS,LIBSETS_DROP_MECHANIC_GROUP_DUNGEON_BOSS}</v>
      </c>
      <c r="BI97" s="21" t="str">
        <f t="shared" si="15"/>
        <v>}, --The Destruction Suite / Garnitur der Zerstörung   [The Banished Cells I, Wayrest Sewers I, Elden Hollow I, Darkshade Caverns I, Fungal Grotto I]</v>
      </c>
    </row>
    <row r="98" spans="1:61" x14ac:dyDescent="0.25">
      <c r="A98" s="12">
        <v>117</v>
      </c>
      <c r="B98" t="s">
        <v>866</v>
      </c>
      <c r="C98" t="s">
        <v>1437</v>
      </c>
      <c r="D98" s="3">
        <f t="shared" si="10"/>
        <v>117</v>
      </c>
      <c r="G98" s="8" t="s">
        <v>1473</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constants'!$B$4:$C$1012,2,FALSE),"")</f>
        <v>Included in base game</v>
      </c>
      <c r="V98" s="33" t="s">
        <v>3285</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constants'!$A$5:$D$10001,4,FALSE),"")</f>
        <v>Wayrest Sewers I</v>
      </c>
      <c r="AB98" s="33" t="s">
        <v>3285</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constants'!$A$5:$D$10001,4,FALSE),"")</f>
        <v>Elden Hollow I</v>
      </c>
      <c r="AH98" s="33" t="s">
        <v>3285</v>
      </c>
      <c r="AI98" s="41"/>
      <c r="AJ98" s="41"/>
      <c r="AK98" s="3">
        <f>IF(AND(G98&lt;&gt;"LIBSETS_SETTYPE_BATTLEGROUND",G98&lt;&gt;"LIBSETS_SETTYPE_SPECIAL"),IF(AL98&lt;&gt;"",VLOOKUP(AL98,'ESO zone constants'!$D$5:$H$4955,5,FALSE),""),"")</f>
        <v>63</v>
      </c>
      <c r="AL98" t="s">
        <v>61</v>
      </c>
      <c r="AM98" s="33" t="s">
        <v>3285</v>
      </c>
      <c r="AN98" s="41"/>
      <c r="AO98" s="41"/>
      <c r="AP98" s="3">
        <f>IF(AND(G98&lt;&gt;"LIBSETS_SETTYPE_BATTLEGROUND",G98&lt;&gt;"LIBSETS_SETTYPE_SPECIAL"),IF(AQ98&lt;&gt;"",VLOOKUP(AQ98,'ESO zone constants'!$D$5:$H$4955,5,FALSE),""),"")</f>
        <v>283</v>
      </c>
      <c r="AQ98" t="s">
        <v>51</v>
      </c>
      <c r="AR98" s="33" t="s">
        <v>3285</v>
      </c>
      <c r="AS98" s="41"/>
      <c r="AT98" s="41"/>
      <c r="AU98" s="3" t="str">
        <f>IF(AND(G98&lt;&gt;"LIBSETS_SETTYPE_BATTLEGROUND",G98&lt;&gt;"LIBSETS_SETTYPE_SPECIAL"),IF(AV98&lt;&gt;"",VLOOKUP(AV98,'ESO zone constants'!$D$5:$H$4955,5,FALSE),""),"")</f>
        <v/>
      </c>
      <c r="AX98" s="41"/>
      <c r="AY98" s="41"/>
      <c r="AZ98" s="78" t="s">
        <v>2654</v>
      </c>
      <c r="BA98" s="78"/>
      <c r="BB98" s="78"/>
      <c r="BC98" s="78"/>
      <c r="BD98" s="78"/>
      <c r="BE98" s="21" t="str">
        <f t="shared" si="11"/>
        <v>[117] = {wayshrines={194,194,194,}, dlcId=DLC_BASE_GAME</v>
      </c>
      <c r="BF98" s="21" t="str">
        <f t="shared" si="12"/>
        <v>, zoneIds={381,146,126,63,283}, veteran=false</v>
      </c>
      <c r="BG98" s="21" t="str">
        <f t="shared" si="13"/>
        <v>, setType=LIBSETS_SETTYPE_DUNGEON</v>
      </c>
      <c r="BH98" s="21" t="str">
        <f t="shared" si="14"/>
        <v>, isProcSetAllowedInPvP=1, dropMechanic={LIBSETS_DROP_MECHANIC_GROUP_DUNGEON_BOSS,LIBSETS_DROP_MECHANIC_GROUP_DUNGEON_BOSS,LIBSETS_DROP_MECHANIC_GROUP_DUNGEON_BOSS,LIBSETS_DROP_MECHANIC_GROUP_DUNGEON_BOSS,LIBSETS_DROP_MECHANIC_GROUP_DUNGEON_BOSS}</v>
      </c>
      <c r="BI98" s="21" t="str">
        <f t="shared" si="15"/>
        <v>}, --Relics of the Physician, Ansur / Relikte des Mediziners Ansur   [The Banished Cells I, Wayrest Sewers I, Elden Hollow I, Darkshade Caverns I, Fungal Grotto I]</v>
      </c>
    </row>
    <row r="99" spans="1:61" x14ac:dyDescent="0.25">
      <c r="A99" s="12">
        <v>118</v>
      </c>
      <c r="B99" t="s">
        <v>867</v>
      </c>
      <c r="C99" t="s">
        <v>868</v>
      </c>
      <c r="D99" s="3">
        <f t="shared" si="10"/>
        <v>118</v>
      </c>
      <c r="G99" s="8" t="s">
        <v>1473</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constants'!$B$4:$C$1012,2,FALSE),"")</f>
        <v>Included in base game</v>
      </c>
      <c r="V99" s="33" t="s">
        <v>3285</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constants'!$A$5:$D$10001,4,FALSE),"")</f>
        <v>Wayrest Sewers I</v>
      </c>
      <c r="AB99" s="33" t="s">
        <v>3285</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constants'!$A$5:$D$10001,4,FALSE),"")</f>
        <v>Elden Hollow I</v>
      </c>
      <c r="AH99" s="33" t="s">
        <v>3285</v>
      </c>
      <c r="AI99" s="41"/>
      <c r="AJ99" s="41"/>
      <c r="AK99" s="3">
        <f>IF(AND(G99&lt;&gt;"LIBSETS_SETTYPE_BATTLEGROUND",G99&lt;&gt;"LIBSETS_SETTYPE_SPECIAL"),IF(AL99&lt;&gt;"",VLOOKUP(AL99,'ESO zone constants'!$D$5:$H$4955,5,FALSE),""),"")</f>
        <v>63</v>
      </c>
      <c r="AL99" t="s">
        <v>61</v>
      </c>
      <c r="AM99" s="33" t="s">
        <v>3285</v>
      </c>
      <c r="AN99" s="41"/>
      <c r="AO99" s="41"/>
      <c r="AP99" s="3">
        <f>IF(AND(G99&lt;&gt;"LIBSETS_SETTYPE_BATTLEGROUND",G99&lt;&gt;"LIBSETS_SETTYPE_SPECIAL"),IF(AQ99&lt;&gt;"",VLOOKUP(AQ99,'ESO zone constants'!$D$5:$H$4955,5,FALSE),""),"")</f>
        <v>283</v>
      </c>
      <c r="AQ99" t="s">
        <v>51</v>
      </c>
      <c r="AR99" s="33" t="s">
        <v>3285</v>
      </c>
      <c r="AS99" s="41"/>
      <c r="AT99" s="41"/>
      <c r="AU99" s="3" t="str">
        <f>IF(AND(G99&lt;&gt;"LIBSETS_SETTYPE_BATTLEGROUND",G99&lt;&gt;"LIBSETS_SETTYPE_SPECIAL"),IF(AV99&lt;&gt;"",VLOOKUP(AV99,'ESO zone constants'!$D$5:$H$4955,5,FALSE),""),"")</f>
        <v/>
      </c>
      <c r="AX99" s="41"/>
      <c r="AY99" s="41"/>
      <c r="AZ99" s="78" t="s">
        <v>2653</v>
      </c>
      <c r="BA99" s="78"/>
      <c r="BB99" s="78"/>
      <c r="BC99" s="78"/>
      <c r="BD99" s="78"/>
      <c r="BE99" s="21" t="str">
        <f t="shared" si="11"/>
        <v>[118] = {wayshrines={194,194,194,}, dlcId=DLC_BASE_GAME</v>
      </c>
      <c r="BF99" s="21" t="str">
        <f t="shared" si="12"/>
        <v>, zoneIds={381,146,126,63,283}, veteran=false</v>
      </c>
      <c r="BG99" s="21" t="str">
        <f t="shared" si="13"/>
        <v>, setType=LIBSETS_SETTYPE_DUNGEON</v>
      </c>
      <c r="BH99" s="21" t="str">
        <f t="shared" si="14"/>
        <v>, dropMechanic={LIBSETS_DROP_MECHANIC_GROUP_DUNGEON_BOSS,LIBSETS_DROP_MECHANIC_GROUP_DUNGEON_BOSS,LIBSETS_DROP_MECHANIC_GROUP_DUNGEON_BOSS,LIBSETS_DROP_MECHANIC_GROUP_DUNGEON_BOSS,LIBSETS_DROP_MECHANIC_GROUP_DUNGEON_BOSS}</v>
      </c>
      <c r="BI99" s="21" t="str">
        <f t="shared" si="15"/>
        <v>}, --Treasures of the Earthforge / Schätze der Erdenschmiede   [The Banished Cells I, Wayrest Sewers I, Elden Hollow I, Darkshade Caverns I, Fungal Grotto I]</v>
      </c>
    </row>
    <row r="100" spans="1:61" x14ac:dyDescent="0.25">
      <c r="A100" s="12">
        <v>119</v>
      </c>
      <c r="B100" t="s">
        <v>869</v>
      </c>
      <c r="C100" t="s">
        <v>870</v>
      </c>
      <c r="D100" s="3">
        <f t="shared" si="10"/>
        <v>119</v>
      </c>
      <c r="G100" s="8" t="s">
        <v>1473</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constants'!$B$4:$C$1012,2,FALSE),"")</f>
        <v>Included in base game</v>
      </c>
      <c r="V100" s="33" t="s">
        <v>3285</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constants'!$A$5:$D$10001,4,FALSE),"")</f>
        <v>Wayrest Sewers I</v>
      </c>
      <c r="AB100" s="33" t="s">
        <v>3285</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constants'!$A$5:$D$10001,4,FALSE),"")</f>
        <v>Elden Hollow I</v>
      </c>
      <c r="AH100" s="33" t="s">
        <v>3285</v>
      </c>
      <c r="AI100" s="41"/>
      <c r="AJ100" s="41"/>
      <c r="AK100" s="3">
        <f>IF(AND(G100&lt;&gt;"LIBSETS_SETTYPE_BATTLEGROUND",G100&lt;&gt;"LIBSETS_SETTYPE_SPECIAL"),IF(AL100&lt;&gt;"",VLOOKUP(AL100,'ESO zone constants'!$D$5:$H$4955,5,FALSE),""),"")</f>
        <v>63</v>
      </c>
      <c r="AL100" t="s">
        <v>61</v>
      </c>
      <c r="AM100" s="33" t="s">
        <v>3285</v>
      </c>
      <c r="AN100" s="41"/>
      <c r="AO100" s="41"/>
      <c r="AP100" s="3">
        <f>IF(AND(G100&lt;&gt;"LIBSETS_SETTYPE_BATTLEGROUND",G100&lt;&gt;"LIBSETS_SETTYPE_SPECIAL"),IF(AQ100&lt;&gt;"",VLOOKUP(AQ100,'ESO zone constants'!$D$5:$H$4955,5,FALSE),""),"")</f>
        <v>283</v>
      </c>
      <c r="AQ100" t="s">
        <v>51</v>
      </c>
      <c r="AR100" s="33" t="s">
        <v>3285</v>
      </c>
      <c r="AS100" s="41"/>
      <c r="AT100" s="41"/>
      <c r="AU100" s="3" t="str">
        <f>IF(AND(G100&lt;&gt;"LIBSETS_SETTYPE_BATTLEGROUND",G100&lt;&gt;"LIBSETS_SETTYPE_SPECIAL"),IF(AV100&lt;&gt;"",VLOOKUP(AV100,'ESO zone constants'!$D$5:$H$4955,5,FALSE),""),"")</f>
        <v/>
      </c>
      <c r="AX100" s="41"/>
      <c r="AY100" s="41"/>
      <c r="AZ100" s="78" t="s">
        <v>2653</v>
      </c>
      <c r="BA100" s="78"/>
      <c r="BB100" s="78"/>
      <c r="BC100" s="78"/>
      <c r="BD100" s="78"/>
      <c r="BE100" s="21" t="str">
        <f t="shared" si="11"/>
        <v>[119] = {wayshrines={194,194,194,}, dlcId=DLC_BASE_GAME</v>
      </c>
      <c r="BF100" s="21" t="str">
        <f t="shared" si="12"/>
        <v>, zoneIds={381,146,126,63,283}, veteran=false</v>
      </c>
      <c r="BG100" s="21" t="str">
        <f t="shared" si="13"/>
        <v>, setType=LIBSETS_SETTYPE_DUNGEON</v>
      </c>
      <c r="BH100" s="21" t="str">
        <f t="shared" si="14"/>
        <v>, dropMechanic={LIBSETS_DROP_MECHANIC_GROUP_DUNGEON_BOSS,LIBSETS_DROP_MECHANIC_GROUP_DUNGEON_BOSS,LIBSETS_DROP_MECHANIC_GROUP_DUNGEON_BOSS,LIBSETS_DROP_MECHANIC_GROUP_DUNGEON_BOSS,LIBSETS_DROP_MECHANIC_GROUP_DUNGEON_BOSS}</v>
      </c>
      <c r="BI100" s="21" t="str">
        <f t="shared" si="15"/>
        <v>}, --Relics of the Rebellion / Relikte der Rebellion   [The Banished Cells I, Wayrest Sewers I, Elden Hollow I, Darkshade Caverns I, Fungal Grotto I]</v>
      </c>
    </row>
    <row r="101" spans="1:61" x14ac:dyDescent="0.25">
      <c r="A101" s="12">
        <v>120</v>
      </c>
      <c r="B101" t="s">
        <v>871</v>
      </c>
      <c r="C101" t="s">
        <v>872</v>
      </c>
      <c r="D101" s="3">
        <f t="shared" si="10"/>
        <v>120</v>
      </c>
      <c r="G101" s="8" t="s">
        <v>1473</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constants'!$B$4:$C$1012,2,FALSE),"")</f>
        <v>Included in base game</v>
      </c>
      <c r="V101" s="33" t="s">
        <v>3285</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constants'!$A$5:$D$10001,4,FALSE),"")</f>
        <v>Wayrest Sewers I</v>
      </c>
      <c r="AB101" s="33" t="s">
        <v>3285</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constants'!$A$5:$D$10001,4,FALSE),"")</f>
        <v>Elden Hollow I</v>
      </c>
      <c r="AH101" s="33" t="s">
        <v>3285</v>
      </c>
      <c r="AI101" s="41"/>
      <c r="AJ101" s="41"/>
      <c r="AK101" s="3">
        <f>IF(AND(G101&lt;&gt;"LIBSETS_SETTYPE_BATTLEGROUND",G101&lt;&gt;"LIBSETS_SETTYPE_SPECIAL"),IF(AL101&lt;&gt;"",VLOOKUP(AL101,'ESO zone constants'!$D$5:$H$4955,5,FALSE),""),"")</f>
        <v>63</v>
      </c>
      <c r="AL101" t="s">
        <v>61</v>
      </c>
      <c r="AM101" s="33" t="s">
        <v>3285</v>
      </c>
      <c r="AN101" s="41"/>
      <c r="AO101" s="41"/>
      <c r="AP101" s="3">
        <f>IF(AND(G101&lt;&gt;"LIBSETS_SETTYPE_BATTLEGROUND",G101&lt;&gt;"LIBSETS_SETTYPE_SPECIAL"),IF(AQ101&lt;&gt;"",VLOOKUP(AQ101,'ESO zone constants'!$D$5:$H$4955,5,FALSE),""),"")</f>
        <v>283</v>
      </c>
      <c r="AQ101" t="s">
        <v>51</v>
      </c>
      <c r="AR101" s="33" t="s">
        <v>3285</v>
      </c>
      <c r="AS101" s="41"/>
      <c r="AT101" s="41"/>
      <c r="AU101" s="3" t="str">
        <f>IF(AND(G101&lt;&gt;"LIBSETS_SETTYPE_BATTLEGROUND",G101&lt;&gt;"LIBSETS_SETTYPE_SPECIAL"),IF(AV101&lt;&gt;"",VLOOKUP(AV101,'ESO zone constants'!$D$5:$H$4955,5,FALSE),""),"")</f>
        <v/>
      </c>
      <c r="AX101" s="41"/>
      <c r="AY101" s="41"/>
      <c r="AZ101" s="78" t="s">
        <v>2653</v>
      </c>
      <c r="BA101" s="78"/>
      <c r="BB101" s="78"/>
      <c r="BC101" s="78"/>
      <c r="BD101" s="78"/>
      <c r="BE101" s="21" t="str">
        <f t="shared" si="11"/>
        <v>[120] = {wayshrines={194,194,194,}, dlcId=DLC_BASE_GAME</v>
      </c>
      <c r="BF101" s="21" t="str">
        <f t="shared" si="12"/>
        <v>, zoneIds={381,146,126,63,283}, veteran=false</v>
      </c>
      <c r="BG101" s="21" t="str">
        <f t="shared" si="13"/>
        <v>, setType=LIBSETS_SETTYPE_DUNGEON</v>
      </c>
      <c r="BH101" s="21" t="str">
        <f t="shared" si="14"/>
        <v>, dropMechanic={LIBSETS_DROP_MECHANIC_GROUP_DUNGEON_BOSS,LIBSETS_DROP_MECHANIC_GROUP_DUNGEON_BOSS,LIBSETS_DROP_MECHANIC_GROUP_DUNGEON_BOSS,LIBSETS_DROP_MECHANIC_GROUP_DUNGEON_BOSS,LIBSETS_DROP_MECHANIC_GROUP_DUNGEON_BOSS}</v>
      </c>
      <c r="BI101" s="21" t="str">
        <f t="shared" si="15"/>
        <v>}, --Arms of Infernace / Waffen Infernals   [The Banished Cells I, Wayrest Sewers I, Elden Hollow I, Darkshade Caverns I, Fungal Grotto I]</v>
      </c>
    </row>
    <row r="102" spans="1:61" x14ac:dyDescent="0.25">
      <c r="A102" s="12">
        <v>121</v>
      </c>
      <c r="B102" t="s">
        <v>873</v>
      </c>
      <c r="C102" t="s">
        <v>874</v>
      </c>
      <c r="D102" s="3">
        <f t="shared" si="10"/>
        <v>121</v>
      </c>
      <c r="G102" s="8" t="s">
        <v>1473</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constants'!$B$4:$C$1012,2,FALSE),"")</f>
        <v>Included in base game</v>
      </c>
      <c r="V102" s="33" t="s">
        <v>3285</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constants'!$A$5:$D$10001,4,FALSE),"")</f>
        <v>Wayrest Sewers I</v>
      </c>
      <c r="AB102" s="33" t="s">
        <v>3285</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constants'!$A$5:$D$10001,4,FALSE),"")</f>
        <v>Elden Hollow I</v>
      </c>
      <c r="AH102" s="33" t="s">
        <v>3285</v>
      </c>
      <c r="AI102" s="41"/>
      <c r="AJ102" s="41"/>
      <c r="AK102" s="3">
        <f>IF(AND(G102&lt;&gt;"LIBSETS_SETTYPE_BATTLEGROUND",G102&lt;&gt;"LIBSETS_SETTYPE_SPECIAL"),IF(AL102&lt;&gt;"",VLOOKUP(AL102,'ESO zone constants'!$D$5:$H$4955,5,FALSE),""),"")</f>
        <v>63</v>
      </c>
      <c r="AL102" t="s">
        <v>61</v>
      </c>
      <c r="AM102" s="33" t="s">
        <v>3285</v>
      </c>
      <c r="AN102" s="41"/>
      <c r="AO102" s="41"/>
      <c r="AP102" s="3">
        <f>IF(AND(G102&lt;&gt;"LIBSETS_SETTYPE_BATTLEGROUND",G102&lt;&gt;"LIBSETS_SETTYPE_SPECIAL"),IF(AQ102&lt;&gt;"",VLOOKUP(AQ102,'ESO zone constants'!$D$5:$H$4955,5,FALSE),""),"")</f>
        <v>283</v>
      </c>
      <c r="AQ102" t="s">
        <v>51</v>
      </c>
      <c r="AR102" s="33" t="s">
        <v>3285</v>
      </c>
      <c r="AS102" s="41"/>
      <c r="AT102" s="41"/>
      <c r="AU102" s="3" t="str">
        <f>IF(AND(G102&lt;&gt;"LIBSETS_SETTYPE_BATTLEGROUND",G102&lt;&gt;"LIBSETS_SETTYPE_SPECIAL"),IF(AV102&lt;&gt;"",VLOOKUP(AV102,'ESO zone constants'!$D$5:$H$4955,5,FALSE),""),"")</f>
        <v/>
      </c>
      <c r="AX102" s="41"/>
      <c r="AY102" s="41"/>
      <c r="AZ102" s="78" t="s">
        <v>2653</v>
      </c>
      <c r="BA102" s="78"/>
      <c r="BB102" s="78"/>
      <c r="BC102" s="78"/>
      <c r="BD102" s="78"/>
      <c r="BE102" s="21" t="str">
        <f t="shared" si="11"/>
        <v>[121] = {wayshrines={194,194,194,}, dlcId=DLC_BASE_GAME</v>
      </c>
      <c r="BF102" s="21" t="str">
        <f t="shared" si="12"/>
        <v>, zoneIds={381,146,126,63,283}, veteran=false</v>
      </c>
      <c r="BG102" s="21" t="str">
        <f t="shared" si="13"/>
        <v>, setType=LIBSETS_SETTYPE_DUNGEON</v>
      </c>
      <c r="BH102" s="21" t="str">
        <f t="shared" si="14"/>
        <v>, dropMechanic={LIBSETS_DROP_MECHANIC_GROUP_DUNGEON_BOSS,LIBSETS_DROP_MECHANIC_GROUP_DUNGEON_BOSS,LIBSETS_DROP_MECHANIC_GROUP_DUNGEON_BOSS,LIBSETS_DROP_MECHANIC_GROUP_DUNGEON_BOSS,LIBSETS_DROP_MECHANIC_GROUP_DUNGEON_BOSS}</v>
      </c>
      <c r="BI102" s="21" t="str">
        <f t="shared" si="15"/>
        <v>}, --Arms of the Ancestors / Waffen der Ahnen   [The Banished Cells I, Wayrest Sewers I, Elden Hollow I, Darkshade Caverns I, Fungal Grotto I]</v>
      </c>
    </row>
    <row r="103" spans="1:61" x14ac:dyDescent="0.25">
      <c r="A103" s="12">
        <v>122</v>
      </c>
      <c r="B103" t="s">
        <v>875</v>
      </c>
      <c r="C103" t="s">
        <v>876</v>
      </c>
      <c r="D103" s="3">
        <f t="shared" si="10"/>
        <v>122</v>
      </c>
      <c r="G103" s="8" t="s">
        <v>1473</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constants'!$B$4:$C$1012,2,FALSE),"")</f>
        <v>Included in base game</v>
      </c>
      <c r="V103" s="33" t="s">
        <v>3285</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constants'!$A$5:$D$10001,4,FALSE),"")</f>
        <v>Crypt of Hearts II</v>
      </c>
      <c r="AB103" s="33" t="s">
        <v>3285</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constants'!$A$5:$D$10001,4,FALSE),"")</f>
        <v>Rivenspire</v>
      </c>
      <c r="AH103" s="89"/>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8" t="s">
        <v>2653</v>
      </c>
      <c r="BA103" s="78"/>
      <c r="BB103" s="78"/>
      <c r="BC103" s="78"/>
      <c r="BD103" s="78"/>
      <c r="BE103" s="21" t="str">
        <f t="shared" si="11"/>
        <v>[122] = {wayshrines={190,190,190,}, dlcId=DLC_BASE_GAME</v>
      </c>
      <c r="BF103" s="21" t="str">
        <f t="shared" si="12"/>
        <v>, zoneIds={130,932,20}, veteran=false</v>
      </c>
      <c r="BG103" s="21" t="str">
        <f t="shared" si="13"/>
        <v>, setType=LIBSETS_SETTYPE_DUNGEON</v>
      </c>
      <c r="BH103" s="21" t="str">
        <f t="shared" si="14"/>
        <v>, dropMechanic={LIBSETS_DROP_MECHANIC_GROUP_DUNGEON_BOSS,LIBSETS_DROP_MECHANIC_GROUP_DUNGEON_BOSS}</v>
      </c>
      <c r="BI103" s="21" t="str">
        <f t="shared" si="15"/>
        <v>}, --Ebon Armory / Ebenerzarsenal   [Crypt of Hearts I, Crypt of Hearts II, Rivenspire]</v>
      </c>
    </row>
    <row r="104" spans="1:61" x14ac:dyDescent="0.25">
      <c r="A104" s="12">
        <v>123</v>
      </c>
      <c r="B104" t="s">
        <v>877</v>
      </c>
      <c r="C104" t="s">
        <v>2578</v>
      </c>
      <c r="D104" s="3">
        <f t="shared" si="10"/>
        <v>123</v>
      </c>
      <c r="G104" s="8" t="s">
        <v>1473</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constants'!$B$4:$C$1012,2,FALSE),"")</f>
        <v>Included in base game</v>
      </c>
      <c r="V104" s="33" t="s">
        <v>3285</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8" t="s">
        <v>2653</v>
      </c>
      <c r="BA104" s="78"/>
      <c r="BB104" s="78"/>
      <c r="BC104" s="78"/>
      <c r="BD104" s="78"/>
      <c r="BE104" s="21" t="str">
        <f t="shared" si="11"/>
        <v>[123] = {wayshrines={185,185,185,}, dlcId=DLC_BASE_GAME</v>
      </c>
      <c r="BF104" s="21" t="str">
        <f t="shared" si="12"/>
        <v>, zoneIds={31,382,382}, veteran=false</v>
      </c>
      <c r="BG104" s="21" t="str">
        <f t="shared" si="13"/>
        <v>, setType=LIBSETS_SETTYPE_DUNGEON</v>
      </c>
      <c r="BH104" s="21" t="str">
        <f t="shared" si="14"/>
        <v>, dropMechanic={LIBSETS_DROP_MECHANIC_GROUP_DUNGEON_BOSS}</v>
      </c>
      <c r="BI104" s="21" t="str">
        <f t="shared" si="15"/>
        <v>}, --Hircine\'s Veneer / Hircines Schein   [Selene's Web, Reaper's March, Reaper's March]</v>
      </c>
    </row>
    <row r="105" spans="1:61" x14ac:dyDescent="0.25">
      <c r="A105" s="12">
        <v>124</v>
      </c>
      <c r="B105" t="s">
        <v>878</v>
      </c>
      <c r="C105" t="s">
        <v>2579</v>
      </c>
      <c r="D105" s="3">
        <f t="shared" si="10"/>
        <v>124</v>
      </c>
      <c r="G105" s="8" t="s">
        <v>1473</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constants'!$B$4:$C$1012,2,FALSE),"")</f>
        <v>Included in base game</v>
      </c>
      <c r="V105" s="33" t="s">
        <v>3285</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8" t="s">
        <v>2653</v>
      </c>
      <c r="BA105" s="78"/>
      <c r="BB105" s="78"/>
      <c r="BC105" s="78"/>
      <c r="BD105" s="78"/>
      <c r="BE105" s="21" t="str">
        <f t="shared" si="11"/>
        <v>[124] = {wayshrines={184,184,184,}, dlcId=DLC_BASE_GAME</v>
      </c>
      <c r="BF105" s="21" t="str">
        <f t="shared" si="12"/>
        <v>, zoneIds={11,347,347}, veteran=false</v>
      </c>
      <c r="BG105" s="21" t="str">
        <f t="shared" si="13"/>
        <v>, setType=LIBSETS_SETTYPE_DUNGEON</v>
      </c>
      <c r="BH105" s="21" t="str">
        <f t="shared" si="14"/>
        <v>, dropMechanic={LIBSETS_DROP_MECHANIC_GROUP_DUNGEON_BOSS}</v>
      </c>
      <c r="BI105" s="21" t="str">
        <f t="shared" si="15"/>
        <v>}, --The Worm\'s Raiment / Garderobe des Wurms   [Vaults of Madness, Coldharbour, Coldharbour]</v>
      </c>
    </row>
    <row r="106" spans="1:61" x14ac:dyDescent="0.25">
      <c r="A106" s="12">
        <v>125</v>
      </c>
      <c r="B106" t="s">
        <v>879</v>
      </c>
      <c r="C106" t="s">
        <v>880</v>
      </c>
      <c r="D106" s="3">
        <f t="shared" si="10"/>
        <v>125</v>
      </c>
      <c r="G106" s="8" t="s">
        <v>1471</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constants'!$B$4:$C$1012,2,FALSE),"")</f>
        <v>Included in base game</v>
      </c>
      <c r="V106" s="33" t="s">
        <v>2770</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constants'!$A$5:$D$10001,4,FALSE),"")</f>
        <v>Cyrodiil</v>
      </c>
      <c r="AB106" s="33" t="s">
        <v>3737</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constants'!$A$5:$D$10001,4,FALSE),"")</f>
        <v>Cyrodiil</v>
      </c>
      <c r="AH106" s="33" t="s">
        <v>2765</v>
      </c>
      <c r="AK106" s="3">
        <f>IF(AND(G106&lt;&gt;"LIBSETS_SETTYPE_BATTLEGROUND",G106&lt;&gt;"LIBSETS_SETTYPE_SPECIAL"),IF(AL106&lt;&gt;"",VLOOKUP(AL106,'ESO zone constants'!$D$5:$H$4955,5,FALSE),""),"")</f>
        <v>181</v>
      </c>
      <c r="AL106" t="s">
        <v>125</v>
      </c>
      <c r="AM106" s="33" t="s">
        <v>3740</v>
      </c>
      <c r="AP106" s="3">
        <f>IF(AND(G106&lt;&gt;"LIBSETS_SETTYPE_BATTLEGROUND",G106&lt;&gt;"LIBSETS_SETTYPE_SPECIAL"),IF(AQ106&lt;&gt;"",VLOOKUP(AQ106,'ESO zone constants'!$D$5:$H$4955,5,FALSE),""),"")</f>
        <v>181</v>
      </c>
      <c r="AQ106" t="s">
        <v>125</v>
      </c>
      <c r="AR106" s="33" t="s">
        <v>1554</v>
      </c>
      <c r="AU106" s="3">
        <f>IF(AND(G106&lt;&gt;"LIBSETS_SETTYPE_BATTLEGROUND",G106&lt;&gt;"LIBSETS_SETTYPE_SPECIAL"),IF(AV106&lt;&gt;"",VLOOKUP(AV106,'ESO zone constants'!$D$5:$H$4955,5,FALSE),""),"")</f>
        <v>181</v>
      </c>
      <c r="AV106" t="s">
        <v>125</v>
      </c>
      <c r="AW106" s="33" t="s">
        <v>3236</v>
      </c>
      <c r="AZ106" s="78" t="s">
        <v>2654</v>
      </c>
      <c r="BA106" s="78"/>
      <c r="BB106" s="78"/>
      <c r="BC106" s="78"/>
      <c r="BD106" s="78"/>
      <c r="BE106" s="21" t="str">
        <f t="shared" si="11"/>
        <v>[125] = {wayshrines={-1,-1,-1,}, dlcId=DLC_BASE_GAME</v>
      </c>
      <c r="BF106" s="21" t="str">
        <f t="shared" si="12"/>
        <v>, zoneIds={181,181,181,181,181,181}, veteran=false</v>
      </c>
      <c r="BG106" s="21" t="str">
        <f t="shared" si="13"/>
        <v>, setType=LIBSETS_SETTYPE_CYRODIIL</v>
      </c>
      <c r="BH106"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 t="shared" si="15"/>
        <v>}, --Wrath of the Imperium / Zorn des Kaiserreichs   [Cyrodiil, Cyrodiil, Cyrodiil, Cyrodiil, Cyrodiil, Cyrodiil]</v>
      </c>
    </row>
    <row r="107" spans="1:61" x14ac:dyDescent="0.25">
      <c r="A107" s="12">
        <v>126</v>
      </c>
      <c r="B107" t="s">
        <v>2768</v>
      </c>
      <c r="C107" t="s">
        <v>881</v>
      </c>
      <c r="D107" s="3">
        <f t="shared" si="10"/>
        <v>126</v>
      </c>
      <c r="E107" s="40"/>
      <c r="G107" s="8" t="s">
        <v>1471</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constants'!$B$4:$C$1012,2,FALSE),"")</f>
        <v>Included in base game</v>
      </c>
      <c r="V107" s="33" t="s">
        <v>2770</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constants'!$A$5:$D$10001,4,FALSE),"")</f>
        <v>Cyrodiil</v>
      </c>
      <c r="AB107" s="33" t="s">
        <v>3737</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constants'!$A$5:$D$10001,4,FALSE),"")</f>
        <v>Cyrodiil</v>
      </c>
      <c r="AH107" s="33" t="s">
        <v>2765</v>
      </c>
      <c r="AK107" s="3">
        <f>IF(AND(G107&lt;&gt;"LIBSETS_SETTYPE_BATTLEGROUND",G107&lt;&gt;"LIBSETS_SETTYPE_SPECIAL"),IF(AL107&lt;&gt;"",VLOOKUP(AL107,'ESO zone constants'!$D$5:$H$4955,5,FALSE),""),"")</f>
        <v>181</v>
      </c>
      <c r="AL107" t="s">
        <v>125</v>
      </c>
      <c r="AM107" s="33" t="s">
        <v>3740</v>
      </c>
      <c r="AP107" s="3">
        <f>IF(AND(G107&lt;&gt;"LIBSETS_SETTYPE_BATTLEGROUND",G107&lt;&gt;"LIBSETS_SETTYPE_SPECIAL"),IF(AQ107&lt;&gt;"",VLOOKUP(AQ107,'ESO zone constants'!$D$5:$H$4955,5,FALSE),""),"")</f>
        <v>181</v>
      </c>
      <c r="AQ107" t="s">
        <v>125</v>
      </c>
      <c r="AR107" s="33" t="s">
        <v>1554</v>
      </c>
      <c r="AU107" s="3">
        <f>IF(AND(G107&lt;&gt;"LIBSETS_SETTYPE_BATTLEGROUND",G107&lt;&gt;"LIBSETS_SETTYPE_SPECIAL"),IF(AV107&lt;&gt;"",VLOOKUP(AV107,'ESO zone constants'!$D$5:$H$4955,5,FALSE),""),"")</f>
        <v>181</v>
      </c>
      <c r="AV107" t="s">
        <v>125</v>
      </c>
      <c r="AW107" s="33" t="s">
        <v>3236</v>
      </c>
      <c r="AZ107" s="78" t="s">
        <v>2654</v>
      </c>
      <c r="BA107" s="78"/>
      <c r="BB107" s="78"/>
      <c r="BC107" s="78"/>
      <c r="BD107" s="78"/>
      <c r="BE107" s="21" t="str">
        <f t="shared" si="11"/>
        <v>[126] = {wayshrines={-1,-1,-1,}, dlcId=DLC_BASE_GAME</v>
      </c>
      <c r="BF107" s="21" t="str">
        <f t="shared" si="12"/>
        <v>, zoneIds={181,181,181,181,181,181}, veteran=false</v>
      </c>
      <c r="BG107" s="21" t="str">
        <f t="shared" si="13"/>
        <v>, setType=LIBSETS_SETTYPE_CYRODIIL</v>
      </c>
      <c r="BH107"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 t="shared" si="15"/>
        <v>}, --Grace of the Ancients / Anmut der Ahnen   [Cyrodiil, Cyrodiil, Cyrodiil, Cyrodiil, Cyrodiil, Cyrodiil]</v>
      </c>
    </row>
    <row r="108" spans="1:61" x14ac:dyDescent="0.25">
      <c r="A108" s="12">
        <v>127</v>
      </c>
      <c r="B108" t="s">
        <v>882</v>
      </c>
      <c r="C108" t="s">
        <v>883</v>
      </c>
      <c r="D108" s="3">
        <f t="shared" si="10"/>
        <v>127</v>
      </c>
      <c r="G108" s="8" t="s">
        <v>1471</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constants'!$B$4:$C$1012,2,FALSE),"")</f>
        <v>Included in base game</v>
      </c>
      <c r="V108" s="33" t="s">
        <v>1527</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constants'!$A$5:$D$10001,4,FALSE),"")</f>
        <v>Cyrodiil</v>
      </c>
      <c r="AB108" s="33" t="s">
        <v>3737</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constants'!$A$5:$D$10001,4,FALSE),"")</f>
        <v>Cyrodiil</v>
      </c>
      <c r="AH108" s="33" t="s">
        <v>2765</v>
      </c>
      <c r="AK108" s="3">
        <f>IF(AND(G108&lt;&gt;"LIBSETS_SETTYPE_BATTLEGROUND",G108&lt;&gt;"LIBSETS_SETTYPE_SPECIAL"),IF(AL108&lt;&gt;"",VLOOKUP(AL108,'ESO zone constants'!$D$5:$H$4955,5,FALSE),""),"")</f>
        <v>181</v>
      </c>
      <c r="AL108" t="s">
        <v>125</v>
      </c>
      <c r="AM108" s="33" t="s">
        <v>3740</v>
      </c>
      <c r="AP108" s="3">
        <f>IF(AND(G108&lt;&gt;"LIBSETS_SETTYPE_BATTLEGROUND",G108&lt;&gt;"LIBSETS_SETTYPE_SPECIAL"),IF(AQ108&lt;&gt;"",VLOOKUP(AQ108,'ESO zone constants'!$D$5:$H$4955,5,FALSE),""),"")</f>
        <v>181</v>
      </c>
      <c r="AQ108" t="s">
        <v>125</v>
      </c>
      <c r="AR108" s="33" t="s">
        <v>1554</v>
      </c>
      <c r="AU108" s="3">
        <f>IF(AND(G108&lt;&gt;"LIBSETS_SETTYPE_BATTLEGROUND",G108&lt;&gt;"LIBSETS_SETTYPE_SPECIAL"),IF(AV108&lt;&gt;"",VLOOKUP(AV108,'ESO zone constants'!$D$5:$H$4955,5,FALSE),""),"")</f>
        <v>181</v>
      </c>
      <c r="AV108" t="s">
        <v>125</v>
      </c>
      <c r="AW108" s="33" t="s">
        <v>3236</v>
      </c>
      <c r="AZ108" s="78" t="s">
        <v>2654</v>
      </c>
      <c r="BA108" s="78"/>
      <c r="BB108" s="78"/>
      <c r="BC108" s="78"/>
      <c r="BD108" s="78"/>
      <c r="BE108" s="21" t="str">
        <f t="shared" si="11"/>
        <v>[127] = {wayshrines={-1,-1,-1,}, dlcId=DLC_BASE_GAME</v>
      </c>
      <c r="BF108" s="21" t="str">
        <f t="shared" si="12"/>
        <v>, zoneIds={181,181,181,181,181,181}, veteran=false</v>
      </c>
      <c r="BG108" s="21" t="str">
        <f t="shared" si="13"/>
        <v>, setType=LIBSETS_SETTYPE_CYRODIIL</v>
      </c>
      <c r="BH108"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 t="shared" si="15"/>
        <v>}, --Deadly Strike / Tödlicher Stoß   [Cyrodiil, Cyrodiil, Cyrodiil, Cyrodiil, Cyrodiil, Cyrodiil]</v>
      </c>
    </row>
    <row r="109" spans="1:61" x14ac:dyDescent="0.25">
      <c r="A109" s="12">
        <v>128</v>
      </c>
      <c r="B109" t="s">
        <v>884</v>
      </c>
      <c r="C109" t="s">
        <v>885</v>
      </c>
      <c r="D109" s="3">
        <f t="shared" si="10"/>
        <v>128</v>
      </c>
      <c r="E109" s="40"/>
      <c r="G109" s="8" t="s">
        <v>1471</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constants'!$B$4:$C$1012,2,FALSE),"")</f>
        <v>Included in base game</v>
      </c>
      <c r="V109" s="33" t="s">
        <v>1529</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constants'!$A$5:$D$10001,4,FALSE),"")</f>
        <v>Cyrodiil</v>
      </c>
      <c r="AB109" s="33" t="s">
        <v>3737</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constants'!$A$5:$D$10001,4,FALSE),"")</f>
        <v>Cyrodiil</v>
      </c>
      <c r="AH109" s="33" t="s">
        <v>2765</v>
      </c>
      <c r="AK109" s="3">
        <f>IF(AND(G109&lt;&gt;"LIBSETS_SETTYPE_BATTLEGROUND",G109&lt;&gt;"LIBSETS_SETTYPE_SPECIAL"),IF(AL109&lt;&gt;"",VLOOKUP(AL109,'ESO zone constants'!$D$5:$H$4955,5,FALSE),""),"")</f>
        <v>181</v>
      </c>
      <c r="AL109" t="s">
        <v>125</v>
      </c>
      <c r="AM109" s="33" t="s">
        <v>3740</v>
      </c>
      <c r="AP109" s="3">
        <f>IF(AND(G109&lt;&gt;"LIBSETS_SETTYPE_BATTLEGROUND",G109&lt;&gt;"LIBSETS_SETTYPE_SPECIAL"),IF(AQ109&lt;&gt;"",VLOOKUP(AQ109,'ESO zone constants'!$D$5:$H$4955,5,FALSE),""),"")</f>
        <v>181</v>
      </c>
      <c r="AQ109" t="s">
        <v>125</v>
      </c>
      <c r="AR109" s="33" t="s">
        <v>1554</v>
      </c>
      <c r="AU109" s="3">
        <f>IF(AND(G109&lt;&gt;"LIBSETS_SETTYPE_BATTLEGROUND",G109&lt;&gt;"LIBSETS_SETTYPE_SPECIAL"),IF(AV109&lt;&gt;"",VLOOKUP(AV109,'ESO zone constants'!$D$5:$H$4955,5,FALSE),""),"")</f>
        <v>181</v>
      </c>
      <c r="AV109" t="s">
        <v>125</v>
      </c>
      <c r="AW109" s="33" t="s">
        <v>3236</v>
      </c>
      <c r="AZ109" s="78" t="s">
        <v>2654</v>
      </c>
      <c r="BA109" s="78"/>
      <c r="BB109" s="78"/>
      <c r="BC109" s="78"/>
      <c r="BD109" s="78"/>
      <c r="BE109" s="21" t="str">
        <f t="shared" si="11"/>
        <v>[128] = {wayshrines={-1,-1,-1,}, dlcId=DLC_BASE_GAME</v>
      </c>
      <c r="BF109" s="21" t="str">
        <f t="shared" si="12"/>
        <v>, zoneIds={181,181,181,181,181,181}, veteran=false</v>
      </c>
      <c r="BG109" s="21" t="str">
        <f t="shared" si="13"/>
        <v>, setType=LIBSETS_SETTYPE_CYRODIIL</v>
      </c>
      <c r="BH109"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 t="shared" si="15"/>
        <v>}, --Blessing of the Potentates / Segen des Potentaten   [Cyrodiil, Cyrodiil, Cyrodiil, Cyrodiil, Cyrodiil, Cyrodiil]</v>
      </c>
    </row>
    <row r="110" spans="1:61" x14ac:dyDescent="0.25">
      <c r="A110" s="12">
        <v>129</v>
      </c>
      <c r="B110" t="s">
        <v>886</v>
      </c>
      <c r="C110" t="s">
        <v>887</v>
      </c>
      <c r="D110" s="3">
        <f t="shared" si="10"/>
        <v>129</v>
      </c>
      <c r="G110" s="8" t="s">
        <v>1471</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constants'!$B$4:$C$1012,2,FALSE),"")</f>
        <v>Included in base game</v>
      </c>
      <c r="V110" s="33" t="s">
        <v>1527</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constants'!$A$5:$D$10001,4,FALSE),"")</f>
        <v>Cyrodiil</v>
      </c>
      <c r="AB110" s="33" t="s">
        <v>3737</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constants'!$A$5:$D$10001,4,FALSE),"")</f>
        <v>Cyrodiil</v>
      </c>
      <c r="AH110" s="33" t="s">
        <v>2765</v>
      </c>
      <c r="AK110" s="3">
        <f>IF(AND(G110&lt;&gt;"LIBSETS_SETTYPE_BATTLEGROUND",G110&lt;&gt;"LIBSETS_SETTYPE_SPECIAL"),IF(AL110&lt;&gt;"",VLOOKUP(AL110,'ESO zone constants'!$D$5:$H$4955,5,FALSE),""),"")</f>
        <v>181</v>
      </c>
      <c r="AL110" t="s">
        <v>125</v>
      </c>
      <c r="AM110" s="33" t="s">
        <v>3740</v>
      </c>
      <c r="AP110" s="3">
        <f>IF(AND(G110&lt;&gt;"LIBSETS_SETTYPE_BATTLEGROUND",G110&lt;&gt;"LIBSETS_SETTYPE_SPECIAL"),IF(AQ110&lt;&gt;"",VLOOKUP(AQ110,'ESO zone constants'!$D$5:$H$4955,5,FALSE),""),"")</f>
        <v>181</v>
      </c>
      <c r="AQ110" t="s">
        <v>125</v>
      </c>
      <c r="AR110" s="33" t="s">
        <v>1554</v>
      </c>
      <c r="AU110" s="3">
        <f>IF(AND(G110&lt;&gt;"LIBSETS_SETTYPE_BATTLEGROUND",G110&lt;&gt;"LIBSETS_SETTYPE_SPECIAL"),IF(AV110&lt;&gt;"",VLOOKUP(AV110,'ESO zone constants'!$D$5:$H$4955,5,FALSE),""),"")</f>
        <v>181</v>
      </c>
      <c r="AV110" t="s">
        <v>125</v>
      </c>
      <c r="AW110" s="33" t="s">
        <v>3236</v>
      </c>
      <c r="AZ110" s="78" t="s">
        <v>2653</v>
      </c>
      <c r="BA110" s="78"/>
      <c r="BB110" s="78"/>
      <c r="BC110" s="78"/>
      <c r="BD110" s="78"/>
      <c r="BE110" s="21" t="str">
        <f t="shared" si="11"/>
        <v>[129] = {wayshrines={-1,-1,-1,}, dlcId=DLC_BASE_GAME</v>
      </c>
      <c r="BF110" s="21" t="str">
        <f t="shared" si="12"/>
        <v>, zoneIds={181,181,181,181,181,181}, veteran=false</v>
      </c>
      <c r="BG110" s="21" t="str">
        <f t="shared" si="13"/>
        <v>, setType=LIBSETS_SETTYPE_CYRODIIL</v>
      </c>
      <c r="BH110"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 t="shared" si="15"/>
        <v>}, --Vengeance Leech / Saugende Vergeltung   [Cyrodiil, Cyrodiil, Cyrodiil, Cyrodiil, Cyrodiil, Cyrodiil]</v>
      </c>
    </row>
    <row r="111" spans="1:61" x14ac:dyDescent="0.25">
      <c r="A111" s="12">
        <v>130</v>
      </c>
      <c r="B111" t="s">
        <v>888</v>
      </c>
      <c r="C111" t="s">
        <v>889</v>
      </c>
      <c r="D111" s="3">
        <f t="shared" si="10"/>
        <v>130</v>
      </c>
      <c r="G111" s="8" t="s">
        <v>1471</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constants'!$B$4:$C$1012,2,FALSE),"")</f>
        <v>Included in base game</v>
      </c>
      <c r="V111" s="33" t="s">
        <v>1527</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constants'!$A$5:$D$10001,4,FALSE),"")</f>
        <v>Cyrodiil</v>
      </c>
      <c r="AB111" s="33" t="s">
        <v>3737</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constants'!$A$5:$D$10001,4,FALSE),"")</f>
        <v>Cyrodiil</v>
      </c>
      <c r="AH111" s="33" t="s">
        <v>2765</v>
      </c>
      <c r="AK111" s="3">
        <f>IF(AND(G111&lt;&gt;"LIBSETS_SETTYPE_BATTLEGROUND",G111&lt;&gt;"LIBSETS_SETTYPE_SPECIAL"),IF(AL111&lt;&gt;"",VLOOKUP(AL111,'ESO zone constants'!$D$5:$H$4955,5,FALSE),""),"")</f>
        <v>181</v>
      </c>
      <c r="AL111" t="s">
        <v>125</v>
      </c>
      <c r="AM111" s="33" t="s">
        <v>3740</v>
      </c>
      <c r="AP111" s="3">
        <f>IF(AND(G111&lt;&gt;"LIBSETS_SETTYPE_BATTLEGROUND",G111&lt;&gt;"LIBSETS_SETTYPE_SPECIAL"),IF(AQ111&lt;&gt;"",VLOOKUP(AQ111,'ESO zone constants'!$D$5:$H$4955,5,FALSE),""),"")</f>
        <v>181</v>
      </c>
      <c r="AQ111" t="s">
        <v>125</v>
      </c>
      <c r="AR111" s="33" t="s">
        <v>1554</v>
      </c>
      <c r="AU111" s="3">
        <f>IF(AND(G111&lt;&gt;"LIBSETS_SETTYPE_BATTLEGROUND",G111&lt;&gt;"LIBSETS_SETTYPE_SPECIAL"),IF(AV111&lt;&gt;"",VLOOKUP(AV111,'ESO zone constants'!$D$5:$H$4955,5,FALSE),""),"")</f>
        <v>181</v>
      </c>
      <c r="AV111" t="s">
        <v>125</v>
      </c>
      <c r="AW111" s="33" t="s">
        <v>3236</v>
      </c>
      <c r="AZ111" s="78" t="s">
        <v>2654</v>
      </c>
      <c r="BA111" s="78"/>
      <c r="BB111" s="78"/>
      <c r="BC111" s="78"/>
      <c r="BD111" s="78"/>
      <c r="BE111" s="21" t="str">
        <f t="shared" si="11"/>
        <v>[130] = {wayshrines={-1,-1,-1,}, dlcId=DLC_BASE_GAME</v>
      </c>
      <c r="BF111" s="21" t="str">
        <f t="shared" si="12"/>
        <v>, zoneIds={181,181,181,181,181,181}, veteran=false</v>
      </c>
      <c r="BG111" s="21" t="str">
        <f t="shared" si="13"/>
        <v>, setType=LIBSETS_SETTYPE_CYRODIIL</v>
      </c>
      <c r="BH111"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 t="shared" si="15"/>
        <v>}, --Eagle Eye / Adlerauge   [Cyrodiil, Cyrodiil, Cyrodiil, Cyrodiil, Cyrodiil, Cyrodiil]</v>
      </c>
    </row>
    <row r="112" spans="1:61" x14ac:dyDescent="0.25">
      <c r="A112" s="12">
        <v>131</v>
      </c>
      <c r="B112" t="s">
        <v>890</v>
      </c>
      <c r="C112" t="s">
        <v>891</v>
      </c>
      <c r="D112" s="3">
        <f t="shared" si="10"/>
        <v>131</v>
      </c>
      <c r="E112" s="40"/>
      <c r="G112" s="8" t="s">
        <v>1471</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constants'!$B$4:$C$1012,2,FALSE),"")</f>
        <v>Included in base game</v>
      </c>
      <c r="V112" s="33" t="s">
        <v>1529</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constants'!$A$5:$D$10001,4,FALSE),"")</f>
        <v>Cyrodiil</v>
      </c>
      <c r="AB112" s="33" t="s">
        <v>3737</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constants'!$A$5:$D$10001,4,FALSE),"")</f>
        <v>Cyrodiil</v>
      </c>
      <c r="AH112" s="33" t="s">
        <v>2765</v>
      </c>
      <c r="AK112" s="3">
        <f>IF(AND(G112&lt;&gt;"LIBSETS_SETTYPE_BATTLEGROUND",G112&lt;&gt;"LIBSETS_SETTYPE_SPECIAL"),IF(AL112&lt;&gt;"",VLOOKUP(AL112,'ESO zone constants'!$D$5:$H$4955,5,FALSE),""),"")</f>
        <v>181</v>
      </c>
      <c r="AL112" t="s">
        <v>125</v>
      </c>
      <c r="AM112" s="33" t="s">
        <v>3740</v>
      </c>
      <c r="AP112" s="3">
        <f>IF(AND(G112&lt;&gt;"LIBSETS_SETTYPE_BATTLEGROUND",G112&lt;&gt;"LIBSETS_SETTYPE_SPECIAL"),IF(AQ112&lt;&gt;"",VLOOKUP(AQ112,'ESO zone constants'!$D$5:$H$4955,5,FALSE),""),"")</f>
        <v>181</v>
      </c>
      <c r="AQ112" t="s">
        <v>125</v>
      </c>
      <c r="AR112" s="33" t="s">
        <v>1554</v>
      </c>
      <c r="AU112" s="3">
        <f>IF(AND(G112&lt;&gt;"LIBSETS_SETTYPE_BATTLEGROUND",G112&lt;&gt;"LIBSETS_SETTYPE_SPECIAL"),IF(AV112&lt;&gt;"",VLOOKUP(AV112,'ESO zone constants'!$D$5:$H$4955,5,FALSE),""),"")</f>
        <v>181</v>
      </c>
      <c r="AV112" t="s">
        <v>125</v>
      </c>
      <c r="AW112" s="33" t="s">
        <v>3236</v>
      </c>
      <c r="AZ112" s="78" t="s">
        <v>2654</v>
      </c>
      <c r="BA112" s="78"/>
      <c r="BB112" s="78"/>
      <c r="BC112" s="78"/>
      <c r="BD112" s="78"/>
      <c r="BE112" s="21" t="str">
        <f t="shared" si="11"/>
        <v>[131] = {wayshrines={-1,-1,-1,}, dlcId=DLC_BASE_GAME</v>
      </c>
      <c r="BF112" s="21" t="str">
        <f t="shared" si="12"/>
        <v>, zoneIds={181,181,181,181,181,181}, veteran=false</v>
      </c>
      <c r="BG112" s="21" t="str">
        <f t="shared" si="13"/>
        <v>, setType=LIBSETS_SETTYPE_CYRODIIL</v>
      </c>
      <c r="BH112"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 t="shared" si="15"/>
        <v>}, --Bastion of the Heartland / Bastion des Herzlandes   [Cyrodiil, Cyrodiil, Cyrodiil, Cyrodiil, Cyrodiil, Cyrodiil]</v>
      </c>
    </row>
    <row r="113" spans="1:61" x14ac:dyDescent="0.25">
      <c r="A113" s="12">
        <v>132</v>
      </c>
      <c r="B113" t="s">
        <v>892</v>
      </c>
      <c r="C113" t="s">
        <v>893</v>
      </c>
      <c r="D113" s="3">
        <f t="shared" si="10"/>
        <v>132</v>
      </c>
      <c r="G113" s="8" t="s">
        <v>1471</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constants'!$B$4:$C$1012,2,FALSE),"")</f>
        <v>Included in base game</v>
      </c>
      <c r="V113" s="33" t="s">
        <v>1527</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constants'!$A$5:$D$10001,4,FALSE),"")</f>
        <v>Cyrodiil</v>
      </c>
      <c r="AB113" s="33" t="s">
        <v>3737</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constants'!$A$5:$D$10001,4,FALSE),"")</f>
        <v>Cyrodiil</v>
      </c>
      <c r="AH113" s="33" t="s">
        <v>2765</v>
      </c>
      <c r="AK113" s="3">
        <f>IF(AND(G113&lt;&gt;"LIBSETS_SETTYPE_BATTLEGROUND",G113&lt;&gt;"LIBSETS_SETTYPE_SPECIAL"),IF(AL113&lt;&gt;"",VLOOKUP(AL113,'ESO zone constants'!$D$5:$H$4955,5,FALSE),""),"")</f>
        <v>181</v>
      </c>
      <c r="AL113" t="s">
        <v>125</v>
      </c>
      <c r="AM113" s="33" t="s">
        <v>3740</v>
      </c>
      <c r="AP113" s="3">
        <f>IF(AND(G113&lt;&gt;"LIBSETS_SETTYPE_BATTLEGROUND",G113&lt;&gt;"LIBSETS_SETTYPE_SPECIAL"),IF(AQ113&lt;&gt;"",VLOOKUP(AQ113,'ESO zone constants'!$D$5:$H$4955,5,FALSE),""),"")</f>
        <v>181</v>
      </c>
      <c r="AQ113" t="s">
        <v>125</v>
      </c>
      <c r="AR113" s="33" t="s">
        <v>1554</v>
      </c>
      <c r="AU113" s="3">
        <f>IF(AND(G113&lt;&gt;"LIBSETS_SETTYPE_BATTLEGROUND",G113&lt;&gt;"LIBSETS_SETTYPE_SPECIAL"),IF(AV113&lt;&gt;"",VLOOKUP(AV113,'ESO zone constants'!$D$5:$H$4955,5,FALSE),""),"")</f>
        <v>181</v>
      </c>
      <c r="AV113" t="s">
        <v>125</v>
      </c>
      <c r="AW113" s="33" t="s">
        <v>3236</v>
      </c>
      <c r="AZ113" s="78" t="s">
        <v>2654</v>
      </c>
      <c r="BA113" s="78"/>
      <c r="BB113" s="78"/>
      <c r="BC113" s="78"/>
      <c r="BD113" s="78"/>
      <c r="BE113" s="21" t="str">
        <f t="shared" si="11"/>
        <v>[132] = {wayshrines={-1,-1,-1,}, dlcId=DLC_BASE_GAME</v>
      </c>
      <c r="BF113" s="21" t="str">
        <f t="shared" si="12"/>
        <v>, zoneIds={181,181,181,181,181,181}, veteran=false</v>
      </c>
      <c r="BG113" s="21" t="str">
        <f t="shared" si="13"/>
        <v>, setType=LIBSETS_SETTYPE_CYRODIIL</v>
      </c>
      <c r="BH113"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 t="shared" si="15"/>
        <v>}, --Shield of the Valiant / Schild des Tapferen   [Cyrodiil, Cyrodiil, Cyrodiil, Cyrodiil, Cyrodiil, Cyrodiil]</v>
      </c>
    </row>
    <row r="114" spans="1:61" x14ac:dyDescent="0.25">
      <c r="A114" s="12">
        <v>133</v>
      </c>
      <c r="B114" t="s">
        <v>894</v>
      </c>
      <c r="C114" t="s">
        <v>895</v>
      </c>
      <c r="D114" s="3">
        <f t="shared" si="10"/>
        <v>133</v>
      </c>
      <c r="E114" s="40"/>
      <c r="G114" s="8" t="s">
        <v>1471</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constants'!$B$4:$C$1012,2,FALSE),"")</f>
        <v>Included in base game</v>
      </c>
      <c r="V114" s="33" t="s">
        <v>2770</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constants'!$A$5:$D$10001,4,FALSE),"")</f>
        <v>Cyrodiil</v>
      </c>
      <c r="AB114" s="33" t="s">
        <v>3737</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constants'!$A$5:$D$10001,4,FALSE),"")</f>
        <v>Cyrodiil</v>
      </c>
      <c r="AH114" s="33" t="s">
        <v>2765</v>
      </c>
      <c r="AK114" s="3">
        <f>IF(AND(G114&lt;&gt;"LIBSETS_SETTYPE_BATTLEGROUND",G114&lt;&gt;"LIBSETS_SETTYPE_SPECIAL"),IF(AL114&lt;&gt;"",VLOOKUP(AL114,'ESO zone constants'!$D$5:$H$4955,5,FALSE),""),"")</f>
        <v>181</v>
      </c>
      <c r="AL114" t="s">
        <v>125</v>
      </c>
      <c r="AM114" s="33" t="s">
        <v>3740</v>
      </c>
      <c r="AP114" s="3">
        <f>IF(AND(G114&lt;&gt;"LIBSETS_SETTYPE_BATTLEGROUND",G114&lt;&gt;"LIBSETS_SETTYPE_SPECIAL"),IF(AQ114&lt;&gt;"",VLOOKUP(AQ114,'ESO zone constants'!$D$5:$H$4955,5,FALSE),""),"")</f>
        <v>181</v>
      </c>
      <c r="AQ114" t="s">
        <v>125</v>
      </c>
      <c r="AR114" s="33" t="s">
        <v>1554</v>
      </c>
      <c r="AU114" s="3">
        <f>IF(AND(G114&lt;&gt;"LIBSETS_SETTYPE_BATTLEGROUND",G114&lt;&gt;"LIBSETS_SETTYPE_SPECIAL"),IF(AV114&lt;&gt;"",VLOOKUP(AV114,'ESO zone constants'!$D$5:$H$4955,5,FALSE),""),"")</f>
        <v>181</v>
      </c>
      <c r="AV114" t="s">
        <v>125</v>
      </c>
      <c r="AW114" s="33" t="s">
        <v>3236</v>
      </c>
      <c r="AZ114" s="78" t="s">
        <v>2654</v>
      </c>
      <c r="BA114" s="78"/>
      <c r="BB114" s="78"/>
      <c r="BC114" s="78"/>
      <c r="BD114" s="78"/>
      <c r="BE114" s="21" t="str">
        <f t="shared" si="11"/>
        <v>[133] = {wayshrines={-1,-1,-1,}, dlcId=DLC_BASE_GAME</v>
      </c>
      <c r="BF114" s="21" t="str">
        <f t="shared" si="12"/>
        <v>, zoneIds={181,181,181,181,181,181}, veteran=false</v>
      </c>
      <c r="BG114" s="21" t="str">
        <f t="shared" si="13"/>
        <v>, setType=LIBSETS_SETTYPE_CYRODIIL</v>
      </c>
      <c r="BH114"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 t="shared" si="15"/>
        <v>}, --Buffer of the Swift / Dämpfer des Geschwinden   [Cyrodiil, Cyrodiil, Cyrodiil, Cyrodiil, Cyrodiil, Cyrodiil]</v>
      </c>
    </row>
    <row r="115" spans="1:61" x14ac:dyDescent="0.25">
      <c r="A115" s="12">
        <v>134</v>
      </c>
      <c r="B115" t="s">
        <v>896</v>
      </c>
      <c r="C115" t="s">
        <v>897</v>
      </c>
      <c r="D115" s="3">
        <f t="shared" si="10"/>
        <v>134</v>
      </c>
      <c r="G115" s="8" t="s">
        <v>1473</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constants'!$B$4:$C$1012,2,FALSE),"")</f>
        <v>Included in base game</v>
      </c>
      <c r="V115" s="33" t="s">
        <v>3285</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constants'!$A$5:$D$10001,4,FALSE),"")</f>
        <v>Crypt of Hearts II</v>
      </c>
      <c r="AB115" s="33" t="s">
        <v>3285</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constants'!$A$5:$D$10001,4,FALSE),"")</f>
        <v>Rivenspire</v>
      </c>
      <c r="AH115" s="89"/>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8" t="s">
        <v>2653</v>
      </c>
      <c r="BA115" s="78"/>
      <c r="BB115" s="78"/>
      <c r="BC115" s="78"/>
      <c r="BD115" s="78"/>
      <c r="BE115" s="21" t="str">
        <f t="shared" si="11"/>
        <v>[134] = {wayshrines={190,190,190,}, dlcId=DLC_BASE_GAME</v>
      </c>
      <c r="BF115" s="21" t="str">
        <f t="shared" si="12"/>
        <v>, zoneIds={130,932,20}, veteran=false</v>
      </c>
      <c r="BG115" s="21" t="str">
        <f t="shared" si="13"/>
        <v>, setType=LIBSETS_SETTYPE_DUNGEON</v>
      </c>
      <c r="BH115" s="21" t="str">
        <f t="shared" si="14"/>
        <v>, dropMechanic={LIBSETS_DROP_MECHANIC_GROUP_DUNGEON_BOSS,LIBSETS_DROP_MECHANIC_GROUP_DUNGEON_BOSS}</v>
      </c>
      <c r="BI115" s="21" t="str">
        <f t="shared" si="15"/>
        <v>}, --Shroud of the Lich / Tuch des Lich   [Crypt of Hearts I, Crypt of Hearts II, Rivenspire]</v>
      </c>
    </row>
    <row r="116" spans="1:61" s="14" customFormat="1" x14ac:dyDescent="0.25">
      <c r="A116" s="12">
        <v>135</v>
      </c>
      <c r="B116" t="s">
        <v>898</v>
      </c>
      <c r="C116" t="s">
        <v>2580</v>
      </c>
      <c r="D116" s="3">
        <f t="shared" si="10"/>
        <v>135</v>
      </c>
      <c r="E116"/>
      <c r="F116"/>
      <c r="G116" s="8" t="s">
        <v>1476</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constants'!$B$4:$C$1012,2,FALSE),"")</f>
        <v>Included in base game</v>
      </c>
      <c r="V116" s="33" t="s">
        <v>1554</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constants'!$A$5:$D$10001,4,FALSE),"")</f>
        <v>The Rift</v>
      </c>
      <c r="AB116" s="33" t="s">
        <v>1555</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constants'!$A$5:$D$10001,4,FALSE),"")</f>
        <v>The Lion's Den</v>
      </c>
      <c r="AH116" s="42" t="s">
        <v>1556</v>
      </c>
      <c r="AI116" s="41"/>
      <c r="AJ116" s="41"/>
      <c r="AK116" s="3">
        <f>IF(AND(G116&lt;&gt;"LIBSETS_SETTYPE_BATTLEGROUND",G116&lt;&gt;"LIBSETS_SETTYPE_SPECIAL"),IF(AL116&lt;&gt;"",VLOOKUP(AL116,'ESO zone constants'!$D$5:$H$4955,5,FALSE),""),"")</f>
        <v>103</v>
      </c>
      <c r="AL116" t="s">
        <v>111</v>
      </c>
      <c r="AM116" s="33" t="s">
        <v>1557</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8" t="s">
        <v>2653</v>
      </c>
      <c r="BA116" s="78"/>
      <c r="BB116" s="78"/>
      <c r="BC116" s="78"/>
      <c r="BD116" s="78"/>
      <c r="BE116" s="21" t="str">
        <f t="shared" si="11"/>
        <v>[135] = {wayshrines={109,109,109,}, dlcId=DLC_BASE_GAME</v>
      </c>
      <c r="BF116" s="21" t="str">
        <f t="shared" si="12"/>
        <v>, zoneIds={103,103,341,103}, veteran=false</v>
      </c>
      <c r="BG116" s="21" t="str">
        <f t="shared" si="13"/>
        <v>, setType=LIBSETS_SETTYPE_OVERLAND</v>
      </c>
      <c r="BH116" s="21" t="str">
        <f t="shared" si="14"/>
        <v>, dropMechanic={LIBSETS_DROP_MECHANIC_OVERLAND_BOSS_DELVE,LIBSETS_DROP_MECHANIC_OVERLAND_WORLDBOSS,LIBSETS_DROP_MECHANIC_OVERLAND_BOSS_PUBLIC_DUNGEON,LIBSETS_DROP_MECHANIC_OVERLAND_CHEST}</v>
      </c>
      <c r="BI116" s="21" t="str">
        <f t="shared" si="15"/>
        <v>}, --Draugr\'s Heritage / Erbe des Draugrs   [The Rift, The Rift, The Lion's Den, The Rift]</v>
      </c>
    </row>
    <row r="117" spans="1:61" x14ac:dyDescent="0.25">
      <c r="A117" s="12">
        <v>136</v>
      </c>
      <c r="B117" t="s">
        <v>899</v>
      </c>
      <c r="C117" t="s">
        <v>900</v>
      </c>
      <c r="D117" s="3">
        <f t="shared" si="10"/>
        <v>136</v>
      </c>
      <c r="G117" s="8" t="s">
        <v>1477</v>
      </c>
      <c r="I117" t="s">
        <v>91</v>
      </c>
      <c r="J117" t="s">
        <v>91</v>
      </c>
      <c r="K117">
        <v>232</v>
      </c>
      <c r="L117">
        <v>232</v>
      </c>
      <c r="M117">
        <v>232</v>
      </c>
      <c r="O117" s="61" t="s">
        <v>443</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constants'!$B$4:$C$1012,2,FALSE),"")</f>
        <v>Included in base game</v>
      </c>
      <c r="V117" s="33" t="s">
        <v>3266</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constants'!$A$5:$D$10001,4,FALSE),"")</f>
        <v>Sanctum Ophidia</v>
      </c>
      <c r="AB117" s="33" t="s">
        <v>3266</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constants'!$A$5:$D$10001,4,FALSE),"")</f>
        <v>Sanctum Ophidia</v>
      </c>
      <c r="AH117" s="33" t="s">
        <v>3266</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8" t="s">
        <v>2653</v>
      </c>
      <c r="BA117" s="78"/>
      <c r="BB117" s="78"/>
      <c r="BC117" s="78"/>
      <c r="BD117" s="78"/>
      <c r="BE117" s="21" t="str">
        <f t="shared" si="11"/>
        <v>[136] = {wayshrines={232,232,232,}, dlcId=DLC_BASE_GAME</v>
      </c>
      <c r="BF117" s="21" t="str">
        <f t="shared" si="12"/>
        <v>, zoneIds={639,639,639}, veteran=false</v>
      </c>
      <c r="BG117" s="21" t="str">
        <f t="shared" si="13"/>
        <v>, setType=LIBSETS_SETTYPE_TRIAL</v>
      </c>
      <c r="BH117" s="21" t="str">
        <f t="shared" si="14"/>
        <v>, dropMechanic={LIBSETS_DROP_MECHANIC_TRIAL_BOSS,LIBSETS_DROP_MECHANIC_TRIAL_BOSS,LIBSETS_DROP_MECHANIC_TRIAL_BOSS}</v>
      </c>
      <c r="BI117" s="21" t="str">
        <f t="shared" si="15"/>
        <v>}, --Immortal Warrior / Unsterblicher Krieger   [Sanctum Ophidia, Sanctum Ophidia, Sanctum Ophidia]</v>
      </c>
    </row>
    <row r="118" spans="1:61" x14ac:dyDescent="0.25">
      <c r="A118" s="12">
        <v>137</v>
      </c>
      <c r="B118" t="s">
        <v>901</v>
      </c>
      <c r="C118" t="s">
        <v>902</v>
      </c>
      <c r="D118" s="3">
        <f t="shared" si="10"/>
        <v>137</v>
      </c>
      <c r="E118" s="40"/>
      <c r="G118" s="8" t="s">
        <v>1477</v>
      </c>
      <c r="I118" t="s">
        <v>91</v>
      </c>
      <c r="J118" t="s">
        <v>91</v>
      </c>
      <c r="K118">
        <v>230</v>
      </c>
      <c r="L118">
        <v>230</v>
      </c>
      <c r="M118">
        <v>230</v>
      </c>
      <c r="O118" s="61" t="s">
        <v>440</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constants'!$B$4:$C$1012,2,FALSE),"")</f>
        <v>Included in base game</v>
      </c>
      <c r="V118" s="33" t="s">
        <v>3266</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constants'!$A$5:$D$10001,4,FALSE),"")</f>
        <v>Hel Ra Citadel</v>
      </c>
      <c r="AB118" s="33" t="s">
        <v>3266</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constants'!$A$5:$D$10001,4,FALSE),"")</f>
        <v>Hel Ra Citadel</v>
      </c>
      <c r="AH118" s="33" t="s">
        <v>3266</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8" t="s">
        <v>2653</v>
      </c>
      <c r="BA118" s="78"/>
      <c r="BB118" s="78"/>
      <c r="BC118" s="78"/>
      <c r="BD118" s="78"/>
      <c r="BE118" s="21" t="str">
        <f t="shared" si="11"/>
        <v>[137] = {wayshrines={230,230,230,}, dlcId=DLC_BASE_GAME</v>
      </c>
      <c r="BF118" s="21" t="str">
        <f t="shared" si="12"/>
        <v>, zoneIds={636,636,636}, veteran=false</v>
      </c>
      <c r="BG118" s="21" t="str">
        <f t="shared" si="13"/>
        <v>, setType=LIBSETS_SETTYPE_TRIAL</v>
      </c>
      <c r="BH118" s="21" t="str">
        <f t="shared" si="14"/>
        <v>, dropMechanic={LIBSETS_DROP_MECHANIC_TRIAL_BOSS,LIBSETS_DROP_MECHANIC_TRIAL_BOSS,LIBSETS_DROP_MECHANIC_TRIAL_BOSS}</v>
      </c>
      <c r="BI118" s="21" t="str">
        <f t="shared" si="15"/>
        <v>}, --Berserking Warrior / Tobender Krieger   [Hel Ra Citadel, Hel Ra Citadel, Hel Ra Citadel]</v>
      </c>
    </row>
    <row r="119" spans="1:61" ht="15.75" x14ac:dyDescent="0.25">
      <c r="A119" s="12">
        <v>138</v>
      </c>
      <c r="B119" t="s">
        <v>903</v>
      </c>
      <c r="C119" t="s">
        <v>904</v>
      </c>
      <c r="D119" s="3">
        <f t="shared" si="10"/>
        <v>138</v>
      </c>
      <c r="G119" s="8" t="s">
        <v>1477</v>
      </c>
      <c r="I119" t="s">
        <v>91</v>
      </c>
      <c r="J119" t="s">
        <v>91</v>
      </c>
      <c r="K119">
        <v>231</v>
      </c>
      <c r="L119">
        <v>231</v>
      </c>
      <c r="M119">
        <v>231</v>
      </c>
      <c r="O119" s="61" t="s">
        <v>442</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constants'!$B$4:$C$1012,2,FALSE),"")</f>
        <v>Included in base game</v>
      </c>
      <c r="V119" s="33" t="s">
        <v>3266</v>
      </c>
      <c r="W119" s="100" t="s">
        <v>3745</v>
      </c>
      <c r="X119" s="100" t="s">
        <v>3746</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constants'!$A$5:$D$10001,4,FALSE),"")</f>
        <v>Aetherian Archive</v>
      </c>
      <c r="AB119" s="33" t="s">
        <v>3266</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constants'!$A$5:$D$10001,4,FALSE),"")</f>
        <v>Aetherian Archive</v>
      </c>
      <c r="AH119" s="33" t="s">
        <v>3266</v>
      </c>
      <c r="AI119" s="38"/>
      <c r="AJ119" s="38"/>
      <c r="AK119" s="3" t="str">
        <f>IF(AND(G119&lt;&gt;"LIBSETS_SETTYPE_BATTLEGROUND",G119&lt;&gt;"LIBSETS_SETTYPE_SPECIAL"),IF(AL119&lt;&gt;"",VLOOKUP(AL119,'ESO zone constants'!$D$5:$H$4955,5,FALSE),""),"")</f>
        <v/>
      </c>
      <c r="AN119" s="100"/>
      <c r="AO119" s="100"/>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8" t="s">
        <v>2653</v>
      </c>
      <c r="BA119" s="78"/>
      <c r="BB119" s="78"/>
      <c r="BC119" s="78"/>
      <c r="BD119" s="78"/>
      <c r="BE119" s="21" t="str">
        <f t="shared" si="11"/>
        <v>[138] = {wayshrines={231,231,231,}, dlcId=DLC_BASE_GAME</v>
      </c>
      <c r="BF119" s="21" t="str">
        <f t="shared" si="12"/>
        <v>, zoneIds={638,638,638}, veteran=false</v>
      </c>
      <c r="BG119" s="21" t="str">
        <f t="shared" si="13"/>
        <v>, setType=LIBSETS_SETTYPE_TRIAL</v>
      </c>
      <c r="BH119"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 t="shared" si="15"/>
        <v>}, --Defending Warrior / Verteidigender Krieger   [Aetherian Archive, Aetherian Archive, Aetherian Archive]</v>
      </c>
    </row>
    <row r="120" spans="1:61" x14ac:dyDescent="0.25">
      <c r="A120" s="12">
        <v>139</v>
      </c>
      <c r="B120" t="s">
        <v>905</v>
      </c>
      <c r="C120" t="s">
        <v>906</v>
      </c>
      <c r="D120" s="3">
        <f t="shared" si="10"/>
        <v>139</v>
      </c>
      <c r="G120" s="8" t="s">
        <v>1477</v>
      </c>
      <c r="I120" t="s">
        <v>91</v>
      </c>
      <c r="J120" t="s">
        <v>91</v>
      </c>
      <c r="K120">
        <v>232</v>
      </c>
      <c r="L120">
        <v>232</v>
      </c>
      <c r="M120">
        <v>232</v>
      </c>
      <c r="O120" s="61" t="s">
        <v>443</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constants'!$B$4:$C$1012,2,FALSE),"")</f>
        <v>Included in base game</v>
      </c>
      <c r="V120" s="33" t="s">
        <v>3266</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constants'!$A$5:$D$10001,4,FALSE),"")</f>
        <v>Sanctum Ophidia</v>
      </c>
      <c r="AB120" s="33" t="s">
        <v>3266</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constants'!$A$5:$D$10001,4,FALSE),"")</f>
        <v>Sanctum Ophidia</v>
      </c>
      <c r="AH120" s="33" t="s">
        <v>3266</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8" t="s">
        <v>2653</v>
      </c>
      <c r="BA120" s="78"/>
      <c r="BB120" s="78"/>
      <c r="BC120" s="78"/>
      <c r="BD120" s="78"/>
      <c r="BE120" s="21" t="str">
        <f t="shared" si="11"/>
        <v>[139] = {wayshrines={232,232,232,}, dlcId=DLC_BASE_GAME</v>
      </c>
      <c r="BF120" s="21" t="str">
        <f t="shared" si="12"/>
        <v>, zoneIds={639,639,639}, veteran=false</v>
      </c>
      <c r="BG120" s="21" t="str">
        <f t="shared" si="13"/>
        <v>, setType=LIBSETS_SETTYPE_TRIAL</v>
      </c>
      <c r="BH120" s="21" t="str">
        <f t="shared" si="14"/>
        <v>, dropMechanic={LIBSETS_DROP_MECHANIC_TRIAL_BOSS,LIBSETS_DROP_MECHANIC_TRIAL_BOSS,LIBSETS_DROP_MECHANIC_TRIAL_BOSS}</v>
      </c>
      <c r="BI120" s="21" t="str">
        <f t="shared" si="15"/>
        <v>}, --Wise Mage / Weiser Magier   [Sanctum Ophidia, Sanctum Ophidia, Sanctum Ophidia]</v>
      </c>
    </row>
    <row r="121" spans="1:61" x14ac:dyDescent="0.25">
      <c r="A121" s="12">
        <v>140</v>
      </c>
      <c r="B121" t="s">
        <v>907</v>
      </c>
      <c r="C121" t="s">
        <v>908</v>
      </c>
      <c r="D121" s="3">
        <f t="shared" si="10"/>
        <v>140</v>
      </c>
      <c r="G121" s="8" t="s">
        <v>1477</v>
      </c>
      <c r="I121" t="s">
        <v>91</v>
      </c>
      <c r="J121" t="s">
        <v>91</v>
      </c>
      <c r="K121">
        <v>230</v>
      </c>
      <c r="L121">
        <v>230</v>
      </c>
      <c r="M121">
        <v>230</v>
      </c>
      <c r="O121" s="61" t="s">
        <v>440</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constants'!$B$4:$C$1012,2,FALSE),"")</f>
        <v>Included in base game</v>
      </c>
      <c r="V121" s="33" t="s">
        <v>3266</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constants'!$A$5:$D$10001,4,FALSE),"")</f>
        <v>Hel Ra Citadel</v>
      </c>
      <c r="AB121" s="33" t="s">
        <v>3266</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constants'!$A$5:$D$10001,4,FALSE),"")</f>
        <v>Hel Ra Citadel</v>
      </c>
      <c r="AH121" s="33" t="s">
        <v>3266</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8" t="s">
        <v>2653</v>
      </c>
      <c r="BA121" s="78"/>
      <c r="BB121" s="78"/>
      <c r="BC121" s="78"/>
      <c r="BD121" s="78"/>
      <c r="BE121" s="21" t="str">
        <f t="shared" si="11"/>
        <v>[140] = {wayshrines={230,230,230,}, dlcId=DLC_BASE_GAME</v>
      </c>
      <c r="BF121" s="21" t="str">
        <f t="shared" si="12"/>
        <v>, zoneIds={636,636,636}, veteran=false</v>
      </c>
      <c r="BG121" s="21" t="str">
        <f t="shared" si="13"/>
        <v>, setType=LIBSETS_SETTYPE_TRIAL</v>
      </c>
      <c r="BH121" s="21" t="str">
        <f t="shared" si="14"/>
        <v>, dropMechanic={LIBSETS_DROP_MECHANIC_TRIAL_BOSS,LIBSETS_DROP_MECHANIC_TRIAL_BOSS,LIBSETS_DROP_MECHANIC_TRIAL_BOSS}</v>
      </c>
      <c r="BI121" s="21" t="str">
        <f t="shared" si="15"/>
        <v>}, --Destructive Mage / Zerstörerischer Magier   [Hel Ra Citadel, Hel Ra Citadel, Hel Ra Citadel]</v>
      </c>
    </row>
    <row r="122" spans="1:61" ht="15.75" x14ac:dyDescent="0.25">
      <c r="A122" s="12">
        <v>141</v>
      </c>
      <c r="B122" t="s">
        <v>909</v>
      </c>
      <c r="C122" t="s">
        <v>910</v>
      </c>
      <c r="D122" s="3">
        <f t="shared" si="10"/>
        <v>141</v>
      </c>
      <c r="G122" s="8" t="s">
        <v>1477</v>
      </c>
      <c r="I122" t="s">
        <v>91</v>
      </c>
      <c r="J122" t="s">
        <v>91</v>
      </c>
      <c r="K122">
        <v>231</v>
      </c>
      <c r="L122">
        <v>231</v>
      </c>
      <c r="M122">
        <v>231</v>
      </c>
      <c r="O122" s="61" t="s">
        <v>442</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constants'!$B$4:$C$1012,2,FALSE),"")</f>
        <v>Included in base game</v>
      </c>
      <c r="V122" s="33" t="s">
        <v>3266</v>
      </c>
      <c r="W122" s="100" t="s">
        <v>3745</v>
      </c>
      <c r="X122" s="100" t="s">
        <v>3746</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constants'!$A$5:$D$10001,4,FALSE),"")</f>
        <v>Aetherian Archive</v>
      </c>
      <c r="AB122" s="33" t="s">
        <v>3266</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constants'!$A$5:$D$10001,4,FALSE),"")</f>
        <v>Aetherian Archive</v>
      </c>
      <c r="AH122" s="33" t="s">
        <v>3266</v>
      </c>
      <c r="AI122" s="38"/>
      <c r="AJ122" s="38"/>
      <c r="AK122" s="3" t="str">
        <f>IF(AND(G122&lt;&gt;"LIBSETS_SETTYPE_BATTLEGROUND",G122&lt;&gt;"LIBSETS_SETTYPE_SPECIAL"),IF(AL122&lt;&gt;"",VLOOKUP(AL122,'ESO zone constants'!$D$5:$H$4955,5,FALSE),""),"")</f>
        <v/>
      </c>
      <c r="AN122" s="100"/>
      <c r="AO122" s="100"/>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8" t="s">
        <v>2653</v>
      </c>
      <c r="BA122" s="78"/>
      <c r="BB122" s="78"/>
      <c r="BC122" s="78"/>
      <c r="BD122" s="78"/>
      <c r="BE122" s="21" t="str">
        <f t="shared" si="11"/>
        <v>[141] = {wayshrines={231,231,231,}, dlcId=DLC_BASE_GAME</v>
      </c>
      <c r="BF122" s="21" t="str">
        <f t="shared" si="12"/>
        <v>, zoneIds={638,638,638}, veteran=false</v>
      </c>
      <c r="BG122" s="21" t="str">
        <f t="shared" si="13"/>
        <v>, setType=LIBSETS_SETTYPE_TRIAL</v>
      </c>
      <c r="BH122"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 t="shared" si="15"/>
        <v>}, --Healing Mage / Heilender Magier   [Aetherian Archive, Aetherian Archive, Aetherian Archive]</v>
      </c>
    </row>
    <row r="123" spans="1:61" ht="15.75" x14ac:dyDescent="0.25">
      <c r="A123" s="12">
        <v>142</v>
      </c>
      <c r="B123" t="s">
        <v>911</v>
      </c>
      <c r="C123" t="s">
        <v>912</v>
      </c>
      <c r="D123" s="3">
        <f t="shared" si="10"/>
        <v>142</v>
      </c>
      <c r="G123" s="8" t="s">
        <v>1477</v>
      </c>
      <c r="I123" t="s">
        <v>91</v>
      </c>
      <c r="J123" t="s">
        <v>91</v>
      </c>
      <c r="K123">
        <v>231</v>
      </c>
      <c r="L123">
        <v>231</v>
      </c>
      <c r="M123">
        <v>231</v>
      </c>
      <c r="O123" s="61" t="s">
        <v>442</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constants'!$B$4:$C$1012,2,FALSE),"")</f>
        <v>Included in base game</v>
      </c>
      <c r="V123" s="33" t="s">
        <v>3266</v>
      </c>
      <c r="W123" s="100" t="s">
        <v>3745</v>
      </c>
      <c r="X123" s="100" t="s">
        <v>3746</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constants'!$A$5:$D$10001,4,FALSE),"")</f>
        <v>Aetherian Archive</v>
      </c>
      <c r="AB123" s="33" t="s">
        <v>3266</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constants'!$A$5:$D$10001,4,FALSE),"")</f>
        <v>Aetherian Archive</v>
      </c>
      <c r="AH123" s="33" t="s">
        <v>3266</v>
      </c>
      <c r="AI123" s="38"/>
      <c r="AJ123" s="38"/>
      <c r="AK123" s="3" t="str">
        <f>IF(AND(G123&lt;&gt;"LIBSETS_SETTYPE_BATTLEGROUND",G123&lt;&gt;"LIBSETS_SETTYPE_SPECIAL"),IF(AL123&lt;&gt;"",VLOOKUP(AL123,'ESO zone constants'!$D$5:$H$4955,5,FALSE),""),"")</f>
        <v/>
      </c>
      <c r="AN123" s="100"/>
      <c r="AO123" s="100"/>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8" t="s">
        <v>2653</v>
      </c>
      <c r="BA123" s="78"/>
      <c r="BB123" s="78"/>
      <c r="BC123" s="78"/>
      <c r="BD123" s="78"/>
      <c r="BE123" s="21" t="str">
        <f t="shared" si="11"/>
        <v>[142] = {wayshrines={231,231,231,}, dlcId=DLC_BASE_GAME</v>
      </c>
      <c r="BF123" s="21" t="str">
        <f t="shared" si="12"/>
        <v>, zoneIds={638,638,638}, veteran=false</v>
      </c>
      <c r="BG123" s="21" t="str">
        <f t="shared" si="13"/>
        <v>, setType=LIBSETS_SETTYPE_TRIAL</v>
      </c>
      <c r="BH123"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 t="shared" si="15"/>
        <v>}, --Quick Serpent / Flinke Schlange   [Aetherian Archive, Aetherian Archive, Aetherian Archive]</v>
      </c>
    </row>
    <row r="124" spans="1:61" x14ac:dyDescent="0.25">
      <c r="A124" s="12">
        <v>143</v>
      </c>
      <c r="B124" t="s">
        <v>913</v>
      </c>
      <c r="C124" t="s">
        <v>914</v>
      </c>
      <c r="D124" s="3">
        <f t="shared" si="10"/>
        <v>143</v>
      </c>
      <c r="G124" s="8" t="s">
        <v>1477</v>
      </c>
      <c r="I124" t="s">
        <v>91</v>
      </c>
      <c r="J124" t="s">
        <v>91</v>
      </c>
      <c r="K124">
        <v>230</v>
      </c>
      <c r="L124">
        <v>230</v>
      </c>
      <c r="M124">
        <v>230</v>
      </c>
      <c r="O124" s="61" t="s">
        <v>440</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constants'!$B$4:$C$1012,2,FALSE),"")</f>
        <v>Included in base game</v>
      </c>
      <c r="V124" s="33" t="s">
        <v>3266</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constants'!$A$5:$D$10001,4,FALSE),"")</f>
        <v>Hel Ra Citadel</v>
      </c>
      <c r="AB124" s="33" t="s">
        <v>3266</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constants'!$A$5:$D$10001,4,FALSE),"")</f>
        <v>Hel Ra Citadel</v>
      </c>
      <c r="AH124" s="33" t="s">
        <v>3266</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8" t="s">
        <v>2653</v>
      </c>
      <c r="BA124" s="78"/>
      <c r="BB124" s="78"/>
      <c r="BC124" s="78"/>
      <c r="BD124" s="78"/>
      <c r="BE124" s="21" t="str">
        <f t="shared" si="11"/>
        <v>[143] = {wayshrines={230,230,230,}, dlcId=DLC_BASE_GAME</v>
      </c>
      <c r="BF124" s="21" t="str">
        <f t="shared" si="12"/>
        <v>, zoneIds={636,636,636}, veteran=false</v>
      </c>
      <c r="BG124" s="21" t="str">
        <f t="shared" si="13"/>
        <v>, setType=LIBSETS_SETTYPE_TRIAL</v>
      </c>
      <c r="BH124" s="21" t="str">
        <f t="shared" si="14"/>
        <v>, dropMechanic={LIBSETS_DROP_MECHANIC_TRIAL_BOSS,LIBSETS_DROP_MECHANIC_TRIAL_BOSS,LIBSETS_DROP_MECHANIC_TRIAL_BOSS}</v>
      </c>
      <c r="BI124" s="21" t="str">
        <f t="shared" si="15"/>
        <v>}, --Poisonous Serpent / Giftschlange   [Hel Ra Citadel, Hel Ra Citadel, Hel Ra Citadel]</v>
      </c>
    </row>
    <row r="125" spans="1:61" x14ac:dyDescent="0.25">
      <c r="A125" s="12">
        <v>144</v>
      </c>
      <c r="B125" t="s">
        <v>915</v>
      </c>
      <c r="C125" t="s">
        <v>916</v>
      </c>
      <c r="D125" s="3">
        <f t="shared" si="10"/>
        <v>144</v>
      </c>
      <c r="G125" s="8" t="s">
        <v>1477</v>
      </c>
      <c r="I125" t="s">
        <v>91</v>
      </c>
      <c r="J125" t="s">
        <v>91</v>
      </c>
      <c r="K125">
        <v>232</v>
      </c>
      <c r="L125">
        <v>232</v>
      </c>
      <c r="M125">
        <v>232</v>
      </c>
      <c r="O125" s="61" t="s">
        <v>443</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constants'!$B$4:$C$1012,2,FALSE),"")</f>
        <v>Included in base game</v>
      </c>
      <c r="V125" s="33" t="s">
        <v>3266</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constants'!$A$5:$D$10001,4,FALSE),"")</f>
        <v>Sanctum Ophidia</v>
      </c>
      <c r="AB125" s="33" t="s">
        <v>3266</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constants'!$A$5:$D$10001,4,FALSE),"")</f>
        <v>Sanctum Ophidia</v>
      </c>
      <c r="AH125" s="33" t="s">
        <v>3266</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8" t="s">
        <v>2653</v>
      </c>
      <c r="BA125" s="78"/>
      <c r="BB125" s="78"/>
      <c r="BC125" s="78"/>
      <c r="BD125" s="78"/>
      <c r="BE125" s="21" t="str">
        <f t="shared" si="11"/>
        <v>[144] = {wayshrines={232,232,232,}, dlcId=DLC_BASE_GAME</v>
      </c>
      <c r="BF125" s="21" t="str">
        <f t="shared" si="12"/>
        <v>, zoneIds={639,639,639}, veteran=false</v>
      </c>
      <c r="BG125" s="21" t="str">
        <f t="shared" si="13"/>
        <v>, setType=LIBSETS_SETTYPE_TRIAL</v>
      </c>
      <c r="BH125" s="21" t="str">
        <f t="shared" si="14"/>
        <v>, dropMechanic={LIBSETS_DROP_MECHANIC_TRIAL_BOSS,LIBSETS_DROP_MECHANIC_TRIAL_BOSS,LIBSETS_DROP_MECHANIC_TRIAL_BOSS}</v>
      </c>
      <c r="BI125" s="21" t="str">
        <f t="shared" si="15"/>
        <v>}, --Twice-Fanged Serpent / Doppelzüngige Schlange   [Sanctum Ophidia, Sanctum Ophidia, Sanctum Ophidia]</v>
      </c>
    </row>
    <row r="126" spans="1:61" x14ac:dyDescent="0.25">
      <c r="A126" s="12">
        <v>145</v>
      </c>
      <c r="B126" t="s">
        <v>917</v>
      </c>
      <c r="C126" t="s">
        <v>918</v>
      </c>
      <c r="D126" s="3">
        <f t="shared" si="10"/>
        <v>145</v>
      </c>
      <c r="E126" s="40"/>
      <c r="G126" s="8" t="s">
        <v>1476</v>
      </c>
      <c r="I126" t="s">
        <v>91</v>
      </c>
      <c r="J126" t="s">
        <v>91</v>
      </c>
      <c r="K126">
        <v>220</v>
      </c>
      <c r="L126">
        <v>220</v>
      </c>
      <c r="M126">
        <v>220</v>
      </c>
      <c r="O126" s="61" t="s">
        <v>563</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constants'!$B$4:$C$1012,2,FALSE),"")</f>
        <v>Blackwood</v>
      </c>
      <c r="V126" s="33" t="s">
        <v>1554</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constants'!$A$5:$D$10001,4,FALSE),"")</f>
        <v>Craglorn</v>
      </c>
      <c r="AB126" s="33" t="s">
        <v>1555</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constants'!$A$5:$D$10001,4,FALSE),"")</f>
        <v>Craglorn</v>
      </c>
      <c r="AH126" s="33" t="s">
        <v>1557</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8" t="s">
        <v>2653</v>
      </c>
      <c r="BA126" s="78"/>
      <c r="BB126" s="78"/>
      <c r="BC126" s="78"/>
      <c r="BD126" s="78"/>
      <c r="BE126" s="21" t="str">
        <f t="shared" si="11"/>
        <v>[145] = {wayshrines={220,220,220,}, dlcId=DLC_BLACKWOOD</v>
      </c>
      <c r="BF126" s="21" t="str">
        <f t="shared" si="12"/>
        <v>, zoneIds={888,888,888}, veteran=false</v>
      </c>
      <c r="BG126" s="21" t="str">
        <f t="shared" si="13"/>
        <v>, setType=LIBSETS_SETTYPE_OVERLAND</v>
      </c>
      <c r="BH126" s="21" t="str">
        <f t="shared" si="14"/>
        <v>, dropMechanic={LIBSETS_DROP_MECHANIC_OVERLAND_BOSS_DELVE,LIBSETS_DROP_MECHANIC_OVERLAND_WORLDBOSS,LIBSETS_DROP_MECHANIC_OVERLAND_CHEST}</v>
      </c>
      <c r="BI126" s="21" t="str">
        <f t="shared" si="15"/>
        <v>}, --Way of Fire / Weg des Feuers   [Craglorn, Craglorn, Craglorn]</v>
      </c>
    </row>
    <row r="127" spans="1:61" x14ac:dyDescent="0.25">
      <c r="A127" s="12">
        <v>146</v>
      </c>
      <c r="B127" t="s">
        <v>919</v>
      </c>
      <c r="C127" t="s">
        <v>920</v>
      </c>
      <c r="D127" s="3">
        <f t="shared" si="10"/>
        <v>146</v>
      </c>
      <c r="E127" s="40"/>
      <c r="G127" s="8" t="s">
        <v>1476</v>
      </c>
      <c r="I127" t="s">
        <v>91</v>
      </c>
      <c r="J127" t="s">
        <v>91</v>
      </c>
      <c r="K127">
        <v>220</v>
      </c>
      <c r="L127">
        <v>220</v>
      </c>
      <c r="M127">
        <v>220</v>
      </c>
      <c r="O127" s="61" t="s">
        <v>563</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constants'!$B$4:$C$1012,2,FALSE),"")</f>
        <v>Blackwood</v>
      </c>
      <c r="V127" s="33" t="s">
        <v>1554</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constants'!$A$5:$D$10001,4,FALSE),"")</f>
        <v>Craglorn</v>
      </c>
      <c r="AB127" s="33" t="s">
        <v>1555</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constants'!$A$5:$D$10001,4,FALSE),"")</f>
        <v>Craglorn</v>
      </c>
      <c r="AH127" s="33" t="s">
        <v>1557</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8" t="s">
        <v>2654</v>
      </c>
      <c r="BA127" s="78"/>
      <c r="BB127" s="78"/>
      <c r="BC127" s="78"/>
      <c r="BD127" s="78"/>
      <c r="BE127" s="21" t="str">
        <f t="shared" si="11"/>
        <v>[146] = {wayshrines={220,220,220,}, dlcId=DLC_BLACKWOOD</v>
      </c>
      <c r="BF127" s="21" t="str">
        <f t="shared" si="12"/>
        <v>, zoneIds={888,888,888}, veteran=false</v>
      </c>
      <c r="BG127" s="21" t="str">
        <f t="shared" si="13"/>
        <v>, setType=LIBSETS_SETTYPE_OVERLAND</v>
      </c>
      <c r="BH127" s="21" t="str">
        <f t="shared" si="14"/>
        <v>, isProcSetAllowedInPvP=1, dropMechanic={LIBSETS_DROP_MECHANIC_OVERLAND_BOSS_DELVE,LIBSETS_DROP_MECHANIC_OVERLAND_WORLDBOSS,LIBSETS_DROP_MECHANIC_OVERLAND_CHEST}</v>
      </c>
      <c r="BI127" s="21" t="str">
        <f t="shared" si="15"/>
        <v>}, --Way of Air / Weg der Luft   [Craglorn, Craglorn, Craglorn]</v>
      </c>
    </row>
    <row r="128" spans="1:61" x14ac:dyDescent="0.25">
      <c r="A128" s="12">
        <v>147</v>
      </c>
      <c r="B128" t="s">
        <v>921</v>
      </c>
      <c r="C128" t="s">
        <v>922</v>
      </c>
      <c r="D128" s="3">
        <f t="shared" si="10"/>
        <v>147</v>
      </c>
      <c r="E128" s="40"/>
      <c r="G128" s="8" t="s">
        <v>1476</v>
      </c>
      <c r="I128" t="s">
        <v>91</v>
      </c>
      <c r="J128" t="s">
        <v>91</v>
      </c>
      <c r="K128">
        <v>220</v>
      </c>
      <c r="L128">
        <v>220</v>
      </c>
      <c r="M128">
        <v>220</v>
      </c>
      <c r="O128" s="61" t="s">
        <v>563</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constants'!$B$4:$C$1012,2,FALSE),"")</f>
        <v>Blackwood</v>
      </c>
      <c r="V128" s="33" t="s">
        <v>1554</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constants'!$A$5:$D$10001,4,FALSE),"")</f>
        <v>Craglorn</v>
      </c>
      <c r="AB128" s="33" t="s">
        <v>1555</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constants'!$A$5:$D$10001,4,FALSE),"")</f>
        <v>Craglorn</v>
      </c>
      <c r="AH128" s="33" t="s">
        <v>1557</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8" t="s">
        <v>2653</v>
      </c>
      <c r="BA128" s="78"/>
      <c r="BB128" s="78"/>
      <c r="BC128" s="78"/>
      <c r="BD128" s="78"/>
      <c r="BE128" s="21" t="str">
        <f t="shared" si="11"/>
        <v>[147] = {wayshrines={220,220,220,}, dlcId=DLC_BLACKWOOD</v>
      </c>
      <c r="BF128" s="21" t="str">
        <f t="shared" si="12"/>
        <v>, zoneIds={888,888,888}, veteran=false</v>
      </c>
      <c r="BG128" s="21" t="str">
        <f t="shared" si="13"/>
        <v>, setType=LIBSETS_SETTYPE_OVERLAND</v>
      </c>
      <c r="BH128" s="21" t="str">
        <f t="shared" si="14"/>
        <v>, dropMechanic={LIBSETS_DROP_MECHANIC_OVERLAND_BOSS_DELVE,LIBSETS_DROP_MECHANIC_OVERLAND_WORLDBOSS,LIBSETS_DROP_MECHANIC_OVERLAND_CHEST}</v>
      </c>
      <c r="BI128" s="21" t="str">
        <f t="shared" si="15"/>
        <v>}, --Way of Martial Knowledge / Weg der Kampfkunst   [Craglorn, Craglorn, Craglorn]</v>
      </c>
    </row>
    <row r="129" spans="1:61" x14ac:dyDescent="0.25">
      <c r="A129" s="5">
        <v>148</v>
      </c>
      <c r="B129" t="s">
        <v>923</v>
      </c>
      <c r="C129" t="s">
        <v>924</v>
      </c>
      <c r="D129" s="3">
        <f t="shared" si="10"/>
        <v>148</v>
      </c>
      <c r="G129" s="8" t="s">
        <v>1470</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constants'!$B$4:$C$1012,2,FALSE),"")</f>
        <v>Blackwood</v>
      </c>
      <c r="V129" s="33" t="s">
        <v>3288</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constants'!$A$5:$D$10001,4,FALSE),"")</f>
        <v>Craglorn</v>
      </c>
      <c r="AB129" s="33" t="s">
        <v>3288</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8" t="s">
        <v>2654</v>
      </c>
      <c r="BA129" s="78"/>
      <c r="BB129" s="78"/>
      <c r="BC129" s="78"/>
      <c r="BD129" s="78"/>
      <c r="BE129" s="21" t="str">
        <f t="shared" si="11"/>
        <v>[148] = {wayshrines={217,217,217,}, traitsNeeded=8, dlcId=DLC_BLACKWOOD</v>
      </c>
      <c r="BF129" s="21" t="str">
        <f t="shared" si="12"/>
        <v>, zoneIds={888,888,888}, veteran=false</v>
      </c>
      <c r="BG129" s="21" t="str">
        <f t="shared" si="13"/>
        <v>, setType=LIBSETS_SETTYPE_CRAFTED</v>
      </c>
      <c r="BH129" s="21" t="str">
        <f t="shared" si="14"/>
        <v>, isProcSetAllowedInPvP=1, dropMechanic={LIBSETS_DROP_MECHANIC_CRAFTED,LIBSETS_DROP_MECHANIC_CRAFTED}</v>
      </c>
      <c r="BI129" s="21" t="str">
        <f t="shared" si="15"/>
        <v>}, --Way of the Arena / Weg der Arena   [Craglorn, Craglorn, Craglorn]</v>
      </c>
    </row>
    <row r="130" spans="1:61" x14ac:dyDescent="0.25">
      <c r="A130" s="12">
        <v>155</v>
      </c>
      <c r="B130" t="s">
        <v>925</v>
      </c>
      <c r="C130" t="s">
        <v>926</v>
      </c>
      <c r="D130" s="3">
        <f t="shared" si="10"/>
        <v>155</v>
      </c>
      <c r="G130" s="8" t="s">
        <v>1473</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constants'!$B$4:$C$1012,2,FALSE),"")</f>
        <v>Included in base game</v>
      </c>
      <c r="V130" s="33" t="s">
        <v>3285</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constants'!$A$5:$D$10001,4,FALSE),"")</f>
        <v>Elden Hollow II</v>
      </c>
      <c r="AB130" s="33" t="s">
        <v>3285</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constants'!$A$5:$D$10001,4,FALSE),"")</f>
        <v>Grahtwood</v>
      </c>
      <c r="AH130" s="89"/>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8" t="s">
        <v>2653</v>
      </c>
      <c r="BA130" s="78"/>
      <c r="BB130" s="78"/>
      <c r="BC130" s="78"/>
      <c r="BD130" s="78"/>
      <c r="BE130" s="21" t="str">
        <f t="shared" si="11"/>
        <v>[155] = {wayshrines={191,191,191,}, dlcId=DLC_BASE_GAME</v>
      </c>
      <c r="BF130" s="21" t="str">
        <f t="shared" si="12"/>
        <v>, zoneIds={126,931,383}, veteran=false</v>
      </c>
      <c r="BG130" s="21" t="str">
        <f t="shared" si="13"/>
        <v>, setType=LIBSETS_SETTYPE_DUNGEON</v>
      </c>
      <c r="BH130" s="21" t="str">
        <f t="shared" si="14"/>
        <v>, dropMechanic={LIBSETS_DROP_MECHANIC_GROUP_DUNGEON_BOSS,LIBSETS_DROP_MECHANIC_GROUP_DUNGEON_BOSS}</v>
      </c>
      <c r="BI130" s="21" t="str">
        <f t="shared" si="15"/>
        <v>}, --Undaunted Bastion / Unerschrockenen-Bastion   [Elden Hollow I, Elden Hollow II, Grahtwood]</v>
      </c>
    </row>
    <row r="131" spans="1:61" x14ac:dyDescent="0.25">
      <c r="A131" s="12">
        <v>156</v>
      </c>
      <c r="B131" t="s">
        <v>927</v>
      </c>
      <c r="C131" t="s">
        <v>928</v>
      </c>
      <c r="D131" s="3">
        <f t="shared" ref="D131:D194" si="16">A131</f>
        <v>156</v>
      </c>
      <c r="G131" s="8" t="s">
        <v>1473</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constants'!$B$4:$C$1012,2,FALSE),"")</f>
        <v>Included in base game</v>
      </c>
      <c r="V131" s="33" t="s">
        <v>3285</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8" t="s">
        <v>2653</v>
      </c>
      <c r="BA131" s="78"/>
      <c r="BB131" s="78"/>
      <c r="BC131" s="78"/>
      <c r="BD131" s="78"/>
      <c r="BE131" s="21" t="str">
        <f t="shared" si="11"/>
        <v>[156] = {wayshrines={192,192,192,}, dlcId=DLC_BASE_GAME</v>
      </c>
      <c r="BF131" s="21" t="str">
        <f t="shared" si="12"/>
        <v>, zoneIds={148,117,117}, veteran=false</v>
      </c>
      <c r="BG131" s="21" t="str">
        <f t="shared" si="13"/>
        <v>, setType=LIBSETS_SETTYPE_DUNGEON</v>
      </c>
      <c r="BH131" s="21" t="str">
        <f t="shared" si="14"/>
        <v>, dropMechanic={LIBSETS_DROP_MECHANIC_GROUP_DUNGEON_BOSS}</v>
      </c>
      <c r="BI131" s="21" t="str">
        <f t="shared" si="15"/>
        <v>}, --Undaunted Infiltrator / Unerschrockener Infiltrator   [Arx Corinium, Shadowfen, Shadowfen]</v>
      </c>
    </row>
    <row r="132" spans="1:61" x14ac:dyDescent="0.25">
      <c r="A132" s="12">
        <v>157</v>
      </c>
      <c r="B132" t="s">
        <v>929</v>
      </c>
      <c r="C132" t="s">
        <v>930</v>
      </c>
      <c r="D132" s="3">
        <f t="shared" si="16"/>
        <v>157</v>
      </c>
      <c r="E132" s="40"/>
      <c r="G132" s="8" t="s">
        <v>1473</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constants'!$B$4:$C$1012,2,FALSE),"")</f>
        <v>Included in base game</v>
      </c>
      <c r="V132" s="33" t="s">
        <v>3285</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8" t="s">
        <v>2653</v>
      </c>
      <c r="BA132" s="78"/>
      <c r="BB132" s="78"/>
      <c r="BC132" s="78"/>
      <c r="BD132" s="78"/>
      <c r="BE132" s="21" t="str">
        <f t="shared" ref="BE132:BE195" si="17">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21" t="str">
        <f t="shared" ref="BF132:BF195" si="18">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21" t="str">
        <f t="shared" ref="BG132:BG195" si="19">IF(A132&lt;&gt;"",IF(F132&lt;&gt;"Not in the game (anymore)",IF(A132&lt;&gt;"",", setType="&amp;G132,"")&amp;IF(G132="LIBSETS_SETTYPE_CLASS",", classId="&amp;BC132,"")&amp;IF(J132="true",", multiTrialSet=true",""),"")
&amp; IF(AND(H132&lt;&gt;"",ISNUMBER(H132)),", undauntedChestId=" &amp; H132,""),"")</f>
        <v>, setType=LIBSETS_SETTYPE_DUNGEON</v>
      </c>
      <c r="BH132" s="21" t="str">
        <f t="shared" ref="BH132:BH195" si="20">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21" t="str">
        <f t="shared" ref="BI132:BI195" si="21">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2">
        <v>158</v>
      </c>
      <c r="B133" t="s">
        <v>931</v>
      </c>
      <c r="C133" t="s">
        <v>932</v>
      </c>
      <c r="D133" s="3">
        <f t="shared" si="16"/>
        <v>158</v>
      </c>
      <c r="G133" s="8" t="s">
        <v>1473</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constants'!$B$4:$C$1012,2,FALSE),"")</f>
        <v>Included in base game</v>
      </c>
      <c r="V133" s="33" t="s">
        <v>3285</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constants'!$A$5:$D$10001,4,FALSE),"")</f>
        <v>City of Ash II</v>
      </c>
      <c r="AB133" s="33" t="s">
        <v>3285</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constants'!$A$5:$D$10001,4,FALSE),"")</f>
        <v>Greenshade</v>
      </c>
      <c r="AH133" s="89"/>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8" t="s">
        <v>2653</v>
      </c>
      <c r="BA133" s="78"/>
      <c r="BB133" s="78"/>
      <c r="BC133" s="78"/>
      <c r="BD133" s="78"/>
      <c r="BE133" s="21" t="str">
        <f t="shared" si="17"/>
        <v>[158] = {wayshrines={197,197,197,}, dlcId=DLC_BASE_GAME</v>
      </c>
      <c r="BF133" s="21" t="str">
        <f t="shared" si="18"/>
        <v>, zoneIds={176,681,108}, veteran=false</v>
      </c>
      <c r="BG133" s="21" t="str">
        <f t="shared" si="19"/>
        <v>, setType=LIBSETS_SETTYPE_DUNGEON</v>
      </c>
      <c r="BH133" s="21" t="str">
        <f t="shared" si="20"/>
        <v>, dropMechanic={LIBSETS_DROP_MECHANIC_GROUP_DUNGEON_BOSS,LIBSETS_DROP_MECHANIC_GROUP_DUNGEON_BOSS}</v>
      </c>
      <c r="BI133" s="21" t="str">
        <f t="shared" si="21"/>
        <v>}, --Embershield / Glutschild   [City of Ash I, City of Ash II, Greenshade]</v>
      </c>
    </row>
    <row r="134" spans="1:61" x14ac:dyDescent="0.25">
      <c r="A134" s="12">
        <v>159</v>
      </c>
      <c r="B134" t="s">
        <v>933</v>
      </c>
      <c r="C134" t="s">
        <v>934</v>
      </c>
      <c r="D134" s="3">
        <f t="shared" si="16"/>
        <v>159</v>
      </c>
      <c r="G134" s="8" t="s">
        <v>1473</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constants'!$B$4:$C$1012,2,FALSE),"")</f>
        <v>Included in base game</v>
      </c>
      <c r="V134" s="33" t="s">
        <v>3285</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constants'!$A$5:$D$10001,4,FALSE),"")</f>
        <v>City of Ash II</v>
      </c>
      <c r="AB134" s="33" t="s">
        <v>3285</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constants'!$A$5:$D$10001,4,FALSE),"")</f>
        <v>Greenshade</v>
      </c>
      <c r="AH134" s="89"/>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8" t="s">
        <v>2653</v>
      </c>
      <c r="BA134" s="78"/>
      <c r="BB134" s="78"/>
      <c r="BC134" s="78"/>
      <c r="BD134" s="78"/>
      <c r="BE134" s="21" t="str">
        <f t="shared" si="17"/>
        <v>[159] = {wayshrines={197,197,197,}, dlcId=DLC_BASE_GAME</v>
      </c>
      <c r="BF134" s="21" t="str">
        <f t="shared" si="18"/>
        <v>, zoneIds={176,681,108}, veteran=false</v>
      </c>
      <c r="BG134" s="21" t="str">
        <f t="shared" si="19"/>
        <v>, setType=LIBSETS_SETTYPE_DUNGEON</v>
      </c>
      <c r="BH134" s="21" t="str">
        <f t="shared" si="20"/>
        <v>, dropMechanic={LIBSETS_DROP_MECHANIC_GROUP_DUNGEON_BOSS,LIBSETS_DROP_MECHANIC_GROUP_DUNGEON_BOSS}</v>
      </c>
      <c r="BI134" s="21" t="str">
        <f t="shared" si="21"/>
        <v>}, --Sunderflame / Trennflamme   [City of Ash I, City of Ash II, Greenshade]</v>
      </c>
    </row>
    <row r="135" spans="1:61" x14ac:dyDescent="0.25">
      <c r="A135" s="12">
        <v>160</v>
      </c>
      <c r="B135" t="s">
        <v>935</v>
      </c>
      <c r="C135" t="s">
        <v>936</v>
      </c>
      <c r="D135" s="3">
        <f t="shared" si="16"/>
        <v>160</v>
      </c>
      <c r="E135" s="40"/>
      <c r="G135" s="8" t="s">
        <v>1473</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constants'!$B$4:$C$1012,2,FALSE),"")</f>
        <v>Included in base game</v>
      </c>
      <c r="V135" s="33" t="s">
        <v>3285</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constants'!$A$5:$D$10001,4,FALSE),"")</f>
        <v>City of Ash II</v>
      </c>
      <c r="AB135" s="33" t="s">
        <v>3285</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constants'!$A$5:$D$10001,4,FALSE),"")</f>
        <v>Greenshade</v>
      </c>
      <c r="AH135" s="89"/>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8" t="s">
        <v>2653</v>
      </c>
      <c r="BA135" s="78"/>
      <c r="BB135" s="78"/>
      <c r="BC135" s="78"/>
      <c r="BD135" s="78"/>
      <c r="BE135" s="21" t="str">
        <f t="shared" si="17"/>
        <v>[160] = {wayshrines={197,197,197,}, dlcId=DLC_BASE_GAME</v>
      </c>
      <c r="BF135" s="21" t="str">
        <f t="shared" si="18"/>
        <v>, zoneIds={176,681,108}, veteran=false</v>
      </c>
      <c r="BG135" s="21" t="str">
        <f t="shared" si="19"/>
        <v>, setType=LIBSETS_SETTYPE_DUNGEON</v>
      </c>
      <c r="BH135" s="21" t="str">
        <f t="shared" si="20"/>
        <v>, dropMechanic={LIBSETS_DROP_MECHANIC_GROUP_DUNGEON_BOSS,LIBSETS_DROP_MECHANIC_GROUP_DUNGEON_BOSS}</v>
      </c>
      <c r="BI135" s="21" t="str">
        <f t="shared" si="21"/>
        <v>}, --Burning Spellweave / Branntzauberweber   [City of Ash I, City of Ash II, Greenshade]</v>
      </c>
    </row>
    <row r="136" spans="1:61" x14ac:dyDescent="0.25">
      <c r="A136" s="5">
        <v>161</v>
      </c>
      <c r="B136" t="s">
        <v>937</v>
      </c>
      <c r="C136" t="s">
        <v>938</v>
      </c>
      <c r="D136" s="3">
        <f t="shared" si="16"/>
        <v>161</v>
      </c>
      <c r="G136" s="8" t="s">
        <v>1470</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constants'!$B$4:$C$1012,2,FALSE),"")</f>
        <v>Blackwood</v>
      </c>
      <c r="V136" s="33" t="s">
        <v>3288</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constants'!$A$5:$D$10001,4,FALSE),"")</f>
        <v>Craglorn</v>
      </c>
      <c r="AB136" s="33" t="s">
        <v>3288</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8" t="s">
        <v>2653</v>
      </c>
      <c r="BA136" s="78"/>
      <c r="BB136" s="78"/>
      <c r="BC136" s="78"/>
      <c r="BD136" s="78"/>
      <c r="BE136" s="21" t="str">
        <f t="shared" si="17"/>
        <v>[161] = {wayshrines={234,234,234,}, traitsNeeded=9, dlcId=DLC_BLACKWOOD</v>
      </c>
      <c r="BF136" s="21" t="str">
        <f t="shared" si="18"/>
        <v>, zoneIds={888,888,888}, veteran=false</v>
      </c>
      <c r="BG136" s="21" t="str">
        <f t="shared" si="19"/>
        <v>, setType=LIBSETS_SETTYPE_CRAFTED</v>
      </c>
      <c r="BH136" s="21" t="str">
        <f t="shared" si="20"/>
        <v>, dropMechanic={LIBSETS_DROP_MECHANIC_CRAFTED,LIBSETS_DROP_MECHANIC_CRAFTED}</v>
      </c>
      <c r="BI136" s="21" t="str">
        <f t="shared" si="21"/>
        <v>}, --Twice-Born Star / Doppelstern   [Craglorn, Craglorn, Craglorn]</v>
      </c>
    </row>
    <row r="137" spans="1:61" x14ac:dyDescent="0.25">
      <c r="A137" s="5">
        <v>162</v>
      </c>
      <c r="B137" t="s">
        <v>939</v>
      </c>
      <c r="C137" t="s">
        <v>24</v>
      </c>
      <c r="D137" s="3">
        <f t="shared" si="16"/>
        <v>162</v>
      </c>
      <c r="G137" s="8" t="s">
        <v>1475</v>
      </c>
      <c r="H137" s="86">
        <v>2</v>
      </c>
      <c r="I137" t="s">
        <v>1462</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constants'!$B$4:$C$1012,2,FALSE),"")</f>
        <v>Included in base game</v>
      </c>
      <c r="V137" s="33" t="s">
        <v>1538</v>
      </c>
      <c r="W137" s="3" t="s">
        <v>1626</v>
      </c>
      <c r="X137" s="3" t="s">
        <v>1626</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8" t="s">
        <v>2653</v>
      </c>
      <c r="BA137" s="78"/>
      <c r="BB137" s="78"/>
      <c r="BC137" s="78"/>
      <c r="BD137" s="78"/>
      <c r="BE137" s="21" t="str">
        <f t="shared" si="17"/>
        <v>[162] = {wayshrines={266,266,266,}, dlcId=DLC_BASE_GAME</v>
      </c>
      <c r="BF137" s="21" t="str">
        <f t="shared" si="18"/>
        <v>, zoneIds={934,41,41}, veteran={[EQUIP_TYPE_HEAD]=true, [EQUIP_TYPE_SHOULDERS]=false}</v>
      </c>
      <c r="BG137" s="21" t="str">
        <f t="shared" si="19"/>
        <v>, setType=LIBSETS_SETTYPE_MONSTER, undauntedChestId=2</v>
      </c>
      <c r="BH137" s="21" t="str">
        <f t="shared" si="20"/>
        <v>, dropMechanic={LIBSETS_DROP_MECHANIC_MONSTER_NAME}, dropMechanicDropLocationNames={['en']={'Vila Theran','','','','','',},['de']={'Vila Theran','','','','','',},}</v>
      </c>
      <c r="BI137" s="21" t="str">
        <f t="shared" si="21"/>
        <v>}, --Spawn of Mephala / Mephalas Brut   [Fungal Grotto II, Stonefalls, Stonefalls]</v>
      </c>
    </row>
    <row r="138" spans="1:61" x14ac:dyDescent="0.25">
      <c r="A138" s="5">
        <v>163</v>
      </c>
      <c r="B138" t="s">
        <v>940</v>
      </c>
      <c r="C138" t="s">
        <v>1</v>
      </c>
      <c r="D138" s="3">
        <f t="shared" si="16"/>
        <v>163</v>
      </c>
      <c r="E138" s="40"/>
      <c r="G138" s="8" t="s">
        <v>1475</v>
      </c>
      <c r="H138" s="86">
        <v>2</v>
      </c>
      <c r="I138" t="s">
        <v>1462</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constants'!$B$4:$C$1012,2,FALSE),"")</f>
        <v>Included in base game</v>
      </c>
      <c r="V138" s="33" t="s">
        <v>1538</v>
      </c>
      <c r="W138" s="3" t="s">
        <v>1357</v>
      </c>
      <c r="X138" s="3" t="s">
        <v>1630</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8" t="s">
        <v>2653</v>
      </c>
      <c r="BA138" s="78"/>
      <c r="BB138" s="78"/>
      <c r="BC138" s="78"/>
      <c r="BD138" s="78"/>
      <c r="BE138" s="21" t="str">
        <f t="shared" si="17"/>
        <v>[163] = {wayshrines={267,267,267,}, dlcId=DLC_BASE_GAME</v>
      </c>
      <c r="BF138" s="21" t="str">
        <f t="shared" si="18"/>
        <v>, zoneIds={936,3,3}, veteran={[EQUIP_TYPE_HEAD]=true, [EQUIP_TYPE_SHOULDERS]=false}</v>
      </c>
      <c r="BG138" s="21" t="str">
        <f t="shared" si="19"/>
        <v>, setType=LIBSETS_SETTYPE_MONSTER, undauntedChestId=2</v>
      </c>
      <c r="BH138" s="21" t="str">
        <f t="shared" si="20"/>
        <v>, dropMechanic={LIBSETS_DROP_MECHANIC_MONSTER_NAME}, dropMechanicDropLocationNames={['en']={'Vorenor Winterbourne','','','','','',},['de']={'Vorenor Winterkind','','','','','',},}</v>
      </c>
      <c r="BI138" s="21" t="str">
        <f t="shared" si="21"/>
        <v>}, --Blood Spawn / Blutbrut   [Spindleclutch II, Glenumbra, Glenumbra]</v>
      </c>
    </row>
    <row r="139" spans="1:61" x14ac:dyDescent="0.25">
      <c r="A139" s="5">
        <v>164</v>
      </c>
      <c r="B139" t="s">
        <v>941</v>
      </c>
      <c r="C139" t="s">
        <v>11</v>
      </c>
      <c r="D139" s="3">
        <f t="shared" si="16"/>
        <v>164</v>
      </c>
      <c r="E139" s="40"/>
      <c r="G139" s="8" t="s">
        <v>1475</v>
      </c>
      <c r="H139" s="86">
        <v>3</v>
      </c>
      <c r="I139" t="s">
        <v>1462</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constants'!$B$4:$C$1012,2,FALSE),"")</f>
        <v>Imperial City</v>
      </c>
      <c r="V139" s="33" t="s">
        <v>1538</v>
      </c>
      <c r="W139" s="3" t="s">
        <v>1539</v>
      </c>
      <c r="X139" s="3" t="s">
        <v>1614</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8" t="s">
        <v>2653</v>
      </c>
      <c r="BA139" s="78"/>
      <c r="BB139" s="78"/>
      <c r="BC139" s="78"/>
      <c r="BD139" s="78"/>
      <c r="BE139" s="21" t="str">
        <f t="shared" si="17"/>
        <v>[164] = {wayshrines={236,236,236,}, dlcId=DLC_IMPERIAL_CITY</v>
      </c>
      <c r="BF139" s="21" t="str">
        <f t="shared" si="18"/>
        <v>, zoneIds={678,181,181}, veteran={[EQUIP_TYPE_HEAD]=true, [EQUIP_TYPE_SHOULDERS]=false}</v>
      </c>
      <c r="BG139" s="21" t="str">
        <f t="shared" si="19"/>
        <v>, setType=LIBSETS_SETTYPE_MONSTER, undauntedChestId=3</v>
      </c>
      <c r="BH139" s="21" t="str">
        <f t="shared" si="20"/>
        <v>, dropMechanic={LIBSETS_DROP_MECHANIC_MONSTER_NAME}, dropMechanicDropLocationNames={['en']={'Lord Warden Dusk','','','','','',},['de']={'Hochwärter Dämmer','','','','','',},}</v>
      </c>
      <c r="BI139" s="21" t="str">
        <f t="shared" si="21"/>
        <v>}, --Lord Warden / Hochwärter   [Imperial City Prison, Cyrodiil, Cyrodiil]</v>
      </c>
    </row>
    <row r="140" spans="1:61" x14ac:dyDescent="0.25">
      <c r="A140" s="5">
        <v>165</v>
      </c>
      <c r="B140" t="s">
        <v>942</v>
      </c>
      <c r="C140" t="s">
        <v>18</v>
      </c>
      <c r="D140" s="3">
        <f t="shared" si="16"/>
        <v>165</v>
      </c>
      <c r="G140" s="8" t="s">
        <v>1475</v>
      </c>
      <c r="H140" s="86">
        <v>2</v>
      </c>
      <c r="I140" t="s">
        <v>1462</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constants'!$B$4:$C$1012,2,FALSE),"")</f>
        <v>Included in base game</v>
      </c>
      <c r="V140" s="33" t="s">
        <v>1538</v>
      </c>
      <c r="W140" s="3" t="s">
        <v>1638</v>
      </c>
      <c r="X140" s="3" t="s">
        <v>1639</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8" t="s">
        <v>2653</v>
      </c>
      <c r="BA140" s="78"/>
      <c r="BB140" s="78"/>
      <c r="BC140" s="78"/>
      <c r="BD140" s="78"/>
      <c r="BE140" s="21" t="str">
        <f t="shared" si="17"/>
        <v>[165] = {wayshrines={263,263,263,}, dlcId=DLC_BASE_GAME</v>
      </c>
      <c r="BF140" s="21" t="str">
        <f t="shared" si="18"/>
        <v>, zoneIds={933,19,19}, veteran={[EQUIP_TYPE_HEAD]=true, [EQUIP_TYPE_SHOULDERS]=false}</v>
      </c>
      <c r="BG140" s="21" t="str">
        <f t="shared" si="19"/>
        <v>, setType=LIBSETS_SETTYPE_MONSTER, undauntedChestId=2</v>
      </c>
      <c r="BH140" s="21" t="str">
        <f t="shared" si="20"/>
        <v>, dropMechanic={LIBSETS_DROP_MECHANIC_MONSTER_NAME}, dropMechanicDropLocationNames={['en']={'Varaine and Allene Pellingare','','','','','',},['de']={'Varaine und Allene Pellingare','','','','','',},}</v>
      </c>
      <c r="BI140" s="21" t="str">
        <f t="shared" si="21"/>
        <v>}, --Scourge Harvester / Geißelernter   [Wayrest Sewers II, Stormhaven, Stormhaven]</v>
      </c>
    </row>
    <row r="141" spans="1:61" x14ac:dyDescent="0.25">
      <c r="A141" s="5">
        <v>166</v>
      </c>
      <c r="B141" t="s">
        <v>943</v>
      </c>
      <c r="C141" t="s">
        <v>5</v>
      </c>
      <c r="D141" s="3">
        <f t="shared" si="16"/>
        <v>166</v>
      </c>
      <c r="G141" s="8" t="s">
        <v>1475</v>
      </c>
      <c r="H141" s="86">
        <v>2</v>
      </c>
      <c r="I141" t="s">
        <v>1462</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constants'!$B$4:$C$1012,2,FALSE),"")</f>
        <v>Included in base game</v>
      </c>
      <c r="V141" s="33" t="s">
        <v>1538</v>
      </c>
      <c r="W141" s="3" t="s">
        <v>1359</v>
      </c>
      <c r="X141" s="3" t="s">
        <v>1619</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8" t="s">
        <v>2653</v>
      </c>
      <c r="BA141" s="78"/>
      <c r="BB141" s="78"/>
      <c r="BC141" s="78"/>
      <c r="BD141" s="78"/>
      <c r="BE141" s="21" t="str">
        <f t="shared" si="17"/>
        <v>[166] = {wayshrines={264,264,264,}, dlcId=DLC_BASE_GAME</v>
      </c>
      <c r="BF141" s="21" t="str">
        <f t="shared" si="18"/>
        <v>, zoneIds={930,57,57}, veteran={[EQUIP_TYPE_HEAD]=true, [EQUIP_TYPE_SHOULDERS]=false}</v>
      </c>
      <c r="BG141" s="21" t="str">
        <f t="shared" si="19"/>
        <v>, setType=LIBSETS_SETTYPE_MONSTER, undauntedChestId=2</v>
      </c>
      <c r="BH141" s="21" t="str">
        <f t="shared" si="20"/>
        <v>, dropMechanic={LIBSETS_DROP_MECHANIC_MONSTER_NAME}, dropMechanicDropLocationNames={['en']={'The Engine Guardian','','','','','',},['de']={'Der Maschinenwächter','','','','','',},}</v>
      </c>
      <c r="BI141" s="21" t="str">
        <f t="shared" si="21"/>
        <v>}, --Engine Guardian / Maschinenwächter   [Darkshade Caverns II, Deshaan, Deshaan]</v>
      </c>
    </row>
    <row r="142" spans="1:61" x14ac:dyDescent="0.25">
      <c r="A142" s="5">
        <v>167</v>
      </c>
      <c r="B142" t="s">
        <v>944</v>
      </c>
      <c r="C142" t="s">
        <v>16</v>
      </c>
      <c r="D142" s="3">
        <f t="shared" si="16"/>
        <v>167</v>
      </c>
      <c r="G142" s="8" t="s">
        <v>1475</v>
      </c>
      <c r="H142" s="86">
        <v>2</v>
      </c>
      <c r="I142" t="s">
        <v>1462</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constants'!$B$4:$C$1012,2,FALSE),"")</f>
        <v>Included in base game</v>
      </c>
      <c r="V142" s="33" t="s">
        <v>1538</v>
      </c>
      <c r="W142" s="3" t="s">
        <v>1540</v>
      </c>
      <c r="X142" s="3" t="s">
        <v>1620</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8" t="s">
        <v>2653</v>
      </c>
      <c r="BA142" s="78"/>
      <c r="BB142" s="78"/>
      <c r="BC142" s="78"/>
      <c r="BD142" s="78"/>
      <c r="BE142" s="21" t="str">
        <f t="shared" si="17"/>
        <v>[167] = {wayshrines={265,265,265,}, dlcId=DLC_BASE_GAME</v>
      </c>
      <c r="BF142" s="21" t="str">
        <f t="shared" si="18"/>
        <v>, zoneIds={931,383,383}, veteran={[EQUIP_TYPE_HEAD]=true, [EQUIP_TYPE_SHOULDERS]=false}</v>
      </c>
      <c r="BG142" s="21" t="str">
        <f t="shared" si="19"/>
        <v>, setType=LIBSETS_SETTYPE_MONSTER, undauntedChestId=2</v>
      </c>
      <c r="BH142" s="21" t="str">
        <f t="shared" si="20"/>
        <v>, dropMechanic={LIBSETS_DROP_MECHANIC_MONSTER_NAME}, dropMechanicDropLocationNames={['en']={'Bogdan the Nightflame','','','','','',},['de']={'Bogdan die Nachtflamme','','','','','',},}</v>
      </c>
      <c r="BI142" s="21" t="str">
        <f t="shared" si="21"/>
        <v>}, --Nightflame / Nachtflamme   [Elden Hollow II, Grahtwood, Grahtwood]</v>
      </c>
    </row>
    <row r="143" spans="1:61" x14ac:dyDescent="0.25">
      <c r="A143" s="5">
        <v>168</v>
      </c>
      <c r="B143" t="s">
        <v>15</v>
      </c>
      <c r="C143" t="s">
        <v>1553</v>
      </c>
      <c r="D143" s="3">
        <f t="shared" si="16"/>
        <v>168</v>
      </c>
      <c r="G143" s="8" t="s">
        <v>1475</v>
      </c>
      <c r="H143" s="86">
        <v>1</v>
      </c>
      <c r="I143" t="s">
        <v>1462</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constants'!$B$4:$C$1012,2,FALSE),"")</f>
        <v>Included in base game</v>
      </c>
      <c r="V143" s="33" t="s">
        <v>1538</v>
      </c>
      <c r="W143" s="3" t="s">
        <v>1553</v>
      </c>
      <c r="X143" s="3" t="s">
        <v>1624</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8" t="s">
        <v>2653</v>
      </c>
      <c r="BA143" s="78"/>
      <c r="BB143" s="78"/>
      <c r="BC143" s="78"/>
      <c r="BD143" s="78"/>
      <c r="BE143" s="21" t="str">
        <f t="shared" si="17"/>
        <v>[168] = {wayshrines={269,269,269,}, dlcId=DLC_BASE_GAME</v>
      </c>
      <c r="BF143" s="21" t="str">
        <f t="shared" si="18"/>
        <v>, zoneIds={932,20,20}, veteran={[EQUIP_TYPE_HEAD]=true, [EQUIP_TYPE_SHOULDERS]=false}</v>
      </c>
      <c r="BG143" s="21" t="str">
        <f t="shared" si="19"/>
        <v>, setType=LIBSETS_SETTYPE_MONSTER, undauntedChestId=1</v>
      </c>
      <c r="BH143" s="21" t="str">
        <f t="shared" si="20"/>
        <v>, dropMechanic={LIBSETS_DROP_MECHANIC_MONSTER_NAME}, dropMechanicDropLocationNames={['en']={'Nerien\'eth','','','','','',},['de']={'Nerien\’eth','','','','','',},}</v>
      </c>
      <c r="BI143" s="21" t="str">
        <f t="shared" si="21"/>
        <v>}, --Nerien\'eth / Nerien'eth   [Crypt of Hearts II, Rivenspire, Rivenspire]</v>
      </c>
    </row>
    <row r="144" spans="1:61" x14ac:dyDescent="0.25">
      <c r="A144" s="5">
        <v>169</v>
      </c>
      <c r="B144" t="s">
        <v>31</v>
      </c>
      <c r="C144" t="s">
        <v>31</v>
      </c>
      <c r="D144" s="3">
        <f t="shared" si="16"/>
        <v>169</v>
      </c>
      <c r="G144" s="8" t="s">
        <v>1475</v>
      </c>
      <c r="H144" s="86">
        <v>1</v>
      </c>
      <c r="I144" t="s">
        <v>1462</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constants'!$B$4:$C$1012,2,FALSE),"")</f>
        <v>Included in base game</v>
      </c>
      <c r="V144" s="33" t="s">
        <v>1538</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8" t="s">
        <v>2653</v>
      </c>
      <c r="BA144" s="78"/>
      <c r="BB144" s="78"/>
      <c r="BC144" s="78"/>
      <c r="BD144" s="78"/>
      <c r="BE144" s="21" t="str">
        <f t="shared" si="17"/>
        <v>[169] = {wayshrines={268,268,268,}, dlcId=DLC_BASE_GAME</v>
      </c>
      <c r="BF144" s="21" t="str">
        <f t="shared" si="18"/>
        <v>, zoneIds={681,108,108}, veteran={[EQUIP_TYPE_HEAD]=true, [EQUIP_TYPE_SHOULDERS]=false}</v>
      </c>
      <c r="BG144" s="21" t="str">
        <f t="shared" si="19"/>
        <v>, setType=LIBSETS_SETTYPE_MONSTER, undauntedChestId=1</v>
      </c>
      <c r="BH144" s="21" t="str">
        <f t="shared" si="20"/>
        <v>, dropMechanic={LIBSETS_DROP_MECHANIC_MONSTER_NAME}, dropMechanicDropLocationNames={['en']={'Valkyn Skoria','','','','','',},['de']={'Valkyn Skoria','','','','','',},}</v>
      </c>
      <c r="BI144" s="21" t="str">
        <f t="shared" si="21"/>
        <v>}, --Valkyn Skoria / Valkyn Skoria   [City of Ash II, Greenshade, Greenshade]</v>
      </c>
    </row>
    <row r="145" spans="1:61" x14ac:dyDescent="0.25">
      <c r="A145" s="5">
        <v>170</v>
      </c>
      <c r="B145" t="s">
        <v>945</v>
      </c>
      <c r="C145" t="s">
        <v>12</v>
      </c>
      <c r="D145" s="3">
        <f t="shared" si="16"/>
        <v>170</v>
      </c>
      <c r="G145" s="8" t="s">
        <v>1475</v>
      </c>
      <c r="H145" s="86">
        <v>2</v>
      </c>
      <c r="I145" t="s">
        <v>1462</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constants'!$B$4:$C$1012,2,FALSE),"")</f>
        <v>Included in base game</v>
      </c>
      <c r="V145" s="33" t="s">
        <v>1538</v>
      </c>
      <c r="W145" s="3" t="s">
        <v>1360</v>
      </c>
      <c r="X145" s="3" t="s">
        <v>1632</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8" t="s">
        <v>2653</v>
      </c>
      <c r="BA145" s="78"/>
      <c r="BB145" s="78"/>
      <c r="BC145" s="78"/>
      <c r="BD145" s="78"/>
      <c r="BE145" s="21" t="str">
        <f t="shared" si="17"/>
        <v>[170] = {wayshrines={262,262,262,}, dlcId=DLC_BASE_GAME</v>
      </c>
      <c r="BF145" s="21" t="str">
        <f t="shared" si="18"/>
        <v>, zoneIds={935,381,381}, veteran={[EQUIP_TYPE_HEAD]=true, [EQUIP_TYPE_SHOULDERS]=false}</v>
      </c>
      <c r="BG145" s="21" t="str">
        <f t="shared" si="19"/>
        <v>, setType=LIBSETS_SETTYPE_MONSTER, undauntedChestId=2</v>
      </c>
      <c r="BH145" s="21" t="str">
        <f t="shared" si="20"/>
        <v>, dropMechanic={LIBSETS_DROP_MECHANIC_MONSTER_NAME}, dropMechanicDropLocationNames={['en']={'High Kinlord Rilis','','','','','',},['de']={'Sippenhochfürst Rilis','','','','','',},}</v>
      </c>
      <c r="BI145" s="21" t="str">
        <f t="shared" si="21"/>
        <v>}, --Maw of the Infernal / Schlund des Infernalen   [The Banished Cells II, Auridon, Auridon]</v>
      </c>
    </row>
    <row r="146" spans="1:61" x14ac:dyDescent="0.25">
      <c r="A146" s="12">
        <v>171</v>
      </c>
      <c r="B146" t="s">
        <v>946</v>
      </c>
      <c r="C146" t="s">
        <v>947</v>
      </c>
      <c r="D146" s="3">
        <f t="shared" si="16"/>
        <v>171</v>
      </c>
      <c r="G146" s="8" t="s">
        <v>1477</v>
      </c>
      <c r="I146" t="s">
        <v>91</v>
      </c>
      <c r="J146" t="s">
        <v>91</v>
      </c>
      <c r="K146">
        <v>230</v>
      </c>
      <c r="L146">
        <v>230</v>
      </c>
      <c r="M146">
        <v>230</v>
      </c>
      <c r="O146" s="61" t="s">
        <v>440</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constants'!$B$4:$C$1012,2,FALSE),"")</f>
        <v>Included in base game</v>
      </c>
      <c r="V146" s="33" t="s">
        <v>3266</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constants'!$A$5:$D$10001,4,FALSE),"")</f>
        <v>Hel Ra Citadel</v>
      </c>
      <c r="AB146" s="33" t="s">
        <v>3266</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constants'!$A$5:$D$10001,4,FALSE),"")</f>
        <v>Hel Ra Citadel</v>
      </c>
      <c r="AH146" s="33" t="s">
        <v>3266</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8" t="s">
        <v>2653</v>
      </c>
      <c r="BA146" s="78"/>
      <c r="BB146" s="78"/>
      <c r="BC146" s="78"/>
      <c r="BD146" s="78"/>
      <c r="BE146" s="21" t="str">
        <f t="shared" si="17"/>
        <v>[171] = {wayshrines={230,230,230,}, dlcId=DLC_BASE_GAME</v>
      </c>
      <c r="BF146" s="21" t="str">
        <f t="shared" si="18"/>
        <v>, zoneIds={636,636,636}, veteran=false</v>
      </c>
      <c r="BG146" s="21" t="str">
        <f t="shared" si="19"/>
        <v>, setType=LIBSETS_SETTYPE_TRIAL</v>
      </c>
      <c r="BH146" s="21" t="str">
        <f t="shared" si="20"/>
        <v>, dropMechanic={LIBSETS_DROP_MECHANIC_TRIAL_BOSS,LIBSETS_DROP_MECHANIC_TRIAL_BOSS,LIBSETS_DROP_MECHANIC_TRIAL_BOSS}</v>
      </c>
      <c r="BI146" s="21" t="str">
        <f t="shared" si="21"/>
        <v>}, --Eternal Warrior / Ewiger Krieger   [Hel Ra Citadel, Hel Ra Citadel, Hel Ra Citadel]</v>
      </c>
    </row>
    <row r="147" spans="1:61" ht="15.75" x14ac:dyDescent="0.25">
      <c r="A147" s="12">
        <v>172</v>
      </c>
      <c r="B147" t="s">
        <v>948</v>
      </c>
      <c r="C147" t="s">
        <v>949</v>
      </c>
      <c r="D147" s="3">
        <f t="shared" si="16"/>
        <v>172</v>
      </c>
      <c r="G147" s="8" t="s">
        <v>1477</v>
      </c>
      <c r="I147" t="s">
        <v>91</v>
      </c>
      <c r="J147" t="s">
        <v>91</v>
      </c>
      <c r="K147">
        <v>230</v>
      </c>
      <c r="L147">
        <v>230</v>
      </c>
      <c r="M147">
        <v>230</v>
      </c>
      <c r="O147" s="61" t="s">
        <v>442</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constants'!$B$4:$C$1012,2,FALSE),"")</f>
        <v>Included in base game</v>
      </c>
      <c r="V147" s="33" t="s">
        <v>3266</v>
      </c>
      <c r="W147" s="100" t="s">
        <v>3745</v>
      </c>
      <c r="X147" s="100" t="s">
        <v>3746</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constants'!$A$5:$D$10001,4,FALSE),"")</f>
        <v>Aetherian Archive</v>
      </c>
      <c r="AB147" s="33" t="s">
        <v>3266</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constants'!$A$5:$D$10001,4,FALSE),"")</f>
        <v>Aetherian Archive</v>
      </c>
      <c r="AH147" s="33" t="s">
        <v>3266</v>
      </c>
      <c r="AI147" s="38"/>
      <c r="AJ147" s="38"/>
      <c r="AK147" s="3" t="str">
        <f>IF(AND(G147&lt;&gt;"LIBSETS_SETTYPE_BATTLEGROUND",G147&lt;&gt;"LIBSETS_SETTYPE_SPECIAL"),IF(AL147&lt;&gt;"",VLOOKUP(AL147,'ESO zone constants'!$D$5:$H$4955,5,FALSE),""),"")</f>
        <v/>
      </c>
      <c r="AN147" s="100"/>
      <c r="AO147" s="100"/>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8" t="s">
        <v>2653</v>
      </c>
      <c r="BA147" s="78"/>
      <c r="BB147" s="78"/>
      <c r="BC147" s="78"/>
      <c r="BD147" s="78"/>
      <c r="BE147" s="21" t="str">
        <f t="shared" si="17"/>
        <v>[172] = {wayshrines={230,230,230,}, dlcId=DLC_BASE_GAME</v>
      </c>
      <c r="BF147" s="21" t="str">
        <f t="shared" si="18"/>
        <v>, zoneIds={638,638,638}, veteran=false</v>
      </c>
      <c r="BG147" s="21" t="str">
        <f t="shared" si="19"/>
        <v>, setType=LIBSETS_SETTYPE_TRIAL</v>
      </c>
      <c r="BH147" s="21" t="str">
        <f t="shared" si="2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 t="shared" si="21"/>
        <v>}, --Infallible Mage / Unfehlbare Magierin   [Aetherian Archive, Aetherian Archive, Aetherian Archive]</v>
      </c>
    </row>
    <row r="148" spans="1:61" x14ac:dyDescent="0.25">
      <c r="A148" s="12">
        <v>173</v>
      </c>
      <c r="B148" t="s">
        <v>950</v>
      </c>
      <c r="C148" t="s">
        <v>951</v>
      </c>
      <c r="D148" s="3">
        <f t="shared" si="16"/>
        <v>173</v>
      </c>
      <c r="G148" s="8" t="s">
        <v>1477</v>
      </c>
      <c r="I148" t="s">
        <v>91</v>
      </c>
      <c r="J148" t="s">
        <v>91</v>
      </c>
      <c r="K148">
        <v>230</v>
      </c>
      <c r="L148">
        <v>230</v>
      </c>
      <c r="M148">
        <v>230</v>
      </c>
      <c r="O148" s="61" t="s">
        <v>443</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constants'!$B$4:$C$1012,2,FALSE),"")</f>
        <v>Included in base game</v>
      </c>
      <c r="V148" s="33" t="s">
        <v>3266</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constants'!$A$5:$D$10001,4,FALSE),"")</f>
        <v>Sanctum Ophidia</v>
      </c>
      <c r="AB148" s="33" t="s">
        <v>3266</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constants'!$A$5:$D$10001,4,FALSE),"")</f>
        <v>Sanctum Ophidia</v>
      </c>
      <c r="AH148" s="33" t="s">
        <v>3266</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8" t="s">
        <v>2653</v>
      </c>
      <c r="BA148" s="78"/>
      <c r="BB148" s="78"/>
      <c r="BC148" s="78"/>
      <c r="BD148" s="78"/>
      <c r="BE148" s="21" t="str">
        <f t="shared" si="17"/>
        <v>[173] = {wayshrines={230,230,230,}, dlcId=DLC_BASE_GAME</v>
      </c>
      <c r="BF148" s="21" t="str">
        <f t="shared" si="18"/>
        <v>, zoneIds={639,639,639}, veteran=false</v>
      </c>
      <c r="BG148" s="21" t="str">
        <f t="shared" si="19"/>
        <v>, setType=LIBSETS_SETTYPE_TRIAL</v>
      </c>
      <c r="BH148" s="21" t="str">
        <f t="shared" si="20"/>
        <v>, dropMechanic={LIBSETS_DROP_MECHANIC_TRIAL_BOSS,LIBSETS_DROP_MECHANIC_TRIAL_BOSS,LIBSETS_DROP_MECHANIC_TRIAL_BOSS}</v>
      </c>
      <c r="BI148" s="21" t="str">
        <f t="shared" si="21"/>
        <v>}, --Vicious Serpent / Boshafte Schlange   [Sanctum Ophidia, Sanctum Ophidia, Sanctum Ophidia]</v>
      </c>
    </row>
    <row r="149" spans="1:61" x14ac:dyDescent="0.25">
      <c r="A149" s="5">
        <v>176</v>
      </c>
      <c r="B149" t="s">
        <v>952</v>
      </c>
      <c r="C149" t="s">
        <v>2581</v>
      </c>
      <c r="D149" s="3">
        <f t="shared" si="16"/>
        <v>176</v>
      </c>
      <c r="G149" s="8" t="s">
        <v>1470</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constants'!$B$4:$C$1012,2,FALSE),"")</f>
        <v>Included in base game</v>
      </c>
      <c r="V149" s="33" t="s">
        <v>3288</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8" t="s">
        <v>2653</v>
      </c>
      <c r="BA149" s="78"/>
      <c r="BB149" s="78"/>
      <c r="BC149" s="78"/>
      <c r="BD149" s="78"/>
      <c r="BE149" s="21" t="str">
        <f t="shared" si="17"/>
        <v>[176] = {wayshrines={-1,-1,-1,}, traitsNeeded=5, dlcId=DLC_BASE_GAME</v>
      </c>
      <c r="BF149" s="21" t="str">
        <f t="shared" si="18"/>
        <v>, zoneIds={584}, veteran=false</v>
      </c>
      <c r="BG149" s="21" t="str">
        <f t="shared" si="19"/>
        <v>, setType=LIBSETS_SETTYPE_CRAFTED</v>
      </c>
      <c r="BH149" s="21" t="str">
        <f t="shared" si="20"/>
        <v>, dropMechanic={LIBSETS_DROP_MECHANIC_CRAFTED}</v>
      </c>
      <c r="BI149" s="21" t="str">
        <f t="shared" si="21"/>
        <v>}, --Noble\'s Conquest / Adelssieg   [Imperial City]</v>
      </c>
    </row>
    <row r="150" spans="1:61" x14ac:dyDescent="0.25">
      <c r="A150" s="5">
        <v>177</v>
      </c>
      <c r="B150" t="s">
        <v>953</v>
      </c>
      <c r="C150" t="s">
        <v>954</v>
      </c>
      <c r="D150" s="3">
        <f t="shared" si="16"/>
        <v>177</v>
      </c>
      <c r="G150" s="8" t="s">
        <v>1470</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constants'!$B$4:$C$1012,2,FALSE),"")</f>
        <v>Included in base game</v>
      </c>
      <c r="V150" s="33" t="s">
        <v>3288</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8" t="s">
        <v>2653</v>
      </c>
      <c r="BA150" s="78"/>
      <c r="BB150" s="78"/>
      <c r="BC150" s="78"/>
      <c r="BD150" s="78"/>
      <c r="BE150" s="21" t="str">
        <f t="shared" si="17"/>
        <v>[177] = {wayshrines={-1,-1,-1,}, traitsNeeded=7, dlcId=DLC_BASE_GAME</v>
      </c>
      <c r="BF150" s="21" t="str">
        <f t="shared" si="18"/>
        <v>, zoneIds={584}, veteran=false</v>
      </c>
      <c r="BG150" s="21" t="str">
        <f t="shared" si="19"/>
        <v>, setType=LIBSETS_SETTYPE_CRAFTED</v>
      </c>
      <c r="BH150" s="21" t="str">
        <f t="shared" si="20"/>
        <v>, dropMechanic={LIBSETS_DROP_MECHANIC_CRAFTED}</v>
      </c>
      <c r="BI150" s="21" t="str">
        <f t="shared" si="21"/>
        <v>}, --Redistributor / Umverteilung   [Imperial City]</v>
      </c>
    </row>
    <row r="151" spans="1:61" x14ac:dyDescent="0.25">
      <c r="A151" s="5">
        <v>178</v>
      </c>
      <c r="B151" t="s">
        <v>955</v>
      </c>
      <c r="C151" t="s">
        <v>956</v>
      </c>
      <c r="D151" s="3">
        <f t="shared" si="16"/>
        <v>178</v>
      </c>
      <c r="G151" s="8" t="s">
        <v>1470</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constants'!$B$4:$C$1012,2,FALSE),"")</f>
        <v>Included in base game</v>
      </c>
      <c r="V151" s="33" t="s">
        <v>3288</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8" t="s">
        <v>2653</v>
      </c>
      <c r="BA151" s="78"/>
      <c r="BB151" s="78"/>
      <c r="BC151" s="78"/>
      <c r="BD151" s="78"/>
      <c r="BE151" s="21" t="str">
        <f t="shared" si="17"/>
        <v>[178] = {wayshrines={-1,-1,-1,}, traitsNeeded=9, dlcId=DLC_BASE_GAME</v>
      </c>
      <c r="BF151" s="21" t="str">
        <f t="shared" si="18"/>
        <v>, zoneIds={584}, veteran=false</v>
      </c>
      <c r="BG151" s="21" t="str">
        <f t="shared" si="19"/>
        <v>, setType=LIBSETS_SETTYPE_CRAFTED</v>
      </c>
      <c r="BH151" s="21" t="str">
        <f t="shared" si="20"/>
        <v>, dropMechanic={LIBSETS_DROP_MECHANIC_CRAFTED}</v>
      </c>
      <c r="BI151" s="21" t="str">
        <f t="shared" si="21"/>
        <v>}, --Armor Master / Rüstungsmeister   [Imperial City]</v>
      </c>
    </row>
    <row r="152" spans="1:61" x14ac:dyDescent="0.25">
      <c r="A152" s="12">
        <v>179</v>
      </c>
      <c r="B152" t="s">
        <v>957</v>
      </c>
      <c r="C152" t="s">
        <v>958</v>
      </c>
      <c r="D152" s="3">
        <f t="shared" si="16"/>
        <v>179</v>
      </c>
      <c r="E152" s="40"/>
      <c r="G152" s="8" t="s">
        <v>1474</v>
      </c>
      <c r="I152" t="s">
        <v>91</v>
      </c>
      <c r="J152" t="s">
        <v>91</v>
      </c>
      <c r="K152">
        <v>-1</v>
      </c>
      <c r="L152">
        <v>-1</v>
      </c>
      <c r="M152">
        <v>-1</v>
      </c>
      <c r="O152" s="61" t="s">
        <v>446</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constants'!$H$3:$K$9989,4,FALSE)),""))</f>
        <v>DLC_MORROWIND</v>
      </c>
      <c r="U152" s="3" t="str">
        <f>IF(T152&lt;&gt;"",VLOOKUP(T152,'LibSets constants'!$B$4:$C$1012,2,FALSE),"")</f>
        <v>Morrowind</v>
      </c>
      <c r="V152" s="33" t="s">
        <v>2761</v>
      </c>
      <c r="Y152" s="61"/>
      <c r="Z152" s="3" t="str">
        <f>IF(AND(G152&lt;&gt;"LIBSETS_SETTYPE_BATTLEGROUND",G152&lt;&gt;"LIBSETS_SETTYPE_SPECIAL"),
IF(AND(Y152&lt;&gt;"",ISNUMBER(Y152),NOT(ISNA(Y152))),Y152,
   IF(AND(L152&lt;&gt;"",ISNUMBER(L152),L152&gt;0,NOT(ISNA(L152))),VLOOKUP(L152,'ESO dumped WayshrineInfo'!$K$3:$L$9972,2,FALSE),"")
),"")</f>
        <v/>
      </c>
      <c r="AA152" t="str">
        <f>IF(AND(Z152&lt;&gt;"",ISNUMBER(Z152),NOT(ISNA(Z152))),VLOOKUP(Z152,'ESO zone constants'!$A$5:$D$10001,4,FALSE),"")</f>
        <v/>
      </c>
      <c r="AB152" s="33" t="s">
        <v>3742</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8" t="s">
        <v>2654</v>
      </c>
      <c r="BA152" s="78"/>
      <c r="BB152" s="78"/>
      <c r="BC152" s="78"/>
      <c r="BD152" s="78"/>
      <c r="BE152" s="21" t="str">
        <f t="shared" si="17"/>
        <v>[179] = {wayshrines={-1,-1,-1,}, dlcId=DLC_MORROWIND</v>
      </c>
      <c r="BF152" s="21" t="str">
        <f t="shared" si="18"/>
        <v>, zoneIds={643}, veteran=false</v>
      </c>
      <c r="BG152" s="21" t="str">
        <f t="shared" si="19"/>
        <v>, setType=LIBSETS_SETTYPE_IMPERIALCITY</v>
      </c>
      <c r="BH152" s="21" t="str">
        <f t="shared" si="20"/>
        <v>, isProcSetAllowedInPvP=1, dropMechanic={LIBSETS_DROP_MECHANIC_TELVAR_EQUIPMENT_LOCKBOX_MERCHANT,LIBSETS_DROP_MECHANIC_IMPERIAL_CITY_TREASURE_TROVE_SCAMP}</v>
      </c>
      <c r="BI152" s="21" t="str">
        <f t="shared" si="21"/>
        <v>}, --Black Rose / Schwarze Rose   [Imperial Sewers]</v>
      </c>
    </row>
    <row r="153" spans="1:61" x14ac:dyDescent="0.25">
      <c r="A153" s="12">
        <v>180</v>
      </c>
      <c r="B153" t="s">
        <v>959</v>
      </c>
      <c r="C153" t="s">
        <v>960</v>
      </c>
      <c r="D153" s="3">
        <f t="shared" si="16"/>
        <v>180</v>
      </c>
      <c r="G153" s="8" t="s">
        <v>1474</v>
      </c>
      <c r="I153" t="s">
        <v>91</v>
      </c>
      <c r="J153" t="s">
        <v>91</v>
      </c>
      <c r="K153">
        <v>-1</v>
      </c>
      <c r="L153">
        <v>-1</v>
      </c>
      <c r="M153">
        <v>-1</v>
      </c>
      <c r="O153" s="61" t="s">
        <v>446</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constants'!$H$3:$K$9989,4,FALSE)),""))</f>
        <v>DLC_MORROWIND</v>
      </c>
      <c r="U153" s="3" t="str">
        <f>IF(T153&lt;&gt;"",VLOOKUP(T153,'LibSets constants'!$B$4:$C$1012,2,FALSE),"")</f>
        <v>Morrowind</v>
      </c>
      <c r="V153" s="33" t="s">
        <v>2761</v>
      </c>
      <c r="Y153" s="61"/>
      <c r="Z153" s="3" t="str">
        <f>IF(AND(G153&lt;&gt;"LIBSETS_SETTYPE_BATTLEGROUND",G153&lt;&gt;"LIBSETS_SETTYPE_SPECIAL"),
IF(AND(Y153&lt;&gt;"",ISNUMBER(Y153),NOT(ISNA(Y153))),Y153,
   IF(AND(L153&lt;&gt;"",ISNUMBER(L153),L153&gt;0,NOT(ISNA(L153))),VLOOKUP(L153,'ESO dumped WayshrineInfo'!$K$3:$L$9972,2,FALSE),"")
),"")</f>
        <v/>
      </c>
      <c r="AA153" t="str">
        <f>IF(AND(Z153&lt;&gt;"",ISNUMBER(Z153),NOT(ISNA(Z153))),VLOOKUP(Z153,'ESO zone constants'!$A$5:$D$10001,4,FALSE),"")</f>
        <v/>
      </c>
      <c r="AB153" s="33" t="s">
        <v>3742</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8" t="s">
        <v>2653</v>
      </c>
      <c r="BA153" s="78"/>
      <c r="BB153" s="78"/>
      <c r="BC153" s="78"/>
      <c r="BD153" s="78"/>
      <c r="BE153" s="21" t="str">
        <f t="shared" si="17"/>
        <v>[180] = {wayshrines={-1,-1,-1,}, dlcId=DLC_MORROWIND</v>
      </c>
      <c r="BF153" s="21" t="str">
        <f t="shared" si="18"/>
        <v>, zoneIds={643}, veteran=false</v>
      </c>
      <c r="BG153" s="21" t="str">
        <f t="shared" si="19"/>
        <v>, setType=LIBSETS_SETTYPE_IMPERIALCITY</v>
      </c>
      <c r="BH153" s="21" t="str">
        <f t="shared" si="20"/>
        <v>, dropMechanic={LIBSETS_DROP_MECHANIC_TELVAR_EQUIPMENT_LOCKBOX_MERCHANT,LIBSETS_DROP_MECHANIC_IMPERIAL_CITY_TREASURE_TROVE_SCAMP}</v>
      </c>
      <c r="BI153" s="21" t="str">
        <f t="shared" si="21"/>
        <v>}, --Powerful Assault / Kraftvoller Ansturm   [Imperial Sewers]</v>
      </c>
    </row>
    <row r="154" spans="1:61" x14ac:dyDescent="0.25">
      <c r="A154" s="12">
        <v>181</v>
      </c>
      <c r="B154" t="s">
        <v>961</v>
      </c>
      <c r="C154" t="s">
        <v>962</v>
      </c>
      <c r="D154" s="3">
        <f t="shared" si="16"/>
        <v>181</v>
      </c>
      <c r="G154" s="8" t="s">
        <v>1474</v>
      </c>
      <c r="I154" t="s">
        <v>91</v>
      </c>
      <c r="J154" t="s">
        <v>91</v>
      </c>
      <c r="K154">
        <v>-1</v>
      </c>
      <c r="L154">
        <v>-1</v>
      </c>
      <c r="M154">
        <v>-1</v>
      </c>
      <c r="O154" s="61" t="s">
        <v>446</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constants'!$H$3:$K$9989,4,FALSE)),""))</f>
        <v>DLC_MORROWIND</v>
      </c>
      <c r="U154" s="3" t="str">
        <f>IF(T154&lt;&gt;"",VLOOKUP(T154,'LibSets constants'!$B$4:$C$1012,2,FALSE),"")</f>
        <v>Morrowind</v>
      </c>
      <c r="V154" s="33" t="s">
        <v>2761</v>
      </c>
      <c r="Y154" s="61"/>
      <c r="Z154" s="3" t="str">
        <f>IF(AND(G154&lt;&gt;"LIBSETS_SETTYPE_BATTLEGROUND",G154&lt;&gt;"LIBSETS_SETTYPE_SPECIAL"),
IF(AND(Y154&lt;&gt;"",ISNUMBER(Y154),NOT(ISNA(Y154))),Y154,
   IF(AND(L154&lt;&gt;"",ISNUMBER(L154),L154&gt;0,NOT(ISNA(L154))),VLOOKUP(L154,'ESO dumped WayshrineInfo'!$K$3:$L$9972,2,FALSE),"")
),"")</f>
        <v/>
      </c>
      <c r="AA154" t="str">
        <f>IF(AND(Z154&lt;&gt;"",ISNUMBER(Z154),NOT(ISNA(Z154))),VLOOKUP(Z154,'ESO zone constants'!$A$5:$D$10001,4,FALSE),"")</f>
        <v/>
      </c>
      <c r="AB154" s="33" t="s">
        <v>3742</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8" t="s">
        <v>2653</v>
      </c>
      <c r="BA154" s="78"/>
      <c r="BB154" s="78"/>
      <c r="BC154" s="78"/>
      <c r="BD154" s="78"/>
      <c r="BE154" s="21" t="str">
        <f t="shared" si="17"/>
        <v>[181] = {wayshrines={-1,-1,-1,}, dlcId=DLC_MORROWIND</v>
      </c>
      <c r="BF154" s="21" t="str">
        <f t="shared" si="18"/>
        <v>, zoneIds={643}, veteran=false</v>
      </c>
      <c r="BG154" s="21" t="str">
        <f t="shared" si="19"/>
        <v>, setType=LIBSETS_SETTYPE_IMPERIALCITY</v>
      </c>
      <c r="BH154" s="21" t="str">
        <f t="shared" si="20"/>
        <v>, dropMechanic={LIBSETS_DROP_MECHANIC_TELVAR_EQUIPMENT_LOCKBOX_MERCHANT,LIBSETS_DROP_MECHANIC_IMPERIAL_CITY_TREASURE_TROVE_SCAMP}</v>
      </c>
      <c r="BI154" s="21" t="str">
        <f t="shared" si="21"/>
        <v>}, --Meritorious Service / Meritorischer Dienst   [Imperial Sewers]</v>
      </c>
    </row>
    <row r="155" spans="1:61" x14ac:dyDescent="0.25">
      <c r="A155" s="5">
        <v>183</v>
      </c>
      <c r="B155" t="s">
        <v>14</v>
      </c>
      <c r="C155" t="s">
        <v>14</v>
      </c>
      <c r="D155" s="3">
        <f t="shared" si="16"/>
        <v>183</v>
      </c>
      <c r="G155" s="8" t="s">
        <v>1475</v>
      </c>
      <c r="H155" s="86">
        <v>3</v>
      </c>
      <c r="I155" t="s">
        <v>1462</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constants'!$B$4:$C$1012,2,FALSE),"")</f>
        <v>Imperial City</v>
      </c>
      <c r="V155" s="33" t="s">
        <v>1538</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8" t="s">
        <v>2653</v>
      </c>
      <c r="BA155" s="78"/>
      <c r="BB155" s="78"/>
      <c r="BC155" s="78"/>
      <c r="BD155" s="78"/>
      <c r="BE155" s="21" t="str">
        <f t="shared" si="17"/>
        <v>[183] = {wayshrines={247,247,247,}, dlcId=DLC_IMPERIAL_CITY</v>
      </c>
      <c r="BF155" s="21" t="str">
        <f t="shared" si="18"/>
        <v>, zoneIds={688,181,181}, veteran={[EQUIP_TYPE_HEAD]=true, [EQUIP_TYPE_SHOULDERS]=false}</v>
      </c>
      <c r="BG155" s="21" t="str">
        <f t="shared" si="19"/>
        <v>, setType=LIBSETS_SETTYPE_MONSTER, undauntedChestId=3</v>
      </c>
      <c r="BH155" s="21" t="str">
        <f t="shared" si="20"/>
        <v>, dropMechanic={LIBSETS_DROP_MECHANIC_MONSTER_NAME}, dropMechanicDropLocationNames={['en']={'Molag Kena','','','','','',},['de']={'Molag Kena','','','','','',},}</v>
      </c>
      <c r="BI155" s="21" t="str">
        <f t="shared" si="21"/>
        <v>}, --Molag Kena / Molag Kena   [White-Gold Tower, Cyrodiil, Cyrodiil]</v>
      </c>
    </row>
    <row r="156" spans="1:61" x14ac:dyDescent="0.25">
      <c r="A156" s="12">
        <v>184</v>
      </c>
      <c r="B156" t="s">
        <v>963</v>
      </c>
      <c r="C156" t="s">
        <v>964</v>
      </c>
      <c r="D156" s="3">
        <f t="shared" si="16"/>
        <v>184</v>
      </c>
      <c r="E156" s="40"/>
      <c r="G156" s="8" t="s">
        <v>1473</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constants'!$B$4:$C$1012,2,FALSE),"")</f>
        <v>Imperial City</v>
      </c>
      <c r="V156" s="33" t="s">
        <v>3285</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constants'!$A$5:$D$10001,4,FALSE),"")</f>
        <v>Imperial City</v>
      </c>
      <c r="AB156" s="33" t="s">
        <v>1574</v>
      </c>
      <c r="AC156" s="41"/>
      <c r="AD156" s="41"/>
      <c r="AF156" s="3"/>
      <c r="AG156" t="str">
        <f>IF(AND(AF156&lt;&gt;"",ISNUMBER(AF156),NOT(ISNA(AF156))),VLOOKUP(AF156,'ESO zone constants'!$A$5:$D$10001,4,FALSE),"")</f>
        <v/>
      </c>
      <c r="AH156" s="89"/>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8" t="s">
        <v>2653</v>
      </c>
      <c r="BA156" s="78"/>
      <c r="BB156" s="78"/>
      <c r="BC156" s="78"/>
      <c r="BD156" s="78"/>
      <c r="BE156" s="21" t="str">
        <f t="shared" si="17"/>
        <v>[184] = {wayshrines={247,247,247,}, dlcId=DLC_IMPERIAL_CITY</v>
      </c>
      <c r="BF156" s="21" t="str">
        <f t="shared" si="18"/>
        <v>, zoneIds={688,584}, veteran=false</v>
      </c>
      <c r="BG156" s="21" t="str">
        <f t="shared" si="19"/>
        <v>, setType=LIBSETS_SETTYPE_DUNGEON</v>
      </c>
      <c r="BH156" s="21" t="str">
        <f t="shared" si="20"/>
        <v>, dropMechanic={LIBSETS_DROP_MECHANIC_GROUP_DUNGEON_BOSS,LIBSETS_DROP_MECHANIC_IMPERIAL_CITY_VAULTS}</v>
      </c>
      <c r="BI156" s="21" t="str">
        <f t="shared" si="21"/>
        <v>}, --Brands of Imperium / Male des Kaiserreichs   [White-Gold Tower, Imperial City]</v>
      </c>
    </row>
    <row r="157" spans="1:61" x14ac:dyDescent="0.25">
      <c r="A157" s="12">
        <v>185</v>
      </c>
      <c r="B157" t="s">
        <v>965</v>
      </c>
      <c r="C157" t="s">
        <v>966</v>
      </c>
      <c r="D157" s="3">
        <f t="shared" si="16"/>
        <v>185</v>
      </c>
      <c r="G157" s="8" t="s">
        <v>1473</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constants'!$B$4:$C$1012,2,FALSE),"")</f>
        <v>Imperial City</v>
      </c>
      <c r="V157" s="33" t="s">
        <v>3285</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constants'!$A$5:$D$10001,4,FALSE),"")</f>
        <v>Imperial City</v>
      </c>
      <c r="AB157" s="33" t="s">
        <v>1574</v>
      </c>
      <c r="AC157" s="41"/>
      <c r="AD157" s="41"/>
      <c r="AF157" s="3"/>
      <c r="AG157" t="str">
        <f>IF(AND(AF157&lt;&gt;"",ISNUMBER(AF157),NOT(ISNA(AF157))),VLOOKUP(AF157,'ESO zone constants'!$A$5:$D$10001,4,FALSE),"")</f>
        <v/>
      </c>
      <c r="AH157" s="89"/>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8" t="s">
        <v>2653</v>
      </c>
      <c r="BA157" s="78"/>
      <c r="BB157" s="78"/>
      <c r="BC157" s="78"/>
      <c r="BD157" s="78"/>
      <c r="BE157" s="21" t="str">
        <f t="shared" si="17"/>
        <v>[185] = {wayshrines={247,247,247,}, dlcId=DLC_IMPERIAL_CITY</v>
      </c>
      <c r="BF157" s="21" t="str">
        <f t="shared" si="18"/>
        <v>, zoneIds={688,584}, veteran=false</v>
      </c>
      <c r="BG157" s="21" t="str">
        <f t="shared" si="19"/>
        <v>, setType=LIBSETS_SETTYPE_DUNGEON</v>
      </c>
      <c r="BH157" s="21" t="str">
        <f t="shared" si="20"/>
        <v>, dropMechanic={LIBSETS_DROP_MECHANIC_GROUP_DUNGEON_BOSS,LIBSETS_DROP_MECHANIC_IMPERIAL_CITY_VAULTS}</v>
      </c>
      <c r="BI157" s="21" t="str">
        <f t="shared" si="21"/>
        <v>}, --Spell Power Cure / Magiekraftheilung   [White-Gold Tower, Imperial City]</v>
      </c>
    </row>
    <row r="158" spans="1:61" x14ac:dyDescent="0.25">
      <c r="A158" s="12">
        <v>186</v>
      </c>
      <c r="B158" t="s">
        <v>967</v>
      </c>
      <c r="C158" t="s">
        <v>968</v>
      </c>
      <c r="D158" s="3">
        <f t="shared" si="16"/>
        <v>186</v>
      </c>
      <c r="G158" s="8" t="s">
        <v>1473</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constants'!$B$4:$C$1012,2,FALSE),"")</f>
        <v>Included in base game</v>
      </c>
      <c r="V158" s="33" t="s">
        <v>3285</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8" t="s">
        <v>2653</v>
      </c>
      <c r="BA158" s="78"/>
      <c r="BB158" s="78"/>
      <c r="BC158" s="78"/>
      <c r="BD158" s="78"/>
      <c r="BE158" s="21" t="str">
        <f t="shared" si="17"/>
        <v>[186] = {wayshrines={188,188,188,}, dlcId=DLC_BASE_GAME</v>
      </c>
      <c r="BF158" s="21" t="str">
        <f t="shared" si="18"/>
        <v>, zoneIds={131,58,58}, veteran=false</v>
      </c>
      <c r="BG158" s="21" t="str">
        <f t="shared" si="19"/>
        <v>, setType=LIBSETS_SETTYPE_DUNGEON</v>
      </c>
      <c r="BH158" s="21" t="str">
        <f t="shared" si="20"/>
        <v>, dropMechanic={LIBSETS_DROP_MECHANIC_GROUP_DUNGEON_BOSS}</v>
      </c>
      <c r="BI158" s="21" t="str">
        <f t="shared" si="21"/>
        <v>}, --Jolting Arms / Rüttelnde Rüstung   [Tempest Island, Malabal Tor, Malabal Tor]</v>
      </c>
    </row>
    <row r="159" spans="1:61" x14ac:dyDescent="0.25">
      <c r="A159" s="12">
        <v>187</v>
      </c>
      <c r="B159" t="s">
        <v>969</v>
      </c>
      <c r="C159" t="s">
        <v>970</v>
      </c>
      <c r="D159" s="3">
        <f t="shared" si="16"/>
        <v>187</v>
      </c>
      <c r="G159" s="8" t="s">
        <v>1476</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constants'!$B$4:$C$1012,2,FALSE),"")</f>
        <v>Included in base game</v>
      </c>
      <c r="V159" s="33" t="s">
        <v>1554</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constants'!$A$5:$D$10001,4,FALSE),"")</f>
        <v>Shadowfen</v>
      </c>
      <c r="AB159" s="33" t="s">
        <v>1555</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constants'!$A$5:$D$10001,4,FALSE),"")</f>
        <v>Sanguine's Demesne</v>
      </c>
      <c r="AH159" s="42" t="s">
        <v>1556</v>
      </c>
      <c r="AI159" s="41"/>
      <c r="AJ159" s="41"/>
      <c r="AK159" s="3">
        <f>IF(AND(G159&lt;&gt;"LIBSETS_SETTYPE_BATTLEGROUND",G159&lt;&gt;"LIBSETS_SETTYPE_SPECIAL"),IF(AL159&lt;&gt;"",VLOOKUP(AL159,'ESO zone constants'!$D$5:$H$4955,5,FALSE),""),"")</f>
        <v>117</v>
      </c>
      <c r="AL159" t="s">
        <v>114</v>
      </c>
      <c r="AM159" s="33" t="s">
        <v>1557</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8" t="s">
        <v>2654</v>
      </c>
      <c r="BA159" s="78"/>
      <c r="BB159" s="78"/>
      <c r="BC159" s="78"/>
      <c r="BD159" s="78"/>
      <c r="BE159" s="21" t="str">
        <f t="shared" si="17"/>
        <v>[187] = {wayshrines={48,48,48,}, dlcId=DLC_BASE_GAME</v>
      </c>
      <c r="BF159" s="21" t="str">
        <f t="shared" si="18"/>
        <v>, zoneIds={117,117,134,117}, veteran=false</v>
      </c>
      <c r="BG159" s="21" t="str">
        <f t="shared" si="19"/>
        <v>, setType=LIBSETS_SETTYPE_OVERLAND</v>
      </c>
      <c r="BH159" s="21" t="str">
        <f t="shared" si="20"/>
        <v>, isProcSetAllowedInPvP=1, dropMechanic={LIBSETS_DROP_MECHANIC_OVERLAND_BOSS_DELVE,LIBSETS_DROP_MECHANIC_OVERLAND_WORLDBOSS,LIBSETS_DROP_MECHANIC_OVERLAND_BOSS_PUBLIC_DUNGEON,LIBSETS_DROP_MECHANIC_OVERLAND_CHEST}</v>
      </c>
      <c r="BI159" s="21" t="str">
        <f t="shared" si="21"/>
        <v>}, --Swamp Raider / Sumpfräuber   [Shadowfen, Shadowfen, Sanguine's Demesne, Shadowfen]</v>
      </c>
    </row>
    <row r="160" spans="1:61" x14ac:dyDescent="0.25">
      <c r="A160" s="12">
        <v>188</v>
      </c>
      <c r="B160" t="s">
        <v>971</v>
      </c>
      <c r="C160" t="s">
        <v>972</v>
      </c>
      <c r="D160" s="3">
        <f t="shared" si="16"/>
        <v>188</v>
      </c>
      <c r="G160" s="8" t="s">
        <v>1473</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constants'!$B$4:$C$1012,2,FALSE),"")</f>
        <v>Included in base game</v>
      </c>
      <c r="V160" s="33" t="s">
        <v>3285</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8" t="s">
        <v>2653</v>
      </c>
      <c r="BA160" s="78"/>
      <c r="BB160" s="78"/>
      <c r="BC160" s="78"/>
      <c r="BD160" s="78"/>
      <c r="BE160" s="21" t="str">
        <f t="shared" si="17"/>
        <v>[188] = {wayshrines={188,188,188,}, dlcId=DLC_BASE_GAME</v>
      </c>
      <c r="BF160" s="21" t="str">
        <f t="shared" si="18"/>
        <v>, zoneIds={131,58,58}, veteran=false</v>
      </c>
      <c r="BG160" s="21" t="str">
        <f t="shared" si="19"/>
        <v>, setType=LIBSETS_SETTYPE_DUNGEON</v>
      </c>
      <c r="BH160" s="21" t="str">
        <f t="shared" si="20"/>
        <v>, dropMechanic={LIBSETS_DROP_MECHANIC_GROUP_DUNGEON_BOSS}</v>
      </c>
      <c r="BI160" s="21" t="str">
        <f t="shared" si="21"/>
        <v>}, --Storm Master / Sturmmeister   [Tempest Island, Malabal Tor, Malabal Tor]</v>
      </c>
    </row>
    <row r="161" spans="1:61" x14ac:dyDescent="0.25">
      <c r="A161" s="12">
        <v>190</v>
      </c>
      <c r="B161" t="s">
        <v>973</v>
      </c>
      <c r="C161" t="s">
        <v>974</v>
      </c>
      <c r="D161" s="3">
        <f t="shared" si="16"/>
        <v>190</v>
      </c>
      <c r="G161" s="8" t="s">
        <v>1473</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constants'!$B$4:$C$1012,2,FALSE),"")</f>
        <v>Imperial City</v>
      </c>
      <c r="V161" s="33" t="s">
        <v>3285</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constants'!$A$5:$D$10001,4,FALSE),"")</f>
        <v>Imperial City</v>
      </c>
      <c r="AB161" s="33" t="s">
        <v>1574</v>
      </c>
      <c r="AC161" s="41"/>
      <c r="AD161" s="41"/>
      <c r="AE161" s="41"/>
      <c r="AF161" s="3"/>
      <c r="AG161" t="str">
        <f>IF(AND(AF161&lt;&gt;"",ISNUMBER(AF161),NOT(ISNA(AF161))),VLOOKUP(AF161,'ESO zone constants'!$A$5:$D$10001,4,FALSE),"")</f>
        <v/>
      </c>
      <c r="AH161" s="89"/>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8" t="s">
        <v>2653</v>
      </c>
      <c r="BA161" s="78"/>
      <c r="BB161" s="78"/>
      <c r="BC161" s="78"/>
      <c r="BD161" s="78"/>
      <c r="BE161" s="21" t="str">
        <f t="shared" si="17"/>
        <v>[190] = {wayshrines={236,236,236,}, dlcId=DLC_IMPERIAL_CITY</v>
      </c>
      <c r="BF161" s="21" t="str">
        <f t="shared" si="18"/>
        <v>, zoneIds={678,584}, veteran=false</v>
      </c>
      <c r="BG161" s="21" t="str">
        <f t="shared" si="19"/>
        <v>, setType=LIBSETS_SETTYPE_DUNGEON</v>
      </c>
      <c r="BH161" s="21" t="str">
        <f t="shared" si="20"/>
        <v>, dropMechanic={LIBSETS_DROP_MECHANIC_GROUP_DUNGEON_BOSS,LIBSETS_DROP_MECHANIC_IMPERIAL_CITY_VAULTS}</v>
      </c>
      <c r="BI161" s="21" t="str">
        <f t="shared" si="21"/>
        <v>}, --Scathing Mage / Verletzender Magier   [Imperial City Prison, Imperial City]</v>
      </c>
    </row>
    <row r="162" spans="1:61" x14ac:dyDescent="0.25">
      <c r="A162" s="12">
        <v>193</v>
      </c>
      <c r="B162" t="s">
        <v>975</v>
      </c>
      <c r="C162" t="s">
        <v>976</v>
      </c>
      <c r="D162" s="3">
        <f t="shared" si="16"/>
        <v>193</v>
      </c>
      <c r="G162" s="8" t="s">
        <v>1473</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constants'!$B$4:$C$1012,2,FALSE),"")</f>
        <v>Included in base game</v>
      </c>
      <c r="V162" s="33" t="s">
        <v>3285</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8" t="s">
        <v>2653</v>
      </c>
      <c r="BA162" s="78"/>
      <c r="BB162" s="78"/>
      <c r="BC162" s="78"/>
      <c r="BD162" s="78"/>
      <c r="BE162" s="21" t="str">
        <f t="shared" si="17"/>
        <v>[193] = {wayshrines={188,188,188,}, dlcId=DLC_BASE_GAME</v>
      </c>
      <c r="BF162" s="21" t="str">
        <f t="shared" si="18"/>
        <v>, zoneIds={131,58,58}, veteran=false</v>
      </c>
      <c r="BG162" s="21" t="str">
        <f t="shared" si="19"/>
        <v>, setType=LIBSETS_SETTYPE_DUNGEON</v>
      </c>
      <c r="BH162" s="21" t="str">
        <f t="shared" si="20"/>
        <v>, dropMechanic={LIBSETS_DROP_MECHANIC_GROUP_DUNGEON_BOSS}</v>
      </c>
      <c r="BI162" s="21" t="str">
        <f t="shared" si="21"/>
        <v>}, --Overwhelming Surge / Überwältigende Woge   [Tempest Island, Malabal Tor, Malabal Tor]</v>
      </c>
    </row>
    <row r="163" spans="1:61" x14ac:dyDescent="0.25">
      <c r="A163" s="12">
        <v>194</v>
      </c>
      <c r="B163" t="s">
        <v>977</v>
      </c>
      <c r="C163" t="s">
        <v>978</v>
      </c>
      <c r="D163" s="3">
        <f t="shared" si="16"/>
        <v>194</v>
      </c>
      <c r="G163" s="8" t="s">
        <v>1473</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constants'!$B$4:$C$1012,2,FALSE),"")</f>
        <v>Included in base game</v>
      </c>
      <c r="V163" s="33" t="s">
        <v>3285</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constants'!$A$5:$D$10001,4,FALSE),"")</f>
        <v>Wayrest Sewers II</v>
      </c>
      <c r="AB163" s="33" t="s">
        <v>3285</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constants'!$A$5:$D$10001,4,FALSE),"")</f>
        <v>Stormhaven</v>
      </c>
      <c r="AH163" s="89"/>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8" t="s">
        <v>2653</v>
      </c>
      <c r="BA163" s="78"/>
      <c r="BB163" s="78"/>
      <c r="BC163" s="78"/>
      <c r="BD163" s="78"/>
      <c r="BE163" s="21" t="str">
        <f t="shared" si="17"/>
        <v>[194] = {wayshrines={189,189,189,}, dlcId=DLC_BASE_GAME</v>
      </c>
      <c r="BF163" s="21" t="str">
        <f t="shared" si="18"/>
        <v>, zoneIds={146,933,19}, veteran=false</v>
      </c>
      <c r="BG163" s="21" t="str">
        <f t="shared" si="19"/>
        <v>, setType=LIBSETS_SETTYPE_DUNGEON</v>
      </c>
      <c r="BH163" s="21" t="str">
        <f t="shared" si="20"/>
        <v>, dropMechanic={LIBSETS_DROP_MECHANIC_GROUP_DUNGEON_BOSS,LIBSETS_DROP_MECHANIC_GROUP_DUNGEON_BOSS}</v>
      </c>
      <c r="BI163" s="21" t="str">
        <f t="shared" si="21"/>
        <v>}, --Combat Physician / Feldarzt   [Wayrest Sewers I, Wayrest Sewers II, Stormhaven]</v>
      </c>
    </row>
    <row r="164" spans="1:61" x14ac:dyDescent="0.25">
      <c r="A164" s="12">
        <v>195</v>
      </c>
      <c r="B164" t="s">
        <v>979</v>
      </c>
      <c r="C164" t="s">
        <v>980</v>
      </c>
      <c r="D164" s="3">
        <f t="shared" si="16"/>
        <v>195</v>
      </c>
      <c r="G164" s="8" t="s">
        <v>1473</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constants'!$B$4:$C$1012,2,FALSE),"")</f>
        <v>Imperial City</v>
      </c>
      <c r="V164" s="33" t="s">
        <v>3285</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constants'!$A$5:$D$10001,4,FALSE),"")</f>
        <v>Imperial City</v>
      </c>
      <c r="AB164" s="33" t="s">
        <v>1574</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8" t="s">
        <v>2653</v>
      </c>
      <c r="BA164" s="78"/>
      <c r="BB164" s="78"/>
      <c r="BC164" s="78"/>
      <c r="BD164" s="78"/>
      <c r="BE164" s="21" t="str">
        <f t="shared" si="17"/>
        <v>[195] = {wayshrines={236,236,236,}, dlcId=DLC_IMPERIAL_CITY</v>
      </c>
      <c r="BF164" s="21" t="str">
        <f t="shared" si="18"/>
        <v>, zoneIds={678,584}, veteran=false</v>
      </c>
      <c r="BG164" s="21" t="str">
        <f t="shared" si="19"/>
        <v>, setType=LIBSETS_SETTYPE_DUNGEON</v>
      </c>
      <c r="BH164" s="21" t="str">
        <f t="shared" si="20"/>
        <v>, dropMechanic={LIBSETS_DROP_MECHANIC_GROUP_DUNGEON_BOSS,LIBSETS_DROP_MECHANIC_IMPERIAL_CITY_VAULTS}</v>
      </c>
      <c r="BI164" s="21" t="str">
        <f t="shared" si="21"/>
        <v>}, --Sheer Venom / Reingift   [Imperial City Prison, Imperial City]</v>
      </c>
    </row>
    <row r="165" spans="1:61" x14ac:dyDescent="0.25">
      <c r="A165" s="12">
        <v>196</v>
      </c>
      <c r="B165" t="s">
        <v>981</v>
      </c>
      <c r="C165" t="s">
        <v>982</v>
      </c>
      <c r="D165" s="3">
        <f t="shared" si="16"/>
        <v>196</v>
      </c>
      <c r="G165" s="8" t="s">
        <v>1473</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constants'!$B$4:$C$1012,2,FALSE),"")</f>
        <v>Imperial City</v>
      </c>
      <c r="V165" s="33" t="s">
        <v>3285</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constants'!$A$5:$D$10001,4,FALSE),"")</f>
        <v>Imperial City</v>
      </c>
      <c r="AB165" s="33" t="s">
        <v>1574</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8" t="s">
        <v>2653</v>
      </c>
      <c r="BA165" s="78"/>
      <c r="BB165" s="78"/>
      <c r="BC165" s="78"/>
      <c r="BD165" s="78"/>
      <c r="BE165" s="21" t="str">
        <f t="shared" si="17"/>
        <v>[196] = {wayshrines={236,236,236,}, dlcId=DLC_IMPERIAL_CITY</v>
      </c>
      <c r="BF165" s="21" t="str">
        <f t="shared" si="18"/>
        <v>, zoneIds={678,584}, veteran=false</v>
      </c>
      <c r="BG165" s="21" t="str">
        <f t="shared" si="19"/>
        <v>, setType=LIBSETS_SETTYPE_DUNGEON</v>
      </c>
      <c r="BH165" s="21" t="str">
        <f t="shared" si="20"/>
        <v>, dropMechanic={LIBSETS_DROP_MECHANIC_GROUP_DUNGEON_BOSS,LIBSETS_DROP_MECHANIC_IMPERIAL_CITY_VAULTS}</v>
      </c>
      <c r="BI165" s="21" t="str">
        <f t="shared" si="21"/>
        <v>}, --Leeching Plate / Auslaugende Rüstung   [Imperial City Prison, Imperial City]</v>
      </c>
    </row>
    <row r="166" spans="1:61" x14ac:dyDescent="0.25">
      <c r="A166" s="12">
        <v>197</v>
      </c>
      <c r="B166" t="s">
        <v>983</v>
      </c>
      <c r="C166" t="s">
        <v>984</v>
      </c>
      <c r="D166" s="3">
        <f t="shared" si="16"/>
        <v>197</v>
      </c>
      <c r="G166" s="8" t="s">
        <v>1473</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constants'!$B$4:$C$1012,2,FALSE),"")</f>
        <v>Included in base game</v>
      </c>
      <c r="V166" s="33" t="s">
        <v>3285</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constants'!$A$5:$D$10001,4,FALSE),"")</f>
        <v>The Banished Cells II</v>
      </c>
      <c r="AB166" s="33" t="s">
        <v>3285</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constants'!$A$5:$D$10001,4,FALSE),"")</f>
        <v>Auridon</v>
      </c>
      <c r="AH166" s="89"/>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8" t="s">
        <v>2653</v>
      </c>
      <c r="BA166" s="78"/>
      <c r="BB166" s="78"/>
      <c r="BC166" s="78"/>
      <c r="BD166" s="78"/>
      <c r="BE166" s="21" t="str">
        <f t="shared" si="17"/>
        <v>[197] = {wayshrines={194,194,194,}, dlcId=DLC_BASE_GAME</v>
      </c>
      <c r="BF166" s="21" t="str">
        <f t="shared" si="18"/>
        <v>, zoneIds={380,935,381}, veteran=false</v>
      </c>
      <c r="BG166" s="21" t="str">
        <f t="shared" si="19"/>
        <v>, setType=LIBSETS_SETTYPE_DUNGEON</v>
      </c>
      <c r="BH166" s="21" t="str">
        <f t="shared" si="20"/>
        <v>, dropMechanic={LIBSETS_DROP_MECHANIC_GROUP_DUNGEON_BOSS,LIBSETS_DROP_MECHANIC_GROUP_DUNGEON_BOSS}</v>
      </c>
      <c r="BI166" s="21" t="str">
        <f t="shared" si="21"/>
        <v>}, --Tormentor / Quälender   [The Banished Cells I, The Banished Cells II, Auridon]</v>
      </c>
    </row>
    <row r="167" spans="1:61" x14ac:dyDescent="0.25">
      <c r="A167" s="12">
        <v>198</v>
      </c>
      <c r="B167" t="s">
        <v>985</v>
      </c>
      <c r="C167" t="s">
        <v>986</v>
      </c>
      <c r="D167" s="3">
        <f t="shared" si="16"/>
        <v>198</v>
      </c>
      <c r="G167" s="8" t="s">
        <v>1473</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constants'!$B$4:$C$1012,2,FALSE),"")</f>
        <v>Imperial City</v>
      </c>
      <c r="V167" s="33" t="s">
        <v>3285</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constants'!$A$5:$D$10001,4,FALSE),"")</f>
        <v>Imperial City</v>
      </c>
      <c r="AB167" s="33" t="s">
        <v>1574</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8" t="s">
        <v>2653</v>
      </c>
      <c r="BA167" s="78"/>
      <c r="BB167" s="78"/>
      <c r="BC167" s="78"/>
      <c r="BD167" s="78"/>
      <c r="BE167" s="21" t="str">
        <f t="shared" si="17"/>
        <v>[198] = {wayshrines={247,247,247,}, dlcId=DLC_IMPERIAL_CITY</v>
      </c>
      <c r="BF167" s="21" t="str">
        <f t="shared" si="18"/>
        <v>, zoneIds={688,584}, veteran=false</v>
      </c>
      <c r="BG167" s="21" t="str">
        <f t="shared" si="19"/>
        <v>, setType=LIBSETS_SETTYPE_DUNGEON</v>
      </c>
      <c r="BH167" s="21" t="str">
        <f t="shared" si="20"/>
        <v>, dropMechanic={LIBSETS_DROP_MECHANIC_GROUP_DUNGEON_BOSS,LIBSETS_DROP_MECHANIC_IMPERIAL_CITY_VAULTS}</v>
      </c>
      <c r="BI167" s="21" t="str">
        <f t="shared" si="21"/>
        <v>}, --Essence Thief / Essenzdieb   [White-Gold Tower, Imperial City]</v>
      </c>
    </row>
    <row r="168" spans="1:61" x14ac:dyDescent="0.25">
      <c r="A168" s="12">
        <v>199</v>
      </c>
      <c r="B168" t="s">
        <v>987</v>
      </c>
      <c r="C168" t="s">
        <v>988</v>
      </c>
      <c r="D168" s="3">
        <f t="shared" si="16"/>
        <v>199</v>
      </c>
      <c r="G168" s="8" t="s">
        <v>1474</v>
      </c>
      <c r="I168" t="s">
        <v>91</v>
      </c>
      <c r="J168" t="s">
        <v>91</v>
      </c>
      <c r="K168">
        <v>-1</v>
      </c>
      <c r="L168">
        <v>-1</v>
      </c>
      <c r="M168">
        <v>-1</v>
      </c>
      <c r="O168" s="61" t="s">
        <v>446</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constants'!$H$3:$K$9989,4,FALSE)),""))</f>
        <v>DLC_MORROWIND</v>
      </c>
      <c r="U168" s="3" t="str">
        <f>IF(T168&lt;&gt;"",VLOOKUP(T168,'LibSets constants'!$B$4:$C$1012,2,FALSE),"")</f>
        <v>Morrowind</v>
      </c>
      <c r="V168" s="33" t="s">
        <v>2761</v>
      </c>
      <c r="Y168" s="61"/>
      <c r="Z168" s="3" t="str">
        <f>IF(AND(G168&lt;&gt;"LIBSETS_SETTYPE_BATTLEGROUND",G168&lt;&gt;"LIBSETS_SETTYPE_SPECIAL"),
IF(AND(Y168&lt;&gt;"",ISNUMBER(Y168),NOT(ISNA(Y168))),Y168,
   IF(AND(L168&lt;&gt;"",ISNUMBER(L168),L168&gt;0,NOT(ISNA(L168))),VLOOKUP(L168,'ESO dumped WayshrineInfo'!$K$3:$L$9972,2,FALSE),"")
),"")</f>
        <v/>
      </c>
      <c r="AA168" t="str">
        <f>IF(AND(Z168&lt;&gt;"",ISNUMBER(Z168),NOT(ISNA(Z168))),VLOOKUP(Z168,'ESO zone constants'!$A$5:$D$10001,4,FALSE),"")</f>
        <v/>
      </c>
      <c r="AB168" s="33" t="s">
        <v>3742</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8" t="s">
        <v>2654</v>
      </c>
      <c r="BA168" s="78"/>
      <c r="BB168" s="78"/>
      <c r="BC168" s="78"/>
      <c r="BD168" s="78"/>
      <c r="BE168" s="21" t="str">
        <f t="shared" si="17"/>
        <v>[199] = {wayshrines={-1,-1,-1,}, dlcId=DLC_MORROWIND</v>
      </c>
      <c r="BF168" s="21" t="str">
        <f t="shared" si="18"/>
        <v>, zoneIds={643}, veteran=false</v>
      </c>
      <c r="BG168" s="21" t="str">
        <f t="shared" si="19"/>
        <v>, setType=LIBSETS_SETTYPE_IMPERIALCITY</v>
      </c>
      <c r="BH168" s="21" t="str">
        <f t="shared" si="20"/>
        <v>, isProcSetAllowedInPvP=1, dropMechanic={LIBSETS_DROP_MECHANIC_TELVAR_EQUIPMENT_LOCKBOX_MERCHANT,LIBSETS_DROP_MECHANIC_IMPERIAL_CITY_TREASURE_TROVE_SCAMP}</v>
      </c>
      <c r="BI168" s="21" t="str">
        <f t="shared" si="21"/>
        <v>}, --Shield Breaker / Schildbrecher   [Imperial Sewers]</v>
      </c>
    </row>
    <row r="169" spans="1:61" x14ac:dyDescent="0.25">
      <c r="A169" s="12">
        <v>200</v>
      </c>
      <c r="B169" t="s">
        <v>989</v>
      </c>
      <c r="C169" t="s">
        <v>990</v>
      </c>
      <c r="D169" s="3">
        <f t="shared" si="16"/>
        <v>200</v>
      </c>
      <c r="G169" s="8" t="s">
        <v>1474</v>
      </c>
      <c r="I169" t="s">
        <v>91</v>
      </c>
      <c r="J169" t="s">
        <v>91</v>
      </c>
      <c r="K169">
        <v>-1</v>
      </c>
      <c r="L169">
        <v>-1</v>
      </c>
      <c r="M169">
        <v>-1</v>
      </c>
      <c r="O169" s="61" t="s">
        <v>446</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constants'!$H$3:$K$9989,4,FALSE)),""))</f>
        <v>DLC_MORROWIND</v>
      </c>
      <c r="U169" s="3" t="str">
        <f>IF(T169&lt;&gt;"",VLOOKUP(T169,'LibSets constants'!$B$4:$C$1012,2,FALSE),"")</f>
        <v>Morrowind</v>
      </c>
      <c r="V169" s="33" t="s">
        <v>2761</v>
      </c>
      <c r="Y169" s="61"/>
      <c r="Z169" s="3" t="str">
        <f>IF(AND(G169&lt;&gt;"LIBSETS_SETTYPE_BATTLEGROUND",G169&lt;&gt;"LIBSETS_SETTYPE_SPECIAL"),
IF(AND(Y169&lt;&gt;"",ISNUMBER(Y169),NOT(ISNA(Y169))),Y169,
   IF(AND(L169&lt;&gt;"",ISNUMBER(L169),L169&gt;0,NOT(ISNA(L169))),VLOOKUP(L169,'ESO dumped WayshrineInfo'!$K$3:$L$9972,2,FALSE),"")
),"")</f>
        <v/>
      </c>
      <c r="AA169" t="str">
        <f>IF(AND(Z169&lt;&gt;"",ISNUMBER(Z169),NOT(ISNA(Z169))),VLOOKUP(Z169,'ESO zone constants'!$A$5:$D$10001,4,FALSE),"")</f>
        <v/>
      </c>
      <c r="AB169" s="33" t="s">
        <v>3742</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8" t="s">
        <v>2653</v>
      </c>
      <c r="BA169" s="78"/>
      <c r="BB169" s="78"/>
      <c r="BC169" s="78"/>
      <c r="BD169" s="78"/>
      <c r="BE169" s="21" t="str">
        <f t="shared" si="17"/>
        <v>[200] = {wayshrines={-1,-1,-1,}, dlcId=DLC_MORROWIND</v>
      </c>
      <c r="BF169" s="21" t="str">
        <f t="shared" si="18"/>
        <v>, zoneIds={643}, veteran=false</v>
      </c>
      <c r="BG169" s="21" t="str">
        <f t="shared" si="19"/>
        <v>, setType=LIBSETS_SETTYPE_IMPERIALCITY</v>
      </c>
      <c r="BH169" s="21" t="str">
        <f t="shared" si="20"/>
        <v>, dropMechanic={LIBSETS_DROP_MECHANIC_TELVAR_EQUIPMENT_LOCKBOX_MERCHANT,LIBSETS_DROP_MECHANIC_IMPERIAL_CITY_TREASURE_TROVE_SCAMP}</v>
      </c>
      <c r="BI169" s="21" t="str">
        <f t="shared" si="21"/>
        <v>}, --Phoenix / Phönix   [Imperial Sewers]</v>
      </c>
    </row>
    <row r="170" spans="1:61" x14ac:dyDescent="0.25">
      <c r="A170" s="12">
        <v>201</v>
      </c>
      <c r="B170" t="s">
        <v>991</v>
      </c>
      <c r="C170" t="s">
        <v>992</v>
      </c>
      <c r="D170" s="3">
        <f t="shared" si="16"/>
        <v>201</v>
      </c>
      <c r="G170" s="8" t="s">
        <v>1474</v>
      </c>
      <c r="I170" t="s">
        <v>91</v>
      </c>
      <c r="J170" t="s">
        <v>91</v>
      </c>
      <c r="K170">
        <v>-1</v>
      </c>
      <c r="L170">
        <v>-1</v>
      </c>
      <c r="M170">
        <v>-1</v>
      </c>
      <c r="O170" s="61" t="s">
        <v>446</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constants'!$H$3:$K$9989,4,FALSE)),""))</f>
        <v>DLC_MORROWIND</v>
      </c>
      <c r="U170" s="3" t="str">
        <f>IF(T170&lt;&gt;"",VLOOKUP(T170,'LibSets constants'!$B$4:$C$1012,2,FALSE),"")</f>
        <v>Morrowind</v>
      </c>
      <c r="V170" s="33" t="s">
        <v>2761</v>
      </c>
      <c r="Y170" s="61"/>
      <c r="Z170" s="3" t="str">
        <f>IF(AND(G170&lt;&gt;"LIBSETS_SETTYPE_BATTLEGROUND",G170&lt;&gt;"LIBSETS_SETTYPE_SPECIAL"),
IF(AND(Y170&lt;&gt;"",ISNUMBER(Y170),NOT(ISNA(Y170))),Y170,
   IF(AND(L170&lt;&gt;"",ISNUMBER(L170),L170&gt;0,NOT(ISNA(L170))),VLOOKUP(L170,'ESO dumped WayshrineInfo'!$K$3:$L$9972,2,FALSE),"")
),"")</f>
        <v/>
      </c>
      <c r="AA170" t="str">
        <f>IF(AND(Z170&lt;&gt;"",ISNUMBER(Z170),NOT(ISNA(Z170))),VLOOKUP(Z170,'ESO zone constants'!$A$5:$D$10001,4,FALSE),"")</f>
        <v/>
      </c>
      <c r="AB170" s="33" t="s">
        <v>3742</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8" t="s">
        <v>2653</v>
      </c>
      <c r="BA170" s="78"/>
      <c r="BB170" s="78"/>
      <c r="BC170" s="78"/>
      <c r="BD170" s="78"/>
      <c r="BE170" s="21" t="str">
        <f t="shared" si="17"/>
        <v>[201] = {wayshrines={-1,-1,-1,}, dlcId=DLC_MORROWIND</v>
      </c>
      <c r="BF170" s="21" t="str">
        <f t="shared" si="18"/>
        <v>, zoneIds={643}, veteran=false</v>
      </c>
      <c r="BG170" s="21" t="str">
        <f t="shared" si="19"/>
        <v>, setType=LIBSETS_SETTYPE_IMPERIALCITY</v>
      </c>
      <c r="BH170" s="21" t="str">
        <f t="shared" si="20"/>
        <v>, dropMechanic={LIBSETS_DROP_MECHANIC_TELVAR_EQUIPMENT_LOCKBOX_MERCHANT,LIBSETS_DROP_MECHANIC_IMPERIAL_CITY_TREASURE_TROVE_SCAMP}</v>
      </c>
      <c r="BI170" s="21" t="str">
        <f t="shared" si="21"/>
        <v>}, --Reactive Armor / Reaktive Rüstung   [Imperial Sewers]</v>
      </c>
    </row>
    <row r="171" spans="1:61" x14ac:dyDescent="0.25">
      <c r="A171" s="12">
        <v>204</v>
      </c>
      <c r="B171" t="s">
        <v>993</v>
      </c>
      <c r="C171" t="s">
        <v>994</v>
      </c>
      <c r="D171" s="3">
        <f t="shared" si="16"/>
        <v>204</v>
      </c>
      <c r="G171" s="8" t="s">
        <v>1472</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constants'!$B$4:$C$1012,2,FALSE),"")</f>
        <v>Included in base game</v>
      </c>
      <c r="V171" s="33" t="s">
        <v>1574</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constants'!$A$5:$D$10001,4,FALSE),"")</f>
        <v/>
      </c>
      <c r="AB171" s="33" t="s">
        <v>1571</v>
      </c>
      <c r="AC171" s="3" t="s">
        <v>3290</v>
      </c>
      <c r="AD171" s="3" t="s">
        <v>3291</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8" t="s">
        <v>2654</v>
      </c>
      <c r="BA171" s="78"/>
      <c r="BB171" s="78"/>
      <c r="BC171" s="78"/>
      <c r="BD171" s="78"/>
      <c r="BE171" s="21" t="str">
        <f t="shared" si="17"/>
        <v>[204] = {wayshrines={-1,-1,-1,}, dlcId=DLC_BASE_GAME</v>
      </c>
      <c r="BF171" s="21" t="str">
        <f t="shared" si="18"/>
        <v>, zoneIds={584}, veteran=false</v>
      </c>
      <c r="BG171" s="21" t="str">
        <f t="shared" si="19"/>
        <v>, setType=LIBSETS_SETTYPE_DAILYRANDOMDUNGEONANDICREWARD</v>
      </c>
      <c r="BH171" s="21" t="str">
        <f t="shared" si="20"/>
        <v>, isProcSetAllowedInPvP=1, dropMechanic={LIBSETS_DROP_MECHANIC_IMPERIAL_CITY_VAULTS,LIBSETS_DROP_MECHANIC_MAIL_DAILY_RANDOM_DUNGEON_REWARD}, dropMechanicDropLocationNames={['en']={'','By mail','','','','',},['de']={'','Durch Nachricht','','','','',},}</v>
      </c>
      <c r="BI171" s="21" t="str">
        <f t="shared" si="21"/>
        <v>}, --Endurance / Beständigkeit   [Imperial City]</v>
      </c>
    </row>
    <row r="172" spans="1:61" x14ac:dyDescent="0.25">
      <c r="A172" s="12">
        <v>205</v>
      </c>
      <c r="B172" t="s">
        <v>995</v>
      </c>
      <c r="C172" t="s">
        <v>996</v>
      </c>
      <c r="D172" s="3">
        <f t="shared" si="16"/>
        <v>205</v>
      </c>
      <c r="G172" s="8" t="s">
        <v>1472</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constants'!$B$4:$C$1012,2,FALSE),"")</f>
        <v>Included in base game</v>
      </c>
      <c r="V172" s="33" t="s">
        <v>1574</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constants'!$A$5:$D$10001,4,FALSE),"")</f>
        <v/>
      </c>
      <c r="AB172" s="33" t="s">
        <v>1571</v>
      </c>
      <c r="AC172" s="3" t="s">
        <v>3290</v>
      </c>
      <c r="AD172" s="3" t="s">
        <v>3291</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8" t="s">
        <v>2654</v>
      </c>
      <c r="BA172" s="78"/>
      <c r="BB172" s="78"/>
      <c r="BC172" s="78"/>
      <c r="BD172" s="78"/>
      <c r="BE172" s="21" t="str">
        <f t="shared" si="17"/>
        <v>[205] = {wayshrines={-1,-1,-1,}, dlcId=DLC_BASE_GAME</v>
      </c>
      <c r="BF172" s="21" t="str">
        <f t="shared" si="18"/>
        <v>, zoneIds={584}, veteran=false</v>
      </c>
      <c r="BG172" s="21" t="str">
        <f t="shared" si="19"/>
        <v>, setType=LIBSETS_SETTYPE_DAILYRANDOMDUNGEONANDICREWARD</v>
      </c>
      <c r="BH172" s="21" t="str">
        <f t="shared" si="20"/>
        <v>, isProcSetAllowedInPvP=1, dropMechanic={LIBSETS_DROP_MECHANIC_IMPERIAL_CITY_VAULTS,LIBSETS_DROP_MECHANIC_MAIL_DAILY_RANDOM_DUNGEON_REWARD}, dropMechanicDropLocationNames={['en']={'','By mail','','','','',},['de']={'','Durch Nachricht','','','','',},}</v>
      </c>
      <c r="BI172" s="21" t="str">
        <f t="shared" si="21"/>
        <v>}, --Willpower / Willenskraft   [Imperial City]</v>
      </c>
    </row>
    <row r="173" spans="1:61" x14ac:dyDescent="0.25">
      <c r="A173" s="12">
        <v>206</v>
      </c>
      <c r="B173" t="s">
        <v>997</v>
      </c>
      <c r="C173" t="s">
        <v>998</v>
      </c>
      <c r="D173" s="3">
        <f t="shared" si="16"/>
        <v>206</v>
      </c>
      <c r="G173" s="8" t="s">
        <v>1472</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constants'!$B$4:$C$1012,2,FALSE),"")</f>
        <v>Included in base game</v>
      </c>
      <c r="V173" s="33" t="s">
        <v>1574</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constants'!$A$5:$D$10001,4,FALSE),"")</f>
        <v/>
      </c>
      <c r="AB173" s="33" t="s">
        <v>1571</v>
      </c>
      <c r="AC173" s="3" t="s">
        <v>3290</v>
      </c>
      <c r="AD173" s="3" t="s">
        <v>3291</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8" t="s">
        <v>2654</v>
      </c>
      <c r="BA173" s="78"/>
      <c r="BB173" s="78"/>
      <c r="BC173" s="78"/>
      <c r="BD173" s="78"/>
      <c r="BE173" s="21" t="str">
        <f t="shared" si="17"/>
        <v>[206] = {wayshrines={-1,-1,-1,}, dlcId=DLC_BASE_GAME</v>
      </c>
      <c r="BF173" s="21" t="str">
        <f t="shared" si="18"/>
        <v>, zoneIds={584}, veteran=false</v>
      </c>
      <c r="BG173" s="21" t="str">
        <f t="shared" si="19"/>
        <v>, setType=LIBSETS_SETTYPE_DAILYRANDOMDUNGEONANDICREWARD</v>
      </c>
      <c r="BH173" s="21" t="str">
        <f t="shared" si="20"/>
        <v>, isProcSetAllowedInPvP=1, dropMechanic={LIBSETS_DROP_MECHANIC_IMPERIAL_CITY_VAULTS,LIBSETS_DROP_MECHANIC_MAIL_DAILY_RANDOM_DUNGEON_REWARD}, dropMechanicDropLocationNames={['en']={'','By mail','','','','',},['de']={'','Durch Nachricht','','','','',},}</v>
      </c>
      <c r="BI173" s="21" t="str">
        <f t="shared" si="21"/>
        <v>}, --Agility / Agilität   [Imperial City]</v>
      </c>
    </row>
    <row r="174" spans="1:61" x14ac:dyDescent="0.25">
      <c r="A174" s="5">
        <v>207</v>
      </c>
      <c r="B174" t="s">
        <v>999</v>
      </c>
      <c r="C174" t="s">
        <v>1000</v>
      </c>
      <c r="D174" s="3">
        <f t="shared" si="16"/>
        <v>207</v>
      </c>
      <c r="G174" s="8" t="s">
        <v>1470</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constants'!$H$3:$K$9989,4,FALSE)),""))</f>
        <v>DLC_SUMMERSET</v>
      </c>
      <c r="U174" s="3" t="str">
        <f>IF(T174&lt;&gt;"",VLOOKUP(T174,'LibSets constants'!$B$4:$C$1012,2,FALSE),"")</f>
        <v>Summerset</v>
      </c>
      <c r="V174" s="33" t="s">
        <v>3288</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constants'!$A$5:$D$10001,4,FALSE),"")</f>
        <v>Wrothgar</v>
      </c>
      <c r="AB174" s="33" t="s">
        <v>3288</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8" t="s">
        <v>2654</v>
      </c>
      <c r="BA174" s="78"/>
      <c r="BB174" s="78"/>
      <c r="BC174" s="78"/>
      <c r="BD174" s="78"/>
      <c r="BE174" s="21" t="str">
        <f t="shared" si="17"/>
        <v>[207] = {wayshrines={241,241,241,}, traitsNeeded=6, dlcId=DLC_SUMMERSET</v>
      </c>
      <c r="BF174" s="21" t="str">
        <f t="shared" si="18"/>
        <v>, zoneIds={684,684,684}, veteran=false</v>
      </c>
      <c r="BG174" s="21" t="str">
        <f t="shared" si="19"/>
        <v>, setType=LIBSETS_SETTYPE_CRAFTED</v>
      </c>
      <c r="BH174" s="21" t="str">
        <f t="shared" si="20"/>
        <v>, isProcSetAllowedInPvP=1, dropMechanic={LIBSETS_DROP_MECHANIC_CRAFTED,LIBSETS_DROP_MECHANIC_CRAFTED}</v>
      </c>
      <c r="BI174" s="21" t="str">
        <f t="shared" si="21"/>
        <v>}, --Law of Julianos / Gesetz von Julianos   [Wrothgar, Wrothgar, Wrothgar]</v>
      </c>
    </row>
    <row r="175" spans="1:61" x14ac:dyDescent="0.25">
      <c r="A175" s="5">
        <v>208</v>
      </c>
      <c r="B175" t="s">
        <v>1001</v>
      </c>
      <c r="C175" t="s">
        <v>1002</v>
      </c>
      <c r="D175" s="3">
        <f t="shared" si="16"/>
        <v>208</v>
      </c>
      <c r="G175" s="8" t="s">
        <v>1470</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constants'!$H$3:$K$9989,4,FALSE)),""))</f>
        <v>DLC_SUMMERSET</v>
      </c>
      <c r="U175" s="3" t="str">
        <f>IF(T175&lt;&gt;"",VLOOKUP(T175,'LibSets constants'!$B$4:$C$1012,2,FALSE),"")</f>
        <v>Summerset</v>
      </c>
      <c r="V175" s="33" t="s">
        <v>3288</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constants'!$A$5:$D$10001,4,FALSE),"")</f>
        <v>Wrothgar</v>
      </c>
      <c r="AB175" s="33" t="s">
        <v>3288</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8" t="s">
        <v>2654</v>
      </c>
      <c r="BA175" s="78"/>
      <c r="BB175" s="78"/>
      <c r="BC175" s="78"/>
      <c r="BD175" s="78"/>
      <c r="BE175" s="21" t="str">
        <f t="shared" si="17"/>
        <v>[208] = {wayshrines={237,237,237,}, traitsNeeded=3, dlcId=DLC_SUMMERSET</v>
      </c>
      <c r="BF175" s="21" t="str">
        <f t="shared" si="18"/>
        <v>, zoneIds={684,684,684}, veteran=false</v>
      </c>
      <c r="BG175" s="21" t="str">
        <f t="shared" si="19"/>
        <v>, setType=LIBSETS_SETTYPE_CRAFTED</v>
      </c>
      <c r="BH175" s="21" t="str">
        <f t="shared" si="20"/>
        <v>, isProcSetAllowedInPvP=1, dropMechanic={LIBSETS_DROP_MECHANIC_CRAFTED,LIBSETS_DROP_MECHANIC_CRAFTED}</v>
      </c>
      <c r="BI175" s="21" t="str">
        <f t="shared" si="21"/>
        <v>}, --Trial by Fire / Feuertaufe   [Wrothgar, Wrothgar, Wrothgar]</v>
      </c>
    </row>
    <row r="176" spans="1:61" s="14" customFormat="1" x14ac:dyDescent="0.25">
      <c r="A176" s="24">
        <v>209</v>
      </c>
      <c r="B176" s="14" t="s">
        <v>1003</v>
      </c>
      <c r="C176" t="s">
        <v>1003</v>
      </c>
      <c r="D176" s="25">
        <f t="shared" si="16"/>
        <v>209</v>
      </c>
      <c r="E176" s="90" t="s">
        <v>1460</v>
      </c>
      <c r="F176" s="14" t="s">
        <v>1460</v>
      </c>
      <c r="G176" s="27" t="s">
        <v>1470</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constants'!$B$4:$C$1012,2,FALSE),"")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8" t="s">
        <v>2653</v>
      </c>
      <c r="BA176" s="78"/>
      <c r="BB176" s="78"/>
      <c r="BC176" s="78"/>
      <c r="BD176" s="78"/>
      <c r="BE176" s="21" t="str">
        <f t="shared" si="17"/>
        <v/>
      </c>
      <c r="BF176" s="21" t="str">
        <f t="shared" si="18"/>
        <v/>
      </c>
      <c r="BG176" s="21" t="str">
        <f t="shared" si="19"/>
        <v/>
      </c>
      <c r="BH176" s="21" t="str">
        <f t="shared" si="20"/>
        <v/>
      </c>
      <c r="BI176" s="21" t="str">
        <f t="shared" si="21"/>
        <v/>
      </c>
    </row>
    <row r="177" spans="1:61" x14ac:dyDescent="0.25">
      <c r="A177" s="12">
        <v>210</v>
      </c>
      <c r="B177" t="s">
        <v>1004</v>
      </c>
      <c r="C177" t="s">
        <v>1005</v>
      </c>
      <c r="D177" s="3">
        <f t="shared" si="16"/>
        <v>210</v>
      </c>
      <c r="G177" s="8" t="s">
        <v>1476</v>
      </c>
      <c r="I177" t="s">
        <v>91</v>
      </c>
      <c r="J177" t="s">
        <v>91</v>
      </c>
      <c r="K177">
        <v>244</v>
      </c>
      <c r="L177">
        <v>244</v>
      </c>
      <c r="M177">
        <v>244</v>
      </c>
      <c r="O177" s="61" t="s">
        <v>450</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constants'!$H$3:$K$9989,4,FALSE)),""))</f>
        <v>DLC_SUMMERSET</v>
      </c>
      <c r="U177" s="3" t="str">
        <f>IF(T177&lt;&gt;"",VLOOKUP(T177,'LibSets constants'!$B$4:$C$1012,2,FALSE),"")</f>
        <v>Summerset</v>
      </c>
      <c r="V177" s="33" t="s">
        <v>1554</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constants'!$A$5:$D$10001,4,FALSE),"")</f>
        <v>Wrothgar</v>
      </c>
      <c r="AB177" s="33" t="s">
        <v>1555</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constants'!$A$5:$D$10001,4,FALSE),"")</f>
        <v>Wrothgar</v>
      </c>
      <c r="AH177" s="42" t="s">
        <v>1556</v>
      </c>
      <c r="AI177" s="41"/>
      <c r="AJ177" s="41"/>
      <c r="AK177" s="3">
        <f>IF(AND(G177&lt;&gt;"LIBSETS_SETTYPE_BATTLEGROUND",G177&lt;&gt;"LIBSETS_SETTYPE_SPECIAL"),IF(AL177&lt;&gt;"",VLOOKUP(AL177,'ESO zone constants'!$D$5:$H$4955,5,FALSE),""),"")</f>
        <v>684</v>
      </c>
      <c r="AL177" t="s">
        <v>450</v>
      </c>
      <c r="AM177" s="33" t="s">
        <v>1557</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8" t="s">
        <v>2654</v>
      </c>
      <c r="BA177" s="78"/>
      <c r="BB177" s="78"/>
      <c r="BC177" s="78"/>
      <c r="BD177" s="78"/>
      <c r="BE177" s="21" t="str">
        <f t="shared" si="17"/>
        <v>[210] = {wayshrines={244,244,244,}, dlcId=DLC_SUMMERSET</v>
      </c>
      <c r="BF177" s="21" t="str">
        <f t="shared" si="18"/>
        <v>, zoneIds={684,684,684,684}, veteran=false</v>
      </c>
      <c r="BG177" s="21" t="str">
        <f t="shared" si="19"/>
        <v>, setType=LIBSETS_SETTYPE_OVERLAND</v>
      </c>
      <c r="BH177" s="21" t="str">
        <f t="shared" si="20"/>
        <v>, isProcSetAllowedInPvP=1, dropMechanic={LIBSETS_DROP_MECHANIC_OVERLAND_BOSS_DELVE,LIBSETS_DROP_MECHANIC_OVERLAND_WORLDBOSS,LIBSETS_DROP_MECHANIC_OVERLAND_BOSS_PUBLIC_DUNGEON,LIBSETS_DROP_MECHANIC_OVERLAND_CHEST}</v>
      </c>
      <c r="BI177" s="21" t="str">
        <f t="shared" si="21"/>
        <v>}, --Mark of the Pariah / Zeichen des Ausgestoßenen   [Wrothgar, Wrothgar, Wrothgar, Wrothgar]</v>
      </c>
    </row>
    <row r="178" spans="1:61" x14ac:dyDescent="0.25">
      <c r="A178" s="12">
        <v>211</v>
      </c>
      <c r="B178" t="s">
        <v>1006</v>
      </c>
      <c r="C178" t="s">
        <v>1006</v>
      </c>
      <c r="D178" s="3">
        <f t="shared" si="16"/>
        <v>211</v>
      </c>
      <c r="G178" s="8" t="s">
        <v>1468</v>
      </c>
      <c r="I178" t="s">
        <v>91</v>
      </c>
      <c r="J178" t="s">
        <v>91</v>
      </c>
      <c r="K178">
        <v>249</v>
      </c>
      <c r="L178">
        <v>249</v>
      </c>
      <c r="M178">
        <v>249</v>
      </c>
      <c r="O178" s="61" t="s">
        <v>449</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constants'!$B$4:$C$1012,2,FALSE),"")</f>
        <v>Summerset</v>
      </c>
      <c r="V178" s="33" t="s">
        <v>1550</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constants'!$A$5:$D$10001,4,FALSE),"")</f>
        <v>Wrothgar</v>
      </c>
      <c r="AB178" s="33" t="s">
        <v>1550</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8" t="s">
        <v>2654</v>
      </c>
      <c r="BA178" s="78"/>
      <c r="BB178" s="78"/>
      <c r="BC178" s="78"/>
      <c r="BD178" s="78"/>
      <c r="BE178" s="21" t="str">
        <f t="shared" si="17"/>
        <v>[211] = {wayshrines={249,249,249,}, dlcId=DLC_SUMMERSET</v>
      </c>
      <c r="BF178" s="21" t="str">
        <f t="shared" si="18"/>
        <v>, zoneIds={677,684,684}, veteran=false</v>
      </c>
      <c r="BG178" s="21" t="str">
        <f t="shared" si="19"/>
        <v>, setType=LIBSETS_SETTYPE_ARENA</v>
      </c>
      <c r="BH178" s="21" t="str">
        <f t="shared" si="20"/>
        <v>, isProcSetAllowedInPvP=1, dropMechanic={LIBSETS_DROP_MECHANIC_ARENA_STAGE_CHEST,LIBSETS_DROP_MECHANIC_ARENA_STAGE_CHEST}</v>
      </c>
      <c r="BI178" s="21" t="str">
        <f t="shared" si="21"/>
        <v>}, --Permafrost / Permafrost   [Maelstrom Arena, Wrothgar, Wrothgar]</v>
      </c>
    </row>
    <row r="179" spans="1:61" x14ac:dyDescent="0.25">
      <c r="A179" s="12">
        <v>212</v>
      </c>
      <c r="B179" t="s">
        <v>1007</v>
      </c>
      <c r="C179" t="s">
        <v>1008</v>
      </c>
      <c r="D179" s="3">
        <f t="shared" si="16"/>
        <v>212</v>
      </c>
      <c r="E179" s="40"/>
      <c r="G179" s="8" t="s">
        <v>1476</v>
      </c>
      <c r="I179" t="s">
        <v>91</v>
      </c>
      <c r="J179" t="s">
        <v>91</v>
      </c>
      <c r="K179">
        <v>244</v>
      </c>
      <c r="L179">
        <v>244</v>
      </c>
      <c r="M179">
        <v>244</v>
      </c>
      <c r="O179" s="61" t="s">
        <v>450</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constants'!$H$3:$K$9989,4,FALSE)),""))</f>
        <v>DLC_SUMMERSET</v>
      </c>
      <c r="U179" s="3" t="str">
        <f>IF(T179&lt;&gt;"",VLOOKUP(T179,'LibSets constants'!$B$4:$C$1012,2,FALSE),"")</f>
        <v>Summerset</v>
      </c>
      <c r="V179" s="33" t="s">
        <v>1554</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constants'!$A$5:$D$10001,4,FALSE),"")</f>
        <v>Wrothgar</v>
      </c>
      <c r="AB179" s="33" t="s">
        <v>1555</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constants'!$A$5:$D$10001,4,FALSE),"")</f>
        <v>Wrothgar</v>
      </c>
      <c r="AH179" s="42" t="s">
        <v>1556</v>
      </c>
      <c r="AI179" s="41"/>
      <c r="AJ179" s="41"/>
      <c r="AK179" s="3">
        <f>IF(AND(G179&lt;&gt;"LIBSETS_SETTYPE_BATTLEGROUND",G179&lt;&gt;"LIBSETS_SETTYPE_SPECIAL"),IF(AL179&lt;&gt;"",VLOOKUP(AL179,'ESO zone constants'!$D$5:$H$4955,5,FALSE),""),"")</f>
        <v>684</v>
      </c>
      <c r="AL179" t="s">
        <v>450</v>
      </c>
      <c r="AM179" s="33" t="s">
        <v>1557</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8" t="s">
        <v>2653</v>
      </c>
      <c r="BA179" s="78"/>
      <c r="BB179" s="78"/>
      <c r="BC179" s="78"/>
      <c r="BD179" s="78"/>
      <c r="BE179" s="21" t="str">
        <f t="shared" si="17"/>
        <v>[212] = {wayshrines={244,244,244,}, dlcId=DLC_SUMMERSET</v>
      </c>
      <c r="BF179" s="21" t="str">
        <f t="shared" si="18"/>
        <v>, zoneIds={684,684,684,684}, veteran=false</v>
      </c>
      <c r="BG179" s="21" t="str">
        <f t="shared" si="19"/>
        <v>, setType=LIBSETS_SETTYPE_OVERLAND</v>
      </c>
      <c r="BH179" s="21" t="str">
        <f t="shared" si="20"/>
        <v>, dropMechanic={LIBSETS_DROP_MECHANIC_OVERLAND_BOSS_DELVE,LIBSETS_DROP_MECHANIC_OVERLAND_WORLDBOSS,LIBSETS_DROP_MECHANIC_OVERLAND_BOSS_PUBLIC_DUNGEON,LIBSETS_DROP_MECHANIC_OVERLAND_CHEST}</v>
      </c>
      <c r="BI179" s="21" t="str">
        <f t="shared" si="21"/>
        <v>}, --Briarheart / Dornenherz   [Wrothgar, Wrothgar, Wrothgar, Wrothgar]</v>
      </c>
    </row>
    <row r="180" spans="1:61" x14ac:dyDescent="0.25">
      <c r="A180" s="12">
        <v>213</v>
      </c>
      <c r="B180" t="s">
        <v>1009</v>
      </c>
      <c r="C180" t="s">
        <v>1010</v>
      </c>
      <c r="D180" s="3">
        <f t="shared" si="16"/>
        <v>213</v>
      </c>
      <c r="G180" s="8" t="s">
        <v>1468</v>
      </c>
      <c r="I180" t="s">
        <v>91</v>
      </c>
      <c r="J180" t="s">
        <v>91</v>
      </c>
      <c r="K180">
        <v>249</v>
      </c>
      <c r="L180">
        <v>249</v>
      </c>
      <c r="M180">
        <v>249</v>
      </c>
      <c r="O180" s="61" t="s">
        <v>449</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constants'!$B$4:$C$1012,2,FALSE),"")</f>
        <v>Summerset</v>
      </c>
      <c r="V180" s="33" t="s">
        <v>1550</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constants'!$A$5:$D$10001,4,FALSE),"")</f>
        <v>Wrothgar</v>
      </c>
      <c r="AB180" s="33" t="s">
        <v>1550</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8" t="s">
        <v>2653</v>
      </c>
      <c r="BA180" s="78"/>
      <c r="BB180" s="78"/>
      <c r="BC180" s="78"/>
      <c r="BD180" s="78"/>
      <c r="BE180" s="21" t="str">
        <f t="shared" si="17"/>
        <v>[213] = {wayshrines={249,249,249,}, dlcId=DLC_SUMMERSET</v>
      </c>
      <c r="BF180" s="21" t="str">
        <f t="shared" si="18"/>
        <v>, zoneIds={677,684,684}, veteran=false</v>
      </c>
      <c r="BG180" s="21" t="str">
        <f t="shared" si="19"/>
        <v>, setType=LIBSETS_SETTYPE_ARENA</v>
      </c>
      <c r="BH180" s="21" t="str">
        <f t="shared" si="20"/>
        <v>, dropMechanic={LIBSETS_DROP_MECHANIC_ARENA_STAGE_CHEST,LIBSETS_DROP_MECHANIC_ARENA_STAGE_CHEST}</v>
      </c>
      <c r="BI180" s="21" t="str">
        <f t="shared" si="21"/>
        <v>}, --Glorious Defender / Ruhmreicher Verteidiger   [Maelstrom Arena, Wrothgar, Wrothgar]</v>
      </c>
    </row>
    <row r="181" spans="1:61" x14ac:dyDescent="0.25">
      <c r="A181" s="12">
        <v>214</v>
      </c>
      <c r="B181" t="s">
        <v>1011</v>
      </c>
      <c r="C181" t="s">
        <v>1011</v>
      </c>
      <c r="D181" s="3">
        <f t="shared" si="16"/>
        <v>214</v>
      </c>
      <c r="G181" s="8" t="s">
        <v>1468</v>
      </c>
      <c r="I181" t="s">
        <v>91</v>
      </c>
      <c r="J181" t="s">
        <v>91</v>
      </c>
      <c r="K181">
        <v>249</v>
      </c>
      <c r="L181">
        <v>249</v>
      </c>
      <c r="M181">
        <v>249</v>
      </c>
      <c r="O181" s="61" t="s">
        <v>449</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constants'!$B$4:$C$1012,2,FALSE),"")</f>
        <v>Summerset</v>
      </c>
      <c r="V181" s="33" t="s">
        <v>1550</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constants'!$A$5:$D$10001,4,FALSE),"")</f>
        <v>Wrothgar</v>
      </c>
      <c r="AB181" s="33" t="s">
        <v>1550</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8" t="s">
        <v>2653</v>
      </c>
      <c r="BA181" s="78"/>
      <c r="BB181" s="78"/>
      <c r="BC181" s="78"/>
      <c r="BD181" s="78"/>
      <c r="BE181" s="21" t="str">
        <f t="shared" si="17"/>
        <v>[214] = {wayshrines={249,249,249,}, dlcId=DLC_SUMMERSET</v>
      </c>
      <c r="BF181" s="21" t="str">
        <f t="shared" si="18"/>
        <v>, zoneIds={677,684,684}, veteran=false</v>
      </c>
      <c r="BG181" s="21" t="str">
        <f t="shared" si="19"/>
        <v>, setType=LIBSETS_SETTYPE_ARENA</v>
      </c>
      <c r="BH181" s="21" t="str">
        <f t="shared" si="20"/>
        <v>, dropMechanic={LIBSETS_DROP_MECHANIC_ARENA_STAGE_CHEST,LIBSETS_DROP_MECHANIC_ARENA_STAGE_CHEST}</v>
      </c>
      <c r="BI181" s="21" t="str">
        <f t="shared" si="21"/>
        <v>}, --Para Bellum / Para Bellum   [Maelstrom Arena, Wrothgar, Wrothgar]</v>
      </c>
    </row>
    <row r="182" spans="1:61" x14ac:dyDescent="0.25">
      <c r="A182" s="12">
        <v>215</v>
      </c>
      <c r="B182" t="s">
        <v>1012</v>
      </c>
      <c r="C182" t="s">
        <v>1013</v>
      </c>
      <c r="D182" s="3">
        <f t="shared" si="16"/>
        <v>215</v>
      </c>
      <c r="G182" s="8" t="s">
        <v>1468</v>
      </c>
      <c r="I182" t="s">
        <v>91</v>
      </c>
      <c r="J182" t="s">
        <v>91</v>
      </c>
      <c r="K182">
        <v>249</v>
      </c>
      <c r="L182">
        <v>249</v>
      </c>
      <c r="M182">
        <v>249</v>
      </c>
      <c r="O182" s="61" t="s">
        <v>449</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constants'!$B$4:$C$1012,2,FALSE),"")</f>
        <v>Summerset</v>
      </c>
      <c r="V182" s="33" t="s">
        <v>1550</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constants'!$A$5:$D$10001,4,FALSE),"")</f>
        <v>Wrothgar</v>
      </c>
      <c r="AB182" s="33" t="s">
        <v>1550</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8" t="s">
        <v>2653</v>
      </c>
      <c r="BA182" s="78"/>
      <c r="BB182" s="78"/>
      <c r="BC182" s="78"/>
      <c r="BD182" s="78"/>
      <c r="BE182" s="21" t="str">
        <f t="shared" si="17"/>
        <v>[215] = {wayshrines={249,249,249,}, dlcId=DLC_SUMMERSET</v>
      </c>
      <c r="BF182" s="21" t="str">
        <f t="shared" si="18"/>
        <v>, zoneIds={677,684,684}, veteran=false</v>
      </c>
      <c r="BG182" s="21" t="str">
        <f t="shared" si="19"/>
        <v>, setType=LIBSETS_SETTYPE_ARENA</v>
      </c>
      <c r="BH182" s="21" t="str">
        <f t="shared" si="20"/>
        <v>, dropMechanic={LIBSETS_DROP_MECHANIC_ARENA_STAGE_CHEST,LIBSETS_DROP_MECHANIC_ARENA_STAGE_CHEST}</v>
      </c>
      <c r="BI182" s="21" t="str">
        <f t="shared" si="21"/>
        <v>}, --Elemental Succession / Elementarfolge   [Maelstrom Arena, Wrothgar, Wrothgar]</v>
      </c>
    </row>
    <row r="183" spans="1:61" x14ac:dyDescent="0.25">
      <c r="A183" s="12">
        <v>216</v>
      </c>
      <c r="B183" t="s">
        <v>1014</v>
      </c>
      <c r="C183" t="s">
        <v>1015</v>
      </c>
      <c r="D183" s="3">
        <f t="shared" si="16"/>
        <v>216</v>
      </c>
      <c r="G183" s="8" t="s">
        <v>1468</v>
      </c>
      <c r="I183" t="s">
        <v>91</v>
      </c>
      <c r="J183" t="s">
        <v>91</v>
      </c>
      <c r="K183">
        <v>249</v>
      </c>
      <c r="L183">
        <v>249</v>
      </c>
      <c r="M183">
        <v>249</v>
      </c>
      <c r="O183" s="61" t="s">
        <v>449</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constants'!$B$4:$C$1012,2,FALSE),"")</f>
        <v>Summerset</v>
      </c>
      <c r="V183" s="33" t="s">
        <v>1550</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constants'!$A$5:$D$10001,4,FALSE),"")</f>
        <v>Wrothgar</v>
      </c>
      <c r="AB183" s="33" t="s">
        <v>1550</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8" t="s">
        <v>2653</v>
      </c>
      <c r="BA183" s="78"/>
      <c r="BB183" s="78"/>
      <c r="BC183" s="78"/>
      <c r="BD183" s="78"/>
      <c r="BE183" s="21" t="str">
        <f t="shared" si="17"/>
        <v>[216] = {wayshrines={249,249,249,}, dlcId=DLC_SUMMERSET</v>
      </c>
      <c r="BF183" s="21" t="str">
        <f t="shared" si="18"/>
        <v>, zoneIds={677,684,684}, veteran=false</v>
      </c>
      <c r="BG183" s="21" t="str">
        <f t="shared" si="19"/>
        <v>, setType=LIBSETS_SETTYPE_ARENA</v>
      </c>
      <c r="BH183" s="21" t="str">
        <f t="shared" si="20"/>
        <v>, dropMechanic={LIBSETS_DROP_MECHANIC_ARENA_STAGE_CHEST,LIBSETS_DROP_MECHANIC_ARENA_STAGE_CHEST}</v>
      </c>
      <c r="BI183" s="21" t="str">
        <f t="shared" si="21"/>
        <v>}, --Hunt Leader / Jagdleiter   [Maelstrom Arena, Wrothgar, Wrothgar]</v>
      </c>
    </row>
    <row r="184" spans="1:61" x14ac:dyDescent="0.25">
      <c r="A184" s="12">
        <v>217</v>
      </c>
      <c r="B184" t="s">
        <v>1016</v>
      </c>
      <c r="C184" t="s">
        <v>1017</v>
      </c>
      <c r="D184" s="3">
        <f t="shared" si="16"/>
        <v>217</v>
      </c>
      <c r="G184" s="8" t="s">
        <v>1468</v>
      </c>
      <c r="I184" t="s">
        <v>91</v>
      </c>
      <c r="J184" t="s">
        <v>91</v>
      </c>
      <c r="K184">
        <v>249</v>
      </c>
      <c r="L184">
        <v>249</v>
      </c>
      <c r="M184">
        <v>249</v>
      </c>
      <c r="O184" s="61" t="s">
        <v>449</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constants'!$B$4:$C$1012,2,FALSE),"")</f>
        <v>Summerset</v>
      </c>
      <c r="V184" s="33" t="s">
        <v>1550</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constants'!$A$5:$D$10001,4,FALSE),"")</f>
        <v>Wrothgar</v>
      </c>
      <c r="AB184" s="33" t="s">
        <v>1550</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8" t="s">
        <v>2653</v>
      </c>
      <c r="BA184" s="78"/>
      <c r="BB184" s="78"/>
      <c r="BC184" s="78"/>
      <c r="BD184" s="78"/>
      <c r="BE184" s="21" t="str">
        <f t="shared" si="17"/>
        <v>[217] = {wayshrines={249,249,249,}, dlcId=DLC_SUMMERSET</v>
      </c>
      <c r="BF184" s="21" t="str">
        <f t="shared" si="18"/>
        <v>, zoneIds={677,684,684}, veteran=false</v>
      </c>
      <c r="BG184" s="21" t="str">
        <f t="shared" si="19"/>
        <v>, setType=LIBSETS_SETTYPE_ARENA</v>
      </c>
      <c r="BH184" s="21" t="str">
        <f t="shared" si="20"/>
        <v>, dropMechanic={LIBSETS_DROP_MECHANIC_ARENA_STAGE_CHEST,LIBSETS_DROP_MECHANIC_ARENA_STAGE_CHEST}</v>
      </c>
      <c r="BI184" s="21" t="str">
        <f t="shared" si="21"/>
        <v>}, --Winterborn / Winterkind   [Maelstrom Arena, Wrothgar, Wrothgar]</v>
      </c>
    </row>
    <row r="185" spans="1:61" x14ac:dyDescent="0.25">
      <c r="A185" s="12">
        <v>218</v>
      </c>
      <c r="B185" t="s">
        <v>1018</v>
      </c>
      <c r="C185" t="s">
        <v>2582</v>
      </c>
      <c r="D185" s="3">
        <f t="shared" si="16"/>
        <v>218</v>
      </c>
      <c r="G185" s="8" t="s">
        <v>1476</v>
      </c>
      <c r="I185" t="s">
        <v>91</v>
      </c>
      <c r="J185" t="s">
        <v>91</v>
      </c>
      <c r="K185">
        <v>244</v>
      </c>
      <c r="L185">
        <v>244</v>
      </c>
      <c r="M185">
        <v>244</v>
      </c>
      <c r="O185" s="61" t="s">
        <v>450</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constants'!$H$3:$K$9989,4,FALSE)),""))</f>
        <v>DLC_SUMMERSET</v>
      </c>
      <c r="U185" s="3" t="str">
        <f>IF(T185&lt;&gt;"",VLOOKUP(T185,'LibSets constants'!$B$4:$C$1012,2,FALSE),"")</f>
        <v>Summerset</v>
      </c>
      <c r="V185" s="33" t="s">
        <v>1554</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constants'!$A$5:$D$10001,4,FALSE),"")</f>
        <v>Wrothgar</v>
      </c>
      <c r="AB185" s="33" t="s">
        <v>1555</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constants'!$A$5:$D$10001,4,FALSE),"")</f>
        <v>Wrothgar</v>
      </c>
      <c r="AH185" s="42" t="s">
        <v>1556</v>
      </c>
      <c r="AI185" s="41"/>
      <c r="AJ185" s="41"/>
      <c r="AK185" s="3">
        <f>IF(AND(G185&lt;&gt;"LIBSETS_SETTYPE_BATTLEGROUND",G185&lt;&gt;"LIBSETS_SETTYPE_SPECIAL"),IF(AL185&lt;&gt;"",VLOOKUP(AL185,'ESO zone constants'!$D$5:$H$4955,5,FALSE),""),"")</f>
        <v>684</v>
      </c>
      <c r="AL185" t="s">
        <v>450</v>
      </c>
      <c r="AM185" s="33" t="s">
        <v>1557</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8" t="s">
        <v>2653</v>
      </c>
      <c r="BA185" s="78"/>
      <c r="BB185" s="78"/>
      <c r="BC185" s="78"/>
      <c r="BD185" s="78"/>
      <c r="BE185" s="21" t="str">
        <f t="shared" si="17"/>
        <v>[218] = {wayshrines={244,244,244,}, dlcId=DLC_SUMMERSET</v>
      </c>
      <c r="BF185" s="21" t="str">
        <f t="shared" si="18"/>
        <v>, zoneIds={684,684,684,684}, veteran=false</v>
      </c>
      <c r="BG185" s="21" t="str">
        <f t="shared" si="19"/>
        <v>, setType=LIBSETS_SETTYPE_OVERLAND</v>
      </c>
      <c r="BH185" s="21" t="str">
        <f t="shared" si="20"/>
        <v>, dropMechanic={LIBSETS_DROP_MECHANIC_OVERLAND_BOSS_DELVE,LIBSETS_DROP_MECHANIC_OVERLAND_WORLDBOSS,LIBSETS_DROP_MECHANIC_OVERLAND_BOSS_PUBLIC_DUNGEON,LIBSETS_DROP_MECHANIC_OVERLAND_CHEST}</v>
      </c>
      <c r="BI185" s="21" t="str">
        <f t="shared" si="21"/>
        <v>}, --Trinimac\'s Valor / Trinimacs Heldenmut   [Wrothgar, Wrothgar, Wrothgar, Wrothgar]</v>
      </c>
    </row>
    <row r="186" spans="1:61" x14ac:dyDescent="0.25">
      <c r="A186" s="5">
        <v>219</v>
      </c>
      <c r="B186" t="s">
        <v>1019</v>
      </c>
      <c r="C186" t="s">
        <v>1019</v>
      </c>
      <c r="D186" s="3">
        <f t="shared" si="16"/>
        <v>219</v>
      </c>
      <c r="G186" s="8" t="s">
        <v>1470</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constants'!$H$3:$K$9989,4,FALSE)),""))</f>
        <v>DLC_SUMMERSET</v>
      </c>
      <c r="U186" s="3" t="str">
        <f>IF(T186&lt;&gt;"",VLOOKUP(T186,'LibSets constants'!$B$4:$C$1012,2,FALSE),"")</f>
        <v>Summerset</v>
      </c>
      <c r="V186" s="33" t="s">
        <v>3288</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constants'!$A$5:$D$10001,4,FALSE),"")</f>
        <v>Wrothgar</v>
      </c>
      <c r="AB186" s="33" t="s">
        <v>3288</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8" t="s">
        <v>2653</v>
      </c>
      <c r="BA186" s="78"/>
      <c r="BB186" s="78"/>
      <c r="BC186" s="78"/>
      <c r="BD186" s="78"/>
      <c r="BE186" s="21" t="str">
        <f t="shared" si="17"/>
        <v>[219] = {wayshrines={237,237,237,}, traitsNeeded=9, dlcId=DLC_SUMMERSET</v>
      </c>
      <c r="BF186" s="21" t="str">
        <f t="shared" si="18"/>
        <v>, zoneIds={684,684,684}, veteran=false</v>
      </c>
      <c r="BG186" s="21" t="str">
        <f t="shared" si="19"/>
        <v>, setType=LIBSETS_SETTYPE_CRAFTED</v>
      </c>
      <c r="BH186" s="21" t="str">
        <f t="shared" si="20"/>
        <v>, dropMechanic={LIBSETS_DROP_MECHANIC_CRAFTED,LIBSETS_DROP_MECHANIC_CRAFTED}</v>
      </c>
      <c r="BI186" s="21" t="str">
        <f t="shared" si="21"/>
        <v>}, --Morkuldin / Morkuldin   [Wrothgar, Wrothgar, Wrothgar]</v>
      </c>
    </row>
    <row r="187" spans="1:61" x14ac:dyDescent="0.25">
      <c r="A187" s="5">
        <v>224</v>
      </c>
      <c r="B187" t="s">
        <v>1020</v>
      </c>
      <c r="C187" t="s">
        <v>2583</v>
      </c>
      <c r="D187" s="3">
        <f t="shared" si="16"/>
        <v>224</v>
      </c>
      <c r="G187" s="8" t="s">
        <v>1470</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constants'!$H$3:$K$9989,4,FALSE)),""))</f>
        <v>DLC_GREYMOOR</v>
      </c>
      <c r="U187" s="3" t="str">
        <f>IF(T187&lt;&gt;"",VLOOKUP(T187,'LibSets constants'!$B$4:$C$1012,2,FALSE),"")</f>
        <v>Greymoor</v>
      </c>
      <c r="V187" s="33" t="s">
        <v>3288</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constants'!$A$5:$D$10001,4,FALSE),"")</f>
        <v>Hew's Bane</v>
      </c>
      <c r="AB187" s="33" t="s">
        <v>3288</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8" t="s">
        <v>2653</v>
      </c>
      <c r="BA187" s="78"/>
      <c r="BB187" s="78"/>
      <c r="BC187" s="78"/>
      <c r="BD187" s="78"/>
      <c r="BE187" s="21" t="str">
        <f t="shared" si="17"/>
        <v>[224] = {wayshrines={257,257,257,}, traitsNeeded=5, dlcId=DLC_GREYMOOR</v>
      </c>
      <c r="BF187" s="21" t="str">
        <f t="shared" si="18"/>
        <v>, zoneIds={816,816,816}, veteran=false</v>
      </c>
      <c r="BG187" s="21" t="str">
        <f t="shared" si="19"/>
        <v>, setType=LIBSETS_SETTYPE_CRAFTED</v>
      </c>
      <c r="BH187" s="21" t="str">
        <f t="shared" si="20"/>
        <v>, dropMechanic={LIBSETS_DROP_MECHANIC_CRAFTED,LIBSETS_DROP_MECHANIC_CRAFTED}</v>
      </c>
      <c r="BI187" s="21" t="str">
        <f t="shared" si="21"/>
        <v>}, --Tava\'s Favor / Tavas Gunst   [Hew's Bane, Hew's Bane, Hew's Bane]</v>
      </c>
    </row>
    <row r="188" spans="1:61" x14ac:dyDescent="0.25">
      <c r="A188" s="5">
        <v>225</v>
      </c>
      <c r="B188" t="s">
        <v>1021</v>
      </c>
      <c r="C188" t="s">
        <v>1022</v>
      </c>
      <c r="D188" s="3">
        <f t="shared" si="16"/>
        <v>225</v>
      </c>
      <c r="E188" s="40"/>
      <c r="G188" s="8" t="s">
        <v>1470</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constants'!$H$3:$K$9989,4,FALSE)),""))</f>
        <v>DLC_GREYMOOR</v>
      </c>
      <c r="U188" s="3" t="str">
        <f>IF(T188&lt;&gt;"",VLOOKUP(T188,'LibSets constants'!$B$4:$C$1012,2,FALSE),"")</f>
        <v>Greymoor</v>
      </c>
      <c r="V188" s="33" t="s">
        <v>3288</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constants'!$A$5:$D$10001,4,FALSE),"")</f>
        <v>Hew's Bane</v>
      </c>
      <c r="AB188" s="33" t="s">
        <v>3288</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8" t="s">
        <v>2653</v>
      </c>
      <c r="BA188" s="78"/>
      <c r="BB188" s="78"/>
      <c r="BC188" s="78"/>
      <c r="BD188" s="78"/>
      <c r="BE188" s="21" t="str">
        <f t="shared" si="17"/>
        <v>[225] = {wayshrines={257,257,257,}, traitsNeeded=7, dlcId=DLC_GREYMOOR</v>
      </c>
      <c r="BF188" s="21" t="str">
        <f t="shared" si="18"/>
        <v>, zoneIds={816,816,816}, veteran=false</v>
      </c>
      <c r="BG188" s="21" t="str">
        <f t="shared" si="19"/>
        <v>, setType=LIBSETS_SETTYPE_CRAFTED</v>
      </c>
      <c r="BH188" s="21" t="str">
        <f t="shared" si="20"/>
        <v>, dropMechanic={LIBSETS_DROP_MECHANIC_CRAFTED,LIBSETS_DROP_MECHANIC_CRAFTED}</v>
      </c>
      <c r="BI188" s="21" t="str">
        <f t="shared" si="21"/>
        <v>}, --Clever Alchemist / Schlauer Alchemist   [Hew's Bane, Hew's Bane, Hew's Bane]</v>
      </c>
    </row>
    <row r="189" spans="1:61" x14ac:dyDescent="0.25">
      <c r="A189" s="5">
        <v>226</v>
      </c>
      <c r="B189" t="s">
        <v>1023</v>
      </c>
      <c r="C189" t="s">
        <v>1024</v>
      </c>
      <c r="D189" s="3">
        <f t="shared" si="16"/>
        <v>226</v>
      </c>
      <c r="G189" s="8" t="s">
        <v>1470</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constants'!$H$3:$K$9989,4,FALSE)),""))</f>
        <v>DLC_GREYMOOR</v>
      </c>
      <c r="U189" s="3" t="str">
        <f>IF(T189&lt;&gt;"",VLOOKUP(T189,'LibSets constants'!$B$4:$C$1012,2,FALSE),"")</f>
        <v>Greymoor</v>
      </c>
      <c r="V189" s="33" t="s">
        <v>3288</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constants'!$A$5:$D$10001,4,FALSE),"")</f>
        <v>Hew's Bane</v>
      </c>
      <c r="AB189" s="33" t="s">
        <v>3288</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8" t="s">
        <v>2653</v>
      </c>
      <c r="BA189" s="78"/>
      <c r="BB189" s="78"/>
      <c r="BC189" s="78"/>
      <c r="BD189" s="78"/>
      <c r="BE189" s="21" t="str">
        <f t="shared" si="17"/>
        <v>[226] = {wayshrines={255,255,255,}, traitsNeeded=9, dlcId=DLC_GREYMOOR</v>
      </c>
      <c r="BF189" s="21" t="str">
        <f t="shared" si="18"/>
        <v>, zoneIds={816,816,816}, veteran=false</v>
      </c>
      <c r="BG189" s="21" t="str">
        <f t="shared" si="19"/>
        <v>, setType=LIBSETS_SETTYPE_CRAFTED</v>
      </c>
      <c r="BH189" s="21" t="str">
        <f t="shared" si="20"/>
        <v>, dropMechanic={LIBSETS_DROP_MECHANIC_CRAFTED,LIBSETS_DROP_MECHANIC_CRAFTED}</v>
      </c>
      <c r="BI189" s="21" t="str">
        <f t="shared" si="21"/>
        <v>}, --Eternal Hunt / Ewige Jagd   [Hew's Bane, Hew's Bane, Hew's Bane]</v>
      </c>
    </row>
    <row r="190" spans="1:61" x14ac:dyDescent="0.25">
      <c r="A190" s="12">
        <v>227</v>
      </c>
      <c r="B190" t="s">
        <v>1025</v>
      </c>
      <c r="C190" t="s">
        <v>2584</v>
      </c>
      <c r="D190" s="3">
        <f t="shared" si="16"/>
        <v>227</v>
      </c>
      <c r="G190" s="8" t="s">
        <v>1476</v>
      </c>
      <c r="I190" t="s">
        <v>91</v>
      </c>
      <c r="J190" t="s">
        <v>91</v>
      </c>
      <c r="K190">
        <v>255</v>
      </c>
      <c r="L190">
        <v>255</v>
      </c>
      <c r="M190">
        <v>255</v>
      </c>
      <c r="O190" s="61" t="s">
        <v>507</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constants'!$H$3:$K$9989,4,FALSE)),""))</f>
        <v>DLC_GREYMOOR</v>
      </c>
      <c r="U190" s="3" t="str">
        <f>IF(T190&lt;&gt;"",VLOOKUP(T190,'LibSets constants'!$B$4:$C$1012,2,FALSE),"")</f>
        <v>Greymoor</v>
      </c>
      <c r="V190" s="33" t="s">
        <v>1554</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constants'!$A$5:$D$10001,4,FALSE),"")</f>
        <v>Hew's Bane</v>
      </c>
      <c r="AB190" s="33" t="s">
        <v>1555</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constants'!$A$5:$D$10001,4,FALSE),"")</f>
        <v>Hew's Bane</v>
      </c>
      <c r="AH190" s="33" t="s">
        <v>1557</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8" t="s">
        <v>2654</v>
      </c>
      <c r="BA190" s="78"/>
      <c r="BB190" s="78"/>
      <c r="BC190" s="78"/>
      <c r="BD190" s="78"/>
      <c r="BE190" s="21" t="str">
        <f t="shared" si="17"/>
        <v>[227] = {wayshrines={255,255,255,}, dlcId=DLC_GREYMOOR</v>
      </c>
      <c r="BF190" s="21" t="str">
        <f t="shared" si="18"/>
        <v>, zoneIds={816,816,816}, veteran=false</v>
      </c>
      <c r="BG190" s="21" t="str">
        <f t="shared" si="19"/>
        <v>, setType=LIBSETS_SETTYPE_OVERLAND</v>
      </c>
      <c r="BH190" s="21" t="str">
        <f t="shared" si="20"/>
        <v>, isProcSetAllowedInPvP=1, dropMechanic={LIBSETS_DROP_MECHANIC_OVERLAND_BOSS_DELVE,LIBSETS_DROP_MECHANIC_OVERLAND_WORLDBOSS,LIBSETS_DROP_MECHANIC_OVERLAND_CHEST}</v>
      </c>
      <c r="BI190" s="21" t="str">
        <f t="shared" si="21"/>
        <v>}, --Bahraha\'s Curse / Bahrahas Fluch   [Hew's Bane, Hew's Bane, Hew's Bane]</v>
      </c>
    </row>
    <row r="191" spans="1:61" x14ac:dyDescent="0.25">
      <c r="A191" s="12">
        <v>228</v>
      </c>
      <c r="B191" t="s">
        <v>1026</v>
      </c>
      <c r="C191" t="s">
        <v>2585</v>
      </c>
      <c r="D191" s="3">
        <f t="shared" si="16"/>
        <v>228</v>
      </c>
      <c r="G191" s="8" t="s">
        <v>1476</v>
      </c>
      <c r="I191" t="s">
        <v>91</v>
      </c>
      <c r="J191" t="s">
        <v>91</v>
      </c>
      <c r="K191">
        <v>255</v>
      </c>
      <c r="L191">
        <v>255</v>
      </c>
      <c r="M191">
        <v>255</v>
      </c>
      <c r="O191" s="61" t="s">
        <v>507</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constants'!$H$3:$K$9989,4,FALSE)),""))</f>
        <v>DLC_GREYMOOR</v>
      </c>
      <c r="U191" s="3" t="str">
        <f>IF(T191&lt;&gt;"",VLOOKUP(T191,'LibSets constants'!$B$4:$C$1012,2,FALSE),"")</f>
        <v>Greymoor</v>
      </c>
      <c r="V191" s="33" t="s">
        <v>1554</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constants'!$A$5:$D$10001,4,FALSE),"")</f>
        <v>Hew's Bane</v>
      </c>
      <c r="AB191" s="33" t="s">
        <v>1555</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constants'!$A$5:$D$10001,4,FALSE),"")</f>
        <v>Hew's Bane</v>
      </c>
      <c r="AH191" s="33" t="s">
        <v>1557</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8" t="s">
        <v>2654</v>
      </c>
      <c r="BA191" s="78"/>
      <c r="BB191" s="78"/>
      <c r="BC191" s="78"/>
      <c r="BD191" s="78"/>
      <c r="BE191" s="21" t="str">
        <f t="shared" si="17"/>
        <v>[228] = {wayshrines={255,255,255,}, dlcId=DLC_GREYMOOR</v>
      </c>
      <c r="BF191" s="21" t="str">
        <f t="shared" si="18"/>
        <v>, zoneIds={816,816,816}, veteran=false</v>
      </c>
      <c r="BG191" s="21" t="str">
        <f t="shared" si="19"/>
        <v>, setType=LIBSETS_SETTYPE_OVERLAND</v>
      </c>
      <c r="BH191" s="21" t="str">
        <f t="shared" si="20"/>
        <v>, isProcSetAllowedInPvP=1, dropMechanic={LIBSETS_DROP_MECHANIC_OVERLAND_BOSS_DELVE,LIBSETS_DROP_MECHANIC_OVERLAND_WORLDBOSS,LIBSETS_DROP_MECHANIC_OVERLAND_CHEST}</v>
      </c>
      <c r="BI191" s="21" t="str">
        <f t="shared" si="21"/>
        <v>}, --Syvarra\'s Scales / Syvarras Schuppen   [Hew's Bane, Hew's Bane, Hew's Bane]</v>
      </c>
    </row>
    <row r="192" spans="1:61" x14ac:dyDescent="0.25">
      <c r="A192" s="12">
        <v>229</v>
      </c>
      <c r="B192" t="s">
        <v>1027</v>
      </c>
      <c r="C192" t="s">
        <v>1028</v>
      </c>
      <c r="D192" s="3">
        <f t="shared" si="16"/>
        <v>229</v>
      </c>
      <c r="G192" s="8" t="s">
        <v>1477</v>
      </c>
      <c r="I192" t="s">
        <v>91</v>
      </c>
      <c r="J192" t="s">
        <v>91</v>
      </c>
      <c r="K192">
        <v>258</v>
      </c>
      <c r="L192">
        <v>258</v>
      </c>
      <c r="M192">
        <v>258</v>
      </c>
      <c r="O192" s="61" t="s">
        <v>475</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constants'!$B$4:$C$1012,2,FALSE),"")</f>
        <v>Thieves Guild</v>
      </c>
      <c r="V192" s="33" t="s">
        <v>3266</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constants'!$A$5:$D$10001,4,FALSE),"")</f>
        <v>Maw of Lorkhaj</v>
      </c>
      <c r="AB192" s="33" t="s">
        <v>3266</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constants'!$A$5:$D$10001,4,FALSE),"")</f>
        <v>Maw of Lorkhaj</v>
      </c>
      <c r="AH192" s="33" t="s">
        <v>3266</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8" t="s">
        <v>2653</v>
      </c>
      <c r="BA192" s="78"/>
      <c r="BB192" s="78"/>
      <c r="BC192" s="78"/>
      <c r="BD192" s="78"/>
      <c r="BE192" s="21" t="str">
        <f t="shared" si="17"/>
        <v>[229] = {wayshrines={258,258,258,}, dlcId=DLC_THIEVES_GUILD</v>
      </c>
      <c r="BF192" s="21" t="str">
        <f t="shared" si="18"/>
        <v>, zoneIds={725,725,725}, veteran=false</v>
      </c>
      <c r="BG192" s="21" t="str">
        <f t="shared" si="19"/>
        <v>, setType=LIBSETS_SETTYPE_TRIAL</v>
      </c>
      <c r="BH192" s="21" t="str">
        <f t="shared" si="20"/>
        <v>, dropMechanic={LIBSETS_DROP_MECHANIC_TRIAL_BOSS,LIBSETS_DROP_MECHANIC_TRIAL_BOSS,LIBSETS_DROP_MECHANIC_TRIAL_BOSS}</v>
      </c>
      <c r="BI192" s="21" t="str">
        <f t="shared" si="21"/>
        <v>}, --Twilight Remedy / Zwielichtgenesung   [Maw of Lorkhaj, Maw of Lorkhaj, Maw of Lorkhaj]</v>
      </c>
    </row>
    <row r="193" spans="1:61" x14ac:dyDescent="0.25">
      <c r="A193" s="12">
        <v>230</v>
      </c>
      <c r="B193" t="s">
        <v>1029</v>
      </c>
      <c r="C193" t="s">
        <v>1030</v>
      </c>
      <c r="D193" s="3">
        <f t="shared" si="16"/>
        <v>230</v>
      </c>
      <c r="G193" s="8" t="s">
        <v>1477</v>
      </c>
      <c r="I193" t="s">
        <v>91</v>
      </c>
      <c r="J193" t="s">
        <v>91</v>
      </c>
      <c r="K193">
        <v>258</v>
      </c>
      <c r="L193">
        <v>258</v>
      </c>
      <c r="M193">
        <v>258</v>
      </c>
      <c r="O193" s="61" t="s">
        <v>475</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constants'!$B$4:$C$1012,2,FALSE),"")</f>
        <v>Thieves Guild</v>
      </c>
      <c r="V193" s="33" t="s">
        <v>3266</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constants'!$A$5:$D$10001,4,FALSE),"")</f>
        <v>Maw of Lorkhaj</v>
      </c>
      <c r="AB193" s="33" t="s">
        <v>3266</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constants'!$A$5:$D$10001,4,FALSE),"")</f>
        <v>Maw of Lorkhaj</v>
      </c>
      <c r="AH193" s="33" t="s">
        <v>3266</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8" t="s">
        <v>2653</v>
      </c>
      <c r="BA193" s="78"/>
      <c r="BB193" s="78"/>
      <c r="BC193" s="78"/>
      <c r="BD193" s="78"/>
      <c r="BE193" s="21" t="str">
        <f t="shared" si="17"/>
        <v>[230] = {wayshrines={258,258,258,}, dlcId=DLC_THIEVES_GUILD</v>
      </c>
      <c r="BF193" s="21" t="str">
        <f t="shared" si="18"/>
        <v>, zoneIds={725,725,725}, veteran=false</v>
      </c>
      <c r="BG193" s="21" t="str">
        <f t="shared" si="19"/>
        <v>, setType=LIBSETS_SETTYPE_TRIAL</v>
      </c>
      <c r="BH193" s="21" t="str">
        <f t="shared" si="20"/>
        <v>, dropMechanic={LIBSETS_DROP_MECHANIC_TRIAL_BOSS,LIBSETS_DROP_MECHANIC_TRIAL_BOSS,LIBSETS_DROP_MECHANIC_TRIAL_BOSS}</v>
      </c>
      <c r="BI193" s="21" t="str">
        <f t="shared" si="21"/>
        <v>}, --Moondancer / Mondtänzer   [Maw of Lorkhaj, Maw of Lorkhaj, Maw of Lorkhaj]</v>
      </c>
    </row>
    <row r="194" spans="1:61" x14ac:dyDescent="0.25">
      <c r="A194" s="12">
        <v>231</v>
      </c>
      <c r="B194" t="s">
        <v>1031</v>
      </c>
      <c r="C194" t="s">
        <v>1032</v>
      </c>
      <c r="D194" s="3">
        <f t="shared" si="16"/>
        <v>231</v>
      </c>
      <c r="G194" s="8" t="s">
        <v>1477</v>
      </c>
      <c r="I194" t="s">
        <v>91</v>
      </c>
      <c r="J194" t="s">
        <v>91</v>
      </c>
      <c r="K194">
        <v>258</v>
      </c>
      <c r="L194">
        <v>258</v>
      </c>
      <c r="M194">
        <v>258</v>
      </c>
      <c r="O194" s="61" t="s">
        <v>475</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constants'!$B$4:$C$1012,2,FALSE),"")</f>
        <v>Thieves Guild</v>
      </c>
      <c r="V194" s="33" t="s">
        <v>3266</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constants'!$A$5:$D$10001,4,FALSE),"")</f>
        <v>Maw of Lorkhaj</v>
      </c>
      <c r="AB194" s="33" t="s">
        <v>3266</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constants'!$A$5:$D$10001,4,FALSE),"")</f>
        <v>Maw of Lorkhaj</v>
      </c>
      <c r="AH194" s="33" t="s">
        <v>3266</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8" t="s">
        <v>2653</v>
      </c>
      <c r="BA194" s="78"/>
      <c r="BB194" s="78"/>
      <c r="BC194" s="78"/>
      <c r="BD194" s="78"/>
      <c r="BE194" s="21" t="str">
        <f t="shared" si="17"/>
        <v>[231] = {wayshrines={258,258,258,}, dlcId=DLC_THIEVES_GUILD</v>
      </c>
      <c r="BF194" s="21" t="str">
        <f t="shared" si="18"/>
        <v>, zoneIds={725,725,725}, veteran=false</v>
      </c>
      <c r="BG194" s="21" t="str">
        <f t="shared" si="19"/>
        <v>, setType=LIBSETS_SETTYPE_TRIAL</v>
      </c>
      <c r="BH194" s="21" t="str">
        <f t="shared" si="20"/>
        <v>, dropMechanic={LIBSETS_DROP_MECHANIC_TRIAL_BOSS,LIBSETS_DROP_MECHANIC_TRIAL_BOSS,LIBSETS_DROP_MECHANIC_TRIAL_BOSS}</v>
      </c>
      <c r="BI194" s="21" t="str">
        <f t="shared" si="21"/>
        <v>}, --Lunar Bastion / Mondbastion   [Maw of Lorkhaj, Maw of Lorkhaj, Maw of Lorkhaj]</v>
      </c>
    </row>
    <row r="195" spans="1:61" x14ac:dyDescent="0.25">
      <c r="A195" s="12">
        <v>232</v>
      </c>
      <c r="B195" t="s">
        <v>1033</v>
      </c>
      <c r="C195" t="s">
        <v>1034</v>
      </c>
      <c r="D195" s="3">
        <f t="shared" ref="D195:D258" si="22">A195</f>
        <v>232</v>
      </c>
      <c r="G195" s="8" t="s">
        <v>1477</v>
      </c>
      <c r="I195" t="s">
        <v>91</v>
      </c>
      <c r="J195" t="s">
        <v>91</v>
      </c>
      <c r="K195">
        <v>258</v>
      </c>
      <c r="L195">
        <v>258</v>
      </c>
      <c r="M195">
        <v>258</v>
      </c>
      <c r="O195" s="61" t="s">
        <v>475</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constants'!$B$4:$C$1012,2,FALSE),"")</f>
        <v>Thieves Guild</v>
      </c>
      <c r="V195" s="33" t="s">
        <v>3266</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constants'!$A$5:$D$10001,4,FALSE),"")</f>
        <v>Maw of Lorkhaj</v>
      </c>
      <c r="AB195" s="33" t="s">
        <v>3266</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constants'!$A$5:$D$10001,4,FALSE),"")</f>
        <v>Maw of Lorkhaj</v>
      </c>
      <c r="AH195" s="33" t="s">
        <v>3266</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8" t="s">
        <v>2653</v>
      </c>
      <c r="BA195" s="78"/>
      <c r="BB195" s="78"/>
      <c r="BC195" s="78"/>
      <c r="BD195" s="78"/>
      <c r="BE195" s="21" t="str">
        <f t="shared" si="17"/>
        <v>[232] = {wayshrines={258,258,258,}, dlcId=DLC_THIEVES_GUILD</v>
      </c>
      <c r="BF195" s="21" t="str">
        <f t="shared" si="18"/>
        <v>, zoneIds={725,725,725}, veteran=false</v>
      </c>
      <c r="BG195" s="21" t="str">
        <f t="shared" si="19"/>
        <v>, setType=LIBSETS_SETTYPE_TRIAL</v>
      </c>
      <c r="BH195" s="21" t="str">
        <f t="shared" si="20"/>
        <v>, dropMechanic={LIBSETS_DROP_MECHANIC_TRIAL_BOSS,LIBSETS_DROP_MECHANIC_TRIAL_BOSS,LIBSETS_DROP_MECHANIC_TRIAL_BOSS}</v>
      </c>
      <c r="BI195" s="21" t="str">
        <f t="shared" si="21"/>
        <v>}, --Roar of Alkosh / Brüllen von Alkosh   [Maw of Lorkhaj, Maw of Lorkhaj, Maw of Lorkhaj]</v>
      </c>
    </row>
    <row r="196" spans="1:61" x14ac:dyDescent="0.25">
      <c r="A196" s="12">
        <v>234</v>
      </c>
      <c r="B196" t="s">
        <v>1035</v>
      </c>
      <c r="C196" t="s">
        <v>2586</v>
      </c>
      <c r="D196" s="3">
        <f t="shared" si="22"/>
        <v>234</v>
      </c>
      <c r="G196" s="8" t="s">
        <v>1471</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constants'!$B$4:$C$1012,2,FALSE),"")</f>
        <v>Included in base game</v>
      </c>
      <c r="V196" s="33" t="s">
        <v>1535</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constants'!$A$5:$D$10001,4,FALSE),"")</f>
        <v>Cyrodiil</v>
      </c>
      <c r="AB196" s="33" t="s">
        <v>3737</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constants'!$A$5:$D$10001,4,FALSE),"")</f>
        <v>Cyrodiil</v>
      </c>
      <c r="AH196" s="99" t="s">
        <v>2765</v>
      </c>
      <c r="AK196" s="3">
        <f>IF(AND(G196&lt;&gt;"LIBSETS_SETTYPE_BATTLEGROUND",G196&lt;&gt;"LIBSETS_SETTYPE_SPECIAL"),IF(AL196&lt;&gt;"",VLOOKUP(AL196,'ESO zone constants'!$D$5:$H$4955,5,FALSE),""),"")</f>
        <v>181</v>
      </c>
      <c r="AL196" t="s">
        <v>125</v>
      </c>
      <c r="AM196" s="33" t="s">
        <v>3740</v>
      </c>
      <c r="AP196" s="3">
        <f>IF(AND(G196&lt;&gt;"LIBSETS_SETTYPE_BATTLEGROUND",G196&lt;&gt;"LIBSETS_SETTYPE_SPECIAL"),IF(AQ196&lt;&gt;"",VLOOKUP(AQ196,'ESO zone constants'!$D$5:$H$4955,5,FALSE),""),"")</f>
        <v>181</v>
      </c>
      <c r="AQ196" t="s">
        <v>125</v>
      </c>
      <c r="AR196" s="33" t="s">
        <v>1554</v>
      </c>
      <c r="AU196" s="3">
        <f>IF(AND(G196&lt;&gt;"LIBSETS_SETTYPE_BATTLEGROUND",G196&lt;&gt;"LIBSETS_SETTYPE_SPECIAL"),IF(AV196&lt;&gt;"",VLOOKUP(AV196,'ESO zone constants'!$D$5:$H$4955,5,FALSE),""),"")</f>
        <v>181</v>
      </c>
      <c r="AV196" t="s">
        <v>125</v>
      </c>
      <c r="AW196" s="33" t="s">
        <v>3236</v>
      </c>
      <c r="AZ196" s="78" t="s">
        <v>2654</v>
      </c>
      <c r="BA196" s="78"/>
      <c r="BB196" s="78"/>
      <c r="BC196" s="78"/>
      <c r="BD196" s="78"/>
      <c r="BE196" s="21" t="str">
        <f t="shared" ref="BE196:BE259" si="23">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21" t="str">
        <f t="shared" ref="BF196:BF259" si="24">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21" t="str">
        <f t="shared" ref="BG196:BG259" si="25">IF(A196&lt;&gt;"",IF(F196&lt;&gt;"Not in the game (anymore)",IF(A196&lt;&gt;"",", setType="&amp;G196,"")&amp;IF(G196="LIBSETS_SETTYPE_CLASS",", classId="&amp;BC196,"")&amp;IF(J196="true",", multiTrialSet=true",""),"")
&amp; IF(AND(H196&lt;&gt;"",ISNUMBER(H196)),", undauntedChestId=" &amp; H196,""),"")</f>
        <v>, setType=LIBSETS_SETTYPE_CYRODIIL</v>
      </c>
      <c r="BH196" s="21" t="str">
        <f t="shared" ref="BH196:BH259" si="26">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 t="shared" ref="BI196:BI259" si="27">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2">
        <v>235</v>
      </c>
      <c r="B197" t="s">
        <v>1036</v>
      </c>
      <c r="C197" t="s">
        <v>1037</v>
      </c>
      <c r="D197" s="3">
        <f t="shared" si="22"/>
        <v>235</v>
      </c>
      <c r="G197" s="8" t="s">
        <v>1471</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constants'!$B$4:$C$1012,2,FALSE),"")</f>
        <v>Included in base game</v>
      </c>
      <c r="V197" s="33" t="s">
        <v>1535</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constants'!$A$5:$D$10001,4,FALSE),"")</f>
        <v>Cyrodiil</v>
      </c>
      <c r="AB197" s="33" t="s">
        <v>3737</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constants'!$A$5:$D$10001,4,FALSE),"")</f>
        <v>Cyrodiil</v>
      </c>
      <c r="AH197" s="99" t="s">
        <v>2765</v>
      </c>
      <c r="AK197" s="3">
        <f>IF(AND(G197&lt;&gt;"LIBSETS_SETTYPE_BATTLEGROUND",G197&lt;&gt;"LIBSETS_SETTYPE_SPECIAL"),IF(AL197&lt;&gt;"",VLOOKUP(AL197,'ESO zone constants'!$D$5:$H$4955,5,FALSE),""),"")</f>
        <v>181</v>
      </c>
      <c r="AL197" t="s">
        <v>125</v>
      </c>
      <c r="AM197" s="33" t="s">
        <v>3740</v>
      </c>
      <c r="AP197" s="3">
        <f>IF(AND(G197&lt;&gt;"LIBSETS_SETTYPE_BATTLEGROUND",G197&lt;&gt;"LIBSETS_SETTYPE_SPECIAL"),IF(AQ197&lt;&gt;"",VLOOKUP(AQ197,'ESO zone constants'!$D$5:$H$4955,5,FALSE),""),"")</f>
        <v>181</v>
      </c>
      <c r="AQ197" t="s">
        <v>125</v>
      </c>
      <c r="AR197" s="33" t="s">
        <v>1554</v>
      </c>
      <c r="AU197" s="3">
        <f>IF(AND(G197&lt;&gt;"LIBSETS_SETTYPE_BATTLEGROUND",G197&lt;&gt;"LIBSETS_SETTYPE_SPECIAL"),IF(AV197&lt;&gt;"",VLOOKUP(AV197,'ESO zone constants'!$D$5:$H$4955,5,FALSE),""),"")</f>
        <v>181</v>
      </c>
      <c r="AV197" t="s">
        <v>125</v>
      </c>
      <c r="AW197" s="33" t="s">
        <v>3236</v>
      </c>
      <c r="AZ197" s="78" t="s">
        <v>2653</v>
      </c>
      <c r="BA197" s="78"/>
      <c r="BB197" s="78"/>
      <c r="BC197" s="78"/>
      <c r="BD197" s="78"/>
      <c r="BE197" s="21" t="str">
        <f t="shared" si="23"/>
        <v>[235] = {wayshrines={-1,-1,-1,}, dlcId=DLC_BASE_GAME</v>
      </c>
      <c r="BF197" s="21" t="str">
        <f t="shared" si="24"/>
        <v>, zoneIds={181,181,181,181,181,181}, veteran=false</v>
      </c>
      <c r="BG197" s="21" t="str">
        <f t="shared" si="25"/>
        <v>, setType=LIBSETS_SETTYPE_CYRODIIL</v>
      </c>
      <c r="BH197"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 t="shared" si="27"/>
        <v>}, --Robes of Transmutation / Roben der Transmutation   [Cyrodiil, Cyrodiil, Cyrodiil, Cyrodiil, Cyrodiil, Cyrodiil]</v>
      </c>
    </row>
    <row r="198" spans="1:61" x14ac:dyDescent="0.25">
      <c r="A198" s="12">
        <v>236</v>
      </c>
      <c r="B198" t="s">
        <v>1038</v>
      </c>
      <c r="C198" t="s">
        <v>1039</v>
      </c>
      <c r="D198" s="3">
        <f t="shared" si="22"/>
        <v>236</v>
      </c>
      <c r="G198" s="8" t="s">
        <v>1471</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constants'!$B$4:$C$1012,2,FALSE),"")</f>
        <v>Included in base game</v>
      </c>
      <c r="V198" s="33" t="s">
        <v>2765</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constants'!$A$5:$D$10001,4,FALSE),"")</f>
        <v>Cyrodiil</v>
      </c>
      <c r="AB198" s="33" t="s">
        <v>3737</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constants'!$A$5:$D$10001,4,FALSE),"")</f>
        <v>Cyrodiil</v>
      </c>
      <c r="AH198" s="33" t="s">
        <v>2765</v>
      </c>
      <c r="AK198" s="3">
        <f>IF(AND(G198&lt;&gt;"LIBSETS_SETTYPE_BATTLEGROUND",G198&lt;&gt;"LIBSETS_SETTYPE_SPECIAL"),IF(AL198&lt;&gt;"",VLOOKUP(AL198,'ESO zone constants'!$D$5:$H$4955,5,FALSE),""),"")</f>
        <v>181</v>
      </c>
      <c r="AL198" t="s">
        <v>125</v>
      </c>
      <c r="AM198" s="33" t="s">
        <v>3740</v>
      </c>
      <c r="AP198" s="3">
        <f>IF(AND(G198&lt;&gt;"LIBSETS_SETTYPE_BATTLEGROUND",G198&lt;&gt;"LIBSETS_SETTYPE_SPECIAL"),IF(AQ198&lt;&gt;"",VLOOKUP(AQ198,'ESO zone constants'!$D$5:$H$4955,5,FALSE),""),"")</f>
        <v>181</v>
      </c>
      <c r="AQ198" t="s">
        <v>125</v>
      </c>
      <c r="AR198" s="33" t="s">
        <v>1554</v>
      </c>
      <c r="AU198" s="3">
        <f>IF(AND(G198&lt;&gt;"LIBSETS_SETTYPE_BATTLEGROUND",G198&lt;&gt;"LIBSETS_SETTYPE_SPECIAL"),IF(AV198&lt;&gt;"",VLOOKUP(AV198,'ESO zone constants'!$D$5:$H$4955,5,FALSE),""),"")</f>
        <v>181</v>
      </c>
      <c r="AV198" t="s">
        <v>125</v>
      </c>
      <c r="AW198" s="33" t="s">
        <v>3236</v>
      </c>
      <c r="AZ198" s="78" t="s">
        <v>2653</v>
      </c>
      <c r="BA198" s="78"/>
      <c r="BB198" s="78"/>
      <c r="BC198" s="78"/>
      <c r="BD198" s="78"/>
      <c r="BE198" s="21" t="str">
        <f t="shared" si="23"/>
        <v>[236] = {wayshrines={-1,-1,-1,}, dlcId=DLC_BASE_GAME</v>
      </c>
      <c r="BF198" s="21" t="str">
        <f t="shared" si="24"/>
        <v>, zoneIds={181,181,181,181,181,181}, veteran=false</v>
      </c>
      <c r="BG198" s="21" t="str">
        <f t="shared" si="25"/>
        <v>, setType=LIBSETS_SETTYPE_CYRODIIL</v>
      </c>
      <c r="BH198" s="21" t="str">
        <f t="shared" si="26"/>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 t="shared" si="27"/>
        <v>}, --Vicious Death / Grausamer Tod   [Cyrodiil, Cyrodiil, Cyrodiil, Cyrodiil, Cyrodiil, Cyrodiil]</v>
      </c>
    </row>
    <row r="199" spans="1:61" x14ac:dyDescent="0.25">
      <c r="A199" s="12">
        <v>237</v>
      </c>
      <c r="B199" t="s">
        <v>1040</v>
      </c>
      <c r="C199" t="s">
        <v>2587</v>
      </c>
      <c r="D199" s="3">
        <f t="shared" si="22"/>
        <v>237</v>
      </c>
      <c r="G199" s="8" t="s">
        <v>1471</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constants'!$B$4:$C$1012,2,FALSE),"")</f>
        <v>Included in base game</v>
      </c>
      <c r="V199" s="33" t="s">
        <v>1535</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constants'!$A$5:$D$10001,4,FALSE),"")</f>
        <v>Cyrodiil</v>
      </c>
      <c r="AB199" s="33" t="s">
        <v>3737</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constants'!$A$5:$D$10001,4,FALSE),"")</f>
        <v>Cyrodiil</v>
      </c>
      <c r="AH199" s="99" t="s">
        <v>2765</v>
      </c>
      <c r="AK199" s="3">
        <f>IF(AND(G199&lt;&gt;"LIBSETS_SETTYPE_BATTLEGROUND",G199&lt;&gt;"LIBSETS_SETTYPE_SPECIAL"),IF(AL199&lt;&gt;"",VLOOKUP(AL199,'ESO zone constants'!$D$5:$H$4955,5,FALSE),""),"")</f>
        <v>181</v>
      </c>
      <c r="AL199" t="s">
        <v>125</v>
      </c>
      <c r="AM199" s="33" t="s">
        <v>3740</v>
      </c>
      <c r="AP199" s="3">
        <f>IF(AND(G199&lt;&gt;"LIBSETS_SETTYPE_BATTLEGROUND",G199&lt;&gt;"LIBSETS_SETTYPE_SPECIAL"),IF(AQ199&lt;&gt;"",VLOOKUP(AQ199,'ESO zone constants'!$D$5:$H$4955,5,FALSE),""),"")</f>
        <v>181</v>
      </c>
      <c r="AQ199" t="s">
        <v>125</v>
      </c>
      <c r="AR199" s="33" t="s">
        <v>1554</v>
      </c>
      <c r="AU199" s="3">
        <f>IF(AND(G199&lt;&gt;"LIBSETS_SETTYPE_BATTLEGROUND",G199&lt;&gt;"LIBSETS_SETTYPE_SPECIAL"),IF(AV199&lt;&gt;"",VLOOKUP(AV199,'ESO zone constants'!$D$5:$H$4955,5,FALSE),""),"")</f>
        <v>181</v>
      </c>
      <c r="AV199" t="s">
        <v>125</v>
      </c>
      <c r="AW199" s="33" t="s">
        <v>3236</v>
      </c>
      <c r="AZ199" s="78" t="s">
        <v>2654</v>
      </c>
      <c r="BA199" s="78"/>
      <c r="BB199" s="78"/>
      <c r="BC199" s="78"/>
      <c r="BD199" s="78"/>
      <c r="BE199" s="21" t="str">
        <f t="shared" si="23"/>
        <v>[237] = {wayshrines={-1,-1,-1,}, dlcId=DLC_BASE_GAME</v>
      </c>
      <c r="BF199" s="21" t="str">
        <f t="shared" si="24"/>
        <v>, zoneIds={181,181,181,181,181,181}, veteran=false</v>
      </c>
      <c r="BG199" s="21" t="str">
        <f t="shared" si="25"/>
        <v>, setType=LIBSETS_SETTYPE_CYRODIIL</v>
      </c>
      <c r="BH199" s="21" t="str">
        <f t="shared" si="26"/>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 t="shared" si="27"/>
        <v>}, --Leki\'s Focus / Lekis Fokus   [Cyrodiil, Cyrodiil, Cyrodiil, Cyrodiil, Cyrodiil, Cyrodiil]</v>
      </c>
    </row>
    <row r="200" spans="1:61" x14ac:dyDescent="0.25">
      <c r="A200" s="12">
        <v>238</v>
      </c>
      <c r="B200" t="s">
        <v>1041</v>
      </c>
      <c r="C200" t="s">
        <v>2588</v>
      </c>
      <c r="D200" s="3">
        <f t="shared" si="22"/>
        <v>238</v>
      </c>
      <c r="G200" s="8" t="s">
        <v>1471</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constants'!$B$4:$C$1012,2,FALSE),"")</f>
        <v>Included in base game</v>
      </c>
      <c r="V200" s="33" t="s">
        <v>1535</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constants'!$A$5:$D$10001,4,FALSE),"")</f>
        <v>Cyrodiil</v>
      </c>
      <c r="AB200" s="33" t="s">
        <v>3737</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constants'!$A$5:$D$10001,4,FALSE),"")</f>
        <v>Cyrodiil</v>
      </c>
      <c r="AH200" s="99" t="s">
        <v>2765</v>
      </c>
      <c r="AK200" s="3">
        <f>IF(AND(G200&lt;&gt;"LIBSETS_SETTYPE_BATTLEGROUND",G200&lt;&gt;"LIBSETS_SETTYPE_SPECIAL"),IF(AL200&lt;&gt;"",VLOOKUP(AL200,'ESO zone constants'!$D$5:$H$4955,5,FALSE),""),"")</f>
        <v>181</v>
      </c>
      <c r="AL200" t="s">
        <v>125</v>
      </c>
      <c r="AM200" s="33" t="s">
        <v>3740</v>
      </c>
      <c r="AP200" s="3">
        <f>IF(AND(G200&lt;&gt;"LIBSETS_SETTYPE_BATTLEGROUND",G200&lt;&gt;"LIBSETS_SETTYPE_SPECIAL"),IF(AQ200&lt;&gt;"",VLOOKUP(AQ200,'ESO zone constants'!$D$5:$H$4955,5,FALSE),""),"")</f>
        <v>181</v>
      </c>
      <c r="AQ200" t="s">
        <v>125</v>
      </c>
      <c r="AR200" s="33" t="s">
        <v>1554</v>
      </c>
      <c r="AU200" s="3">
        <f>IF(AND(G200&lt;&gt;"LIBSETS_SETTYPE_BATTLEGROUND",G200&lt;&gt;"LIBSETS_SETTYPE_SPECIAL"),IF(AV200&lt;&gt;"",VLOOKUP(AV200,'ESO zone constants'!$D$5:$H$4955,5,FALSE),""),"")</f>
        <v>181</v>
      </c>
      <c r="AV200" t="s">
        <v>125</v>
      </c>
      <c r="AW200" s="33" t="s">
        <v>3236</v>
      </c>
      <c r="AZ200" s="78" t="s">
        <v>2653</v>
      </c>
      <c r="BA200" s="78"/>
      <c r="BB200" s="78"/>
      <c r="BC200" s="78"/>
      <c r="BD200" s="78"/>
      <c r="BE200" s="21" t="str">
        <f t="shared" si="23"/>
        <v>[238] = {wayshrines={-1,-1,-1,}, dlcId=DLC_BASE_GAME</v>
      </c>
      <c r="BF200" s="21" t="str">
        <f t="shared" si="24"/>
        <v>, zoneIds={181,181,181,181,181,181}, veteran=false</v>
      </c>
      <c r="BG200" s="21" t="str">
        <f t="shared" si="25"/>
        <v>, setType=LIBSETS_SETTYPE_CYRODIIL</v>
      </c>
      <c r="BH200"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 t="shared" si="27"/>
        <v>}, --Fasalla\'s Guile / Fasallas List   [Cyrodiil, Cyrodiil, Cyrodiil, Cyrodiil, Cyrodiil, Cyrodiil]</v>
      </c>
    </row>
    <row r="201" spans="1:61" x14ac:dyDescent="0.25">
      <c r="A201" s="12">
        <v>239</v>
      </c>
      <c r="B201" t="s">
        <v>1042</v>
      </c>
      <c r="C201" t="s">
        <v>2589</v>
      </c>
      <c r="D201" s="3">
        <f t="shared" si="22"/>
        <v>239</v>
      </c>
      <c r="G201" s="8" t="s">
        <v>1471</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constants'!$B$4:$C$1012,2,FALSE),"")</f>
        <v>Included in base game</v>
      </c>
      <c r="V201" s="33" t="s">
        <v>1535</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constants'!$A$5:$D$10001,4,FALSE),"")</f>
        <v>Cyrodiil</v>
      </c>
      <c r="AB201" s="33" t="s">
        <v>3737</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constants'!$A$5:$D$10001,4,FALSE),"")</f>
        <v>Cyrodiil</v>
      </c>
      <c r="AH201" s="99" t="s">
        <v>2765</v>
      </c>
      <c r="AK201" s="3">
        <f>IF(AND(G201&lt;&gt;"LIBSETS_SETTYPE_BATTLEGROUND",G201&lt;&gt;"LIBSETS_SETTYPE_SPECIAL"),IF(AL201&lt;&gt;"",VLOOKUP(AL201,'ESO zone constants'!$D$5:$H$4955,5,FALSE),""),"")</f>
        <v>181</v>
      </c>
      <c r="AL201" t="s">
        <v>125</v>
      </c>
      <c r="AM201" s="33" t="s">
        <v>3740</v>
      </c>
      <c r="AP201" s="3">
        <f>IF(AND(G201&lt;&gt;"LIBSETS_SETTYPE_BATTLEGROUND",G201&lt;&gt;"LIBSETS_SETTYPE_SPECIAL"),IF(AQ201&lt;&gt;"",VLOOKUP(AQ201,'ESO zone constants'!$D$5:$H$4955,5,FALSE),""),"")</f>
        <v>181</v>
      </c>
      <c r="AQ201" t="s">
        <v>125</v>
      </c>
      <c r="AR201" s="33" t="s">
        <v>1554</v>
      </c>
      <c r="AU201" s="3">
        <f>IF(AND(G201&lt;&gt;"LIBSETS_SETTYPE_BATTLEGROUND",G201&lt;&gt;"LIBSETS_SETTYPE_SPECIAL"),IF(AV201&lt;&gt;"",VLOOKUP(AV201,'ESO zone constants'!$D$5:$H$4955,5,FALSE),""),"")</f>
        <v>181</v>
      </c>
      <c r="AV201" t="s">
        <v>125</v>
      </c>
      <c r="AW201" s="33" t="s">
        <v>3236</v>
      </c>
      <c r="AZ201" s="78" t="s">
        <v>2653</v>
      </c>
      <c r="BA201" s="78"/>
      <c r="BB201" s="78"/>
      <c r="BC201" s="78"/>
      <c r="BD201" s="78"/>
      <c r="BE201" s="21" t="str">
        <f t="shared" si="23"/>
        <v>[239] = {wayshrines={-1,-1,-1,}, dlcId=DLC_BASE_GAME</v>
      </c>
      <c r="BF201" s="21" t="str">
        <f t="shared" si="24"/>
        <v>, zoneIds={181,181,181,181,181,181}, veteran=false</v>
      </c>
      <c r="BG201" s="21" t="str">
        <f t="shared" si="25"/>
        <v>, setType=LIBSETS_SETTYPE_CYRODIIL</v>
      </c>
      <c r="BH201"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 t="shared" si="27"/>
        <v>}, --Warrior\'s Fury / Raserei des Kriegers   [Cyrodiil, Cyrodiil, Cyrodiil, Cyrodiil, Cyrodiil, Cyrodiil]</v>
      </c>
    </row>
    <row r="202" spans="1:61" x14ac:dyDescent="0.25">
      <c r="A202" s="5">
        <v>240</v>
      </c>
      <c r="B202" t="s">
        <v>1043</v>
      </c>
      <c r="C202" t="s">
        <v>1044</v>
      </c>
      <c r="D202" s="3">
        <f t="shared" si="22"/>
        <v>240</v>
      </c>
      <c r="G202" s="8" t="s">
        <v>1470</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constants'!$H$3:$K$9989,4,FALSE)),""))</f>
        <v>DLC_BASE_GAME</v>
      </c>
      <c r="U202" s="3" t="str">
        <f>IF(T202&lt;&gt;"",VLOOKUP(T202,'LibSets constants'!$B$4:$C$1012,2,FALSE),"")</f>
        <v>Included in base game</v>
      </c>
      <c r="V202" s="33" t="s">
        <v>3288</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constants'!$A$5:$D$10001,4,FALSE),"")</f>
        <v>Gold Coast</v>
      </c>
      <c r="AB202" s="33" t="s">
        <v>3288</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8" t="s">
        <v>2654</v>
      </c>
      <c r="BA202" s="78"/>
      <c r="BB202" s="78"/>
      <c r="BC202" s="78"/>
      <c r="BD202" s="78"/>
      <c r="BE202" s="21" t="str">
        <f t="shared" si="23"/>
        <v>[240] = {wayshrines={254,254,254,}, traitsNeeded=5, dlcId=DLC_BASE_GAME</v>
      </c>
      <c r="BF202" s="21" t="str">
        <f t="shared" si="24"/>
        <v>, zoneIds={823,823,823}, veteran=false</v>
      </c>
      <c r="BG202" s="21" t="str">
        <f t="shared" si="25"/>
        <v>, setType=LIBSETS_SETTYPE_CRAFTED</v>
      </c>
      <c r="BH202" s="21" t="str">
        <f t="shared" si="26"/>
        <v>, isProcSetAllowedInPvP=1, dropMechanic={LIBSETS_DROP_MECHANIC_CRAFTED,LIBSETS_DROP_MECHANIC_CRAFTED}</v>
      </c>
      <c r="BI202" s="21" t="str">
        <f t="shared" si="27"/>
        <v>}, --Kvatch Gladiator / Gladiator von Kvatch   [Gold Coast, Gold Coast, Gold Coast]</v>
      </c>
    </row>
    <row r="203" spans="1:61" x14ac:dyDescent="0.25">
      <c r="A203" s="5">
        <v>241</v>
      </c>
      <c r="B203" t="s">
        <v>1045</v>
      </c>
      <c r="C203" t="s">
        <v>2590</v>
      </c>
      <c r="D203" s="3">
        <f t="shared" si="22"/>
        <v>241</v>
      </c>
      <c r="G203" s="8" t="s">
        <v>1470</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constants'!$H$3:$K$9989,4,FALSE)),""))</f>
        <v>DLC_BASE_GAME</v>
      </c>
      <c r="U203" s="3" t="str">
        <f>IF(T203&lt;&gt;"",VLOOKUP(T203,'LibSets constants'!$B$4:$C$1012,2,FALSE),"")</f>
        <v>Included in base game</v>
      </c>
      <c r="V203" s="33" t="s">
        <v>3288</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constants'!$A$5:$D$10001,4,FALSE),"")</f>
        <v>Gold Coast</v>
      </c>
      <c r="AB203" s="33" t="s">
        <v>3288</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8" t="s">
        <v>2653</v>
      </c>
      <c r="BA203" s="78"/>
      <c r="BB203" s="78"/>
      <c r="BC203" s="78"/>
      <c r="BD203" s="78"/>
      <c r="BE203" s="21" t="str">
        <f t="shared" si="23"/>
        <v>[241] = {wayshrines={251,251,251,}, traitsNeeded=7, dlcId=DLC_BASE_GAME</v>
      </c>
      <c r="BF203" s="21" t="str">
        <f t="shared" si="24"/>
        <v>, zoneIds={823,823,823}, veteran=false</v>
      </c>
      <c r="BG203" s="21" t="str">
        <f t="shared" si="25"/>
        <v>, setType=LIBSETS_SETTYPE_CRAFTED</v>
      </c>
      <c r="BH203" s="21" t="str">
        <f t="shared" si="26"/>
        <v>, dropMechanic={LIBSETS_DROP_MECHANIC_CRAFTED,LIBSETS_DROP_MECHANIC_CRAFTED}</v>
      </c>
      <c r="BI203" s="21" t="str">
        <f t="shared" si="27"/>
        <v>}, --Varen\'s Legacy / Varens Erbe   [Gold Coast, Gold Coast, Gold Coast]</v>
      </c>
    </row>
    <row r="204" spans="1:61" x14ac:dyDescent="0.25">
      <c r="A204" s="5">
        <v>242</v>
      </c>
      <c r="B204" t="s">
        <v>1046</v>
      </c>
      <c r="C204" t="s">
        <v>2591</v>
      </c>
      <c r="D204" s="3">
        <f t="shared" si="22"/>
        <v>242</v>
      </c>
      <c r="G204" s="8" t="s">
        <v>1470</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constants'!$H$3:$K$9989,4,FALSE)),""))</f>
        <v>DLC_BASE_GAME</v>
      </c>
      <c r="U204" s="3" t="str">
        <f>IF(T204&lt;&gt;"",VLOOKUP(T204,'LibSets constants'!$B$4:$C$1012,2,FALSE),"")</f>
        <v>Included in base game</v>
      </c>
      <c r="V204" s="33" t="s">
        <v>3288</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constants'!$A$5:$D$10001,4,FALSE),"")</f>
        <v>Gold Coast</v>
      </c>
      <c r="AB204" s="33" t="s">
        <v>3288</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8" t="s">
        <v>2653</v>
      </c>
      <c r="BA204" s="78"/>
      <c r="BB204" s="78"/>
      <c r="BC204" s="78"/>
      <c r="BD204" s="78"/>
      <c r="BE204" s="21" t="str">
        <f t="shared" si="23"/>
        <v>[242] = {wayshrines={254,254,254,}, traitsNeeded=9, dlcId=DLC_BASE_GAME</v>
      </c>
      <c r="BF204" s="21" t="str">
        <f t="shared" si="24"/>
        <v>, zoneIds={823,823,823}, veteran=false</v>
      </c>
      <c r="BG204" s="21" t="str">
        <f t="shared" si="25"/>
        <v>, setType=LIBSETS_SETTYPE_CRAFTED</v>
      </c>
      <c r="BH204" s="21" t="str">
        <f t="shared" si="26"/>
        <v>, dropMechanic={LIBSETS_DROP_MECHANIC_CRAFTED,LIBSETS_DROP_MECHANIC_CRAFTED}</v>
      </c>
      <c r="BI204" s="21" t="str">
        <f t="shared" si="27"/>
        <v>}, --Pelinal\'s Aptitude / Pelinals Talent   [Gold Coast, Gold Coast, Gold Coast]</v>
      </c>
    </row>
    <row r="205" spans="1:61" x14ac:dyDescent="0.25">
      <c r="A205" s="12">
        <v>243</v>
      </c>
      <c r="B205" t="s">
        <v>1047</v>
      </c>
      <c r="C205" t="s">
        <v>1048</v>
      </c>
      <c r="D205" s="3">
        <f t="shared" si="22"/>
        <v>243</v>
      </c>
      <c r="G205" s="8" t="s">
        <v>1476</v>
      </c>
      <c r="I205" t="s">
        <v>91</v>
      </c>
      <c r="J205" t="s">
        <v>91</v>
      </c>
      <c r="K205">
        <v>254</v>
      </c>
      <c r="L205">
        <v>254</v>
      </c>
      <c r="M205">
        <v>254</v>
      </c>
      <c r="O205" s="61" t="s">
        <v>513</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constants'!$H$3:$K$9989,4,FALSE)),""))</f>
        <v>DLC_BASE_GAME</v>
      </c>
      <c r="U205" s="3" t="str">
        <f>IF(T205&lt;&gt;"",VLOOKUP(T205,'LibSets constants'!$B$4:$C$1012,2,FALSE),"")</f>
        <v>Included in base game</v>
      </c>
      <c r="V205" s="33" t="s">
        <v>1554</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constants'!$A$5:$D$10001,4,FALSE),"")</f>
        <v>Gold Coast</v>
      </c>
      <c r="AB205" s="33" t="s">
        <v>1555</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constants'!$A$5:$D$10001,4,FALSE),"")</f>
        <v>Gold Coast</v>
      </c>
      <c r="AH205" s="33" t="s">
        <v>1557</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8" t="s">
        <v>2653</v>
      </c>
      <c r="BA205" s="78"/>
      <c r="BB205" s="78"/>
      <c r="BC205" s="78"/>
      <c r="BD205" s="78"/>
      <c r="BE205" s="21" t="str">
        <f t="shared" si="23"/>
        <v>[243] = {wayshrines={254,254,254,}, dlcId=DLC_BASE_GAME</v>
      </c>
      <c r="BF205" s="21" t="str">
        <f t="shared" si="24"/>
        <v>, zoneIds={823,823,823}, veteran=false</v>
      </c>
      <c r="BG205" s="21" t="str">
        <f t="shared" si="25"/>
        <v>, setType=LIBSETS_SETTYPE_OVERLAND</v>
      </c>
      <c r="BH205" s="21" t="str">
        <f t="shared" si="26"/>
        <v>, dropMechanic={LIBSETS_DROP_MECHANIC_OVERLAND_BOSS_DELVE,LIBSETS_DROP_MECHANIC_OVERLAND_WORLDBOSS,LIBSETS_DROP_MECHANIC_OVERLAND_CHEST}</v>
      </c>
      <c r="BI205" s="21" t="str">
        <f t="shared" si="27"/>
        <v>}, --Hide of Morihaus / Haut von Morihaus   [Gold Coast, Gold Coast, Gold Coast]</v>
      </c>
    </row>
    <row r="206" spans="1:61" x14ac:dyDescent="0.25">
      <c r="A206" s="12">
        <v>244</v>
      </c>
      <c r="B206" t="s">
        <v>1049</v>
      </c>
      <c r="C206" t="s">
        <v>1050</v>
      </c>
      <c r="D206" s="3">
        <f t="shared" si="22"/>
        <v>244</v>
      </c>
      <c r="G206" s="8" t="s">
        <v>1476</v>
      </c>
      <c r="I206" t="s">
        <v>91</v>
      </c>
      <c r="J206" t="s">
        <v>91</v>
      </c>
      <c r="K206">
        <v>254</v>
      </c>
      <c r="L206">
        <v>254</v>
      </c>
      <c r="M206">
        <v>254</v>
      </c>
      <c r="O206" s="61" t="s">
        <v>513</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constants'!$H$3:$K$9989,4,FALSE)),""))</f>
        <v>DLC_BASE_GAME</v>
      </c>
      <c r="U206" s="3" t="str">
        <f>IF(T206&lt;&gt;"",VLOOKUP(T206,'LibSets constants'!$B$4:$C$1012,2,FALSE),"")</f>
        <v>Included in base game</v>
      </c>
      <c r="V206" s="33" t="s">
        <v>1554</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constants'!$A$5:$D$10001,4,FALSE),"")</f>
        <v>Gold Coast</v>
      </c>
      <c r="AB206" s="33" t="s">
        <v>1555</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constants'!$A$5:$D$10001,4,FALSE),"")</f>
        <v>Gold Coast</v>
      </c>
      <c r="AH206" s="33" t="s">
        <v>1557</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8" t="s">
        <v>2654</v>
      </c>
      <c r="BA206" s="78"/>
      <c r="BB206" s="78"/>
      <c r="BC206" s="78"/>
      <c r="BD206" s="78"/>
      <c r="BE206" s="21" t="str">
        <f t="shared" si="23"/>
        <v>[244] = {wayshrines={254,254,254,}, dlcId=DLC_BASE_GAME</v>
      </c>
      <c r="BF206" s="21" t="str">
        <f t="shared" si="24"/>
        <v>, zoneIds={823,823,823}, veteran=false</v>
      </c>
      <c r="BG206" s="21" t="str">
        <f t="shared" si="25"/>
        <v>, setType=LIBSETS_SETTYPE_OVERLAND</v>
      </c>
      <c r="BH206" s="21" t="str">
        <f t="shared" si="26"/>
        <v>, isProcSetAllowedInPvP=1, dropMechanic={LIBSETS_DROP_MECHANIC_OVERLAND_BOSS_DELVE,LIBSETS_DROP_MECHANIC_OVERLAND_WORLDBOSS,LIBSETS_DROP_MECHANIC_OVERLAND_CHEST}</v>
      </c>
      <c r="BI206" s="21" t="str">
        <f t="shared" si="27"/>
        <v>}, --Flanking Strategist / Flankierender Stratege   [Gold Coast, Gold Coast, Gold Coast]</v>
      </c>
    </row>
    <row r="207" spans="1:61" x14ac:dyDescent="0.25">
      <c r="A207" s="12">
        <v>245</v>
      </c>
      <c r="B207" t="s">
        <v>1051</v>
      </c>
      <c r="C207" t="s">
        <v>2592</v>
      </c>
      <c r="D207" s="3">
        <f t="shared" si="22"/>
        <v>245</v>
      </c>
      <c r="G207" s="8" t="s">
        <v>1476</v>
      </c>
      <c r="I207" t="s">
        <v>91</v>
      </c>
      <c r="J207" t="s">
        <v>91</v>
      </c>
      <c r="K207">
        <v>254</v>
      </c>
      <c r="L207">
        <v>254</v>
      </c>
      <c r="M207">
        <v>254</v>
      </c>
      <c r="O207" s="61" t="s">
        <v>513</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constants'!$H$3:$K$9989,4,FALSE)),""))</f>
        <v>DLC_BASE_GAME</v>
      </c>
      <c r="U207" s="3" t="str">
        <f>IF(T207&lt;&gt;"",VLOOKUP(T207,'LibSets constants'!$B$4:$C$1012,2,FALSE),"")</f>
        <v>Included in base game</v>
      </c>
      <c r="V207" s="33" t="s">
        <v>1554</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constants'!$A$5:$D$10001,4,FALSE),"")</f>
        <v>Gold Coast</v>
      </c>
      <c r="AB207" s="33" t="s">
        <v>1555</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constants'!$A$5:$D$10001,4,FALSE),"")</f>
        <v>Gold Coast</v>
      </c>
      <c r="AH207" s="33" t="s">
        <v>1557</v>
      </c>
      <c r="AI207" s="39"/>
      <c r="AJ207" s="39"/>
      <c r="AK207" s="3">
        <f>IF(AND(G207&lt;&gt;"LIBSETS_SETTYPE_BATTLEGROUND",G207&lt;&gt;"LIBSETS_SETTYPE_SPECIAL"),IF(AL207&lt;&gt;"",VLOOKUP(AL207,'ESO zone constants'!$D$5:$H$4955,5,FALSE),""),"")</f>
        <v>823</v>
      </c>
      <c r="AL207" t="s">
        <v>513</v>
      </c>
      <c r="AM207" s="3" t="s">
        <v>3212</v>
      </c>
      <c r="AN207" s="39" t="s">
        <v>3747</v>
      </c>
      <c r="AO207" s="39" t="s">
        <v>3748</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8" t="s">
        <v>2653</v>
      </c>
      <c r="BA207" s="78"/>
      <c r="BB207" s="78"/>
      <c r="BC207" s="78"/>
      <c r="BD207" s="78"/>
      <c r="BE207" s="21" t="str">
        <f t="shared" si="23"/>
        <v>[245] = {wayshrines={254,254,254,}, dlcId=DLC_BASE_GAME</v>
      </c>
      <c r="BF207" s="21" t="str">
        <f t="shared" si="24"/>
        <v>, zoneIds={823,823,823,823}, veteran=false</v>
      </c>
      <c r="BG207" s="21" t="str">
        <f t="shared" si="25"/>
        <v>, setType=LIBSETS_SETTYPE_OVERLAND</v>
      </c>
      <c r="BH207" s="21" t="str">
        <f t="shared" si="26"/>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 t="shared" si="27"/>
        <v>}, --Sithis\' Touch / Sithis' Berührung   [Gold Coast, Gold Coast, Gold Coast, Gold Coast]</v>
      </c>
    </row>
    <row r="208" spans="1:61" x14ac:dyDescent="0.25">
      <c r="A208" s="12">
        <v>246</v>
      </c>
      <c r="B208" t="s">
        <v>1052</v>
      </c>
      <c r="C208" t="s">
        <v>2593</v>
      </c>
      <c r="D208" s="3">
        <f t="shared" si="22"/>
        <v>246</v>
      </c>
      <c r="G208" s="8" t="s">
        <v>1474</v>
      </c>
      <c r="I208" t="s">
        <v>91</v>
      </c>
      <c r="J208" t="s">
        <v>91</v>
      </c>
      <c r="K208">
        <v>-1</v>
      </c>
      <c r="L208">
        <v>-1</v>
      </c>
      <c r="M208">
        <v>-1</v>
      </c>
      <c r="O208" s="61" t="s">
        <v>446</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constants'!$H$3:$K$9989,4,FALSE)),""))</f>
        <v>DLC_MORROWIND</v>
      </c>
      <c r="U208" s="3" t="str">
        <f>IF(T208&lt;&gt;"",VLOOKUP(T208,'LibSets constants'!$B$4:$C$1012,2,FALSE),"")</f>
        <v>Morrowind</v>
      </c>
      <c r="V208" s="33" t="s">
        <v>2761</v>
      </c>
      <c r="Y208" s="61"/>
      <c r="Z208" s="3" t="str">
        <f>IF(AND(G208&lt;&gt;"LIBSETS_SETTYPE_BATTLEGROUND",G208&lt;&gt;"LIBSETS_SETTYPE_SPECIAL"),
IF(AND(Y208&lt;&gt;"",ISNUMBER(Y208),NOT(ISNA(Y208))),Y208,
   IF(AND(L208&lt;&gt;"",ISNUMBER(L208),L208&gt;0,NOT(ISNA(L208))),VLOOKUP(L208,'ESO dumped WayshrineInfo'!$K$3:$L$9972,2,FALSE),"")
),"")</f>
        <v/>
      </c>
      <c r="AA208" t="str">
        <f>IF(AND(Z208&lt;&gt;"",ISNUMBER(Z208),NOT(ISNA(Z208))),VLOOKUP(Z208,'ESO zone constants'!$A$5:$D$10001,4,FALSE),"")</f>
        <v/>
      </c>
      <c r="AB208" s="33" t="s">
        <v>3742</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8" t="s">
        <v>2653</v>
      </c>
      <c r="BA208" s="78"/>
      <c r="BB208" s="78"/>
      <c r="BC208" s="78"/>
      <c r="BD208" s="78"/>
      <c r="BE208" s="21" t="str">
        <f t="shared" si="23"/>
        <v>[246] = {wayshrines={-1,-1,-1,}, dlcId=DLC_MORROWIND</v>
      </c>
      <c r="BF208" s="21" t="str">
        <f t="shared" si="24"/>
        <v>, zoneIds={643}, veteran=false</v>
      </c>
      <c r="BG208" s="21" t="str">
        <f t="shared" si="25"/>
        <v>, setType=LIBSETS_SETTYPE_IMPERIALCITY</v>
      </c>
      <c r="BH208" s="21" t="str">
        <f t="shared" si="26"/>
        <v>, dropMechanic={LIBSETS_DROP_MECHANIC_TELVAR_EQUIPMENT_LOCKBOX_MERCHANT,LIBSETS_DROP_MECHANIC_IMPERIAL_CITY_TREASURE_TROVE_SCAMP}</v>
      </c>
      <c r="BI208" s="21" t="str">
        <f t="shared" si="27"/>
        <v>}, --Galerion\'s Revenge / Galerions Revanche   [Imperial Sewers]</v>
      </c>
    </row>
    <row r="209" spans="1:61" x14ac:dyDescent="0.25">
      <c r="A209" s="12">
        <v>247</v>
      </c>
      <c r="B209" t="s">
        <v>1053</v>
      </c>
      <c r="C209" t="s">
        <v>1054</v>
      </c>
      <c r="D209" s="3">
        <f t="shared" si="22"/>
        <v>247</v>
      </c>
      <c r="G209" s="8" t="s">
        <v>1474</v>
      </c>
      <c r="I209" t="s">
        <v>91</v>
      </c>
      <c r="J209" t="s">
        <v>91</v>
      </c>
      <c r="K209">
        <v>-1</v>
      </c>
      <c r="L209">
        <v>-1</v>
      </c>
      <c r="M209">
        <v>-1</v>
      </c>
      <c r="O209" s="61" t="s">
        <v>446</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constants'!$H$3:$K$9989,4,FALSE)),""))</f>
        <v>DLC_MORROWIND</v>
      </c>
      <c r="U209" s="3" t="str">
        <f>IF(T209&lt;&gt;"",VLOOKUP(T209,'LibSets constants'!$B$4:$C$1012,2,FALSE),"")</f>
        <v>Morrowind</v>
      </c>
      <c r="V209" s="33" t="s">
        <v>2761</v>
      </c>
      <c r="Y209" s="61"/>
      <c r="Z209" s="3" t="str">
        <f>IF(AND(G209&lt;&gt;"LIBSETS_SETTYPE_BATTLEGROUND",G209&lt;&gt;"LIBSETS_SETTYPE_SPECIAL"),
IF(AND(Y209&lt;&gt;"",ISNUMBER(Y209),NOT(ISNA(Y209))),Y209,
   IF(AND(L209&lt;&gt;"",ISNUMBER(L209),L209&gt;0,NOT(ISNA(L209))),VLOOKUP(L209,'ESO dumped WayshrineInfo'!$K$3:$L$9972,2,FALSE),"")
),"")</f>
        <v/>
      </c>
      <c r="AA209" t="str">
        <f>IF(AND(Z209&lt;&gt;"",ISNUMBER(Z209),NOT(ISNA(Z209))),VLOOKUP(Z209,'ESO zone constants'!$A$5:$D$10001,4,FALSE),"")</f>
        <v/>
      </c>
      <c r="AB209" s="33" t="s">
        <v>3742</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8" t="s">
        <v>2653</v>
      </c>
      <c r="BA209" s="78"/>
      <c r="BB209" s="78"/>
      <c r="BC209" s="78"/>
      <c r="BD209" s="78"/>
      <c r="BE209" s="21" t="str">
        <f t="shared" si="23"/>
        <v>[247] = {wayshrines={-1,-1,-1,}, dlcId=DLC_MORROWIND</v>
      </c>
      <c r="BF209" s="21" t="str">
        <f t="shared" si="24"/>
        <v>, zoneIds={643}, veteran=false</v>
      </c>
      <c r="BG209" s="21" t="str">
        <f t="shared" si="25"/>
        <v>, setType=LIBSETS_SETTYPE_IMPERIALCITY</v>
      </c>
      <c r="BH209" s="21" t="str">
        <f t="shared" si="26"/>
        <v>, dropMechanic={LIBSETS_DROP_MECHANIC_TELVAR_EQUIPMENT_LOCKBOX_MERCHANT,LIBSETS_DROP_MECHANIC_IMPERIAL_CITY_TREASURE_TROVE_SCAMP}</v>
      </c>
      <c r="BI209" s="21" t="str">
        <f t="shared" si="27"/>
        <v>}, --Vicecanon of Venom / Vizekanoniker des Gifts   [Imperial Sewers]</v>
      </c>
    </row>
    <row r="210" spans="1:61" x14ac:dyDescent="0.25">
      <c r="A210" s="12">
        <v>248</v>
      </c>
      <c r="B210" t="s">
        <v>1055</v>
      </c>
      <c r="C210" t="s">
        <v>1056</v>
      </c>
      <c r="D210" s="3">
        <f t="shared" si="22"/>
        <v>248</v>
      </c>
      <c r="G210" s="8" t="s">
        <v>1474</v>
      </c>
      <c r="I210" t="s">
        <v>91</v>
      </c>
      <c r="J210" t="s">
        <v>91</v>
      </c>
      <c r="K210">
        <v>-1</v>
      </c>
      <c r="L210">
        <v>-1</v>
      </c>
      <c r="M210">
        <v>-1</v>
      </c>
      <c r="O210" s="61" t="s">
        <v>446</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constants'!$H$3:$K$9989,4,FALSE)),""))</f>
        <v>DLC_MORROWIND</v>
      </c>
      <c r="U210" s="3" t="str">
        <f>IF(T210&lt;&gt;"",VLOOKUP(T210,'LibSets constants'!$B$4:$C$1012,2,FALSE),"")</f>
        <v>Morrowind</v>
      </c>
      <c r="V210" s="33" t="s">
        <v>2761</v>
      </c>
      <c r="Y210" s="61"/>
      <c r="Z210" s="3" t="str">
        <f>IF(AND(G210&lt;&gt;"LIBSETS_SETTYPE_BATTLEGROUND",G210&lt;&gt;"LIBSETS_SETTYPE_SPECIAL"),
IF(AND(Y210&lt;&gt;"",ISNUMBER(Y210),NOT(ISNA(Y210))),Y210,
   IF(AND(L210&lt;&gt;"",ISNUMBER(L210),L210&gt;0,NOT(ISNA(L210))),VLOOKUP(L210,'ESO dumped WayshrineInfo'!$K$3:$L$9972,2,FALSE),"")
),"")</f>
        <v/>
      </c>
      <c r="AA210" t="str">
        <f>IF(AND(Z210&lt;&gt;"",ISNUMBER(Z210),NOT(ISNA(Z210))),VLOOKUP(Z210,'ESO zone constants'!$A$5:$D$10001,4,FALSE),"")</f>
        <v/>
      </c>
      <c r="AB210" s="33" t="s">
        <v>3742</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8" t="s">
        <v>2653</v>
      </c>
      <c r="BA210" s="78"/>
      <c r="BB210" s="78"/>
      <c r="BC210" s="78"/>
      <c r="BD210" s="78"/>
      <c r="BE210" s="21" t="str">
        <f t="shared" si="23"/>
        <v>[248] = {wayshrines={-1,-1,-1,}, dlcId=DLC_MORROWIND</v>
      </c>
      <c r="BF210" s="21" t="str">
        <f t="shared" si="24"/>
        <v>, zoneIds={643}, veteran=false</v>
      </c>
      <c r="BG210" s="21" t="str">
        <f t="shared" si="25"/>
        <v>, setType=LIBSETS_SETTYPE_IMPERIALCITY</v>
      </c>
      <c r="BH210" s="21" t="str">
        <f t="shared" si="26"/>
        <v>, dropMechanic={LIBSETS_DROP_MECHANIC_TELVAR_EQUIPMENT_LOCKBOX_MERCHANT,LIBSETS_DROP_MECHANIC_IMPERIAL_CITY_TREASURE_TROVE_SCAMP}</v>
      </c>
      <c r="BI210" s="21" t="str">
        <f t="shared" si="27"/>
        <v>}, --Thews of the Harbinger / Muskeln des Vorboten   [Imperial Sewers]</v>
      </c>
    </row>
    <row r="211" spans="1:61" x14ac:dyDescent="0.25">
      <c r="A211" s="12">
        <v>253</v>
      </c>
      <c r="B211" t="s">
        <v>1057</v>
      </c>
      <c r="C211" t="s">
        <v>1058</v>
      </c>
      <c r="D211" s="3">
        <f t="shared" si="22"/>
        <v>253</v>
      </c>
      <c r="G211" s="8" t="s">
        <v>1474</v>
      </c>
      <c r="I211" t="s">
        <v>91</v>
      </c>
      <c r="J211" t="s">
        <v>91</v>
      </c>
      <c r="K211">
        <v>-1</v>
      </c>
      <c r="L211">
        <v>-1</v>
      </c>
      <c r="M211">
        <v>-1</v>
      </c>
      <c r="O211" s="61" t="s">
        <v>446</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constants'!$H$3:$K$9989,4,FALSE)),""))</f>
        <v>DLC_MORROWIND</v>
      </c>
      <c r="U211" s="3" t="str">
        <f>IF(T211&lt;&gt;"",VLOOKUP(T211,'LibSets constants'!$B$4:$C$1012,2,FALSE),"")</f>
        <v>Morrowind</v>
      </c>
      <c r="V211" s="33" t="s">
        <v>2761</v>
      </c>
      <c r="Y211" s="61"/>
      <c r="Z211" s="3" t="str">
        <f>IF(AND(G211&lt;&gt;"LIBSETS_SETTYPE_BATTLEGROUND",G211&lt;&gt;"LIBSETS_SETTYPE_SPECIAL"),
IF(AND(Y211&lt;&gt;"",ISNUMBER(Y211),NOT(ISNA(Y211))),Y211,
   IF(AND(L211&lt;&gt;"",ISNUMBER(L211),L211&gt;0,NOT(ISNA(L211))),VLOOKUP(L211,'ESO dumped WayshrineInfo'!$K$3:$L$9972,2,FALSE),"")
),"")</f>
        <v/>
      </c>
      <c r="AA211" t="str">
        <f>IF(AND(Z211&lt;&gt;"",ISNUMBER(Z211),NOT(ISNA(Z211))),VLOOKUP(Z211,'ESO zone constants'!$A$5:$D$10001,4,FALSE),"")</f>
        <v/>
      </c>
      <c r="AB211" s="33" t="s">
        <v>3742</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8" t="s">
        <v>2653</v>
      </c>
      <c r="BA211" s="78"/>
      <c r="BB211" s="78"/>
      <c r="BC211" s="78"/>
      <c r="BD211" s="78"/>
      <c r="BE211" s="21" t="str">
        <f t="shared" si="23"/>
        <v>[253] = {wayshrines={-1,-1,-1,}, dlcId=DLC_MORROWIND</v>
      </c>
      <c r="BF211" s="21" t="str">
        <f t="shared" si="24"/>
        <v>, zoneIds={643}, veteran=false</v>
      </c>
      <c r="BG211" s="21" t="str">
        <f t="shared" si="25"/>
        <v>, setType=LIBSETS_SETTYPE_IMPERIALCITY</v>
      </c>
      <c r="BH211" s="21" t="str">
        <f t="shared" si="26"/>
        <v>, dropMechanic={LIBSETS_DROP_MECHANIC_TELVAR_EQUIPMENT_LOCKBOX_MERCHANT,LIBSETS_DROP_MECHANIC_IMPERIAL_CITY_TREASURE_TROVE_SCAMP}</v>
      </c>
      <c r="BI211" s="21" t="str">
        <f t="shared" si="27"/>
        <v>}, --Imperial Physique / Kaiserliche Physis   [Imperial Sewers]</v>
      </c>
    </row>
    <row r="212" spans="1:61" x14ac:dyDescent="0.25">
      <c r="A212" s="5">
        <v>256</v>
      </c>
      <c r="B212" t="s">
        <v>1059</v>
      </c>
      <c r="C212" t="s">
        <v>13</v>
      </c>
      <c r="D212" s="3">
        <f t="shared" si="22"/>
        <v>256</v>
      </c>
      <c r="G212" s="8" t="s">
        <v>1475</v>
      </c>
      <c r="H212" s="86">
        <v>3</v>
      </c>
      <c r="I212" t="s">
        <v>1462</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constants'!$B$4:$C$1012,2,FALSE),"")</f>
        <v>Shadows of the Hist</v>
      </c>
      <c r="V212" s="33" t="s">
        <v>1538</v>
      </c>
      <c r="W212" s="3" t="s">
        <v>1361</v>
      </c>
      <c r="X212" s="3" t="s">
        <v>1627</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8" t="s">
        <v>2653</v>
      </c>
      <c r="BA212" s="78"/>
      <c r="BB212" s="78"/>
      <c r="BC212" s="78"/>
      <c r="BD212" s="78"/>
      <c r="BE212" s="21" t="str">
        <f t="shared" si="23"/>
        <v>[256] = {wayshrines={260,260,260,}, dlcId=DLC_SHADOWS_OF_THE_HIST</v>
      </c>
      <c r="BF212" s="21" t="str">
        <f t="shared" si="24"/>
        <v>, zoneIds={843,117,117}, veteran={[EQUIP_TYPE_HEAD]=true, [EQUIP_TYPE_SHOULDERS]=false}</v>
      </c>
      <c r="BG212" s="21" t="str">
        <f t="shared" si="25"/>
        <v>, setType=LIBSETS_SETTYPE_MONSTER, undauntedChestId=3</v>
      </c>
      <c r="BH212" s="21" t="str">
        <f t="shared" si="26"/>
        <v>, dropMechanic={LIBSETS_DROP_MECHANIC_MONSTER_NAME}, dropMechanicDropLocationNames={['en']={'Tree-Minder Na-Kesh','','','','','',},['de']={'Baumhirtin Na-Kesh','','','','','',},}</v>
      </c>
      <c r="BI212" s="21" t="str">
        <f t="shared" si="27"/>
        <v>}, --Mighty Chudan / Mächtiger Chudan   [Ruins of Mazzatun, Shadowfen, Shadowfen]</v>
      </c>
    </row>
    <row r="213" spans="1:61" x14ac:dyDescent="0.25">
      <c r="A213" s="5">
        <v>257</v>
      </c>
      <c r="B213" t="s">
        <v>32</v>
      </c>
      <c r="C213" t="s">
        <v>32</v>
      </c>
      <c r="D213" s="3">
        <f t="shared" si="22"/>
        <v>257</v>
      </c>
      <c r="G213" s="8" t="s">
        <v>1475</v>
      </c>
      <c r="H213" s="86">
        <v>3</v>
      </c>
      <c r="I213" t="s">
        <v>1462</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constants'!$B$4:$C$1012,2,FALSE),"")</f>
        <v>Shadows of the Hist</v>
      </c>
      <c r="V213" s="33" t="s">
        <v>1538</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8" t="s">
        <v>2653</v>
      </c>
      <c r="BA213" s="78"/>
      <c r="BB213" s="78"/>
      <c r="BC213" s="78"/>
      <c r="BD213" s="78"/>
      <c r="BE213" s="21" t="str">
        <f t="shared" si="23"/>
        <v>[257] = {wayshrines={261,261,261,}, dlcId=DLC_SHADOWS_OF_THE_HIST</v>
      </c>
      <c r="BF213" s="21" t="str">
        <f t="shared" si="24"/>
        <v>, zoneIds={848,117,117}, veteran={[EQUIP_TYPE_HEAD]=true, [EQUIP_TYPE_SHOULDERS]=false}</v>
      </c>
      <c r="BG213" s="21" t="str">
        <f t="shared" si="25"/>
        <v>, setType=LIBSETS_SETTYPE_MONSTER, undauntedChestId=3</v>
      </c>
      <c r="BH213" s="21" t="str">
        <f t="shared" si="26"/>
        <v>, dropMechanic={LIBSETS_DROP_MECHANIC_MONSTER_NAME}, dropMechanicDropLocationNames={['en']={'Velidreth','','','','','',},['de']={'Velidreth','','','','','',},}</v>
      </c>
      <c r="BI213" s="21" t="str">
        <f t="shared" si="27"/>
        <v>}, --Velidreth / Velidreth   [Cradle of Shadows, Shadowfen, Shadowfen]</v>
      </c>
    </row>
    <row r="214" spans="1:61" x14ac:dyDescent="0.25">
      <c r="A214" s="12">
        <v>258</v>
      </c>
      <c r="B214" t="s">
        <v>1060</v>
      </c>
      <c r="C214" t="s">
        <v>1061</v>
      </c>
      <c r="D214" s="3">
        <f t="shared" si="22"/>
        <v>258</v>
      </c>
      <c r="G214" s="8" t="s">
        <v>1473</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constants'!$B$4:$C$1012,2,FALSE),"")</f>
        <v>Shadows of the Hist</v>
      </c>
      <c r="V214" s="33" t="s">
        <v>3285</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8" t="s">
        <v>2654</v>
      </c>
      <c r="BA214" s="78"/>
      <c r="BB214" s="78"/>
      <c r="BC214" s="78"/>
      <c r="BD214" s="78"/>
      <c r="BE214" s="21" t="str">
        <f t="shared" si="23"/>
        <v>[258] = {wayshrines={260,260,260,}, dlcId=DLC_SHADOWS_OF_THE_HIST</v>
      </c>
      <c r="BF214" s="21" t="str">
        <f t="shared" si="24"/>
        <v>, zoneIds={843,117,117}, veteran=false</v>
      </c>
      <c r="BG214" s="21" t="str">
        <f t="shared" si="25"/>
        <v>, setType=LIBSETS_SETTYPE_DUNGEON</v>
      </c>
      <c r="BH214" s="21" t="str">
        <f t="shared" si="26"/>
        <v>, isProcSetAllowedInPvP=1, dropMechanic={LIBSETS_DROP_MECHANIC_GROUP_DUNGEON_BOSS}</v>
      </c>
      <c r="BI214" s="21" t="str">
        <f t="shared" si="27"/>
        <v>}, --Amber Plasm / Bernsteinplasma   [Ruins of Mazzatun, Shadowfen, Shadowfen]</v>
      </c>
    </row>
    <row r="215" spans="1:61" x14ac:dyDescent="0.25">
      <c r="A215" s="12">
        <v>259</v>
      </c>
      <c r="B215" t="s">
        <v>1062</v>
      </c>
      <c r="C215" t="s">
        <v>2594</v>
      </c>
      <c r="D215" s="3">
        <f t="shared" si="22"/>
        <v>259</v>
      </c>
      <c r="G215" s="8" t="s">
        <v>1473</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constants'!$B$4:$C$1012,2,FALSE),"")</f>
        <v>Shadows of the Hist</v>
      </c>
      <c r="V215" s="33" t="s">
        <v>3285</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8" t="s">
        <v>2653</v>
      </c>
      <c r="BA215" s="78"/>
      <c r="BB215" s="78"/>
      <c r="BC215" s="78"/>
      <c r="BD215" s="78"/>
      <c r="BE215" s="21" t="str">
        <f t="shared" si="23"/>
        <v>[259] = {wayshrines={260,260,260,}, dlcId=DLC_SHADOWS_OF_THE_HIST</v>
      </c>
      <c r="BF215" s="21" t="str">
        <f t="shared" si="24"/>
        <v>, zoneIds={843,117,117}, veteran=false</v>
      </c>
      <c r="BG215" s="21" t="str">
        <f t="shared" si="25"/>
        <v>, setType=LIBSETS_SETTYPE_DUNGEON</v>
      </c>
      <c r="BH215" s="21" t="str">
        <f t="shared" si="26"/>
        <v>, dropMechanic={LIBSETS_DROP_MECHANIC_GROUP_DUNGEON_BOSS}</v>
      </c>
      <c r="BI215" s="21" t="str">
        <f t="shared" si="27"/>
        <v>}, --Heem-Jas\' Retribution / Heem-Jas' Vergeltung   [Ruins of Mazzatun, Shadowfen, Shadowfen]</v>
      </c>
    </row>
    <row r="216" spans="1:61" x14ac:dyDescent="0.25">
      <c r="A216" s="12">
        <v>260</v>
      </c>
      <c r="B216" t="s">
        <v>1063</v>
      </c>
      <c r="C216" t="s">
        <v>1064</v>
      </c>
      <c r="D216" s="3">
        <f t="shared" si="22"/>
        <v>260</v>
      </c>
      <c r="G216" s="8" t="s">
        <v>1473</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constants'!$B$4:$C$1012,2,FALSE),"")</f>
        <v>Shadows of the Hist</v>
      </c>
      <c r="V216" s="33" t="s">
        <v>3285</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8" t="s">
        <v>2653</v>
      </c>
      <c r="BA216" s="78"/>
      <c r="BB216" s="78"/>
      <c r="BC216" s="78"/>
      <c r="BD216" s="78"/>
      <c r="BE216" s="21" t="str">
        <f t="shared" si="23"/>
        <v>[260] = {wayshrines={260,260,260,}, dlcId=DLC_SHADOWS_OF_THE_HIST</v>
      </c>
      <c r="BF216" s="21" t="str">
        <f t="shared" si="24"/>
        <v>, zoneIds={843,117,117}, veteran=false</v>
      </c>
      <c r="BG216" s="21" t="str">
        <f t="shared" si="25"/>
        <v>, setType=LIBSETS_SETTYPE_DUNGEON</v>
      </c>
      <c r="BH216" s="21" t="str">
        <f t="shared" si="26"/>
        <v>, dropMechanic={LIBSETS_DROP_MECHANIC_GROUP_DUNGEON_BOSS}</v>
      </c>
      <c r="BI216" s="21" t="str">
        <f t="shared" si="27"/>
        <v>}, --Aspect of Mazzatun / Aspekt von Mazzatun   [Ruins of Mazzatun, Shadowfen, Shadowfen]</v>
      </c>
    </row>
    <row r="217" spans="1:61" x14ac:dyDescent="0.25">
      <c r="A217" s="12">
        <v>261</v>
      </c>
      <c r="B217" t="s">
        <v>1065</v>
      </c>
      <c r="C217" t="s">
        <v>1066</v>
      </c>
      <c r="D217" s="3">
        <f t="shared" si="22"/>
        <v>261</v>
      </c>
      <c r="G217" s="8" t="s">
        <v>1473</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constants'!$B$4:$C$1012,2,FALSE),"")</f>
        <v>Shadows of the Hist</v>
      </c>
      <c r="V217" s="33" t="s">
        <v>3285</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8" t="s">
        <v>2653</v>
      </c>
      <c r="BA217" s="78"/>
      <c r="BB217" s="78"/>
      <c r="BC217" s="78"/>
      <c r="BD217" s="78"/>
      <c r="BE217" s="21" t="str">
        <f t="shared" si="23"/>
        <v>[261] = {wayshrines={261,261,261,}, dlcId=DLC_SHADOWS_OF_THE_HIST</v>
      </c>
      <c r="BF217" s="21" t="str">
        <f t="shared" si="24"/>
        <v>, zoneIds={848,117,117}, veteran=false</v>
      </c>
      <c r="BG217" s="21" t="str">
        <f t="shared" si="25"/>
        <v>, setType=LIBSETS_SETTYPE_DUNGEON</v>
      </c>
      <c r="BH217" s="21" t="str">
        <f t="shared" si="26"/>
        <v>, dropMechanic={LIBSETS_DROP_MECHANIC_GROUP_DUNGEON_BOSS}</v>
      </c>
      <c r="BI217" s="21" t="str">
        <f t="shared" si="27"/>
        <v>}, --Gossamer / Gespinst   [Cradle of Shadows, Shadowfen, Shadowfen]</v>
      </c>
    </row>
    <row r="218" spans="1:61" x14ac:dyDescent="0.25">
      <c r="A218" s="12">
        <v>262</v>
      </c>
      <c r="B218" t="s">
        <v>1067</v>
      </c>
      <c r="C218" t="s">
        <v>1068</v>
      </c>
      <c r="D218" s="3">
        <f t="shared" si="22"/>
        <v>262</v>
      </c>
      <c r="G218" s="8" t="s">
        <v>1473</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constants'!$B$4:$C$1012,2,FALSE),"")</f>
        <v>Shadows of the Hist</v>
      </c>
      <c r="V218" s="33" t="s">
        <v>3285</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8" t="s">
        <v>2653</v>
      </c>
      <c r="BA218" s="78"/>
      <c r="BB218" s="78"/>
      <c r="BC218" s="78"/>
      <c r="BD218" s="78"/>
      <c r="BE218" s="21" t="str">
        <f t="shared" si="23"/>
        <v>[262] = {wayshrines={261,261,261,}, dlcId=DLC_SHADOWS_OF_THE_HIST</v>
      </c>
      <c r="BF218" s="21" t="str">
        <f t="shared" si="24"/>
        <v>, zoneIds={848,117,117}, veteran=false</v>
      </c>
      <c r="BG218" s="21" t="str">
        <f t="shared" si="25"/>
        <v>, setType=LIBSETS_SETTYPE_DUNGEON</v>
      </c>
      <c r="BH218" s="21" t="str">
        <f t="shared" si="26"/>
        <v>, dropMechanic={LIBSETS_DROP_MECHANIC_GROUP_DUNGEON_BOSS}</v>
      </c>
      <c r="BI218" s="21" t="str">
        <f t="shared" si="27"/>
        <v>}, --Widowmaker / Witwenmacher   [Cradle of Shadows, Shadowfen, Shadowfen]</v>
      </c>
    </row>
    <row r="219" spans="1:61" s="28" customFormat="1" x14ac:dyDescent="0.25">
      <c r="A219" s="12">
        <v>263</v>
      </c>
      <c r="B219" t="s">
        <v>1069</v>
      </c>
      <c r="C219" t="s">
        <v>1070</v>
      </c>
      <c r="D219" s="3">
        <f t="shared" si="22"/>
        <v>263</v>
      </c>
      <c r="E219"/>
      <c r="F219"/>
      <c r="G219" s="8" t="s">
        <v>1473</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constants'!$B$4:$C$1012,2,FALSE),"")</f>
        <v>Shadows of the Hist</v>
      </c>
      <c r="V219" s="33" t="s">
        <v>3285</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8" t="s">
        <v>2653</v>
      </c>
      <c r="BA219" s="78"/>
      <c r="BB219" s="78"/>
      <c r="BC219" s="78"/>
      <c r="BD219" s="78"/>
      <c r="BE219" s="21" t="str">
        <f t="shared" si="23"/>
        <v>[263] = {wayshrines={261,261,261,}, dlcId=DLC_SHADOWS_OF_THE_HIST</v>
      </c>
      <c r="BF219" s="21" t="str">
        <f t="shared" si="24"/>
        <v>, zoneIds={848,117,117}, veteran=false</v>
      </c>
      <c r="BG219" s="21" t="str">
        <f t="shared" si="25"/>
        <v>, setType=LIBSETS_SETTYPE_DUNGEON</v>
      </c>
      <c r="BH219" s="21" t="str">
        <f t="shared" si="26"/>
        <v>, dropMechanic={LIBSETS_DROP_MECHANIC_GROUP_DUNGEON_BOSS}</v>
      </c>
      <c r="BI219" s="21" t="str">
        <f t="shared" si="27"/>
        <v>}, --Hand of Mephala / Hand von Mephala   [Cradle of Shadows, Shadowfen, Shadowfen]</v>
      </c>
    </row>
    <row r="220" spans="1:61" s="14" customFormat="1" x14ac:dyDescent="0.25">
      <c r="A220" s="16">
        <v>264</v>
      </c>
      <c r="B220" s="14" t="s">
        <v>1071</v>
      </c>
      <c r="C220" t="s">
        <v>1072</v>
      </c>
      <c r="D220" s="25">
        <f t="shared" si="22"/>
        <v>264</v>
      </c>
      <c r="E220" s="14" t="s">
        <v>1463</v>
      </c>
      <c r="F220" s="14" t="s">
        <v>1460</v>
      </c>
      <c r="G220" s="27" t="s">
        <v>1475</v>
      </c>
      <c r="I220" s="14" t="s">
        <v>1462</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constants'!$B$4:$C$1012,2,FALSE),"")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constants'!$A$5:$D$10001,4,FALSE),"")</f>
        <v/>
      </c>
      <c r="AB220" s="33"/>
      <c r="AC220" s="39" t="str">
        <f>IF(AB220&lt;&gt;"",IF(AB220&lt;&gt;"LIBSETS_DROP_MECHANIC_MONSTER_NAME",VLOOKUP(AB220,'LibSets constants'!$I$4:$L$1012,3,FALSE),""),"")</f>
        <v/>
      </c>
      <c r="AD220" s="39" t="str">
        <f>IF(AB220&lt;&gt;"",IF(AB220&lt;&gt;"LIBSETS_DROP_MECHANIC_MONSTER_NAME",VLOOKUP(AB220,'LibSets constants'!$I$4:$L$1012,4,FALSE),""),"")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8" t="s">
        <v>2653</v>
      </c>
      <c r="BA220" s="78"/>
      <c r="BB220" s="78"/>
      <c r="BC220" s="78"/>
      <c r="BD220" s="78"/>
      <c r="BE220" s="21" t="str">
        <f t="shared" si="23"/>
        <v/>
      </c>
      <c r="BF220" s="21" t="str">
        <f t="shared" si="24"/>
        <v/>
      </c>
      <c r="BG220" s="21" t="str">
        <f t="shared" si="25"/>
        <v/>
      </c>
      <c r="BH220" s="21" t="str">
        <f t="shared" si="26"/>
        <v/>
      </c>
      <c r="BI220" s="21" t="str">
        <f t="shared" si="27"/>
        <v/>
      </c>
    </row>
    <row r="221" spans="1:61" x14ac:dyDescent="0.25">
      <c r="A221" s="5">
        <v>265</v>
      </c>
      <c r="B221" t="s">
        <v>1073</v>
      </c>
      <c r="C221" t="s">
        <v>22</v>
      </c>
      <c r="D221" s="3">
        <f t="shared" si="22"/>
        <v>265</v>
      </c>
      <c r="G221" s="8" t="s">
        <v>1475</v>
      </c>
      <c r="H221" s="86">
        <v>2</v>
      </c>
      <c r="I221" t="s">
        <v>1462</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constants'!$B$4:$C$1012,2,FALSE),"")</f>
        <v>Included in base game</v>
      </c>
      <c r="V221" s="33" t="s">
        <v>1538</v>
      </c>
      <c r="W221" s="3" t="s">
        <v>1360</v>
      </c>
      <c r="X221" s="3" t="s">
        <v>1632</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8" t="s">
        <v>2653</v>
      </c>
      <c r="BA221" s="78"/>
      <c r="BB221" s="78"/>
      <c r="BC221" s="78"/>
      <c r="BD221" s="78"/>
      <c r="BE221" s="21" t="str">
        <f t="shared" si="23"/>
        <v>[265] = {wayshrines={194,194,194,}, dlcId=DLC_BASE_GAME</v>
      </c>
      <c r="BF221" s="21" t="str">
        <f t="shared" si="24"/>
        <v>, zoneIds={380,381,381}, veteran={[EQUIP_TYPE_HEAD]=true, [EQUIP_TYPE_SHOULDERS]=false}</v>
      </c>
      <c r="BG221" s="21" t="str">
        <f t="shared" si="25"/>
        <v>, setType=LIBSETS_SETTYPE_MONSTER, undauntedChestId=2</v>
      </c>
      <c r="BH221" s="21" t="str">
        <f t="shared" si="26"/>
        <v>, dropMechanic={LIBSETS_DROP_MECHANIC_MONSTER_NAME}, dropMechanicDropLocationNames={['en']={'High Kinlord Rilis','','','','','',},['de']={'Sippenhochfürst Rilis','','','','','',},}</v>
      </c>
      <c r="BI221" s="21" t="str">
        <f t="shared" si="27"/>
        <v>}, --Shadowrend / Schattenriss   [The Banished Cells I, Auridon, Auridon]</v>
      </c>
    </row>
    <row r="222" spans="1:61" x14ac:dyDescent="0.25">
      <c r="A222" s="5">
        <v>266</v>
      </c>
      <c r="B222" t="s">
        <v>10</v>
      </c>
      <c r="C222" t="s">
        <v>2595</v>
      </c>
      <c r="D222" s="3">
        <f t="shared" si="22"/>
        <v>266</v>
      </c>
      <c r="G222" s="8" t="s">
        <v>1475</v>
      </c>
      <c r="H222" s="86">
        <v>2</v>
      </c>
      <c r="I222" t="s">
        <v>1462</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constants'!$B$4:$C$1012,2,FALSE),"")</f>
        <v>Included in base game</v>
      </c>
      <c r="V222" s="33" t="s">
        <v>1538</v>
      </c>
      <c r="W222" s="3" t="s">
        <v>1552</v>
      </c>
      <c r="X222" s="3" t="s">
        <v>1625</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8" t="s">
        <v>2653</v>
      </c>
      <c r="BA222" s="78"/>
      <c r="BB222" s="78"/>
      <c r="BC222" s="78"/>
      <c r="BD222" s="78"/>
      <c r="BE222" s="21" t="str">
        <f t="shared" si="23"/>
        <v>[266] = {wayshrines={98,98,98,}, dlcId=DLC_BASE_GAME</v>
      </c>
      <c r="BF222" s="21" t="str">
        <f t="shared" si="24"/>
        <v>, zoneIds={283,41,41}, veteran={[EQUIP_TYPE_HEAD]=true, [EQUIP_TYPE_SHOULDERS]=false}</v>
      </c>
      <c r="BG222" s="21" t="str">
        <f t="shared" si="25"/>
        <v>, setType=LIBSETS_SETTYPE_MONSTER, undauntedChestId=2</v>
      </c>
      <c r="BH222" s="21" t="str">
        <f t="shared" si="26"/>
        <v>, dropMechanic={LIBSETS_DROP_MECHANIC_MONSTER_NAME}, dropMechanicDropLocationNames={['en']={'Kra\'gh the Dreugh King','','','','','',},['de']={'Kra\'gh der Dreughkönig','','','','','',},}</v>
      </c>
      <c r="BI222" s="21" t="str">
        <f t="shared" si="27"/>
        <v>}, --Kra\'gh / Kra'gh   [Fungal Grotto I, Stonefalls, Stonefalls]</v>
      </c>
    </row>
    <row r="223" spans="1:61" x14ac:dyDescent="0.25">
      <c r="A223" s="5">
        <v>267</v>
      </c>
      <c r="B223" t="s">
        <v>1074</v>
      </c>
      <c r="C223" t="s">
        <v>27</v>
      </c>
      <c r="D223" s="3">
        <f t="shared" si="22"/>
        <v>267</v>
      </c>
      <c r="G223" s="8" t="s">
        <v>1475</v>
      </c>
      <c r="H223" s="86">
        <v>2</v>
      </c>
      <c r="I223" t="s">
        <v>1462</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constants'!$B$4:$C$1012,2,FALSE),"")</f>
        <v>Included in base game</v>
      </c>
      <c r="V223" s="33" t="s">
        <v>1538</v>
      </c>
      <c r="W223" s="3" t="s">
        <v>1541</v>
      </c>
      <c r="X223" s="3" t="s">
        <v>1629</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8" t="s">
        <v>2653</v>
      </c>
      <c r="BA223" s="78"/>
      <c r="BB223" s="78"/>
      <c r="BC223" s="78"/>
      <c r="BD223" s="78"/>
      <c r="BE223" s="21" t="str">
        <f t="shared" si="23"/>
        <v>[267] = {wayshrines={193,193,193,}, dlcId=DLC_BASE_GAME</v>
      </c>
      <c r="BF223" s="21" t="str">
        <f t="shared" si="24"/>
        <v>, zoneIds={144,3,3}, veteran={[EQUIP_TYPE_HEAD]=true, [EQUIP_TYPE_SHOULDERS]=false}</v>
      </c>
      <c r="BG223" s="21" t="str">
        <f t="shared" si="25"/>
        <v>, setType=LIBSETS_SETTYPE_MONSTER, undauntedChestId=2</v>
      </c>
      <c r="BH223" s="21" t="str">
        <f t="shared" si="26"/>
        <v>, dropMechanic={LIBSETS_DROP_MECHANIC_MONSTER_NAME}, dropMechanicDropLocationNames={['en']={'The Whisperer','','','','','',},['de']={'Die Flüsterin','','','','','',},}</v>
      </c>
      <c r="BI223" s="21" t="str">
        <f t="shared" si="27"/>
        <v>}, --Swarm Mother / Schwarmmutter   [Spindleclutch I, Glenumbra, Glenumbra]</v>
      </c>
    </row>
    <row r="224" spans="1:61" x14ac:dyDescent="0.25">
      <c r="A224" s="5">
        <v>268</v>
      </c>
      <c r="B224" t="s">
        <v>1075</v>
      </c>
      <c r="C224" t="s">
        <v>21</v>
      </c>
      <c r="D224" s="3">
        <f t="shared" si="22"/>
        <v>268</v>
      </c>
      <c r="G224" s="8" t="s">
        <v>1475</v>
      </c>
      <c r="H224" s="86">
        <v>2</v>
      </c>
      <c r="I224" t="s">
        <v>1462</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constants'!$B$4:$C$1012,2,FALSE),"")</f>
        <v>Included in base game</v>
      </c>
      <c r="V224" s="33" t="s">
        <v>1538</v>
      </c>
      <c r="W224" s="3" t="s">
        <v>21</v>
      </c>
      <c r="X224" s="3" t="s">
        <v>1075</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8" t="s">
        <v>2653</v>
      </c>
      <c r="BA224" s="78"/>
      <c r="BB224" s="78"/>
      <c r="BC224" s="78"/>
      <c r="BD224" s="78"/>
      <c r="BE224" s="21" t="str">
        <f t="shared" si="23"/>
        <v>[268] = {wayshrines={198,198,198,}, dlcId=DLC_BASE_GAME</v>
      </c>
      <c r="BF224" s="21" t="str">
        <f t="shared" si="24"/>
        <v>, zoneIds={63,57,57}, veteran={[EQUIP_TYPE_HEAD]=true, [EQUIP_TYPE_SHOULDERS]=false}</v>
      </c>
      <c r="BG224" s="21" t="str">
        <f t="shared" si="25"/>
        <v>, setType=LIBSETS_SETTYPE_MONSTER, undauntedChestId=2</v>
      </c>
      <c r="BH224" s="21" t="str">
        <f t="shared" si="26"/>
        <v>, dropMechanic={LIBSETS_DROP_MECHANIC_MONSTER_NAME}, dropMechanicDropLocationNames={['en']={'Sentinel of Rkugamz','','','','','',},['de']={'Wachposten von Rkugamz','','','','','',},}</v>
      </c>
      <c r="BI224" s="21" t="str">
        <f t="shared" si="27"/>
        <v>}, --Sentinel of Rkugamz / Wachposten von Rkugamz   [Darkshade Caverns I, Deshaan, Deshaan]</v>
      </c>
    </row>
    <row r="225" spans="1:61" x14ac:dyDescent="0.25">
      <c r="A225" s="5">
        <v>269</v>
      </c>
      <c r="B225" t="s">
        <v>1076</v>
      </c>
      <c r="C225" t="s">
        <v>2</v>
      </c>
      <c r="D225" s="3">
        <f t="shared" si="22"/>
        <v>269</v>
      </c>
      <c r="G225" s="8" t="s">
        <v>1475</v>
      </c>
      <c r="H225" s="86">
        <v>2</v>
      </c>
      <c r="I225" t="s">
        <v>1462</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constants'!$B$4:$C$1012,2,FALSE),"")</f>
        <v>Included in base game</v>
      </c>
      <c r="V225" s="33" t="s">
        <v>1538</v>
      </c>
      <c r="W225" s="3" t="s">
        <v>1542</v>
      </c>
      <c r="X225" s="3" t="s">
        <v>1635</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8" t="s">
        <v>2653</v>
      </c>
      <c r="BA225" s="78"/>
      <c r="BB225" s="78"/>
      <c r="BC225" s="78"/>
      <c r="BD225" s="78"/>
      <c r="BE225" s="21" t="str">
        <f t="shared" si="23"/>
        <v>[269] = {wayshrines={191,191,191,}, dlcId=DLC_BASE_GAME</v>
      </c>
      <c r="BF225" s="21" t="str">
        <f t="shared" si="24"/>
        <v>, zoneIds={126,383,383}, veteran={[EQUIP_TYPE_HEAD]=true, [EQUIP_TYPE_SHOULDERS]=false}</v>
      </c>
      <c r="BG225" s="21" t="str">
        <f t="shared" si="25"/>
        <v>, setType=LIBSETS_SETTYPE_MONSTER, undauntedChestId=2</v>
      </c>
      <c r="BH225" s="21" t="str">
        <f t="shared" si="26"/>
        <v>, dropMechanic={LIBSETS_DROP_MECHANIC_MONSTER_NAME}, dropMechanicDropLocationNames={['en']={'Canonreeve Oraneth','','','','','',},['de']={'Stiftsvogt Oraneth','','','','','',},}</v>
      </c>
      <c r="BI225" s="21" t="str">
        <f t="shared" si="27"/>
        <v>}, --Chokethorn / Würgedorn   [Elden Hollow I, Grahtwood, Grahtwood]</v>
      </c>
    </row>
    <row r="226" spans="1:61" x14ac:dyDescent="0.25">
      <c r="A226" s="5">
        <v>270</v>
      </c>
      <c r="B226" t="s">
        <v>1077</v>
      </c>
      <c r="C226" t="s">
        <v>23</v>
      </c>
      <c r="D226" s="3">
        <f t="shared" si="22"/>
        <v>270</v>
      </c>
      <c r="G226" s="8" t="s">
        <v>1475</v>
      </c>
      <c r="H226" s="86">
        <v>2</v>
      </c>
      <c r="I226" t="s">
        <v>1462</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constants'!$B$4:$C$1012,2,FALSE),"")</f>
        <v>Included in base game</v>
      </c>
      <c r="V226" s="33" t="s">
        <v>1538</v>
      </c>
      <c r="W226" s="3" t="s">
        <v>1638</v>
      </c>
      <c r="X226" s="3" t="s">
        <v>1639</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8" t="s">
        <v>2653</v>
      </c>
      <c r="BA226" s="78"/>
      <c r="BB226" s="78"/>
      <c r="BC226" s="78"/>
      <c r="BD226" s="78"/>
      <c r="BE226" s="21" t="str">
        <f t="shared" si="23"/>
        <v>[270] = {wayshrines={189,189,189,}, dlcId=DLC_BASE_GAME</v>
      </c>
      <c r="BF226" s="21" t="str">
        <f t="shared" si="24"/>
        <v>, zoneIds={146,19,19}, veteran={[EQUIP_TYPE_HEAD]=true, [EQUIP_TYPE_SHOULDERS]=false}</v>
      </c>
      <c r="BG226" s="21" t="str">
        <f t="shared" si="25"/>
        <v>, setType=LIBSETS_SETTYPE_MONSTER, undauntedChestId=2</v>
      </c>
      <c r="BH226" s="21" t="str">
        <f t="shared" si="26"/>
        <v>, dropMechanic={LIBSETS_DROP_MECHANIC_MONSTER_NAME}, dropMechanicDropLocationNames={['en']={'Varaine and Allene Pellingare','','','','','',},['de']={'Varaine und Allene Pellingare','','','','','',},}</v>
      </c>
      <c r="BI226" s="21" t="str">
        <f t="shared" si="27"/>
        <v>}, --Slimecraw / Schleimkropf   [Wayrest Sewers I, Stormhaven, Stormhaven]</v>
      </c>
    </row>
    <row r="227" spans="1:61" x14ac:dyDescent="0.25">
      <c r="A227" s="5">
        <v>271</v>
      </c>
      <c r="B227" t="s">
        <v>20</v>
      </c>
      <c r="C227" t="s">
        <v>20</v>
      </c>
      <c r="D227" s="3">
        <f t="shared" si="22"/>
        <v>271</v>
      </c>
      <c r="G227" s="8" t="s">
        <v>1475</v>
      </c>
      <c r="H227" s="86">
        <v>1</v>
      </c>
      <c r="I227" t="s">
        <v>1462</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constants'!$B$4:$C$1012,2,FALSE),"")</f>
        <v>Included in base game</v>
      </c>
      <c r="V227" s="33" t="s">
        <v>1538</v>
      </c>
      <c r="W227" s="3" t="s">
        <v>1543</v>
      </c>
      <c r="X227" s="3" t="s">
        <v>1617</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8" t="s">
        <v>2653</v>
      </c>
      <c r="BA227" s="78"/>
      <c r="BB227" s="78"/>
      <c r="BC227" s="78"/>
      <c r="BD227" s="78"/>
      <c r="BE227" s="21" t="str">
        <f t="shared" si="23"/>
        <v>[271] = {wayshrines={192,192,192,}, dlcId=DLC_BASE_GAME</v>
      </c>
      <c r="BF227" s="21" t="str">
        <f t="shared" si="24"/>
        <v>, zoneIds={148,117,117}, veteran={[EQUIP_TYPE_HEAD]=true, [EQUIP_TYPE_SHOULDERS]=false}</v>
      </c>
      <c r="BG227" s="21" t="str">
        <f t="shared" si="25"/>
        <v>, setType=LIBSETS_SETTYPE_MONSTER, undauntedChestId=1</v>
      </c>
      <c r="BH227" s="21" t="str">
        <f t="shared" si="26"/>
        <v>, dropMechanic={LIBSETS_DROP_MECHANIC_MONSTER_NAME}, dropMechanicDropLocationNames={['en']={'Sellistrix the Lamia Queen','','','','','',},['de']={'Sellistrix die Lamienkönigin','','','','','',},}</v>
      </c>
      <c r="BI227" s="21" t="str">
        <f t="shared" si="27"/>
        <v>}, --Sellistrix / Sellistrix   [Arx Corinium, Shadowfen, Shadowfen]</v>
      </c>
    </row>
    <row r="228" spans="1:61" x14ac:dyDescent="0.25">
      <c r="A228" s="5">
        <v>272</v>
      </c>
      <c r="B228" t="s">
        <v>1078</v>
      </c>
      <c r="C228" t="s">
        <v>9</v>
      </c>
      <c r="D228" s="3">
        <f t="shared" si="22"/>
        <v>272</v>
      </c>
      <c r="G228" s="8" t="s">
        <v>1475</v>
      </c>
      <c r="H228" s="86">
        <v>1</v>
      </c>
      <c r="I228" t="s">
        <v>1462</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constants'!$B$4:$C$1012,2,FALSE),"")</f>
        <v>Included in base game</v>
      </c>
      <c r="V228" s="33" t="s">
        <v>1538</v>
      </c>
      <c r="W228" s="3" t="s">
        <v>1544</v>
      </c>
      <c r="X228" s="3" t="s">
        <v>1631</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8" t="s">
        <v>2653</v>
      </c>
      <c r="BA228" s="78"/>
      <c r="BB228" s="78"/>
      <c r="BC228" s="78"/>
      <c r="BD228" s="78"/>
      <c r="BE228" s="21" t="str">
        <f t="shared" si="23"/>
        <v>[272] = {wayshrines={197,197,197,}, dlcId=DLC_BASE_GAME</v>
      </c>
      <c r="BF228" s="21" t="str">
        <f t="shared" si="24"/>
        <v>, zoneIds={176,108,108}, veteran={[EQUIP_TYPE_HEAD]=true, [EQUIP_TYPE_SHOULDERS]=false}</v>
      </c>
      <c r="BG228" s="21" t="str">
        <f t="shared" si="25"/>
        <v>, setType=LIBSETS_SETTYPE_MONSTER, undauntedChestId=1</v>
      </c>
      <c r="BH228" s="21" t="str">
        <f t="shared" si="26"/>
        <v>, dropMechanic={LIBSETS_DROP_MECHANIC_MONSTER_NAME}, dropMechanicDropLocationNames={['en']={'Razor Master Erthas','','','','','',},['de']={'Klingenmeister Erthas','','','','','',},}</v>
      </c>
      <c r="BI228" s="21" t="str">
        <f t="shared" si="27"/>
        <v>}, --Infernal Guardian / Infernaler Wächter   [City of Ash I, Greenshade, Greenshade]</v>
      </c>
    </row>
    <row r="229" spans="1:61" x14ac:dyDescent="0.25">
      <c r="A229" s="5">
        <v>273</v>
      </c>
      <c r="B229" t="s">
        <v>8</v>
      </c>
      <c r="C229" t="s">
        <v>8</v>
      </c>
      <c r="D229" s="3">
        <f t="shared" si="22"/>
        <v>273</v>
      </c>
      <c r="G229" s="8" t="s">
        <v>1475</v>
      </c>
      <c r="H229" s="86">
        <v>1</v>
      </c>
      <c r="I229" t="s">
        <v>1462</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constants'!$B$4:$C$1012,2,FALSE),"")</f>
        <v>Included in base game</v>
      </c>
      <c r="V229" s="33" t="s">
        <v>1538</v>
      </c>
      <c r="W229" s="3" t="s">
        <v>2772</v>
      </c>
      <c r="X229" s="3" t="s">
        <v>1623</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8" t="s">
        <v>2653</v>
      </c>
      <c r="BA229" s="78"/>
      <c r="BB229" s="78"/>
      <c r="BC229" s="78"/>
      <c r="BD229" s="78"/>
      <c r="BE229" s="21" t="str">
        <f t="shared" si="23"/>
        <v>[273] = {wayshrines={190,190,190,}, dlcId=DLC_BASE_GAME</v>
      </c>
      <c r="BF229" s="21" t="str">
        <f t="shared" si="24"/>
        <v>, zoneIds={130,20,20}, veteran={[EQUIP_TYPE_HEAD]=true, [EQUIP_TYPE_SHOULDERS]=false}</v>
      </c>
      <c r="BG229" s="21" t="str">
        <f t="shared" si="25"/>
        <v>, setType=LIBSETS_SETTYPE_MONSTER, undauntedChestId=1</v>
      </c>
      <c r="BH229" s="21" t="str">
        <f t="shared" si="26"/>
        <v>, dropMechanic={LIBSETS_DROP_MECHANIC_MONSTER_NAME}, dropMechanicDropLocationNames={['en']={'Ilambris-Athor or Ilambris-Zaven','','','','','',},['de']={'Ilambris Zwillinge','','','','','',},}</v>
      </c>
      <c r="BI229" s="21" t="str">
        <f t="shared" si="27"/>
        <v>}, --Ilambris / Ilambris   [Crypt of Hearts I, Rivenspire, Rivenspire]</v>
      </c>
    </row>
    <row r="230" spans="1:61" x14ac:dyDescent="0.25">
      <c r="A230" s="5">
        <v>274</v>
      </c>
      <c r="B230" t="s">
        <v>1079</v>
      </c>
      <c r="C230" t="s">
        <v>7</v>
      </c>
      <c r="D230" s="3">
        <f t="shared" si="22"/>
        <v>274</v>
      </c>
      <c r="G230" s="8" t="s">
        <v>1475</v>
      </c>
      <c r="H230" s="86">
        <v>1</v>
      </c>
      <c r="I230" t="s">
        <v>1462</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constants'!$B$4:$C$1012,2,FALSE),"")</f>
        <v>Included in base game</v>
      </c>
      <c r="V230" s="33" t="s">
        <v>1538</v>
      </c>
      <c r="W230" s="3" t="s">
        <v>1545</v>
      </c>
      <c r="X230" s="3" t="s">
        <v>1618</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8" t="s">
        <v>2653</v>
      </c>
      <c r="BA230" s="78"/>
      <c r="BB230" s="78"/>
      <c r="BC230" s="78"/>
      <c r="BD230" s="78"/>
      <c r="BE230" s="21" t="str">
        <f t="shared" si="23"/>
        <v>[274] = {wayshrines={195,195,195,}, dlcId=DLC_BASE_GAME</v>
      </c>
      <c r="BF230" s="21" t="str">
        <f t="shared" si="24"/>
        <v>, zoneIds={449,101,101}, veteran={[EQUIP_TYPE_HEAD]=true, [EQUIP_TYPE_SHOULDERS]=false}</v>
      </c>
      <c r="BG230" s="21" t="str">
        <f t="shared" si="25"/>
        <v>, setType=LIBSETS_SETTYPE_MONSTER, undauntedChestId=1</v>
      </c>
      <c r="BH230" s="21" t="str">
        <f t="shared" si="26"/>
        <v>, dropMechanic={LIBSETS_DROP_MECHANIC_MONSTER_NAME}, dropMechanicDropLocationNames={['en']={'Drodda of Icereach','','','','','',},['de']={'Drodda von Eiskap','','','','','',},}</v>
      </c>
      <c r="BI230" s="21" t="str">
        <f t="shared" si="27"/>
        <v>}, --Iceheart / Eisherz   [Direfrost Keep, Eastmarch, Eastmarch]</v>
      </c>
    </row>
    <row r="231" spans="1:61" x14ac:dyDescent="0.25">
      <c r="A231" s="5">
        <v>275</v>
      </c>
      <c r="B231" t="s">
        <v>1080</v>
      </c>
      <c r="C231" t="s">
        <v>26</v>
      </c>
      <c r="D231" s="3">
        <f t="shared" si="22"/>
        <v>275</v>
      </c>
      <c r="G231" s="8" t="s">
        <v>1475</v>
      </c>
      <c r="H231" s="86">
        <v>1</v>
      </c>
      <c r="I231" t="s">
        <v>1462</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constants'!$B$4:$C$1012,2,FALSE),"")</f>
        <v>Included in base game</v>
      </c>
      <c r="V231" s="33" t="s">
        <v>1538</v>
      </c>
      <c r="W231" s="41" t="s">
        <v>1546</v>
      </c>
      <c r="X231" s="41" t="s">
        <v>1637</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8" t="s">
        <v>2653</v>
      </c>
      <c r="BA231" s="78"/>
      <c r="BB231" s="78"/>
      <c r="BC231" s="78"/>
      <c r="BD231" s="78"/>
      <c r="BE231" s="21" t="str">
        <f t="shared" si="23"/>
        <v>[275] = {wayshrines={188,188,188,}, dlcId=DLC_BASE_GAME</v>
      </c>
      <c r="BF231" s="21" t="str">
        <f t="shared" si="24"/>
        <v>, zoneIds={131,58,58}, veteran={[EQUIP_TYPE_HEAD]=true, [EQUIP_TYPE_SHOULDERS]=false}</v>
      </c>
      <c r="BG231" s="21" t="str">
        <f t="shared" si="25"/>
        <v>, setType=LIBSETS_SETTYPE_MONSTER, undauntedChestId=1</v>
      </c>
      <c r="BH231" s="21" t="str">
        <f t="shared" si="26"/>
        <v>, dropMechanic={LIBSETS_DROP_MECHANIC_MONSTER_NAME}, dropMechanicDropLocationNames={['en']={'Stormreeve Neidir','','','','','',},['de']={'Sturmvogt Neidir','','','','','',},}</v>
      </c>
      <c r="BI231" s="21" t="str">
        <f t="shared" si="27"/>
        <v>}, --Stormfist / Sturmfaust   [Tempest Island, Malabal Tor, Malabal Tor]</v>
      </c>
    </row>
    <row r="232" spans="1:61" x14ac:dyDescent="0.25">
      <c r="A232" s="5">
        <v>276</v>
      </c>
      <c r="B232" t="s">
        <v>1081</v>
      </c>
      <c r="C232" t="s">
        <v>29</v>
      </c>
      <c r="D232" s="3">
        <f t="shared" si="22"/>
        <v>276</v>
      </c>
      <c r="G232" s="8" t="s">
        <v>1475</v>
      </c>
      <c r="H232" s="86">
        <v>1</v>
      </c>
      <c r="I232" t="s">
        <v>1462</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constants'!$B$4:$C$1012,2,FALSE),"")</f>
        <v>Included in base game</v>
      </c>
      <c r="V232" s="33" t="s">
        <v>1538</v>
      </c>
      <c r="W232" s="3" t="s">
        <v>1363</v>
      </c>
      <c r="X232" s="3" t="s">
        <v>1613</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8" t="s">
        <v>2653</v>
      </c>
      <c r="BA232" s="78"/>
      <c r="BB232" s="78"/>
      <c r="BC232" s="78"/>
      <c r="BD232" s="78"/>
      <c r="BE232" s="21" t="str">
        <f t="shared" si="23"/>
        <v>[276] = {wayshrines={196,196,196,}, dlcId=DLC_BASE_GAME</v>
      </c>
      <c r="BF232" s="21" t="str">
        <f t="shared" si="24"/>
        <v>, zoneIds={22,104,104}, veteran={[EQUIP_TYPE_HEAD]=true, [EQUIP_TYPE_SHOULDERS]=false}</v>
      </c>
      <c r="BG232" s="21" t="str">
        <f t="shared" si="25"/>
        <v>, setType=LIBSETS_SETTYPE_MONSTER, undauntedChestId=1</v>
      </c>
      <c r="BH232" s="21" t="str">
        <f t="shared" si="26"/>
        <v>, dropMechanic={LIBSETS_DROP_MECHANIC_MONSTER_NAME}, dropMechanicDropLocationNames={['en']={'The Guardian Council','','','','','',},['de']={'Die Wächter','','','','','',},}</v>
      </c>
      <c r="BI232" s="21" t="str">
        <f t="shared" si="27"/>
        <v>}, --Tremorscale / Bebenschuppe   [Volenfell, Alik'r Desert, Alik'r Desert]</v>
      </c>
    </row>
    <row r="233" spans="1:61" x14ac:dyDescent="0.25">
      <c r="A233" s="5">
        <v>277</v>
      </c>
      <c r="B233" t="s">
        <v>1082</v>
      </c>
      <c r="C233" t="s">
        <v>17</v>
      </c>
      <c r="D233" s="3">
        <f t="shared" si="22"/>
        <v>277</v>
      </c>
      <c r="G233" s="8" t="s">
        <v>1475</v>
      </c>
      <c r="H233" s="86">
        <v>1</v>
      </c>
      <c r="I233" t="s">
        <v>1462</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constants'!$B$4:$C$1012,2,FALSE),"")</f>
        <v>Included in base game</v>
      </c>
      <c r="V233" s="33" t="s">
        <v>1538</v>
      </c>
      <c r="W233" s="3" t="s">
        <v>1362</v>
      </c>
      <c r="X233" s="3" t="s">
        <v>1628</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8" t="s">
        <v>2653</v>
      </c>
      <c r="BA233" s="78"/>
      <c r="BB233" s="78"/>
      <c r="BC233" s="78"/>
      <c r="BD233" s="78"/>
      <c r="BE233" s="21" t="str">
        <f t="shared" si="23"/>
        <v>[277] = {wayshrines={186,186,186,}, dlcId=DLC_BASE_GAME</v>
      </c>
      <c r="BF233" s="21" t="str">
        <f t="shared" si="24"/>
        <v>, zoneIds={38,92,92}, veteran={[EQUIP_TYPE_HEAD]=true, [EQUIP_TYPE_SHOULDERS]=false}</v>
      </c>
      <c r="BG233" s="21" t="str">
        <f t="shared" si="25"/>
        <v>, setType=LIBSETS_SETTYPE_MONSTER, undauntedChestId=1</v>
      </c>
      <c r="BH233" s="21" t="str">
        <f t="shared" si="26"/>
        <v>, dropMechanic={LIBSETS_DROP_MECHANIC_MONSTER_NAME}, dropMechanicDropLocationNames={['en']={'Captain Blackheart','','','','','',},['de']={'Kapitän Schwarzherz','','','','','',},}</v>
      </c>
      <c r="BI233" s="21" t="str">
        <f t="shared" si="27"/>
        <v>}, --Pirate Skeleton / Piratenskelett   [Blackheart Haven, Bangkorai, Bangkorai]</v>
      </c>
    </row>
    <row r="234" spans="1:61" x14ac:dyDescent="0.25">
      <c r="A234" s="5">
        <v>278</v>
      </c>
      <c r="B234" t="s">
        <v>1083</v>
      </c>
      <c r="C234" t="s">
        <v>1084</v>
      </c>
      <c r="D234" s="3">
        <f t="shared" si="22"/>
        <v>278</v>
      </c>
      <c r="G234" s="8" t="s">
        <v>1475</v>
      </c>
      <c r="H234" s="86">
        <v>1</v>
      </c>
      <c r="I234" t="s">
        <v>1462</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constants'!$B$4:$C$1012,2,FALSE),"")</f>
        <v>Included in base game</v>
      </c>
      <c r="V234" s="33" t="s">
        <v>1538</v>
      </c>
      <c r="W234" s="3" t="s">
        <v>1615</v>
      </c>
      <c r="X234" s="3" t="s">
        <v>1616</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8" t="s">
        <v>2653</v>
      </c>
      <c r="BA234" s="78"/>
      <c r="BB234" s="78"/>
      <c r="BC234" s="78"/>
      <c r="BD234" s="78"/>
      <c r="BE234" s="21" t="str">
        <f t="shared" si="23"/>
        <v>[278] = {wayshrines={187,187,187,}, dlcId=DLC_BASE_GAME</v>
      </c>
      <c r="BF234" s="21" t="str">
        <f t="shared" si="24"/>
        <v>, zoneIds={64,103,103}, veteran={[EQUIP_TYPE_HEAD]=true, [EQUIP_TYPE_SHOULDERS]=false}</v>
      </c>
      <c r="BG234" s="21" t="str">
        <f t="shared" si="25"/>
        <v>, setType=LIBSETS_SETTYPE_MONSTER, undauntedChestId=1</v>
      </c>
      <c r="BH234" s="21" t="str">
        <f t="shared" si="26"/>
        <v>, dropMechanic={LIBSETS_DROP_MECHANIC_MONSTER_NAME}, dropMechanicDropLocationNames={['en']={'The Lava Queen','','','','','',},['de']={'Die Lavakönigin','','','','','',},}</v>
      </c>
      <c r="BI234" s="21" t="str">
        <f t="shared" si="27"/>
        <v>}, --The Troll King / Trollkönig   [Blessed Crucible, The Rift, The Rift]</v>
      </c>
    </row>
    <row r="235" spans="1:61" x14ac:dyDescent="0.25">
      <c r="A235" s="5">
        <v>279</v>
      </c>
      <c r="B235" t="s">
        <v>19</v>
      </c>
      <c r="C235" t="s">
        <v>19</v>
      </c>
      <c r="D235" s="3">
        <f t="shared" si="22"/>
        <v>279</v>
      </c>
      <c r="G235" s="8" t="s">
        <v>1475</v>
      </c>
      <c r="H235" s="86">
        <v>1</v>
      </c>
      <c r="I235" t="s">
        <v>1462</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constants'!$B$4:$C$1012,2,FALSE),"")</f>
        <v>Included in base game</v>
      </c>
      <c r="V235" s="33" t="s">
        <v>1538</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8" t="s">
        <v>2653</v>
      </c>
      <c r="BA235" s="78"/>
      <c r="BB235" s="78"/>
      <c r="BC235" s="78"/>
      <c r="BD235" s="78"/>
      <c r="BE235" s="21" t="str">
        <f t="shared" si="23"/>
        <v>[279] = {wayshrines={185,185,185,}, dlcId=DLC_BASE_GAME</v>
      </c>
      <c r="BF235" s="21" t="str">
        <f t="shared" si="24"/>
        <v>, zoneIds={31,382,382}, veteran={[EQUIP_TYPE_HEAD]=true, [EQUIP_TYPE_SHOULDERS]=false}</v>
      </c>
      <c r="BG235" s="21" t="str">
        <f t="shared" si="25"/>
        <v>, setType=LIBSETS_SETTYPE_MONSTER, undauntedChestId=1</v>
      </c>
      <c r="BH235" s="21" t="str">
        <f t="shared" si="26"/>
        <v>, dropMechanic={LIBSETS_DROP_MECHANIC_MONSTER_NAME}, dropMechanicDropLocationNames={['en']={'Selene','','','','','',},['de']={'Selene','','','','','',},}</v>
      </c>
      <c r="BI235" s="21" t="str">
        <f t="shared" si="27"/>
        <v>}, --Selene / Selene   [Selene's Web, Reaper's March, Reaper's March]</v>
      </c>
    </row>
    <row r="236" spans="1:61" x14ac:dyDescent="0.25">
      <c r="A236" s="5">
        <v>280</v>
      </c>
      <c r="B236" t="s">
        <v>6</v>
      </c>
      <c r="C236" t="s">
        <v>6</v>
      </c>
      <c r="D236" s="3">
        <f t="shared" si="22"/>
        <v>280</v>
      </c>
      <c r="G236" s="8" t="s">
        <v>1475</v>
      </c>
      <c r="H236" s="86">
        <v>1</v>
      </c>
      <c r="I236" t="s">
        <v>1462</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constants'!$B$4:$C$1012,2,FALSE),"")</f>
        <v>Included in base game</v>
      </c>
      <c r="V236" s="33" t="s">
        <v>1538</v>
      </c>
      <c r="W236" s="3" t="s">
        <v>1547</v>
      </c>
      <c r="X236" s="3" t="s">
        <v>1622</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8" t="s">
        <v>2653</v>
      </c>
      <c r="BA236" s="78"/>
      <c r="BB236" s="78"/>
      <c r="BC236" s="78"/>
      <c r="BD236" s="78"/>
      <c r="BE236" s="21" t="str">
        <f t="shared" si="23"/>
        <v>[280] = {wayshrines={184,184,184,}, dlcId=DLC_BASE_GAME</v>
      </c>
      <c r="BF236" s="21" t="str">
        <f t="shared" si="24"/>
        <v>, zoneIds={11,347,347}, veteran={[EQUIP_TYPE_HEAD]=true, [EQUIP_TYPE_SHOULDERS]=false}</v>
      </c>
      <c r="BG236" s="21" t="str">
        <f t="shared" si="25"/>
        <v>, setType=LIBSETS_SETTYPE_MONSTER, undauntedChestId=1</v>
      </c>
      <c r="BH236" s="21" t="str">
        <f t="shared" si="26"/>
        <v>, dropMechanic={LIBSETS_DROP_MECHANIC_MONSTER_NAME}, dropMechanicDropLocationNames={['en']={'Mad Architect','','','','','',},['de']={'Der Verrückte Architekt','','','','','',},}</v>
      </c>
      <c r="BI236" s="21" t="str">
        <f t="shared" si="27"/>
        <v>}, --Grothdarr / Grothdarr   [Vaults of Madness, Coldharbour, Coldharbour]</v>
      </c>
    </row>
    <row r="237" spans="1:61" x14ac:dyDescent="0.25">
      <c r="A237" s="12">
        <v>281</v>
      </c>
      <c r="B237" t="s">
        <v>1085</v>
      </c>
      <c r="C237" t="s">
        <v>1086</v>
      </c>
      <c r="D237" s="3">
        <f t="shared" si="22"/>
        <v>281</v>
      </c>
      <c r="G237" s="8" t="s">
        <v>1476</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constants'!$B$4:$C$1012,2,FALSE),"")</f>
        <v>Included in base game</v>
      </c>
      <c r="V237" s="42" t="s">
        <v>1557</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constants'!$A$5:$D$10001,4,FALSE),"")</f>
        <v>Khenarthi's Roost</v>
      </c>
      <c r="AB237" s="33" t="s">
        <v>1557</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constants'!$A$5:$D$10001,4,FALSE),"")</f>
        <v>Betnikh</v>
      </c>
      <c r="AH237" s="42" t="s">
        <v>1557</v>
      </c>
      <c r="AI237" s="39"/>
      <c r="AJ237" s="39"/>
      <c r="AK237" s="3">
        <f>IF(AND(G237&lt;&gt;"LIBSETS_SETTYPE_BATTLEGROUND",G237&lt;&gt;"LIBSETS_SETTYPE_SPECIAL"),IF(AL237&lt;&gt;"",VLOOKUP(AL237,'ESO zone constants'!$D$5:$H$4955,5,FALSE),""),"")</f>
        <v>280</v>
      </c>
      <c r="AL237" s="4" t="s">
        <v>196</v>
      </c>
      <c r="AM237" s="33" t="s">
        <v>1557</v>
      </c>
      <c r="AN237" s="39"/>
      <c r="AO237" s="39"/>
      <c r="AP237" s="3">
        <f>IF(AND(G237&lt;&gt;"LIBSETS_SETTYPE_BATTLEGROUND",G237&lt;&gt;"LIBSETS_SETTYPE_SPECIAL"),IF(AQ237&lt;&gt;"",VLOOKUP(AQ237,'ESO zone constants'!$D$5:$H$4955,5,FALSE),""),"")</f>
        <v>281</v>
      </c>
      <c r="AQ237" t="s">
        <v>197</v>
      </c>
      <c r="AR237" s="33" t="s">
        <v>1557</v>
      </c>
      <c r="AS237" s="39"/>
      <c r="AT237" s="39"/>
      <c r="AU237" s="3" t="str">
        <f>IF(AND(G237&lt;&gt;"LIBSETS_SETTYPE_BATTLEGROUND",G237&lt;&gt;"LIBSETS_SETTYPE_SPECIAL"),IF(AV237&lt;&gt;"",VLOOKUP(AV237,'ESO zone constants'!$D$5:$H$4955,5,FALSE),""),"")</f>
        <v/>
      </c>
      <c r="AV237" s="4"/>
      <c r="AX237" s="39"/>
      <c r="AY237" s="39"/>
      <c r="AZ237" s="78" t="s">
        <v>2654</v>
      </c>
      <c r="BA237" s="78"/>
      <c r="BB237" s="78"/>
      <c r="BC237" s="78"/>
      <c r="BD237" s="78"/>
      <c r="BE237" s="21" t="str">
        <f t="shared" si="23"/>
        <v>[281] = {wayshrines={138,141,181,}, dlcId=DLC_BASE_GAME</v>
      </c>
      <c r="BF237" s="21" t="str">
        <f t="shared" si="24"/>
        <v>, zoneIds={534,537,535,280,281}, veteran=false</v>
      </c>
      <c r="BG237" s="21" t="str">
        <f t="shared" si="25"/>
        <v>, setType=LIBSETS_SETTYPE_OVERLAND</v>
      </c>
      <c r="BH237" s="21" t="str">
        <f t="shared" si="26"/>
        <v>, isProcSetAllowedInPvP=1, dropMechanic={LIBSETS_DROP_MECHANIC_OVERLAND_CHEST,LIBSETS_DROP_MECHANIC_OVERLAND_CHEST,LIBSETS_DROP_MECHANIC_OVERLAND_CHEST,LIBSETS_DROP_MECHANIC_OVERLAND_CHEST,LIBSETS_DROP_MECHANIC_OVERLAND_CHEST}</v>
      </c>
      <c r="BI237" s="21" t="str">
        <f t="shared" si="27"/>
        <v>}, --Armor of the Trainee / Rüstung des Auszubildenden   [Stros M'Kai, Khenarthi's Roost, Betnikh, Bleakrock Isle, Bal Foyen]</v>
      </c>
    </row>
    <row r="238" spans="1:61" x14ac:dyDescent="0.25">
      <c r="A238" s="12">
        <v>282</v>
      </c>
      <c r="B238" t="s">
        <v>1087</v>
      </c>
      <c r="C238" t="s">
        <v>1088</v>
      </c>
      <c r="D238" s="3">
        <f t="shared" si="22"/>
        <v>282</v>
      </c>
      <c r="G238" s="8" t="s">
        <v>1476</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constants'!$B$4:$C$1012,2,FALSE),"")</f>
        <v>Included in base game</v>
      </c>
      <c r="V238" s="33" t="s">
        <v>1554</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constants'!$A$5:$D$10001,4,FALSE),"")</f>
        <v>Rivenspire</v>
      </c>
      <c r="AB238" s="33" t="s">
        <v>1555</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constants'!$A$5:$D$10001,4,FALSE),"")</f>
        <v>Obsidian Scar</v>
      </c>
      <c r="AH238" s="42" t="s">
        <v>1556</v>
      </c>
      <c r="AI238" s="39"/>
      <c r="AJ238" s="39"/>
      <c r="AK238" s="3">
        <f>IF(AND(G238&lt;&gt;"LIBSETS_SETTYPE_BATTLEGROUND",G238&lt;&gt;"LIBSETS_SETTYPE_SPECIAL"),IF(AL238&lt;&gt;"",VLOOKUP(AL238,'ESO zone constants'!$D$5:$H$4955,5,FALSE),""),"")</f>
        <v>20</v>
      </c>
      <c r="AL238" t="s">
        <v>105</v>
      </c>
      <c r="AM238" s="33" t="s">
        <v>1557</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8" t="s">
        <v>2653</v>
      </c>
      <c r="BA238" s="78"/>
      <c r="BB238" s="78"/>
      <c r="BC238" s="78"/>
      <c r="BD238" s="78"/>
      <c r="BE238" s="21" t="str">
        <f t="shared" si="23"/>
        <v>[282] = {wayshrines={55,55,55,}, dlcId=DLC_BASE_GAME</v>
      </c>
      <c r="BF238" s="21" t="str">
        <f t="shared" si="24"/>
        <v>, zoneIds={20,20,162,20}, veteran=false</v>
      </c>
      <c r="BG238" s="21" t="str">
        <f t="shared" si="25"/>
        <v>, setType=LIBSETS_SETTYPE_OVERLAND</v>
      </c>
      <c r="BH238" s="21" t="str">
        <f t="shared" si="26"/>
        <v>, dropMechanic={LIBSETS_DROP_MECHANIC_OVERLAND_BOSS_DELVE,LIBSETS_DROP_MECHANIC_OVERLAND_WORLDBOSS,LIBSETS_DROP_MECHANIC_OVERLAND_BOSS_PUBLIC_DUNGEON,LIBSETS_DROP_MECHANIC_OVERLAND_CHEST}</v>
      </c>
      <c r="BI238" s="21" t="str">
        <f t="shared" si="27"/>
        <v>}, --Vampire Cloak / Vampirumhang   [Rivenspire, Rivenspire, Obsidian Scar, Rivenspire]</v>
      </c>
    </row>
    <row r="239" spans="1:61" x14ac:dyDescent="0.25">
      <c r="A239" s="12">
        <v>283</v>
      </c>
      <c r="B239" t="s">
        <v>1089</v>
      </c>
      <c r="C239" t="s">
        <v>1090</v>
      </c>
      <c r="D239" s="3">
        <f t="shared" si="22"/>
        <v>283</v>
      </c>
      <c r="G239" s="8" t="s">
        <v>1476</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constants'!$B$4:$C$1012,2,FALSE),"")</f>
        <v>Included in base game</v>
      </c>
      <c r="V239" s="33" t="s">
        <v>1554</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constants'!$A$5:$D$10001,4,FALSE),"")</f>
        <v>Alik'r Desert</v>
      </c>
      <c r="AB239" s="33" t="s">
        <v>1555</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constants'!$A$5:$D$10001,4,FALSE),"")</f>
        <v>Lost City of the Na-Totambu</v>
      </c>
      <c r="AH239" s="42" t="s">
        <v>1556</v>
      </c>
      <c r="AI239" s="39"/>
      <c r="AJ239" s="39"/>
      <c r="AK239" s="3">
        <f>IF(AND(G239&lt;&gt;"LIBSETS_SETTYPE_BATTLEGROUND",G239&lt;&gt;"LIBSETS_SETTYPE_SPECIAL"),IF(AL239&lt;&gt;"",VLOOKUP(AL239,'ESO zone constants'!$D$5:$H$4955,5,FALSE),""),"")</f>
        <v>104</v>
      </c>
      <c r="AL239" t="s">
        <v>112</v>
      </c>
      <c r="AM239" s="33" t="s">
        <v>1557</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8" t="s">
        <v>2654</v>
      </c>
      <c r="BA239" s="78"/>
      <c r="BB239" s="78"/>
      <c r="BC239" s="78"/>
      <c r="BD239" s="78"/>
      <c r="BE239" s="21" t="str">
        <f t="shared" si="23"/>
        <v>[283] = {wayshrines={61,61,61,}, dlcId=DLC_BASE_GAME</v>
      </c>
      <c r="BF239" s="21" t="str">
        <f t="shared" si="24"/>
        <v>, zoneIds={104,104,308,104}, veteran=false</v>
      </c>
      <c r="BG239" s="21" t="str">
        <f t="shared" si="25"/>
        <v>, setType=LIBSETS_SETTYPE_OVERLAND</v>
      </c>
      <c r="BH239" s="21" t="str">
        <f t="shared" si="26"/>
        <v>, isProcSetAllowedInPvP=1, dropMechanic={LIBSETS_DROP_MECHANIC_OVERLAND_BOSS_DELVE,LIBSETS_DROP_MECHANIC_OVERLAND_WORLDBOSS,LIBSETS_DROP_MECHANIC_OVERLAND_BOSS_PUBLIC_DUNGEON,LIBSETS_DROP_MECHANIC_OVERLAND_CHEST}</v>
      </c>
      <c r="BI239" s="21" t="str">
        <f t="shared" si="27"/>
        <v>}, --Sword-Singer / Schwertsänger   [Alik'r Desert, Alik'r Desert, Lost City of the Na-Totambu, Alik'r Desert]</v>
      </c>
    </row>
    <row r="240" spans="1:61" x14ac:dyDescent="0.25">
      <c r="A240" s="12">
        <v>284</v>
      </c>
      <c r="B240" t="s">
        <v>1091</v>
      </c>
      <c r="C240" t="s">
        <v>1092</v>
      </c>
      <c r="D240" s="3">
        <f t="shared" si="22"/>
        <v>284</v>
      </c>
      <c r="G240" s="8" t="s">
        <v>1476</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constants'!$B$4:$C$1012,2,FALSE),"")</f>
        <v>Included in base game</v>
      </c>
      <c r="V240" s="33" t="s">
        <v>1554</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constants'!$A$5:$D$10001,4,FALSE),"")</f>
        <v>Alik'r Desert</v>
      </c>
      <c r="AB240" s="33" t="s">
        <v>1555</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constants'!$A$5:$D$10001,4,FALSE),"")</f>
        <v>Lost City of the Na-Totambu</v>
      </c>
      <c r="AH240" s="42" t="s">
        <v>1556</v>
      </c>
      <c r="AI240" s="39"/>
      <c r="AJ240" s="39"/>
      <c r="AK240" s="3">
        <f>IF(AND(G240&lt;&gt;"LIBSETS_SETTYPE_BATTLEGROUND",G240&lt;&gt;"LIBSETS_SETTYPE_SPECIAL"),IF(AL240&lt;&gt;"",VLOOKUP(AL240,'ESO zone constants'!$D$5:$H$4955,5,FALSE),""),"")</f>
        <v>104</v>
      </c>
      <c r="AL240" t="s">
        <v>112</v>
      </c>
      <c r="AM240" s="33" t="s">
        <v>1557</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8" t="s">
        <v>2653</v>
      </c>
      <c r="BA240" s="78"/>
      <c r="BB240" s="78"/>
      <c r="BC240" s="78"/>
      <c r="BD240" s="78"/>
      <c r="BE240" s="21" t="str">
        <f t="shared" si="23"/>
        <v>[284] = {wayshrines={61,61,61,}, dlcId=DLC_BASE_GAME</v>
      </c>
      <c r="BF240" s="21" t="str">
        <f t="shared" si="24"/>
        <v>, zoneIds={104,104,308,104}, veteran=false</v>
      </c>
      <c r="BG240" s="21" t="str">
        <f t="shared" si="25"/>
        <v>, setType=LIBSETS_SETTYPE_OVERLAND</v>
      </c>
      <c r="BH240" s="21" t="str">
        <f t="shared" si="26"/>
        <v>, dropMechanic={LIBSETS_DROP_MECHANIC_OVERLAND_BOSS_DELVE,LIBSETS_DROP_MECHANIC_OVERLAND_WORLDBOSS,LIBSETS_DROP_MECHANIC_OVERLAND_BOSS_PUBLIC_DUNGEON,LIBSETS_DROP_MECHANIC_OVERLAND_CHEST}</v>
      </c>
      <c r="BI240" s="21" t="str">
        <f t="shared" si="27"/>
        <v>}, --Order of Diagna / Orden von Diagna   [Alik'r Desert, Alik'r Desert, Lost City of the Na-Totambu, Alik'r Desert]</v>
      </c>
    </row>
    <row r="241" spans="1:61" x14ac:dyDescent="0.25">
      <c r="A241" s="12">
        <v>285</v>
      </c>
      <c r="B241" t="s">
        <v>1093</v>
      </c>
      <c r="C241" t="s">
        <v>1094</v>
      </c>
      <c r="D241" s="3">
        <f t="shared" si="22"/>
        <v>285</v>
      </c>
      <c r="G241" s="8" t="s">
        <v>1476</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constants'!$B$4:$C$1012,2,FALSE),"")</f>
        <v>Included in base game</v>
      </c>
      <c r="V241" s="33" t="s">
        <v>1554</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constants'!$A$5:$D$10001,4,FALSE),"")</f>
        <v>Bangkorai</v>
      </c>
      <c r="AB241" s="33" t="s">
        <v>1555</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constants'!$A$5:$D$10001,4,FALSE),"")</f>
        <v>Razak's Wheel</v>
      </c>
      <c r="AH241" s="42" t="s">
        <v>1556</v>
      </c>
      <c r="AI241" s="39"/>
      <c r="AJ241" s="39"/>
      <c r="AK241" s="3">
        <f>IF(AND(G241&lt;&gt;"LIBSETS_SETTYPE_BATTLEGROUND",G241&lt;&gt;"LIBSETS_SETTYPE_SPECIAL"),IF(AL241&lt;&gt;"",VLOOKUP(AL241,'ESO zone constants'!$D$5:$H$4955,5,FALSE),""),"")</f>
        <v>92</v>
      </c>
      <c r="AL241" t="s">
        <v>109</v>
      </c>
      <c r="AM241" s="33" t="s">
        <v>1557</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8" t="s">
        <v>2653</v>
      </c>
      <c r="BA241" s="78"/>
      <c r="BB241" s="78"/>
      <c r="BC241" s="78"/>
      <c r="BD241" s="78"/>
      <c r="BE241" s="21" t="str">
        <f t="shared" si="23"/>
        <v>[285] = {wayshrines={36,36,36,}, dlcId=DLC_BASE_GAME</v>
      </c>
      <c r="BF241" s="21" t="str">
        <f t="shared" si="24"/>
        <v>, zoneIds={92,92,169,92}, veteran=false</v>
      </c>
      <c r="BG241" s="21" t="str">
        <f t="shared" si="25"/>
        <v>, setType=LIBSETS_SETTYPE_OVERLAND</v>
      </c>
      <c r="BH241" s="21" t="str">
        <f t="shared" si="26"/>
        <v>, dropMechanic={LIBSETS_DROP_MECHANIC_OVERLAND_BOSS_DELVE,LIBSETS_DROP_MECHANIC_OVERLAND_WORLDBOSS,LIBSETS_DROP_MECHANIC_OVERLAND_BOSS_PUBLIC_DUNGEON,LIBSETS_DROP_MECHANIC_OVERLAND_CHEST}</v>
      </c>
      <c r="BI241" s="21" t="str">
        <f t="shared" si="27"/>
        <v>}, --Vampire Lord / Vampirfürst   [Bangkorai, Bangkorai, Razak's Wheel, Bangkorai]</v>
      </c>
    </row>
    <row r="242" spans="1:61" x14ac:dyDescent="0.25">
      <c r="A242" s="12">
        <v>286</v>
      </c>
      <c r="B242" t="s">
        <v>1095</v>
      </c>
      <c r="C242" t="s">
        <v>2531</v>
      </c>
      <c r="D242" s="3">
        <f t="shared" si="22"/>
        <v>286</v>
      </c>
      <c r="E242" s="40"/>
      <c r="G242" s="8" t="s">
        <v>1476</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constants'!$B$4:$C$1012,2,FALSE),"")</f>
        <v>Included in base game</v>
      </c>
      <c r="V242" s="33" t="s">
        <v>1554</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constants'!$A$5:$D$10001,4,FALSE),"")</f>
        <v>Bangkorai</v>
      </c>
      <c r="AB242" s="33" t="s">
        <v>1555</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constants'!$A$5:$D$10001,4,FALSE),"")</f>
        <v>Razak's Wheel</v>
      </c>
      <c r="AH242" s="42" t="s">
        <v>1556</v>
      </c>
      <c r="AI242" s="39"/>
      <c r="AJ242" s="39"/>
      <c r="AK242" s="3">
        <f>IF(AND(G242&lt;&gt;"LIBSETS_SETTYPE_BATTLEGROUND",G242&lt;&gt;"LIBSETS_SETTYPE_SPECIAL"),IF(AL242&lt;&gt;"",VLOOKUP(AL242,'ESO zone constants'!$D$5:$H$4955,5,FALSE),""),"")</f>
        <v>92</v>
      </c>
      <c r="AL242" t="s">
        <v>109</v>
      </c>
      <c r="AM242" s="33" t="s">
        <v>1557</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8" t="s">
        <v>2654</v>
      </c>
      <c r="BA242" s="78"/>
      <c r="BB242" s="78"/>
      <c r="BC242" s="78"/>
      <c r="BD242" s="78"/>
      <c r="BE242" s="21" t="str">
        <f t="shared" si="23"/>
        <v>[286] = {wayshrines={36,36,36,}, dlcId=DLC_BASE_GAME</v>
      </c>
      <c r="BF242" s="21" t="str">
        <f t="shared" si="24"/>
        <v>, zoneIds={92,92,169,92}, veteran=false</v>
      </c>
      <c r="BG242" s="21" t="str">
        <f t="shared" si="25"/>
        <v>, setType=LIBSETS_SETTYPE_OVERLAND</v>
      </c>
      <c r="BH242" s="21" t="str">
        <f t="shared" si="26"/>
        <v>, isProcSetAllowedInPvP=1, dropMechanic={LIBSETS_DROP_MECHANIC_OVERLAND_BOSS_DELVE,LIBSETS_DROP_MECHANIC_OVERLAND_WORLDBOSS,LIBSETS_DROP_MECHANIC_OVERLAND_BOSS_PUBLIC_DUNGEON,LIBSETS_DROP_MECHANIC_OVERLAND_CHEST}</v>
      </c>
      <c r="BI242" s="21" t="str">
        <f t="shared" si="27"/>
        <v>}, --Spriggan\'s Thorns / Dornen des Zweiglings   [Bangkorai, Bangkorai, Razak's Wheel, Bangkorai]</v>
      </c>
    </row>
    <row r="243" spans="1:61" x14ac:dyDescent="0.25">
      <c r="A243" s="12">
        <v>287</v>
      </c>
      <c r="B243" t="s">
        <v>1096</v>
      </c>
      <c r="C243" t="s">
        <v>1097</v>
      </c>
      <c r="D243" s="3">
        <f t="shared" si="22"/>
        <v>287</v>
      </c>
      <c r="G243" s="8" t="s">
        <v>1476</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constants'!$B$4:$C$1012,2,FALSE),"")</f>
        <v>Included in base game</v>
      </c>
      <c r="V243" s="33" t="s">
        <v>1554</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constants'!$A$5:$D$10001,4,FALSE),"")</f>
        <v>Grahtwood</v>
      </c>
      <c r="AB243" s="33" t="s">
        <v>1555</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constants'!$A$5:$D$10001,4,FALSE),"")</f>
        <v>Root Sunder Ruins</v>
      </c>
      <c r="AH243" s="42" t="s">
        <v>1556</v>
      </c>
      <c r="AI243" s="39"/>
      <c r="AJ243" s="39"/>
      <c r="AK243" s="3">
        <f>IF(AND(G243&lt;&gt;"LIBSETS_SETTYPE_BATTLEGROUND",G243&lt;&gt;"LIBSETS_SETTYPE_SPECIAL"),IF(AL243&lt;&gt;"",VLOOKUP(AL243,'ESO zone constants'!$D$5:$H$4955,5,FALSE),""),"")</f>
        <v>383</v>
      </c>
      <c r="AL243" t="s">
        <v>264</v>
      </c>
      <c r="AM243" s="33" t="s">
        <v>1557</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8" t="s">
        <v>2653</v>
      </c>
      <c r="BA243" s="78"/>
      <c r="BB243" s="78"/>
      <c r="BC243" s="78"/>
      <c r="BD243" s="78"/>
      <c r="BE243" s="21" t="str">
        <f t="shared" si="23"/>
        <v>[287] = {wayshrines={214,214,214,}, dlcId=DLC_BASE_GAME</v>
      </c>
      <c r="BF243" s="21" t="str">
        <f t="shared" si="24"/>
        <v>, zoneIds={383,383,124,383}, veteran=false</v>
      </c>
      <c r="BG243" s="21" t="str">
        <f t="shared" si="25"/>
        <v>, setType=LIBSETS_SETTYPE_OVERLAND</v>
      </c>
      <c r="BH243" s="21" t="str">
        <f t="shared" si="26"/>
        <v>, dropMechanic={LIBSETS_DROP_MECHANIC_OVERLAND_BOSS_DELVE,LIBSETS_DROP_MECHANIC_OVERLAND_WORLDBOSS,LIBSETS_DROP_MECHANIC_OVERLAND_BOSS_PUBLIC_DUNGEON,LIBSETS_DROP_MECHANIC_OVERLAND_CHEST}</v>
      </c>
      <c r="BI243" s="21" t="str">
        <f t="shared" si="27"/>
        <v>}, --Green Pact / Der Grüne Pakt   [Grahtwood, Grahtwood, Root Sunder Ruins, Grahtwood]</v>
      </c>
    </row>
    <row r="244" spans="1:61" s="14" customFormat="1" x14ac:dyDescent="0.25">
      <c r="A244" s="12">
        <v>288</v>
      </c>
      <c r="B244" t="s">
        <v>1098</v>
      </c>
      <c r="C244" t="s">
        <v>2596</v>
      </c>
      <c r="D244" s="3">
        <f t="shared" si="22"/>
        <v>288</v>
      </c>
      <c r="E244" s="40"/>
      <c r="F244"/>
      <c r="G244" s="8" t="s">
        <v>1476</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constants'!$B$4:$C$1012,2,FALSE),"")</f>
        <v>Included in base game</v>
      </c>
      <c r="V244" s="33" t="s">
        <v>1554</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constants'!$A$5:$D$10001,4,FALSE),"")</f>
        <v>Greenshade</v>
      </c>
      <c r="AB244" s="33" t="s">
        <v>1555</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constants'!$A$5:$D$10001,4,FALSE),"")</f>
        <v>Rulanyil's Fall</v>
      </c>
      <c r="AH244" s="42" t="s">
        <v>1556</v>
      </c>
      <c r="AI244" s="41"/>
      <c r="AJ244" s="41"/>
      <c r="AK244" s="3">
        <f>IF(AND(G244&lt;&gt;"LIBSETS_SETTYPE_BATTLEGROUND",G244&lt;&gt;"LIBSETS_SETTYPE_SPECIAL"),IF(AL244&lt;&gt;"",VLOOKUP(AL244,'ESO zone constants'!$D$5:$H$4955,5,FALSE),""),"")</f>
        <v>108</v>
      </c>
      <c r="AL244" t="s">
        <v>113</v>
      </c>
      <c r="AM244" s="33" t="s">
        <v>1557</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8" t="s">
        <v>2654</v>
      </c>
      <c r="BA244" s="78"/>
      <c r="BB244" s="78"/>
      <c r="BC244" s="78"/>
      <c r="BD244" s="78"/>
      <c r="BE244" s="21" t="str">
        <f t="shared" si="23"/>
        <v>[288] = {wayshrines={143,143,143,}, dlcId=DLC_BASE_GAME</v>
      </c>
      <c r="BF244" s="21" t="str">
        <f t="shared" si="24"/>
        <v>, zoneIds={108,108,137,108}, veteran=false</v>
      </c>
      <c r="BG244" s="21" t="str">
        <f t="shared" si="25"/>
        <v>, setType=LIBSETS_SETTYPE_OVERLAND</v>
      </c>
      <c r="BH244" s="21" t="str">
        <f t="shared" si="26"/>
        <v>, isProcSetAllowedInPvP=1, dropMechanic={LIBSETS_DROP_MECHANIC_OVERLAND_BOSS_DELVE,LIBSETS_DROP_MECHANIC_OVERLAND_WORLDBOSS,LIBSETS_DROP_MECHANIC_OVERLAND_BOSS_PUBLIC_DUNGEON,LIBSETS_DROP_MECHANIC_OVERLAND_CHEST}</v>
      </c>
      <c r="BI244" s="21" t="str">
        <f t="shared" si="27"/>
        <v>}, --Beekeeper\'s Gear / Werkzeug des Bienenhüters   [Greenshade, Greenshade, Rulanyil's Fall, Greenshade]</v>
      </c>
    </row>
    <row r="245" spans="1:61" x14ac:dyDescent="0.25">
      <c r="A245" s="12">
        <v>289</v>
      </c>
      <c r="B245" t="s">
        <v>1099</v>
      </c>
      <c r="C245" t="s">
        <v>2530</v>
      </c>
      <c r="D245" s="3">
        <f t="shared" si="22"/>
        <v>289</v>
      </c>
      <c r="G245" s="8" t="s">
        <v>1476</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constants'!$B$4:$C$1012,2,FALSE),"")</f>
        <v>Included in base game</v>
      </c>
      <c r="V245" s="33" t="s">
        <v>1554</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constants'!$A$5:$D$10001,4,FALSE),"")</f>
        <v>Malabal Tor</v>
      </c>
      <c r="AB245" s="33" t="s">
        <v>1555</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constants'!$A$5:$D$10001,4,FALSE),"")</f>
        <v>Crimson Cove</v>
      </c>
      <c r="AH245" s="42" t="s">
        <v>1556</v>
      </c>
      <c r="AI245" s="41"/>
      <c r="AJ245" s="41"/>
      <c r="AK245" s="3">
        <f>IF(AND(G245&lt;&gt;"LIBSETS_SETTYPE_BATTLEGROUND",G245&lt;&gt;"LIBSETS_SETTYPE_SPECIAL"),IF(AL245&lt;&gt;"",VLOOKUP(AL245,'ESO zone constants'!$D$5:$H$4955,5,FALSE),""),"")</f>
        <v>58</v>
      </c>
      <c r="AL245" t="s">
        <v>108</v>
      </c>
      <c r="AM245" s="33" t="s">
        <v>1557</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8" t="s">
        <v>2654</v>
      </c>
      <c r="BA245" s="78"/>
      <c r="BB245" s="78"/>
      <c r="BC245" s="78"/>
      <c r="BD245" s="78"/>
      <c r="BE245" s="21" t="str">
        <f t="shared" si="23"/>
        <v>[289] = {wayshrines={102,102,102,}, dlcId=DLC_BASE_GAME</v>
      </c>
      <c r="BF245" s="21" t="str">
        <f t="shared" si="24"/>
        <v>, zoneIds={58,58,138,58}, veteran=false</v>
      </c>
      <c r="BG245" s="21" t="str">
        <f t="shared" si="25"/>
        <v>, setType=LIBSETS_SETTYPE_OVERLAND</v>
      </c>
      <c r="BH245" s="21" t="str">
        <f t="shared" si="26"/>
        <v>, isProcSetAllowedInPvP=1, dropMechanic={LIBSETS_DROP_MECHANIC_OVERLAND_BOSS_DELVE,LIBSETS_DROP_MECHANIC_OVERLAND_WORLDBOSS,LIBSETS_DROP_MECHANIC_OVERLAND_BOSS_PUBLIC_DUNGEON,LIBSETS_DROP_MECHANIC_OVERLAND_CHEST}</v>
      </c>
      <c r="BI245" s="21" t="str">
        <f t="shared" si="27"/>
        <v>}, --Spinner\'s Garments / Gewänder des Webers   [Malabal Tor, Malabal Tor, Crimson Cove, Malabal Tor]</v>
      </c>
    </row>
    <row r="246" spans="1:61" x14ac:dyDescent="0.25">
      <c r="A246" s="12">
        <v>290</v>
      </c>
      <c r="B246" t="s">
        <v>1100</v>
      </c>
      <c r="C246" t="s">
        <v>1101</v>
      </c>
      <c r="D246" s="3">
        <f t="shared" si="22"/>
        <v>290</v>
      </c>
      <c r="G246" s="8" t="s">
        <v>1476</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constants'!$B$4:$C$1012,2,FALSE),"")</f>
        <v>Included in base game</v>
      </c>
      <c r="V246" s="33" t="s">
        <v>1554</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constants'!$A$5:$D$10001,4,FALSE),"")</f>
        <v>Reaper's March</v>
      </c>
      <c r="AB246" s="33" t="s">
        <v>1555</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constants'!$A$5:$D$10001,4,FALSE),"")</f>
        <v>The Vile Manse</v>
      </c>
      <c r="AH246" s="42" t="s">
        <v>1556</v>
      </c>
      <c r="AI246" s="41"/>
      <c r="AJ246" s="41"/>
      <c r="AK246" s="3">
        <f>IF(AND(G246&lt;&gt;"LIBSETS_SETTYPE_BATTLEGROUND",G246&lt;&gt;"LIBSETS_SETTYPE_SPECIAL"),IF(AL246&lt;&gt;"",VLOOKUP(AL246,'ESO zone constants'!$D$5:$H$4955,5,FALSE),""),"")</f>
        <v>382</v>
      </c>
      <c r="AL246" t="s">
        <v>263</v>
      </c>
      <c r="AM246" s="33" t="s">
        <v>1557</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8" t="s">
        <v>2653</v>
      </c>
      <c r="BA246" s="78"/>
      <c r="BB246" s="78"/>
      <c r="BC246" s="78"/>
      <c r="BD246" s="78"/>
      <c r="BE246" s="21" t="str">
        <f t="shared" si="23"/>
        <v>[290] = {wayshrines={162,162,162,}, dlcId=DLC_BASE_GAME</v>
      </c>
      <c r="BF246" s="21" t="str">
        <f t="shared" si="24"/>
        <v>, zoneIds={382,382,487,382}, veteran=false</v>
      </c>
      <c r="BG246" s="21" t="str">
        <f t="shared" si="25"/>
        <v>, setType=LIBSETS_SETTYPE_OVERLAND</v>
      </c>
      <c r="BH246" s="21" t="str">
        <f t="shared" si="26"/>
        <v>, dropMechanic={LIBSETS_DROP_MECHANIC_OVERLAND_BOSS_DELVE,LIBSETS_DROP_MECHANIC_OVERLAND_WORLDBOSS,LIBSETS_DROP_MECHANIC_OVERLAND_BOSS_PUBLIC_DUNGEON,LIBSETS_DROP_MECHANIC_OVERLAND_CHEST}</v>
      </c>
      <c r="BI246" s="21" t="str">
        <f t="shared" si="27"/>
        <v>}, --Skooma Smuggler / Skoomaschmuggler   [Reaper's March, Reaper's March, The Vile Manse, Reaper's March]</v>
      </c>
    </row>
    <row r="247" spans="1:61" x14ac:dyDescent="0.25">
      <c r="A247" s="12">
        <v>291</v>
      </c>
      <c r="B247" t="s">
        <v>1102</v>
      </c>
      <c r="C247" t="s">
        <v>1103</v>
      </c>
      <c r="D247" s="3">
        <f t="shared" si="22"/>
        <v>291</v>
      </c>
      <c r="G247" s="8" t="s">
        <v>1476</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constants'!$B$4:$C$1012,2,FALSE),"")</f>
        <v>Included in base game</v>
      </c>
      <c r="V247" s="33" t="s">
        <v>1554</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constants'!$A$5:$D$10001,4,FALSE),"")</f>
        <v>Stonefalls</v>
      </c>
      <c r="AB247" s="33" t="s">
        <v>1555</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constants'!$A$5:$D$10001,4,FALSE),"")</f>
        <v>Crow's Wood</v>
      </c>
      <c r="AH247" s="42" t="s">
        <v>1556</v>
      </c>
      <c r="AI247" s="41"/>
      <c r="AJ247" s="41"/>
      <c r="AK247" s="3">
        <f>IF(AND(G247&lt;&gt;"LIBSETS_SETTYPE_BATTLEGROUND",G247&lt;&gt;"LIBSETS_SETTYPE_SPECIAL"),IF(AL247&lt;&gt;"",VLOOKUP(AL247,'ESO zone constants'!$D$5:$H$4955,5,FALSE),""),"")</f>
        <v>41</v>
      </c>
      <c r="AL247" t="s">
        <v>106</v>
      </c>
      <c r="AM247" s="33" t="s">
        <v>1557</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8" t="s">
        <v>2653</v>
      </c>
      <c r="BA247" s="78"/>
      <c r="BB247" s="78"/>
      <c r="BC247" s="78"/>
      <c r="BD247" s="78"/>
      <c r="BE247" s="21" t="str">
        <f t="shared" si="23"/>
        <v>[291] = {wayshrines={65,65,65,}, dlcId=DLC_BASE_GAME</v>
      </c>
      <c r="BF247" s="21" t="str">
        <f t="shared" si="24"/>
        <v>, zoneIds={41,41,216,41}, veteran=false</v>
      </c>
      <c r="BG247" s="21" t="str">
        <f t="shared" si="25"/>
        <v>, setType=LIBSETS_SETTYPE_OVERLAND</v>
      </c>
      <c r="BH247" s="21" t="str">
        <f t="shared" si="26"/>
        <v>, dropMechanic={LIBSETS_DROP_MECHANIC_OVERLAND_BOSS_DELVE,LIBSETS_DROP_MECHANIC_OVERLAND_WORLDBOSS,LIBSETS_DROP_MECHANIC_OVERLAND_BOSS_PUBLIC_DUNGEON,LIBSETS_DROP_MECHANIC_OVERLAND_CHEST}</v>
      </c>
      <c r="BI247" s="21" t="str">
        <f t="shared" si="27"/>
        <v>}, --Shalk Exoskeleton / Schröterpanzer   [Stonefalls, Stonefalls, Crow's Wood, Stonefalls]</v>
      </c>
    </row>
    <row r="248" spans="1:61" x14ac:dyDescent="0.25">
      <c r="A248" s="12">
        <v>292</v>
      </c>
      <c r="B248" t="s">
        <v>1104</v>
      </c>
      <c r="C248" t="s">
        <v>2597</v>
      </c>
      <c r="D248" s="3">
        <f t="shared" si="22"/>
        <v>292</v>
      </c>
      <c r="G248" s="8" t="s">
        <v>1476</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constants'!$B$4:$C$1012,2,FALSE),"")</f>
        <v>Included in base game</v>
      </c>
      <c r="V248" s="33" t="s">
        <v>1554</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constants'!$A$5:$D$10001,4,FALSE),"")</f>
        <v>Deshaan</v>
      </c>
      <c r="AB248" s="33" t="s">
        <v>1555</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constants'!$A$5:$D$10001,4,FALSE),"")</f>
        <v>Forgotten Crypts</v>
      </c>
      <c r="AH248" s="42" t="s">
        <v>1556</v>
      </c>
      <c r="AI248" s="41"/>
      <c r="AJ248" s="41"/>
      <c r="AK248" s="3">
        <f>IF(AND(G248&lt;&gt;"LIBSETS_SETTYPE_BATTLEGROUND",G248&lt;&gt;"LIBSETS_SETTYPE_SPECIAL"),IF(AL248&lt;&gt;"",VLOOKUP(AL248,'ESO zone constants'!$D$5:$H$4955,5,FALSE),""),"")</f>
        <v>57</v>
      </c>
      <c r="AL248" t="s">
        <v>107</v>
      </c>
      <c r="AM248" s="33" t="s">
        <v>1557</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8" t="s">
        <v>2653</v>
      </c>
      <c r="BA248" s="78"/>
      <c r="BB248" s="78"/>
      <c r="BC248" s="78"/>
      <c r="BD248" s="78"/>
      <c r="BE248" s="21" t="str">
        <f t="shared" si="23"/>
        <v>[292] = {wayshrines={28,28,28,}, dlcId=DLC_BASE_GAME</v>
      </c>
      <c r="BF248" s="21" t="str">
        <f t="shared" si="24"/>
        <v>, zoneIds={57,57,306,57}, veteran=false</v>
      </c>
      <c r="BG248" s="21" t="str">
        <f t="shared" si="25"/>
        <v>, setType=LIBSETS_SETTYPE_OVERLAND</v>
      </c>
      <c r="BH248" s="21" t="str">
        <f t="shared" si="26"/>
        <v>, dropMechanic={LIBSETS_DROP_MECHANIC_OVERLAND_BOSS_DELVE,LIBSETS_DROP_MECHANIC_OVERLAND_WORLDBOSS,LIBSETS_DROP_MECHANIC_OVERLAND_BOSS_PUBLIC_DUNGEON,LIBSETS_DROP_MECHANIC_OVERLAND_CHEST}</v>
      </c>
      <c r="BI248" s="21" t="str">
        <f t="shared" si="27"/>
        <v>}, --Mother\'s Sorrow / Muttertränen   [Deshaan, Deshaan, Forgotten Crypts, Deshaan]</v>
      </c>
    </row>
    <row r="249" spans="1:61" x14ac:dyDescent="0.25">
      <c r="A249" s="12">
        <v>293</v>
      </c>
      <c r="B249" t="s">
        <v>1105</v>
      </c>
      <c r="C249" t="s">
        <v>1106</v>
      </c>
      <c r="D249" s="3">
        <f t="shared" si="22"/>
        <v>293</v>
      </c>
      <c r="G249" s="8" t="s">
        <v>1476</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constants'!$B$4:$C$1012,2,FALSE),"")</f>
        <v>Included in base game</v>
      </c>
      <c r="V249" s="33" t="s">
        <v>1554</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constants'!$A$5:$D$10001,4,FALSE),"")</f>
        <v>Deshaan</v>
      </c>
      <c r="AB249" s="33" t="s">
        <v>1555</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constants'!$A$5:$D$10001,4,FALSE),"")</f>
        <v>Forgotten Crypts</v>
      </c>
      <c r="AH249" s="42" t="s">
        <v>1556</v>
      </c>
      <c r="AI249" s="41"/>
      <c r="AJ249" s="41"/>
      <c r="AK249" s="3">
        <f>IF(AND(G249&lt;&gt;"LIBSETS_SETTYPE_BATTLEGROUND",G249&lt;&gt;"LIBSETS_SETTYPE_SPECIAL"),IF(AL249&lt;&gt;"",VLOOKUP(AL249,'ESO zone constants'!$D$5:$H$4955,5,FALSE),""),"")</f>
        <v>57</v>
      </c>
      <c r="AL249" t="s">
        <v>107</v>
      </c>
      <c r="AM249" s="33" t="s">
        <v>1557</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8" t="s">
        <v>2654</v>
      </c>
      <c r="BA249" s="78"/>
      <c r="BB249" s="78"/>
      <c r="BC249" s="78"/>
      <c r="BD249" s="78"/>
      <c r="BE249" s="21" t="str">
        <f t="shared" si="23"/>
        <v>[293] = {wayshrines={28,28,28,}, dlcId=DLC_BASE_GAME</v>
      </c>
      <c r="BF249" s="21" t="str">
        <f t="shared" si="24"/>
        <v>, zoneIds={57,57,306,57}, veteran=false</v>
      </c>
      <c r="BG249" s="21" t="str">
        <f t="shared" si="25"/>
        <v>, setType=LIBSETS_SETTYPE_OVERLAND</v>
      </c>
      <c r="BH249" s="21" t="str">
        <f t="shared" si="26"/>
        <v>, isProcSetAllowedInPvP=1, dropMechanic={LIBSETS_DROP_MECHANIC_OVERLAND_BOSS_DELVE,LIBSETS_DROP_MECHANIC_OVERLAND_WORLDBOSS,LIBSETS_DROP_MECHANIC_OVERLAND_BOSS_PUBLIC_DUNGEON,LIBSETS_DROP_MECHANIC_OVERLAND_CHEST}</v>
      </c>
      <c r="BI249" s="21" t="str">
        <f t="shared" si="27"/>
        <v>}, --Plague Doctor / Seuchendoktor   [Deshaan, Deshaan, Forgotten Crypts, Deshaan]</v>
      </c>
    </row>
    <row r="250" spans="1:61" x14ac:dyDescent="0.25">
      <c r="A250" s="12">
        <v>294</v>
      </c>
      <c r="B250" t="s">
        <v>1107</v>
      </c>
      <c r="C250" t="s">
        <v>2598</v>
      </c>
      <c r="D250" s="3">
        <f t="shared" si="22"/>
        <v>294</v>
      </c>
      <c r="G250" s="8" t="s">
        <v>1476</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constants'!$B$4:$C$1012,2,FALSE),"")</f>
        <v>Included in base game</v>
      </c>
      <c r="V250" s="33" t="s">
        <v>1554</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constants'!$A$5:$D$10001,4,FALSE),"")</f>
        <v>The Rift</v>
      </c>
      <c r="AB250" s="33" t="s">
        <v>1555</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constants'!$A$5:$D$10001,4,FALSE),"")</f>
        <v>The Lion's Den</v>
      </c>
      <c r="AH250" s="42" t="s">
        <v>1556</v>
      </c>
      <c r="AI250" s="41"/>
      <c r="AJ250" s="41"/>
      <c r="AK250" s="3">
        <f>IF(AND(G250&lt;&gt;"LIBSETS_SETTYPE_BATTLEGROUND",G250&lt;&gt;"LIBSETS_SETTYPE_SPECIAL"),IF(AL250&lt;&gt;"",VLOOKUP(AL250,'ESO zone constants'!$D$5:$H$4955,5,FALSE),""),"")</f>
        <v>103</v>
      </c>
      <c r="AL250" t="s">
        <v>111</v>
      </c>
      <c r="AM250" s="33" t="s">
        <v>1557</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8" t="s">
        <v>2654</v>
      </c>
      <c r="BA250" s="78"/>
      <c r="BB250" s="78"/>
      <c r="BC250" s="78"/>
      <c r="BD250" s="78"/>
      <c r="BE250" s="21" t="str">
        <f t="shared" si="23"/>
        <v>[294] = {wayshrines={109,109,109,}, dlcId=DLC_BASE_GAME</v>
      </c>
      <c r="BF250" s="21" t="str">
        <f t="shared" si="24"/>
        <v>, zoneIds={103,103,341,103}, veteran=false</v>
      </c>
      <c r="BG250" s="21" t="str">
        <f t="shared" si="25"/>
        <v>, setType=LIBSETS_SETTYPE_OVERLAND</v>
      </c>
      <c r="BH250" s="21" t="str">
        <f t="shared" si="26"/>
        <v>, isProcSetAllowedInPvP=1, dropMechanic={LIBSETS_DROP_MECHANIC_OVERLAND_BOSS_DELVE,LIBSETS_DROP_MECHANIC_OVERLAND_WORLDBOSS,LIBSETS_DROP_MECHANIC_OVERLAND_BOSS_PUBLIC_DUNGEON,LIBSETS_DROP_MECHANIC_OVERLAND_CHEST}</v>
      </c>
      <c r="BI250" s="21" t="str">
        <f t="shared" si="27"/>
        <v>}, --Ysgramor\'s Birthright / Ysgramors Geburtsrecht   [The Rift, The Rift, The Lion's Den, The Rift]</v>
      </c>
    </row>
    <row r="251" spans="1:61" x14ac:dyDescent="0.25">
      <c r="A251" s="12">
        <v>295</v>
      </c>
      <c r="B251" t="s">
        <v>1108</v>
      </c>
      <c r="C251" t="s">
        <v>1109</v>
      </c>
      <c r="D251" s="3">
        <f t="shared" si="22"/>
        <v>295</v>
      </c>
      <c r="G251" s="8" t="s">
        <v>1473</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constants'!$B$4:$C$1012,2,FALSE),"")</f>
        <v>Included in base game</v>
      </c>
      <c r="V251" s="33" t="s">
        <v>3285</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constants'!$A$5:$D$10001,4,FALSE),"")</f>
        <v>The Banished Cells II</v>
      </c>
      <c r="AB251" s="33" t="s">
        <v>3285</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constants'!$A$5:$D$10001,4,FALSE),"")</f>
        <v>Auridon</v>
      </c>
      <c r="AH251" s="89"/>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8" t="s">
        <v>2653</v>
      </c>
      <c r="BA251" s="78"/>
      <c r="BB251" s="78"/>
      <c r="BC251" s="78"/>
      <c r="BD251" s="78"/>
      <c r="BE251" s="21" t="str">
        <f t="shared" si="23"/>
        <v>[295] = {wayshrines={194,194,194,}, dlcId=DLC_BASE_GAME</v>
      </c>
      <c r="BF251" s="21" t="str">
        <f t="shared" si="24"/>
        <v>, zoneIds={380,935,381}, veteran=false</v>
      </c>
      <c r="BG251" s="21" t="str">
        <f t="shared" si="25"/>
        <v>, setType=LIBSETS_SETTYPE_DUNGEON</v>
      </c>
      <c r="BH251" s="21" t="str">
        <f t="shared" si="26"/>
        <v>, dropMechanic={LIBSETS_DROP_MECHANIC_GROUP_DUNGEON_BOSS,LIBSETS_DROP_MECHANIC_GROUP_DUNGEON_BOSS}</v>
      </c>
      <c r="BI251" s="21" t="str">
        <f t="shared" si="27"/>
        <v>}, --Jailbreaker / Ausbrecher   [The Banished Cells I, The Banished Cells II, Auridon]</v>
      </c>
    </row>
    <row r="252" spans="1:61" x14ac:dyDescent="0.25">
      <c r="A252" s="12">
        <v>296</v>
      </c>
      <c r="B252" t="s">
        <v>1110</v>
      </c>
      <c r="C252" t="s">
        <v>1111</v>
      </c>
      <c r="D252" s="3">
        <f t="shared" si="22"/>
        <v>296</v>
      </c>
      <c r="G252" s="8" t="s">
        <v>1473</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constants'!$B$4:$C$1012,2,FALSE),"")</f>
        <v>Included in base game</v>
      </c>
      <c r="V252" s="33" t="s">
        <v>3285</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constants'!$A$5:$D$10001,4,FALSE),"")</f>
        <v>Spindleclutch II</v>
      </c>
      <c r="AB252" s="33" t="s">
        <v>3285</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constants'!$A$5:$D$10001,4,FALSE),"")</f>
        <v>Glenumbra</v>
      </c>
      <c r="AH252" s="89"/>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8" t="s">
        <v>2653</v>
      </c>
      <c r="BA252" s="78"/>
      <c r="BB252" s="78"/>
      <c r="BC252" s="78"/>
      <c r="BD252" s="78"/>
      <c r="BE252" s="21" t="str">
        <f t="shared" si="23"/>
        <v>[296] = {wayshrines={193,193,193,}, dlcId=DLC_BASE_GAME</v>
      </c>
      <c r="BF252" s="21" t="str">
        <f t="shared" si="24"/>
        <v>, zoneIds={144,936,3}, veteran=false</v>
      </c>
      <c r="BG252" s="21" t="str">
        <f t="shared" si="25"/>
        <v>, setType=LIBSETS_SETTYPE_DUNGEON</v>
      </c>
      <c r="BH252" s="21" t="str">
        <f t="shared" si="26"/>
        <v>, dropMechanic={LIBSETS_DROP_MECHANIC_GROUP_DUNGEON_BOSS,LIBSETS_DROP_MECHANIC_GROUP_DUNGEON_BOSS}</v>
      </c>
      <c r="BI252" s="21" t="str">
        <f t="shared" si="27"/>
        <v>}, --Spelunker / Höhlenforscher   [Spindleclutch I, Spindleclutch II, Glenumbra]</v>
      </c>
    </row>
    <row r="253" spans="1:61" x14ac:dyDescent="0.25">
      <c r="A253" s="12">
        <v>297</v>
      </c>
      <c r="B253" t="s">
        <v>1112</v>
      </c>
      <c r="C253" t="s">
        <v>1113</v>
      </c>
      <c r="D253" s="3">
        <f t="shared" si="22"/>
        <v>297</v>
      </c>
      <c r="G253" s="8" t="s">
        <v>1473</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constants'!$B$4:$C$1012,2,FALSE),"")</f>
        <v>Included in base game</v>
      </c>
      <c r="V253" s="33" t="s">
        <v>3285</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constants'!$A$5:$D$10001,4,FALSE),"")</f>
        <v>Fungal Grotto II</v>
      </c>
      <c r="AB253" s="33" t="s">
        <v>3285</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constants'!$A$5:$D$10001,4,FALSE),"")</f>
        <v>Stonefalls</v>
      </c>
      <c r="AH253" s="89"/>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8" t="s">
        <v>2654</v>
      </c>
      <c r="BA253" s="78"/>
      <c r="BB253" s="78"/>
      <c r="BC253" s="78"/>
      <c r="BD253" s="78"/>
      <c r="BE253" s="21" t="str">
        <f t="shared" si="23"/>
        <v>[297] = {wayshrines={98,98,98,}, dlcId=DLC_BASE_GAME</v>
      </c>
      <c r="BF253" s="21" t="str">
        <f t="shared" si="24"/>
        <v>, zoneIds={283,934,41}, veteran=false</v>
      </c>
      <c r="BG253" s="21" t="str">
        <f t="shared" si="25"/>
        <v>, setType=LIBSETS_SETTYPE_DUNGEON</v>
      </c>
      <c r="BH253" s="21" t="str">
        <f t="shared" si="26"/>
        <v>, isProcSetAllowedInPvP=1, dropMechanic={LIBSETS_DROP_MECHANIC_GROUP_DUNGEON_BOSS,LIBSETS_DROP_MECHANIC_GROUP_DUNGEON_BOSS}</v>
      </c>
      <c r="BI253" s="21" t="str">
        <f t="shared" si="27"/>
        <v>}, --Spider Cultist Cowl / Spinnenkultistenkutte   [Fungal Grotto I, Fungal Grotto II, Stonefalls]</v>
      </c>
    </row>
    <row r="254" spans="1:61" x14ac:dyDescent="0.25">
      <c r="A254" s="12">
        <v>298</v>
      </c>
      <c r="B254" t="s">
        <v>1114</v>
      </c>
      <c r="C254" t="s">
        <v>1115</v>
      </c>
      <c r="D254" s="3">
        <f t="shared" si="22"/>
        <v>298</v>
      </c>
      <c r="G254" s="8" t="s">
        <v>1473</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constants'!$B$4:$C$1012,2,FALSE),"")</f>
        <v>Included in base game</v>
      </c>
      <c r="V254" s="33" t="s">
        <v>3285</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constants'!$A$5:$D$10001,4,FALSE),"")</f>
        <v>Elden Hollow II</v>
      </c>
      <c r="AB254" s="33" t="s">
        <v>3285</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constants'!$A$5:$D$10001,4,FALSE),"")</f>
        <v>Grahtwood</v>
      </c>
      <c r="AH254" s="89"/>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8" t="s">
        <v>2654</v>
      </c>
      <c r="BA254" s="78"/>
      <c r="BB254" s="78"/>
      <c r="BC254" s="78"/>
      <c r="BD254" s="78"/>
      <c r="BE254" s="21" t="str">
        <f t="shared" si="23"/>
        <v>[298] = {wayshrines={191,191,191,}, dlcId=DLC_BASE_GAME</v>
      </c>
      <c r="BF254" s="21" t="str">
        <f t="shared" si="24"/>
        <v>, zoneIds={126,931,383}, veteran=false</v>
      </c>
      <c r="BG254" s="21" t="str">
        <f t="shared" si="25"/>
        <v>, setType=LIBSETS_SETTYPE_DUNGEON</v>
      </c>
      <c r="BH254" s="21" t="str">
        <f t="shared" si="26"/>
        <v>, isProcSetAllowedInPvP=1, dropMechanic={LIBSETS_DROP_MECHANIC_GROUP_DUNGEON_BOSS,LIBSETS_DROP_MECHANIC_GROUP_DUNGEON_BOSS}</v>
      </c>
      <c r="BI254" s="21" t="str">
        <f t="shared" si="27"/>
        <v>}, --Light Speaker / Lichtsprecher   [Elden Hollow I, Elden Hollow II, Grahtwood]</v>
      </c>
    </row>
    <row r="255" spans="1:61" x14ac:dyDescent="0.25">
      <c r="A255" s="12">
        <v>299</v>
      </c>
      <c r="B255" t="s">
        <v>1116</v>
      </c>
      <c r="C255" t="s">
        <v>1117</v>
      </c>
      <c r="D255" s="3">
        <f t="shared" si="22"/>
        <v>299</v>
      </c>
      <c r="G255" s="8" t="s">
        <v>1473</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constants'!$B$4:$C$1012,2,FALSE),"")</f>
        <v>Included in base game</v>
      </c>
      <c r="V255" s="33" t="s">
        <v>3285</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constants'!$A$5:$D$10001,4,FALSE),"")</f>
        <v>Wayrest Sewers II</v>
      </c>
      <c r="AB255" s="33" t="s">
        <v>3285</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constants'!$A$5:$D$10001,4,FALSE),"")</f>
        <v>Stormhaven</v>
      </c>
      <c r="AH255" s="89"/>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8" t="s">
        <v>2653</v>
      </c>
      <c r="BA255" s="78"/>
      <c r="BB255" s="78"/>
      <c r="BC255" s="78"/>
      <c r="BD255" s="78"/>
      <c r="BE255" s="21" t="str">
        <f t="shared" si="23"/>
        <v>[299] = {wayshrines={189,189,189,}, dlcId=DLC_BASE_GAME</v>
      </c>
      <c r="BF255" s="21" t="str">
        <f t="shared" si="24"/>
        <v>, zoneIds={146,933,19}, veteran=false</v>
      </c>
      <c r="BG255" s="21" t="str">
        <f t="shared" si="25"/>
        <v>, setType=LIBSETS_SETTYPE_DUNGEON</v>
      </c>
      <c r="BH255" s="21" t="str">
        <f t="shared" si="26"/>
        <v>, dropMechanic={LIBSETS_DROP_MECHANIC_GROUP_DUNGEON_BOSS,LIBSETS_DROP_MECHANIC_GROUP_DUNGEON_BOSS}</v>
      </c>
      <c r="BI255" s="21" t="str">
        <f t="shared" si="27"/>
        <v>}, --Toothrow / Zahnreihe   [Wayrest Sewers I, Wayrest Sewers II, Stormhaven]</v>
      </c>
    </row>
    <row r="256" spans="1:61" x14ac:dyDescent="0.25">
      <c r="A256" s="12">
        <v>300</v>
      </c>
      <c r="B256" t="s">
        <v>1118</v>
      </c>
      <c r="C256" t="s">
        <v>2599</v>
      </c>
      <c r="D256" s="3">
        <f t="shared" si="22"/>
        <v>300</v>
      </c>
      <c r="G256" s="8" t="s">
        <v>1473</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constants'!$B$4:$C$1012,2,FALSE),"")</f>
        <v>Included in base game</v>
      </c>
      <c r="V256" s="33" t="s">
        <v>3285</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constants'!$A$5:$D$10001,4,FALSE),"")</f>
        <v>Darkshade Caverns II</v>
      </c>
      <c r="AB256" s="33" t="s">
        <v>3285</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constants'!$A$5:$D$10001,4,FALSE),"")</f>
        <v>Deshaan</v>
      </c>
      <c r="AH256" s="89"/>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8" t="s">
        <v>2654</v>
      </c>
      <c r="BA256" s="78"/>
      <c r="BB256" s="78"/>
      <c r="BC256" s="78"/>
      <c r="BD256" s="78"/>
      <c r="BE256" s="21" t="str">
        <f t="shared" si="23"/>
        <v>[300] = {wayshrines={198,198,198,}, dlcId=DLC_BASE_GAME</v>
      </c>
      <c r="BF256" s="21" t="str">
        <f t="shared" si="24"/>
        <v>, zoneIds={63,930,57}, veteran=false</v>
      </c>
      <c r="BG256" s="21" t="str">
        <f t="shared" si="25"/>
        <v>, setType=LIBSETS_SETTYPE_DUNGEON</v>
      </c>
      <c r="BH256" s="21" t="str">
        <f t="shared" si="26"/>
        <v>, isProcSetAllowedInPvP=1, dropMechanic={LIBSETS_DROP_MECHANIC_GROUP_DUNGEON_BOSS,LIBSETS_DROP_MECHANIC_GROUP_DUNGEON_BOSS}</v>
      </c>
      <c r="BI256" s="21" t="str">
        <f t="shared" si="27"/>
        <v>}, --Netch\'s Touch / Berührung des Netch   [Darkshade Caverns I, Darkshade Caverns II, Deshaan]</v>
      </c>
    </row>
    <row r="257" spans="1:61" x14ac:dyDescent="0.25">
      <c r="A257" s="12">
        <v>301</v>
      </c>
      <c r="B257" t="s">
        <v>1119</v>
      </c>
      <c r="C257" t="s">
        <v>1120</v>
      </c>
      <c r="D257" s="3">
        <f t="shared" si="22"/>
        <v>301</v>
      </c>
      <c r="G257" s="8" t="s">
        <v>1473</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constants'!$B$4:$C$1012,2,FALSE),"")</f>
        <v>Included in base game</v>
      </c>
      <c r="V257" s="33" t="s">
        <v>3285</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constants'!$A$5:$D$10001,4,FALSE),"")</f>
        <v>Darkshade Caverns II</v>
      </c>
      <c r="AB257" s="33" t="s">
        <v>3285</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constants'!$A$5:$D$10001,4,FALSE),"")</f>
        <v>Deshaan</v>
      </c>
      <c r="AH257" s="89"/>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8" t="s">
        <v>2654</v>
      </c>
      <c r="BA257" s="78"/>
      <c r="BB257" s="78"/>
      <c r="BC257" s="78"/>
      <c r="BD257" s="78"/>
      <c r="BE257" s="21" t="str">
        <f t="shared" si="23"/>
        <v>[301] = {wayshrines={198,198,198,}, dlcId=DLC_BASE_GAME</v>
      </c>
      <c r="BF257" s="21" t="str">
        <f t="shared" si="24"/>
        <v>, zoneIds={63,930,57}, veteran=false</v>
      </c>
      <c r="BG257" s="21" t="str">
        <f t="shared" si="25"/>
        <v>, setType=LIBSETS_SETTYPE_DUNGEON</v>
      </c>
      <c r="BH257" s="21" t="str">
        <f t="shared" si="26"/>
        <v>, isProcSetAllowedInPvP=1, dropMechanic={LIBSETS_DROP_MECHANIC_GROUP_DUNGEON_BOSS,LIBSETS_DROP_MECHANIC_GROUP_DUNGEON_BOSS}</v>
      </c>
      <c r="BI257" s="21" t="str">
        <f t="shared" si="27"/>
        <v>}, --Strength of the Automaton / Stärke des Automaten   [Darkshade Caverns I, Darkshade Caverns II, Deshaan]</v>
      </c>
    </row>
    <row r="258" spans="1:61" x14ac:dyDescent="0.25">
      <c r="A258" s="12">
        <v>302</v>
      </c>
      <c r="B258" t="s">
        <v>1121</v>
      </c>
      <c r="C258" t="s">
        <v>1121</v>
      </c>
      <c r="D258" s="3">
        <f t="shared" si="22"/>
        <v>302</v>
      </c>
      <c r="G258" s="8" t="s">
        <v>1473</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constants'!$B$4:$C$1012,2,FALSE),"")</f>
        <v>Included in base game</v>
      </c>
      <c r="V258" s="33" t="s">
        <v>3285</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constants'!$A$5:$D$10001,4,FALSE),"")</f>
        <v>Crypt of Hearts II</v>
      </c>
      <c r="AB258" s="33" t="s">
        <v>3285</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constants'!$A$5:$D$10001,4,FALSE),"")</f>
        <v>Rivenspire</v>
      </c>
      <c r="AH258" s="89"/>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8" t="s">
        <v>2654</v>
      </c>
      <c r="BA258" s="78"/>
      <c r="BB258" s="78"/>
      <c r="BC258" s="78"/>
      <c r="BD258" s="78"/>
      <c r="BE258" s="21" t="str">
        <f t="shared" si="23"/>
        <v>[302] = {wayshrines={190,190,190,}, dlcId=DLC_BASE_GAME</v>
      </c>
      <c r="BF258" s="21" t="str">
        <f t="shared" si="24"/>
        <v>, zoneIds={130,932,20}, veteran=false</v>
      </c>
      <c r="BG258" s="21" t="str">
        <f t="shared" si="25"/>
        <v>, setType=LIBSETS_SETTYPE_DUNGEON</v>
      </c>
      <c r="BH258" s="21" t="str">
        <f t="shared" si="26"/>
        <v>, isProcSetAllowedInPvP=1, dropMechanic={LIBSETS_DROP_MECHANIC_GROUP_DUNGEON_BOSS,LIBSETS_DROP_MECHANIC_GROUP_DUNGEON_BOSS}</v>
      </c>
      <c r="BI258" s="21" t="str">
        <f t="shared" si="27"/>
        <v>}, --Leviathan / Leviathan   [Crypt of Hearts I, Crypt of Hearts II, Rivenspire]</v>
      </c>
    </row>
    <row r="259" spans="1:61" x14ac:dyDescent="0.25">
      <c r="A259" s="12">
        <v>303</v>
      </c>
      <c r="B259" t="s">
        <v>1122</v>
      </c>
      <c r="C259" t="s">
        <v>2600</v>
      </c>
      <c r="D259" s="3">
        <f t="shared" ref="D259:D322" si="28">A259</f>
        <v>303</v>
      </c>
      <c r="G259" s="8" t="s">
        <v>1473</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constants'!$B$4:$C$1012,2,FALSE),"")</f>
        <v>Included in base game</v>
      </c>
      <c r="V259" s="33" t="s">
        <v>3285</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8" t="s">
        <v>2653</v>
      </c>
      <c r="BA259" s="78"/>
      <c r="BB259" s="78"/>
      <c r="BC259" s="78"/>
      <c r="BD259" s="78"/>
      <c r="BE259" s="21" t="str">
        <f t="shared" si="23"/>
        <v>[303] = {wayshrines={192,192,192,}, dlcId=DLC_BASE_GAME</v>
      </c>
      <c r="BF259" s="21" t="str">
        <f t="shared" si="24"/>
        <v>, zoneIds={148,117,117}, veteran=false</v>
      </c>
      <c r="BG259" s="21" t="str">
        <f t="shared" si="25"/>
        <v>, setType=LIBSETS_SETTYPE_DUNGEON</v>
      </c>
      <c r="BH259" s="21" t="str">
        <f t="shared" si="26"/>
        <v>, dropMechanic={LIBSETS_DROP_MECHANIC_GROUP_DUNGEON_BOSS}</v>
      </c>
      <c r="BI259" s="21" t="str">
        <f t="shared" si="27"/>
        <v>}, --Lamia\'s Song / Lied der Lamie   [Arx Corinium, Shadowfen, Shadowfen]</v>
      </c>
    </row>
    <row r="260" spans="1:61" x14ac:dyDescent="0.25">
      <c r="A260" s="12">
        <v>304</v>
      </c>
      <c r="B260" t="s">
        <v>1123</v>
      </c>
      <c r="C260" t="s">
        <v>1124</v>
      </c>
      <c r="D260" s="3">
        <f t="shared" si="28"/>
        <v>304</v>
      </c>
      <c r="G260" s="8" t="s">
        <v>1473</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constants'!$B$4:$C$1012,2,FALSE),"")</f>
        <v>Included in base game</v>
      </c>
      <c r="V260" s="33" t="s">
        <v>3285</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8" t="s">
        <v>2653</v>
      </c>
      <c r="BA260" s="78"/>
      <c r="BB260" s="78"/>
      <c r="BC260" s="78"/>
      <c r="BD260" s="78"/>
      <c r="BE260" s="21" t="str">
        <f t="shared" ref="BE260:BE323" si="29">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21" t="str">
        <f t="shared" ref="BF260:BF323" si="30">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21" t="str">
        <f t="shared" ref="BG260:BG323" si="31">IF(A260&lt;&gt;"",IF(F260&lt;&gt;"Not in the game (anymore)",IF(A260&lt;&gt;"",", setType="&amp;G260,"")&amp;IF(G260="LIBSETS_SETTYPE_CLASS",", classId="&amp;BC260,"")&amp;IF(J260="true",", multiTrialSet=true",""),"")
&amp; IF(AND(H260&lt;&gt;"",ISNUMBER(H260)),", undauntedChestId=" &amp; H260,""),"")</f>
        <v>, setType=LIBSETS_SETTYPE_DUNGEON</v>
      </c>
      <c r="BH260" s="21" t="str">
        <f t="shared" ref="BH260:BH323" si="32">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21" t="str">
        <f t="shared" ref="BI260:BI323" si="33">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2">
        <v>305</v>
      </c>
      <c r="B261" t="s">
        <v>1125</v>
      </c>
      <c r="C261" t="s">
        <v>1126</v>
      </c>
      <c r="D261" s="3">
        <f t="shared" si="28"/>
        <v>305</v>
      </c>
      <c r="G261" s="8" t="s">
        <v>1473</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constants'!$B$4:$C$1012,2,FALSE),"")</f>
        <v>Included in base game</v>
      </c>
      <c r="V261" s="33" t="s">
        <v>3285</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8" t="s">
        <v>2653</v>
      </c>
      <c r="BA261" s="78"/>
      <c r="BB261" s="78"/>
      <c r="BC261" s="78"/>
      <c r="BD261" s="78"/>
      <c r="BE261" s="21" t="str">
        <f t="shared" si="29"/>
        <v>[305] = {wayshrines={196,196,196,}, dlcId=DLC_BASE_GAME</v>
      </c>
      <c r="BF261" s="21" t="str">
        <f t="shared" si="30"/>
        <v>, zoneIds={22,104,104}, veteran=false</v>
      </c>
      <c r="BG261" s="21" t="str">
        <f t="shared" si="31"/>
        <v>, setType=LIBSETS_SETTYPE_DUNGEON</v>
      </c>
      <c r="BH261" s="21" t="str">
        <f t="shared" si="32"/>
        <v>, dropMechanic={LIBSETS_DROP_MECHANIC_GROUP_DUNGEON_BOSS}</v>
      </c>
      <c r="BI261" s="21" t="str">
        <f t="shared" si="33"/>
        <v>}, --Treasure Hunter / Schatzjäger   [Volenfell, Alik'r Desert, Alik'r Desert]</v>
      </c>
    </row>
    <row r="262" spans="1:61" x14ac:dyDescent="0.25">
      <c r="A262" s="12">
        <v>307</v>
      </c>
      <c r="B262" t="s">
        <v>1127</v>
      </c>
      <c r="C262" t="s">
        <v>1128</v>
      </c>
      <c r="D262" s="3">
        <f t="shared" si="28"/>
        <v>307</v>
      </c>
      <c r="G262" s="8" t="s">
        <v>1473</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constants'!$B$4:$C$1012,2,FALSE),"")</f>
        <v>Included in base game</v>
      </c>
      <c r="V262" s="33" t="s">
        <v>3285</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8" t="s">
        <v>2654</v>
      </c>
      <c r="BA262" s="78"/>
      <c r="BB262" s="78"/>
      <c r="BC262" s="78"/>
      <c r="BD262" s="78"/>
      <c r="BE262" s="21" t="str">
        <f t="shared" si="29"/>
        <v>[307] = {wayshrines={195,195,195,}, dlcId=DLC_BASE_GAME</v>
      </c>
      <c r="BF262" s="21" t="str">
        <f t="shared" si="30"/>
        <v>, zoneIds={449,101,101}, veteran=false</v>
      </c>
      <c r="BG262" s="21" t="str">
        <f t="shared" si="31"/>
        <v>, setType=LIBSETS_SETTYPE_DUNGEON</v>
      </c>
      <c r="BH262" s="21" t="str">
        <f t="shared" si="32"/>
        <v>, isProcSetAllowedInPvP=1, dropMechanic={LIBSETS_DROP_MECHANIC_GROUP_DUNGEON_BOSS}</v>
      </c>
      <c r="BI262" s="21" t="str">
        <f t="shared" si="33"/>
        <v>}, --Draugr Hulk / Schwerfälliger Draugr   [Direfrost Keep, Eastmarch, Eastmarch]</v>
      </c>
    </row>
    <row r="263" spans="1:61" x14ac:dyDescent="0.25">
      <c r="A263" s="12">
        <v>308</v>
      </c>
      <c r="B263" t="s">
        <v>1129</v>
      </c>
      <c r="C263" t="s">
        <v>2601</v>
      </c>
      <c r="D263" s="3">
        <f t="shared" si="28"/>
        <v>308</v>
      </c>
      <c r="E263" s="40"/>
      <c r="G263" s="8" t="s">
        <v>1473</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constants'!$B$4:$C$1012,2,FALSE),"")</f>
        <v>Included in base game</v>
      </c>
      <c r="V263" s="33" t="s">
        <v>3285</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8" t="s">
        <v>2653</v>
      </c>
      <c r="BA263" s="78"/>
      <c r="BB263" s="78"/>
      <c r="BC263" s="78"/>
      <c r="BD263" s="78"/>
      <c r="BE263" s="21" t="str">
        <f t="shared" si="29"/>
        <v>[308] = {wayshrines={186,186,186,}, dlcId=DLC_BASE_GAME</v>
      </c>
      <c r="BF263" s="21" t="str">
        <f t="shared" si="30"/>
        <v>, zoneIds={38,92,92}, veteran=false</v>
      </c>
      <c r="BG263" s="21" t="str">
        <f t="shared" si="31"/>
        <v>, setType=LIBSETS_SETTYPE_DUNGEON</v>
      </c>
      <c r="BH263" s="21" t="str">
        <f t="shared" si="32"/>
        <v>, dropMechanic={LIBSETS_DROP_MECHANIC_GROUP_DUNGEON_BOSS}</v>
      </c>
      <c r="BI263" s="21" t="str">
        <f t="shared" si="33"/>
        <v>}, --Bone Pirate\'s Tatters / Lumpen des Knochenpiraten   [Blackheart Haven, Bangkorai, Bangkorai]</v>
      </c>
    </row>
    <row r="264" spans="1:61" x14ac:dyDescent="0.25">
      <c r="A264" s="12">
        <v>309</v>
      </c>
      <c r="B264" t="s">
        <v>1130</v>
      </c>
      <c r="C264" t="s">
        <v>2602</v>
      </c>
      <c r="D264" s="3">
        <f t="shared" si="28"/>
        <v>309</v>
      </c>
      <c r="E264" s="40"/>
      <c r="G264" s="8" t="s">
        <v>1473</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constants'!$B$4:$C$1012,2,FALSE),"")</f>
        <v>Included in base game</v>
      </c>
      <c r="V264" s="33" t="s">
        <v>3285</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8" t="s">
        <v>2653</v>
      </c>
      <c r="BA264" s="78"/>
      <c r="BB264" s="78"/>
      <c r="BC264" s="78"/>
      <c r="BD264" s="78"/>
      <c r="BE264" s="21" t="str">
        <f t="shared" si="29"/>
        <v>[309] = {wayshrines={186,186,186,}, dlcId=DLC_BASE_GAME</v>
      </c>
      <c r="BF264" s="21" t="str">
        <f t="shared" si="30"/>
        <v>, zoneIds={38,92,92}, veteran=false</v>
      </c>
      <c r="BG264" s="21" t="str">
        <f t="shared" si="31"/>
        <v>, setType=LIBSETS_SETTYPE_DUNGEON</v>
      </c>
      <c r="BH264" s="21" t="str">
        <f t="shared" si="32"/>
        <v>, dropMechanic={LIBSETS_DROP_MECHANIC_GROUP_DUNGEON_BOSS}</v>
      </c>
      <c r="BI264" s="21" t="str">
        <f t="shared" si="33"/>
        <v>}, --Knight-errant\'s Mail / Platten des Wanderritters   [Blackheart Haven, Bangkorai, Bangkorai]</v>
      </c>
    </row>
    <row r="265" spans="1:61" x14ac:dyDescent="0.25">
      <c r="A265" s="12">
        <v>310</v>
      </c>
      <c r="B265" t="s">
        <v>1131</v>
      </c>
      <c r="C265" t="s">
        <v>1132</v>
      </c>
      <c r="D265" s="3">
        <f t="shared" si="28"/>
        <v>310</v>
      </c>
      <c r="E265" s="40"/>
      <c r="G265" s="8" t="s">
        <v>1473</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constants'!$B$4:$C$1012,2,FALSE),"")</f>
        <v>Included in base game</v>
      </c>
      <c r="V265" s="33" t="s">
        <v>3285</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8" t="s">
        <v>2654</v>
      </c>
      <c r="BA265" s="78"/>
      <c r="BB265" s="78"/>
      <c r="BC265" s="78"/>
      <c r="BD265" s="78"/>
      <c r="BE265" s="21" t="str">
        <f t="shared" si="29"/>
        <v>[310] = {wayshrines={187,187,187,}, dlcId=DLC_BASE_GAME</v>
      </c>
      <c r="BF265" s="21" t="str">
        <f t="shared" si="30"/>
        <v>, zoneIds={64,103,103}, veteran=false</v>
      </c>
      <c r="BG265" s="21" t="str">
        <f t="shared" si="31"/>
        <v>, setType=LIBSETS_SETTYPE_DUNGEON</v>
      </c>
      <c r="BH265" s="21" t="str">
        <f t="shared" si="32"/>
        <v>, isProcSetAllowedInPvP=1, dropMechanic={LIBSETS_DROP_MECHANIC_GROUP_DUNGEON_BOSS}</v>
      </c>
      <c r="BI265" s="21" t="str">
        <f t="shared" si="33"/>
        <v>}, --Sword Dancer / Schwerttänzer   [Blessed Crucible, The Rift, The Rift]</v>
      </c>
    </row>
    <row r="266" spans="1:61" x14ac:dyDescent="0.25">
      <c r="A266" s="12">
        <v>311</v>
      </c>
      <c r="B266" t="s">
        <v>1133</v>
      </c>
      <c r="C266" t="s">
        <v>1134</v>
      </c>
      <c r="D266" s="3">
        <f t="shared" si="28"/>
        <v>311</v>
      </c>
      <c r="G266" s="8" t="s">
        <v>1473</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constants'!$B$4:$C$1012,2,FALSE),"")</f>
        <v>Included in base game</v>
      </c>
      <c r="V266" s="33" t="s">
        <v>3285</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8" t="s">
        <v>2653</v>
      </c>
      <c r="BA266" s="78"/>
      <c r="BB266" s="78"/>
      <c r="BC266" s="78"/>
      <c r="BD266" s="78"/>
      <c r="BE266" s="21" t="str">
        <f t="shared" si="29"/>
        <v>[311] = {wayshrines={184,184,184,}, dlcId=DLC_BASE_GAME</v>
      </c>
      <c r="BF266" s="21" t="str">
        <f t="shared" si="30"/>
        <v>, zoneIds={11,347,347}, veteran=false</v>
      </c>
      <c r="BG266" s="21" t="str">
        <f t="shared" si="31"/>
        <v>, setType=LIBSETS_SETTYPE_DUNGEON</v>
      </c>
      <c r="BH266" s="21" t="str">
        <f t="shared" si="32"/>
        <v>, dropMechanic={LIBSETS_DROP_MECHANIC_GROUP_DUNGEON_BOSS}</v>
      </c>
      <c r="BI266" s="21" t="str">
        <f t="shared" si="33"/>
        <v>}, --Rattlecage / Klapperkäfig   [Vaults of Madness, Coldharbour, Coldharbour]</v>
      </c>
    </row>
    <row r="267" spans="1:61" x14ac:dyDescent="0.25">
      <c r="A267" s="12">
        <v>313</v>
      </c>
      <c r="B267" t="s">
        <v>1135</v>
      </c>
      <c r="C267" t="s">
        <v>1136</v>
      </c>
      <c r="D267" s="3">
        <f t="shared" si="28"/>
        <v>313</v>
      </c>
      <c r="G267" s="8" t="s">
        <v>1468</v>
      </c>
      <c r="I267" t="s">
        <v>91</v>
      </c>
      <c r="J267" t="s">
        <v>91</v>
      </c>
      <c r="K267">
        <v>270</v>
      </c>
      <c r="L267">
        <v>270</v>
      </c>
      <c r="M267">
        <v>270</v>
      </c>
      <c r="O267" s="61" t="s">
        <v>439</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constants'!$B$4:$C$1012,2,FALSE),"")</f>
        <v>Clockwork City</v>
      </c>
      <c r="V267" s="33" t="s">
        <v>1550</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constants'!$A$5:$D$10001,4,FALSE),"")</f>
        <v>Craglorn</v>
      </c>
      <c r="AB267" s="33" t="s">
        <v>1550</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8" t="s">
        <v>2653</v>
      </c>
      <c r="BA267" s="78"/>
      <c r="BB267" s="78"/>
      <c r="BC267" s="78"/>
      <c r="BD267" s="78">
        <v>528</v>
      </c>
      <c r="BE267" s="21" t="str">
        <f t="shared" si="29"/>
        <v>[313] = {wayshrines={270,270,270,}, dlcId=DLC_CLOCKWORK_CITY</v>
      </c>
      <c r="BF267" s="21" t="str">
        <f t="shared" si="30"/>
        <v>, zoneIds={635,888,888}, veteran=false</v>
      </c>
      <c r="BG267" s="21" t="str">
        <f t="shared" si="31"/>
        <v>, setType=LIBSETS_SETTYPE_ARENA</v>
      </c>
      <c r="BH267" s="21" t="str">
        <f t="shared" si="32"/>
        <v>, dropMechanic={LIBSETS_DROP_MECHANIC_ARENA_STAGE_CHEST,LIBSETS_DROP_MECHANIC_ARENA_STAGE_CHEST}, perfectedSetId=528</v>
      </c>
      <c r="BI267" s="21" t="str">
        <f t="shared" si="33"/>
        <v>}, --Titanic Cleave / Titanisches Trennen   [Dragonstar Arena, Craglorn, Craglorn]</v>
      </c>
    </row>
    <row r="268" spans="1:61" x14ac:dyDescent="0.25">
      <c r="A268" s="12">
        <v>314</v>
      </c>
      <c r="B268" t="s">
        <v>1137</v>
      </c>
      <c r="C268" t="s">
        <v>1138</v>
      </c>
      <c r="D268" s="3">
        <f t="shared" si="28"/>
        <v>314</v>
      </c>
      <c r="G268" s="8" t="s">
        <v>1468</v>
      </c>
      <c r="I268" t="s">
        <v>91</v>
      </c>
      <c r="J268" t="s">
        <v>91</v>
      </c>
      <c r="K268">
        <v>270</v>
      </c>
      <c r="L268">
        <v>270</v>
      </c>
      <c r="M268">
        <v>270</v>
      </c>
      <c r="O268" s="61" t="s">
        <v>439</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constants'!$B$4:$C$1012,2,FALSE),"")</f>
        <v>Clockwork City</v>
      </c>
      <c r="V268" s="33" t="s">
        <v>1550</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constants'!$A$5:$D$10001,4,FALSE),"")</f>
        <v>Craglorn</v>
      </c>
      <c r="AB268" s="33" t="s">
        <v>1550</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8" t="s">
        <v>2653</v>
      </c>
      <c r="BA268" s="78"/>
      <c r="BB268" s="78"/>
      <c r="BC268" s="78"/>
      <c r="BD268" s="78">
        <v>529</v>
      </c>
      <c r="BE268" s="21" t="str">
        <f t="shared" si="29"/>
        <v>[314] = {wayshrines={270,270,270,}, dlcId=DLC_CLOCKWORK_CITY</v>
      </c>
      <c r="BF268" s="21" t="str">
        <f t="shared" si="30"/>
        <v>, zoneIds={635,888,888}, veteran=false</v>
      </c>
      <c r="BG268" s="21" t="str">
        <f t="shared" si="31"/>
        <v>, setType=LIBSETS_SETTYPE_ARENA</v>
      </c>
      <c r="BH268" s="21" t="str">
        <f t="shared" si="32"/>
        <v>, dropMechanic={LIBSETS_DROP_MECHANIC_ARENA_STAGE_CHEST,LIBSETS_DROP_MECHANIC_ARENA_STAGE_CHEST}, perfectedSetId=529</v>
      </c>
      <c r="BI268" s="21" t="str">
        <f t="shared" si="33"/>
        <v>}, --Puncturing Remedy / Durchschlagende Genesung   [Dragonstar Arena, Craglorn, Craglorn]</v>
      </c>
    </row>
    <row r="269" spans="1:61" x14ac:dyDescent="0.25">
      <c r="A269" s="12">
        <v>315</v>
      </c>
      <c r="B269" t="s">
        <v>1139</v>
      </c>
      <c r="C269" t="s">
        <v>1140</v>
      </c>
      <c r="D269" s="3">
        <f t="shared" si="28"/>
        <v>315</v>
      </c>
      <c r="G269" s="8" t="s">
        <v>1468</v>
      </c>
      <c r="I269" t="s">
        <v>91</v>
      </c>
      <c r="J269" t="s">
        <v>91</v>
      </c>
      <c r="K269">
        <v>270</v>
      </c>
      <c r="L269">
        <v>270</v>
      </c>
      <c r="M269">
        <v>270</v>
      </c>
      <c r="O269" s="61" t="s">
        <v>439</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constants'!$B$4:$C$1012,2,FALSE),"")</f>
        <v>Clockwork City</v>
      </c>
      <c r="V269" s="33" t="s">
        <v>1550</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constants'!$A$5:$D$10001,4,FALSE),"")</f>
        <v>Craglorn</v>
      </c>
      <c r="AB269" s="33" t="s">
        <v>1550</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8" t="s">
        <v>2653</v>
      </c>
      <c r="BA269" s="78"/>
      <c r="BB269" s="78"/>
      <c r="BC269" s="78"/>
      <c r="BD269" s="78">
        <v>530</v>
      </c>
      <c r="BE269" s="21" t="str">
        <f t="shared" si="29"/>
        <v>[315] = {wayshrines={270,270,270,}, dlcId=DLC_CLOCKWORK_CITY</v>
      </c>
      <c r="BF269" s="21" t="str">
        <f t="shared" si="30"/>
        <v>, zoneIds={635,888,888}, veteran=false</v>
      </c>
      <c r="BG269" s="21" t="str">
        <f t="shared" si="31"/>
        <v>, setType=LIBSETS_SETTYPE_ARENA</v>
      </c>
      <c r="BH269" s="21" t="str">
        <f t="shared" si="32"/>
        <v>, dropMechanic={LIBSETS_DROP_MECHANIC_ARENA_STAGE_CHEST,LIBSETS_DROP_MECHANIC_ARENA_STAGE_CHEST}, perfectedSetId=530</v>
      </c>
      <c r="BI269" s="21" t="str">
        <f t="shared" si="33"/>
        <v>}, --Stinging Slashes / Stechende Schnitte   [Dragonstar Arena, Craglorn, Craglorn]</v>
      </c>
    </row>
    <row r="270" spans="1:61" x14ac:dyDescent="0.25">
      <c r="A270" s="12">
        <v>316</v>
      </c>
      <c r="B270" t="s">
        <v>1141</v>
      </c>
      <c r="C270" t="s">
        <v>1142</v>
      </c>
      <c r="D270" s="3">
        <f t="shared" si="28"/>
        <v>316</v>
      </c>
      <c r="E270" s="40"/>
      <c r="G270" s="8" t="s">
        <v>1468</v>
      </c>
      <c r="I270" t="s">
        <v>91</v>
      </c>
      <c r="J270" t="s">
        <v>91</v>
      </c>
      <c r="K270">
        <v>270</v>
      </c>
      <c r="L270">
        <v>270</v>
      </c>
      <c r="M270">
        <v>270</v>
      </c>
      <c r="O270" s="61" t="s">
        <v>439</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constants'!$B$4:$C$1012,2,FALSE),"")</f>
        <v>Clockwork City</v>
      </c>
      <c r="V270" s="33" t="s">
        <v>1550</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constants'!$A$5:$D$10001,4,FALSE),"")</f>
        <v>Craglorn</v>
      </c>
      <c r="AB270" s="33" t="s">
        <v>1550</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8">
        <v>0</v>
      </c>
      <c r="BA270" s="78"/>
      <c r="BB270" s="78"/>
      <c r="BC270" s="78"/>
      <c r="BD270" s="78">
        <v>531</v>
      </c>
      <c r="BE270" s="21" t="str">
        <f t="shared" si="29"/>
        <v>[316] = {wayshrines={270,270,270,}, dlcId=DLC_CLOCKWORK_CITY</v>
      </c>
      <c r="BF270" s="21" t="str">
        <f t="shared" si="30"/>
        <v>, zoneIds={635,888,888}, veteran=false</v>
      </c>
      <c r="BG270" s="21" t="str">
        <f t="shared" si="31"/>
        <v>, setType=LIBSETS_SETTYPE_ARENA</v>
      </c>
      <c r="BH270" s="21" t="str">
        <f t="shared" si="32"/>
        <v>, isProcSetAllowedInPvP=0, dropMechanic={LIBSETS_DROP_MECHANIC_ARENA_STAGE_CHEST,LIBSETS_DROP_MECHANIC_ARENA_STAGE_CHEST}, perfectedSetId=531</v>
      </c>
      <c r="BI270" s="21" t="str">
        <f t="shared" si="33"/>
        <v>}, --Caustic Arrow / Beißender Pfeil   [Dragonstar Arena, Craglorn, Craglorn]</v>
      </c>
    </row>
    <row r="271" spans="1:61" x14ac:dyDescent="0.25">
      <c r="A271" s="12">
        <v>317</v>
      </c>
      <c r="B271" t="s">
        <v>1143</v>
      </c>
      <c r="C271" t="s">
        <v>1144</v>
      </c>
      <c r="D271" s="3">
        <f t="shared" si="28"/>
        <v>317</v>
      </c>
      <c r="G271" s="8" t="s">
        <v>1468</v>
      </c>
      <c r="I271" t="s">
        <v>91</v>
      </c>
      <c r="J271" t="s">
        <v>91</v>
      </c>
      <c r="K271">
        <v>270</v>
      </c>
      <c r="L271">
        <v>270</v>
      </c>
      <c r="M271">
        <v>270</v>
      </c>
      <c r="O271" s="61" t="s">
        <v>439</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constants'!$B$4:$C$1012,2,FALSE),"")</f>
        <v>Clockwork City</v>
      </c>
      <c r="V271" s="33" t="s">
        <v>1550</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constants'!$A$5:$D$10001,4,FALSE),"")</f>
        <v>Craglorn</v>
      </c>
      <c r="AB271" s="33" t="s">
        <v>1550</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8" t="s">
        <v>2653</v>
      </c>
      <c r="BA271" s="78"/>
      <c r="BB271" s="78"/>
      <c r="BC271" s="78"/>
      <c r="BD271" s="78">
        <v>532</v>
      </c>
      <c r="BE271" s="21" t="str">
        <f t="shared" si="29"/>
        <v>[317] = {wayshrines={270,270,270,}, dlcId=DLC_CLOCKWORK_CITY</v>
      </c>
      <c r="BF271" s="21" t="str">
        <f t="shared" si="30"/>
        <v>, zoneIds={635,888,888}, veteran=false</v>
      </c>
      <c r="BG271" s="21" t="str">
        <f t="shared" si="31"/>
        <v>, setType=LIBSETS_SETTYPE_ARENA</v>
      </c>
      <c r="BH271" s="21" t="str">
        <f t="shared" si="32"/>
        <v>, dropMechanic={LIBSETS_DROP_MECHANIC_ARENA_STAGE_CHEST,LIBSETS_DROP_MECHANIC_ARENA_STAGE_CHEST}, perfectedSetId=532</v>
      </c>
      <c r="BI271" s="21" t="str">
        <f t="shared" si="33"/>
        <v>}, --Destructive Impact / Zerstörerischer Einschlag   [Dragonstar Arena, Craglorn, Craglorn]</v>
      </c>
    </row>
    <row r="272" spans="1:61" x14ac:dyDescent="0.25">
      <c r="A272" s="12">
        <v>318</v>
      </c>
      <c r="B272" t="s">
        <v>1145</v>
      </c>
      <c r="C272" t="s">
        <v>1146</v>
      </c>
      <c r="D272" s="3">
        <f t="shared" si="28"/>
        <v>318</v>
      </c>
      <c r="G272" s="8" t="s">
        <v>1468</v>
      </c>
      <c r="I272" t="s">
        <v>91</v>
      </c>
      <c r="J272" t="s">
        <v>91</v>
      </c>
      <c r="K272">
        <v>270</v>
      </c>
      <c r="L272">
        <v>270</v>
      </c>
      <c r="M272">
        <v>270</v>
      </c>
      <c r="O272" s="61" t="s">
        <v>439</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constants'!$B$4:$C$1012,2,FALSE),"")</f>
        <v>Clockwork City</v>
      </c>
      <c r="V272" s="33" t="s">
        <v>1550</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constants'!$A$5:$D$10001,4,FALSE),"")</f>
        <v>Craglorn</v>
      </c>
      <c r="AB272" s="33" t="s">
        <v>1550</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8" t="s">
        <v>2653</v>
      </c>
      <c r="BA272" s="78"/>
      <c r="BB272" s="78"/>
      <c r="BC272" s="78"/>
      <c r="BD272" s="78">
        <v>533</v>
      </c>
      <c r="BE272" s="21" t="str">
        <f t="shared" si="29"/>
        <v>[318] = {wayshrines={270,270,270,}, dlcId=DLC_CLOCKWORK_CITY</v>
      </c>
      <c r="BF272" s="21" t="str">
        <f t="shared" si="30"/>
        <v>, zoneIds={635,888,888}, veteran=false</v>
      </c>
      <c r="BG272" s="21" t="str">
        <f t="shared" si="31"/>
        <v>, setType=LIBSETS_SETTYPE_ARENA</v>
      </c>
      <c r="BH272" s="21" t="str">
        <f t="shared" si="32"/>
        <v>, dropMechanic={LIBSETS_DROP_MECHANIC_ARENA_STAGE_CHEST,LIBSETS_DROP_MECHANIC_ARENA_STAGE_CHEST}, perfectedSetId=533</v>
      </c>
      <c r="BI272" s="21" t="str">
        <f t="shared" si="33"/>
        <v>}, --Grand Rejuvenation / Große Verjüngung   [Dragonstar Arena, Craglorn, Craglorn]</v>
      </c>
    </row>
    <row r="273" spans="1:61" x14ac:dyDescent="0.25">
      <c r="A273" s="12">
        <v>320</v>
      </c>
      <c r="B273" t="s">
        <v>1147</v>
      </c>
      <c r="C273" t="s">
        <v>1148</v>
      </c>
      <c r="D273" s="3">
        <f t="shared" si="28"/>
        <v>320</v>
      </c>
      <c r="G273" s="8" t="s">
        <v>1476</v>
      </c>
      <c r="I273" t="s">
        <v>91</v>
      </c>
      <c r="J273" t="s">
        <v>91</v>
      </c>
      <c r="K273">
        <v>284</v>
      </c>
      <c r="L273">
        <v>284</v>
      </c>
      <c r="M273">
        <v>284</v>
      </c>
      <c r="O273" s="61" t="s">
        <v>530</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constants'!$H$3:$K$9989,4,FALSE)),""))</f>
        <v>DLC_BASE_GAME</v>
      </c>
      <c r="U273" s="3" t="str">
        <f>IF(T273&lt;&gt;"",VLOOKUP(T273,'LibSets constants'!$B$4:$C$1012,2,FALSE),"")</f>
        <v>Included in base game</v>
      </c>
      <c r="V273" s="33" t="s">
        <v>1554</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constants'!$A$5:$D$10001,4,FALSE),"")</f>
        <v>Vvardenfell</v>
      </c>
      <c r="AB273" s="33" t="s">
        <v>1555</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constants'!$A$5:$D$10001,4,FALSE),"")</f>
        <v>Vvardenfell</v>
      </c>
      <c r="AH273" s="42" t="s">
        <v>1556</v>
      </c>
      <c r="AI273" s="41"/>
      <c r="AJ273" s="41"/>
      <c r="AK273" s="3">
        <f>IF(AND(G273&lt;&gt;"LIBSETS_SETTYPE_BATTLEGROUND",G273&lt;&gt;"LIBSETS_SETTYPE_SPECIAL"),IF(AL273&lt;&gt;"",VLOOKUP(AL273,'ESO zone constants'!$D$5:$H$4955,5,FALSE),""),"")</f>
        <v>849</v>
      </c>
      <c r="AL273" t="s">
        <v>530</v>
      </c>
      <c r="AM273" s="33" t="s">
        <v>1557</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8" t="s">
        <v>2654</v>
      </c>
      <c r="BA273" s="78"/>
      <c r="BB273" s="78"/>
      <c r="BC273" s="78"/>
      <c r="BD273" s="78"/>
      <c r="BE273" s="21" t="str">
        <f t="shared" si="29"/>
        <v>[320] = {wayshrines={284,284,284,}, dlcId=DLC_BASE_GAME</v>
      </c>
      <c r="BF273" s="21" t="str">
        <f t="shared" si="30"/>
        <v>, zoneIds={849,849,849,849}, veteran=false</v>
      </c>
      <c r="BG273" s="21" t="str">
        <f t="shared" si="31"/>
        <v>, setType=LIBSETS_SETTYPE_OVERLAND</v>
      </c>
      <c r="BH273" s="21" t="str">
        <f t="shared" si="32"/>
        <v>, isProcSetAllowedInPvP=1, dropMechanic={LIBSETS_DROP_MECHANIC_OVERLAND_BOSS_DELVE,LIBSETS_DROP_MECHANIC_OVERLAND_WORLDBOSS,LIBSETS_DROP_MECHANIC_OVERLAND_BOSS_PUBLIC_DUNGEON,LIBSETS_DROP_MECHANIC_OVERLAND_CHEST}</v>
      </c>
      <c r="BI273" s="21" t="str">
        <f t="shared" si="33"/>
        <v>}, --War Maiden / Kriegsjungfer   [Vvardenfell, Vvardenfell, Vvardenfell, Vvardenfell]</v>
      </c>
    </row>
    <row r="274" spans="1:61" x14ac:dyDescent="0.25">
      <c r="A274" s="12">
        <v>321</v>
      </c>
      <c r="B274" t="s">
        <v>1149</v>
      </c>
      <c r="C274" t="s">
        <v>1150</v>
      </c>
      <c r="D274" s="3">
        <f t="shared" si="28"/>
        <v>321</v>
      </c>
      <c r="G274" s="8" t="s">
        <v>1476</v>
      </c>
      <c r="I274" t="s">
        <v>91</v>
      </c>
      <c r="J274" t="s">
        <v>91</v>
      </c>
      <c r="K274">
        <v>284</v>
      </c>
      <c r="L274">
        <v>284</v>
      </c>
      <c r="M274">
        <v>284</v>
      </c>
      <c r="O274" s="61" t="s">
        <v>530</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constants'!$H$3:$K$9989,4,FALSE)),""))</f>
        <v>DLC_BASE_GAME</v>
      </c>
      <c r="U274" s="3" t="str">
        <f>IF(T274&lt;&gt;"",VLOOKUP(T274,'LibSets constants'!$B$4:$C$1012,2,FALSE),"")</f>
        <v>Included in base game</v>
      </c>
      <c r="V274" s="33" t="s">
        <v>1554</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constants'!$A$5:$D$10001,4,FALSE),"")</f>
        <v>Vvardenfell</v>
      </c>
      <c r="AB274" s="33" t="s">
        <v>1555</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constants'!$A$5:$D$10001,4,FALSE),"")</f>
        <v>Vvardenfell</v>
      </c>
      <c r="AH274" s="42" t="s">
        <v>1556</v>
      </c>
      <c r="AI274" s="41"/>
      <c r="AJ274" s="41"/>
      <c r="AK274" s="3">
        <f>IF(AND(G274&lt;&gt;"LIBSETS_SETTYPE_BATTLEGROUND",G274&lt;&gt;"LIBSETS_SETTYPE_SPECIAL"),IF(AL274&lt;&gt;"",VLOOKUP(AL274,'ESO zone constants'!$D$5:$H$4955,5,FALSE),""),"")</f>
        <v>849</v>
      </c>
      <c r="AL274" t="s">
        <v>530</v>
      </c>
      <c r="AM274" s="33" t="s">
        <v>1557</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8" t="s">
        <v>2653</v>
      </c>
      <c r="BA274" s="78"/>
      <c r="BB274" s="78"/>
      <c r="BC274" s="78"/>
      <c r="BD274" s="78"/>
      <c r="BE274" s="21" t="str">
        <f t="shared" si="29"/>
        <v>[321] = {wayshrines={284,284,284,}, dlcId=DLC_BASE_GAME</v>
      </c>
      <c r="BF274" s="21" t="str">
        <f t="shared" si="30"/>
        <v>, zoneIds={849,849,849,849}, veteran=false</v>
      </c>
      <c r="BG274" s="21" t="str">
        <f t="shared" si="31"/>
        <v>, setType=LIBSETS_SETTYPE_OVERLAND</v>
      </c>
      <c r="BH274" s="21" t="str">
        <f t="shared" si="32"/>
        <v>, dropMechanic={LIBSETS_DROP_MECHANIC_OVERLAND_BOSS_DELVE,LIBSETS_DROP_MECHANIC_OVERLAND_WORLDBOSS,LIBSETS_DROP_MECHANIC_OVERLAND_BOSS_PUBLIC_DUNGEON,LIBSETS_DROP_MECHANIC_OVERLAND_CHEST}</v>
      </c>
      <c r="BI274" s="21" t="str">
        <f t="shared" si="33"/>
        <v>}, --Defiler / Schänder   [Vvardenfell, Vvardenfell, Vvardenfell, Vvardenfell]</v>
      </c>
    </row>
    <row r="275" spans="1:61" x14ac:dyDescent="0.25">
      <c r="A275" s="12">
        <v>322</v>
      </c>
      <c r="B275" t="s">
        <v>1151</v>
      </c>
      <c r="C275" t="s">
        <v>1152</v>
      </c>
      <c r="D275" s="3">
        <f t="shared" si="28"/>
        <v>322</v>
      </c>
      <c r="G275" s="8" t="s">
        <v>1476</v>
      </c>
      <c r="I275" t="s">
        <v>91</v>
      </c>
      <c r="J275" t="s">
        <v>91</v>
      </c>
      <c r="K275">
        <v>284</v>
      </c>
      <c r="L275">
        <v>284</v>
      </c>
      <c r="M275">
        <v>284</v>
      </c>
      <c r="O275" s="61" t="s">
        <v>530</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constants'!$H$3:$K$9989,4,FALSE)),""))</f>
        <v>DLC_BASE_GAME</v>
      </c>
      <c r="U275" s="3" t="str">
        <f>IF(T275&lt;&gt;"",VLOOKUP(T275,'LibSets constants'!$B$4:$C$1012,2,FALSE),"")</f>
        <v>Included in base game</v>
      </c>
      <c r="V275" s="33" t="s">
        <v>1554</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constants'!$A$5:$D$10001,4,FALSE),"")</f>
        <v>Vvardenfell</v>
      </c>
      <c r="AB275" s="33" t="s">
        <v>1555</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constants'!$A$5:$D$10001,4,FALSE),"")</f>
        <v>Vvardenfell</v>
      </c>
      <c r="AH275" s="42" t="s">
        <v>1556</v>
      </c>
      <c r="AI275" s="41"/>
      <c r="AJ275" s="41"/>
      <c r="AK275" s="3">
        <f>IF(AND(G275&lt;&gt;"LIBSETS_SETTYPE_BATTLEGROUND",G275&lt;&gt;"LIBSETS_SETTYPE_SPECIAL"),IF(AL275&lt;&gt;"",VLOOKUP(AL275,'ESO zone constants'!$D$5:$H$4955,5,FALSE),""),"")</f>
        <v>849</v>
      </c>
      <c r="AL275" t="s">
        <v>530</v>
      </c>
      <c r="AM275" s="33" t="s">
        <v>1557</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8" t="s">
        <v>2653</v>
      </c>
      <c r="BA275" s="78"/>
      <c r="BB275" s="78"/>
      <c r="BC275" s="78"/>
      <c r="BD275" s="78"/>
      <c r="BE275" s="21" t="str">
        <f t="shared" si="29"/>
        <v>[322] = {wayshrines={284,284,284,}, dlcId=DLC_BASE_GAME</v>
      </c>
      <c r="BF275" s="21" t="str">
        <f t="shared" si="30"/>
        <v>, zoneIds={849,849,849,849}, veteran=false</v>
      </c>
      <c r="BG275" s="21" t="str">
        <f t="shared" si="31"/>
        <v>, setType=LIBSETS_SETTYPE_OVERLAND</v>
      </c>
      <c r="BH275" s="21" t="str">
        <f t="shared" si="32"/>
        <v>, dropMechanic={LIBSETS_DROP_MECHANIC_OVERLAND_BOSS_DELVE,LIBSETS_DROP_MECHANIC_OVERLAND_WORLDBOSS,LIBSETS_DROP_MECHANIC_OVERLAND_BOSS_PUBLIC_DUNGEON,LIBSETS_DROP_MECHANIC_OVERLAND_CHEST}</v>
      </c>
      <c r="BI275" s="21" t="str">
        <f t="shared" si="33"/>
        <v>}, --Warrior-Poet / Kriegerpoet   [Vvardenfell, Vvardenfell, Vvardenfell, Vvardenfell]</v>
      </c>
    </row>
    <row r="276" spans="1:61" x14ac:dyDescent="0.25">
      <c r="A276" s="5">
        <v>323</v>
      </c>
      <c r="B276" t="s">
        <v>1153</v>
      </c>
      <c r="C276" t="s">
        <v>2603</v>
      </c>
      <c r="D276" s="3">
        <f t="shared" si="28"/>
        <v>323</v>
      </c>
      <c r="G276" s="8" t="s">
        <v>1470</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constants'!$H$3:$K$9989,4,FALSE)),""))</f>
        <v>DLC_BASE_GAME</v>
      </c>
      <c r="U276" s="3" t="str">
        <f>IF(T276&lt;&gt;"",VLOOKUP(T276,'LibSets constants'!$B$4:$C$1012,2,FALSE),"")</f>
        <v>Included in base game</v>
      </c>
      <c r="V276" s="33" t="s">
        <v>3288</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constants'!$A$5:$D$10001,4,FALSE),"")</f>
        <v>Vvardenfell</v>
      </c>
      <c r="AB276" s="33" t="s">
        <v>3288</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8" t="s">
        <v>2654</v>
      </c>
      <c r="BA276" s="78"/>
      <c r="BB276" s="78"/>
      <c r="BC276" s="78"/>
      <c r="BD276" s="78"/>
      <c r="BE276" s="21" t="str">
        <f t="shared" si="29"/>
        <v>[323] = {wayshrines={276,276,276,}, traitsNeeded=3, dlcId=DLC_BASE_GAME</v>
      </c>
      <c r="BF276" s="21" t="str">
        <f t="shared" si="30"/>
        <v>, zoneIds={849,849,849}, veteran=false</v>
      </c>
      <c r="BG276" s="21" t="str">
        <f t="shared" si="31"/>
        <v>, setType=LIBSETS_SETTYPE_CRAFTED</v>
      </c>
      <c r="BH276" s="21" t="str">
        <f t="shared" si="32"/>
        <v>, isProcSetAllowedInPvP=1, dropMechanic={LIBSETS_DROP_MECHANIC_CRAFTED,LIBSETS_DROP_MECHANIC_CRAFTED}</v>
      </c>
      <c r="BI276" s="21" t="str">
        <f t="shared" si="33"/>
        <v>}, --Assassin\'s Guile / Assassinenlist   [Vvardenfell, Vvardenfell, Vvardenfell]</v>
      </c>
    </row>
    <row r="277" spans="1:61" x14ac:dyDescent="0.25">
      <c r="A277" s="5">
        <v>324</v>
      </c>
      <c r="B277" t="s">
        <v>1154</v>
      </c>
      <c r="C277" t="s">
        <v>1155</v>
      </c>
      <c r="D277" s="3">
        <f t="shared" si="28"/>
        <v>324</v>
      </c>
      <c r="E277" s="40"/>
      <c r="G277" s="8" t="s">
        <v>1470</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constants'!$H$3:$K$9989,4,FALSE)),""))</f>
        <v>DLC_BASE_GAME</v>
      </c>
      <c r="U277" s="3" t="str">
        <f>IF(T277&lt;&gt;"",VLOOKUP(T277,'LibSets constants'!$B$4:$C$1012,2,FALSE),"")</f>
        <v>Included in base game</v>
      </c>
      <c r="V277" s="33" t="s">
        <v>3288</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constants'!$A$5:$D$10001,4,FALSE),"")</f>
        <v>Vvardenfell</v>
      </c>
      <c r="AB277" s="33" t="s">
        <v>3288</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8" t="s">
        <v>2653</v>
      </c>
      <c r="BA277" s="78"/>
      <c r="BB277" s="78"/>
      <c r="BC277" s="78"/>
      <c r="BD277" s="78"/>
      <c r="BE277" s="21" t="str">
        <f t="shared" si="29"/>
        <v>[324] = {wayshrines={329,329,329,}, traitsNeeded=8, dlcId=DLC_BASE_GAME</v>
      </c>
      <c r="BF277" s="21" t="str">
        <f t="shared" si="30"/>
        <v>, zoneIds={849,849,849}, veteran=false</v>
      </c>
      <c r="BG277" s="21" t="str">
        <f t="shared" si="31"/>
        <v>, setType=LIBSETS_SETTYPE_CRAFTED</v>
      </c>
      <c r="BH277" s="21" t="str">
        <f t="shared" si="32"/>
        <v>, dropMechanic={LIBSETS_DROP_MECHANIC_CRAFTED,LIBSETS_DROP_MECHANIC_CRAFTED}</v>
      </c>
      <c r="BI277" s="21" t="str">
        <f t="shared" si="33"/>
        <v>}, --Daedric Trickery / Daedrische Gaunerei   [Vvardenfell, Vvardenfell, Vvardenfell]</v>
      </c>
    </row>
    <row r="278" spans="1:61" x14ac:dyDescent="0.25">
      <c r="A278" s="5">
        <v>325</v>
      </c>
      <c r="B278" t="s">
        <v>1156</v>
      </c>
      <c r="C278" t="s">
        <v>1157</v>
      </c>
      <c r="D278" s="3">
        <f t="shared" si="28"/>
        <v>325</v>
      </c>
      <c r="G278" s="8" t="s">
        <v>1470</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constants'!$H$3:$K$9989,4,FALSE)),""))</f>
        <v>DLC_BASE_GAME</v>
      </c>
      <c r="U278" s="3" t="str">
        <f>IF(T278&lt;&gt;"",VLOOKUP(T278,'LibSets constants'!$B$4:$C$1012,2,FALSE),"")</f>
        <v>Included in base game</v>
      </c>
      <c r="V278" s="33" t="s">
        <v>3288</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constants'!$A$5:$D$10001,4,FALSE),"")</f>
        <v>Vvardenfell</v>
      </c>
      <c r="AB278" s="33" t="s">
        <v>3288</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8" t="s">
        <v>2654</v>
      </c>
      <c r="BA278" s="78"/>
      <c r="BB278" s="78"/>
      <c r="BC278" s="78"/>
      <c r="BD278" s="78"/>
      <c r="BE278" s="21" t="str">
        <f t="shared" si="29"/>
        <v>[325] = {wayshrines={282,282,282,}, traitsNeeded=6, dlcId=DLC_BASE_GAME</v>
      </c>
      <c r="BF278" s="21" t="str">
        <f t="shared" si="30"/>
        <v>, zoneIds={849,849,849}, veteran=false</v>
      </c>
      <c r="BG278" s="21" t="str">
        <f t="shared" si="31"/>
        <v>, setType=LIBSETS_SETTYPE_CRAFTED</v>
      </c>
      <c r="BH278" s="21" t="str">
        <f t="shared" si="32"/>
        <v>, isProcSetAllowedInPvP=1, dropMechanic={LIBSETS_DROP_MECHANIC_CRAFTED,LIBSETS_DROP_MECHANIC_CRAFTED}</v>
      </c>
      <c r="BI278" s="21" t="str">
        <f t="shared" si="33"/>
        <v>}, --Shacklebreaker / Kettensprenger   [Vvardenfell, Vvardenfell, Vvardenfell]</v>
      </c>
    </row>
    <row r="279" spans="1:61" x14ac:dyDescent="0.25">
      <c r="A279" s="12">
        <v>326</v>
      </c>
      <c r="B279" t="s">
        <v>1158</v>
      </c>
      <c r="C279" t="s">
        <v>2604</v>
      </c>
      <c r="D279" s="3">
        <f t="shared" si="28"/>
        <v>326</v>
      </c>
      <c r="G279" s="8" t="s">
        <v>1469</v>
      </c>
      <c r="I279" t="s">
        <v>91</v>
      </c>
      <c r="J279" t="s">
        <v>91</v>
      </c>
      <c r="K279">
        <v>-1</v>
      </c>
      <c r="L279">
        <v>-1</v>
      </c>
      <c r="M279">
        <v>-1</v>
      </c>
      <c r="O279" s="61" t="s">
        <v>1508</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constants'!$B$4:$C$1012,2,FALSE),"")</f>
        <v>Included in base game</v>
      </c>
      <c r="V279" s="33" t="s">
        <v>1569</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8" t="s">
        <v>2653</v>
      </c>
      <c r="BA279" s="78"/>
      <c r="BB279" s="78"/>
      <c r="BC279" s="78"/>
      <c r="BD279" s="78"/>
      <c r="BE279" s="21" t="str">
        <f t="shared" si="29"/>
        <v>[326] = {wayshrines={-1,-1,-1,}, dlcId=DLC_BASE_GAME</v>
      </c>
      <c r="BF279" s="21" t="str">
        <f t="shared" si="30"/>
        <v>, zoneIds={-98}, veteran=false</v>
      </c>
      <c r="BG279" s="21" t="str">
        <f t="shared" si="31"/>
        <v>, setType=LIBSETS_SETTYPE_BATTLEGROUND</v>
      </c>
      <c r="BH279" s="21" t="str">
        <f t="shared" si="32"/>
        <v>, dropMechanic={LIBSETS_DROP_MECHANIC_BATTLEGROUND_REWARD}</v>
      </c>
      <c r="BI279" s="21" t="str">
        <f t="shared" si="33"/>
        <v>}, --Vanguard\'s Challenge / Vorhutdisput   [!Battleground]</v>
      </c>
    </row>
    <row r="280" spans="1:61" x14ac:dyDescent="0.25">
      <c r="A280" s="12">
        <v>327</v>
      </c>
      <c r="B280" t="s">
        <v>1159</v>
      </c>
      <c r="C280" t="s">
        <v>2605</v>
      </c>
      <c r="D280" s="3">
        <f t="shared" si="28"/>
        <v>327</v>
      </c>
      <c r="G280" s="8" t="s">
        <v>1469</v>
      </c>
      <c r="I280" t="s">
        <v>91</v>
      </c>
      <c r="J280" t="s">
        <v>91</v>
      </c>
      <c r="K280">
        <v>-1</v>
      </c>
      <c r="L280">
        <v>-1</v>
      </c>
      <c r="M280">
        <v>-1</v>
      </c>
      <c r="O280" s="61" t="s">
        <v>1508</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constants'!$B$4:$C$1012,2,FALSE),"")</f>
        <v>Included in base game</v>
      </c>
      <c r="V280" s="33" t="s">
        <v>1569</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8" t="s">
        <v>2653</v>
      </c>
      <c r="BA280" s="78"/>
      <c r="BB280" s="78"/>
      <c r="BC280" s="78"/>
      <c r="BD280" s="78"/>
      <c r="BE280" s="21" t="str">
        <f t="shared" si="29"/>
        <v>[327] = {wayshrines={-1,-1,-1,}, dlcId=DLC_BASE_GAME</v>
      </c>
      <c r="BF280" s="21" t="str">
        <f t="shared" si="30"/>
        <v>, zoneIds={-98}, veteran=false</v>
      </c>
      <c r="BG280" s="21" t="str">
        <f t="shared" si="31"/>
        <v>, setType=LIBSETS_SETTYPE_BATTLEGROUND</v>
      </c>
      <c r="BH280" s="21" t="str">
        <f t="shared" si="32"/>
        <v>, dropMechanic={LIBSETS_DROP_MECHANIC_BATTLEGROUND_REWARD}</v>
      </c>
      <c r="BI280" s="21" t="str">
        <f t="shared" si="33"/>
        <v>}, --Coward\'s Gear / Feiglingstracht   [!Battleground]</v>
      </c>
    </row>
    <row r="281" spans="1:61" x14ac:dyDescent="0.25">
      <c r="A281" s="12">
        <v>328</v>
      </c>
      <c r="B281" t="s">
        <v>1160</v>
      </c>
      <c r="C281" t="s">
        <v>1161</v>
      </c>
      <c r="D281" s="3">
        <f t="shared" si="28"/>
        <v>328</v>
      </c>
      <c r="G281" s="8" t="s">
        <v>1469</v>
      </c>
      <c r="I281" t="s">
        <v>91</v>
      </c>
      <c r="J281" t="s">
        <v>91</v>
      </c>
      <c r="K281">
        <v>-1</v>
      </c>
      <c r="L281">
        <v>-1</v>
      </c>
      <c r="M281">
        <v>-1</v>
      </c>
      <c r="O281" s="61" t="s">
        <v>1508</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constants'!$B$4:$C$1012,2,FALSE),"")</f>
        <v>Included in base game</v>
      </c>
      <c r="V281" s="33" t="s">
        <v>1569</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8" t="s">
        <v>2653</v>
      </c>
      <c r="BA281" s="78"/>
      <c r="BB281" s="78"/>
      <c r="BC281" s="78"/>
      <c r="BD281" s="78"/>
      <c r="BE281" s="21" t="str">
        <f t="shared" si="29"/>
        <v>[328] = {wayshrines={-1,-1,-1,}, dlcId=DLC_BASE_GAME</v>
      </c>
      <c r="BF281" s="21" t="str">
        <f t="shared" si="30"/>
        <v>, zoneIds={-98}, veteran=false</v>
      </c>
      <c r="BG281" s="21" t="str">
        <f t="shared" si="31"/>
        <v>, setType=LIBSETS_SETTYPE_BATTLEGROUND</v>
      </c>
      <c r="BH281" s="21" t="str">
        <f t="shared" si="32"/>
        <v>, dropMechanic={LIBSETS_DROP_MECHANIC_BATTLEGROUND_REWARD}</v>
      </c>
      <c r="BI281" s="21" t="str">
        <f t="shared" si="33"/>
        <v>}, --Knight Slayer / Ritterschlächter   [!Battleground]</v>
      </c>
    </row>
    <row r="282" spans="1:61" x14ac:dyDescent="0.25">
      <c r="A282" s="12">
        <v>329</v>
      </c>
      <c r="B282" t="s">
        <v>1162</v>
      </c>
      <c r="C282" t="s">
        <v>2606</v>
      </c>
      <c r="D282" s="3">
        <f t="shared" si="28"/>
        <v>329</v>
      </c>
      <c r="G282" s="8" t="s">
        <v>1469</v>
      </c>
      <c r="I282" t="s">
        <v>91</v>
      </c>
      <c r="J282" t="s">
        <v>91</v>
      </c>
      <c r="K282">
        <v>-1</v>
      </c>
      <c r="L282">
        <v>-1</v>
      </c>
      <c r="M282">
        <v>-1</v>
      </c>
      <c r="O282" s="61" t="s">
        <v>1508</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constants'!$B$4:$C$1012,2,FALSE),"")</f>
        <v>Included in base game</v>
      </c>
      <c r="V282" s="33" t="s">
        <v>1569</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8" t="s">
        <v>2653</v>
      </c>
      <c r="BA282" s="78"/>
      <c r="BB282" s="78"/>
      <c r="BC282" s="78"/>
      <c r="BD282" s="78"/>
      <c r="BE282" s="21" t="str">
        <f t="shared" si="29"/>
        <v>[329] = {wayshrines={-1,-1,-1,}, dlcId=DLC_BASE_GAME</v>
      </c>
      <c r="BF282" s="21" t="str">
        <f t="shared" si="30"/>
        <v>, zoneIds={-98}, veteran=false</v>
      </c>
      <c r="BG282" s="21" t="str">
        <f t="shared" si="31"/>
        <v>, setType=LIBSETS_SETTYPE_BATTLEGROUND</v>
      </c>
      <c r="BH282" s="21" t="str">
        <f t="shared" si="32"/>
        <v>, dropMechanic={LIBSETS_DROP_MECHANIC_BATTLEGROUND_REWARD}</v>
      </c>
      <c r="BI282" s="21" t="str">
        <f t="shared" si="33"/>
        <v>}, --Wizard\'s Riposte / Zaubererreplik   [!Battleground]</v>
      </c>
    </row>
    <row r="283" spans="1:61" x14ac:dyDescent="0.25">
      <c r="A283" s="12">
        <v>330</v>
      </c>
      <c r="B283" t="s">
        <v>1163</v>
      </c>
      <c r="C283" t="s">
        <v>1164</v>
      </c>
      <c r="D283" s="3">
        <f t="shared" si="28"/>
        <v>330</v>
      </c>
      <c r="G283" s="8" t="s">
        <v>1477</v>
      </c>
      <c r="I283" t="s">
        <v>91</v>
      </c>
      <c r="J283" t="s">
        <v>91</v>
      </c>
      <c r="K283">
        <v>331</v>
      </c>
      <c r="L283">
        <v>331</v>
      </c>
      <c r="M283">
        <v>331</v>
      </c>
      <c r="O283" s="61" t="s">
        <v>638</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constants'!$B$4:$C$1012,2,FALSE),"")</f>
        <v>Clockwork City</v>
      </c>
      <c r="V283" s="33" t="s">
        <v>3266</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constants'!$A$5:$D$10001,4,FALSE),"")</f>
        <v>Halls of Fabrication</v>
      </c>
      <c r="AB283" s="33" t="s">
        <v>3266</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constants'!$A$5:$D$10001,4,FALSE),"")</f>
        <v>Halls of Fabrication</v>
      </c>
      <c r="AH283" s="33" t="s">
        <v>3266</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8" t="s">
        <v>2653</v>
      </c>
      <c r="BA283" s="78"/>
      <c r="BB283" s="78"/>
      <c r="BC283" s="78"/>
      <c r="BD283" s="78"/>
      <c r="BE283" s="21" t="str">
        <f t="shared" si="29"/>
        <v>[330] = {wayshrines={331,331,331,}, dlcId=DLC_CLOCKWORK_CITY</v>
      </c>
      <c r="BF283" s="21" t="str">
        <f t="shared" si="30"/>
        <v>, zoneIds={975,975,975}, veteran=false</v>
      </c>
      <c r="BG283" s="21" t="str">
        <f t="shared" si="31"/>
        <v>, setType=LIBSETS_SETTYPE_TRIAL</v>
      </c>
      <c r="BH283" s="21" t="str">
        <f t="shared" si="32"/>
        <v>, dropMechanic={LIBSETS_DROP_MECHANIC_TRIAL_BOSS,LIBSETS_DROP_MECHANIC_TRIAL_BOSS,LIBSETS_DROP_MECHANIC_TRIAL_BOSS}</v>
      </c>
      <c r="BI283" s="21" t="str">
        <f t="shared" si="33"/>
        <v>}, --Automated Defense / Automatisierte Verteidigung   [Halls of Fabrication, Halls of Fabrication, Halls of Fabrication]</v>
      </c>
    </row>
    <row r="284" spans="1:61" x14ac:dyDescent="0.25">
      <c r="A284" s="12">
        <v>331</v>
      </c>
      <c r="B284" t="s">
        <v>1165</v>
      </c>
      <c r="C284" t="s">
        <v>1166</v>
      </c>
      <c r="D284" s="3">
        <f t="shared" si="28"/>
        <v>331</v>
      </c>
      <c r="G284" s="8" t="s">
        <v>1477</v>
      </c>
      <c r="I284" t="s">
        <v>91</v>
      </c>
      <c r="J284" t="s">
        <v>91</v>
      </c>
      <c r="K284">
        <v>331</v>
      </c>
      <c r="L284">
        <v>331</v>
      </c>
      <c r="M284">
        <v>331</v>
      </c>
      <c r="O284" s="61" t="s">
        <v>638</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constants'!$B$4:$C$1012,2,FALSE),"")</f>
        <v>Clockwork City</v>
      </c>
      <c r="V284" s="33" t="s">
        <v>3266</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constants'!$A$5:$D$10001,4,FALSE),"")</f>
        <v>Halls of Fabrication</v>
      </c>
      <c r="AB284" s="33" t="s">
        <v>3266</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constants'!$A$5:$D$10001,4,FALSE),"")</f>
        <v>Halls of Fabrication</v>
      </c>
      <c r="AH284" s="33" t="s">
        <v>3266</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8" t="s">
        <v>2653</v>
      </c>
      <c r="BA284" s="78"/>
      <c r="BB284" s="78"/>
      <c r="BC284" s="78"/>
      <c r="BD284" s="78"/>
      <c r="BE284" s="21" t="str">
        <f t="shared" si="29"/>
        <v>[331] = {wayshrines={331,331,331,}, dlcId=DLC_CLOCKWORK_CITY</v>
      </c>
      <c r="BF284" s="21" t="str">
        <f t="shared" si="30"/>
        <v>, zoneIds={975,975,975}, veteran=false</v>
      </c>
      <c r="BG284" s="21" t="str">
        <f t="shared" si="31"/>
        <v>, setType=LIBSETS_SETTYPE_TRIAL</v>
      </c>
      <c r="BH284" s="21" t="str">
        <f t="shared" si="32"/>
        <v>, dropMechanic={LIBSETS_DROP_MECHANIC_TRIAL_BOSS,LIBSETS_DROP_MECHANIC_TRIAL_BOSS,LIBSETS_DROP_MECHANIC_TRIAL_BOSS}</v>
      </c>
      <c r="BI284" s="21" t="str">
        <f t="shared" si="33"/>
        <v>}, --War Machine / Kriegsmaschine   [Halls of Fabrication, Halls of Fabrication, Halls of Fabrication]</v>
      </c>
    </row>
    <row r="285" spans="1:61" x14ac:dyDescent="0.25">
      <c r="A285" s="12">
        <v>332</v>
      </c>
      <c r="B285" t="s">
        <v>1167</v>
      </c>
      <c r="C285" t="s">
        <v>1168</v>
      </c>
      <c r="D285" s="3">
        <f t="shared" si="28"/>
        <v>332</v>
      </c>
      <c r="G285" s="8" t="s">
        <v>1477</v>
      </c>
      <c r="I285" t="s">
        <v>91</v>
      </c>
      <c r="J285" t="s">
        <v>91</v>
      </c>
      <c r="K285">
        <v>331</v>
      </c>
      <c r="L285">
        <v>331</v>
      </c>
      <c r="M285">
        <v>331</v>
      </c>
      <c r="O285" s="61" t="s">
        <v>638</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constants'!$B$4:$C$1012,2,FALSE),"")</f>
        <v>Clockwork City</v>
      </c>
      <c r="V285" s="33" t="s">
        <v>3266</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constants'!$A$5:$D$10001,4,FALSE),"")</f>
        <v>Halls of Fabrication</v>
      </c>
      <c r="AB285" s="33" t="s">
        <v>3266</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constants'!$A$5:$D$10001,4,FALSE),"")</f>
        <v>Halls of Fabrication</v>
      </c>
      <c r="AH285" s="33" t="s">
        <v>3266</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8" t="s">
        <v>2653</v>
      </c>
      <c r="BA285" s="78"/>
      <c r="BB285" s="78"/>
      <c r="BC285" s="78"/>
      <c r="BD285" s="78"/>
      <c r="BE285" s="21" t="str">
        <f t="shared" si="29"/>
        <v>[332] = {wayshrines={331,331,331,}, dlcId=DLC_CLOCKWORK_CITY</v>
      </c>
      <c r="BF285" s="21" t="str">
        <f t="shared" si="30"/>
        <v>, zoneIds={975,975,975}, veteran=false</v>
      </c>
      <c r="BG285" s="21" t="str">
        <f t="shared" si="31"/>
        <v>, setType=LIBSETS_SETTYPE_TRIAL</v>
      </c>
      <c r="BH285" s="21" t="str">
        <f t="shared" si="32"/>
        <v>, dropMechanic={LIBSETS_DROP_MECHANIC_TRIAL_BOSS,LIBSETS_DROP_MECHANIC_TRIAL_BOSS,LIBSETS_DROP_MECHANIC_TRIAL_BOSS}</v>
      </c>
      <c r="BI285" s="21" t="str">
        <f t="shared" si="33"/>
        <v>}, --Master Architect / Meisterarchitekt   [Halls of Fabrication, Halls of Fabrication, Halls of Fabrication]</v>
      </c>
    </row>
    <row r="286" spans="1:61" x14ac:dyDescent="0.25">
      <c r="A286" s="12">
        <v>333</v>
      </c>
      <c r="B286" t="s">
        <v>1169</v>
      </c>
      <c r="C286" t="s">
        <v>2607</v>
      </c>
      <c r="D286" s="3">
        <f t="shared" si="28"/>
        <v>333</v>
      </c>
      <c r="G286" s="8" t="s">
        <v>1477</v>
      </c>
      <c r="I286" t="s">
        <v>91</v>
      </c>
      <c r="J286" t="s">
        <v>91</v>
      </c>
      <c r="K286">
        <v>331</v>
      </c>
      <c r="L286">
        <v>331</v>
      </c>
      <c r="M286">
        <v>331</v>
      </c>
      <c r="O286" s="61" t="s">
        <v>638</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constants'!$B$4:$C$1012,2,FALSE),"")</f>
        <v>Clockwork City</v>
      </c>
      <c r="V286" s="33" t="s">
        <v>3266</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constants'!$A$5:$D$10001,4,FALSE),"")</f>
        <v>Halls of Fabrication</v>
      </c>
      <c r="AB286" s="33" t="s">
        <v>3266</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constants'!$A$5:$D$10001,4,FALSE),"")</f>
        <v>Halls of Fabrication</v>
      </c>
      <c r="AH286" s="33" t="s">
        <v>3266</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8" t="s">
        <v>2653</v>
      </c>
      <c r="BA286" s="78"/>
      <c r="BB286" s="78"/>
      <c r="BC286" s="78"/>
      <c r="BD286" s="78"/>
      <c r="BE286" s="21" t="str">
        <f t="shared" si="29"/>
        <v>[333] = {wayshrines={331,331,331,}, dlcId=DLC_CLOCKWORK_CITY</v>
      </c>
      <c r="BF286" s="21" t="str">
        <f t="shared" si="30"/>
        <v>, zoneIds={975,975,975}, veteran=false</v>
      </c>
      <c r="BG286" s="21" t="str">
        <f t="shared" si="31"/>
        <v>, setType=LIBSETS_SETTYPE_TRIAL</v>
      </c>
      <c r="BH286" s="21" t="str">
        <f t="shared" si="32"/>
        <v>, dropMechanic={LIBSETS_DROP_MECHANIC_TRIAL_BOSS,LIBSETS_DROP_MECHANIC_TRIAL_BOSS,LIBSETS_DROP_MECHANIC_TRIAL_BOSS}</v>
      </c>
      <c r="BI286" s="21" t="str">
        <f t="shared" si="33"/>
        <v>}, --Inventor\'s Guard / Erfindergarde   [Halls of Fabrication, Halls of Fabrication, Halls of Fabrication]</v>
      </c>
    </row>
    <row r="287" spans="1:61" x14ac:dyDescent="0.25">
      <c r="A287" s="12">
        <v>334</v>
      </c>
      <c r="B287" t="s">
        <v>1170</v>
      </c>
      <c r="C287" t="s">
        <v>1171</v>
      </c>
      <c r="D287" s="3">
        <f t="shared" si="28"/>
        <v>334</v>
      </c>
      <c r="G287" s="8" t="s">
        <v>1469</v>
      </c>
      <c r="I287" t="s">
        <v>91</v>
      </c>
      <c r="J287" t="s">
        <v>91</v>
      </c>
      <c r="K287">
        <v>-1</v>
      </c>
      <c r="L287">
        <v>-1</v>
      </c>
      <c r="M287">
        <v>-1</v>
      </c>
      <c r="O287" s="61" t="s">
        <v>1508</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constants'!$B$4:$C$1012,2,FALSE),"")</f>
        <v>Included in base game</v>
      </c>
      <c r="V287" s="33" t="s">
        <v>1569</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constants'!$A$5:$D$10001,4,FALSE),"")</f>
        <v/>
      </c>
      <c r="AC287" s="3" t="str">
        <f>IF(AB287&lt;&gt;"",IF(AB287&lt;&gt;"LIBSETS_DROP_MECHANIC_MONSTER_NAME",VLOOKUP(AB287,'LibSets constants'!$I$4:$L$1012,3,FALSE),""),"")</f>
        <v/>
      </c>
      <c r="AD287" s="3" t="str">
        <f>IF(AB287&lt;&gt;"",IF(AB287&lt;&gt;"LIBSETS_DROP_MECHANIC_MONSTER_NAME",VLOOKUP(AB287,'LibSets constants'!$I$4:$L$1012,4,FALSE),""),"")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8" t="s">
        <v>2654</v>
      </c>
      <c r="BA287" s="78"/>
      <c r="BB287" s="78"/>
      <c r="BC287" s="78"/>
      <c r="BD287" s="78"/>
      <c r="BE287" s="21" t="str">
        <f t="shared" si="29"/>
        <v>[334] = {wayshrines={-1,-1,-1,}, dlcId=DLC_BASE_GAME</v>
      </c>
      <c r="BF287" s="21" t="str">
        <f t="shared" si="30"/>
        <v>, zoneIds={-98}, veteran=false</v>
      </c>
      <c r="BG287" s="21" t="str">
        <f t="shared" si="31"/>
        <v>, setType=LIBSETS_SETTYPE_BATTLEGROUND</v>
      </c>
      <c r="BH287" s="21" t="str">
        <f t="shared" si="32"/>
        <v>, isProcSetAllowedInPvP=1, dropMechanic={LIBSETS_DROP_MECHANIC_BATTLEGROUND_REWARD}</v>
      </c>
      <c r="BI287" s="21" t="str">
        <f t="shared" si="33"/>
        <v>}, --Impregnable Armor / Unüberwindliche Rüstung   [!Battleground]</v>
      </c>
    </row>
    <row r="288" spans="1:61" x14ac:dyDescent="0.25">
      <c r="A288" s="12">
        <v>335</v>
      </c>
      <c r="B288" t="s">
        <v>1172</v>
      </c>
      <c r="C288" t="s">
        <v>2608</v>
      </c>
      <c r="D288" s="3">
        <f t="shared" si="28"/>
        <v>335</v>
      </c>
      <c r="G288" s="8" t="s">
        <v>1473</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constants'!$B$4:$C$1012,2,FALSE),"")</f>
        <v>Horns of the Reach</v>
      </c>
      <c r="V288" s="33" t="s">
        <v>3285</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8" t="s">
        <v>2653</v>
      </c>
      <c r="BA288" s="78"/>
      <c r="BB288" s="78"/>
      <c r="BC288" s="78"/>
      <c r="BD288" s="78"/>
      <c r="BE288" s="21" t="str">
        <f t="shared" si="29"/>
        <v>[335] = {wayshrines={332,332,332,}, dlcId=DLC_HORNS_OF_THE_REACH</v>
      </c>
      <c r="BF288" s="21" t="str">
        <f t="shared" si="30"/>
        <v>, zoneIds={974,888,888}, veteran=false</v>
      </c>
      <c r="BG288" s="21" t="str">
        <f t="shared" si="31"/>
        <v>, setType=LIBSETS_SETTYPE_DUNGEON</v>
      </c>
      <c r="BH288" s="21" t="str">
        <f t="shared" si="32"/>
        <v>, dropMechanic={LIBSETS_DROP_MECHANIC_GROUP_DUNGEON_BOSS}</v>
      </c>
      <c r="BI288" s="21" t="str">
        <f t="shared" si="33"/>
        <v>}, --Draugr\'s Rest / Draugrruhe   [Falkreath Hold, Craglorn, Craglorn]</v>
      </c>
    </row>
    <row r="289" spans="1:61" x14ac:dyDescent="0.25">
      <c r="A289" s="12">
        <v>336</v>
      </c>
      <c r="B289" t="s">
        <v>1173</v>
      </c>
      <c r="C289" t="s">
        <v>1174</v>
      </c>
      <c r="D289" s="3">
        <f t="shared" si="28"/>
        <v>336</v>
      </c>
      <c r="G289" s="8" t="s">
        <v>1473</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constants'!$B$4:$C$1012,2,FALSE),"")</f>
        <v>Horns of the Reach</v>
      </c>
      <c r="V289" s="33" t="s">
        <v>3285</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8" t="s">
        <v>2653</v>
      </c>
      <c r="BA289" s="78"/>
      <c r="BB289" s="78"/>
      <c r="BC289" s="78"/>
      <c r="BD289" s="78"/>
      <c r="BE289" s="21" t="str">
        <f t="shared" si="29"/>
        <v>[336] = {wayshrines={332,332,332,}, dlcId=DLC_HORNS_OF_THE_REACH</v>
      </c>
      <c r="BF289" s="21" t="str">
        <f t="shared" si="30"/>
        <v>, zoneIds={974,888,888}, veteran=false</v>
      </c>
      <c r="BG289" s="21" t="str">
        <f t="shared" si="31"/>
        <v>, setType=LIBSETS_SETTYPE_DUNGEON</v>
      </c>
      <c r="BH289" s="21" t="str">
        <f t="shared" si="32"/>
        <v>, dropMechanic={LIBSETS_DROP_MECHANIC_GROUP_DUNGEON_BOSS}</v>
      </c>
      <c r="BI289" s="21" t="str">
        <f t="shared" si="33"/>
        <v>}, --Pillar of Nirn / Säulen von Nirn   [Falkreath Hold, Craglorn, Craglorn]</v>
      </c>
    </row>
    <row r="290" spans="1:61" x14ac:dyDescent="0.25">
      <c r="A290" s="12">
        <v>337</v>
      </c>
      <c r="B290" t="s">
        <v>1175</v>
      </c>
      <c r="C290" t="s">
        <v>1176</v>
      </c>
      <c r="D290" s="3">
        <f t="shared" si="28"/>
        <v>337</v>
      </c>
      <c r="G290" s="8" t="s">
        <v>1473</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constants'!$B$4:$C$1012,2,FALSE),"")</f>
        <v>Horns of the Reach</v>
      </c>
      <c r="V290" s="33" t="s">
        <v>3285</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8" t="s">
        <v>2653</v>
      </c>
      <c r="BA290" s="78"/>
      <c r="BB290" s="78"/>
      <c r="BC290" s="78"/>
      <c r="BD290" s="78"/>
      <c r="BE290" s="21" t="str">
        <f t="shared" si="29"/>
        <v>[337] = {wayshrines={332,332,332,}, dlcId=DLC_HORNS_OF_THE_REACH</v>
      </c>
      <c r="BF290" s="21" t="str">
        <f t="shared" si="30"/>
        <v>, zoneIds={974,888,888}, veteran=false</v>
      </c>
      <c r="BG290" s="21" t="str">
        <f t="shared" si="31"/>
        <v>, setType=LIBSETS_SETTYPE_DUNGEON</v>
      </c>
      <c r="BH290" s="21" t="str">
        <f t="shared" si="32"/>
        <v>, dropMechanic={LIBSETS_DROP_MECHANIC_GROUP_DUNGEON_BOSS}</v>
      </c>
      <c r="BI290" s="21" t="str">
        <f t="shared" si="33"/>
        <v>}, --Ironblood / Eisenblut   [Falkreath Hold, Craglorn, Craglorn]</v>
      </c>
    </row>
    <row r="291" spans="1:61" x14ac:dyDescent="0.25">
      <c r="A291" s="12">
        <v>338</v>
      </c>
      <c r="B291" t="s">
        <v>1177</v>
      </c>
      <c r="C291" t="s">
        <v>1178</v>
      </c>
      <c r="D291" s="3">
        <f t="shared" si="28"/>
        <v>338</v>
      </c>
      <c r="E291" s="40"/>
      <c r="G291" s="8" t="s">
        <v>1473</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constants'!$B$4:$C$1012,2,FALSE),"")</f>
        <v>Horns of the Reach</v>
      </c>
      <c r="V291" s="33" t="s">
        <v>3285</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8" t="s">
        <v>2653</v>
      </c>
      <c r="BA291" s="78"/>
      <c r="BB291" s="78"/>
      <c r="BC291" s="78"/>
      <c r="BD291" s="78"/>
      <c r="BE291" s="21" t="str">
        <f t="shared" si="29"/>
        <v>[338] = {wayshrines={326,326,326,}, dlcId=DLC_HORNS_OF_THE_REACH</v>
      </c>
      <c r="BF291" s="21" t="str">
        <f t="shared" si="30"/>
        <v>, zoneIds={973,888,888}, veteran=false</v>
      </c>
      <c r="BG291" s="21" t="str">
        <f t="shared" si="31"/>
        <v>, setType=LIBSETS_SETTYPE_DUNGEON</v>
      </c>
      <c r="BH291" s="21" t="str">
        <f t="shared" si="32"/>
        <v>, dropMechanic={LIBSETS_DROP_MECHANIC_GROUP_DUNGEON_BOSS}</v>
      </c>
      <c r="BI291" s="21" t="str">
        <f t="shared" si="33"/>
        <v>}, --Flame Blossom / Flammenblüte   [Bloodroot Forge, Craglorn, Craglorn]</v>
      </c>
    </row>
    <row r="292" spans="1:61" x14ac:dyDescent="0.25">
      <c r="A292" s="12">
        <v>339</v>
      </c>
      <c r="B292" t="s">
        <v>1179</v>
      </c>
      <c r="C292" t="s">
        <v>1180</v>
      </c>
      <c r="D292" s="3">
        <f t="shared" si="28"/>
        <v>339</v>
      </c>
      <c r="E292" s="40"/>
      <c r="G292" s="8" t="s">
        <v>1473</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constants'!$B$4:$C$1012,2,FALSE),"")</f>
        <v>Horns of the Reach</v>
      </c>
      <c r="V292" s="33" t="s">
        <v>3285</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8" t="s">
        <v>2654</v>
      </c>
      <c r="BA292" s="78"/>
      <c r="BB292" s="78"/>
      <c r="BC292" s="78"/>
      <c r="BD292" s="78"/>
      <c r="BE292" s="21" t="str">
        <f t="shared" si="29"/>
        <v>[339] = {wayshrines={326,326,326,}, dlcId=DLC_HORNS_OF_THE_REACH</v>
      </c>
      <c r="BF292" s="21" t="str">
        <f t="shared" si="30"/>
        <v>, zoneIds={973,888,888}, veteran=false</v>
      </c>
      <c r="BG292" s="21" t="str">
        <f t="shared" si="31"/>
        <v>, setType=LIBSETS_SETTYPE_DUNGEON</v>
      </c>
      <c r="BH292" s="21" t="str">
        <f t="shared" si="32"/>
        <v>, isProcSetAllowedInPvP=1, dropMechanic={LIBSETS_DROP_MECHANIC_GROUP_DUNGEON_BOSS}</v>
      </c>
      <c r="BI292" s="21" t="str">
        <f t="shared" si="33"/>
        <v>}, --Blooddrinker / Bluttrinker   [Bloodroot Forge, Craglorn, Craglorn]</v>
      </c>
    </row>
    <row r="293" spans="1:61" x14ac:dyDescent="0.25">
      <c r="A293" s="12">
        <v>340</v>
      </c>
      <c r="B293" t="s">
        <v>1181</v>
      </c>
      <c r="C293" t="s">
        <v>2609</v>
      </c>
      <c r="D293" s="3">
        <f t="shared" si="28"/>
        <v>340</v>
      </c>
      <c r="E293" s="40"/>
      <c r="G293" s="8" t="s">
        <v>1473</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constants'!$B$4:$C$1012,2,FALSE),"")</f>
        <v>Horns of the Reach</v>
      </c>
      <c r="V293" s="33" t="s">
        <v>3285</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8" t="s">
        <v>2653</v>
      </c>
      <c r="BA293" s="78"/>
      <c r="BB293" s="78"/>
      <c r="BC293" s="78"/>
      <c r="BD293" s="78"/>
      <c r="BE293" s="21" t="str">
        <f t="shared" si="29"/>
        <v>[340] = {wayshrines={326,326,326,}, dlcId=DLC_HORNS_OF_THE_REACH</v>
      </c>
      <c r="BF293" s="21" t="str">
        <f t="shared" si="30"/>
        <v>, zoneIds={973,888,888}, veteran=false</v>
      </c>
      <c r="BG293" s="21" t="str">
        <f t="shared" si="31"/>
        <v>, setType=LIBSETS_SETTYPE_DUNGEON</v>
      </c>
      <c r="BH293" s="21" t="str">
        <f t="shared" si="32"/>
        <v>, dropMechanic={LIBSETS_DROP_MECHANIC_GROUP_DUNGEON_BOSS}</v>
      </c>
      <c r="BI293" s="21" t="str">
        <f t="shared" si="33"/>
        <v>}, --Hagraven\'s Garden / Vettelgarten   [Bloodroot Forge, Craglorn, Craglorn]</v>
      </c>
    </row>
    <row r="294" spans="1:61" x14ac:dyDescent="0.25">
      <c r="A294" s="5">
        <v>341</v>
      </c>
      <c r="B294" t="s">
        <v>1182</v>
      </c>
      <c r="C294" t="s">
        <v>4</v>
      </c>
      <c r="D294" s="3">
        <f t="shared" si="28"/>
        <v>341</v>
      </c>
      <c r="G294" s="8" t="s">
        <v>1475</v>
      </c>
      <c r="H294" s="86">
        <v>3</v>
      </c>
      <c r="I294" t="s">
        <v>1462</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constants'!$B$4:$C$1012,2,FALSE),"")</f>
        <v>Horns of the Reach</v>
      </c>
      <c r="V294" s="33" t="s">
        <v>1538</v>
      </c>
      <c r="W294" s="3" t="s">
        <v>1548</v>
      </c>
      <c r="X294" s="3" t="s">
        <v>1633</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8" t="s">
        <v>2653</v>
      </c>
      <c r="BA294" s="78"/>
      <c r="BB294" s="78"/>
      <c r="BC294" s="78"/>
      <c r="BD294" s="78"/>
      <c r="BE294" s="21" t="str">
        <f t="shared" si="29"/>
        <v>[341] = {wayshrines={326,326,326,}, dlcId=DLC_HORNS_OF_THE_REACH</v>
      </c>
      <c r="BF294" s="21" t="str">
        <f t="shared" si="30"/>
        <v>, zoneIds={973,888,888}, veteran={[EQUIP_TYPE_HEAD]=true, [EQUIP_TYPE_SHOULDERS]=false}</v>
      </c>
      <c r="BG294" s="21" t="str">
        <f t="shared" si="31"/>
        <v>, setType=LIBSETS_SETTYPE_MONSTER, undauntedChestId=3</v>
      </c>
      <c r="BH294" s="21" t="str">
        <f t="shared" si="32"/>
        <v>, dropMechanic={LIBSETS_DROP_MECHANIC_MONSTER_NAME}, dropMechanicDropLocationNames={['en']={'Earthgore Amalgam','','','','','',},['de']={'Erdbluter-Amalgam','','','','','',},}</v>
      </c>
      <c r="BI294" s="21" t="str">
        <f t="shared" si="33"/>
        <v>}, --Earthgore / Erdbluter   [Bloodroot Forge, Craglorn, Craglorn]</v>
      </c>
    </row>
    <row r="295" spans="1:61" x14ac:dyDescent="0.25">
      <c r="A295" s="5">
        <v>342</v>
      </c>
      <c r="B295" t="s">
        <v>3</v>
      </c>
      <c r="C295" t="s">
        <v>3</v>
      </c>
      <c r="D295" s="3">
        <f t="shared" si="28"/>
        <v>342</v>
      </c>
      <c r="G295" s="8" t="s">
        <v>1475</v>
      </c>
      <c r="H295" s="86">
        <v>3</v>
      </c>
      <c r="I295" t="s">
        <v>1462</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constants'!$B$4:$C$1012,2,FALSE),"")</f>
        <v>Horns of the Reach</v>
      </c>
      <c r="V295" s="33" t="s">
        <v>1538</v>
      </c>
      <c r="W295" s="3" t="s">
        <v>1358</v>
      </c>
      <c r="X295" s="3" t="s">
        <v>1621</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8" t="s">
        <v>2653</v>
      </c>
      <c r="BA295" s="78"/>
      <c r="BB295" s="78"/>
      <c r="BC295" s="78"/>
      <c r="BD295" s="78"/>
      <c r="BE295" s="21" t="str">
        <f t="shared" si="29"/>
        <v>[342] = {wayshrines={332,332,332,}, dlcId=DLC_HORNS_OF_THE_REACH</v>
      </c>
      <c r="BF295" s="21" t="str">
        <f t="shared" si="30"/>
        <v>, zoneIds={974,888,888}, veteran={[EQUIP_TYPE_HEAD]=true, [EQUIP_TYPE_SHOULDERS]=false}</v>
      </c>
      <c r="BG295" s="21" t="str">
        <f t="shared" si="31"/>
        <v>, setType=LIBSETS_SETTYPE_MONSTER, undauntedChestId=3</v>
      </c>
      <c r="BH295" s="21" t="str">
        <f t="shared" si="32"/>
        <v>, dropMechanic={LIBSETS_DROP_MECHANIC_MONSTER_NAME}, dropMechanicDropLocationNames={['en']={'Domihaus the Bloody-Hornedin','','','','','',},['de']={'Domihaus der Blutgehörnte','','','','','',},}</v>
      </c>
      <c r="BI295" s="21" t="str">
        <f t="shared" si="33"/>
        <v>}, --Domihaus / Domihaus   [Falkreath Hold, Craglorn, Craglorn]</v>
      </c>
    </row>
    <row r="296" spans="1:61" x14ac:dyDescent="0.25">
      <c r="A296" s="12">
        <v>343</v>
      </c>
      <c r="B296" t="s">
        <v>1183</v>
      </c>
      <c r="C296" t="s">
        <v>2610</v>
      </c>
      <c r="D296" s="3">
        <f t="shared" si="28"/>
        <v>343</v>
      </c>
      <c r="E296" s="40"/>
      <c r="G296" s="8" t="s">
        <v>1473</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constants'!$B$4:$C$1012,2,FALSE),"")</f>
        <v>Dragon Bones</v>
      </c>
      <c r="V296" s="33" t="s">
        <v>3285</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8" t="s">
        <v>2653</v>
      </c>
      <c r="BA296" s="78"/>
      <c r="BB296" s="78"/>
      <c r="BC296" s="78"/>
      <c r="BD296" s="78"/>
      <c r="BE296" s="21" t="str">
        <f t="shared" si="29"/>
        <v>[343] = {wayshrines={341,341,341,}, dlcId=DLC_DRAGON_BONES</v>
      </c>
      <c r="BF296" s="21" t="str">
        <f t="shared" si="30"/>
        <v>, zoneIds={1009,92,92}, veteran=false</v>
      </c>
      <c r="BG296" s="21" t="str">
        <f t="shared" si="31"/>
        <v>, setType=LIBSETS_SETTYPE_DUNGEON</v>
      </c>
      <c r="BH296" s="21" t="str">
        <f t="shared" si="32"/>
        <v>, dropMechanic={LIBSETS_DROP_MECHANIC_GROUP_DUNGEON_BOSS}</v>
      </c>
      <c r="BI296" s="21" t="str">
        <f t="shared" si="33"/>
        <v>}, --Caluurion\'s Legacy / Caluurions Erbe   [Fang Lair, Bangkorai, Bangkorai]</v>
      </c>
    </row>
    <row r="297" spans="1:61" x14ac:dyDescent="0.25">
      <c r="A297" s="12">
        <v>344</v>
      </c>
      <c r="B297" t="s">
        <v>1184</v>
      </c>
      <c r="C297" t="s">
        <v>1185</v>
      </c>
      <c r="D297" s="3">
        <f t="shared" si="28"/>
        <v>344</v>
      </c>
      <c r="G297" s="8" t="s">
        <v>1473</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constants'!$B$4:$C$1012,2,FALSE),"")</f>
        <v>Dragon Bones</v>
      </c>
      <c r="V297" s="33" t="s">
        <v>3285</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8" t="s">
        <v>2653</v>
      </c>
      <c r="BA297" s="78"/>
      <c r="BB297" s="78"/>
      <c r="BC297" s="78"/>
      <c r="BD297" s="78"/>
      <c r="BE297" s="21" t="str">
        <f t="shared" si="29"/>
        <v>[344] = {wayshrines={341,341,341,}, dlcId=DLC_DRAGON_BONES</v>
      </c>
      <c r="BF297" s="21" t="str">
        <f t="shared" si="30"/>
        <v>, zoneIds={1009,92,92}, veteran=false</v>
      </c>
      <c r="BG297" s="21" t="str">
        <f t="shared" si="31"/>
        <v>, setType=LIBSETS_SETTYPE_DUNGEON</v>
      </c>
      <c r="BH297" s="21" t="str">
        <f t="shared" si="32"/>
        <v>, dropMechanic={LIBSETS_DROP_MECHANIC_GROUP_DUNGEON_BOSS}</v>
      </c>
      <c r="BI297" s="21" t="str">
        <f t="shared" si="33"/>
        <v>}, --Trappings of Invigoration / Stärkungsprunk   [Fang Lair, Bangkorai, Bangkorai]</v>
      </c>
    </row>
    <row r="298" spans="1:61" x14ac:dyDescent="0.25">
      <c r="A298" s="12">
        <v>345</v>
      </c>
      <c r="B298" t="s">
        <v>1186</v>
      </c>
      <c r="C298" t="s">
        <v>2611</v>
      </c>
      <c r="D298" s="3">
        <f t="shared" si="28"/>
        <v>345</v>
      </c>
      <c r="G298" s="8" t="s">
        <v>1473</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constants'!$B$4:$C$1012,2,FALSE),"")</f>
        <v>Dragon Bones</v>
      </c>
      <c r="V298" s="33" t="s">
        <v>3285</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8" t="s">
        <v>2653</v>
      </c>
      <c r="BA298" s="78"/>
      <c r="BB298" s="78"/>
      <c r="BC298" s="78"/>
      <c r="BD298" s="78"/>
      <c r="BE298" s="21" t="str">
        <f t="shared" si="29"/>
        <v>[345] = {wayshrines={341,341,341,}, dlcId=DLC_DRAGON_BONES</v>
      </c>
      <c r="BF298" s="21" t="str">
        <f t="shared" si="30"/>
        <v>, zoneIds={1009,92,92}, veteran=false</v>
      </c>
      <c r="BG298" s="21" t="str">
        <f t="shared" si="31"/>
        <v>, setType=LIBSETS_SETTYPE_DUNGEON</v>
      </c>
      <c r="BH298" s="21" t="str">
        <f t="shared" si="32"/>
        <v>, dropMechanic={LIBSETS_DROP_MECHANIC_GROUP_DUNGEON_BOSS}</v>
      </c>
      <c r="BI298" s="21" t="str">
        <f t="shared" si="33"/>
        <v>}, --Ulfnor\'s Favor / Ulfnors Gunst   [Fang Lair, Bangkorai, Bangkorai]</v>
      </c>
    </row>
    <row r="299" spans="1:61" x14ac:dyDescent="0.25">
      <c r="A299" s="12">
        <v>346</v>
      </c>
      <c r="B299" t="s">
        <v>1187</v>
      </c>
      <c r="C299" t="s">
        <v>2612</v>
      </c>
      <c r="D299" s="3">
        <f t="shared" si="28"/>
        <v>346</v>
      </c>
      <c r="G299" s="8" t="s">
        <v>1473</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constants'!$B$4:$C$1012,2,FALSE),"")</f>
        <v>Dragon Bones</v>
      </c>
      <c r="V299" s="33" t="s">
        <v>3285</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8" t="s">
        <v>2654</v>
      </c>
      <c r="BA299" s="78"/>
      <c r="BB299" s="78"/>
      <c r="BC299" s="78"/>
      <c r="BD299" s="78"/>
      <c r="BE299" s="21" t="str">
        <f t="shared" si="29"/>
        <v>[346] = {wayshrines={363,363,363,}, dlcId=DLC_DRAGON_BONES</v>
      </c>
      <c r="BF299" s="21" t="str">
        <f t="shared" si="30"/>
        <v>, zoneIds={1010,19,19}, veteran=false</v>
      </c>
      <c r="BG299" s="21" t="str">
        <f t="shared" si="31"/>
        <v>, setType=LIBSETS_SETTYPE_DUNGEON</v>
      </c>
      <c r="BH299" s="21" t="str">
        <f t="shared" si="32"/>
        <v>, isProcSetAllowedInPvP=1, dropMechanic={LIBSETS_DROP_MECHANIC_GROUP_DUNGEON_BOSS}</v>
      </c>
      <c r="BI299" s="21" t="str">
        <f t="shared" si="33"/>
        <v>}, --Jorvuld\'s Guidance / Jorvulds Führung   [Scalecaller Peak, Stormhaven, Stormhaven]</v>
      </c>
    </row>
    <row r="300" spans="1:61" x14ac:dyDescent="0.25">
      <c r="A300" s="12">
        <v>347</v>
      </c>
      <c r="B300" t="s">
        <v>1188</v>
      </c>
      <c r="C300" t="s">
        <v>1189</v>
      </c>
      <c r="D300" s="3">
        <f t="shared" si="28"/>
        <v>347</v>
      </c>
      <c r="G300" s="8" t="s">
        <v>1473</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constants'!$B$4:$C$1012,2,FALSE),"")</f>
        <v>Dragon Bones</v>
      </c>
      <c r="V300" s="33" t="s">
        <v>3285</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8" t="s">
        <v>2653</v>
      </c>
      <c r="BA300" s="78"/>
      <c r="BB300" s="78"/>
      <c r="BC300" s="78"/>
      <c r="BD300" s="78"/>
      <c r="BE300" s="21" t="str">
        <f t="shared" si="29"/>
        <v>[347] = {wayshrines={363,363,363,}, dlcId=DLC_DRAGON_BONES</v>
      </c>
      <c r="BF300" s="21" t="str">
        <f t="shared" si="30"/>
        <v>, zoneIds={1010,19,19}, veteran=false</v>
      </c>
      <c r="BG300" s="21" t="str">
        <f t="shared" si="31"/>
        <v>, setType=LIBSETS_SETTYPE_DUNGEON</v>
      </c>
      <c r="BH300" s="21" t="str">
        <f t="shared" si="32"/>
        <v>, dropMechanic={LIBSETS_DROP_MECHANIC_GROUP_DUNGEON_BOSS}</v>
      </c>
      <c r="BI300" s="21" t="str">
        <f t="shared" si="33"/>
        <v>}, --Plague Slinger / Seuchenschleuder   [Scalecaller Peak, Stormhaven, Stormhaven]</v>
      </c>
    </row>
    <row r="301" spans="1:61" x14ac:dyDescent="0.25">
      <c r="A301" s="12">
        <v>348</v>
      </c>
      <c r="B301" t="s">
        <v>1190</v>
      </c>
      <c r="C301" t="s">
        <v>1191</v>
      </c>
      <c r="D301" s="3">
        <f t="shared" si="28"/>
        <v>348</v>
      </c>
      <c r="G301" s="8" t="s">
        <v>1473</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constants'!$B$4:$C$1012,2,FALSE),"")</f>
        <v>Dragon Bones</v>
      </c>
      <c r="V301" s="33" t="s">
        <v>3285</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8" t="s">
        <v>2653</v>
      </c>
      <c r="BA301" s="78"/>
      <c r="BB301" s="78"/>
      <c r="BC301" s="78"/>
      <c r="BD301" s="78"/>
      <c r="BE301" s="21" t="str">
        <f t="shared" si="29"/>
        <v>[348] = {wayshrines={363,363,363,}, dlcId=DLC_DRAGON_BONES</v>
      </c>
      <c r="BF301" s="21" t="str">
        <f t="shared" si="30"/>
        <v>, zoneIds={1010,19,19}, veteran=false</v>
      </c>
      <c r="BG301" s="21" t="str">
        <f t="shared" si="31"/>
        <v>, setType=LIBSETS_SETTYPE_DUNGEON</v>
      </c>
      <c r="BH301" s="21" t="str">
        <f t="shared" si="32"/>
        <v>, dropMechanic={LIBSETS_DROP_MECHANIC_GROUP_DUNGEON_BOSS}</v>
      </c>
      <c r="BI301" s="21" t="str">
        <f t="shared" si="33"/>
        <v>}, --Curse of Doylemish / Fluch von Doylemish   [Scalecaller Peak, Stormhaven, Stormhaven]</v>
      </c>
    </row>
    <row r="302" spans="1:61" x14ac:dyDescent="0.25">
      <c r="A302" s="5">
        <v>349</v>
      </c>
      <c r="B302" t="s">
        <v>30</v>
      </c>
      <c r="C302" t="s">
        <v>30</v>
      </c>
      <c r="D302" s="3">
        <f t="shared" si="28"/>
        <v>349</v>
      </c>
      <c r="G302" s="8" t="s">
        <v>1475</v>
      </c>
      <c r="H302" s="86">
        <v>3</v>
      </c>
      <c r="I302" t="s">
        <v>1462</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constants'!$B$4:$C$1012,2,FALSE),"")</f>
        <v>Dragon Bones</v>
      </c>
      <c r="V302" s="33" t="s">
        <v>1538</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8" t="s">
        <v>2653</v>
      </c>
      <c r="BA302" s="78"/>
      <c r="BB302" s="78"/>
      <c r="BC302" s="78"/>
      <c r="BD302" s="78"/>
      <c r="BE302" s="21" t="str">
        <f t="shared" si="29"/>
        <v>[349] = {wayshrines={341,341,341,}, dlcId=DLC_DRAGON_BONES</v>
      </c>
      <c r="BF302" s="21" t="str">
        <f t="shared" si="30"/>
        <v>, zoneIds={1009,92,92}, veteran={[EQUIP_TYPE_HEAD]=true, [EQUIP_TYPE_SHOULDERS]=false}</v>
      </c>
      <c r="BG302" s="21" t="str">
        <f t="shared" si="31"/>
        <v>, setType=LIBSETS_SETTYPE_MONSTER, undauntedChestId=3</v>
      </c>
      <c r="BH302" s="21" t="str">
        <f t="shared" si="32"/>
        <v>, dropMechanic={LIBSETS_DROP_MECHANIC_MONSTER_NAME}, dropMechanicDropLocationNames={['en']={'Thurvokun','','','','','',},['de']={'Thurvokun','','','','','',},}</v>
      </c>
      <c r="BI302" s="21" t="str">
        <f t="shared" si="33"/>
        <v>}, --Thurvokun / Thurvokun   [Fang Lair, Bangkorai, Bangkorai]</v>
      </c>
    </row>
    <row r="303" spans="1:61" x14ac:dyDescent="0.25">
      <c r="A303" s="5">
        <v>350</v>
      </c>
      <c r="B303" t="s">
        <v>34</v>
      </c>
      <c r="C303" t="s">
        <v>34</v>
      </c>
      <c r="D303" s="3">
        <f t="shared" si="28"/>
        <v>350</v>
      </c>
      <c r="G303" s="8" t="s">
        <v>1475</v>
      </c>
      <c r="H303" s="86">
        <v>3</v>
      </c>
      <c r="I303" t="s">
        <v>1462</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constants'!$B$4:$C$1012,2,FALSE),"")</f>
        <v>Dragon Bones</v>
      </c>
      <c r="V303" s="33" t="s">
        <v>1538</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8" t="s">
        <v>2653</v>
      </c>
      <c r="BA303" s="78"/>
      <c r="BB303" s="78"/>
      <c r="BC303" s="78"/>
      <c r="BD303" s="78"/>
      <c r="BE303" s="21" t="str">
        <f t="shared" si="29"/>
        <v>[350] = {wayshrines={363,363,363,}, dlcId=DLC_DRAGON_BONES</v>
      </c>
      <c r="BF303" s="21" t="str">
        <f t="shared" si="30"/>
        <v>, zoneIds={1010,19,19}, veteran={[EQUIP_TYPE_HEAD]=true, [EQUIP_TYPE_SHOULDERS]=false}</v>
      </c>
      <c r="BG303" s="21" t="str">
        <f t="shared" si="31"/>
        <v>, setType=LIBSETS_SETTYPE_MONSTER, undauntedChestId=3</v>
      </c>
      <c r="BH303" s="21" t="str">
        <f t="shared" si="32"/>
        <v>, dropMechanic={LIBSETS_DROP_MECHANIC_MONSTER_NAME}, dropMechanicDropLocationNames={['en']={'Zaan','','','','','',},['de']={'Zaan','','','','','',},}</v>
      </c>
      <c r="BI303" s="21" t="str">
        <f t="shared" si="33"/>
        <v>}, --Zaan / Zaan   [Scalecaller Peak, Stormhaven, Stormhaven]</v>
      </c>
    </row>
    <row r="304" spans="1:61" x14ac:dyDescent="0.25">
      <c r="A304" s="5">
        <v>351</v>
      </c>
      <c r="B304" t="s">
        <v>1192</v>
      </c>
      <c r="C304" t="s">
        <v>1193</v>
      </c>
      <c r="D304" s="3">
        <f t="shared" si="28"/>
        <v>351</v>
      </c>
      <c r="G304" s="8" t="s">
        <v>1470</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constants'!$B$4:$C$1012,2,FALSE),"")</f>
        <v>Necrom</v>
      </c>
      <c r="V304" s="33" t="s">
        <v>3288</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constants'!$A$5:$D$10001,4,FALSE),"")</f>
        <v>Clockwork City</v>
      </c>
      <c r="AB304" s="33" t="s">
        <v>3288</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8" t="s">
        <v>2654</v>
      </c>
      <c r="BA304" s="78"/>
      <c r="BB304" s="78"/>
      <c r="BC304" s="78"/>
      <c r="BD304" s="78"/>
      <c r="BE304" s="21" t="str">
        <f t="shared" si="29"/>
        <v>[351] = {wayshrines={339,339,339,}, traitsNeeded=2, dlcId=DLC_NECROM</v>
      </c>
      <c r="BF304" s="21" t="str">
        <f t="shared" si="30"/>
        <v>, zoneIds={980,980,980}, veteran=false</v>
      </c>
      <c r="BG304" s="21" t="str">
        <f t="shared" si="31"/>
        <v>, setType=LIBSETS_SETTYPE_CRAFTED</v>
      </c>
      <c r="BH304" s="21" t="str">
        <f t="shared" si="32"/>
        <v>, isProcSetAllowedInPvP=1, dropMechanic={LIBSETS_DROP_MECHANIC_CRAFTED,LIBSETS_DROP_MECHANIC_CRAFTED}</v>
      </c>
      <c r="BI304" s="21" t="str">
        <f t="shared" si="33"/>
        <v>}, --Innate Axiom / Kernaxiom   [Clockwork City, Clockwork City, Clockwork City]</v>
      </c>
    </row>
    <row r="305" spans="1:61" x14ac:dyDescent="0.25">
      <c r="A305" s="5">
        <v>352</v>
      </c>
      <c r="B305" t="s">
        <v>1194</v>
      </c>
      <c r="C305" t="s">
        <v>1195</v>
      </c>
      <c r="D305" s="3">
        <f t="shared" si="28"/>
        <v>352</v>
      </c>
      <c r="G305" s="8" t="s">
        <v>1470</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constants'!$B$4:$C$1012,2,FALSE),"")</f>
        <v>Necrom</v>
      </c>
      <c r="V305" s="33" t="s">
        <v>3288</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constants'!$A$5:$D$10001,4,FALSE),"")</f>
        <v>Clockwork City</v>
      </c>
      <c r="AB305" s="33" t="s">
        <v>3288</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8" t="s">
        <v>2654</v>
      </c>
      <c r="BA305" s="78"/>
      <c r="BB305" s="78"/>
      <c r="BC305" s="78"/>
      <c r="BD305" s="78"/>
      <c r="BE305" s="21" t="str">
        <f t="shared" si="29"/>
        <v>[352] = {wayshrines={337,337,337,}, traitsNeeded=4, dlcId=DLC_NECROM</v>
      </c>
      <c r="BF305" s="21" t="str">
        <f t="shared" si="30"/>
        <v>, zoneIds={980,980,980}, veteran=false</v>
      </c>
      <c r="BG305" s="21" t="str">
        <f t="shared" si="31"/>
        <v>, setType=LIBSETS_SETTYPE_CRAFTED</v>
      </c>
      <c r="BH305" s="21" t="str">
        <f t="shared" si="32"/>
        <v>, isProcSetAllowedInPvP=1, dropMechanic={LIBSETS_DROP_MECHANIC_CRAFTED,LIBSETS_DROP_MECHANIC_CRAFTED}</v>
      </c>
      <c r="BI305" s="21" t="str">
        <f t="shared" si="33"/>
        <v>}, --Fortified Brass / Messingpanzer   [Clockwork City, Clockwork City, Clockwork City]</v>
      </c>
    </row>
    <row r="306" spans="1:61" x14ac:dyDescent="0.25">
      <c r="A306" s="5">
        <v>353</v>
      </c>
      <c r="B306" t="s">
        <v>1196</v>
      </c>
      <c r="C306" t="s">
        <v>1197</v>
      </c>
      <c r="D306" s="3">
        <f t="shared" si="28"/>
        <v>353</v>
      </c>
      <c r="G306" s="8" t="s">
        <v>1470</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constants'!$B$4:$C$1012,2,FALSE),"")</f>
        <v>Necrom</v>
      </c>
      <c r="V306" s="33" t="s">
        <v>3288</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constants'!$A$5:$D$10001,4,FALSE),"")</f>
        <v>Clockwork City</v>
      </c>
      <c r="AB306" s="33" t="s">
        <v>3288</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8" t="s">
        <v>2653</v>
      </c>
      <c r="BA306" s="78"/>
      <c r="BB306" s="78"/>
      <c r="BC306" s="78"/>
      <c r="BD306" s="78"/>
      <c r="BE306" s="21" t="str">
        <f t="shared" si="29"/>
        <v>[353] = {wayshrines={338,338,338,}, traitsNeeded=6, dlcId=DLC_NECROM</v>
      </c>
      <c r="BF306" s="21" t="str">
        <f t="shared" si="30"/>
        <v>, zoneIds={980,980,980}, veteran=false</v>
      </c>
      <c r="BG306" s="21" t="str">
        <f t="shared" si="31"/>
        <v>, setType=LIBSETS_SETTYPE_CRAFTED</v>
      </c>
      <c r="BH306" s="21" t="str">
        <f t="shared" si="32"/>
        <v>, dropMechanic={LIBSETS_DROP_MECHANIC_CRAFTED,LIBSETS_DROP_MECHANIC_CRAFTED}</v>
      </c>
      <c r="BI306" s="21" t="str">
        <f t="shared" si="33"/>
        <v>}, --Mechanical Acuity / Mechanikblick   [Clockwork City, Clockwork City, Clockwork City]</v>
      </c>
    </row>
    <row r="307" spans="1:61" x14ac:dyDescent="0.25">
      <c r="A307" s="12">
        <v>354</v>
      </c>
      <c r="B307" t="s">
        <v>1198</v>
      </c>
      <c r="C307" t="s">
        <v>1199</v>
      </c>
      <c r="D307" s="3">
        <f t="shared" si="28"/>
        <v>354</v>
      </c>
      <c r="E307" s="40"/>
      <c r="G307" s="8" t="s">
        <v>1476</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constants'!$B$4:$C$1012,2,FALSE),"")</f>
        <v>Necrom</v>
      </c>
      <c r="V307" s="33" t="s">
        <v>1554</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constants'!$A$5:$D$10001,4,FALSE),"")</f>
        <v>Clockwork City</v>
      </c>
      <c r="AB307" s="33" t="s">
        <v>1555</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constants'!$A$5:$D$10001,4,FALSE),"")</f>
        <v>Clockwork City</v>
      </c>
      <c r="AH307" s="33" t="s">
        <v>1557</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8" t="s">
        <v>2653</v>
      </c>
      <c r="BA307" s="78"/>
      <c r="BB307" s="78"/>
      <c r="BC307" s="78"/>
      <c r="BD307" s="78"/>
      <c r="BE307" s="21" t="str">
        <f t="shared" si="29"/>
        <v>[354] = {wayshrines={338,338,338,}, dlcId=DLC_NECROM</v>
      </c>
      <c r="BF307" s="21" t="str">
        <f t="shared" si="30"/>
        <v>, zoneIds={980,980,980}, veteran=false</v>
      </c>
      <c r="BG307" s="21" t="str">
        <f t="shared" si="31"/>
        <v>, setType=LIBSETS_SETTYPE_OVERLAND</v>
      </c>
      <c r="BH307" s="21" t="str">
        <f t="shared" si="32"/>
        <v>, dropMechanic={LIBSETS_DROP_MECHANIC_OVERLAND_BOSS_DELVE,LIBSETS_DROP_MECHANIC_OVERLAND_WORLDBOSS,LIBSETS_DROP_MECHANIC_OVERLAND_CHEST}</v>
      </c>
      <c r="BI307" s="21" t="str">
        <f t="shared" si="33"/>
        <v>}, --Mad Tinkerer / Wahntüftler   [Clockwork City, Clockwork City, Clockwork City]</v>
      </c>
    </row>
    <row r="308" spans="1:61" x14ac:dyDescent="0.25">
      <c r="A308" s="12">
        <v>355</v>
      </c>
      <c r="B308" t="s">
        <v>1200</v>
      </c>
      <c r="C308" t="s">
        <v>1201</v>
      </c>
      <c r="D308" s="3">
        <f t="shared" si="28"/>
        <v>355</v>
      </c>
      <c r="E308" s="40"/>
      <c r="G308" s="8" t="s">
        <v>1476</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constants'!$B$4:$C$1012,2,FALSE),"")</f>
        <v>Necrom</v>
      </c>
      <c r="V308" s="33" t="s">
        <v>1554</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constants'!$A$5:$D$10001,4,FALSE),"")</f>
        <v>Clockwork City</v>
      </c>
      <c r="AB308" s="33" t="s">
        <v>1555</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constants'!$A$5:$D$10001,4,FALSE),"")</f>
        <v>Clockwork City</v>
      </c>
      <c r="AH308" s="33" t="s">
        <v>1557</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8" t="s">
        <v>2653</v>
      </c>
      <c r="BA308" s="78"/>
      <c r="BB308" s="78"/>
      <c r="BC308" s="78"/>
      <c r="BD308" s="78"/>
      <c r="BE308" s="21" t="str">
        <f t="shared" si="29"/>
        <v>[355] = {wayshrines={338,338,338,}, dlcId=DLC_NECROM</v>
      </c>
      <c r="BF308" s="21" t="str">
        <f t="shared" si="30"/>
        <v>, zoneIds={980,980,980}, veteran=false</v>
      </c>
      <c r="BG308" s="21" t="str">
        <f t="shared" si="31"/>
        <v>, setType=LIBSETS_SETTYPE_OVERLAND</v>
      </c>
      <c r="BH308" s="21" t="str">
        <f t="shared" si="32"/>
        <v>, dropMechanic={LIBSETS_DROP_MECHANIC_OVERLAND_BOSS_DELVE,LIBSETS_DROP_MECHANIC_OVERLAND_WORLDBOSS,LIBSETS_DROP_MECHANIC_OVERLAND_CHEST}</v>
      </c>
      <c r="BI308" s="21" t="str">
        <f t="shared" si="33"/>
        <v>}, --Unfathomable Darkness / Unermessliche Dunkelheit   [Clockwork City, Clockwork City, Clockwork City]</v>
      </c>
    </row>
    <row r="309" spans="1:61" x14ac:dyDescent="0.25">
      <c r="A309" s="12">
        <v>356</v>
      </c>
      <c r="B309" t="s">
        <v>1202</v>
      </c>
      <c r="C309" t="s">
        <v>1203</v>
      </c>
      <c r="D309" s="3">
        <f t="shared" si="28"/>
        <v>356</v>
      </c>
      <c r="E309" s="40"/>
      <c r="G309" s="8" t="s">
        <v>1476</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constants'!$B$4:$C$1012,2,FALSE),"")</f>
        <v>Necrom</v>
      </c>
      <c r="V309" s="33" t="s">
        <v>1554</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constants'!$A$5:$D$10001,4,FALSE),"")</f>
        <v>Clockwork City</v>
      </c>
      <c r="AB309" s="33" t="s">
        <v>1555</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constants'!$A$5:$D$10001,4,FALSE),"")</f>
        <v>Clockwork City</v>
      </c>
      <c r="AH309" s="33" t="s">
        <v>1557</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8" t="s">
        <v>2653</v>
      </c>
      <c r="BA309" s="78"/>
      <c r="BB309" s="78"/>
      <c r="BC309" s="78"/>
      <c r="BD309" s="78"/>
      <c r="BE309" s="21" t="str">
        <f t="shared" si="29"/>
        <v>[356] = {wayshrines={338,338,338,}, dlcId=DLC_NECROM</v>
      </c>
      <c r="BF309" s="21" t="str">
        <f t="shared" si="30"/>
        <v>, zoneIds={980,980,980}, veteran=false</v>
      </c>
      <c r="BG309" s="21" t="str">
        <f t="shared" si="31"/>
        <v>, setType=LIBSETS_SETTYPE_OVERLAND</v>
      </c>
      <c r="BH309" s="21" t="str">
        <f t="shared" si="32"/>
        <v>, dropMechanic={LIBSETS_DROP_MECHANIC_OVERLAND_BOSS_DELVE,LIBSETS_DROP_MECHANIC_OVERLAND_WORLDBOSS,LIBSETS_DROP_MECHANIC_OVERLAND_CHEST}</v>
      </c>
      <c r="BI309" s="21" t="str">
        <f t="shared" si="33"/>
        <v>}, --Livewire / Stromschlag   [Clockwork City, Clockwork City, Clockwork City]</v>
      </c>
    </row>
    <row r="310" spans="1:61" x14ac:dyDescent="0.25">
      <c r="A310" s="12">
        <v>357</v>
      </c>
      <c r="B310" t="s">
        <v>1204</v>
      </c>
      <c r="C310" t="s">
        <v>1205</v>
      </c>
      <c r="D310" s="3">
        <f t="shared" si="28"/>
        <v>357</v>
      </c>
      <c r="G310" s="8" t="s">
        <v>1477</v>
      </c>
      <c r="I310" t="s">
        <v>92</v>
      </c>
      <c r="J310" t="s">
        <v>91</v>
      </c>
      <c r="K310">
        <v>346</v>
      </c>
      <c r="L310">
        <v>346</v>
      </c>
      <c r="M310">
        <v>346</v>
      </c>
      <c r="O310" s="61" t="s">
        <v>658</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constants'!$B$4:$C$1012,2,FALSE),"")</f>
        <v>Clockwork City</v>
      </c>
      <c r="V310" s="33" t="s">
        <v>3266</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constants'!$A$5:$D$10001,4,FALSE),"")</f>
        <v>Asylum Sanctorium</v>
      </c>
      <c r="AB310" s="33" t="s">
        <v>3266</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constants'!$A$5:$D$10001,4,FALSE),"")</f>
        <v>Asylum Sanctorium</v>
      </c>
      <c r="AH310" s="33" t="s">
        <v>3266</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8" t="s">
        <v>2653</v>
      </c>
      <c r="BA310" s="78"/>
      <c r="BB310" s="78"/>
      <c r="BC310" s="78"/>
      <c r="BD310" s="78" t="s">
        <v>3832</v>
      </c>
      <c r="BE310" s="21" t="str">
        <f t="shared" si="29"/>
        <v>[357] = {wayshrines={346,346,346,}, dlcId=DLC_CLOCKWORK_CITY</v>
      </c>
      <c r="BF310" s="21" t="str">
        <f t="shared" si="30"/>
        <v>, zoneIds={1000,1000,1000}, veteran=true</v>
      </c>
      <c r="BG310" s="21" t="str">
        <f t="shared" si="31"/>
        <v>, setType=LIBSETS_SETTYPE_TRIAL</v>
      </c>
      <c r="BH310" s="21" t="str">
        <f t="shared" si="32"/>
        <v>, dropMechanic={LIBSETS_DROP_MECHANIC_TRIAL_BOSS,LIBSETS_DROP_MECHANIC_TRIAL_BOSS,LIBSETS_DROP_MECHANIC_TRIAL_BOSS}, isPerfectedSet=1</v>
      </c>
      <c r="BI310" s="21" t="str">
        <f t="shared" si="33"/>
        <v>}, --Disciplined Slash (Perfected) / Disziplinierter Schnitt (vollendet)   [Asylum Sanctorium, Asylum Sanctorium, Asylum Sanctorium]</v>
      </c>
    </row>
    <row r="311" spans="1:61" x14ac:dyDescent="0.25">
      <c r="A311" s="12">
        <v>358</v>
      </c>
      <c r="B311" t="s">
        <v>1206</v>
      </c>
      <c r="C311" t="s">
        <v>1207</v>
      </c>
      <c r="D311" s="3">
        <f t="shared" si="28"/>
        <v>358</v>
      </c>
      <c r="G311" s="8" t="s">
        <v>1477</v>
      </c>
      <c r="I311" t="s">
        <v>92</v>
      </c>
      <c r="J311" t="s">
        <v>91</v>
      </c>
      <c r="K311">
        <v>346</v>
      </c>
      <c r="L311">
        <v>346</v>
      </c>
      <c r="M311">
        <v>346</v>
      </c>
      <c r="O311" s="61" t="s">
        <v>658</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constants'!$B$4:$C$1012,2,FALSE),"")</f>
        <v>Clockwork City</v>
      </c>
      <c r="V311" s="33" t="s">
        <v>3266</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constants'!$A$5:$D$10001,4,FALSE),"")</f>
        <v>Asylum Sanctorium</v>
      </c>
      <c r="AB311" s="33" t="s">
        <v>3266</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constants'!$A$5:$D$10001,4,FALSE),"")</f>
        <v>Asylum Sanctorium</v>
      </c>
      <c r="AH311" s="33" t="s">
        <v>3266</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8" t="s">
        <v>2653</v>
      </c>
      <c r="BA311" s="78"/>
      <c r="BB311" s="78"/>
      <c r="BC311" s="78"/>
      <c r="BD311" s="78" t="s">
        <v>3832</v>
      </c>
      <c r="BE311" s="21" t="str">
        <f t="shared" si="29"/>
        <v>[358] = {wayshrines={346,346,346,}, dlcId=DLC_CLOCKWORK_CITY</v>
      </c>
      <c r="BF311" s="21" t="str">
        <f t="shared" si="30"/>
        <v>, zoneIds={1000,1000,1000}, veteran=true</v>
      </c>
      <c r="BG311" s="21" t="str">
        <f t="shared" si="31"/>
        <v>, setType=LIBSETS_SETTYPE_TRIAL</v>
      </c>
      <c r="BH311" s="21" t="str">
        <f t="shared" si="32"/>
        <v>, dropMechanic={LIBSETS_DROP_MECHANIC_TRIAL_BOSS,LIBSETS_DROP_MECHANIC_TRIAL_BOSS,LIBSETS_DROP_MECHANIC_TRIAL_BOSS}, isPerfectedSet=1</v>
      </c>
      <c r="BI311" s="21" t="str">
        <f t="shared" si="33"/>
        <v>}, --Defensive Position (Perfected) / Defensive Position (vollendet)   [Asylum Sanctorium, Asylum Sanctorium, Asylum Sanctorium]</v>
      </c>
    </row>
    <row r="312" spans="1:61" x14ac:dyDescent="0.25">
      <c r="A312" s="12">
        <v>359</v>
      </c>
      <c r="B312" t="s">
        <v>1208</v>
      </c>
      <c r="C312" t="s">
        <v>1209</v>
      </c>
      <c r="D312" s="3">
        <f t="shared" si="28"/>
        <v>359</v>
      </c>
      <c r="E312" s="40"/>
      <c r="G312" s="8" t="s">
        <v>1477</v>
      </c>
      <c r="I312" t="s">
        <v>92</v>
      </c>
      <c r="J312" t="s">
        <v>91</v>
      </c>
      <c r="K312">
        <v>346</v>
      </c>
      <c r="L312">
        <v>346</v>
      </c>
      <c r="M312">
        <v>346</v>
      </c>
      <c r="O312" s="61" t="s">
        <v>658</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constants'!$B$4:$C$1012,2,FALSE),"")</f>
        <v>Clockwork City</v>
      </c>
      <c r="V312" s="33" t="s">
        <v>3266</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constants'!$A$5:$D$10001,4,FALSE),"")</f>
        <v>Asylum Sanctorium</v>
      </c>
      <c r="AB312" s="33" t="s">
        <v>3266</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constants'!$A$5:$D$10001,4,FALSE),"")</f>
        <v>Asylum Sanctorium</v>
      </c>
      <c r="AH312" s="33" t="s">
        <v>3266</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8" t="s">
        <v>2653</v>
      </c>
      <c r="BA312" s="78"/>
      <c r="BB312" s="78"/>
      <c r="BC312" s="78"/>
      <c r="BD312" s="78" t="s">
        <v>3832</v>
      </c>
      <c r="BE312" s="21" t="str">
        <f t="shared" si="29"/>
        <v>[359] = {wayshrines={346,346,346,}, dlcId=DLC_CLOCKWORK_CITY</v>
      </c>
      <c r="BF312" s="21" t="str">
        <f t="shared" si="30"/>
        <v>, zoneIds={1000,1000,1000}, veteran=true</v>
      </c>
      <c r="BG312" s="21" t="str">
        <f t="shared" si="31"/>
        <v>, setType=LIBSETS_SETTYPE_TRIAL</v>
      </c>
      <c r="BH312" s="21" t="str">
        <f t="shared" si="32"/>
        <v>, dropMechanic={LIBSETS_DROP_MECHANIC_TRIAL_BOSS,LIBSETS_DROP_MECHANIC_TRIAL_BOSS,LIBSETS_DROP_MECHANIC_TRIAL_BOSS}, isPerfectedSet=1</v>
      </c>
      <c r="BI312" s="21" t="str">
        <f t="shared" si="33"/>
        <v>}, --Chaotic Whirlwind (Perfected) / Chaotischer Wirbelwind (vollendet)   [Asylum Sanctorium, Asylum Sanctorium, Asylum Sanctorium]</v>
      </c>
    </row>
    <row r="313" spans="1:61" x14ac:dyDescent="0.25">
      <c r="A313" s="12">
        <v>360</v>
      </c>
      <c r="B313" t="s">
        <v>1210</v>
      </c>
      <c r="C313" t="s">
        <v>1211</v>
      </c>
      <c r="D313" s="3">
        <f t="shared" si="28"/>
        <v>360</v>
      </c>
      <c r="G313" s="8" t="s">
        <v>1477</v>
      </c>
      <c r="I313" t="s">
        <v>92</v>
      </c>
      <c r="J313" t="s">
        <v>91</v>
      </c>
      <c r="K313">
        <v>346</v>
      </c>
      <c r="L313">
        <v>346</v>
      </c>
      <c r="M313">
        <v>346</v>
      </c>
      <c r="O313" s="61" t="s">
        <v>658</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constants'!$B$4:$C$1012,2,FALSE),"")</f>
        <v>Clockwork City</v>
      </c>
      <c r="V313" s="33" t="s">
        <v>3266</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constants'!$A$5:$D$10001,4,FALSE),"")</f>
        <v>Asylum Sanctorium</v>
      </c>
      <c r="AB313" s="33" t="s">
        <v>3266</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constants'!$A$5:$D$10001,4,FALSE),"")</f>
        <v>Asylum Sanctorium</v>
      </c>
      <c r="AH313" s="33" t="s">
        <v>3266</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8" t="s">
        <v>2653</v>
      </c>
      <c r="BA313" s="78"/>
      <c r="BB313" s="78"/>
      <c r="BC313" s="78"/>
      <c r="BD313" s="78" t="s">
        <v>3832</v>
      </c>
      <c r="BE313" s="21" t="str">
        <f t="shared" si="29"/>
        <v>[360] = {wayshrines={346,346,346,}, dlcId=DLC_CLOCKWORK_CITY</v>
      </c>
      <c r="BF313" s="21" t="str">
        <f t="shared" si="30"/>
        <v>, zoneIds={1000,1000,1000}, veteran=true</v>
      </c>
      <c r="BG313" s="21" t="str">
        <f t="shared" si="31"/>
        <v>, setType=LIBSETS_SETTYPE_TRIAL</v>
      </c>
      <c r="BH313" s="21" t="str">
        <f t="shared" si="32"/>
        <v>, dropMechanic={LIBSETS_DROP_MECHANIC_TRIAL_BOSS,LIBSETS_DROP_MECHANIC_TRIAL_BOSS,LIBSETS_DROP_MECHANIC_TRIAL_BOSS}, isPerfectedSet=1</v>
      </c>
      <c r="BI313" s="21" t="str">
        <f t="shared" si="33"/>
        <v>}, --Piercing Spray (Perfected) / Durchdringende Salve (vollendet)   [Asylum Sanctorium, Asylum Sanctorium, Asylum Sanctorium]</v>
      </c>
    </row>
    <row r="314" spans="1:61" x14ac:dyDescent="0.25">
      <c r="A314" s="12">
        <v>361</v>
      </c>
      <c r="B314" t="s">
        <v>1212</v>
      </c>
      <c r="C314" t="s">
        <v>1213</v>
      </c>
      <c r="D314" s="3">
        <f t="shared" si="28"/>
        <v>361</v>
      </c>
      <c r="G314" s="8" t="s">
        <v>1477</v>
      </c>
      <c r="I314" t="s">
        <v>92</v>
      </c>
      <c r="J314" t="s">
        <v>91</v>
      </c>
      <c r="K314">
        <v>346</v>
      </c>
      <c r="L314">
        <v>346</v>
      </c>
      <c r="M314">
        <v>346</v>
      </c>
      <c r="O314" s="61" t="s">
        <v>658</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constants'!$B$4:$C$1012,2,FALSE),"")</f>
        <v>Clockwork City</v>
      </c>
      <c r="V314" s="33" t="s">
        <v>3266</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constants'!$A$5:$D$10001,4,FALSE),"")</f>
        <v>Asylum Sanctorium</v>
      </c>
      <c r="AB314" s="33" t="s">
        <v>3266</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constants'!$A$5:$D$10001,4,FALSE),"")</f>
        <v>Asylum Sanctorium</v>
      </c>
      <c r="AH314" s="33" t="s">
        <v>3266</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8" t="s">
        <v>2653</v>
      </c>
      <c r="BA314" s="78"/>
      <c r="BB314" s="78"/>
      <c r="BC314" s="78"/>
      <c r="BD314" s="78" t="s">
        <v>3832</v>
      </c>
      <c r="BE314" s="21" t="str">
        <f t="shared" si="29"/>
        <v>[361] = {wayshrines={346,346,346,}, dlcId=DLC_CLOCKWORK_CITY</v>
      </c>
      <c r="BF314" s="21" t="str">
        <f t="shared" si="30"/>
        <v>, zoneIds={1000,1000,1000}, veteran=true</v>
      </c>
      <c r="BG314" s="21" t="str">
        <f t="shared" si="31"/>
        <v>, setType=LIBSETS_SETTYPE_TRIAL</v>
      </c>
      <c r="BH314" s="21" t="str">
        <f t="shared" si="32"/>
        <v>, dropMechanic={LIBSETS_DROP_MECHANIC_TRIAL_BOSS,LIBSETS_DROP_MECHANIC_TRIAL_BOSS,LIBSETS_DROP_MECHANIC_TRIAL_BOSS}, isPerfectedSet=1</v>
      </c>
      <c r="BI314" s="21" t="str">
        <f t="shared" si="33"/>
        <v>}, --Concentrated Force (Perfected) / Konzentrierte Kraft (vollendet)   [Asylum Sanctorium, Asylum Sanctorium, Asylum Sanctorium]</v>
      </c>
    </row>
    <row r="315" spans="1:61" x14ac:dyDescent="0.25">
      <c r="A315" s="12">
        <v>362</v>
      </c>
      <c r="B315" t="s">
        <v>1214</v>
      </c>
      <c r="C315" t="s">
        <v>1215</v>
      </c>
      <c r="D315" s="3">
        <f t="shared" si="28"/>
        <v>362</v>
      </c>
      <c r="G315" s="8" t="s">
        <v>1477</v>
      </c>
      <c r="I315" t="s">
        <v>92</v>
      </c>
      <c r="J315" t="s">
        <v>91</v>
      </c>
      <c r="K315">
        <v>346</v>
      </c>
      <c r="L315">
        <v>346</v>
      </c>
      <c r="M315">
        <v>346</v>
      </c>
      <c r="O315" s="61" t="s">
        <v>658</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constants'!$B$4:$C$1012,2,FALSE),"")</f>
        <v>Clockwork City</v>
      </c>
      <c r="V315" s="33" t="s">
        <v>3266</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constants'!$A$5:$D$10001,4,FALSE),"")</f>
        <v>Asylum Sanctorium</v>
      </c>
      <c r="AB315" s="33" t="s">
        <v>3266</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constants'!$A$5:$D$10001,4,FALSE),"")</f>
        <v>Asylum Sanctorium</v>
      </c>
      <c r="AH315" s="33" t="s">
        <v>3266</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8" t="s">
        <v>2653</v>
      </c>
      <c r="BA315" s="78"/>
      <c r="BB315" s="78"/>
      <c r="BC315" s="78"/>
      <c r="BD315" s="78" t="s">
        <v>3832</v>
      </c>
      <c r="BE315" s="21" t="str">
        <f t="shared" si="29"/>
        <v>[362] = {wayshrines={346,346,346,}, dlcId=DLC_CLOCKWORK_CITY</v>
      </c>
      <c r="BF315" s="21" t="str">
        <f t="shared" si="30"/>
        <v>, zoneIds={1000,1000,1000}, veteran=true</v>
      </c>
      <c r="BG315" s="21" t="str">
        <f t="shared" si="31"/>
        <v>, setType=LIBSETS_SETTYPE_TRIAL</v>
      </c>
      <c r="BH315" s="21" t="str">
        <f t="shared" si="32"/>
        <v>, dropMechanic={LIBSETS_DROP_MECHANIC_TRIAL_BOSS,LIBSETS_DROP_MECHANIC_TRIAL_BOSS,LIBSETS_DROP_MECHANIC_TRIAL_BOSS}, isPerfectedSet=1</v>
      </c>
      <c r="BI315" s="21" t="str">
        <f t="shared" si="33"/>
        <v>}, --Timeless Blessing (Perfected) / Zeitloser Segen (vollendet)   [Asylum Sanctorium, Asylum Sanctorium, Asylum Sanctorium]</v>
      </c>
    </row>
    <row r="316" spans="1:61" x14ac:dyDescent="0.25">
      <c r="A316" s="12">
        <v>363</v>
      </c>
      <c r="B316" t="s">
        <v>1216</v>
      </c>
      <c r="C316" t="s">
        <v>1217</v>
      </c>
      <c r="D316" s="3">
        <f t="shared" si="28"/>
        <v>363</v>
      </c>
      <c r="G316" s="8" t="s">
        <v>1477</v>
      </c>
      <c r="I316" t="s">
        <v>91</v>
      </c>
      <c r="J316" t="s">
        <v>91</v>
      </c>
      <c r="K316">
        <v>346</v>
      </c>
      <c r="L316">
        <v>346</v>
      </c>
      <c r="M316">
        <v>346</v>
      </c>
      <c r="O316" s="61" t="s">
        <v>658</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constants'!$B$4:$C$1012,2,FALSE),"")</f>
        <v>Clockwork City</v>
      </c>
      <c r="V316" s="33" t="s">
        <v>3266</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constants'!$A$5:$D$10001,4,FALSE),"")</f>
        <v>Asylum Sanctorium</v>
      </c>
      <c r="AB316" s="33" t="s">
        <v>3266</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constants'!$A$5:$D$10001,4,FALSE),"")</f>
        <v>Asylum Sanctorium</v>
      </c>
      <c r="AH316" s="33" t="s">
        <v>3266</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8" t="s">
        <v>2653</v>
      </c>
      <c r="BA316" s="78"/>
      <c r="BB316" s="78"/>
      <c r="BC316" s="78"/>
      <c r="BD316" s="78">
        <v>357</v>
      </c>
      <c r="BE316" s="21" t="str">
        <f t="shared" si="29"/>
        <v>[363] = {wayshrines={346,346,346,}, dlcId=DLC_CLOCKWORK_CITY</v>
      </c>
      <c r="BF316" s="21" t="str">
        <f t="shared" si="30"/>
        <v>, zoneIds={1000,1000,1000}, veteran=false</v>
      </c>
      <c r="BG316" s="21" t="str">
        <f t="shared" si="31"/>
        <v>, setType=LIBSETS_SETTYPE_TRIAL</v>
      </c>
      <c r="BH316" s="21" t="str">
        <f t="shared" si="32"/>
        <v>, dropMechanic={LIBSETS_DROP_MECHANIC_TRIAL_BOSS,LIBSETS_DROP_MECHANIC_TRIAL_BOSS,LIBSETS_DROP_MECHANIC_TRIAL_BOSS}, perfectedSetId=357</v>
      </c>
      <c r="BI316" s="21" t="str">
        <f t="shared" si="33"/>
        <v>}, --Disciplined Slash / Disziplinierter Schnitt   [Asylum Sanctorium, Asylum Sanctorium, Asylum Sanctorium]</v>
      </c>
    </row>
    <row r="317" spans="1:61" x14ac:dyDescent="0.25">
      <c r="A317" s="12">
        <v>364</v>
      </c>
      <c r="B317" t="s">
        <v>1218</v>
      </c>
      <c r="C317" t="s">
        <v>1218</v>
      </c>
      <c r="D317" s="3">
        <f t="shared" si="28"/>
        <v>364</v>
      </c>
      <c r="G317" s="8" t="s">
        <v>1477</v>
      </c>
      <c r="I317" t="s">
        <v>91</v>
      </c>
      <c r="J317" t="s">
        <v>91</v>
      </c>
      <c r="K317">
        <v>346</v>
      </c>
      <c r="L317">
        <v>346</v>
      </c>
      <c r="M317">
        <v>346</v>
      </c>
      <c r="O317" s="61" t="s">
        <v>658</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constants'!$B$4:$C$1012,2,FALSE),"")</f>
        <v>Clockwork City</v>
      </c>
      <c r="V317" s="33" t="s">
        <v>3266</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constants'!$A$5:$D$10001,4,FALSE),"")</f>
        <v>Asylum Sanctorium</v>
      </c>
      <c r="AB317" s="33" t="s">
        <v>3266</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constants'!$A$5:$D$10001,4,FALSE),"")</f>
        <v>Asylum Sanctorium</v>
      </c>
      <c r="AH317" s="33" t="s">
        <v>3266</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8" t="s">
        <v>2653</v>
      </c>
      <c r="BA317" s="78"/>
      <c r="BB317" s="78"/>
      <c r="BC317" s="78"/>
      <c r="BD317" s="78">
        <v>358</v>
      </c>
      <c r="BE317" s="21" t="str">
        <f t="shared" si="29"/>
        <v>[364] = {wayshrines={346,346,346,}, dlcId=DLC_CLOCKWORK_CITY</v>
      </c>
      <c r="BF317" s="21" t="str">
        <f t="shared" si="30"/>
        <v>, zoneIds={1000,1000,1000}, veteran=false</v>
      </c>
      <c r="BG317" s="21" t="str">
        <f t="shared" si="31"/>
        <v>, setType=LIBSETS_SETTYPE_TRIAL</v>
      </c>
      <c r="BH317" s="21" t="str">
        <f t="shared" si="32"/>
        <v>, dropMechanic={LIBSETS_DROP_MECHANIC_TRIAL_BOSS,LIBSETS_DROP_MECHANIC_TRIAL_BOSS,LIBSETS_DROP_MECHANIC_TRIAL_BOSS}, perfectedSetId=358</v>
      </c>
      <c r="BI317" s="21" t="str">
        <f t="shared" si="33"/>
        <v>}, --Defensive Position / Defensive Position   [Asylum Sanctorium, Asylum Sanctorium, Asylum Sanctorium]</v>
      </c>
    </row>
    <row r="318" spans="1:61" x14ac:dyDescent="0.25">
      <c r="A318" s="12">
        <v>365</v>
      </c>
      <c r="B318" t="s">
        <v>1219</v>
      </c>
      <c r="C318" t="s">
        <v>1220</v>
      </c>
      <c r="D318" s="3">
        <f t="shared" si="28"/>
        <v>365</v>
      </c>
      <c r="E318" s="40"/>
      <c r="G318" s="8" t="s">
        <v>1477</v>
      </c>
      <c r="I318" t="s">
        <v>91</v>
      </c>
      <c r="J318" t="s">
        <v>91</v>
      </c>
      <c r="K318">
        <v>346</v>
      </c>
      <c r="L318">
        <v>346</v>
      </c>
      <c r="M318">
        <v>346</v>
      </c>
      <c r="O318" s="61" t="s">
        <v>658</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constants'!$B$4:$C$1012,2,FALSE),"")</f>
        <v>Clockwork City</v>
      </c>
      <c r="V318" s="33" t="s">
        <v>3266</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constants'!$A$5:$D$10001,4,FALSE),"")</f>
        <v>Asylum Sanctorium</v>
      </c>
      <c r="AB318" s="33" t="s">
        <v>3266</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constants'!$A$5:$D$10001,4,FALSE),"")</f>
        <v>Asylum Sanctorium</v>
      </c>
      <c r="AH318" s="33" t="s">
        <v>3266</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8" t="s">
        <v>2653</v>
      </c>
      <c r="BA318" s="78"/>
      <c r="BB318" s="78"/>
      <c r="BC318" s="78"/>
      <c r="BD318" s="78">
        <v>359</v>
      </c>
      <c r="BE318" s="21" t="str">
        <f t="shared" si="29"/>
        <v>[365] = {wayshrines={346,346,346,}, dlcId=DLC_CLOCKWORK_CITY</v>
      </c>
      <c r="BF318" s="21" t="str">
        <f t="shared" si="30"/>
        <v>, zoneIds={1000,1000,1000}, veteran=false</v>
      </c>
      <c r="BG318" s="21" t="str">
        <f t="shared" si="31"/>
        <v>, setType=LIBSETS_SETTYPE_TRIAL</v>
      </c>
      <c r="BH318" s="21" t="str">
        <f t="shared" si="32"/>
        <v>, dropMechanic={LIBSETS_DROP_MECHANIC_TRIAL_BOSS,LIBSETS_DROP_MECHANIC_TRIAL_BOSS,LIBSETS_DROP_MECHANIC_TRIAL_BOSS}, perfectedSetId=359</v>
      </c>
      <c r="BI318" s="21" t="str">
        <f t="shared" si="33"/>
        <v>}, --Chaotic Whirlwind / Chaotischer Wirbelwind   [Asylum Sanctorium, Asylum Sanctorium, Asylum Sanctorium]</v>
      </c>
    </row>
    <row r="319" spans="1:61" x14ac:dyDescent="0.25">
      <c r="A319" s="12">
        <v>366</v>
      </c>
      <c r="B319" t="s">
        <v>1221</v>
      </c>
      <c r="C319" t="s">
        <v>1222</v>
      </c>
      <c r="D319" s="3">
        <f t="shared" si="28"/>
        <v>366</v>
      </c>
      <c r="G319" s="8" t="s">
        <v>1477</v>
      </c>
      <c r="I319" t="s">
        <v>91</v>
      </c>
      <c r="J319" t="s">
        <v>91</v>
      </c>
      <c r="K319">
        <v>346</v>
      </c>
      <c r="L319">
        <v>346</v>
      </c>
      <c r="M319">
        <v>346</v>
      </c>
      <c r="O319" s="61" t="s">
        <v>658</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constants'!$B$4:$C$1012,2,FALSE),"")</f>
        <v>Clockwork City</v>
      </c>
      <c r="V319" s="33" t="s">
        <v>3266</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constants'!$A$5:$D$10001,4,FALSE),"")</f>
        <v>Asylum Sanctorium</v>
      </c>
      <c r="AB319" s="33" t="s">
        <v>3266</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constants'!$A$5:$D$10001,4,FALSE),"")</f>
        <v>Asylum Sanctorium</v>
      </c>
      <c r="AH319" s="33" t="s">
        <v>3266</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8" t="s">
        <v>2653</v>
      </c>
      <c r="BA319" s="78"/>
      <c r="BB319" s="78"/>
      <c r="BC319" s="78"/>
      <c r="BD319" s="78">
        <v>360</v>
      </c>
      <c r="BE319" s="21" t="str">
        <f t="shared" si="29"/>
        <v>[366] = {wayshrines={346,346,346,}, dlcId=DLC_CLOCKWORK_CITY</v>
      </c>
      <c r="BF319" s="21" t="str">
        <f t="shared" si="30"/>
        <v>, zoneIds={1000,1000,1000}, veteran=false</v>
      </c>
      <c r="BG319" s="21" t="str">
        <f t="shared" si="31"/>
        <v>, setType=LIBSETS_SETTYPE_TRIAL</v>
      </c>
      <c r="BH319" s="21" t="str">
        <f t="shared" si="32"/>
        <v>, dropMechanic={LIBSETS_DROP_MECHANIC_TRIAL_BOSS,LIBSETS_DROP_MECHANIC_TRIAL_BOSS,LIBSETS_DROP_MECHANIC_TRIAL_BOSS}, perfectedSetId=360</v>
      </c>
      <c r="BI319" s="21" t="str">
        <f t="shared" si="33"/>
        <v>}, --Piercing Spray / Durchdringende Salve   [Asylum Sanctorium, Asylum Sanctorium, Asylum Sanctorium]</v>
      </c>
    </row>
    <row r="320" spans="1:61" x14ac:dyDescent="0.25">
      <c r="A320" s="12">
        <v>367</v>
      </c>
      <c r="B320" t="s">
        <v>1223</v>
      </c>
      <c r="C320" t="s">
        <v>1224</v>
      </c>
      <c r="D320" s="3">
        <f t="shared" si="28"/>
        <v>367</v>
      </c>
      <c r="G320" s="8" t="s">
        <v>1477</v>
      </c>
      <c r="I320" t="s">
        <v>91</v>
      </c>
      <c r="J320" t="s">
        <v>91</v>
      </c>
      <c r="K320">
        <v>346</v>
      </c>
      <c r="L320">
        <v>346</v>
      </c>
      <c r="M320">
        <v>346</v>
      </c>
      <c r="O320" s="61" t="s">
        <v>658</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constants'!$B$4:$C$1012,2,FALSE),"")</f>
        <v>Clockwork City</v>
      </c>
      <c r="V320" s="33" t="s">
        <v>3266</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constants'!$A$5:$D$10001,4,FALSE),"")</f>
        <v>Asylum Sanctorium</v>
      </c>
      <c r="AB320" s="33" t="s">
        <v>3266</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constants'!$A$5:$D$10001,4,FALSE),"")</f>
        <v>Asylum Sanctorium</v>
      </c>
      <c r="AH320" s="33" t="s">
        <v>3266</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8" t="s">
        <v>2653</v>
      </c>
      <c r="BA320" s="78"/>
      <c r="BB320" s="78"/>
      <c r="BC320" s="78"/>
      <c r="BD320" s="78">
        <v>361</v>
      </c>
      <c r="BE320" s="21" t="str">
        <f t="shared" si="29"/>
        <v>[367] = {wayshrines={346,346,346,}, dlcId=DLC_CLOCKWORK_CITY</v>
      </c>
      <c r="BF320" s="21" t="str">
        <f t="shared" si="30"/>
        <v>, zoneIds={1000,1000,1000}, veteran=false</v>
      </c>
      <c r="BG320" s="21" t="str">
        <f t="shared" si="31"/>
        <v>, setType=LIBSETS_SETTYPE_TRIAL</v>
      </c>
      <c r="BH320" s="21" t="str">
        <f t="shared" si="32"/>
        <v>, dropMechanic={LIBSETS_DROP_MECHANIC_TRIAL_BOSS,LIBSETS_DROP_MECHANIC_TRIAL_BOSS,LIBSETS_DROP_MECHANIC_TRIAL_BOSS}, perfectedSetId=361</v>
      </c>
      <c r="BI320" s="21" t="str">
        <f t="shared" si="33"/>
        <v>}, --Concentrated Force / Konzentrierte Kraft   [Asylum Sanctorium, Asylum Sanctorium, Asylum Sanctorium]</v>
      </c>
    </row>
    <row r="321" spans="1:61" x14ac:dyDescent="0.25">
      <c r="A321" s="12">
        <v>368</v>
      </c>
      <c r="B321" t="s">
        <v>1225</v>
      </c>
      <c r="C321" t="s">
        <v>1226</v>
      </c>
      <c r="D321" s="3">
        <f t="shared" si="28"/>
        <v>368</v>
      </c>
      <c r="G321" s="8" t="s">
        <v>1477</v>
      </c>
      <c r="I321" t="s">
        <v>91</v>
      </c>
      <c r="J321" t="s">
        <v>91</v>
      </c>
      <c r="K321">
        <v>346</v>
      </c>
      <c r="L321">
        <v>346</v>
      </c>
      <c r="M321">
        <v>346</v>
      </c>
      <c r="O321" s="61" t="s">
        <v>658</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constants'!$B$4:$C$1012,2,FALSE),"")</f>
        <v>Clockwork City</v>
      </c>
      <c r="V321" s="33" t="s">
        <v>3266</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constants'!$A$5:$D$10001,4,FALSE),"")</f>
        <v>Asylum Sanctorium</v>
      </c>
      <c r="AB321" s="33" t="s">
        <v>3266</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constants'!$A$5:$D$10001,4,FALSE),"")</f>
        <v>Asylum Sanctorium</v>
      </c>
      <c r="AH321" s="33" t="s">
        <v>3266</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8" t="s">
        <v>2653</v>
      </c>
      <c r="BA321" s="78"/>
      <c r="BB321" s="78"/>
      <c r="BC321" s="78"/>
      <c r="BD321" s="78">
        <v>362</v>
      </c>
      <c r="BE321" s="21" t="str">
        <f t="shared" si="29"/>
        <v>[368] = {wayshrines={346,346,346,}, dlcId=DLC_CLOCKWORK_CITY</v>
      </c>
      <c r="BF321" s="21" t="str">
        <f t="shared" si="30"/>
        <v>, zoneIds={1000,1000,1000}, veteran=false</v>
      </c>
      <c r="BG321" s="21" t="str">
        <f t="shared" si="31"/>
        <v>, setType=LIBSETS_SETTYPE_TRIAL</v>
      </c>
      <c r="BH321" s="21" t="str">
        <f t="shared" si="32"/>
        <v>, dropMechanic={LIBSETS_DROP_MECHANIC_TRIAL_BOSS,LIBSETS_DROP_MECHANIC_TRIAL_BOSS,LIBSETS_DROP_MECHANIC_TRIAL_BOSS}, perfectedSetId=362</v>
      </c>
      <c r="BI321" s="21" t="str">
        <f t="shared" si="33"/>
        <v>}, --Timeless Blessing / Zeitloser Segen   [Asylum Sanctorium, Asylum Sanctorium, Asylum Sanctorium]</v>
      </c>
    </row>
    <row r="322" spans="1:61" x14ac:dyDescent="0.25">
      <c r="A322" s="12">
        <v>369</v>
      </c>
      <c r="B322" t="s">
        <v>1227</v>
      </c>
      <c r="C322" t="s">
        <v>1228</v>
      </c>
      <c r="D322" s="3">
        <f t="shared" si="28"/>
        <v>369</v>
      </c>
      <c r="G322" s="8" t="s">
        <v>1468</v>
      </c>
      <c r="I322" t="s">
        <v>91</v>
      </c>
      <c r="J322" t="s">
        <v>91</v>
      </c>
      <c r="K322">
        <v>249</v>
      </c>
      <c r="L322">
        <v>249</v>
      </c>
      <c r="M322">
        <v>249</v>
      </c>
      <c r="O322" s="61" t="s">
        <v>449</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constants'!$B$4:$C$1012,2,FALSE),"")</f>
        <v>Summerset</v>
      </c>
      <c r="V322" s="33" t="s">
        <v>1550</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constants'!$A$5:$D$10001,4,FALSE),"")</f>
        <v>Wrothgar</v>
      </c>
      <c r="AB322" s="33" t="s">
        <v>1550</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8" t="s">
        <v>2653</v>
      </c>
      <c r="BA322" s="78"/>
      <c r="BB322" s="78"/>
      <c r="BC322" s="78"/>
      <c r="BD322" s="78">
        <v>522</v>
      </c>
      <c r="BE322" s="21" t="str">
        <f t="shared" si="29"/>
        <v>[369] = {wayshrines={249,249,249,}, dlcId=DLC_SUMMERSET</v>
      </c>
      <c r="BF322" s="21" t="str">
        <f t="shared" si="30"/>
        <v>, zoneIds={677,684,684}, veteran=false</v>
      </c>
      <c r="BG322" s="21" t="str">
        <f t="shared" si="31"/>
        <v>, setType=LIBSETS_SETTYPE_ARENA</v>
      </c>
      <c r="BH322" s="21" t="str">
        <f t="shared" si="32"/>
        <v>, dropMechanic={LIBSETS_DROP_MECHANIC_ARENA_STAGE_CHEST,LIBSETS_DROP_MECHANIC_ARENA_STAGE_CHEST}, perfectedSetId=522</v>
      </c>
      <c r="BI322" s="21" t="str">
        <f t="shared" si="33"/>
        <v>}, --Merciless Charge / Gnadenloser Ansturm   [Maelstrom Arena, Wrothgar, Wrothgar]</v>
      </c>
    </row>
    <row r="323" spans="1:61" x14ac:dyDescent="0.25">
      <c r="A323" s="12">
        <v>370</v>
      </c>
      <c r="B323" t="s">
        <v>1229</v>
      </c>
      <c r="C323" t="s">
        <v>1230</v>
      </c>
      <c r="D323" s="3">
        <f t="shared" ref="D323:D386" si="34">A323</f>
        <v>370</v>
      </c>
      <c r="G323" s="8" t="s">
        <v>1468</v>
      </c>
      <c r="I323" t="s">
        <v>91</v>
      </c>
      <c r="J323" t="s">
        <v>91</v>
      </c>
      <c r="K323">
        <v>249</v>
      </c>
      <c r="L323">
        <v>249</v>
      </c>
      <c r="M323">
        <v>249</v>
      </c>
      <c r="O323" s="61" t="s">
        <v>449</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constants'!$B$4:$C$1012,2,FALSE),"")</f>
        <v>Summerset</v>
      </c>
      <c r="V323" s="33" t="s">
        <v>1550</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constants'!$A$5:$D$10001,4,FALSE),"")</f>
        <v>Wrothgar</v>
      </c>
      <c r="AB323" s="33" t="s">
        <v>1550</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8" t="s">
        <v>2653</v>
      </c>
      <c r="BA323" s="78"/>
      <c r="BB323" s="78"/>
      <c r="BC323" s="78"/>
      <c r="BD323" s="78">
        <v>523</v>
      </c>
      <c r="BE323" s="21" t="str">
        <f t="shared" si="29"/>
        <v>[370] = {wayshrines={249,249,249,}, dlcId=DLC_SUMMERSET</v>
      </c>
      <c r="BF323" s="21" t="str">
        <f t="shared" si="30"/>
        <v>, zoneIds={677,684,684}, veteran=false</v>
      </c>
      <c r="BG323" s="21" t="str">
        <f t="shared" si="31"/>
        <v>, setType=LIBSETS_SETTYPE_ARENA</v>
      </c>
      <c r="BH323" s="21" t="str">
        <f t="shared" si="32"/>
        <v>, dropMechanic={LIBSETS_DROP_MECHANIC_ARENA_STAGE_CHEST,LIBSETS_DROP_MECHANIC_ARENA_STAGE_CHEST}, perfectedSetId=523</v>
      </c>
      <c r="BI323" s="21" t="str">
        <f t="shared" si="33"/>
        <v>}, --Rampaging Slash / Tobender Schnitt   [Maelstrom Arena, Wrothgar, Wrothgar]</v>
      </c>
    </row>
    <row r="324" spans="1:61" x14ac:dyDescent="0.25">
      <c r="A324" s="12">
        <v>371</v>
      </c>
      <c r="B324" t="s">
        <v>1231</v>
      </c>
      <c r="C324" t="s">
        <v>1232</v>
      </c>
      <c r="D324" s="3">
        <f t="shared" si="34"/>
        <v>371</v>
      </c>
      <c r="G324" s="8" t="s">
        <v>1468</v>
      </c>
      <c r="I324" t="s">
        <v>91</v>
      </c>
      <c r="J324" t="s">
        <v>91</v>
      </c>
      <c r="K324">
        <v>249</v>
      </c>
      <c r="L324">
        <v>249</v>
      </c>
      <c r="M324">
        <v>249</v>
      </c>
      <c r="O324" s="61" t="s">
        <v>449</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constants'!$B$4:$C$1012,2,FALSE),"")</f>
        <v>Summerset</v>
      </c>
      <c r="V324" s="33" t="s">
        <v>1550</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constants'!$A$5:$D$10001,4,FALSE),"")</f>
        <v>Wrothgar</v>
      </c>
      <c r="AB324" s="33" t="s">
        <v>1550</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8" t="s">
        <v>2653</v>
      </c>
      <c r="BA324" s="78"/>
      <c r="BB324" s="78"/>
      <c r="BC324" s="78"/>
      <c r="BD324" s="78">
        <v>524</v>
      </c>
      <c r="BE324" s="21" t="str">
        <f t="shared" ref="BE324:BE387" si="35">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dlcId=DLC_SUMMERSET</v>
      </c>
      <c r="BF324" s="21" t="str">
        <f t="shared" ref="BF324:BF387" si="36">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21" t="str">
        <f t="shared" ref="BG324:BG387" si="37">IF(A324&lt;&gt;"",IF(F324&lt;&gt;"Not in the game (anymore)",IF(A324&lt;&gt;"",", setType="&amp;G324,"")&amp;IF(G324="LIBSETS_SETTYPE_CLASS",", classId="&amp;BC324,"")&amp;IF(J324="true",", multiTrialSet=true",""),"")
&amp; IF(AND(H324&lt;&gt;"",ISNUMBER(H324)),", undauntedChestId=" &amp; H324,""),"")</f>
        <v>, setType=LIBSETS_SETTYPE_ARENA</v>
      </c>
      <c r="BH324" s="21" t="str">
        <f t="shared" ref="BH324:BH387" si="38">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21" t="str">
        <f t="shared" ref="BI324:BI387" si="39">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2">
        <v>372</v>
      </c>
      <c r="B325" t="s">
        <v>1233</v>
      </c>
      <c r="C325" t="s">
        <v>1234</v>
      </c>
      <c r="D325" s="3">
        <f t="shared" si="34"/>
        <v>372</v>
      </c>
      <c r="G325" s="8" t="s">
        <v>1468</v>
      </c>
      <c r="I325" t="s">
        <v>91</v>
      </c>
      <c r="J325" t="s">
        <v>91</v>
      </c>
      <c r="K325">
        <v>249</v>
      </c>
      <c r="L325">
        <v>249</v>
      </c>
      <c r="M325">
        <v>249</v>
      </c>
      <c r="O325" s="61" t="s">
        <v>449</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constants'!$B$4:$C$1012,2,FALSE),"")</f>
        <v>Summerset</v>
      </c>
      <c r="V325" s="33" t="s">
        <v>1550</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constants'!$A$5:$D$10001,4,FALSE),"")</f>
        <v>Wrothgar</v>
      </c>
      <c r="AB325" s="33" t="s">
        <v>1550</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8" t="s">
        <v>2653</v>
      </c>
      <c r="BA325" s="78"/>
      <c r="BB325" s="78"/>
      <c r="BC325" s="78"/>
      <c r="BD325" s="78">
        <v>525</v>
      </c>
      <c r="BE325" s="21" t="str">
        <f t="shared" si="35"/>
        <v>[372] = {wayshrines={249,249,249,}, dlcId=DLC_SUMMERSET</v>
      </c>
      <c r="BF325" s="21" t="str">
        <f t="shared" si="36"/>
        <v>, zoneIds={677,684,684}, veteran=false</v>
      </c>
      <c r="BG325" s="21" t="str">
        <f t="shared" si="37"/>
        <v>, setType=LIBSETS_SETTYPE_ARENA</v>
      </c>
      <c r="BH325" s="21" t="str">
        <f t="shared" si="38"/>
        <v>, dropMechanic={LIBSETS_DROP_MECHANIC_ARENA_STAGE_CHEST,LIBSETS_DROP_MECHANIC_ARENA_STAGE_CHEST}, perfectedSetId=525</v>
      </c>
      <c r="BI325" s="21" t="str">
        <f t="shared" si="39"/>
        <v>}, --Thunderous Volley / Donnernde Salve   [Maelstrom Arena, Wrothgar, Wrothgar]</v>
      </c>
    </row>
    <row r="326" spans="1:61" x14ac:dyDescent="0.25">
      <c r="A326" s="12">
        <v>373</v>
      </c>
      <c r="B326" t="s">
        <v>1235</v>
      </c>
      <c r="C326" t="s">
        <v>1236</v>
      </c>
      <c r="D326" s="3">
        <f t="shared" si="34"/>
        <v>373</v>
      </c>
      <c r="G326" s="8" t="s">
        <v>1468</v>
      </c>
      <c r="I326" t="s">
        <v>91</v>
      </c>
      <c r="J326" t="s">
        <v>91</v>
      </c>
      <c r="K326">
        <v>249</v>
      </c>
      <c r="L326">
        <v>249</v>
      </c>
      <c r="M326">
        <v>249</v>
      </c>
      <c r="O326" s="61" t="s">
        <v>449</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constants'!$B$4:$C$1012,2,FALSE),"")</f>
        <v>Summerset</v>
      </c>
      <c r="V326" s="33" t="s">
        <v>1550</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constants'!$A$5:$D$10001,4,FALSE),"")</f>
        <v>Wrothgar</v>
      </c>
      <c r="AB326" s="33" t="s">
        <v>1550</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8" t="s">
        <v>2654</v>
      </c>
      <c r="BA326" s="78"/>
      <c r="BB326" s="78"/>
      <c r="BC326" s="78"/>
      <c r="BD326" s="78">
        <v>526</v>
      </c>
      <c r="BE326" s="21" t="str">
        <f t="shared" si="35"/>
        <v>[373] = {wayshrines={249,249,249,}, dlcId=DLC_SUMMERSET</v>
      </c>
      <c r="BF326" s="21" t="str">
        <f t="shared" si="36"/>
        <v>, zoneIds={677,684,684}, veteran=false</v>
      </c>
      <c r="BG326" s="21" t="str">
        <f t="shared" si="37"/>
        <v>, setType=LIBSETS_SETTYPE_ARENA</v>
      </c>
      <c r="BH326" s="21" t="str">
        <f t="shared" si="38"/>
        <v>, isProcSetAllowedInPvP=1, dropMechanic={LIBSETS_DROP_MECHANIC_ARENA_STAGE_CHEST,LIBSETS_DROP_MECHANIC_ARENA_STAGE_CHEST}, perfectedSetId=526</v>
      </c>
      <c r="BI326" s="21" t="str">
        <f t="shared" si="39"/>
        <v>}, --Crushing Wall / Zermalmende Mauer   [Maelstrom Arena, Wrothgar, Wrothgar]</v>
      </c>
    </row>
    <row r="327" spans="1:61" x14ac:dyDescent="0.25">
      <c r="A327" s="12">
        <v>374</v>
      </c>
      <c r="B327" t="s">
        <v>1237</v>
      </c>
      <c r="C327" t="s">
        <v>1238</v>
      </c>
      <c r="D327" s="3">
        <f t="shared" si="34"/>
        <v>374</v>
      </c>
      <c r="G327" s="8" t="s">
        <v>1468</v>
      </c>
      <c r="I327" t="s">
        <v>91</v>
      </c>
      <c r="J327" t="s">
        <v>91</v>
      </c>
      <c r="K327">
        <v>249</v>
      </c>
      <c r="L327">
        <v>249</v>
      </c>
      <c r="M327">
        <v>249</v>
      </c>
      <c r="O327" s="61" t="s">
        <v>449</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constants'!$B$4:$C$1012,2,FALSE),"")</f>
        <v>Summerset</v>
      </c>
      <c r="V327" s="33" t="s">
        <v>1550</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constants'!$A$5:$D$10001,4,FALSE),"")</f>
        <v>Wrothgar</v>
      </c>
      <c r="AB327" s="33" t="s">
        <v>1550</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8" t="s">
        <v>2653</v>
      </c>
      <c r="BA327" s="78"/>
      <c r="BB327" s="78"/>
      <c r="BC327" s="78"/>
      <c r="BD327" s="78">
        <v>527</v>
      </c>
      <c r="BE327" s="21" t="str">
        <f t="shared" si="35"/>
        <v>[374] = {wayshrines={249,249,249,}, dlcId=DLC_SUMMERSET</v>
      </c>
      <c r="BF327" s="21" t="str">
        <f t="shared" si="36"/>
        <v>, zoneIds={677,684,684}, veteran=false</v>
      </c>
      <c r="BG327" s="21" t="str">
        <f t="shared" si="37"/>
        <v>, setType=LIBSETS_SETTYPE_ARENA</v>
      </c>
      <c r="BH327" s="21" t="str">
        <f t="shared" si="38"/>
        <v>, dropMechanic={LIBSETS_DROP_MECHANIC_ARENA_STAGE_CHEST,LIBSETS_DROP_MECHANIC_ARENA_STAGE_CHEST}, perfectedSetId=527</v>
      </c>
      <c r="BI327" s="21" t="str">
        <f t="shared" si="39"/>
        <v>}, --Precise Regeneration / Präzise Regeneration   [Maelstrom Arena, Wrothgar, Wrothgar]</v>
      </c>
    </row>
    <row r="328" spans="1:61" x14ac:dyDescent="0.25">
      <c r="A328" s="12">
        <v>380</v>
      </c>
      <c r="B328" t="s">
        <v>1239</v>
      </c>
      <c r="C328" t="s">
        <v>2613</v>
      </c>
      <c r="D328" s="3">
        <f t="shared" si="34"/>
        <v>380</v>
      </c>
      <c r="E328" t="s">
        <v>1461</v>
      </c>
      <c r="F328" t="s">
        <v>1419</v>
      </c>
      <c r="G328" s="8" t="s">
        <v>1478</v>
      </c>
      <c r="I328" t="s">
        <v>91</v>
      </c>
      <c r="J328" t="s">
        <v>91</v>
      </c>
      <c r="K328">
        <v>-1</v>
      </c>
      <c r="L328">
        <v>-1</v>
      </c>
      <c r="M328">
        <v>-1</v>
      </c>
      <c r="O328" s="61" t="s">
        <v>1509</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constants'!$B$4:$C$1012,2,FALSE),"")</f>
        <v>Included in base game</v>
      </c>
      <c r="V328" s="33" t="s">
        <v>1608</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constants'!$A$5:$D$10001,4,FALSE),"")</f>
        <v/>
      </c>
      <c r="AC328" s="41" t="str">
        <f>IF(AB328&lt;&gt;"",IF(AB328&lt;&gt;"LIBSETS_DROP_MECHANIC_MONSTER_NAME",VLOOKUP(AB328,'LibSets constants'!$I$4:$L$1012,3,FALSE),""),"")</f>
        <v/>
      </c>
      <c r="AD328" s="41" t="str">
        <f>IF(AB328&lt;&gt;"",IF(AB328&lt;&gt;"LIBSETS_DROP_MECHANIC_MONSTER_NAME",VLOOKUP(AB328,'LibSets constants'!$I$4:$L$1012,4,FALSE),""),"")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8" t="s">
        <v>2653</v>
      </c>
      <c r="BA328" s="78"/>
      <c r="BB328" s="78"/>
      <c r="BC328" s="78"/>
      <c r="BD328" s="78"/>
      <c r="BE328" s="21" t="str">
        <f t="shared" si="35"/>
        <v>[380] = {wayshrines={-1,-1,-1,}, dlcId=DLC_BASE_GAME</v>
      </c>
      <c r="BF328" s="21" t="str">
        <f t="shared" si="36"/>
        <v>, zoneIds={-99}, veteran=false</v>
      </c>
      <c r="BG328" s="21" t="str">
        <f t="shared" si="37"/>
        <v>, setType=LIBSETS_SETTYPE_SPECIAL</v>
      </c>
      <c r="BH328" s="21" t="str">
        <f t="shared" si="38"/>
        <v>, dropMechanic={LIBSETS_DROP_MECHANIC_LEVEL_UP_REWARD}</v>
      </c>
      <c r="BI328" s="21" t="str">
        <f t="shared" si="39"/>
        <v>}, --Prophet\'s / Prophet   [!Level up advisor]</v>
      </c>
    </row>
    <row r="329" spans="1:61" x14ac:dyDescent="0.25">
      <c r="A329" s="12">
        <v>381</v>
      </c>
      <c r="B329" t="s">
        <v>1240</v>
      </c>
      <c r="C329" t="s">
        <v>1241</v>
      </c>
      <c r="D329" s="3">
        <f t="shared" si="34"/>
        <v>381</v>
      </c>
      <c r="E329" s="40" t="s">
        <v>1461</v>
      </c>
      <c r="F329" t="s">
        <v>1419</v>
      </c>
      <c r="G329" s="8" t="s">
        <v>1478</v>
      </c>
      <c r="I329" t="s">
        <v>91</v>
      </c>
      <c r="J329" t="s">
        <v>91</v>
      </c>
      <c r="K329">
        <v>-1</v>
      </c>
      <c r="L329">
        <v>-1</v>
      </c>
      <c r="M329">
        <v>-1</v>
      </c>
      <c r="O329" s="61" t="s">
        <v>1509</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constants'!$B$4:$C$1012,2,FALSE),"")</f>
        <v>Included in base game</v>
      </c>
      <c r="V329" s="33" t="s">
        <v>1608</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constants'!$A$5:$D$10001,4,FALSE),"")</f>
        <v/>
      </c>
      <c r="AC329" s="41" t="str">
        <f>IF(AB329&lt;&gt;"",IF(AB329&lt;&gt;"LIBSETS_DROP_MECHANIC_MONSTER_NAME",VLOOKUP(AB329,'LibSets constants'!$I$4:$L$1012,3,FALSE),""),"")</f>
        <v/>
      </c>
      <c r="AD329" s="41" t="str">
        <f>IF(AB329&lt;&gt;"",IF(AB329&lt;&gt;"LIBSETS_DROP_MECHANIC_MONSTER_NAME",VLOOKUP(AB329,'LibSets constants'!$I$4:$L$1012,4,FALSE),""),"")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8" t="s">
        <v>2653</v>
      </c>
      <c r="BA329" s="78"/>
      <c r="BB329" s="78"/>
      <c r="BC329" s="78"/>
      <c r="BD329" s="78"/>
      <c r="BE329" s="21" t="str">
        <f t="shared" si="35"/>
        <v>[381] = {wayshrines={-1,-1,-1,}, dlcId=DLC_BASE_GAME</v>
      </c>
      <c r="BF329" s="21" t="str">
        <f t="shared" si="36"/>
        <v>, zoneIds={-99}, veteran=false</v>
      </c>
      <c r="BG329" s="21" t="str">
        <f t="shared" si="37"/>
        <v>, setType=LIBSETS_SETTYPE_SPECIAL</v>
      </c>
      <c r="BH329" s="21" t="str">
        <f t="shared" si="38"/>
        <v>, dropMechanic={LIBSETS_DROP_MECHANIC_LEVEL_UP_REWARD}</v>
      </c>
      <c r="BI329" s="21" t="str">
        <f t="shared" si="39"/>
        <v>}, --Broken Soul / Zerbrochene Seele   [!Level up advisor]</v>
      </c>
    </row>
    <row r="330" spans="1:61" x14ac:dyDescent="0.25">
      <c r="A330" s="12">
        <v>382</v>
      </c>
      <c r="B330" t="s">
        <v>1242</v>
      </c>
      <c r="C330" t="s">
        <v>1243</v>
      </c>
      <c r="D330" s="3">
        <f t="shared" si="34"/>
        <v>382</v>
      </c>
      <c r="G330" s="8" t="s">
        <v>1476</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constants'!$B$4:$C$1012,2,FALSE),"")</f>
        <v>Necrom</v>
      </c>
      <c r="V330" s="33" t="s">
        <v>1554</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constants'!$A$5:$D$10001,4,FALSE),"")</f>
        <v>Summerset</v>
      </c>
      <c r="AB330" s="33" t="s">
        <v>1555</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constants'!$A$5:$D$10001,4,FALSE),"")</f>
        <v>Summerset</v>
      </c>
      <c r="AH330" s="42" t="s">
        <v>1556</v>
      </c>
      <c r="AI330" s="41"/>
      <c r="AJ330" s="41"/>
      <c r="AK330" s="3">
        <f>IF(AND(G330&lt;&gt;"LIBSETS_SETTYPE_BATTLEGROUND",G330&lt;&gt;"LIBSETS_SETTYPE_SPECIAL"),IF(AL330&lt;&gt;"",VLOOKUP(AL330,'ESO zone constants'!$D$5:$H$4955,5,FALSE),""),"")</f>
        <v>1011</v>
      </c>
      <c r="AL330" t="s">
        <v>79</v>
      </c>
      <c r="AM330" s="33" t="s">
        <v>1557</v>
      </c>
      <c r="AN330" s="41"/>
      <c r="AO330" s="41"/>
      <c r="AP330" s="3">
        <f>IF(AND(G330&lt;&gt;"LIBSETS_SETTYPE_BATTLEGROUND",G330&lt;&gt;"LIBSETS_SETTYPE_SPECIAL"),IF(AQ330&lt;&gt;"",VLOOKUP(AQ330,'ESO zone constants'!$D$5:$H$4955,5,FALSE),""),"")</f>
        <v>1027</v>
      </c>
      <c r="AQ330" t="s">
        <v>679</v>
      </c>
      <c r="AR330" s="33" t="s">
        <v>1554</v>
      </c>
      <c r="AS330" s="41"/>
      <c r="AT330" s="41"/>
      <c r="AU330" s="3">
        <f>IF(AND(G330&lt;&gt;"LIBSETS_SETTYPE_BATTLEGROUND",G330&lt;&gt;"LIBSETS_SETTYPE_SPECIAL"),IF(AV330&lt;&gt;"",VLOOKUP(AV330,'ESO zone constants'!$D$5:$H$4955,5,FALSE),""),"")</f>
        <v>1027</v>
      </c>
      <c r="AV330" t="s">
        <v>679</v>
      </c>
      <c r="AW330" s="33" t="s">
        <v>1557</v>
      </c>
      <c r="AX330" s="41"/>
      <c r="AY330" s="41"/>
      <c r="AZ330" s="78" t="s">
        <v>2653</v>
      </c>
      <c r="BA330" s="78"/>
      <c r="BB330" s="78"/>
      <c r="BC330" s="78"/>
      <c r="BD330" s="78"/>
      <c r="BE330" s="21" t="str">
        <f t="shared" si="35"/>
        <v>[382] = {wayshrines={355,355,355,}, dlcId=DLC_NECROM</v>
      </c>
      <c r="BF330" s="21" t="str">
        <f t="shared" si="36"/>
        <v>, zoneIds={1011,1011,1011,1011,1027,1027}, veteran=false</v>
      </c>
      <c r="BG330" s="21" t="str">
        <f t="shared" si="37"/>
        <v>, setType=LIBSETS_SETTYPE_OVERLAND</v>
      </c>
      <c r="BH330"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 t="shared" si="39"/>
        <v>}, --Grace of Gloom / Anmut der Gräue   [Summerset, Summerset, Summerset, Summerset, Artaeum, Artaeum]</v>
      </c>
    </row>
    <row r="331" spans="1:61" x14ac:dyDescent="0.25">
      <c r="A331" s="12">
        <v>383</v>
      </c>
      <c r="B331" t="s">
        <v>1244</v>
      </c>
      <c r="C331" t="s">
        <v>2614</v>
      </c>
      <c r="D331" s="3">
        <f t="shared" si="34"/>
        <v>383</v>
      </c>
      <c r="G331" s="8" t="s">
        <v>1476</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constants'!$B$4:$C$1012,2,FALSE),"")</f>
        <v>Necrom</v>
      </c>
      <c r="V331" s="33" t="s">
        <v>1554</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constants'!$A$5:$D$10001,4,FALSE),"")</f>
        <v>Summerset</v>
      </c>
      <c r="AB331" s="33" t="s">
        <v>1555</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constants'!$A$5:$D$10001,4,FALSE),"")</f>
        <v>Summerset</v>
      </c>
      <c r="AH331" s="42" t="s">
        <v>1556</v>
      </c>
      <c r="AI331" s="41"/>
      <c r="AJ331" s="41"/>
      <c r="AK331" s="3">
        <f>IF(AND(G331&lt;&gt;"LIBSETS_SETTYPE_BATTLEGROUND",G331&lt;&gt;"LIBSETS_SETTYPE_SPECIAL"),IF(AL331&lt;&gt;"",VLOOKUP(AL331,'ESO zone constants'!$D$5:$H$4955,5,FALSE),""),"")</f>
        <v>1011</v>
      </c>
      <c r="AL331" t="s">
        <v>79</v>
      </c>
      <c r="AM331" s="33" t="s">
        <v>1557</v>
      </c>
      <c r="AN331" s="41"/>
      <c r="AO331" s="41"/>
      <c r="AP331" s="3">
        <f>IF(AND(G331&lt;&gt;"LIBSETS_SETTYPE_BATTLEGROUND",G331&lt;&gt;"LIBSETS_SETTYPE_SPECIAL"),IF(AQ331&lt;&gt;"",VLOOKUP(AQ331,'ESO zone constants'!$D$5:$H$4955,5,FALSE),""),"")</f>
        <v>1027</v>
      </c>
      <c r="AQ331" t="s">
        <v>679</v>
      </c>
      <c r="AR331" s="33" t="s">
        <v>1554</v>
      </c>
      <c r="AS331" s="41"/>
      <c r="AT331" s="41"/>
      <c r="AU331" s="3">
        <f>IF(AND(G331&lt;&gt;"LIBSETS_SETTYPE_BATTLEGROUND",G331&lt;&gt;"LIBSETS_SETTYPE_SPECIAL"),IF(AV331&lt;&gt;"",VLOOKUP(AV331,'ESO zone constants'!$D$5:$H$4955,5,FALSE),""),"")</f>
        <v>1027</v>
      </c>
      <c r="AV331" t="s">
        <v>679</v>
      </c>
      <c r="AW331" s="33" t="s">
        <v>1557</v>
      </c>
      <c r="AX331" s="41"/>
      <c r="AY331" s="41"/>
      <c r="AZ331" s="78" t="s">
        <v>2653</v>
      </c>
      <c r="BA331" s="78"/>
      <c r="BB331" s="78"/>
      <c r="BC331" s="78"/>
      <c r="BD331" s="78"/>
      <c r="BE331" s="21" t="str">
        <f t="shared" si="35"/>
        <v>[383] = {wayshrines={355,355,355,}, dlcId=DLC_NECROM</v>
      </c>
      <c r="BF331" s="21" t="str">
        <f t="shared" si="36"/>
        <v>, zoneIds={1011,1011,1011,1011,1027,1027}, veteran=false</v>
      </c>
      <c r="BG331" s="21" t="str">
        <f t="shared" si="37"/>
        <v>, setType=LIBSETS_SETTYPE_OVERLAND</v>
      </c>
      <c r="BH331"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 t="shared" si="39"/>
        <v>}, --Gryphon\'s Ferocity / Wildheit des Greifen   [Summerset, Summerset, Summerset, Summerset, Artaeum, Artaeum]</v>
      </c>
    </row>
    <row r="332" spans="1:61" x14ac:dyDescent="0.25">
      <c r="A332" s="12">
        <v>384</v>
      </c>
      <c r="B332" t="s">
        <v>1245</v>
      </c>
      <c r="C332" t="s">
        <v>1246</v>
      </c>
      <c r="D332" s="3">
        <f t="shared" si="34"/>
        <v>384</v>
      </c>
      <c r="G332" s="8" t="s">
        <v>1476</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constants'!$B$4:$C$1012,2,FALSE),"")</f>
        <v>Necrom</v>
      </c>
      <c r="V332" s="33" t="s">
        <v>1554</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constants'!$A$5:$D$10001,4,FALSE),"")</f>
        <v>Summerset</v>
      </c>
      <c r="AB332" s="33" t="s">
        <v>1555</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constants'!$A$5:$D$10001,4,FALSE),"")</f>
        <v>Summerset</v>
      </c>
      <c r="AH332" s="42" t="s">
        <v>1556</v>
      </c>
      <c r="AI332" s="41"/>
      <c r="AJ332" s="41"/>
      <c r="AK332" s="3">
        <f>IF(AND(G332&lt;&gt;"LIBSETS_SETTYPE_BATTLEGROUND",G332&lt;&gt;"LIBSETS_SETTYPE_SPECIAL"),IF(AL332&lt;&gt;"",VLOOKUP(AL332,'ESO zone constants'!$D$5:$H$4955,5,FALSE),""),"")</f>
        <v>1011</v>
      </c>
      <c r="AL332" t="s">
        <v>79</v>
      </c>
      <c r="AM332" s="33" t="s">
        <v>1557</v>
      </c>
      <c r="AN332" s="41"/>
      <c r="AO332" s="41"/>
      <c r="AP332" s="3">
        <f>IF(AND(G332&lt;&gt;"LIBSETS_SETTYPE_BATTLEGROUND",G332&lt;&gt;"LIBSETS_SETTYPE_SPECIAL"),IF(AQ332&lt;&gt;"",VLOOKUP(AQ332,'ESO zone constants'!$D$5:$H$4955,5,FALSE),""),"")</f>
        <v>1027</v>
      </c>
      <c r="AQ332" t="s">
        <v>679</v>
      </c>
      <c r="AR332" s="33" t="s">
        <v>1554</v>
      </c>
      <c r="AS332" s="41"/>
      <c r="AT332" s="41"/>
      <c r="AU332" s="3">
        <f>IF(AND(G332&lt;&gt;"LIBSETS_SETTYPE_BATTLEGROUND",G332&lt;&gt;"LIBSETS_SETTYPE_SPECIAL"),IF(AV332&lt;&gt;"",VLOOKUP(AV332,'ESO zone constants'!$D$5:$H$4955,5,FALSE),""),"")</f>
        <v>1027</v>
      </c>
      <c r="AV332" t="s">
        <v>679</v>
      </c>
      <c r="AW332" s="33" t="s">
        <v>1557</v>
      </c>
      <c r="AX332" s="41"/>
      <c r="AY332" s="41"/>
      <c r="AZ332" s="78" t="s">
        <v>2653</v>
      </c>
      <c r="BA332" s="78"/>
      <c r="BB332" s="78"/>
      <c r="BC332" s="78"/>
      <c r="BD332" s="78"/>
      <c r="BE332" s="21" t="str">
        <f t="shared" si="35"/>
        <v>[384] = {wayshrines={355,355,355,}, dlcId=DLC_NECROM</v>
      </c>
      <c r="BF332" s="21" t="str">
        <f t="shared" si="36"/>
        <v>, zoneIds={1011,1011,1011,1011,1027,1027}, veteran=false</v>
      </c>
      <c r="BG332" s="21" t="str">
        <f t="shared" si="37"/>
        <v>, setType=LIBSETS_SETTYPE_OVERLAND</v>
      </c>
      <c r="BH332"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 t="shared" si="39"/>
        <v>}, --Wisdom of Vanus / Weisheit von Vanus   [Summerset, Summerset, Summerset, Summerset, Artaeum, Artaeum]</v>
      </c>
    </row>
    <row r="333" spans="1:61" x14ac:dyDescent="0.25">
      <c r="A333" s="5">
        <v>385</v>
      </c>
      <c r="B333" t="s">
        <v>1247</v>
      </c>
      <c r="C333" t="s">
        <v>1248</v>
      </c>
      <c r="D333" s="3">
        <f t="shared" si="34"/>
        <v>385</v>
      </c>
      <c r="G333" s="8" t="s">
        <v>1470</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constants'!$B$4:$C$1012,2,FALSE),"")</f>
        <v>Necrom</v>
      </c>
      <c r="V333" s="33" t="s">
        <v>3288</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constants'!$A$5:$D$10001,4,FALSE),"")</f>
        <v>Summerset</v>
      </c>
      <c r="AB333" s="33" t="s">
        <v>3288</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constants'!$A$5:$D$10001,4,FALSE),"")</f>
        <v>Summerset</v>
      </c>
      <c r="AH333" s="33" t="s">
        <v>3288</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8" t="s">
        <v>2653</v>
      </c>
      <c r="BA333" s="78"/>
      <c r="BB333" s="78"/>
      <c r="BC333" s="78"/>
      <c r="BD333" s="78"/>
      <c r="BE333" s="21" t="str">
        <f t="shared" si="35"/>
        <v>[385] = {wayshrines={359,359,359,}, traitsNeeded=3, dlcId=DLC_NECROM</v>
      </c>
      <c r="BF333" s="21" t="str">
        <f t="shared" si="36"/>
        <v>, zoneIds={1011,1011,1011}, veteran=false</v>
      </c>
      <c r="BG333" s="21" t="str">
        <f t="shared" si="37"/>
        <v>, setType=LIBSETS_SETTYPE_CRAFTED</v>
      </c>
      <c r="BH333" s="21" t="str">
        <f t="shared" si="38"/>
        <v>, dropMechanic={LIBSETS_DROP_MECHANIC_CRAFTED,LIBSETS_DROP_MECHANIC_CRAFTED,LIBSETS_DROP_MECHANIC_CRAFTED}</v>
      </c>
      <c r="BI333" s="21" t="str">
        <f t="shared" si="39"/>
        <v>}, --Adept Rider / Versierter Reiter   [Summerset, Summerset, Summerset]</v>
      </c>
    </row>
    <row r="334" spans="1:61" x14ac:dyDescent="0.25">
      <c r="A334" s="5">
        <v>386</v>
      </c>
      <c r="B334" t="s">
        <v>1249</v>
      </c>
      <c r="C334" t="s">
        <v>2615</v>
      </c>
      <c r="D334" s="3">
        <f t="shared" si="34"/>
        <v>386</v>
      </c>
      <c r="G334" s="8" t="s">
        <v>1470</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constants'!$H$3:$K$9989,4,FALSE)),""))</f>
        <v>DLC_NECROM</v>
      </c>
      <c r="U334" s="3" t="str">
        <f>IF(T334&lt;&gt;"",VLOOKUP(T334,'LibSets constants'!$B$4:$C$1012,2,FALSE),"")</f>
        <v>Necrom</v>
      </c>
      <c r="V334" s="33" t="s">
        <v>3288</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constants'!$A$5:$D$10001,4,FALSE),"")</f>
        <v>Artaeum</v>
      </c>
      <c r="AB334" s="33" t="s">
        <v>3288</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constants'!$A$5:$D$10001,4,FALSE),"")</f>
        <v>Artaeum</v>
      </c>
      <c r="AH334" s="33" t="s">
        <v>3288</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8" t="s">
        <v>2653</v>
      </c>
      <c r="BA334" s="78"/>
      <c r="BB334" s="78"/>
      <c r="BC334" s="78"/>
      <c r="BD334" s="78"/>
      <c r="BE334" s="21" t="str">
        <f t="shared" si="35"/>
        <v>[386] = {wayshrines={360,360,360,}, traitsNeeded=6, dlcId=DLC_NECROM</v>
      </c>
      <c r="BF334" s="21" t="str">
        <f t="shared" si="36"/>
        <v>, zoneIds={1027,1027,1027}, veteran=false</v>
      </c>
      <c r="BG334" s="21" t="str">
        <f t="shared" si="37"/>
        <v>, setType=LIBSETS_SETTYPE_CRAFTED</v>
      </c>
      <c r="BH334" s="21" t="str">
        <f t="shared" si="38"/>
        <v>, dropMechanic={LIBSETS_DROP_MECHANIC_CRAFTED,LIBSETS_DROP_MECHANIC_CRAFTED,LIBSETS_DROP_MECHANIC_CRAFTED}</v>
      </c>
      <c r="BI334" s="21" t="str">
        <f t="shared" si="39"/>
        <v>}, --Sload\'s Semblance / Kreckenantlitz   [Artaeum, Artaeum, Artaeum]</v>
      </c>
    </row>
    <row r="335" spans="1:61" x14ac:dyDescent="0.25">
      <c r="A335" s="5">
        <v>387</v>
      </c>
      <c r="B335" t="s">
        <v>1250</v>
      </c>
      <c r="C335" t="s">
        <v>2616</v>
      </c>
      <c r="D335" s="3">
        <f t="shared" si="34"/>
        <v>387</v>
      </c>
      <c r="G335" s="8" t="s">
        <v>1470</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constants'!$B$4:$C$1012,2,FALSE),"")</f>
        <v>Necrom</v>
      </c>
      <c r="V335" s="33" t="s">
        <v>3288</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constants'!$A$5:$D$10001,4,FALSE),"")</f>
        <v>Summerset</v>
      </c>
      <c r="AB335" s="33" t="s">
        <v>3288</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constants'!$A$5:$D$10001,4,FALSE),"")</f>
        <v>Summerset</v>
      </c>
      <c r="AH335" s="33" t="s">
        <v>3288</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8" t="s">
        <v>2653</v>
      </c>
      <c r="BA335" s="78"/>
      <c r="BB335" s="78"/>
      <c r="BC335" s="78"/>
      <c r="BD335" s="78"/>
      <c r="BE335" s="21" t="str">
        <f t="shared" si="35"/>
        <v>[387] = {wayshrines={354,354,354,}, traitsNeeded=9, dlcId=DLC_NECROM</v>
      </c>
      <c r="BF335" s="21" t="str">
        <f t="shared" si="36"/>
        <v>, zoneIds={1011,1011,1011}, veteran=false</v>
      </c>
      <c r="BG335" s="21" t="str">
        <f t="shared" si="37"/>
        <v>, setType=LIBSETS_SETTYPE_CRAFTED</v>
      </c>
      <c r="BH335" s="21" t="str">
        <f t="shared" si="38"/>
        <v>, dropMechanic={LIBSETS_DROP_MECHANIC_CRAFTED,LIBSETS_DROP_MECHANIC_CRAFTED,LIBSETS_DROP_MECHANIC_CRAFTED}</v>
      </c>
      <c r="BI335" s="21" t="str">
        <f t="shared" si="39"/>
        <v>}, --Nocturnal\'s Favor / Nocturnals Gunst   [Summerset, Summerset, Summerset]</v>
      </c>
    </row>
    <row r="336" spans="1:61" x14ac:dyDescent="0.25">
      <c r="A336" s="12">
        <v>388</v>
      </c>
      <c r="B336" t="s">
        <v>1251</v>
      </c>
      <c r="C336" t="s">
        <v>1252</v>
      </c>
      <c r="D336" s="3">
        <f t="shared" si="34"/>
        <v>388</v>
      </c>
      <c r="G336" s="8" t="s">
        <v>1477</v>
      </c>
      <c r="I336" t="s">
        <v>91</v>
      </c>
      <c r="J336" t="s">
        <v>91</v>
      </c>
      <c r="K336">
        <v>364</v>
      </c>
      <c r="L336">
        <v>364</v>
      </c>
      <c r="M336">
        <v>364</v>
      </c>
      <c r="O336" s="61" t="s">
        <v>698</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constants'!$B$4:$C$1012,2,FALSE),"")</f>
        <v>Summerset</v>
      </c>
      <c r="V336" s="33" t="s">
        <v>3266</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constants'!$A$5:$D$10001,4,FALSE),"")</f>
        <v>Cloudrest</v>
      </c>
      <c r="AB336" s="33" t="s">
        <v>3266</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constants'!$A$5:$D$10001,4,FALSE),"")</f>
        <v>Cloudrest</v>
      </c>
      <c r="AH336" s="33" t="s">
        <v>3266</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8" t="s">
        <v>2653</v>
      </c>
      <c r="BA336" s="78"/>
      <c r="BB336" s="78"/>
      <c r="BC336" s="78"/>
      <c r="BD336" s="78">
        <v>392</v>
      </c>
      <c r="BE336" s="21" t="str">
        <f t="shared" si="35"/>
        <v>[388] = {wayshrines={364,364,364,}, dlcId=DLC_SUMMERSET</v>
      </c>
      <c r="BF336" s="21" t="str">
        <f t="shared" si="36"/>
        <v>, zoneIds={1051,1051,1051}, veteran=false</v>
      </c>
      <c r="BG336" s="21" t="str">
        <f t="shared" si="37"/>
        <v>, setType=LIBSETS_SETTYPE_TRIAL</v>
      </c>
      <c r="BH336" s="21" t="str">
        <f t="shared" si="38"/>
        <v>, dropMechanic={LIBSETS_DROP_MECHANIC_TRIAL_BOSS,LIBSETS_DROP_MECHANIC_TRIAL_BOSS,LIBSETS_DROP_MECHANIC_TRIAL_BOSS}, perfectedSetId=392</v>
      </c>
      <c r="BI336" s="21" t="str">
        <f t="shared" si="39"/>
        <v>}, --Aegis of Galenwe / Ägis von Galenwe   [Cloudrest, Cloudrest, Cloudrest]</v>
      </c>
    </row>
    <row r="337" spans="1:61" x14ac:dyDescent="0.25">
      <c r="A337" s="12">
        <v>389</v>
      </c>
      <c r="B337" t="s">
        <v>1253</v>
      </c>
      <c r="C337" t="s">
        <v>1254</v>
      </c>
      <c r="D337" s="3">
        <f t="shared" si="34"/>
        <v>389</v>
      </c>
      <c r="G337" s="8" t="s">
        <v>1477</v>
      </c>
      <c r="I337" t="s">
        <v>91</v>
      </c>
      <c r="J337" t="s">
        <v>91</v>
      </c>
      <c r="K337">
        <v>364</v>
      </c>
      <c r="L337">
        <v>364</v>
      </c>
      <c r="M337">
        <v>364</v>
      </c>
      <c r="O337" s="61" t="s">
        <v>698</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constants'!$B$4:$C$1012,2,FALSE),"")</f>
        <v>Summerset</v>
      </c>
      <c r="V337" s="33" t="s">
        <v>3266</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constants'!$A$5:$D$10001,4,FALSE),"")</f>
        <v>Cloudrest</v>
      </c>
      <c r="AB337" s="33" t="s">
        <v>3266</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constants'!$A$5:$D$10001,4,FALSE),"")</f>
        <v>Cloudrest</v>
      </c>
      <c r="AH337" s="33" t="s">
        <v>3266</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8" t="s">
        <v>2653</v>
      </c>
      <c r="BA337" s="78"/>
      <c r="BB337" s="78"/>
      <c r="BC337" s="78"/>
      <c r="BD337" s="78">
        <v>393</v>
      </c>
      <c r="BE337" s="21" t="str">
        <f t="shared" si="35"/>
        <v>[389] = {wayshrines={364,364,364,}, dlcId=DLC_SUMMERSET</v>
      </c>
      <c r="BF337" s="21" t="str">
        <f t="shared" si="36"/>
        <v>, zoneIds={1051,1051,1051}, veteran=false</v>
      </c>
      <c r="BG337" s="21" t="str">
        <f t="shared" si="37"/>
        <v>, setType=LIBSETS_SETTYPE_TRIAL</v>
      </c>
      <c r="BH337" s="21" t="str">
        <f t="shared" si="38"/>
        <v>, dropMechanic={LIBSETS_DROP_MECHANIC_TRIAL_BOSS,LIBSETS_DROP_MECHANIC_TRIAL_BOSS,LIBSETS_DROP_MECHANIC_TRIAL_BOSS}, perfectedSetId=393</v>
      </c>
      <c r="BI337" s="21" t="str">
        <f t="shared" si="39"/>
        <v>}, --Arms of Relequen / Waffen von Relequen   [Cloudrest, Cloudrest, Cloudrest]</v>
      </c>
    </row>
    <row r="338" spans="1:61" x14ac:dyDescent="0.25">
      <c r="A338" s="12">
        <v>390</v>
      </c>
      <c r="B338" t="s">
        <v>1255</v>
      </c>
      <c r="C338" t="s">
        <v>1256</v>
      </c>
      <c r="D338" s="3">
        <f t="shared" si="34"/>
        <v>390</v>
      </c>
      <c r="G338" s="8" t="s">
        <v>1477</v>
      </c>
      <c r="I338" t="s">
        <v>91</v>
      </c>
      <c r="J338" t="s">
        <v>91</v>
      </c>
      <c r="K338">
        <v>364</v>
      </c>
      <c r="L338">
        <v>364</v>
      </c>
      <c r="M338">
        <v>364</v>
      </c>
      <c r="O338" s="61" t="s">
        <v>698</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constants'!$B$4:$C$1012,2,FALSE),"")</f>
        <v>Summerset</v>
      </c>
      <c r="V338" s="33" t="s">
        <v>3266</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constants'!$A$5:$D$10001,4,FALSE),"")</f>
        <v>Cloudrest</v>
      </c>
      <c r="AB338" s="33" t="s">
        <v>3266</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constants'!$A$5:$D$10001,4,FALSE),"")</f>
        <v>Cloudrest</v>
      </c>
      <c r="AH338" s="33" t="s">
        <v>3266</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8" t="s">
        <v>2653</v>
      </c>
      <c r="BA338" s="78"/>
      <c r="BB338" s="78"/>
      <c r="BC338" s="78"/>
      <c r="BD338" s="78">
        <v>394</v>
      </c>
      <c r="BE338" s="21" t="str">
        <f t="shared" si="35"/>
        <v>[390] = {wayshrines={364,364,364,}, dlcId=DLC_SUMMERSET</v>
      </c>
      <c r="BF338" s="21" t="str">
        <f t="shared" si="36"/>
        <v>, zoneIds={1051,1051,1051}, veteran=false</v>
      </c>
      <c r="BG338" s="21" t="str">
        <f t="shared" si="37"/>
        <v>, setType=LIBSETS_SETTYPE_TRIAL</v>
      </c>
      <c r="BH338" s="21" t="str">
        <f t="shared" si="38"/>
        <v>, dropMechanic={LIBSETS_DROP_MECHANIC_TRIAL_BOSS,LIBSETS_DROP_MECHANIC_TRIAL_BOSS,LIBSETS_DROP_MECHANIC_TRIAL_BOSS}, perfectedSetId=394</v>
      </c>
      <c r="BI338" s="21" t="str">
        <f t="shared" si="39"/>
        <v>}, --Mantle of Siroria / Mantel von Siroria   [Cloudrest, Cloudrest, Cloudrest]</v>
      </c>
    </row>
    <row r="339" spans="1:61" x14ac:dyDescent="0.25">
      <c r="A339" s="12">
        <v>391</v>
      </c>
      <c r="B339" t="s">
        <v>1257</v>
      </c>
      <c r="C339" t="s">
        <v>1258</v>
      </c>
      <c r="D339" s="3">
        <f t="shared" si="34"/>
        <v>391</v>
      </c>
      <c r="G339" s="8" t="s">
        <v>1477</v>
      </c>
      <c r="I339" t="s">
        <v>91</v>
      </c>
      <c r="J339" t="s">
        <v>91</v>
      </c>
      <c r="K339">
        <v>364</v>
      </c>
      <c r="L339">
        <v>364</v>
      </c>
      <c r="M339">
        <v>364</v>
      </c>
      <c r="O339" s="61" t="s">
        <v>698</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constants'!$B$4:$C$1012,2,FALSE),"")</f>
        <v>Summerset</v>
      </c>
      <c r="V339" s="33" t="s">
        <v>3266</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constants'!$A$5:$D$10001,4,FALSE),"")</f>
        <v>Cloudrest</v>
      </c>
      <c r="AB339" s="33" t="s">
        <v>3266</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constants'!$A$5:$D$10001,4,FALSE),"")</f>
        <v>Cloudrest</v>
      </c>
      <c r="AH339" s="33" t="s">
        <v>3266</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8" t="s">
        <v>2653</v>
      </c>
      <c r="BA339" s="78"/>
      <c r="BB339" s="78"/>
      <c r="BC339" s="78"/>
      <c r="BD339" s="78">
        <v>395</v>
      </c>
      <c r="BE339" s="21" t="str">
        <f t="shared" si="35"/>
        <v>[391] = {wayshrines={364,364,364,}, dlcId=DLC_SUMMERSET</v>
      </c>
      <c r="BF339" s="21" t="str">
        <f t="shared" si="36"/>
        <v>, zoneIds={1051,1051,1051}, veteran=false</v>
      </c>
      <c r="BG339" s="21" t="str">
        <f t="shared" si="37"/>
        <v>, setType=LIBSETS_SETTYPE_TRIAL</v>
      </c>
      <c r="BH339" s="21" t="str">
        <f t="shared" si="38"/>
        <v>, dropMechanic={LIBSETS_DROP_MECHANIC_TRIAL_BOSS,LIBSETS_DROP_MECHANIC_TRIAL_BOSS,LIBSETS_DROP_MECHANIC_TRIAL_BOSS}, perfectedSetId=395</v>
      </c>
      <c r="BI339" s="21" t="str">
        <f t="shared" si="39"/>
        <v>}, --Vestment of Olorime / Gewandung von Olorime   [Cloudrest, Cloudrest, Cloudrest]</v>
      </c>
    </row>
    <row r="340" spans="1:61" x14ac:dyDescent="0.25">
      <c r="A340" s="12">
        <v>392</v>
      </c>
      <c r="B340" t="s">
        <v>1259</v>
      </c>
      <c r="C340" t="s">
        <v>1260</v>
      </c>
      <c r="D340" s="3">
        <f t="shared" si="34"/>
        <v>392</v>
      </c>
      <c r="G340" s="8" t="s">
        <v>1477</v>
      </c>
      <c r="I340" t="s">
        <v>92</v>
      </c>
      <c r="J340" t="s">
        <v>91</v>
      </c>
      <c r="K340">
        <v>364</v>
      </c>
      <c r="L340">
        <v>364</v>
      </c>
      <c r="M340">
        <v>364</v>
      </c>
      <c r="O340" s="61" t="s">
        <v>698</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constants'!$B$4:$C$1012,2,FALSE),"")</f>
        <v>Summerset</v>
      </c>
      <c r="V340" s="33" t="s">
        <v>3266</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constants'!$A$5:$D$10001,4,FALSE),"")</f>
        <v>Cloudrest</v>
      </c>
      <c r="AB340" s="33" t="s">
        <v>3266</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constants'!$A$5:$D$10001,4,FALSE),"")</f>
        <v>Cloudrest</v>
      </c>
      <c r="AH340" s="33" t="s">
        <v>3266</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8" t="s">
        <v>2653</v>
      </c>
      <c r="BA340" s="78"/>
      <c r="BB340" s="78"/>
      <c r="BC340" s="78"/>
      <c r="BD340" s="78" t="s">
        <v>3832</v>
      </c>
      <c r="BE340" s="21" t="str">
        <f t="shared" si="35"/>
        <v>[392] = {wayshrines={364,364,364,}, dlcId=DLC_SUMMERSET</v>
      </c>
      <c r="BF340" s="21" t="str">
        <f t="shared" si="36"/>
        <v>, zoneIds={1051,1051,1051}, veteran=true</v>
      </c>
      <c r="BG340" s="21" t="str">
        <f t="shared" si="37"/>
        <v>, setType=LIBSETS_SETTYPE_TRIAL</v>
      </c>
      <c r="BH340" s="21" t="str">
        <f t="shared" si="38"/>
        <v>, dropMechanic={LIBSETS_DROP_MECHANIC_TRIAL_BOSS,LIBSETS_DROP_MECHANIC_TRIAL_BOSS,LIBSETS_DROP_MECHANIC_TRIAL_BOSS}, isPerfectedSet=1</v>
      </c>
      <c r="BI340" s="21" t="str">
        <f t="shared" si="39"/>
        <v>}, --Perfect Aegis of Galenwe / Perfekte Ägis von Galenwe   [Cloudrest, Cloudrest, Cloudrest]</v>
      </c>
    </row>
    <row r="341" spans="1:61" x14ac:dyDescent="0.25">
      <c r="A341" s="43">
        <v>393</v>
      </c>
      <c r="B341" t="s">
        <v>1261</v>
      </c>
      <c r="C341" t="s">
        <v>1262</v>
      </c>
      <c r="D341" s="3">
        <f t="shared" si="34"/>
        <v>393</v>
      </c>
      <c r="G341" s="8" t="s">
        <v>1477</v>
      </c>
      <c r="I341" t="s">
        <v>92</v>
      </c>
      <c r="J341" t="s">
        <v>91</v>
      </c>
      <c r="K341">
        <v>364</v>
      </c>
      <c r="L341">
        <v>364</v>
      </c>
      <c r="M341">
        <v>364</v>
      </c>
      <c r="O341" s="61" t="s">
        <v>698</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constants'!$B$4:$C$1012,2,FALSE),"")</f>
        <v>Summerset</v>
      </c>
      <c r="V341" s="33" t="s">
        <v>3266</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constants'!$A$5:$D$10001,4,FALSE),"")</f>
        <v>Cloudrest</v>
      </c>
      <c r="AB341" s="33" t="s">
        <v>3266</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constants'!$A$5:$D$10001,4,FALSE),"")</f>
        <v>Cloudrest</v>
      </c>
      <c r="AH341" s="33" t="s">
        <v>3266</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8" t="s">
        <v>2653</v>
      </c>
      <c r="BA341" s="78"/>
      <c r="BB341" s="78"/>
      <c r="BC341" s="78"/>
      <c r="BD341" s="78" t="s">
        <v>3832</v>
      </c>
      <c r="BE341" s="21" t="str">
        <f t="shared" si="35"/>
        <v>[393] = {wayshrines={364,364,364,}, dlcId=DLC_SUMMERSET</v>
      </c>
      <c r="BF341" s="21" t="str">
        <f t="shared" si="36"/>
        <v>, zoneIds={1051,1051,1051}, veteran=true</v>
      </c>
      <c r="BG341" s="21" t="str">
        <f t="shared" si="37"/>
        <v>, setType=LIBSETS_SETTYPE_TRIAL</v>
      </c>
      <c r="BH341" s="21" t="str">
        <f t="shared" si="38"/>
        <v>, dropMechanic={LIBSETS_DROP_MECHANIC_TRIAL_BOSS,LIBSETS_DROP_MECHANIC_TRIAL_BOSS,LIBSETS_DROP_MECHANIC_TRIAL_BOSS}, isPerfectedSet=1</v>
      </c>
      <c r="BI341" s="21" t="str">
        <f t="shared" si="39"/>
        <v>}, --Perfect Arms of Relequen / Perfekte Waffen von Relequen   [Cloudrest, Cloudrest, Cloudrest]</v>
      </c>
    </row>
    <row r="342" spans="1:61" x14ac:dyDescent="0.25">
      <c r="A342" s="12">
        <v>394</v>
      </c>
      <c r="B342" t="s">
        <v>1263</v>
      </c>
      <c r="C342" t="s">
        <v>1264</v>
      </c>
      <c r="D342" s="3">
        <f t="shared" si="34"/>
        <v>394</v>
      </c>
      <c r="G342" s="8" t="s">
        <v>1477</v>
      </c>
      <c r="I342" t="s">
        <v>92</v>
      </c>
      <c r="J342" t="s">
        <v>91</v>
      </c>
      <c r="K342">
        <v>364</v>
      </c>
      <c r="L342">
        <v>364</v>
      </c>
      <c r="M342">
        <v>364</v>
      </c>
      <c r="O342" s="61" t="s">
        <v>698</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constants'!$B$4:$C$1012,2,FALSE),"")</f>
        <v>Summerset</v>
      </c>
      <c r="V342" s="33" t="s">
        <v>3266</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constants'!$A$5:$D$10001,4,FALSE),"")</f>
        <v>Cloudrest</v>
      </c>
      <c r="AB342" s="33" t="s">
        <v>3266</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constants'!$A$5:$D$10001,4,FALSE),"")</f>
        <v>Cloudrest</v>
      </c>
      <c r="AH342" s="33" t="s">
        <v>3266</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8" t="s">
        <v>2653</v>
      </c>
      <c r="BA342" s="78"/>
      <c r="BB342" s="78"/>
      <c r="BC342" s="78"/>
      <c r="BD342" s="78" t="s">
        <v>3832</v>
      </c>
      <c r="BE342" s="21" t="str">
        <f t="shared" si="35"/>
        <v>[394] = {wayshrines={364,364,364,}, dlcId=DLC_SUMMERSET</v>
      </c>
      <c r="BF342" s="21" t="str">
        <f t="shared" si="36"/>
        <v>, zoneIds={1051,1051,1051}, veteran=true</v>
      </c>
      <c r="BG342" s="21" t="str">
        <f t="shared" si="37"/>
        <v>, setType=LIBSETS_SETTYPE_TRIAL</v>
      </c>
      <c r="BH342" s="21" t="str">
        <f t="shared" si="38"/>
        <v>, dropMechanic={LIBSETS_DROP_MECHANIC_TRIAL_BOSS,LIBSETS_DROP_MECHANIC_TRIAL_BOSS,LIBSETS_DROP_MECHANIC_TRIAL_BOSS}, isPerfectedSet=1</v>
      </c>
      <c r="BI342" s="21" t="str">
        <f t="shared" si="39"/>
        <v>}, --Perfect Mantle of Siroria / Perfekter Mantel von Siroria   [Cloudrest, Cloudrest, Cloudrest]</v>
      </c>
    </row>
    <row r="343" spans="1:61" x14ac:dyDescent="0.25">
      <c r="A343" s="12">
        <v>395</v>
      </c>
      <c r="B343" t="s">
        <v>1265</v>
      </c>
      <c r="C343" t="s">
        <v>1266</v>
      </c>
      <c r="D343" s="3">
        <f t="shared" si="34"/>
        <v>395</v>
      </c>
      <c r="G343" s="8" t="s">
        <v>1477</v>
      </c>
      <c r="I343" t="s">
        <v>92</v>
      </c>
      <c r="J343" t="s">
        <v>91</v>
      </c>
      <c r="K343">
        <v>364</v>
      </c>
      <c r="L343">
        <v>364</v>
      </c>
      <c r="M343">
        <v>364</v>
      </c>
      <c r="O343" s="61" t="s">
        <v>698</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constants'!$B$4:$C$1012,2,FALSE),"")</f>
        <v>Summerset</v>
      </c>
      <c r="V343" s="33" t="s">
        <v>3266</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constants'!$A$5:$D$10001,4,FALSE),"")</f>
        <v>Cloudrest</v>
      </c>
      <c r="AB343" s="33" t="s">
        <v>3266</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constants'!$A$5:$D$10001,4,FALSE),"")</f>
        <v>Cloudrest</v>
      </c>
      <c r="AH343" s="33" t="s">
        <v>3266</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8" t="s">
        <v>2653</v>
      </c>
      <c r="BA343" s="78"/>
      <c r="BB343" s="78"/>
      <c r="BC343" s="78"/>
      <c r="BD343" s="78" t="s">
        <v>3832</v>
      </c>
      <c r="BE343" s="21" t="str">
        <f t="shared" si="35"/>
        <v>[395] = {wayshrines={364,364,364,}, dlcId=DLC_SUMMERSET</v>
      </c>
      <c r="BF343" s="21" t="str">
        <f t="shared" si="36"/>
        <v>, zoneIds={1051,1051,1051}, veteran=true</v>
      </c>
      <c r="BG343" s="21" t="str">
        <f t="shared" si="37"/>
        <v>, setType=LIBSETS_SETTYPE_TRIAL</v>
      </c>
      <c r="BH343" s="21" t="str">
        <f t="shared" si="38"/>
        <v>, dropMechanic={LIBSETS_DROP_MECHANIC_TRIAL_BOSS,LIBSETS_DROP_MECHANIC_TRIAL_BOSS,LIBSETS_DROP_MECHANIC_TRIAL_BOSS}, isPerfectedSet=1</v>
      </c>
      <c r="BI343" s="21" t="str">
        <f t="shared" si="39"/>
        <v>}, --Perfect Vestment of Olorime / Perfekte Gewandung von Olorime   [Cloudrest, Cloudrest, Cloudrest]</v>
      </c>
    </row>
    <row r="344" spans="1:61" x14ac:dyDescent="0.25">
      <c r="A344" s="5">
        <v>397</v>
      </c>
      <c r="B344" t="s">
        <v>0</v>
      </c>
      <c r="C344" t="s">
        <v>0</v>
      </c>
      <c r="D344" s="3">
        <f t="shared" si="34"/>
        <v>397</v>
      </c>
      <c r="G344" s="8" t="s">
        <v>1475</v>
      </c>
      <c r="H344" s="86">
        <v>3</v>
      </c>
      <c r="I344" t="s">
        <v>1462</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constants'!$B$4:$C$1012,2,FALSE),"")</f>
        <v>Wolfhunter</v>
      </c>
      <c r="V344" s="33" t="s">
        <v>1538</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8" t="s">
        <v>2653</v>
      </c>
      <c r="BA344" s="78"/>
      <c r="BB344" s="78"/>
      <c r="BC344" s="78"/>
      <c r="BD344" s="78"/>
      <c r="BE344" s="21" t="str">
        <f t="shared" si="35"/>
        <v>[397] = {wayshrines={370,370,370,}, dlcId=DLC_WOLFHUNTER</v>
      </c>
      <c r="BF344" s="21" t="str">
        <f t="shared" si="36"/>
        <v>, zoneIds={1055,108,108}, veteran={[EQUIP_TYPE_HEAD]=true, [EQUIP_TYPE_SHOULDERS]=false}</v>
      </c>
      <c r="BG344" s="21" t="str">
        <f t="shared" si="37"/>
        <v>, setType=LIBSETS_SETTYPE_MONSTER, undauntedChestId=3</v>
      </c>
      <c r="BH344" s="21" t="str">
        <f t="shared" si="38"/>
        <v>, dropMechanic={LIBSETS_DROP_MECHANIC_MONSTER_NAME}, dropMechanicDropLocationNames={['en']={'Balorgh','','','','','',},['de']={'Balorgh','','','','','',},}</v>
      </c>
      <c r="BI344" s="21" t="str">
        <f t="shared" si="39"/>
        <v>}, --Balorgh / Balorgh   [March of Sacrifices, Greenshade, Greenshade]</v>
      </c>
    </row>
    <row r="345" spans="1:61" x14ac:dyDescent="0.25">
      <c r="A345" s="5">
        <v>398</v>
      </c>
      <c r="B345" t="s">
        <v>33</v>
      </c>
      <c r="C345" t="s">
        <v>33</v>
      </c>
      <c r="D345" s="3">
        <f t="shared" si="34"/>
        <v>398</v>
      </c>
      <c r="G345" s="8" t="s">
        <v>1475</v>
      </c>
      <c r="H345" s="86">
        <v>3</v>
      </c>
      <c r="I345" t="s">
        <v>1462</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constants'!$B$4:$C$1012,2,FALSE),"")</f>
        <v>Wolfhunter</v>
      </c>
      <c r="V345" s="33" t="s">
        <v>1538</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8" t="s">
        <v>2653</v>
      </c>
      <c r="BA345" s="78"/>
      <c r="BB345" s="78"/>
      <c r="BC345" s="78"/>
      <c r="BD345" s="78"/>
      <c r="BE345" s="21" t="str">
        <f t="shared" si="35"/>
        <v>[398] = {wayshrines={371,371,371,}, dlcId=DLC_WOLFHUNTER</v>
      </c>
      <c r="BF345" s="21" t="str">
        <f t="shared" si="36"/>
        <v>, zoneIds={1052,382,382}, veteran={[EQUIP_TYPE_HEAD]=true, [EQUIP_TYPE_SHOULDERS]=false}</v>
      </c>
      <c r="BG345" s="21" t="str">
        <f t="shared" si="37"/>
        <v>, setType=LIBSETS_SETTYPE_MONSTER, undauntedChestId=3</v>
      </c>
      <c r="BH345" s="21" t="str">
        <f t="shared" si="38"/>
        <v>, dropMechanic={LIBSETS_DROP_MECHANIC_MONSTER_NAME}, dropMechanicDropLocationNames={['en']={'Vykosa','','','','','',},['de']={'Vykosa','','','','','',},}</v>
      </c>
      <c r="BI345" s="21" t="str">
        <f t="shared" si="39"/>
        <v>}, --Vykosa / Vykosa   [Moon Hunter Keep, Reaper's March, Reaper's March]</v>
      </c>
    </row>
    <row r="346" spans="1:61" x14ac:dyDescent="0.25">
      <c r="A346" s="12">
        <v>399</v>
      </c>
      <c r="B346" t="s">
        <v>1267</v>
      </c>
      <c r="C346" t="s">
        <v>2617</v>
      </c>
      <c r="D346" s="3">
        <f t="shared" si="34"/>
        <v>399</v>
      </c>
      <c r="G346" s="8" t="s">
        <v>1473</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constants'!$B$4:$C$1012,2,FALSE),"")</f>
        <v>Wolfhunter</v>
      </c>
      <c r="V346" s="33" t="s">
        <v>3285</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8" t="s">
        <v>2653</v>
      </c>
      <c r="BA346" s="78"/>
      <c r="BB346" s="78"/>
      <c r="BC346" s="78"/>
      <c r="BD346" s="78"/>
      <c r="BE346" s="21" t="str">
        <f t="shared" si="35"/>
        <v>[399] = {wayshrines={370,370,370,}, dlcId=DLC_WOLFHUNTER</v>
      </c>
      <c r="BF346" s="21" t="str">
        <f t="shared" si="36"/>
        <v>, zoneIds={1055,108,108}, veteran=false</v>
      </c>
      <c r="BG346" s="21" t="str">
        <f t="shared" si="37"/>
        <v>, setType=LIBSETS_SETTYPE_DUNGEON</v>
      </c>
      <c r="BH346" s="21" t="str">
        <f t="shared" si="38"/>
        <v>, dropMechanic={LIBSETS_DROP_MECHANIC_GROUP_DUNGEON_BOSS}</v>
      </c>
      <c r="BI346" s="21" t="str">
        <f t="shared" si="39"/>
        <v>}, --Hanu\'s Compassion / Hanus Mitgefühl   [March of Sacrifices, Greenshade, Greenshade]</v>
      </c>
    </row>
    <row r="347" spans="1:61" x14ac:dyDescent="0.25">
      <c r="A347" s="12">
        <v>400</v>
      </c>
      <c r="B347" t="s">
        <v>1268</v>
      </c>
      <c r="C347" t="s">
        <v>1269</v>
      </c>
      <c r="D347" s="3">
        <f t="shared" si="34"/>
        <v>400</v>
      </c>
      <c r="E347" s="40"/>
      <c r="G347" s="8" t="s">
        <v>1473</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constants'!$B$4:$C$1012,2,FALSE),"")</f>
        <v>Wolfhunter</v>
      </c>
      <c r="V347" s="33" t="s">
        <v>3285</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8" t="s">
        <v>2653</v>
      </c>
      <c r="BA347" s="78"/>
      <c r="BB347" s="78"/>
      <c r="BC347" s="78"/>
      <c r="BD347" s="78"/>
      <c r="BE347" s="21" t="str">
        <f t="shared" si="35"/>
        <v>[400] = {wayshrines={370,370,370,}, dlcId=DLC_WOLFHUNTER</v>
      </c>
      <c r="BF347" s="21" t="str">
        <f t="shared" si="36"/>
        <v>, zoneIds={1055,108,108}, veteran=false</v>
      </c>
      <c r="BG347" s="21" t="str">
        <f t="shared" si="37"/>
        <v>, setType=LIBSETS_SETTYPE_DUNGEON</v>
      </c>
      <c r="BH347" s="21" t="str">
        <f t="shared" si="38"/>
        <v>, dropMechanic={LIBSETS_DROP_MECHANIC_GROUP_DUNGEON_BOSS}</v>
      </c>
      <c r="BI347" s="21" t="str">
        <f t="shared" si="39"/>
        <v>}, --Blood Moon / Blutmond   [March of Sacrifices, Greenshade, Greenshade]</v>
      </c>
    </row>
    <row r="348" spans="1:61" x14ac:dyDescent="0.25">
      <c r="A348" s="12">
        <v>401</v>
      </c>
      <c r="B348" t="s">
        <v>1270</v>
      </c>
      <c r="C348" t="s">
        <v>1271</v>
      </c>
      <c r="D348" s="3">
        <f t="shared" si="34"/>
        <v>401</v>
      </c>
      <c r="G348" s="8" t="s">
        <v>1473</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constants'!$B$4:$C$1012,2,FALSE),"")</f>
        <v>Wolfhunter</v>
      </c>
      <c r="V348" s="33" t="s">
        <v>3285</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8" t="s">
        <v>2653</v>
      </c>
      <c r="BA348" s="78"/>
      <c r="BB348" s="78"/>
      <c r="BC348" s="78"/>
      <c r="BD348" s="78"/>
      <c r="BE348" s="21" t="str">
        <f t="shared" si="35"/>
        <v>[401] = {wayshrines={370,370,370,}, dlcId=DLC_WOLFHUNTER</v>
      </c>
      <c r="BF348" s="21" t="str">
        <f t="shared" si="36"/>
        <v>, zoneIds={1055,108,108}, veteran=false</v>
      </c>
      <c r="BG348" s="21" t="str">
        <f t="shared" si="37"/>
        <v>, setType=LIBSETS_SETTYPE_DUNGEON</v>
      </c>
      <c r="BH348" s="21" t="str">
        <f t="shared" si="38"/>
        <v>, dropMechanic={LIBSETS_DROP_MECHANIC_GROUP_DUNGEON_BOSS}</v>
      </c>
      <c r="BI348" s="21" t="str">
        <f t="shared" si="39"/>
        <v>}, --Haven of Ursus / Zuflucht von Ursus   [March of Sacrifices, Greenshade, Greenshade]</v>
      </c>
    </row>
    <row r="349" spans="1:61" x14ac:dyDescent="0.25">
      <c r="A349" s="12">
        <v>402</v>
      </c>
      <c r="B349" t="s">
        <v>1272</v>
      </c>
      <c r="C349" t="s">
        <v>1273</v>
      </c>
      <c r="D349" s="3">
        <f t="shared" si="34"/>
        <v>402</v>
      </c>
      <c r="G349" s="8" t="s">
        <v>1473</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constants'!$B$4:$C$1012,2,FALSE),"")</f>
        <v>Wolfhunter</v>
      </c>
      <c r="V349" s="33" t="s">
        <v>3285</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8" t="s">
        <v>2653</v>
      </c>
      <c r="BA349" s="78"/>
      <c r="BB349" s="78"/>
      <c r="BC349" s="78"/>
      <c r="BD349" s="78"/>
      <c r="BE349" s="21" t="str">
        <f t="shared" si="35"/>
        <v>[402] = {wayshrines={371,371,371,}, dlcId=DLC_WOLFHUNTER</v>
      </c>
      <c r="BF349" s="21" t="str">
        <f t="shared" si="36"/>
        <v>, zoneIds={1052,382,382}, veteran=false</v>
      </c>
      <c r="BG349" s="21" t="str">
        <f t="shared" si="37"/>
        <v>, setType=LIBSETS_SETTYPE_DUNGEON</v>
      </c>
      <c r="BH349" s="21" t="str">
        <f t="shared" si="38"/>
        <v>, dropMechanic={LIBSETS_DROP_MECHANIC_GROUP_DUNGEON_BOSS}</v>
      </c>
      <c r="BI349" s="21" t="str">
        <f t="shared" si="39"/>
        <v>}, --Moon Hunter / Mondjäger   [Moon Hunter Keep, Reaper's March, Reaper's March]</v>
      </c>
    </row>
    <row r="350" spans="1:61" x14ac:dyDescent="0.25">
      <c r="A350" s="12">
        <v>403</v>
      </c>
      <c r="B350" t="s">
        <v>1274</v>
      </c>
      <c r="C350" t="s">
        <v>1275</v>
      </c>
      <c r="D350" s="3">
        <f t="shared" si="34"/>
        <v>403</v>
      </c>
      <c r="G350" s="8" t="s">
        <v>1473</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constants'!$B$4:$C$1012,2,FALSE),"")</f>
        <v>Wolfhunter</v>
      </c>
      <c r="V350" s="33" t="s">
        <v>3285</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8" t="s">
        <v>2653</v>
      </c>
      <c r="BA350" s="78"/>
      <c r="BB350" s="78"/>
      <c r="BC350" s="78"/>
      <c r="BD350" s="78"/>
      <c r="BE350" s="21" t="str">
        <f t="shared" si="35"/>
        <v>[403] = {wayshrines={371,371,371,}, dlcId=DLC_WOLFHUNTER</v>
      </c>
      <c r="BF350" s="21" t="str">
        <f t="shared" si="36"/>
        <v>, zoneIds={1052,382,382}, veteran=false</v>
      </c>
      <c r="BG350" s="21" t="str">
        <f t="shared" si="37"/>
        <v>, setType=LIBSETS_SETTYPE_DUNGEON</v>
      </c>
      <c r="BH350" s="21" t="str">
        <f t="shared" si="38"/>
        <v>, dropMechanic={LIBSETS_DROP_MECHANIC_GROUP_DUNGEON_BOSS}</v>
      </c>
      <c r="BI350" s="21" t="str">
        <f t="shared" si="39"/>
        <v>}, --Savage Werewolf / Wilder Werwolf   [Moon Hunter Keep, Reaper's March, Reaper's March]</v>
      </c>
    </row>
    <row r="351" spans="1:61" x14ac:dyDescent="0.25">
      <c r="A351" s="12">
        <v>404</v>
      </c>
      <c r="B351" t="s">
        <v>1276</v>
      </c>
      <c r="C351" t="s">
        <v>2618</v>
      </c>
      <c r="D351" s="3">
        <f t="shared" si="34"/>
        <v>404</v>
      </c>
      <c r="G351" s="8" t="s">
        <v>1473</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constants'!$B$4:$C$1012,2,FALSE),"")</f>
        <v>Wolfhunter</v>
      </c>
      <c r="V351" s="33" t="s">
        <v>3285</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8" t="s">
        <v>2653</v>
      </c>
      <c r="BA351" s="78"/>
      <c r="BB351" s="78"/>
      <c r="BC351" s="78"/>
      <c r="BD351" s="78"/>
      <c r="BE351" s="21" t="str">
        <f t="shared" si="35"/>
        <v>[404] = {wayshrines={371,371,371,}, dlcId=DLC_WOLFHUNTER</v>
      </c>
      <c r="BF351" s="21" t="str">
        <f t="shared" si="36"/>
        <v>, zoneIds={1052,382,382}, veteran=false</v>
      </c>
      <c r="BG351" s="21" t="str">
        <f t="shared" si="37"/>
        <v>, setType=LIBSETS_SETTYPE_DUNGEON</v>
      </c>
      <c r="BH351" s="21" t="str">
        <f t="shared" si="38"/>
        <v>, dropMechanic={LIBSETS_DROP_MECHANIC_GROUP_DUNGEON_BOSS}</v>
      </c>
      <c r="BI351" s="21" t="str">
        <f t="shared" si="39"/>
        <v>}, --Jailer\'s Tenacity / Tenazität des Kerkermeisters   [Moon Hunter Keep, Reaper's March, Reaper's March]</v>
      </c>
    </row>
    <row r="352" spans="1:61" x14ac:dyDescent="0.25">
      <c r="A352" s="12">
        <v>405</v>
      </c>
      <c r="B352" t="s">
        <v>1277</v>
      </c>
      <c r="C352" t="s">
        <v>2619</v>
      </c>
      <c r="D352" s="3">
        <f t="shared" si="34"/>
        <v>405</v>
      </c>
      <c r="E352" s="40"/>
      <c r="G352" s="8" t="s">
        <v>1476</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constants'!$B$4:$C$1012,2,FALSE),"")</f>
        <v>Elsweyr</v>
      </c>
      <c r="V352" s="33" t="s">
        <v>1554</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constants'!$A$5:$D$10001,4,FALSE),"")</f>
        <v>Murkmire</v>
      </c>
      <c r="AB352" s="33" t="s">
        <v>1555</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constants'!$A$5:$D$10001,4,FALSE),"")</f>
        <v>Murkmire</v>
      </c>
      <c r="AH352" s="33" t="s">
        <v>1557</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8" t="s">
        <v>2653</v>
      </c>
      <c r="BA352" s="78"/>
      <c r="BB352" s="78"/>
      <c r="BC352" s="78"/>
      <c r="BD352" s="78"/>
      <c r="BE352" s="21" t="str">
        <f t="shared" si="35"/>
        <v>[405] = {wayshrines={374,374,374,}, dlcId=DLC_ELSWEYR</v>
      </c>
      <c r="BF352" s="21" t="str">
        <f t="shared" si="36"/>
        <v>, zoneIds={726,726,726}, veteran=false</v>
      </c>
      <c r="BG352" s="21" t="str">
        <f t="shared" si="37"/>
        <v>, setType=LIBSETS_SETTYPE_OVERLAND</v>
      </c>
      <c r="BH352" s="21" t="str">
        <f t="shared" si="38"/>
        <v>, dropMechanic={LIBSETS_DROP_MECHANIC_OVERLAND_BOSS_DELVE,LIBSETS_DROP_MECHANIC_OVERLAND_WORLDBOSS,LIBSETS_DROP_MECHANIC_OVERLAND_CHEST}</v>
      </c>
      <c r="BI352" s="21" t="str">
        <f t="shared" si="39"/>
        <v>}, --Bright-Throat\'s Boast / Hellhalsstolz   [Murkmire, Murkmire, Murkmire]</v>
      </c>
    </row>
    <row r="353" spans="1:61" x14ac:dyDescent="0.25">
      <c r="A353" s="12">
        <v>406</v>
      </c>
      <c r="B353" t="s">
        <v>1278</v>
      </c>
      <c r="C353" t="s">
        <v>2620</v>
      </c>
      <c r="D353" s="3">
        <f t="shared" si="34"/>
        <v>406</v>
      </c>
      <c r="G353" s="8" t="s">
        <v>1476</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constants'!$B$4:$C$1012,2,FALSE),"")</f>
        <v>Elsweyr</v>
      </c>
      <c r="V353" s="33" t="s">
        <v>1554</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constants'!$A$5:$D$10001,4,FALSE),"")</f>
        <v>Murkmire</v>
      </c>
      <c r="AB353" s="33" t="s">
        <v>1555</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constants'!$A$5:$D$10001,4,FALSE),"")</f>
        <v>Murkmire</v>
      </c>
      <c r="AH353" s="33" t="s">
        <v>1557</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8" t="s">
        <v>2653</v>
      </c>
      <c r="BA353" s="78"/>
      <c r="BB353" s="78"/>
      <c r="BC353" s="78"/>
      <c r="BD353" s="78"/>
      <c r="BE353" s="21" t="str">
        <f t="shared" si="35"/>
        <v>[406] = {wayshrines={374,374,374,}, dlcId=DLC_ELSWEYR</v>
      </c>
      <c r="BF353" s="21" t="str">
        <f t="shared" si="36"/>
        <v>, zoneIds={726,726,726}, veteran=false</v>
      </c>
      <c r="BG353" s="21" t="str">
        <f t="shared" si="37"/>
        <v>, setType=LIBSETS_SETTYPE_OVERLAND</v>
      </c>
      <c r="BH353" s="21" t="str">
        <f t="shared" si="38"/>
        <v>, dropMechanic={LIBSETS_DROP_MECHANIC_OVERLAND_BOSS_DELVE,LIBSETS_DROP_MECHANIC_OVERLAND_WORLDBOSS,LIBSETS_DROP_MECHANIC_OVERLAND_CHEST}</v>
      </c>
      <c r="BI353" s="21" t="str">
        <f t="shared" si="39"/>
        <v>}, --Dead-Water\'s Guile / Totwassertücke   [Murkmire, Murkmire, Murkmire]</v>
      </c>
    </row>
    <row r="354" spans="1:61" x14ac:dyDescent="0.25">
      <c r="A354" s="12">
        <v>407</v>
      </c>
      <c r="B354" t="s">
        <v>1279</v>
      </c>
      <c r="C354" t="s">
        <v>1280</v>
      </c>
      <c r="D354" s="3">
        <f t="shared" si="34"/>
        <v>407</v>
      </c>
      <c r="E354" s="40"/>
      <c r="G354" s="8" t="s">
        <v>1476</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constants'!$B$4:$C$1012,2,FALSE),"")</f>
        <v>Elsweyr</v>
      </c>
      <c r="V354" s="33" t="s">
        <v>1554</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constants'!$A$5:$D$10001,4,FALSE),"")</f>
        <v>Murkmire</v>
      </c>
      <c r="AB354" s="33" t="s">
        <v>1555</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constants'!$A$5:$D$10001,4,FALSE),"")</f>
        <v>Murkmire</v>
      </c>
      <c r="AH354" s="33" t="s">
        <v>1557</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8" t="s">
        <v>2653</v>
      </c>
      <c r="BA354" s="78"/>
      <c r="BB354" s="78"/>
      <c r="BC354" s="78"/>
      <c r="BD354" s="78"/>
      <c r="BE354" s="21" t="str">
        <f t="shared" si="35"/>
        <v>[407] = {wayshrines={374,374,374,}, dlcId=DLC_ELSWEYR</v>
      </c>
      <c r="BF354" s="21" t="str">
        <f t="shared" si="36"/>
        <v>, zoneIds={726,726,726}, veteran=false</v>
      </c>
      <c r="BG354" s="21" t="str">
        <f t="shared" si="37"/>
        <v>, setType=LIBSETS_SETTYPE_OVERLAND</v>
      </c>
      <c r="BH354" s="21" t="str">
        <f t="shared" si="38"/>
        <v>, dropMechanic={LIBSETS_DROP_MECHANIC_OVERLAND_BOSS_DELVE,LIBSETS_DROP_MECHANIC_OVERLAND_WORLDBOSS,LIBSETS_DROP_MECHANIC_OVERLAND_CHEST}</v>
      </c>
      <c r="BI354" s="21" t="str">
        <f t="shared" si="39"/>
        <v>}, --Champion of the Hist / Histchampion   [Murkmire, Murkmire, Murkmire]</v>
      </c>
    </row>
    <row r="355" spans="1:61" x14ac:dyDescent="0.25">
      <c r="A355" s="5">
        <v>408</v>
      </c>
      <c r="B355" t="s">
        <v>1281</v>
      </c>
      <c r="C355" t="s">
        <v>1282</v>
      </c>
      <c r="D355" s="3">
        <f t="shared" si="34"/>
        <v>408</v>
      </c>
      <c r="G355" s="8" t="s">
        <v>1470</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constants'!$B$4:$C$1012,2,FALSE),"")</f>
        <v>Elsweyr</v>
      </c>
      <c r="V355" s="33" t="s">
        <v>3288</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constants'!$A$5:$D$10001,4,FALSE),"")</f>
        <v>Murkmire</v>
      </c>
      <c r="AB355" s="33" t="s">
        <v>3288</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8" t="s">
        <v>2653</v>
      </c>
      <c r="BA355" s="78"/>
      <c r="BB355" s="78"/>
      <c r="BC355" s="78"/>
      <c r="BD355" s="78"/>
      <c r="BE355" s="21" t="str">
        <f t="shared" si="35"/>
        <v>[408] = {wayshrines={375,375,375,}, traitsNeeded=7, dlcId=DLC_ELSWEYR</v>
      </c>
      <c r="BF355" s="21" t="str">
        <f t="shared" si="36"/>
        <v>, zoneIds={726,726,726}, veteran=false</v>
      </c>
      <c r="BG355" s="21" t="str">
        <f t="shared" si="37"/>
        <v>, setType=LIBSETS_SETTYPE_CRAFTED</v>
      </c>
      <c r="BH355" s="21" t="str">
        <f t="shared" si="38"/>
        <v>, dropMechanic={LIBSETS_DROP_MECHANIC_CRAFTED,LIBSETS_DROP_MECHANIC_CRAFTED}</v>
      </c>
      <c r="BI355" s="21" t="str">
        <f t="shared" si="39"/>
        <v>}, --Grave-Stake Collector / Grabpflocksammler   [Murkmire, Murkmire, Murkmire]</v>
      </c>
    </row>
    <row r="356" spans="1:61" x14ac:dyDescent="0.25">
      <c r="A356" s="5">
        <v>409</v>
      </c>
      <c r="B356" t="s">
        <v>1283</v>
      </c>
      <c r="C356" t="s">
        <v>1284</v>
      </c>
      <c r="D356" s="3">
        <f t="shared" si="34"/>
        <v>409</v>
      </c>
      <c r="G356" s="8" t="s">
        <v>1470</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constants'!$B$4:$C$1012,2,FALSE),"")</f>
        <v>Elsweyr</v>
      </c>
      <c r="V356" s="33" t="s">
        <v>3288</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constants'!$A$5:$D$10001,4,FALSE),"")</f>
        <v>Murkmire</v>
      </c>
      <c r="AB356" s="33" t="s">
        <v>3288</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8" t="s">
        <v>2653</v>
      </c>
      <c r="BA356" s="78"/>
      <c r="BB356" s="78"/>
      <c r="BC356" s="78"/>
      <c r="BD356" s="78"/>
      <c r="BE356" s="21" t="str">
        <f t="shared" si="35"/>
        <v>[409] = {wayshrines={379,379,379,}, traitsNeeded=2, dlcId=DLC_ELSWEYR</v>
      </c>
      <c r="BF356" s="21" t="str">
        <f t="shared" si="36"/>
        <v>, zoneIds={726,726,726}, veteran=false</v>
      </c>
      <c r="BG356" s="21" t="str">
        <f t="shared" si="37"/>
        <v>, setType=LIBSETS_SETTYPE_CRAFTED</v>
      </c>
      <c r="BH356" s="21" t="str">
        <f t="shared" si="38"/>
        <v>, dropMechanic={LIBSETS_DROP_MECHANIC_CRAFTED,LIBSETS_DROP_MECHANIC_CRAFTED}</v>
      </c>
      <c r="BI356" s="21" t="str">
        <f t="shared" si="39"/>
        <v>}, --Naga Shaman / Nagaschamane   [Murkmire, Murkmire, Murkmire]</v>
      </c>
    </row>
    <row r="357" spans="1:61" x14ac:dyDescent="0.25">
      <c r="A357" s="5">
        <v>410</v>
      </c>
      <c r="B357" t="s">
        <v>1285</v>
      </c>
      <c r="C357" t="s">
        <v>1286</v>
      </c>
      <c r="D357" s="3">
        <f t="shared" si="34"/>
        <v>410</v>
      </c>
      <c r="G357" s="8" t="s">
        <v>1470</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constants'!$B$4:$C$1012,2,FALSE),"")</f>
        <v>Elsweyr</v>
      </c>
      <c r="V357" s="33" t="s">
        <v>3288</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constants'!$A$5:$D$10001,4,FALSE),"")</f>
        <v>Murkmire</v>
      </c>
      <c r="AB357" s="33" t="s">
        <v>3288</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8" t="s">
        <v>2653</v>
      </c>
      <c r="BA357" s="78"/>
      <c r="BB357" s="78"/>
      <c r="BC357" s="78"/>
      <c r="BD357" s="78"/>
      <c r="BE357" s="21" t="str">
        <f t="shared" si="35"/>
        <v>[410] = {wayshrines={379,379,379,}, traitsNeeded=4, dlcId=DLC_ELSWEYR</v>
      </c>
      <c r="BF357" s="21" t="str">
        <f t="shared" si="36"/>
        <v>, zoneIds={726,726,726}, veteran=false</v>
      </c>
      <c r="BG357" s="21" t="str">
        <f t="shared" si="37"/>
        <v>, setType=LIBSETS_SETTYPE_CRAFTED</v>
      </c>
      <c r="BH357" s="21" t="str">
        <f t="shared" si="38"/>
        <v>, dropMechanic={LIBSETS_DROP_MECHANIC_CRAFTED,LIBSETS_DROP_MECHANIC_CRAFTED}</v>
      </c>
      <c r="BI357" s="21" t="str">
        <f t="shared" si="39"/>
        <v>}, --Might of the Lost Legion / Macht der Verlorenen Legion   [Murkmire, Murkmire, Murkmire]</v>
      </c>
    </row>
    <row r="358" spans="1:61" x14ac:dyDescent="0.25">
      <c r="A358" s="12">
        <v>411</v>
      </c>
      <c r="B358" t="s">
        <v>1287</v>
      </c>
      <c r="C358" t="s">
        <v>1288</v>
      </c>
      <c r="D358" s="3">
        <f t="shared" si="34"/>
        <v>411</v>
      </c>
      <c r="G358" s="8" t="s">
        <v>1468</v>
      </c>
      <c r="I358" t="s">
        <v>91</v>
      </c>
      <c r="J358" t="s">
        <v>91</v>
      </c>
      <c r="K358">
        <v>378</v>
      </c>
      <c r="L358">
        <v>378</v>
      </c>
      <c r="M358">
        <v>378</v>
      </c>
      <c r="O358" s="61" t="s">
        <v>719</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constants'!$H$3:$K$9989,4,FALSE)),""))</f>
        <v>DLC_BLACKWOOD</v>
      </c>
      <c r="U358" s="3" t="str">
        <f>IF(T358&lt;&gt;"",VLOOKUP(T358,'LibSets constants'!$B$4:$C$1012,2,FALSE),"")</f>
        <v>Blackwood</v>
      </c>
      <c r="V358" s="33" t="s">
        <v>1550</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constants'!$A$5:$D$10001,4,FALSE),"")</f>
        <v>Murkmire</v>
      </c>
      <c r="AB358" s="33" t="s">
        <v>1550</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8" t="s">
        <v>2653</v>
      </c>
      <c r="BA358" s="78"/>
      <c r="BB358" s="78"/>
      <c r="BC358" s="78"/>
      <c r="BD358" s="78">
        <v>423</v>
      </c>
      <c r="BE358" s="21" t="str">
        <f t="shared" si="35"/>
        <v>[411] = {wayshrines={378,378,378,}, dlcId=DLC_BLACKWOOD</v>
      </c>
      <c r="BF358" s="21" t="str">
        <f t="shared" si="36"/>
        <v>, zoneIds={1082,726,726}, veteran=false</v>
      </c>
      <c r="BG358" s="21" t="str">
        <f t="shared" si="37"/>
        <v>, setType=LIBSETS_SETTYPE_ARENA</v>
      </c>
      <c r="BH358" s="21" t="str">
        <f t="shared" si="38"/>
        <v>, dropMechanic={LIBSETS_DROP_MECHANIC_ARENA_STAGE_CHEST,LIBSETS_DROP_MECHANIC_ARENA_STAGE_CHEST}, perfectedSetId=423</v>
      </c>
      <c r="BI358" s="21" t="str">
        <f t="shared" si="39"/>
        <v>}, --Gallant Charge / Galanter Ansturm   [Blackrose Prison, Murkmire, Murkmire]</v>
      </c>
    </row>
    <row r="359" spans="1:61" x14ac:dyDescent="0.25">
      <c r="A359" s="12">
        <v>412</v>
      </c>
      <c r="B359" t="s">
        <v>1289</v>
      </c>
      <c r="C359" t="s">
        <v>1290</v>
      </c>
      <c r="D359" s="3">
        <f t="shared" si="34"/>
        <v>412</v>
      </c>
      <c r="G359" s="8" t="s">
        <v>1468</v>
      </c>
      <c r="I359" t="s">
        <v>91</v>
      </c>
      <c r="J359" t="s">
        <v>91</v>
      </c>
      <c r="K359">
        <v>378</v>
      </c>
      <c r="L359">
        <v>378</v>
      </c>
      <c r="M359">
        <v>378</v>
      </c>
      <c r="O359" s="61" t="s">
        <v>719</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constants'!$H$3:$K$9989,4,FALSE)),""))</f>
        <v>DLC_BLACKWOOD</v>
      </c>
      <c r="U359" s="3" t="str">
        <f>IF(T359&lt;&gt;"",VLOOKUP(T359,'LibSets constants'!$B$4:$C$1012,2,FALSE),"")</f>
        <v>Blackwood</v>
      </c>
      <c r="V359" s="33" t="s">
        <v>1550</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constants'!$A$5:$D$10001,4,FALSE),"")</f>
        <v>Murkmire</v>
      </c>
      <c r="AB359" s="33" t="s">
        <v>1550</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8" t="s">
        <v>2653</v>
      </c>
      <c r="BA359" s="78"/>
      <c r="BB359" s="78"/>
      <c r="BC359" s="78"/>
      <c r="BD359" s="78">
        <v>424</v>
      </c>
      <c r="BE359" s="21" t="str">
        <f t="shared" si="35"/>
        <v>[412] = {wayshrines={378,378,378,}, dlcId=DLC_BLACKWOOD</v>
      </c>
      <c r="BF359" s="21" t="str">
        <f t="shared" si="36"/>
        <v>, zoneIds={1082,726,726}, veteran=false</v>
      </c>
      <c r="BG359" s="21" t="str">
        <f t="shared" si="37"/>
        <v>, setType=LIBSETS_SETTYPE_ARENA</v>
      </c>
      <c r="BH359" s="21" t="str">
        <f t="shared" si="38"/>
        <v>, dropMechanic={LIBSETS_DROP_MECHANIC_ARENA_STAGE_CHEST,LIBSETS_DROP_MECHANIC_ARENA_STAGE_CHEST}, perfectedSetId=424</v>
      </c>
      <c r="BI359" s="21" t="str">
        <f t="shared" si="39"/>
        <v>}, --Radial Uppercut / Rundum-Aufwärtsschnitt   [Blackrose Prison, Murkmire, Murkmire]</v>
      </c>
    </row>
    <row r="360" spans="1:61" x14ac:dyDescent="0.25">
      <c r="A360" s="12">
        <v>413</v>
      </c>
      <c r="B360" t="s">
        <v>1291</v>
      </c>
      <c r="C360" t="s">
        <v>1292</v>
      </c>
      <c r="D360" s="3">
        <f t="shared" si="34"/>
        <v>413</v>
      </c>
      <c r="G360" s="8" t="s">
        <v>1468</v>
      </c>
      <c r="I360" t="s">
        <v>91</v>
      </c>
      <c r="J360" t="s">
        <v>91</v>
      </c>
      <c r="K360">
        <v>378</v>
      </c>
      <c r="L360">
        <v>378</v>
      </c>
      <c r="M360">
        <v>378</v>
      </c>
      <c r="O360" s="61" t="s">
        <v>719</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constants'!$H$3:$K$9989,4,FALSE)),""))</f>
        <v>DLC_BLACKWOOD</v>
      </c>
      <c r="U360" s="3" t="str">
        <f>IF(T360&lt;&gt;"",VLOOKUP(T360,'LibSets constants'!$B$4:$C$1012,2,FALSE),"")</f>
        <v>Blackwood</v>
      </c>
      <c r="V360" s="33" t="s">
        <v>1550</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constants'!$A$5:$D$10001,4,FALSE),"")</f>
        <v>Murkmire</v>
      </c>
      <c r="AB360" s="33" t="s">
        <v>1550</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8" t="s">
        <v>2653</v>
      </c>
      <c r="BA360" s="78"/>
      <c r="BB360" s="78"/>
      <c r="BC360" s="78"/>
      <c r="BD360" s="78">
        <v>425</v>
      </c>
      <c r="BE360" s="21" t="str">
        <f t="shared" si="35"/>
        <v>[413] = {wayshrines={378,378,378,}, dlcId=DLC_BLACKWOOD</v>
      </c>
      <c r="BF360" s="21" t="str">
        <f t="shared" si="36"/>
        <v>, zoneIds={1082,726,726}, veteran=false</v>
      </c>
      <c r="BG360" s="21" t="str">
        <f t="shared" si="37"/>
        <v>, setType=LIBSETS_SETTYPE_ARENA</v>
      </c>
      <c r="BH360" s="21" t="str">
        <f t="shared" si="38"/>
        <v>, dropMechanic={LIBSETS_DROP_MECHANIC_ARENA_STAGE_CHEST,LIBSETS_DROP_MECHANIC_ARENA_STAGE_CHEST}, perfectedSetId=425</v>
      </c>
      <c r="BI360" s="21" t="str">
        <f t="shared" si="39"/>
        <v>}, --Spectral Cloak / Spektraler Mantel   [Blackrose Prison, Murkmire, Murkmire]</v>
      </c>
    </row>
    <row r="361" spans="1:61" x14ac:dyDescent="0.25">
      <c r="A361" s="12">
        <v>414</v>
      </c>
      <c r="B361" t="s">
        <v>1293</v>
      </c>
      <c r="C361" t="s">
        <v>1294</v>
      </c>
      <c r="D361" s="3">
        <f t="shared" si="34"/>
        <v>414</v>
      </c>
      <c r="G361" s="8" t="s">
        <v>1468</v>
      </c>
      <c r="I361" t="s">
        <v>91</v>
      </c>
      <c r="J361" t="s">
        <v>91</v>
      </c>
      <c r="K361">
        <v>378</v>
      </c>
      <c r="L361">
        <v>378</v>
      </c>
      <c r="M361">
        <v>378</v>
      </c>
      <c r="O361" s="61" t="s">
        <v>719</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constants'!$H$3:$K$9989,4,FALSE)),""))</f>
        <v>DLC_BLACKWOOD</v>
      </c>
      <c r="U361" s="3" t="str">
        <f>IF(T361&lt;&gt;"",VLOOKUP(T361,'LibSets constants'!$B$4:$C$1012,2,FALSE),"")</f>
        <v>Blackwood</v>
      </c>
      <c r="V361" s="33" t="s">
        <v>1550</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constants'!$A$5:$D$10001,4,FALSE),"")</f>
        <v>Murkmire</v>
      </c>
      <c r="AB361" s="33" t="s">
        <v>1550</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8" t="s">
        <v>2653</v>
      </c>
      <c r="BA361" s="78"/>
      <c r="BB361" s="78"/>
      <c r="BC361" s="78"/>
      <c r="BD361" s="78">
        <v>426</v>
      </c>
      <c r="BE361" s="21" t="str">
        <f t="shared" si="35"/>
        <v>[414] = {wayshrines={378,378,378,}, dlcId=DLC_BLACKWOOD</v>
      </c>
      <c r="BF361" s="21" t="str">
        <f t="shared" si="36"/>
        <v>, zoneIds={1082,726,726}, veteran=false</v>
      </c>
      <c r="BG361" s="21" t="str">
        <f t="shared" si="37"/>
        <v>, setType=LIBSETS_SETTYPE_ARENA</v>
      </c>
      <c r="BH361" s="21" t="str">
        <f t="shared" si="38"/>
        <v>, dropMechanic={LIBSETS_DROP_MECHANIC_ARENA_STAGE_CHEST,LIBSETS_DROP_MECHANIC_ARENA_STAGE_CHEST}, perfectedSetId=426</v>
      </c>
      <c r="BI361" s="21" t="str">
        <f t="shared" si="39"/>
        <v>}, --Virulent Shot / Virulenter Schuss   [Blackrose Prison, Murkmire, Murkmire]</v>
      </c>
    </row>
    <row r="362" spans="1:61" x14ac:dyDescent="0.25">
      <c r="A362" s="12">
        <v>415</v>
      </c>
      <c r="B362" t="s">
        <v>1295</v>
      </c>
      <c r="C362" t="s">
        <v>1296</v>
      </c>
      <c r="D362" s="3">
        <f t="shared" si="34"/>
        <v>415</v>
      </c>
      <c r="G362" s="8" t="s">
        <v>1468</v>
      </c>
      <c r="I362" t="s">
        <v>91</v>
      </c>
      <c r="J362" t="s">
        <v>91</v>
      </c>
      <c r="K362">
        <v>378</v>
      </c>
      <c r="L362">
        <v>378</v>
      </c>
      <c r="M362">
        <v>378</v>
      </c>
      <c r="O362" s="61" t="s">
        <v>719</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constants'!$H$3:$K$9989,4,FALSE)),""))</f>
        <v>DLC_BLACKWOOD</v>
      </c>
      <c r="U362" s="3" t="str">
        <f>IF(T362&lt;&gt;"",VLOOKUP(T362,'LibSets constants'!$B$4:$C$1012,2,FALSE),"")</f>
        <v>Blackwood</v>
      </c>
      <c r="V362" s="33" t="s">
        <v>1550</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constants'!$A$5:$D$10001,4,FALSE),"")</f>
        <v>Murkmire</v>
      </c>
      <c r="AB362" s="33" t="s">
        <v>1550</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8" t="s">
        <v>2653</v>
      </c>
      <c r="BA362" s="78"/>
      <c r="BB362" s="78"/>
      <c r="BC362" s="78"/>
      <c r="BD362" s="78">
        <v>427</v>
      </c>
      <c r="BE362" s="21" t="str">
        <f t="shared" si="35"/>
        <v>[415] = {wayshrines={378,378,378,}, dlcId=DLC_BLACKWOOD</v>
      </c>
      <c r="BF362" s="21" t="str">
        <f t="shared" si="36"/>
        <v>, zoneIds={1082,726,726}, veteran=false</v>
      </c>
      <c r="BG362" s="21" t="str">
        <f t="shared" si="37"/>
        <v>, setType=LIBSETS_SETTYPE_ARENA</v>
      </c>
      <c r="BH362" s="21" t="str">
        <f t="shared" si="38"/>
        <v>, dropMechanic={LIBSETS_DROP_MECHANIC_ARENA_STAGE_CHEST,LIBSETS_DROP_MECHANIC_ARENA_STAGE_CHEST}, perfectedSetId=427</v>
      </c>
      <c r="BI362" s="21" t="str">
        <f t="shared" si="39"/>
        <v>}, --Wild Impulse / Wilder Impuls   [Blackrose Prison, Murkmire, Murkmire]</v>
      </c>
    </row>
    <row r="363" spans="1:61" x14ac:dyDescent="0.25">
      <c r="A363" s="12">
        <v>416</v>
      </c>
      <c r="B363" t="s">
        <v>1297</v>
      </c>
      <c r="C363" t="s">
        <v>2621</v>
      </c>
      <c r="D363" s="3">
        <f t="shared" si="34"/>
        <v>416</v>
      </c>
      <c r="G363" s="8" t="s">
        <v>1468</v>
      </c>
      <c r="I363" t="s">
        <v>91</v>
      </c>
      <c r="J363" t="s">
        <v>91</v>
      </c>
      <c r="K363">
        <v>378</v>
      </c>
      <c r="L363">
        <v>378</v>
      </c>
      <c r="M363">
        <v>378</v>
      </c>
      <c r="O363" s="61" t="s">
        <v>719</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constants'!$H$3:$K$9989,4,FALSE)),""))</f>
        <v>DLC_BLACKWOOD</v>
      </c>
      <c r="U363" s="3" t="str">
        <f>IF(T363&lt;&gt;"",VLOOKUP(T363,'LibSets constants'!$B$4:$C$1012,2,FALSE),"")</f>
        <v>Blackwood</v>
      </c>
      <c r="V363" s="33" t="s">
        <v>1550</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constants'!$A$5:$D$10001,4,FALSE),"")</f>
        <v>Murkmire</v>
      </c>
      <c r="AB363" s="33" t="s">
        <v>1550</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8" t="s">
        <v>2653</v>
      </c>
      <c r="BA363" s="78"/>
      <c r="BB363" s="78"/>
      <c r="BC363" s="78"/>
      <c r="BD363" s="78">
        <v>428</v>
      </c>
      <c r="BE363" s="21" t="str">
        <f t="shared" si="35"/>
        <v>[416] = {wayshrines={378,378,378,}, dlcId=DLC_BLACKWOOD</v>
      </c>
      <c r="BF363" s="21" t="str">
        <f t="shared" si="36"/>
        <v>, zoneIds={1082,726,726}, veteran=false</v>
      </c>
      <c r="BG363" s="21" t="str">
        <f t="shared" si="37"/>
        <v>, setType=LIBSETS_SETTYPE_ARENA</v>
      </c>
      <c r="BH363" s="21" t="str">
        <f t="shared" si="38"/>
        <v>, dropMechanic={LIBSETS_DROP_MECHANIC_ARENA_STAGE_CHEST,LIBSETS_DROP_MECHANIC_ARENA_STAGE_CHEST}, perfectedSetId=428</v>
      </c>
      <c r="BI363" s="21" t="str">
        <f t="shared" si="39"/>
        <v>}, --Mender\'s Ward / Schutz des Pflegers   [Blackrose Prison, Murkmire, Murkmire]</v>
      </c>
    </row>
    <row r="364" spans="1:61" x14ac:dyDescent="0.25">
      <c r="A364" s="12">
        <v>417</v>
      </c>
      <c r="B364" t="s">
        <v>1298</v>
      </c>
      <c r="C364" t="s">
        <v>1299</v>
      </c>
      <c r="D364" s="3">
        <f t="shared" si="34"/>
        <v>417</v>
      </c>
      <c r="G364" s="8" t="s">
        <v>1471</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constants'!$B$4:$C$1012,2,FALSE),"")</f>
        <v>Included in base game</v>
      </c>
      <c r="V364" s="33" t="s">
        <v>1535</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constants'!$A$5:$D$10001,4,FALSE),"")</f>
        <v>Cyrodiil</v>
      </c>
      <c r="AB364" s="33" t="s">
        <v>3737</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constants'!$A$5:$D$10001,4,FALSE),"")</f>
        <v>Cyrodiil</v>
      </c>
      <c r="AH364" s="33" t="s">
        <v>2765</v>
      </c>
      <c r="AK364" s="3">
        <f>IF(AND(G364&lt;&gt;"LIBSETS_SETTYPE_BATTLEGROUND",G364&lt;&gt;"LIBSETS_SETTYPE_SPECIAL"),IF(AL364&lt;&gt;"",VLOOKUP(AL364,'ESO zone constants'!$D$5:$H$4955,5,FALSE),""),"")</f>
        <v>181</v>
      </c>
      <c r="AL364" t="s">
        <v>125</v>
      </c>
      <c r="AM364" s="33" t="s">
        <v>3740</v>
      </c>
      <c r="AP364" s="3">
        <f>IF(AND(G364&lt;&gt;"LIBSETS_SETTYPE_BATTLEGROUND",G364&lt;&gt;"LIBSETS_SETTYPE_SPECIAL"),IF(AQ364&lt;&gt;"",VLOOKUP(AQ364,'ESO zone constants'!$D$5:$H$4955,5,FALSE),""),"")</f>
        <v>181</v>
      </c>
      <c r="AQ364" t="s">
        <v>125</v>
      </c>
      <c r="AR364" s="33" t="s">
        <v>1554</v>
      </c>
      <c r="AU364" s="3">
        <f>IF(AND(G364&lt;&gt;"LIBSETS_SETTYPE_BATTLEGROUND",G364&lt;&gt;"LIBSETS_SETTYPE_SPECIAL"),IF(AV364&lt;&gt;"",VLOOKUP(AV364,'ESO zone constants'!$D$5:$H$4955,5,FALSE),""),"")</f>
        <v>181</v>
      </c>
      <c r="AV364" t="s">
        <v>125</v>
      </c>
      <c r="AW364" s="33" t="s">
        <v>3236</v>
      </c>
      <c r="AZ364" s="78" t="s">
        <v>2653</v>
      </c>
      <c r="BA364" s="78"/>
      <c r="BB364" s="78"/>
      <c r="BC364" s="78"/>
      <c r="BD364" s="78"/>
      <c r="BE364" s="21" t="str">
        <f t="shared" si="35"/>
        <v>[417] = {wayshrines={-1,-1,-1,}, dlcId=DLC_BASE_GAME</v>
      </c>
      <c r="BF364" s="21" t="str">
        <f t="shared" si="36"/>
        <v>, zoneIds={181,181,181,181,181,181}, veteran=false</v>
      </c>
      <c r="BG364" s="21" t="str">
        <f t="shared" si="37"/>
        <v>, setType=LIBSETS_SETTYPE_CYRODIIL</v>
      </c>
      <c r="BH364"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 t="shared" si="39"/>
        <v>}, --Indomitable Fury / Unbeugsamer Zorn   [Cyrodiil, Cyrodiil, Cyrodiil, Cyrodiil, Cyrodiil, Cyrodiil]</v>
      </c>
    </row>
    <row r="365" spans="1:61" x14ac:dyDescent="0.25">
      <c r="A365" s="12">
        <v>418</v>
      </c>
      <c r="B365" t="s">
        <v>1300</v>
      </c>
      <c r="C365" t="s">
        <v>1301</v>
      </c>
      <c r="D365" s="3">
        <f t="shared" si="34"/>
        <v>418</v>
      </c>
      <c r="G365" s="8" t="s">
        <v>1471</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constants'!$B$4:$C$1012,2,FALSE),"")</f>
        <v>Included in base game</v>
      </c>
      <c r="V365" s="33" t="s">
        <v>1535</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constants'!$A$5:$D$10001,4,FALSE),"")</f>
        <v>Cyrodiil</v>
      </c>
      <c r="AB365" s="33" t="s">
        <v>3737</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constants'!$A$5:$D$10001,4,FALSE),"")</f>
        <v>Cyrodiil</v>
      </c>
      <c r="AH365" s="33" t="s">
        <v>2765</v>
      </c>
      <c r="AK365" s="3">
        <f>IF(AND(G365&lt;&gt;"LIBSETS_SETTYPE_BATTLEGROUND",G365&lt;&gt;"LIBSETS_SETTYPE_SPECIAL"),IF(AL365&lt;&gt;"",VLOOKUP(AL365,'ESO zone constants'!$D$5:$H$4955,5,FALSE),""),"")</f>
        <v>181</v>
      </c>
      <c r="AL365" t="s">
        <v>125</v>
      </c>
      <c r="AM365" s="33" t="s">
        <v>3740</v>
      </c>
      <c r="AP365" s="3">
        <f>IF(AND(G365&lt;&gt;"LIBSETS_SETTYPE_BATTLEGROUND",G365&lt;&gt;"LIBSETS_SETTYPE_SPECIAL"),IF(AQ365&lt;&gt;"",VLOOKUP(AQ365,'ESO zone constants'!$D$5:$H$4955,5,FALSE),""),"")</f>
        <v>181</v>
      </c>
      <c r="AQ365" t="s">
        <v>125</v>
      </c>
      <c r="AR365" s="33" t="s">
        <v>1554</v>
      </c>
      <c r="AU365" s="3">
        <f>IF(AND(G365&lt;&gt;"LIBSETS_SETTYPE_BATTLEGROUND",G365&lt;&gt;"LIBSETS_SETTYPE_SPECIAL"),IF(AV365&lt;&gt;"",VLOOKUP(AV365,'ESO zone constants'!$D$5:$H$4955,5,FALSE),""),"")</f>
        <v>181</v>
      </c>
      <c r="AV365" t="s">
        <v>125</v>
      </c>
      <c r="AW365" s="33" t="s">
        <v>3236</v>
      </c>
      <c r="AZ365" s="78" t="s">
        <v>2653</v>
      </c>
      <c r="BA365" s="78"/>
      <c r="BB365" s="78"/>
      <c r="BC365" s="78"/>
      <c r="BD365" s="78"/>
      <c r="BE365" s="21" t="str">
        <f t="shared" si="35"/>
        <v>[418] = {wayshrines={-1,-1,-1,}, dlcId=DLC_BASE_GAME</v>
      </c>
      <c r="BF365" s="21" t="str">
        <f t="shared" si="36"/>
        <v>, zoneIds={181,181,181,181,181,181}, veteran=false</v>
      </c>
      <c r="BG365" s="21" t="str">
        <f t="shared" si="37"/>
        <v>, setType=LIBSETS_SETTYPE_CYRODIIL</v>
      </c>
      <c r="BH365"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 t="shared" si="39"/>
        <v>}, --Spell Strategist / Zauberstratege   [Cyrodiil, Cyrodiil, Cyrodiil, Cyrodiil, Cyrodiil, Cyrodiil]</v>
      </c>
    </row>
    <row r="366" spans="1:61" x14ac:dyDescent="0.25">
      <c r="A366" s="12">
        <v>419</v>
      </c>
      <c r="B366" t="s">
        <v>1302</v>
      </c>
      <c r="C366" t="s">
        <v>1303</v>
      </c>
      <c r="D366" s="3">
        <f t="shared" si="34"/>
        <v>419</v>
      </c>
      <c r="E366" s="40"/>
      <c r="G366" s="8" t="s">
        <v>1471</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constants'!$B$4:$C$1012,2,FALSE),"")</f>
        <v>Included in base game</v>
      </c>
      <c r="V366" s="33" t="s">
        <v>1535</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constants'!$A$5:$D$10001,4,FALSE),"")</f>
        <v>Cyrodiil</v>
      </c>
      <c r="AB366" s="33" t="s">
        <v>3737</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constants'!$A$5:$D$10001,4,FALSE),"")</f>
        <v>Cyrodiil</v>
      </c>
      <c r="AH366" s="33" t="s">
        <v>2765</v>
      </c>
      <c r="AK366" s="3">
        <f>IF(AND(G366&lt;&gt;"LIBSETS_SETTYPE_BATTLEGROUND",G366&lt;&gt;"LIBSETS_SETTYPE_SPECIAL"),IF(AL366&lt;&gt;"",VLOOKUP(AL366,'ESO zone constants'!$D$5:$H$4955,5,FALSE),""),"")</f>
        <v>181</v>
      </c>
      <c r="AL366" t="s">
        <v>125</v>
      </c>
      <c r="AM366" s="33" t="s">
        <v>3740</v>
      </c>
      <c r="AP366" s="3">
        <f>IF(AND(G366&lt;&gt;"LIBSETS_SETTYPE_BATTLEGROUND",G366&lt;&gt;"LIBSETS_SETTYPE_SPECIAL"),IF(AQ366&lt;&gt;"",VLOOKUP(AQ366,'ESO zone constants'!$D$5:$H$4955,5,FALSE),""),"")</f>
        <v>181</v>
      </c>
      <c r="AQ366" t="s">
        <v>125</v>
      </c>
      <c r="AR366" s="33" t="s">
        <v>1554</v>
      </c>
      <c r="AU366" s="3">
        <f>IF(AND(G366&lt;&gt;"LIBSETS_SETTYPE_BATTLEGROUND",G366&lt;&gt;"LIBSETS_SETTYPE_SPECIAL"),IF(AV366&lt;&gt;"",VLOOKUP(AV366,'ESO zone constants'!$D$5:$H$4955,5,FALSE),""),"")</f>
        <v>181</v>
      </c>
      <c r="AV366" t="s">
        <v>125</v>
      </c>
      <c r="AW366" s="33" t="s">
        <v>3236</v>
      </c>
      <c r="AZ366" s="78" t="s">
        <v>2654</v>
      </c>
      <c r="BA366" s="78"/>
      <c r="BB366" s="78"/>
      <c r="BC366" s="78"/>
      <c r="BD366" s="78"/>
      <c r="BE366" s="21" t="str">
        <f t="shared" si="35"/>
        <v>[419] = {wayshrines={-1,-1,-1,}, dlcId=DLC_BASE_GAME</v>
      </c>
      <c r="BF366" s="21" t="str">
        <f t="shared" si="36"/>
        <v>, zoneIds={181,181,181,181,181,181}, veteran=false</v>
      </c>
      <c r="BG366" s="21" t="str">
        <f t="shared" si="37"/>
        <v>, setType=LIBSETS_SETTYPE_CYRODIIL</v>
      </c>
      <c r="BH366" s="21" t="str">
        <f t="shared" si="38"/>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 t="shared" si="39"/>
        <v>}, --Battlefield Acrobat / Schlachtfeldakrobat   [Cyrodiil, Cyrodiil, Cyrodiil, Cyrodiil, Cyrodiil, Cyrodiil]</v>
      </c>
    </row>
    <row r="367" spans="1:61" x14ac:dyDescent="0.25">
      <c r="A367" s="12">
        <v>420</v>
      </c>
      <c r="B367" t="s">
        <v>1304</v>
      </c>
      <c r="C367" t="s">
        <v>1305</v>
      </c>
      <c r="D367" s="3">
        <f t="shared" si="34"/>
        <v>420</v>
      </c>
      <c r="G367" s="8" t="s">
        <v>1471</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constants'!$B$4:$C$1012,2,FALSE),"")</f>
        <v>Included in base game</v>
      </c>
      <c r="V367" s="33" t="s">
        <v>1535</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constants'!$A$5:$D$10001,4,FALSE),"")</f>
        <v>Cyrodiil</v>
      </c>
      <c r="AB367" s="33" t="s">
        <v>3737</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constants'!$A$5:$D$10001,4,FALSE),"")</f>
        <v>Cyrodiil</v>
      </c>
      <c r="AH367" s="33" t="s">
        <v>2765</v>
      </c>
      <c r="AK367" s="3">
        <f>IF(AND(G367&lt;&gt;"LIBSETS_SETTYPE_BATTLEGROUND",G367&lt;&gt;"LIBSETS_SETTYPE_SPECIAL"),IF(AL367&lt;&gt;"",VLOOKUP(AL367,'ESO zone constants'!$D$5:$H$4955,5,FALSE),""),"")</f>
        <v>181</v>
      </c>
      <c r="AL367" t="s">
        <v>125</v>
      </c>
      <c r="AM367" s="33" t="s">
        <v>3740</v>
      </c>
      <c r="AP367" s="3">
        <f>IF(AND(G367&lt;&gt;"LIBSETS_SETTYPE_BATTLEGROUND",G367&lt;&gt;"LIBSETS_SETTYPE_SPECIAL"),IF(AQ367&lt;&gt;"",VLOOKUP(AQ367,'ESO zone constants'!$D$5:$H$4955,5,FALSE),""),"")</f>
        <v>181</v>
      </c>
      <c r="AQ367" t="s">
        <v>125</v>
      </c>
      <c r="AR367" s="33" t="s">
        <v>1554</v>
      </c>
      <c r="AU367" s="3">
        <f>IF(AND(G367&lt;&gt;"LIBSETS_SETTYPE_BATTLEGROUND",G367&lt;&gt;"LIBSETS_SETTYPE_SPECIAL"),IF(AV367&lt;&gt;"",VLOOKUP(AV367,'ESO zone constants'!$D$5:$H$4955,5,FALSE),""),"")</f>
        <v>181</v>
      </c>
      <c r="AV367" t="s">
        <v>125</v>
      </c>
      <c r="AW367" s="33" t="s">
        <v>3236</v>
      </c>
      <c r="AZ367" s="78" t="s">
        <v>2653</v>
      </c>
      <c r="BA367" s="78"/>
      <c r="BB367" s="78"/>
      <c r="BC367" s="78"/>
      <c r="BD367" s="78"/>
      <c r="BE367" s="21" t="str">
        <f t="shared" si="35"/>
        <v>[420] = {wayshrines={-1,-1,-1,}, dlcId=DLC_BASE_GAME</v>
      </c>
      <c r="BF367" s="21" t="str">
        <f t="shared" si="36"/>
        <v>, zoneIds={181,181,181,181,181,181}, veteran=false</v>
      </c>
      <c r="BG367" s="21" t="str">
        <f t="shared" si="37"/>
        <v>, setType=LIBSETS_SETTYPE_CYRODIIL</v>
      </c>
      <c r="BH367"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 t="shared" si="39"/>
        <v>}, --Soldier of Anguish / Soldat der Pein   [Cyrodiil, Cyrodiil, Cyrodiil, Cyrodiil, Cyrodiil, Cyrodiil]</v>
      </c>
    </row>
    <row r="368" spans="1:61" x14ac:dyDescent="0.25">
      <c r="A368" s="12">
        <v>421</v>
      </c>
      <c r="B368" t="s">
        <v>1306</v>
      </c>
      <c r="C368" t="s">
        <v>1307</v>
      </c>
      <c r="D368" s="3">
        <f t="shared" si="34"/>
        <v>421</v>
      </c>
      <c r="G368" s="8" t="s">
        <v>1471</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constants'!$B$4:$C$1012,2,FALSE),"")</f>
        <v>Included in base game</v>
      </c>
      <c r="V368" s="33" t="s">
        <v>1535</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constants'!$A$5:$D$10001,4,FALSE),"")</f>
        <v>Cyrodiil</v>
      </c>
      <c r="AB368" s="33" t="s">
        <v>3737</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constants'!$A$5:$D$10001,4,FALSE),"")</f>
        <v>Cyrodiil</v>
      </c>
      <c r="AH368" s="33" t="s">
        <v>2765</v>
      </c>
      <c r="AK368" s="3">
        <f>IF(AND(G368&lt;&gt;"LIBSETS_SETTYPE_BATTLEGROUND",G368&lt;&gt;"LIBSETS_SETTYPE_SPECIAL"),IF(AL368&lt;&gt;"",VLOOKUP(AL368,'ESO zone constants'!$D$5:$H$4955,5,FALSE),""),"")</f>
        <v>181</v>
      </c>
      <c r="AL368" t="s">
        <v>125</v>
      </c>
      <c r="AM368" s="33" t="s">
        <v>3740</v>
      </c>
      <c r="AP368" s="3">
        <f>IF(AND(G368&lt;&gt;"LIBSETS_SETTYPE_BATTLEGROUND",G368&lt;&gt;"LIBSETS_SETTYPE_SPECIAL"),IF(AQ368&lt;&gt;"",VLOOKUP(AQ368,'ESO zone constants'!$D$5:$H$4955,5,FALSE),""),"")</f>
        <v>181</v>
      </c>
      <c r="AQ368" t="s">
        <v>125</v>
      </c>
      <c r="AR368" s="33" t="s">
        <v>1554</v>
      </c>
      <c r="AU368" s="3">
        <f>IF(AND(G368&lt;&gt;"LIBSETS_SETTYPE_BATTLEGROUND",G368&lt;&gt;"LIBSETS_SETTYPE_SPECIAL"),IF(AV368&lt;&gt;"",VLOOKUP(AV368,'ESO zone constants'!$D$5:$H$4955,5,FALSE),""),"")</f>
        <v>181</v>
      </c>
      <c r="AV368" t="s">
        <v>125</v>
      </c>
      <c r="AW368" s="33" t="s">
        <v>3236</v>
      </c>
      <c r="AZ368" s="78" t="s">
        <v>2653</v>
      </c>
      <c r="BA368" s="78"/>
      <c r="BB368" s="78"/>
      <c r="BC368" s="78"/>
      <c r="BD368" s="78"/>
      <c r="BE368" s="21" t="str">
        <f t="shared" si="35"/>
        <v>[421] = {wayshrines={-1,-1,-1,}, dlcId=DLC_BASE_GAME</v>
      </c>
      <c r="BF368" s="21" t="str">
        <f t="shared" si="36"/>
        <v>, zoneIds={181,181,181,181,181,181}, veteran=false</v>
      </c>
      <c r="BG368" s="21" t="str">
        <f t="shared" si="37"/>
        <v>, setType=LIBSETS_SETTYPE_CYRODIIL</v>
      </c>
      <c r="BH368"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 t="shared" si="39"/>
        <v>}, --Steadfast Hero / Standhafter Held   [Cyrodiil, Cyrodiil, Cyrodiil, Cyrodiil, Cyrodiil, Cyrodiil]</v>
      </c>
    </row>
    <row r="369" spans="1:61" x14ac:dyDescent="0.25">
      <c r="A369" s="12">
        <v>422</v>
      </c>
      <c r="B369" t="s">
        <v>1308</v>
      </c>
      <c r="C369" t="s">
        <v>1309</v>
      </c>
      <c r="D369" s="3">
        <f t="shared" si="34"/>
        <v>422</v>
      </c>
      <c r="E369" s="40"/>
      <c r="G369" s="8" t="s">
        <v>1471</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constants'!$B$4:$C$1012,2,FALSE),"")</f>
        <v>Included in base game</v>
      </c>
      <c r="V369" s="33" t="s">
        <v>1535</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constants'!$A$5:$D$10001,4,FALSE),"")</f>
        <v>Cyrodiil</v>
      </c>
      <c r="AB369" s="33" t="s">
        <v>3737</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constants'!$A$5:$D$10001,4,FALSE),"")</f>
        <v>Cyrodiil</v>
      </c>
      <c r="AH369" s="33" t="s">
        <v>2765</v>
      </c>
      <c r="AK369" s="3">
        <f>IF(AND(G369&lt;&gt;"LIBSETS_SETTYPE_BATTLEGROUND",G369&lt;&gt;"LIBSETS_SETTYPE_SPECIAL"),IF(AL369&lt;&gt;"",VLOOKUP(AL369,'ESO zone constants'!$D$5:$H$4955,5,FALSE),""),"")</f>
        <v>181</v>
      </c>
      <c r="AL369" t="s">
        <v>125</v>
      </c>
      <c r="AM369" s="33" t="s">
        <v>3740</v>
      </c>
      <c r="AP369" s="3">
        <f>IF(AND(G369&lt;&gt;"LIBSETS_SETTYPE_BATTLEGROUND",G369&lt;&gt;"LIBSETS_SETTYPE_SPECIAL"),IF(AQ369&lt;&gt;"",VLOOKUP(AQ369,'ESO zone constants'!$D$5:$H$4955,5,FALSE),""),"")</f>
        <v>181</v>
      </c>
      <c r="AQ369" t="s">
        <v>125</v>
      </c>
      <c r="AR369" s="33" t="s">
        <v>1554</v>
      </c>
      <c r="AU369" s="3">
        <f>IF(AND(G369&lt;&gt;"LIBSETS_SETTYPE_BATTLEGROUND",G369&lt;&gt;"LIBSETS_SETTYPE_SPECIAL"),IF(AV369&lt;&gt;"",VLOOKUP(AV369,'ESO zone constants'!$D$5:$H$4955,5,FALSE),""),"")</f>
        <v>181</v>
      </c>
      <c r="AV369" t="s">
        <v>125</v>
      </c>
      <c r="AW369" s="33" t="s">
        <v>3236</v>
      </c>
      <c r="AZ369" s="78" t="s">
        <v>2653</v>
      </c>
      <c r="BA369" s="78"/>
      <c r="BB369" s="78"/>
      <c r="BC369" s="78"/>
      <c r="BD369" s="78"/>
      <c r="BE369" s="21" t="str">
        <f t="shared" si="35"/>
        <v>[422] = {wayshrines={-1,-1,-1,}, dlcId=DLC_BASE_GAME</v>
      </c>
      <c r="BF369" s="21" t="str">
        <f t="shared" si="36"/>
        <v>, zoneIds={181,181,181,181,181,181}, veteran=false</v>
      </c>
      <c r="BG369" s="21" t="str">
        <f t="shared" si="37"/>
        <v>, setType=LIBSETS_SETTYPE_CYRODIIL</v>
      </c>
      <c r="BH369"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 t="shared" si="39"/>
        <v>}, --Battalion Defender / Bataillonsverteidiger   [Cyrodiil, Cyrodiil, Cyrodiil, Cyrodiil, Cyrodiil, Cyrodiil]</v>
      </c>
    </row>
    <row r="370" spans="1:61" x14ac:dyDescent="0.25">
      <c r="A370" s="12">
        <v>423</v>
      </c>
      <c r="B370" t="s">
        <v>1310</v>
      </c>
      <c r="C370" t="s">
        <v>1311</v>
      </c>
      <c r="D370" s="3">
        <f t="shared" si="34"/>
        <v>423</v>
      </c>
      <c r="G370" s="8" t="s">
        <v>1468</v>
      </c>
      <c r="I370" t="s">
        <v>92</v>
      </c>
      <c r="J370" t="s">
        <v>91</v>
      </c>
      <c r="K370">
        <v>378</v>
      </c>
      <c r="L370">
        <v>378</v>
      </c>
      <c r="M370">
        <v>378</v>
      </c>
      <c r="O370" s="61" t="s">
        <v>719</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constants'!$H$3:$K$9989,4,FALSE)),""))</f>
        <v>DLC_BLACKWOOD</v>
      </c>
      <c r="U370" s="3" t="str">
        <f>IF(T370&lt;&gt;"",VLOOKUP(T370,'LibSets constants'!$B$4:$C$1012,2,FALSE),"")</f>
        <v>Blackwood</v>
      </c>
      <c r="V370" s="33" t="s">
        <v>1550</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constants'!$A$5:$D$10001,4,FALSE),"")</f>
        <v>Murkmire</v>
      </c>
      <c r="AB370" s="33" t="s">
        <v>1550</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8" t="s">
        <v>2653</v>
      </c>
      <c r="BA370" s="78"/>
      <c r="BB370" s="78"/>
      <c r="BC370" s="78"/>
      <c r="BD370" s="78" t="s">
        <v>3832</v>
      </c>
      <c r="BE370" s="21" t="str">
        <f t="shared" si="35"/>
        <v>[423] = {wayshrines={378,378,378,}, dlcId=DLC_BLACKWOOD</v>
      </c>
      <c r="BF370" s="21" t="str">
        <f t="shared" si="36"/>
        <v>, zoneIds={1082,726,726}, veteran=true</v>
      </c>
      <c r="BG370" s="21" t="str">
        <f t="shared" si="37"/>
        <v>, setType=LIBSETS_SETTYPE_ARENA</v>
      </c>
      <c r="BH370" s="21" t="str">
        <f t="shared" si="38"/>
        <v>, dropMechanic={LIBSETS_DROP_MECHANIC_ARENA_STAGE_CHEST,LIBSETS_DROP_MECHANIC_ARENA_STAGE_CHEST}, isPerfectedSet=1</v>
      </c>
      <c r="BI370" s="21" t="str">
        <f t="shared" si="39"/>
        <v>}, --Perfect Gallant Charge / Perfekter galanter Ansturm   [Blackrose Prison, Murkmire, Murkmire]</v>
      </c>
    </row>
    <row r="371" spans="1:61" x14ac:dyDescent="0.25">
      <c r="A371" s="12">
        <v>424</v>
      </c>
      <c r="B371" t="s">
        <v>1312</v>
      </c>
      <c r="C371" t="s">
        <v>1313</v>
      </c>
      <c r="D371" s="3">
        <f t="shared" si="34"/>
        <v>424</v>
      </c>
      <c r="G371" s="8" t="s">
        <v>1468</v>
      </c>
      <c r="I371" t="s">
        <v>92</v>
      </c>
      <c r="J371" t="s">
        <v>91</v>
      </c>
      <c r="K371">
        <v>378</v>
      </c>
      <c r="L371">
        <v>378</v>
      </c>
      <c r="M371">
        <v>378</v>
      </c>
      <c r="O371" s="61" t="s">
        <v>719</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constants'!$H$3:$K$9989,4,FALSE)),""))</f>
        <v>DLC_BLACKWOOD</v>
      </c>
      <c r="U371" s="3" t="str">
        <f>IF(T371&lt;&gt;"",VLOOKUP(T371,'LibSets constants'!$B$4:$C$1012,2,FALSE),"")</f>
        <v>Blackwood</v>
      </c>
      <c r="V371" s="33" t="s">
        <v>1550</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constants'!$A$5:$D$10001,4,FALSE),"")</f>
        <v>Murkmire</v>
      </c>
      <c r="AB371" s="33" t="s">
        <v>1550</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8" t="s">
        <v>2653</v>
      </c>
      <c r="BA371" s="78"/>
      <c r="BB371" s="78"/>
      <c r="BC371" s="78"/>
      <c r="BD371" s="78" t="s">
        <v>3832</v>
      </c>
      <c r="BE371" s="21" t="str">
        <f t="shared" si="35"/>
        <v>[424] = {wayshrines={378,378,378,}, dlcId=DLC_BLACKWOOD</v>
      </c>
      <c r="BF371" s="21" t="str">
        <f t="shared" si="36"/>
        <v>, zoneIds={1082,726,726}, veteran=true</v>
      </c>
      <c r="BG371" s="21" t="str">
        <f t="shared" si="37"/>
        <v>, setType=LIBSETS_SETTYPE_ARENA</v>
      </c>
      <c r="BH371" s="21" t="str">
        <f t="shared" si="38"/>
        <v>, dropMechanic={LIBSETS_DROP_MECHANIC_ARENA_STAGE_CHEST,LIBSETS_DROP_MECHANIC_ARENA_STAGE_CHEST}, isPerfectedSet=1</v>
      </c>
      <c r="BI371" s="21" t="str">
        <f t="shared" si="39"/>
        <v>}, --Perfect Radial Uppercut / Perfekter Rundum-Aufwärtsschnitt   [Blackrose Prison, Murkmire, Murkmire]</v>
      </c>
    </row>
    <row r="372" spans="1:61" x14ac:dyDescent="0.25">
      <c r="A372" s="12">
        <v>425</v>
      </c>
      <c r="B372" t="s">
        <v>1314</v>
      </c>
      <c r="C372" t="s">
        <v>1315</v>
      </c>
      <c r="D372" s="3">
        <f t="shared" si="34"/>
        <v>425</v>
      </c>
      <c r="G372" s="8" t="s">
        <v>1468</v>
      </c>
      <c r="I372" t="s">
        <v>92</v>
      </c>
      <c r="J372" t="s">
        <v>91</v>
      </c>
      <c r="K372">
        <v>378</v>
      </c>
      <c r="L372">
        <v>378</v>
      </c>
      <c r="M372">
        <v>378</v>
      </c>
      <c r="O372" s="61" t="s">
        <v>719</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constants'!$H$3:$K$9989,4,FALSE)),""))</f>
        <v>DLC_BLACKWOOD</v>
      </c>
      <c r="U372" s="3" t="str">
        <f>IF(T372&lt;&gt;"",VLOOKUP(T372,'LibSets constants'!$B$4:$C$1012,2,FALSE),"")</f>
        <v>Blackwood</v>
      </c>
      <c r="V372" s="33" t="s">
        <v>1550</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constants'!$A$5:$D$10001,4,FALSE),"")</f>
        <v>Murkmire</v>
      </c>
      <c r="AB372" s="33" t="s">
        <v>1550</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8" t="s">
        <v>2653</v>
      </c>
      <c r="BA372" s="78"/>
      <c r="BB372" s="78"/>
      <c r="BC372" s="78"/>
      <c r="BD372" s="78" t="s">
        <v>3832</v>
      </c>
      <c r="BE372" s="21" t="str">
        <f t="shared" si="35"/>
        <v>[425] = {wayshrines={378,378,378,}, dlcId=DLC_BLACKWOOD</v>
      </c>
      <c r="BF372" s="21" t="str">
        <f t="shared" si="36"/>
        <v>, zoneIds={1082,726,726}, veteran=true</v>
      </c>
      <c r="BG372" s="21" t="str">
        <f t="shared" si="37"/>
        <v>, setType=LIBSETS_SETTYPE_ARENA</v>
      </c>
      <c r="BH372" s="21" t="str">
        <f t="shared" si="38"/>
        <v>, dropMechanic={LIBSETS_DROP_MECHANIC_ARENA_STAGE_CHEST,LIBSETS_DROP_MECHANIC_ARENA_STAGE_CHEST}, isPerfectedSet=1</v>
      </c>
      <c r="BI372" s="21" t="str">
        <f t="shared" si="39"/>
        <v>}, --Perfect Spectral Cloak / Perfekter spektraler Mantel   [Blackrose Prison, Murkmire, Murkmire]</v>
      </c>
    </row>
    <row r="373" spans="1:61" x14ac:dyDescent="0.25">
      <c r="A373" s="12">
        <v>426</v>
      </c>
      <c r="B373" t="s">
        <v>1316</v>
      </c>
      <c r="C373" t="s">
        <v>1317</v>
      </c>
      <c r="D373" s="3">
        <f t="shared" si="34"/>
        <v>426</v>
      </c>
      <c r="G373" s="8" t="s">
        <v>1468</v>
      </c>
      <c r="I373" t="s">
        <v>92</v>
      </c>
      <c r="J373" t="s">
        <v>91</v>
      </c>
      <c r="K373">
        <v>378</v>
      </c>
      <c r="L373">
        <v>378</v>
      </c>
      <c r="M373">
        <v>378</v>
      </c>
      <c r="O373" s="61" t="s">
        <v>719</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constants'!$H$3:$K$9989,4,FALSE)),""))</f>
        <v>DLC_BLACKWOOD</v>
      </c>
      <c r="U373" s="3" t="str">
        <f>IF(T373&lt;&gt;"",VLOOKUP(T373,'LibSets constants'!$B$4:$C$1012,2,FALSE),"")</f>
        <v>Blackwood</v>
      </c>
      <c r="V373" s="33" t="s">
        <v>1550</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constants'!$A$5:$D$10001,4,FALSE),"")</f>
        <v>Murkmire</v>
      </c>
      <c r="AB373" s="33" t="s">
        <v>1550</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8" t="s">
        <v>2653</v>
      </c>
      <c r="BA373" s="78"/>
      <c r="BB373" s="78"/>
      <c r="BC373" s="78"/>
      <c r="BD373" s="78" t="s">
        <v>3832</v>
      </c>
      <c r="BE373" s="21" t="str">
        <f t="shared" si="35"/>
        <v>[426] = {wayshrines={378,378,378,}, dlcId=DLC_BLACKWOOD</v>
      </c>
      <c r="BF373" s="21" t="str">
        <f t="shared" si="36"/>
        <v>, zoneIds={1082,726,726}, veteran=true</v>
      </c>
      <c r="BG373" s="21" t="str">
        <f t="shared" si="37"/>
        <v>, setType=LIBSETS_SETTYPE_ARENA</v>
      </c>
      <c r="BH373" s="21" t="str">
        <f t="shared" si="38"/>
        <v>, dropMechanic={LIBSETS_DROP_MECHANIC_ARENA_STAGE_CHEST,LIBSETS_DROP_MECHANIC_ARENA_STAGE_CHEST}, isPerfectedSet=1</v>
      </c>
      <c r="BI373" s="21" t="str">
        <f t="shared" si="39"/>
        <v>}, --Perfect Virulent Shot / Perfekter virulenter Schuss   [Blackrose Prison, Murkmire, Murkmire]</v>
      </c>
    </row>
    <row r="374" spans="1:61" x14ac:dyDescent="0.25">
      <c r="A374" s="12">
        <v>427</v>
      </c>
      <c r="B374" t="s">
        <v>1318</v>
      </c>
      <c r="C374" t="s">
        <v>1319</v>
      </c>
      <c r="D374" s="3">
        <f t="shared" si="34"/>
        <v>427</v>
      </c>
      <c r="G374" s="8" t="s">
        <v>1468</v>
      </c>
      <c r="I374" t="s">
        <v>92</v>
      </c>
      <c r="J374" t="s">
        <v>91</v>
      </c>
      <c r="K374">
        <v>378</v>
      </c>
      <c r="L374">
        <v>378</v>
      </c>
      <c r="M374">
        <v>378</v>
      </c>
      <c r="O374" s="61" t="s">
        <v>719</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constants'!$H$3:$K$9989,4,FALSE)),""))</f>
        <v>DLC_BLACKWOOD</v>
      </c>
      <c r="U374" s="3" t="str">
        <f>IF(T374&lt;&gt;"",VLOOKUP(T374,'LibSets constants'!$B$4:$C$1012,2,FALSE),"")</f>
        <v>Blackwood</v>
      </c>
      <c r="V374" s="33" t="s">
        <v>1550</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constants'!$A$5:$D$10001,4,FALSE),"")</f>
        <v>Murkmire</v>
      </c>
      <c r="AB374" s="33" t="s">
        <v>1550</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8" t="s">
        <v>2653</v>
      </c>
      <c r="BA374" s="78"/>
      <c r="BB374" s="78"/>
      <c r="BC374" s="78"/>
      <c r="BD374" s="78" t="s">
        <v>3832</v>
      </c>
      <c r="BE374" s="21" t="str">
        <f t="shared" si="35"/>
        <v>[427] = {wayshrines={378,378,378,}, dlcId=DLC_BLACKWOOD</v>
      </c>
      <c r="BF374" s="21" t="str">
        <f t="shared" si="36"/>
        <v>, zoneIds={1082,726,726}, veteran=true</v>
      </c>
      <c r="BG374" s="21" t="str">
        <f t="shared" si="37"/>
        <v>, setType=LIBSETS_SETTYPE_ARENA</v>
      </c>
      <c r="BH374" s="21" t="str">
        <f t="shared" si="38"/>
        <v>, dropMechanic={LIBSETS_DROP_MECHANIC_ARENA_STAGE_CHEST,LIBSETS_DROP_MECHANIC_ARENA_STAGE_CHEST}, isPerfectedSet=1</v>
      </c>
      <c r="BI374" s="21" t="str">
        <f t="shared" si="39"/>
        <v>}, --Perfect Wild Impulse / Perfekter wilder Impuls   [Blackrose Prison, Murkmire, Murkmire]</v>
      </c>
    </row>
    <row r="375" spans="1:61" x14ac:dyDescent="0.25">
      <c r="A375" s="12">
        <v>428</v>
      </c>
      <c r="B375" t="s">
        <v>1320</v>
      </c>
      <c r="C375" t="s">
        <v>2622</v>
      </c>
      <c r="D375" s="3">
        <f t="shared" si="34"/>
        <v>428</v>
      </c>
      <c r="G375" s="8" t="s">
        <v>1468</v>
      </c>
      <c r="I375" t="s">
        <v>92</v>
      </c>
      <c r="J375" t="s">
        <v>91</v>
      </c>
      <c r="K375">
        <v>378</v>
      </c>
      <c r="L375">
        <v>378</v>
      </c>
      <c r="M375">
        <v>378</v>
      </c>
      <c r="O375" s="61" t="s">
        <v>719</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constants'!$H$3:$K$9989,4,FALSE)),""))</f>
        <v>DLC_BLACKWOOD</v>
      </c>
      <c r="U375" s="3" t="str">
        <f>IF(T375&lt;&gt;"",VLOOKUP(T375,'LibSets constants'!$B$4:$C$1012,2,FALSE),"")</f>
        <v>Blackwood</v>
      </c>
      <c r="V375" s="33" t="s">
        <v>1550</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constants'!$A$5:$D$10001,4,FALSE),"")</f>
        <v>Murkmire</v>
      </c>
      <c r="AB375" s="33" t="s">
        <v>1550</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8" t="s">
        <v>2653</v>
      </c>
      <c r="BA375" s="78"/>
      <c r="BB375" s="78"/>
      <c r="BC375" s="78"/>
      <c r="BD375" s="78" t="s">
        <v>3832</v>
      </c>
      <c r="BE375" s="21" t="str">
        <f t="shared" si="35"/>
        <v>[428] = {wayshrines={378,378,378,}, dlcId=DLC_BLACKWOOD</v>
      </c>
      <c r="BF375" s="21" t="str">
        <f t="shared" si="36"/>
        <v>, zoneIds={1082,726,726}, veteran=true</v>
      </c>
      <c r="BG375" s="21" t="str">
        <f t="shared" si="37"/>
        <v>, setType=LIBSETS_SETTYPE_ARENA</v>
      </c>
      <c r="BH375" s="21" t="str">
        <f t="shared" si="38"/>
        <v>, dropMechanic={LIBSETS_DROP_MECHANIC_ARENA_STAGE_CHEST,LIBSETS_DROP_MECHANIC_ARENA_STAGE_CHEST}, isPerfectedSet=1</v>
      </c>
      <c r="BI375" s="21" t="str">
        <f t="shared" si="39"/>
        <v>}, --Perfect Mender\'s Ward / Perfekter Schutz des Pflegers   [Blackrose Prison, Murkmire, Murkmire]</v>
      </c>
    </row>
    <row r="376" spans="1:61" x14ac:dyDescent="0.25">
      <c r="A376" s="12">
        <v>429</v>
      </c>
      <c r="B376" t="s">
        <v>1321</v>
      </c>
      <c r="C376" t="s">
        <v>1322</v>
      </c>
      <c r="D376" s="3">
        <f t="shared" si="34"/>
        <v>429</v>
      </c>
      <c r="G376" s="8" t="s">
        <v>1473</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constants'!$B$4:$C$1012,2,FALSE),"")</f>
        <v>Wrathstone</v>
      </c>
      <c r="V376" s="33" t="s">
        <v>3285</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8" t="s">
        <v>2653</v>
      </c>
      <c r="BA376" s="78"/>
      <c r="BB376" s="78"/>
      <c r="BC376" s="78"/>
      <c r="BD376" s="78"/>
      <c r="BE376" s="21" t="str">
        <f t="shared" si="35"/>
        <v>[429] = {wayshrines={389,389,389,}, dlcId=DLC_WRATHSTONE</v>
      </c>
      <c r="BF376" s="21" t="str">
        <f t="shared" si="36"/>
        <v>, zoneIds={1080,101,101}, veteran=false</v>
      </c>
      <c r="BG376" s="21" t="str">
        <f t="shared" si="37"/>
        <v>, setType=LIBSETS_SETTYPE_DUNGEON</v>
      </c>
      <c r="BH376" s="21" t="str">
        <f t="shared" si="38"/>
        <v>, dropMechanic={LIBSETS_DROP_MECHANIC_GROUP_DUNGEON_BOSS}</v>
      </c>
      <c r="BI376" s="21" t="str">
        <f t="shared" si="39"/>
        <v>}, --Mighty Glacier / Mächtiger Gletscher   [Frostvault, Eastmarch, Eastmarch]</v>
      </c>
    </row>
    <row r="377" spans="1:61" x14ac:dyDescent="0.25">
      <c r="A377" s="12">
        <v>430</v>
      </c>
      <c r="B377" t="s">
        <v>1323</v>
      </c>
      <c r="C377" t="s">
        <v>2623</v>
      </c>
      <c r="D377" s="3">
        <f t="shared" si="34"/>
        <v>430</v>
      </c>
      <c r="G377" s="8" t="s">
        <v>1473</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constants'!$B$4:$C$1012,2,FALSE),"")</f>
        <v>Wrathstone</v>
      </c>
      <c r="V377" s="33" t="s">
        <v>3285</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8" t="s">
        <v>2653</v>
      </c>
      <c r="BA377" s="78"/>
      <c r="BB377" s="78"/>
      <c r="BC377" s="78"/>
      <c r="BD377" s="78"/>
      <c r="BE377" s="21" t="str">
        <f t="shared" si="35"/>
        <v>[430] = {wayshrines={389,389,389,}, dlcId=DLC_WRATHSTONE</v>
      </c>
      <c r="BF377" s="21" t="str">
        <f t="shared" si="36"/>
        <v>, zoneIds={1080,101,101}, veteran=false</v>
      </c>
      <c r="BG377" s="21" t="str">
        <f t="shared" si="37"/>
        <v>, setType=LIBSETS_SETTYPE_DUNGEON</v>
      </c>
      <c r="BH377" s="21" t="str">
        <f t="shared" si="38"/>
        <v>, dropMechanic={LIBSETS_DROP_MECHANIC_GROUP_DUNGEON_BOSS}</v>
      </c>
      <c r="BI377" s="21" t="str">
        <f t="shared" si="39"/>
        <v>}, --Tzogvin\'s Warband / Tzogvins Kriegstrupp   [Frostvault, Eastmarch, Eastmarch]</v>
      </c>
    </row>
    <row r="378" spans="1:61" x14ac:dyDescent="0.25">
      <c r="A378" s="12">
        <v>431</v>
      </c>
      <c r="B378" t="s">
        <v>1324</v>
      </c>
      <c r="C378" t="s">
        <v>1325</v>
      </c>
      <c r="D378" s="3">
        <f t="shared" si="34"/>
        <v>431</v>
      </c>
      <c r="G378" s="8" t="s">
        <v>1473</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constants'!$B$4:$C$1012,2,FALSE),"")</f>
        <v>Wrathstone</v>
      </c>
      <c r="V378" s="33" t="s">
        <v>3285</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8" t="s">
        <v>2653</v>
      </c>
      <c r="BA378" s="78"/>
      <c r="BB378" s="78"/>
      <c r="BC378" s="78"/>
      <c r="BD378" s="78"/>
      <c r="BE378" s="21" t="str">
        <f t="shared" si="35"/>
        <v>[431] = {wayshrines={389,389,389,}, dlcId=DLC_WRATHSTONE</v>
      </c>
      <c r="BF378" s="21" t="str">
        <f t="shared" si="36"/>
        <v>, zoneIds={1080,101,101}, veteran=false</v>
      </c>
      <c r="BG378" s="21" t="str">
        <f t="shared" si="37"/>
        <v>, setType=LIBSETS_SETTYPE_DUNGEON</v>
      </c>
      <c r="BH378" s="21" t="str">
        <f t="shared" si="38"/>
        <v>, dropMechanic={LIBSETS_DROP_MECHANIC_GROUP_DUNGEON_BOSS}</v>
      </c>
      <c r="BI378" s="21" t="str">
        <f t="shared" si="39"/>
        <v>}, --Icy Conjuror / Eisiger Anrufer   [Frostvault, Eastmarch, Eastmarch]</v>
      </c>
    </row>
    <row r="379" spans="1:61" x14ac:dyDescent="0.25">
      <c r="A379" s="5">
        <v>432</v>
      </c>
      <c r="B379" t="s">
        <v>1326</v>
      </c>
      <c r="C379" t="s">
        <v>25</v>
      </c>
      <c r="D379" s="3">
        <f t="shared" si="34"/>
        <v>432</v>
      </c>
      <c r="G379" s="8" t="s">
        <v>1475</v>
      </c>
      <c r="H379" s="86">
        <v>3</v>
      </c>
      <c r="I379" t="s">
        <v>1462</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constants'!$B$4:$C$1012,2,FALSE),"")</f>
        <v>Wrathstone</v>
      </c>
      <c r="V379" s="33" t="s">
        <v>1538</v>
      </c>
      <c r="W379" s="3" t="s">
        <v>1549</v>
      </c>
      <c r="X379" s="3" t="s">
        <v>1636</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8" t="s">
        <v>2653</v>
      </c>
      <c r="BA379" s="78"/>
      <c r="BB379" s="78"/>
      <c r="BC379" s="78"/>
      <c r="BD379" s="78"/>
      <c r="BE379" s="21" t="str">
        <f t="shared" si="35"/>
        <v>[432] = {wayshrines={389,389,389,}, dlcId=DLC_WRATHSTONE</v>
      </c>
      <c r="BF379" s="21" t="str">
        <f t="shared" si="36"/>
        <v>, zoneIds={1080,101,101}, veteran={[EQUIP_TYPE_HEAD]=true, [EQUIP_TYPE_SHOULDERS]=false}</v>
      </c>
      <c r="BG379" s="21" t="str">
        <f t="shared" si="37"/>
        <v>, setType=LIBSETS_SETTYPE_MONSTER, undauntedChestId=3</v>
      </c>
      <c r="BH379" s="21" t="str">
        <f t="shared" si="38"/>
        <v>, dropMechanic={LIBSETS_DROP_MECHANIC_MONSTER_NAME}, dropMechanicDropLocationNames={['en']={'The Stonekeeper','','','','','',},['de']={'Der Steinwahrer','','','','','',},}</v>
      </c>
      <c r="BI379" s="21" t="str">
        <f t="shared" si="39"/>
        <v>}, --Stonekeeper / Steinwahrer   [Frostvault, Eastmarch, Eastmarch]</v>
      </c>
    </row>
    <row r="380" spans="1:61" x14ac:dyDescent="0.25">
      <c r="A380" s="12">
        <v>433</v>
      </c>
      <c r="B380" t="s">
        <v>1327</v>
      </c>
      <c r="C380" t="s">
        <v>1328</v>
      </c>
      <c r="D380" s="3">
        <f t="shared" si="34"/>
        <v>433</v>
      </c>
      <c r="G380" s="8" t="s">
        <v>1473</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constants'!$B$4:$C$1012,2,FALSE),"")</f>
        <v>Wrathstone</v>
      </c>
      <c r="V380" s="33" t="s">
        <v>3285</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8" t="s">
        <v>2653</v>
      </c>
      <c r="BA380" s="78"/>
      <c r="BB380" s="78"/>
      <c r="BC380" s="78"/>
      <c r="BD380" s="78"/>
      <c r="BE380" s="21" t="str">
        <f t="shared" si="35"/>
        <v>[433] = {wayshrines={390,390,390,}, dlcId=DLC_WRATHSTONE</v>
      </c>
      <c r="BF380" s="21" t="str">
        <f t="shared" si="36"/>
        <v>, zoneIds={1081,823,823}, veteran=false</v>
      </c>
      <c r="BG380" s="21" t="str">
        <f t="shared" si="37"/>
        <v>, setType=LIBSETS_SETTYPE_DUNGEON</v>
      </c>
      <c r="BH380" s="21" t="str">
        <f t="shared" si="38"/>
        <v>, dropMechanic={LIBSETS_DROP_MECHANIC_GROUP_DUNGEON_BOSS}</v>
      </c>
      <c r="BI380" s="21" t="str">
        <f t="shared" si="39"/>
        <v>}, --Frozen Watcher / Gefrorener Beobachter   [Depths of Malatar, Gold Coast, Gold Coast]</v>
      </c>
    </row>
    <row r="381" spans="1:61" x14ac:dyDescent="0.25">
      <c r="A381" s="12">
        <v>434</v>
      </c>
      <c r="B381" t="s">
        <v>1329</v>
      </c>
      <c r="C381" t="s">
        <v>1330</v>
      </c>
      <c r="D381" s="3">
        <f t="shared" si="34"/>
        <v>434</v>
      </c>
      <c r="G381" s="8" t="s">
        <v>1473</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constants'!$B$4:$C$1012,2,FALSE),"")</f>
        <v>Wrathstone</v>
      </c>
      <c r="V381" s="33" t="s">
        <v>3285</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8" t="s">
        <v>2653</v>
      </c>
      <c r="BA381" s="78"/>
      <c r="BB381" s="78"/>
      <c r="BC381" s="78"/>
      <c r="BD381" s="78"/>
      <c r="BE381" s="21" t="str">
        <f t="shared" si="35"/>
        <v>[434] = {wayshrines={390,390,390,}, dlcId=DLC_WRATHSTONE</v>
      </c>
      <c r="BF381" s="21" t="str">
        <f t="shared" si="36"/>
        <v>, zoneIds={1081,823,823}, veteran=false</v>
      </c>
      <c r="BG381" s="21" t="str">
        <f t="shared" si="37"/>
        <v>, setType=LIBSETS_SETTYPE_DUNGEON</v>
      </c>
      <c r="BH381" s="21" t="str">
        <f t="shared" si="38"/>
        <v>, dropMechanic={LIBSETS_DROP_MECHANIC_GROUP_DUNGEON_BOSS}</v>
      </c>
      <c r="BI381" s="21" t="str">
        <f t="shared" si="39"/>
        <v>}, --Scavenging Demise / Ausbeutender Niedergang   [Depths of Malatar, Gold Coast, Gold Coast]</v>
      </c>
    </row>
    <row r="382" spans="1:61" x14ac:dyDescent="0.25">
      <c r="A382" s="12">
        <v>435</v>
      </c>
      <c r="B382" t="s">
        <v>1331</v>
      </c>
      <c r="C382" t="s">
        <v>2624</v>
      </c>
      <c r="D382" s="3">
        <f t="shared" si="34"/>
        <v>435</v>
      </c>
      <c r="G382" s="8" t="s">
        <v>1473</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constants'!$B$4:$C$1012,2,FALSE),"")</f>
        <v>Wrathstone</v>
      </c>
      <c r="V382" s="33" t="s">
        <v>3285</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8" t="s">
        <v>2653</v>
      </c>
      <c r="BA382" s="78"/>
      <c r="BB382" s="78"/>
      <c r="BC382" s="78"/>
      <c r="BD382" s="78"/>
      <c r="BE382" s="21" t="str">
        <f t="shared" si="35"/>
        <v>[435] = {wayshrines={390,390,390,}, dlcId=DLC_WRATHSTONE</v>
      </c>
      <c r="BF382" s="21" t="str">
        <f t="shared" si="36"/>
        <v>, zoneIds={1081,823,823}, veteran=false</v>
      </c>
      <c r="BG382" s="21" t="str">
        <f t="shared" si="37"/>
        <v>, setType=LIBSETS_SETTYPE_DUNGEON</v>
      </c>
      <c r="BH382" s="21" t="str">
        <f t="shared" si="38"/>
        <v>, dropMechanic={LIBSETS_DROP_MECHANIC_GROUP_DUNGEON_BOSS}</v>
      </c>
      <c r="BI382" s="21" t="str">
        <f t="shared" si="39"/>
        <v>}, --Auroran\'s Thunder / Donner des Auroraners   [Depths of Malatar, Gold Coast, Gold Coast]</v>
      </c>
    </row>
    <row r="383" spans="1:61" x14ac:dyDescent="0.25">
      <c r="A383" s="5">
        <v>436</v>
      </c>
      <c r="B383" t="s">
        <v>1332</v>
      </c>
      <c r="C383" t="s">
        <v>28</v>
      </c>
      <c r="D383" s="3">
        <f t="shared" si="34"/>
        <v>436</v>
      </c>
      <c r="G383" s="8" t="s">
        <v>1475</v>
      </c>
      <c r="H383" s="86">
        <v>3</v>
      </c>
      <c r="I383" t="s">
        <v>1462</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constants'!$B$4:$C$1012,2,FALSE),"")</f>
        <v>Wrathstone</v>
      </c>
      <c r="V383" s="33" t="s">
        <v>1538</v>
      </c>
      <c r="W383" s="3" t="s">
        <v>28</v>
      </c>
      <c r="X383" s="3" t="s">
        <v>1634</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8" t="s">
        <v>2653</v>
      </c>
      <c r="BA383" s="78"/>
      <c r="BB383" s="78"/>
      <c r="BC383" s="78"/>
      <c r="BD383" s="78"/>
      <c r="BE383" s="21" t="str">
        <f t="shared" si="35"/>
        <v>[436] = {wayshrines={390,390,390,}, dlcId=DLC_WRATHSTONE</v>
      </c>
      <c r="BF383" s="21" t="str">
        <f t="shared" si="36"/>
        <v>, zoneIds={1081,823,823}, veteran={[EQUIP_TYPE_HEAD]=true, [EQUIP_TYPE_SHOULDERS]=false}</v>
      </c>
      <c r="BG383" s="21" t="str">
        <f t="shared" si="37"/>
        <v>, setType=LIBSETS_SETTYPE_MONSTER, undauntedChestId=3</v>
      </c>
      <c r="BH383" s="21" t="str">
        <f t="shared" si="38"/>
        <v>, dropMechanic={LIBSETS_DROP_MECHANIC_MONSTER_NAME}, dropMechanicDropLocationNames={['en']={'Symphony of Blades','','','','','',},['de']={'Die Sinfonie der Klingen','','','','','',},}</v>
      </c>
      <c r="BI383" s="21" t="str">
        <f t="shared" si="39"/>
        <v>}, --Symphony of Blades / Sinfonie der Klingen   [Depths of Malatar, Gold Coast, Gold Coast]</v>
      </c>
    </row>
    <row r="384" spans="1:61" x14ac:dyDescent="0.25">
      <c r="A384" s="12">
        <v>437</v>
      </c>
      <c r="B384" t="s">
        <v>1425</v>
      </c>
      <c r="C384" t="s">
        <v>2625</v>
      </c>
      <c r="D384" s="3">
        <f t="shared" si="34"/>
        <v>437</v>
      </c>
      <c r="E384" s="40"/>
      <c r="G384" s="8" t="s">
        <v>1470</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constants'!$H$3:$K$9989,4,FALSE)),""))</f>
        <v>DLC_BASE_GAME</v>
      </c>
      <c r="U384" s="3" t="str">
        <f>IF(T384&lt;&gt;"",VLOOKUP(T384,'LibSets constants'!$B$4:$C$1012,2,FALSE),"")</f>
        <v>Included in base game</v>
      </c>
      <c r="V384" s="33" t="s">
        <v>3288</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constants'!$A$5:$D$10001,4,FALSE),"")</f>
        <v>Northern Elsweyr</v>
      </c>
      <c r="AB384" s="33" t="s">
        <v>3288</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8" t="s">
        <v>2653</v>
      </c>
      <c r="BA384" s="78"/>
      <c r="BB384" s="78"/>
      <c r="BC384" s="78"/>
      <c r="BD384" s="78"/>
      <c r="BE384" s="21" t="str">
        <f t="shared" si="35"/>
        <v>[437] = {wayshrines={386,386,386,}, traitsNeeded=8, dlcId=DLC_BASE_GAME</v>
      </c>
      <c r="BF384" s="21" t="str">
        <f t="shared" si="36"/>
        <v>, zoneIds={1086,1086,1086}, veteran=false</v>
      </c>
      <c r="BG384" s="21" t="str">
        <f t="shared" si="37"/>
        <v>, setType=LIBSETS_SETTYPE_CRAFTED</v>
      </c>
      <c r="BH384" s="21" t="str">
        <f t="shared" si="38"/>
        <v>, dropMechanic={LIBSETS_DROP_MECHANIC_CRAFTED,LIBSETS_DROP_MECHANIC_CRAFTED}</v>
      </c>
      <c r="BI384" s="21" t="str">
        <f t="shared" si="39"/>
        <v>}, --Coldharbour\'s Favorite / Kalthafens Günstling   [Northern Elsweyr, Northern Elsweyr, Northern Elsweyr]</v>
      </c>
    </row>
    <row r="385" spans="1:61" x14ac:dyDescent="0.25">
      <c r="A385" s="12">
        <v>438</v>
      </c>
      <c r="B385" t="s">
        <v>1426</v>
      </c>
      <c r="C385" t="s">
        <v>2626</v>
      </c>
      <c r="D385" s="3">
        <f t="shared" si="34"/>
        <v>438</v>
      </c>
      <c r="G385" s="8" t="s">
        <v>1470</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constants'!$H$3:$K$9989,4,FALSE)),""))</f>
        <v>DLC_BASE_GAME</v>
      </c>
      <c r="U385" s="3" t="str">
        <f>IF(T385&lt;&gt;"",VLOOKUP(T385,'LibSets constants'!$B$4:$C$1012,2,FALSE),"")</f>
        <v>Included in base game</v>
      </c>
      <c r="V385" s="33" t="s">
        <v>3288</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constants'!$A$5:$D$10001,4,FALSE),"")</f>
        <v>Northern Elsweyr</v>
      </c>
      <c r="AB385" s="33" t="s">
        <v>3288</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8" t="s">
        <v>2653</v>
      </c>
      <c r="BA385" s="78"/>
      <c r="BB385" s="78"/>
      <c r="BC385" s="78"/>
      <c r="BD385" s="78"/>
      <c r="BE385" s="21" t="str">
        <f t="shared" si="35"/>
        <v>[438] = {wayshrines={397,397,397,}, traitsNeeded=5, dlcId=DLC_BASE_GAME</v>
      </c>
      <c r="BF385" s="21" t="str">
        <f t="shared" si="36"/>
        <v>, zoneIds={1086,1086,1086}, veteran=false</v>
      </c>
      <c r="BG385" s="21" t="str">
        <f t="shared" si="37"/>
        <v>, setType=LIBSETS_SETTYPE_CRAFTED</v>
      </c>
      <c r="BH385" s="21" t="str">
        <f t="shared" si="38"/>
        <v>, dropMechanic={LIBSETS_DROP_MECHANIC_CRAFTED,LIBSETS_DROP_MECHANIC_CRAFTED}</v>
      </c>
      <c r="BI385" s="21" t="str">
        <f t="shared" si="39"/>
        <v>}, --Senche-raht\'s Grit / Mut des Senche-raht   [Northern Elsweyr, Northern Elsweyr, Northern Elsweyr]</v>
      </c>
    </row>
    <row r="386" spans="1:61" x14ac:dyDescent="0.25">
      <c r="A386" s="5">
        <v>439</v>
      </c>
      <c r="B386" t="s">
        <v>1427</v>
      </c>
      <c r="C386" t="s">
        <v>2627</v>
      </c>
      <c r="D386" s="3">
        <f t="shared" si="34"/>
        <v>439</v>
      </c>
      <c r="G386" s="8" t="s">
        <v>1470</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constants'!$H$3:$K$9989,4,FALSE)),""))</f>
        <v>DLC_BASE_GAME</v>
      </c>
      <c r="U386" s="3" t="str">
        <f>IF(T386&lt;&gt;"",VLOOKUP(T386,'LibSets constants'!$B$4:$C$1012,2,FALSE),"")</f>
        <v>Included in base game</v>
      </c>
      <c r="V386" s="33" t="s">
        <v>3288</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constants'!$A$5:$D$10001,4,FALSE),"")</f>
        <v>Northern Elsweyr</v>
      </c>
      <c r="AB386" s="33" t="s">
        <v>3288</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8" t="s">
        <v>2653</v>
      </c>
      <c r="BA386" s="78"/>
      <c r="BB386" s="78"/>
      <c r="BC386" s="78"/>
      <c r="BD386" s="78"/>
      <c r="BE386" s="21" t="str">
        <f t="shared" si="35"/>
        <v>[439] = {wayshrines={382,382,382,}, traitsNeeded=3, dlcId=DLC_BASE_GAME</v>
      </c>
      <c r="BF386" s="21" t="str">
        <f t="shared" si="36"/>
        <v>, zoneIds={1086,1086,1086}, veteran=false</v>
      </c>
      <c r="BG386" s="21" t="str">
        <f t="shared" si="37"/>
        <v>, setType=LIBSETS_SETTYPE_CRAFTED</v>
      </c>
      <c r="BH386" s="21" t="str">
        <f t="shared" si="38"/>
        <v>, dropMechanic={LIBSETS_DROP_MECHANIC_CRAFTED,LIBSETS_DROP_MECHANIC_CRAFTED}</v>
      </c>
      <c r="BI386" s="21" t="str">
        <f t="shared" si="39"/>
        <v>}, --Vastarie\'s Tutelage / Vastaries Vormundschaft   [Northern Elsweyr, Northern Elsweyr, Northern Elsweyr]</v>
      </c>
    </row>
    <row r="387" spans="1:61" x14ac:dyDescent="0.25">
      <c r="A387" s="5">
        <v>440</v>
      </c>
      <c r="B387" t="s">
        <v>1433</v>
      </c>
      <c r="C387" t="s">
        <v>1344</v>
      </c>
      <c r="D387" s="3">
        <f t="shared" ref="D387:D450" si="40">A387</f>
        <v>440</v>
      </c>
      <c r="G387" s="8" t="s">
        <v>1476</v>
      </c>
      <c r="I387" t="s">
        <v>91</v>
      </c>
      <c r="J387" t="s">
        <v>91</v>
      </c>
      <c r="K387">
        <v>382</v>
      </c>
      <c r="L387">
        <v>382</v>
      </c>
      <c r="M387">
        <v>382</v>
      </c>
      <c r="O387" s="61" t="s">
        <v>1386</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constants'!$H$3:$K$9989,4,FALSE)),""))</f>
        <v>DLC_BASE_GAME</v>
      </c>
      <c r="U387" s="3" t="str">
        <f>IF(T387&lt;&gt;"",VLOOKUP(T387,'LibSets constants'!$B$4:$C$1012,2,FALSE),"")</f>
        <v>Included in base game</v>
      </c>
      <c r="V387" s="33" t="s">
        <v>1554</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constants'!$A$5:$D$10001,4,FALSE),"")</f>
        <v>Northern Elsweyr</v>
      </c>
      <c r="AB387" s="33" t="s">
        <v>1555</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constants'!$A$5:$D$10001,4,FALSE),"")</f>
        <v>Northern Elsweyr</v>
      </c>
      <c r="AH387" s="42" t="s">
        <v>1556</v>
      </c>
      <c r="AI387" s="39"/>
      <c r="AJ387" s="39"/>
      <c r="AK387" s="3">
        <f>IF(AND(G387&lt;&gt;"LIBSETS_SETTYPE_BATTLEGROUND",G387&lt;&gt;"LIBSETS_SETTYPE_SPECIAL"),IF(AL387&lt;&gt;"",VLOOKUP(AL387,'ESO zone constants'!$D$5:$H$4955,5,FALSE),""),"")</f>
        <v>1086</v>
      </c>
      <c r="AL387" t="s">
        <v>1386</v>
      </c>
      <c r="AM387" s="33" t="s">
        <v>1557</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8" t="s">
        <v>2654</v>
      </c>
      <c r="BA387" s="78"/>
      <c r="BB387" s="78"/>
      <c r="BC387" s="78"/>
      <c r="BD387" s="78"/>
      <c r="BE387" s="21" t="str">
        <f t="shared" si="35"/>
        <v>[440] = {wayshrines={382,382,382,}, dlcId=DLC_BASE_GAME</v>
      </c>
      <c r="BF387" s="21" t="str">
        <f t="shared" si="36"/>
        <v>, zoneIds={1086,1086,1086,1086}, veteran=false</v>
      </c>
      <c r="BG387" s="21" t="str">
        <f t="shared" si="37"/>
        <v>, setType=LIBSETS_SETTYPE_OVERLAND</v>
      </c>
      <c r="BH387" s="21" t="str">
        <f t="shared" si="38"/>
        <v>, isProcSetAllowedInPvP=1, dropMechanic={LIBSETS_DROP_MECHANIC_OVERLAND_BOSS_DELVE,LIBSETS_DROP_MECHANIC_OVERLAND_WORLDBOSS,LIBSETS_DROP_MECHANIC_OVERLAND_BOSS_PUBLIC_DUNGEON,LIBSETS_DROP_MECHANIC_OVERLAND_CHEST}</v>
      </c>
      <c r="BI387" s="21" t="str">
        <f t="shared" si="39"/>
        <v>}, --Crafty Alfiq / Listiger Alfiq   [Northern Elsweyr, Northern Elsweyr, Northern Elsweyr, Northern Elsweyr]</v>
      </c>
    </row>
    <row r="388" spans="1:61" x14ac:dyDescent="0.25">
      <c r="A388" s="5">
        <v>441</v>
      </c>
      <c r="B388" t="s">
        <v>1432</v>
      </c>
      <c r="C388" t="s">
        <v>1345</v>
      </c>
      <c r="D388" s="3">
        <f t="shared" si="40"/>
        <v>441</v>
      </c>
      <c r="G388" s="8" t="s">
        <v>1476</v>
      </c>
      <c r="I388" t="s">
        <v>91</v>
      </c>
      <c r="J388" t="s">
        <v>91</v>
      </c>
      <c r="K388">
        <v>382</v>
      </c>
      <c r="L388">
        <v>382</v>
      </c>
      <c r="M388">
        <v>382</v>
      </c>
      <c r="O388" s="61" t="s">
        <v>1386</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constants'!$H$3:$K$9989,4,FALSE)),""))</f>
        <v>DLC_BASE_GAME</v>
      </c>
      <c r="U388" s="3" t="str">
        <f>IF(T388&lt;&gt;"",VLOOKUP(T388,'LibSets constants'!$B$4:$C$1012,2,FALSE),"")</f>
        <v>Included in base game</v>
      </c>
      <c r="V388" s="33" t="s">
        <v>1554</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constants'!$A$5:$D$10001,4,FALSE),"")</f>
        <v>Northern Elsweyr</v>
      </c>
      <c r="AB388" s="33" t="s">
        <v>1555</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constants'!$A$5:$D$10001,4,FALSE),"")</f>
        <v>Northern Elsweyr</v>
      </c>
      <c r="AH388" s="42" t="s">
        <v>1556</v>
      </c>
      <c r="AI388" s="39"/>
      <c r="AJ388" s="39"/>
      <c r="AK388" s="3">
        <f>IF(AND(G388&lt;&gt;"LIBSETS_SETTYPE_BATTLEGROUND",G388&lt;&gt;"LIBSETS_SETTYPE_SPECIAL"),IF(AL388&lt;&gt;"",VLOOKUP(AL388,'ESO zone constants'!$D$5:$H$4955,5,FALSE),""),"")</f>
        <v>1086</v>
      </c>
      <c r="AL388" t="s">
        <v>1386</v>
      </c>
      <c r="AM388" s="33" t="s">
        <v>1557</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8" t="s">
        <v>2654</v>
      </c>
      <c r="BA388" s="78"/>
      <c r="BB388" s="78"/>
      <c r="BC388" s="78"/>
      <c r="BD388" s="78"/>
      <c r="BE388" s="21" t="str">
        <f t="shared" ref="BE388:BE451" si="41">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dlcId=DLC_BASE_GAME</v>
      </c>
      <c r="BF388" s="21" t="str">
        <f t="shared" ref="BF388:BF451" si="42">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zoneIds={1086,1086,1086,1086}, veteran=false</v>
      </c>
      <c r="BG388" s="21" t="str">
        <f t="shared" ref="BG388:BG451" si="43">IF(A388&lt;&gt;"",IF(F388&lt;&gt;"Not in the game (anymore)",IF(A388&lt;&gt;"",", setType="&amp;G388,"")&amp;IF(G388="LIBSETS_SETTYPE_CLASS",", classId="&amp;BC388,"")&amp;IF(J388="true",", multiTrialSet=true",""),"")
&amp; IF(AND(H388&lt;&gt;"",ISNUMBER(H388)),", undauntedChestId=" &amp; H388,""),"")</f>
        <v>, setType=LIBSETS_SETTYPE_OVERLAND</v>
      </c>
      <c r="BH388" s="21" t="str">
        <f t="shared" ref="BH388:BH451" si="44">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v>
      </c>
      <c r="BI388" s="21" t="str">
        <f t="shared" ref="BI388:BI451" si="45">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Northern Elsweyr, Northern Elsweyr]</v>
      </c>
    </row>
    <row r="389" spans="1:61" x14ac:dyDescent="0.25">
      <c r="A389" s="5">
        <v>442</v>
      </c>
      <c r="B389" t="s">
        <v>1431</v>
      </c>
      <c r="C389" t="s">
        <v>1346</v>
      </c>
      <c r="D389" s="3">
        <f t="shared" si="40"/>
        <v>442</v>
      </c>
      <c r="E389" s="40"/>
      <c r="G389" s="8" t="s">
        <v>1476</v>
      </c>
      <c r="I389" t="s">
        <v>91</v>
      </c>
      <c r="J389" t="s">
        <v>91</v>
      </c>
      <c r="K389">
        <v>382</v>
      </c>
      <c r="L389">
        <v>382</v>
      </c>
      <c r="M389">
        <v>382</v>
      </c>
      <c r="O389" s="61" t="s">
        <v>1386</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constants'!$H$3:$K$9989,4,FALSE)),""))</f>
        <v>DLC_BASE_GAME</v>
      </c>
      <c r="U389" s="3" t="str">
        <f>IF(T389&lt;&gt;"",VLOOKUP(T389,'LibSets constants'!$B$4:$C$1012,2,FALSE),"")</f>
        <v>Included in base game</v>
      </c>
      <c r="V389" s="33" t="s">
        <v>1554</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constants'!$A$5:$D$10001,4,FALSE),"")</f>
        <v>Northern Elsweyr</v>
      </c>
      <c r="AB389" s="33" t="s">
        <v>1555</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constants'!$A$5:$D$10001,4,FALSE),"")</f>
        <v>Northern Elsweyr</v>
      </c>
      <c r="AH389" s="42" t="s">
        <v>1556</v>
      </c>
      <c r="AI389" s="39"/>
      <c r="AJ389" s="39"/>
      <c r="AK389" s="3">
        <f>IF(AND(G389&lt;&gt;"LIBSETS_SETTYPE_BATTLEGROUND",G389&lt;&gt;"LIBSETS_SETTYPE_SPECIAL"),IF(AL389&lt;&gt;"",VLOOKUP(AL389,'ESO zone constants'!$D$5:$H$4955,5,FALSE),""),"")</f>
        <v>1086</v>
      </c>
      <c r="AL389" t="s">
        <v>1386</v>
      </c>
      <c r="AM389" s="33" t="s">
        <v>1557</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8" t="s">
        <v>2653</v>
      </c>
      <c r="BA389" s="78"/>
      <c r="BB389" s="78"/>
      <c r="BC389" s="78"/>
      <c r="BD389" s="78"/>
      <c r="BE389" s="21" t="str">
        <f t="shared" si="41"/>
        <v>[442] = {wayshrines={382,382,382,}, dlcId=DLC_BASE_GAME</v>
      </c>
      <c r="BF389" s="21" t="str">
        <f t="shared" si="42"/>
        <v>, zoneIds={1086,1086,1086,1086}, veteran=false</v>
      </c>
      <c r="BG389" s="21" t="str">
        <f t="shared" si="43"/>
        <v>, setType=LIBSETS_SETTYPE_OVERLAND</v>
      </c>
      <c r="BH389" s="21" t="str">
        <f t="shared" si="44"/>
        <v>, dropMechanic={LIBSETS_DROP_MECHANIC_OVERLAND_BOSS_DELVE,LIBSETS_DROP_MECHANIC_OVERLAND_WORLDBOSS,LIBSETS_DROP_MECHANIC_OVERLAND_BOSS_PUBLIC_DUNGEON,LIBSETS_DROP_MECHANIC_OVERLAND_CHEST}</v>
      </c>
      <c r="BI389" s="21" t="str">
        <f t="shared" si="45"/>
        <v>}, --Call of the Undertaker / Ruf des Totengräbers   [Northern Elsweyr, Northern Elsweyr, Northern Elsweyr, Northern Elsweyr]</v>
      </c>
    </row>
    <row r="390" spans="1:61" x14ac:dyDescent="0.25">
      <c r="A390" s="5">
        <v>443</v>
      </c>
      <c r="B390" t="s">
        <v>1458</v>
      </c>
      <c r="C390" t="s">
        <v>1349</v>
      </c>
      <c r="D390" s="3">
        <f t="shared" si="40"/>
        <v>443</v>
      </c>
      <c r="G390" s="8" t="s">
        <v>1477</v>
      </c>
      <c r="I390" t="s">
        <v>91</v>
      </c>
      <c r="J390" t="s">
        <v>91</v>
      </c>
      <c r="K390">
        <v>399</v>
      </c>
      <c r="L390">
        <v>399</v>
      </c>
      <c r="M390">
        <v>399</v>
      </c>
      <c r="O390" s="61" t="s">
        <v>1343</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constants'!$B$4:$C$1012,2,FALSE),"")</f>
        <v>Elsweyr</v>
      </c>
      <c r="V390" s="33" t="s">
        <v>3266</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constants'!$A$5:$D$10001,4,FALSE),"")</f>
        <v>Sunspire</v>
      </c>
      <c r="AB390" s="33" t="s">
        <v>3266</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constants'!$A$5:$D$10001,4,FALSE),"")</f>
        <v>Sunspire</v>
      </c>
      <c r="AH390" s="33" t="s">
        <v>3266</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8" t="s">
        <v>2653</v>
      </c>
      <c r="BA390" s="78"/>
      <c r="BB390" s="78"/>
      <c r="BC390" s="78"/>
      <c r="BD390" s="78">
        <v>448</v>
      </c>
      <c r="BE390" s="21" t="str">
        <f t="shared" si="41"/>
        <v>[443] = {wayshrines={399,399,399,}, dlcId=DLC_ELSWEYR</v>
      </c>
      <c r="BF390" s="21" t="str">
        <f t="shared" si="42"/>
        <v>, zoneIds={1121,1121,1121}, veteran=false</v>
      </c>
      <c r="BG390" s="21" t="str">
        <f t="shared" si="43"/>
        <v>, setType=LIBSETS_SETTYPE_TRIAL</v>
      </c>
      <c r="BH390" s="21" t="str">
        <f t="shared" si="44"/>
        <v>, dropMechanic={LIBSETS_DROP_MECHANIC_TRIAL_BOSS,LIBSETS_DROP_MECHANIC_TRIAL_BOSS,LIBSETS_DROP_MECHANIC_TRIAL_BOSS}, perfectedSetId=448</v>
      </c>
      <c r="BI390" s="21" t="str">
        <f t="shared" si="45"/>
        <v>}, --Eye of Nahviintaas / Auge von Nahviintaas   [Sunspire, Sunspire, Sunspire]</v>
      </c>
    </row>
    <row r="391" spans="1:61" x14ac:dyDescent="0.25">
      <c r="A391" s="5">
        <v>444</v>
      </c>
      <c r="B391" t="s">
        <v>1430</v>
      </c>
      <c r="C391" t="s">
        <v>2628</v>
      </c>
      <c r="D391" s="3">
        <f t="shared" si="40"/>
        <v>444</v>
      </c>
      <c r="G391" s="8" t="s">
        <v>1477</v>
      </c>
      <c r="I391" t="s">
        <v>91</v>
      </c>
      <c r="J391" t="s">
        <v>91</v>
      </c>
      <c r="K391">
        <v>399</v>
      </c>
      <c r="L391">
        <v>399</v>
      </c>
      <c r="M391">
        <v>399</v>
      </c>
      <c r="O391" s="61" t="s">
        <v>1343</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constants'!$B$4:$C$1012,2,FALSE),"")</f>
        <v>Elsweyr</v>
      </c>
      <c r="V391" s="33" t="s">
        <v>3266</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constants'!$A$5:$D$10001,4,FALSE),"")</f>
        <v>Sunspire</v>
      </c>
      <c r="AB391" s="33" t="s">
        <v>3266</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constants'!$A$5:$D$10001,4,FALSE),"")</f>
        <v>Sunspire</v>
      </c>
      <c r="AH391" s="33" t="s">
        <v>3266</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8" t="s">
        <v>2653</v>
      </c>
      <c r="BA391" s="78"/>
      <c r="BB391" s="78"/>
      <c r="BC391" s="78"/>
      <c r="BD391" s="78">
        <v>449</v>
      </c>
      <c r="BE391" s="21" t="str">
        <f t="shared" si="41"/>
        <v>[444] = {wayshrines={399,399,399,}, dlcId=DLC_ELSWEYR</v>
      </c>
      <c r="BF391" s="21" t="str">
        <f t="shared" si="42"/>
        <v>, zoneIds={1121,1121,1121}, veteran=false</v>
      </c>
      <c r="BG391" s="21" t="str">
        <f t="shared" si="43"/>
        <v>, setType=LIBSETS_SETTYPE_TRIAL</v>
      </c>
      <c r="BH391" s="21" t="str">
        <f t="shared" si="44"/>
        <v>, dropMechanic={LIBSETS_DROP_MECHANIC_TRIAL_BOSS,LIBSETS_DROP_MECHANIC_TRIAL_BOSS,LIBSETS_DROP_MECHANIC_TRIAL_BOSS}, perfectedSetId=449</v>
      </c>
      <c r="BI391" s="21" t="str">
        <f t="shared" si="45"/>
        <v>}, --False God\'s Devotion / Ergebenheit des falschen Gottes   [Sunspire, Sunspire, Sunspire]</v>
      </c>
    </row>
    <row r="392" spans="1:61" x14ac:dyDescent="0.25">
      <c r="A392" s="5">
        <v>445</v>
      </c>
      <c r="B392" t="s">
        <v>1429</v>
      </c>
      <c r="C392" t="s">
        <v>1350</v>
      </c>
      <c r="D392" s="3">
        <f t="shared" si="40"/>
        <v>445</v>
      </c>
      <c r="G392" s="8" t="s">
        <v>1477</v>
      </c>
      <c r="I392" t="s">
        <v>91</v>
      </c>
      <c r="J392" t="s">
        <v>91</v>
      </c>
      <c r="K392">
        <v>399</v>
      </c>
      <c r="L392">
        <v>399</v>
      </c>
      <c r="M392">
        <v>399</v>
      </c>
      <c r="O392" s="61" t="s">
        <v>1343</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constants'!$B$4:$C$1012,2,FALSE),"")</f>
        <v>Elsweyr</v>
      </c>
      <c r="V392" s="33" t="s">
        <v>3266</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constants'!$A$5:$D$10001,4,FALSE),"")</f>
        <v>Sunspire</v>
      </c>
      <c r="AB392" s="33" t="s">
        <v>3266</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constants'!$A$5:$D$10001,4,FALSE),"")</f>
        <v>Sunspire</v>
      </c>
      <c r="AH392" s="33" t="s">
        <v>3266</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8" t="s">
        <v>2653</v>
      </c>
      <c r="BA392" s="78"/>
      <c r="BB392" s="78"/>
      <c r="BC392" s="78"/>
      <c r="BD392" s="78">
        <v>450</v>
      </c>
      <c r="BE392" s="21" t="str">
        <f t="shared" si="41"/>
        <v>[445] = {wayshrines={399,399,399,}, dlcId=DLC_ELSWEYR</v>
      </c>
      <c r="BF392" s="21" t="str">
        <f t="shared" si="42"/>
        <v>, zoneIds={1121,1121,1121}, veteran=false</v>
      </c>
      <c r="BG392" s="21" t="str">
        <f t="shared" si="43"/>
        <v>, setType=LIBSETS_SETTYPE_TRIAL</v>
      </c>
      <c r="BH392" s="21" t="str">
        <f t="shared" si="44"/>
        <v>, dropMechanic={LIBSETS_DROP_MECHANIC_TRIAL_BOSS,LIBSETS_DROP_MECHANIC_TRIAL_BOSS,LIBSETS_DROP_MECHANIC_TRIAL_BOSS}, perfectedSetId=450</v>
      </c>
      <c r="BI392" s="21" t="str">
        <f t="shared" si="45"/>
        <v>}, --Tooth of Lokkestiiz / Zahn von Lokkestiiz   [Sunspire, Sunspire, Sunspire]</v>
      </c>
    </row>
    <row r="393" spans="1:61" x14ac:dyDescent="0.25">
      <c r="A393" s="12">
        <v>446</v>
      </c>
      <c r="B393" t="s">
        <v>1428</v>
      </c>
      <c r="C393" t="s">
        <v>1351</v>
      </c>
      <c r="D393" s="3">
        <f t="shared" si="40"/>
        <v>446</v>
      </c>
      <c r="G393" s="8" t="s">
        <v>1477</v>
      </c>
      <c r="I393" t="s">
        <v>91</v>
      </c>
      <c r="J393" t="s">
        <v>91</v>
      </c>
      <c r="K393">
        <v>399</v>
      </c>
      <c r="L393">
        <v>399</v>
      </c>
      <c r="M393">
        <v>399</v>
      </c>
      <c r="O393" s="61" t="s">
        <v>1343</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constants'!$B$4:$C$1012,2,FALSE),"")</f>
        <v>Elsweyr</v>
      </c>
      <c r="V393" s="33" t="s">
        <v>3266</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constants'!$A$5:$D$10001,4,FALSE),"")</f>
        <v>Sunspire</v>
      </c>
      <c r="AB393" s="33" t="s">
        <v>3266</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constants'!$A$5:$D$10001,4,FALSE),"")</f>
        <v>Sunspire</v>
      </c>
      <c r="AH393" s="33" t="s">
        <v>3266</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8" t="s">
        <v>2653</v>
      </c>
      <c r="BA393" s="78"/>
      <c r="BB393" s="78"/>
      <c r="BC393" s="78"/>
      <c r="BD393" s="78">
        <v>451</v>
      </c>
      <c r="BE393" s="21" t="str">
        <f t="shared" si="41"/>
        <v>[446] = {wayshrines={399,399,399,}, dlcId=DLC_ELSWEYR</v>
      </c>
      <c r="BF393" s="21" t="str">
        <f t="shared" si="42"/>
        <v>, zoneIds={1121,1121,1121}, veteran=false</v>
      </c>
      <c r="BG393" s="21" t="str">
        <f t="shared" si="43"/>
        <v>, setType=LIBSETS_SETTYPE_TRIAL</v>
      </c>
      <c r="BH393" s="21" t="str">
        <f t="shared" si="44"/>
        <v>, dropMechanic={LIBSETS_DROP_MECHANIC_TRIAL_BOSS,LIBSETS_DROP_MECHANIC_TRIAL_BOSS,LIBSETS_DROP_MECHANIC_TRIAL_BOSS}, perfectedSetId=451</v>
      </c>
      <c r="BI393" s="21" t="str">
        <f t="shared" si="45"/>
        <v>}, --Claw of Yolnakhriin / Kralle von Yolnahkriin   [Sunspire, Sunspire, Sunspire]</v>
      </c>
    </row>
    <row r="394" spans="1:61" x14ac:dyDescent="0.25">
      <c r="A394" s="5">
        <v>448</v>
      </c>
      <c r="B394" t="s">
        <v>1459</v>
      </c>
      <c r="C394" t="s">
        <v>2764</v>
      </c>
      <c r="D394" s="3">
        <f t="shared" si="40"/>
        <v>448</v>
      </c>
      <c r="G394" s="8" t="s">
        <v>1477</v>
      </c>
      <c r="I394" t="s">
        <v>92</v>
      </c>
      <c r="J394" t="s">
        <v>91</v>
      </c>
      <c r="K394">
        <v>399</v>
      </c>
      <c r="L394">
        <v>399</v>
      </c>
      <c r="M394">
        <v>399</v>
      </c>
      <c r="O394" s="61" t="s">
        <v>1343</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constants'!$B$4:$C$1012,2,FALSE),"")</f>
        <v>Elsweyr</v>
      </c>
      <c r="V394" s="33" t="s">
        <v>3266</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constants'!$A$5:$D$10001,4,FALSE),"")</f>
        <v>Sunspire</v>
      </c>
      <c r="AB394" s="33" t="s">
        <v>3266</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constants'!$A$5:$D$10001,4,FALSE),"")</f>
        <v>Sunspire</v>
      </c>
      <c r="AH394" s="33" t="s">
        <v>3266</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8" t="s">
        <v>2653</v>
      </c>
      <c r="BA394" s="78"/>
      <c r="BB394" s="78"/>
      <c r="BC394" s="78"/>
      <c r="BD394" s="78" t="s">
        <v>3832</v>
      </c>
      <c r="BE394" s="21" t="str">
        <f t="shared" si="41"/>
        <v>[448] = {wayshrines={399,399,399,}, dlcId=DLC_ELSWEYR</v>
      </c>
      <c r="BF394" s="21" t="str">
        <f t="shared" si="42"/>
        <v>, zoneIds={1121,1121,1121}, veteran=true</v>
      </c>
      <c r="BG394" s="21" t="str">
        <f t="shared" si="43"/>
        <v>, setType=LIBSETS_SETTYPE_TRIAL</v>
      </c>
      <c r="BH394" s="21" t="str">
        <f t="shared" si="44"/>
        <v>, dropMechanic={LIBSETS_DROP_MECHANIC_TRIAL_BOSS,LIBSETS_DROP_MECHANIC_TRIAL_BOSS,LIBSETS_DROP_MECHANIC_TRIAL_BOSS}, isPerfectedSet=1</v>
      </c>
      <c r="BI394" s="21" t="str">
        <f t="shared" si="45"/>
        <v>}, --Perfected Eye of Nahviintaas / Perfektioniertes Auge von Nahviintaas   [Sunspire, Sunspire, Sunspire]</v>
      </c>
    </row>
    <row r="395" spans="1:61" x14ac:dyDescent="0.25">
      <c r="A395" s="5">
        <v>449</v>
      </c>
      <c r="B395" t="s">
        <v>1456</v>
      </c>
      <c r="C395" t="s">
        <v>2629</v>
      </c>
      <c r="D395" s="3">
        <f t="shared" si="40"/>
        <v>449</v>
      </c>
      <c r="G395" s="8" t="s">
        <v>1477</v>
      </c>
      <c r="I395" t="s">
        <v>92</v>
      </c>
      <c r="J395" t="s">
        <v>91</v>
      </c>
      <c r="K395">
        <v>399</v>
      </c>
      <c r="L395">
        <v>399</v>
      </c>
      <c r="M395">
        <v>399</v>
      </c>
      <c r="O395" s="61" t="s">
        <v>1343</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constants'!$B$4:$C$1012,2,FALSE),"")</f>
        <v>Elsweyr</v>
      </c>
      <c r="V395" s="33" t="s">
        <v>3266</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constants'!$A$5:$D$10001,4,FALSE),"")</f>
        <v>Sunspire</v>
      </c>
      <c r="AB395" s="33" t="s">
        <v>3266</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constants'!$A$5:$D$10001,4,FALSE),"")</f>
        <v>Sunspire</v>
      </c>
      <c r="AH395" s="33" t="s">
        <v>3266</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8" t="s">
        <v>2653</v>
      </c>
      <c r="BA395" s="78"/>
      <c r="BB395" s="78"/>
      <c r="BC395" s="78"/>
      <c r="BD395" s="78" t="s">
        <v>3832</v>
      </c>
      <c r="BE395" s="21" t="str">
        <f t="shared" si="41"/>
        <v>[449] = {wayshrines={399,399,399,}, dlcId=DLC_ELSWEYR</v>
      </c>
      <c r="BF395" s="21" t="str">
        <f t="shared" si="42"/>
        <v>, zoneIds={1121,1121,1121}, veteran=true</v>
      </c>
      <c r="BG395" s="21" t="str">
        <f t="shared" si="43"/>
        <v>, setType=LIBSETS_SETTYPE_TRIAL</v>
      </c>
      <c r="BH395" s="21" t="str">
        <f t="shared" si="44"/>
        <v>, dropMechanic={LIBSETS_DROP_MECHANIC_TRIAL_BOSS,LIBSETS_DROP_MECHANIC_TRIAL_BOSS,LIBSETS_DROP_MECHANIC_TRIAL_BOSS}, isPerfectedSet=1</v>
      </c>
      <c r="BI395" s="21" t="str">
        <f t="shared" si="45"/>
        <v>}, --Perfected False God\'s Devotion / Perfektionierte Ergebenheit zum falschen Gott   [Sunspire, Sunspire, Sunspire]</v>
      </c>
    </row>
    <row r="396" spans="1:61" x14ac:dyDescent="0.25">
      <c r="A396" s="5">
        <v>450</v>
      </c>
      <c r="B396" t="s">
        <v>1457</v>
      </c>
      <c r="C396" t="s">
        <v>1352</v>
      </c>
      <c r="D396" s="3">
        <f t="shared" si="40"/>
        <v>450</v>
      </c>
      <c r="G396" s="8" t="s">
        <v>1477</v>
      </c>
      <c r="I396" t="s">
        <v>92</v>
      </c>
      <c r="J396" t="s">
        <v>91</v>
      </c>
      <c r="K396">
        <v>399</v>
      </c>
      <c r="L396">
        <v>399</v>
      </c>
      <c r="M396">
        <v>399</v>
      </c>
      <c r="O396" s="61" t="s">
        <v>1343</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constants'!$B$4:$C$1012,2,FALSE),"")</f>
        <v>Elsweyr</v>
      </c>
      <c r="V396" s="33" t="s">
        <v>3266</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constants'!$A$5:$D$10001,4,FALSE),"")</f>
        <v>Sunspire</v>
      </c>
      <c r="AB396" s="33" t="s">
        <v>3266</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constants'!$A$5:$D$10001,4,FALSE),"")</f>
        <v>Sunspire</v>
      </c>
      <c r="AH396" s="33" t="s">
        <v>3266</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8" t="s">
        <v>2653</v>
      </c>
      <c r="BA396" s="78"/>
      <c r="BB396" s="78"/>
      <c r="BC396" s="78"/>
      <c r="BD396" s="78" t="s">
        <v>3832</v>
      </c>
      <c r="BE396" s="21" t="str">
        <f t="shared" si="41"/>
        <v>[450] = {wayshrines={399,399,399,}, dlcId=DLC_ELSWEYR</v>
      </c>
      <c r="BF396" s="21" t="str">
        <f t="shared" si="42"/>
        <v>, zoneIds={1121,1121,1121}, veteran=true</v>
      </c>
      <c r="BG396" s="21" t="str">
        <f t="shared" si="43"/>
        <v>, setType=LIBSETS_SETTYPE_TRIAL</v>
      </c>
      <c r="BH396" s="21" t="str">
        <f t="shared" si="44"/>
        <v>, dropMechanic={LIBSETS_DROP_MECHANIC_TRIAL_BOSS,LIBSETS_DROP_MECHANIC_TRIAL_BOSS,LIBSETS_DROP_MECHANIC_TRIAL_BOSS}, isPerfectedSet=1</v>
      </c>
      <c r="BI396" s="21" t="str">
        <f t="shared" si="45"/>
        <v>}, --Perfected Tooth of Lokkestiiz / Perfektionierter Zahn von Lokkestiiz   [Sunspire, Sunspire, Sunspire]</v>
      </c>
    </row>
    <row r="397" spans="1:61" x14ac:dyDescent="0.25">
      <c r="A397" s="5">
        <v>451</v>
      </c>
      <c r="B397" t="s">
        <v>1455</v>
      </c>
      <c r="C397" t="s">
        <v>1353</v>
      </c>
      <c r="D397" s="3">
        <f t="shared" si="40"/>
        <v>451</v>
      </c>
      <c r="G397" s="8" t="s">
        <v>1477</v>
      </c>
      <c r="I397" t="s">
        <v>92</v>
      </c>
      <c r="J397" t="s">
        <v>91</v>
      </c>
      <c r="K397">
        <v>399</v>
      </c>
      <c r="L397">
        <v>399</v>
      </c>
      <c r="M397">
        <v>399</v>
      </c>
      <c r="O397" s="61" t="s">
        <v>1343</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constants'!$B$4:$C$1012,2,FALSE),"")</f>
        <v>Elsweyr</v>
      </c>
      <c r="V397" s="33" t="s">
        <v>3266</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constants'!$A$5:$D$10001,4,FALSE),"")</f>
        <v>Sunspire</v>
      </c>
      <c r="AB397" s="33" t="s">
        <v>3266</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constants'!$A$5:$D$10001,4,FALSE),"")</f>
        <v>Sunspire</v>
      </c>
      <c r="AH397" s="33" t="s">
        <v>3266</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8" t="s">
        <v>2653</v>
      </c>
      <c r="BA397" s="78"/>
      <c r="BB397" s="78"/>
      <c r="BC397" s="78"/>
      <c r="BD397" s="78" t="s">
        <v>3832</v>
      </c>
      <c r="BE397" s="21" t="str">
        <f t="shared" si="41"/>
        <v>[451] = {wayshrines={399,399,399,}, dlcId=DLC_ELSWEYR</v>
      </c>
      <c r="BF397" s="21" t="str">
        <f t="shared" si="42"/>
        <v>, zoneIds={1121,1121,1121}, veteran=true</v>
      </c>
      <c r="BG397" s="21" t="str">
        <f t="shared" si="43"/>
        <v>, setType=LIBSETS_SETTYPE_TRIAL</v>
      </c>
      <c r="BH397" s="21" t="str">
        <f t="shared" si="44"/>
        <v>, dropMechanic={LIBSETS_DROP_MECHANIC_TRIAL_BOSS,LIBSETS_DROP_MECHANIC_TRIAL_BOSS,LIBSETS_DROP_MECHANIC_TRIAL_BOSS}, isPerfectedSet=1</v>
      </c>
      <c r="BI397" s="21" t="str">
        <f t="shared" si="45"/>
        <v>}, --Perfected Claw of Yolnakhriin / Perfektionierte Kralle von Yolnahkriin   [Sunspire, Sunspire, Sunspire]</v>
      </c>
    </row>
    <row r="398" spans="1:61" x14ac:dyDescent="0.25">
      <c r="A398" s="5">
        <v>452</v>
      </c>
      <c r="B398" t="s">
        <v>1496</v>
      </c>
      <c r="C398" t="s">
        <v>1495</v>
      </c>
      <c r="D398" s="3">
        <f t="shared" si="40"/>
        <v>452</v>
      </c>
      <c r="G398" s="3" t="s">
        <v>1473</v>
      </c>
      <c r="I398" t="s">
        <v>91</v>
      </c>
      <c r="J398" t="s">
        <v>91</v>
      </c>
      <c r="K398">
        <v>391</v>
      </c>
      <c r="L398">
        <v>391</v>
      </c>
      <c r="M398">
        <v>391</v>
      </c>
      <c r="O398" s="61" t="s">
        <v>1482</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constants'!$B$4:$C$1012,2,FALSE),"")</f>
        <v>Scalebraker</v>
      </c>
      <c r="V398" s="33" t="s">
        <v>3285</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8" t="s">
        <v>2653</v>
      </c>
      <c r="BA398" s="78"/>
      <c r="BB398" s="78"/>
      <c r="BC398" s="78"/>
      <c r="BD398" s="78"/>
      <c r="BE398" s="21" t="str">
        <f t="shared" si="41"/>
        <v>[452] = {wayshrines={391,391,391,}, dlcId=DLC_SCALEBREAKER</v>
      </c>
      <c r="BF398" s="21" t="str">
        <f t="shared" si="42"/>
        <v>, zoneIds={1122,1086,1086}, veteran=false</v>
      </c>
      <c r="BG398" s="21" t="str">
        <f t="shared" si="43"/>
        <v>, setType=LIBSETS_SETTYPE_DUNGEON</v>
      </c>
      <c r="BH398" s="21" t="str">
        <f t="shared" si="44"/>
        <v>, dropMechanic={LIBSETS_DROP_MECHANIC_GROUP_DUNGEON_BOSS}</v>
      </c>
      <c r="BI398" s="21" t="str">
        <f t="shared" si="45"/>
        <v>}, --Hollowfang Thirst / Hohlzahndurst   [Moongrave Fane, Northern Elsweyr, Northern Elsweyr]</v>
      </c>
    </row>
    <row r="399" spans="1:61" x14ac:dyDescent="0.25">
      <c r="A399" s="5">
        <v>453</v>
      </c>
      <c r="B399" t="s">
        <v>1497</v>
      </c>
      <c r="C399" t="s">
        <v>2630</v>
      </c>
      <c r="D399" s="3">
        <f t="shared" si="40"/>
        <v>453</v>
      </c>
      <c r="G399" s="3" t="s">
        <v>1473</v>
      </c>
      <c r="I399" t="s">
        <v>91</v>
      </c>
      <c r="J399" t="s">
        <v>91</v>
      </c>
      <c r="K399">
        <v>391</v>
      </c>
      <c r="L399">
        <v>391</v>
      </c>
      <c r="M399">
        <v>391</v>
      </c>
      <c r="O399" s="61" t="s">
        <v>1482</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constants'!$B$4:$C$1012,2,FALSE),"")</f>
        <v>Scalebraker</v>
      </c>
      <c r="V399" s="33" t="s">
        <v>3285</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8" t="s">
        <v>2653</v>
      </c>
      <c r="BA399" s="78"/>
      <c r="BB399" s="78"/>
      <c r="BC399" s="78"/>
      <c r="BD399" s="78"/>
      <c r="BE399" s="21" t="str">
        <f t="shared" si="41"/>
        <v>[453] = {wayshrines={391,391,391,}, dlcId=DLC_SCALEBREAKER</v>
      </c>
      <c r="BF399" s="21" t="str">
        <f t="shared" si="42"/>
        <v>, zoneIds={1122,1086,1086}, veteran=false</v>
      </c>
      <c r="BG399" s="21" t="str">
        <f t="shared" si="43"/>
        <v>, setType=LIBSETS_SETTYPE_DUNGEON</v>
      </c>
      <c r="BH399" s="21" t="str">
        <f t="shared" si="44"/>
        <v>, dropMechanic={LIBSETS_DROP_MECHANIC_GROUP_DUNGEON_BOSS}</v>
      </c>
      <c r="BI399" s="21" t="str">
        <f t="shared" si="45"/>
        <v>}, --Dro\'Zakar\'s Claws / Dro'Zakars Krallen   [Moongrave Fane, Northern Elsweyr, Northern Elsweyr]</v>
      </c>
    </row>
    <row r="400" spans="1:61" x14ac:dyDescent="0.25">
      <c r="A400" s="5">
        <v>454</v>
      </c>
      <c r="B400" t="s">
        <v>1498</v>
      </c>
      <c r="C400" t="s">
        <v>2631</v>
      </c>
      <c r="D400" s="3">
        <f t="shared" si="40"/>
        <v>454</v>
      </c>
      <c r="G400" s="3" t="s">
        <v>1473</v>
      </c>
      <c r="I400" t="s">
        <v>91</v>
      </c>
      <c r="J400" t="s">
        <v>91</v>
      </c>
      <c r="K400">
        <v>391</v>
      </c>
      <c r="L400">
        <v>391</v>
      </c>
      <c r="M400">
        <v>391</v>
      </c>
      <c r="O400" s="61" t="s">
        <v>1482</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constants'!$B$4:$C$1012,2,FALSE),"")</f>
        <v>Scalebraker</v>
      </c>
      <c r="V400" s="33" t="s">
        <v>3285</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8" t="s">
        <v>2653</v>
      </c>
      <c r="BA400" s="78"/>
      <c r="BB400" s="78"/>
      <c r="BC400" s="78"/>
      <c r="BD400" s="78"/>
      <c r="BE400" s="21" t="str">
        <f t="shared" si="41"/>
        <v>[454] = {wayshrines={391,391,391,}, dlcId=DLC_SCALEBREAKER</v>
      </c>
      <c r="BF400" s="21" t="str">
        <f t="shared" si="42"/>
        <v>, zoneIds={1122,1086,1086}, veteran=false</v>
      </c>
      <c r="BG400" s="21" t="str">
        <f t="shared" si="43"/>
        <v>, setType=LIBSETS_SETTYPE_DUNGEON</v>
      </c>
      <c r="BH400" s="21" t="str">
        <f t="shared" si="44"/>
        <v>, dropMechanic={LIBSETS_DROP_MECHANIC_GROUP_DUNGEON_BOSS}</v>
      </c>
      <c r="BI400" s="21" t="str">
        <f t="shared" si="45"/>
        <v>}, --Renald\'s Resolve / Renalds Entschlossenheit   [Moongrave Fane, Northern Elsweyr, Northern Elsweyr]</v>
      </c>
    </row>
    <row r="401" spans="1:61" x14ac:dyDescent="0.25">
      <c r="A401" s="5">
        <v>455</v>
      </c>
      <c r="B401" t="s">
        <v>1499</v>
      </c>
      <c r="C401" t="s">
        <v>2632</v>
      </c>
      <c r="D401" s="3">
        <f t="shared" si="40"/>
        <v>455</v>
      </c>
      <c r="G401" s="3" t="s">
        <v>1473</v>
      </c>
      <c r="I401" t="s">
        <v>91</v>
      </c>
      <c r="J401" t="s">
        <v>91</v>
      </c>
      <c r="K401">
        <v>398</v>
      </c>
      <c r="L401">
        <v>398</v>
      </c>
      <c r="M401">
        <v>398</v>
      </c>
      <c r="O401" s="61" t="s">
        <v>1483</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constants'!$B$4:$C$1012,2,FALSE),"")</f>
        <v>Scalebraker</v>
      </c>
      <c r="V401" s="33" t="s">
        <v>3285</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8" t="s">
        <v>2653</v>
      </c>
      <c r="BA401" s="78"/>
      <c r="BB401" s="78"/>
      <c r="BC401" s="78"/>
      <c r="BD401" s="78"/>
      <c r="BE401" s="21" t="str">
        <f t="shared" si="41"/>
        <v>[455] = {wayshrines={398,398,398,}, dlcId=DLC_SCALEBREAKER</v>
      </c>
      <c r="BF401" s="21" t="str">
        <f t="shared" si="42"/>
        <v>, zoneIds={1123,383,383}, veteran=false</v>
      </c>
      <c r="BG401" s="21" t="str">
        <f t="shared" si="43"/>
        <v>, setType=LIBSETS_SETTYPE_DUNGEON</v>
      </c>
      <c r="BH401" s="21" t="str">
        <f t="shared" si="44"/>
        <v>, dropMechanic={LIBSETS_DROP_MECHANIC_GROUP_DUNGEON_BOSS}</v>
      </c>
      <c r="BI401" s="21" t="str">
        <f t="shared" si="45"/>
        <v>}, --Z\'en\'s Redress / Z'ens Wiedergutmachung   [Lair of Maarselok, Grahtwood, Grahtwood]</v>
      </c>
    </row>
    <row r="402" spans="1:61" x14ac:dyDescent="0.25">
      <c r="A402" s="5">
        <v>456</v>
      </c>
      <c r="B402" t="s">
        <v>1501</v>
      </c>
      <c r="C402" t="s">
        <v>1500</v>
      </c>
      <c r="D402" s="3">
        <f t="shared" si="40"/>
        <v>456</v>
      </c>
      <c r="G402" s="3" t="s">
        <v>1473</v>
      </c>
      <c r="I402" t="s">
        <v>91</v>
      </c>
      <c r="J402" t="s">
        <v>91</v>
      </c>
      <c r="K402">
        <v>398</v>
      </c>
      <c r="L402">
        <v>398</v>
      </c>
      <c r="M402">
        <v>398</v>
      </c>
      <c r="O402" s="61" t="s">
        <v>1483</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constants'!$B$4:$C$1012,2,FALSE),"")</f>
        <v>Scalebraker</v>
      </c>
      <c r="V402" s="33" t="s">
        <v>3285</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8" t="s">
        <v>2653</v>
      </c>
      <c r="BA402" s="78"/>
      <c r="BB402" s="78"/>
      <c r="BC402" s="78"/>
      <c r="BD402" s="78"/>
      <c r="BE402" s="21" t="str">
        <f t="shared" si="41"/>
        <v>[456] = {wayshrines={398,398,398,}, dlcId=DLC_SCALEBREAKER</v>
      </c>
      <c r="BF402" s="21" t="str">
        <f t="shared" si="42"/>
        <v>, zoneIds={1123,383,383}, veteran=false</v>
      </c>
      <c r="BG402" s="21" t="str">
        <f t="shared" si="43"/>
        <v>, setType=LIBSETS_SETTYPE_DUNGEON</v>
      </c>
      <c r="BH402" s="21" t="str">
        <f t="shared" si="44"/>
        <v>, dropMechanic={LIBSETS_DROP_MECHANIC_GROUP_DUNGEON_BOSS}</v>
      </c>
      <c r="BI402" s="21" t="str">
        <f t="shared" si="45"/>
        <v>}, --Azureblight Reaper / Azurfäuleschnitter   [Lair of Maarselok, Grahtwood, Grahtwood]</v>
      </c>
    </row>
    <row r="403" spans="1:61" x14ac:dyDescent="0.25">
      <c r="A403" s="5">
        <v>457</v>
      </c>
      <c r="B403" t="s">
        <v>1502</v>
      </c>
      <c r="C403" t="s">
        <v>2633</v>
      </c>
      <c r="D403" s="3">
        <f t="shared" si="40"/>
        <v>457</v>
      </c>
      <c r="G403" s="3" t="s">
        <v>1473</v>
      </c>
      <c r="I403" t="s">
        <v>91</v>
      </c>
      <c r="J403" t="s">
        <v>91</v>
      </c>
      <c r="K403">
        <v>398</v>
      </c>
      <c r="L403">
        <v>398</v>
      </c>
      <c r="M403">
        <v>398</v>
      </c>
      <c r="O403" s="61" t="s">
        <v>1483</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constants'!$B$4:$C$1012,2,FALSE),"")</f>
        <v>Scalebraker</v>
      </c>
      <c r="V403" s="33" t="s">
        <v>3285</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8" t="s">
        <v>2653</v>
      </c>
      <c r="BA403" s="78"/>
      <c r="BB403" s="78"/>
      <c r="BC403" s="78"/>
      <c r="BD403" s="78"/>
      <c r="BE403" s="21" t="str">
        <f t="shared" si="41"/>
        <v>[457] = {wayshrines={398,398,398,}, dlcId=DLC_SCALEBREAKER</v>
      </c>
      <c r="BF403" s="21" t="str">
        <f t="shared" si="42"/>
        <v>, zoneIds={1123,383,383}, veteran=false</v>
      </c>
      <c r="BG403" s="21" t="str">
        <f t="shared" si="43"/>
        <v>, setType=LIBSETS_SETTYPE_DUNGEON</v>
      </c>
      <c r="BH403" s="21" t="str">
        <f t="shared" si="44"/>
        <v>, dropMechanic={LIBSETS_DROP_MECHANIC_GROUP_DUNGEON_BOSS}</v>
      </c>
      <c r="BI403" s="21" t="str">
        <f t="shared" si="45"/>
        <v>}, --Dragon\'s Defilement / Drachenschändung   [Lair of Maarselok, Grahtwood, Grahtwood]</v>
      </c>
    </row>
    <row r="404" spans="1:61" x14ac:dyDescent="0.25">
      <c r="A404" s="5">
        <v>458</v>
      </c>
      <c r="B404" t="s">
        <v>1503</v>
      </c>
      <c r="C404" t="s">
        <v>1503</v>
      </c>
      <c r="D404" s="3">
        <f t="shared" si="40"/>
        <v>458</v>
      </c>
      <c r="G404" s="3" t="s">
        <v>1475</v>
      </c>
      <c r="H404" s="86">
        <v>3</v>
      </c>
      <c r="I404" t="s">
        <v>1462</v>
      </c>
      <c r="J404" t="s">
        <v>91</v>
      </c>
      <c r="K404">
        <v>391</v>
      </c>
      <c r="L404">
        <v>391</v>
      </c>
      <c r="M404">
        <v>391</v>
      </c>
      <c r="O404" s="61" t="s">
        <v>1482</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constants'!$B$4:$C$1012,2,FALSE),"")</f>
        <v>Scalebraker</v>
      </c>
      <c r="V404" s="33" t="s">
        <v>1538</v>
      </c>
      <c r="W404" s="3" t="s">
        <v>1503</v>
      </c>
      <c r="X404" s="3" t="s">
        <v>1503</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8" t="s">
        <v>2653</v>
      </c>
      <c r="BA404" s="78"/>
      <c r="BB404" s="78"/>
      <c r="BC404" s="78"/>
      <c r="BD404" s="78"/>
      <c r="BE404" s="21" t="str">
        <f t="shared" si="41"/>
        <v>[458] = {wayshrines={391,391,391,}, dlcId=DLC_SCALEBREAKER</v>
      </c>
      <c r="BF404" s="21" t="str">
        <f t="shared" si="42"/>
        <v>, zoneIds={1122,1086,1086}, veteran={[EQUIP_TYPE_HEAD]=true, [EQUIP_TYPE_SHOULDERS]=false}</v>
      </c>
      <c r="BG404" s="21" t="str">
        <f t="shared" si="43"/>
        <v>, setType=LIBSETS_SETTYPE_MONSTER, undauntedChestId=3</v>
      </c>
      <c r="BH404" s="21" t="str">
        <f t="shared" si="44"/>
        <v>, dropMechanic={LIBSETS_DROP_MECHANIC_MONSTER_NAME}, dropMechanicDropLocationNames={['en']={'Grundwulf','','','','','',},['de']={'Grundwulf','','','','','',},}</v>
      </c>
      <c r="BI404" s="21" t="str">
        <f t="shared" si="45"/>
        <v>}, --Grundwulf / Grundwulf   [Moongrave Fane, Northern Elsweyr, Northern Elsweyr]</v>
      </c>
    </row>
    <row r="405" spans="1:61" x14ac:dyDescent="0.25">
      <c r="A405" s="5">
        <v>459</v>
      </c>
      <c r="B405" t="s">
        <v>1504</v>
      </c>
      <c r="C405" t="s">
        <v>1504</v>
      </c>
      <c r="D405" s="3">
        <f t="shared" si="40"/>
        <v>459</v>
      </c>
      <c r="G405" s="3" t="s">
        <v>1475</v>
      </c>
      <c r="H405" s="86">
        <v>3</v>
      </c>
      <c r="I405" t="s">
        <v>1462</v>
      </c>
      <c r="J405" t="s">
        <v>91</v>
      </c>
      <c r="K405">
        <v>398</v>
      </c>
      <c r="L405">
        <v>398</v>
      </c>
      <c r="M405">
        <v>398</v>
      </c>
      <c r="O405" s="61" t="s">
        <v>1483</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constants'!$B$4:$C$1012,2,FALSE),"")</f>
        <v>Scalebraker</v>
      </c>
      <c r="V405" s="33" t="s">
        <v>1538</v>
      </c>
      <c r="W405" s="3" t="s">
        <v>1504</v>
      </c>
      <c r="X405" s="3" t="s">
        <v>1504</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8" t="s">
        <v>2653</v>
      </c>
      <c r="BA405" s="78"/>
      <c r="BB405" s="78"/>
      <c r="BC405" s="78"/>
      <c r="BD405" s="78"/>
      <c r="BE405" s="21" t="str">
        <f t="shared" si="41"/>
        <v>[459] = {wayshrines={398,398,398,}, dlcId=DLC_SCALEBREAKER</v>
      </c>
      <c r="BF405" s="21" t="str">
        <f t="shared" si="42"/>
        <v>, zoneIds={1123,383,383}, veteran={[EQUIP_TYPE_HEAD]=true, [EQUIP_TYPE_SHOULDERS]=false}</v>
      </c>
      <c r="BG405" s="21" t="str">
        <f t="shared" si="43"/>
        <v>, setType=LIBSETS_SETTYPE_MONSTER, undauntedChestId=3</v>
      </c>
      <c r="BH405" s="21" t="str">
        <f t="shared" si="44"/>
        <v>, dropMechanic={LIBSETS_DROP_MECHANIC_MONSTER_NAME}, dropMechanicDropLocationNames={['en']={'Maarselok','','','','','',},['de']={'Maarselok','','','','','',},}</v>
      </c>
      <c r="BI405" s="21" t="str">
        <f t="shared" si="45"/>
        <v>}, --Maarselok / Maarselok   [Lair of Maarselok, Grahtwood, Grahtwood]</v>
      </c>
    </row>
    <row r="406" spans="1:61" x14ac:dyDescent="0.25">
      <c r="A406" s="5">
        <v>465</v>
      </c>
      <c r="B406" t="s">
        <v>1595</v>
      </c>
      <c r="C406" t="s">
        <v>1596</v>
      </c>
      <c r="D406" s="3">
        <f t="shared" si="40"/>
        <v>465</v>
      </c>
      <c r="G406" s="8" t="s">
        <v>1476</v>
      </c>
      <c r="I406" t="s">
        <v>91</v>
      </c>
      <c r="J406" t="s">
        <v>91</v>
      </c>
      <c r="K406">
        <v>402</v>
      </c>
      <c r="L406">
        <v>402</v>
      </c>
      <c r="M406">
        <v>402</v>
      </c>
      <c r="O406" s="61" t="s">
        <v>1580</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constants'!$B$4:$C$1012,2,FALSE),"")</f>
        <v>Included in base game</v>
      </c>
      <c r="V406" s="33" t="s">
        <v>1554</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constants'!$A$5:$D$10001,4,FALSE),"")</f>
        <v>Southern Elsweyr</v>
      </c>
      <c r="AB406" s="33" t="s">
        <v>1554</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constants'!$A$5:$D$10001,4,FALSE),"")</f>
        <v>Southern Elsweyr</v>
      </c>
      <c r="AH406" s="33" t="s">
        <v>1557</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8" t="s">
        <v>2653</v>
      </c>
      <c r="BA406" s="78"/>
      <c r="BB406" s="78"/>
      <c r="BC406" s="78"/>
      <c r="BD406" s="78"/>
      <c r="BE406" s="21" t="str">
        <f t="shared" si="41"/>
        <v>[465] = {wayshrines={402,402,402,}, dlcId=DLC_BASE_GAME</v>
      </c>
      <c r="BF406" s="21" t="str">
        <f t="shared" si="42"/>
        <v>, zoneIds={1133,1133,1133}, veteran=false</v>
      </c>
      <c r="BG406" s="21" t="str">
        <f t="shared" si="43"/>
        <v>, setType=LIBSETS_SETTYPE_OVERLAND</v>
      </c>
      <c r="BH406" s="21" t="str">
        <f t="shared" si="44"/>
        <v>, dropMechanic={LIBSETS_DROP_MECHANIC_OVERLAND_BOSS_DELVE,LIBSETS_DROP_MECHANIC_OVERLAND_BOSS_DELVE,LIBSETS_DROP_MECHANIC_OVERLAND_CHEST}</v>
      </c>
      <c r="BI406" s="21" t="str">
        <f t="shared" si="45"/>
        <v>}, --Senchal Defender / Verteidiger von Senchal   [Southern Elsweyr, Southern Elsweyr, Southern Elsweyr]</v>
      </c>
    </row>
    <row r="407" spans="1:61" x14ac:dyDescent="0.25">
      <c r="A407" s="5">
        <v>466</v>
      </c>
      <c r="B407" t="s">
        <v>1605</v>
      </c>
      <c r="C407" t="s">
        <v>2634</v>
      </c>
      <c r="D407" s="3">
        <f t="shared" si="40"/>
        <v>466</v>
      </c>
      <c r="G407" s="8" t="s">
        <v>1476</v>
      </c>
      <c r="I407" t="s">
        <v>91</v>
      </c>
      <c r="J407" t="s">
        <v>91</v>
      </c>
      <c r="K407">
        <v>402</v>
      </c>
      <c r="L407">
        <v>402</v>
      </c>
      <c r="M407">
        <v>402</v>
      </c>
      <c r="O407" s="61" t="s">
        <v>1580</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constants'!$B$4:$C$1012,2,FALSE),"")</f>
        <v>Included in base game</v>
      </c>
      <c r="V407" s="33" t="s">
        <v>1554</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constants'!$A$5:$D$10001,4,FALSE),"")</f>
        <v>Southern Elsweyr</v>
      </c>
      <c r="AB407" s="33" t="s">
        <v>1554</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constants'!$A$5:$D$10001,4,FALSE),"")</f>
        <v>Southern Elsweyr</v>
      </c>
      <c r="AH407" s="33" t="s">
        <v>1557</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8" t="s">
        <v>2653</v>
      </c>
      <c r="BA407" s="78"/>
      <c r="BB407" s="78"/>
      <c r="BC407" s="78"/>
      <c r="BD407" s="78"/>
      <c r="BE407" s="21" t="str">
        <f t="shared" si="41"/>
        <v>[466] = {wayshrines={402,402,402,}, dlcId=DLC_BASE_GAME</v>
      </c>
      <c r="BF407" s="21" t="str">
        <f t="shared" si="42"/>
        <v>, zoneIds={1133,1133,1133}, veteran=false</v>
      </c>
      <c r="BG407" s="21" t="str">
        <f t="shared" si="43"/>
        <v>, setType=LIBSETS_SETTYPE_OVERLAND</v>
      </c>
      <c r="BH407" s="21" t="str">
        <f t="shared" si="44"/>
        <v>, dropMechanic={LIBSETS_DROP_MECHANIC_OVERLAND_BOSS_DELVE,LIBSETS_DROP_MECHANIC_OVERLAND_BOSS_DELVE,LIBSETS_DROP_MECHANIC_OVERLAND_CHEST}</v>
      </c>
      <c r="BI407" s="21" t="str">
        <f t="shared" si="45"/>
        <v>}, --Marauder\'s Haste / Marodeurshast   [Southern Elsweyr, Southern Elsweyr, Southern Elsweyr]</v>
      </c>
    </row>
    <row r="408" spans="1:61" x14ac:dyDescent="0.25">
      <c r="A408" s="5">
        <v>467</v>
      </c>
      <c r="B408" t="s">
        <v>1604</v>
      </c>
      <c r="C408" t="s">
        <v>1597</v>
      </c>
      <c r="D408" s="3">
        <f t="shared" si="40"/>
        <v>467</v>
      </c>
      <c r="G408" s="8" t="s">
        <v>1476</v>
      </c>
      <c r="I408" t="s">
        <v>91</v>
      </c>
      <c r="J408" t="s">
        <v>91</v>
      </c>
      <c r="K408">
        <v>402</v>
      </c>
      <c r="L408">
        <v>402</v>
      </c>
      <c r="M408">
        <v>402</v>
      </c>
      <c r="O408" s="61" t="s">
        <v>1580</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constants'!$B$4:$C$1012,2,FALSE),"")</f>
        <v>Included in base game</v>
      </c>
      <c r="V408" s="33" t="s">
        <v>1554</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constants'!$A$5:$D$10001,4,FALSE),"")</f>
        <v>Southern Elsweyr</v>
      </c>
      <c r="AB408" s="33" t="s">
        <v>1554</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constants'!$A$5:$D$10001,4,FALSE),"")</f>
        <v>Southern Elsweyr</v>
      </c>
      <c r="AH408" s="33" t="s">
        <v>1557</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8" t="s">
        <v>2653</v>
      </c>
      <c r="BA408" s="78"/>
      <c r="BB408" s="78"/>
      <c r="BC408" s="78"/>
      <c r="BD408" s="78"/>
      <c r="BE408" s="21" t="str">
        <f t="shared" si="41"/>
        <v>[467] = {wayshrines={402,402,402,}, dlcId=DLC_BASE_GAME</v>
      </c>
      <c r="BF408" s="21" t="str">
        <f t="shared" si="42"/>
        <v>, zoneIds={1133,1133,1133}, veteran=false</v>
      </c>
      <c r="BG408" s="21" t="str">
        <f t="shared" si="43"/>
        <v>, setType=LIBSETS_SETTYPE_OVERLAND</v>
      </c>
      <c r="BH408" s="21" t="str">
        <f t="shared" si="44"/>
        <v>, dropMechanic={LIBSETS_DROP_MECHANIC_OVERLAND_BOSS_DELVE,LIBSETS_DROP_MECHANIC_OVERLAND_BOSS_DELVE,LIBSETS_DROP_MECHANIC_OVERLAND_CHEST}</v>
      </c>
      <c r="BI408" s="21" t="str">
        <f t="shared" si="45"/>
        <v>}, --Dragonguard Elite / Drachengardeelite   [Southern Elsweyr, Southern Elsweyr, Southern Elsweyr]</v>
      </c>
    </row>
    <row r="409" spans="1:61" x14ac:dyDescent="0.25">
      <c r="A409" s="5">
        <v>468</v>
      </c>
      <c r="B409" t="s">
        <v>1603</v>
      </c>
      <c r="C409" t="s">
        <v>1598</v>
      </c>
      <c r="D409" s="3">
        <f t="shared" si="40"/>
        <v>468</v>
      </c>
      <c r="E409" s="40"/>
      <c r="G409" s="8" t="s">
        <v>1470</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constants'!$B$4:$C$1012,2,FALSE),"")</f>
        <v>Included in base game</v>
      </c>
      <c r="V409" s="33" t="s">
        <v>3288</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constants'!$A$5:$D$10001,4,FALSE),"")</f>
        <v>Southern Elsweyr</v>
      </c>
      <c r="AB409" s="33" t="s">
        <v>3288</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8" t="s">
        <v>2653</v>
      </c>
      <c r="BA409" s="78"/>
      <c r="BB409" s="78"/>
      <c r="BC409" s="78"/>
      <c r="BD409" s="78"/>
      <c r="BE409" s="21" t="str">
        <f t="shared" si="41"/>
        <v>[468] = {wayshrines={403,403,403,}, traitsNeeded=3, dlcId=DLC_BASE_GAME</v>
      </c>
      <c r="BF409" s="21" t="str">
        <f t="shared" si="42"/>
        <v>, zoneIds={1133,1133,1133}, veteran=false</v>
      </c>
      <c r="BG409" s="21" t="str">
        <f t="shared" si="43"/>
        <v>, setType=LIBSETS_SETTYPE_CRAFTED</v>
      </c>
      <c r="BH409" s="21" t="str">
        <f t="shared" si="44"/>
        <v>, dropMechanic={LIBSETS_DROP_MECHANIC_CRAFTED,LIBSETS_DROP_MECHANIC_CRAFTED}</v>
      </c>
      <c r="BI409" s="21" t="str">
        <f t="shared" si="45"/>
        <v>}, --Daring Corsair / Kühner Korsar   [Southern Elsweyr, Southern Elsweyr, Southern Elsweyr]</v>
      </c>
    </row>
    <row r="410" spans="1:61" x14ac:dyDescent="0.25">
      <c r="A410" s="5">
        <v>469</v>
      </c>
      <c r="B410" t="s">
        <v>1602</v>
      </c>
      <c r="C410" t="s">
        <v>1599</v>
      </c>
      <c r="D410" s="3">
        <f t="shared" si="40"/>
        <v>469</v>
      </c>
      <c r="G410" s="8" t="s">
        <v>1470</v>
      </c>
      <c r="I410" t="s">
        <v>91</v>
      </c>
      <c r="J410" t="s">
        <v>91</v>
      </c>
      <c r="K410">
        <v>407</v>
      </c>
      <c r="L410">
        <v>407</v>
      </c>
      <c r="M410">
        <v>407</v>
      </c>
      <c r="N410">
        <v>6</v>
      </c>
      <c r="O410" s="61" t="s">
        <v>1580</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constants'!$B$4:$C$1012,2,FALSE),"")</f>
        <v>Included in base game</v>
      </c>
      <c r="V410" s="33" t="s">
        <v>3288</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constants'!$A$5:$D$10001,4,FALSE),"")</f>
        <v>Southern Elsweyr</v>
      </c>
      <c r="AB410" s="33" t="s">
        <v>3288</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8" t="s">
        <v>2653</v>
      </c>
      <c r="BA410" s="78"/>
      <c r="BB410" s="78"/>
      <c r="BC410" s="78"/>
      <c r="BD410" s="78"/>
      <c r="BE410" s="21" t="str">
        <f t="shared" si="41"/>
        <v>[469] = {wayshrines={407,407,407,}, traitsNeeded=6, dlcId=DLC_BASE_GAME</v>
      </c>
      <c r="BF410" s="21" t="str">
        <f t="shared" si="42"/>
        <v>, zoneIds={1133,1133,1133}, veteran=false</v>
      </c>
      <c r="BG410" s="21" t="str">
        <f t="shared" si="43"/>
        <v>, setType=LIBSETS_SETTYPE_CRAFTED</v>
      </c>
      <c r="BH410" s="21" t="str">
        <f t="shared" si="44"/>
        <v>, dropMechanic={LIBSETS_DROP_MECHANIC_CRAFTED,LIBSETS_DROP_MECHANIC_CRAFTED}</v>
      </c>
      <c r="BI410" s="21" t="str">
        <f t="shared" si="45"/>
        <v>}, --Ancient Dragonguard / Alte Drachengarde   [Southern Elsweyr, Southern Elsweyr, Southern Elsweyr]</v>
      </c>
    </row>
    <row r="411" spans="1:61" x14ac:dyDescent="0.25">
      <c r="A411" s="5">
        <v>470</v>
      </c>
      <c r="B411" t="s">
        <v>1601</v>
      </c>
      <c r="C411" t="s">
        <v>1600</v>
      </c>
      <c r="D411" s="3">
        <f t="shared" si="40"/>
        <v>470</v>
      </c>
      <c r="G411" s="8" t="s">
        <v>1470</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constants'!$B$4:$C$1012,2,FALSE),"")</f>
        <v>Included in base game</v>
      </c>
      <c r="V411" s="33" t="s">
        <v>3288</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constants'!$A$5:$D$10001,4,FALSE),"")</f>
        <v>Southern Elsweyr</v>
      </c>
      <c r="AB411" s="33" t="s">
        <v>3288</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constants'!$A$5:$D$10001,4,FALSE),"")</f>
        <v>Southern Elsweyr</v>
      </c>
      <c r="AH411" s="33" t="s">
        <v>3288</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8" t="s">
        <v>2653</v>
      </c>
      <c r="BA411" s="78"/>
      <c r="BB411" s="78"/>
      <c r="BC411" s="78"/>
      <c r="BD411" s="78"/>
      <c r="BE411" s="21" t="str">
        <f t="shared" si="41"/>
        <v>[470] = {wayshrines={406,406,406,}, traitsNeeded=9, dlcId=DLC_BASE_GAME</v>
      </c>
      <c r="BF411" s="21" t="str">
        <f t="shared" si="42"/>
        <v>, zoneIds={1133,1133,1133}, veteran=false</v>
      </c>
      <c r="BG411" s="21" t="str">
        <f t="shared" si="43"/>
        <v>, setType=LIBSETS_SETTYPE_CRAFTED</v>
      </c>
      <c r="BH411" s="21" t="str">
        <f t="shared" si="44"/>
        <v>, dropMechanic={LIBSETS_DROP_MECHANIC_CRAFTED,LIBSETS_DROP_MECHANIC_CRAFTED,LIBSETS_DROP_MECHANIC_CRAFTED}</v>
      </c>
      <c r="BI411" s="21" t="str">
        <f t="shared" si="45"/>
        <v>}, --New Moon Acolyte / Akolythin des Neuen Mondes   [Southern Elsweyr, Southern Elsweyr, Southern Elsweyr]</v>
      </c>
    </row>
    <row r="412" spans="1:61" x14ac:dyDescent="0.25">
      <c r="A412" s="5">
        <v>471</v>
      </c>
      <c r="B412" t="s">
        <v>1659</v>
      </c>
      <c r="C412" t="s">
        <v>1658</v>
      </c>
      <c r="D412" s="3">
        <f t="shared" si="40"/>
        <v>471</v>
      </c>
      <c r="G412" s="3" t="s">
        <v>1473</v>
      </c>
      <c r="I412" t="s">
        <v>91</v>
      </c>
      <c r="J412" t="s">
        <v>91</v>
      </c>
      <c r="K412">
        <v>424</v>
      </c>
      <c r="L412">
        <v>424</v>
      </c>
      <c r="M412">
        <v>424</v>
      </c>
      <c r="O412" s="61" t="s">
        <v>1643</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constants'!$B$4:$C$1012,2,FALSE),"")</f>
        <v>Harrowstorm</v>
      </c>
      <c r="V412" s="33" t="s">
        <v>3285</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8" t="s">
        <v>2653</v>
      </c>
      <c r="BA412" s="78"/>
      <c r="BB412" s="78"/>
      <c r="BC412" s="78"/>
      <c r="BD412" s="78"/>
      <c r="BE412" s="21" t="str">
        <f t="shared" si="41"/>
        <v>[471] = {wayshrines={424,424,424,}, dlcId=DLC_HARROWSTORM</v>
      </c>
      <c r="BF412" s="21" t="str">
        <f t="shared" si="42"/>
        <v>, zoneIds={1152,684,684}, veteran=false</v>
      </c>
      <c r="BG412" s="21" t="str">
        <f t="shared" si="43"/>
        <v>, setType=LIBSETS_SETTYPE_DUNGEON</v>
      </c>
      <c r="BH412" s="21" t="str">
        <f t="shared" si="44"/>
        <v>, dropMechanic={LIBSETS_DROP_MECHANIC_GROUP_DUNGEON_BOSS}</v>
      </c>
      <c r="BI412" s="21" t="str">
        <f t="shared" si="45"/>
        <v>}, --Hiti\'s Hearth / Hitis Feuerstelle   [Icereach, Wrothgar, Wrothgar]</v>
      </c>
    </row>
    <row r="413" spans="1:61" x14ac:dyDescent="0.25">
      <c r="A413" s="5">
        <v>472</v>
      </c>
      <c r="B413" t="s">
        <v>1660</v>
      </c>
      <c r="C413" t="s">
        <v>1644</v>
      </c>
      <c r="D413" s="3">
        <f t="shared" si="40"/>
        <v>472</v>
      </c>
      <c r="G413" s="3" t="s">
        <v>1473</v>
      </c>
      <c r="I413" t="s">
        <v>91</v>
      </c>
      <c r="J413" t="s">
        <v>91</v>
      </c>
      <c r="K413">
        <v>424</v>
      </c>
      <c r="L413">
        <v>424</v>
      </c>
      <c r="M413">
        <v>424</v>
      </c>
      <c r="O413" s="61" t="s">
        <v>1643</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constants'!$B$4:$C$1012,2,FALSE),"")</f>
        <v>Harrowstorm</v>
      </c>
      <c r="V413" s="33" t="s">
        <v>3285</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8" t="s">
        <v>2653</v>
      </c>
      <c r="BA413" s="78"/>
      <c r="BB413" s="78"/>
      <c r="BC413" s="78"/>
      <c r="BD413" s="78"/>
      <c r="BE413" s="21" t="str">
        <f t="shared" si="41"/>
        <v>[472] = {wayshrines={424,424,424,}, dlcId=DLC_HARROWSTORM</v>
      </c>
      <c r="BF413" s="21" t="str">
        <f t="shared" si="42"/>
        <v>, zoneIds={1152,684,684}, veteran=false</v>
      </c>
      <c r="BG413" s="21" t="str">
        <f t="shared" si="43"/>
        <v>, setType=LIBSETS_SETTYPE_DUNGEON</v>
      </c>
      <c r="BH413" s="21" t="str">
        <f t="shared" si="44"/>
        <v>, dropMechanic={LIBSETS_DROP_MECHANIC_GROUP_DUNGEON_BOSS}</v>
      </c>
      <c r="BI413" s="21" t="str">
        <f t="shared" si="45"/>
        <v>}, --Titanborn Strength / Titanenkinds Stärke   [Icereach, Wrothgar, Wrothgar]</v>
      </c>
    </row>
    <row r="414" spans="1:61" x14ac:dyDescent="0.25">
      <c r="A414" s="5">
        <v>473</v>
      </c>
      <c r="B414" t="s">
        <v>1661</v>
      </c>
      <c r="C414" t="s">
        <v>2755</v>
      </c>
      <c r="D414" s="3">
        <f t="shared" si="40"/>
        <v>473</v>
      </c>
      <c r="G414" s="3" t="s">
        <v>1473</v>
      </c>
      <c r="I414" t="s">
        <v>91</v>
      </c>
      <c r="J414" t="s">
        <v>91</v>
      </c>
      <c r="K414">
        <v>424</v>
      </c>
      <c r="L414">
        <v>424</v>
      </c>
      <c r="M414">
        <v>424</v>
      </c>
      <c r="O414" s="61" t="s">
        <v>1643</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constants'!$B$4:$C$1012,2,FALSE),"")</f>
        <v>Harrowstorm</v>
      </c>
      <c r="V414" s="33" t="s">
        <v>3285</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8" t="s">
        <v>2653</v>
      </c>
      <c r="BA414" s="78"/>
      <c r="BB414" s="78"/>
      <c r="BC414" s="78"/>
      <c r="BD414" s="78"/>
      <c r="BE414" s="21" t="str">
        <f t="shared" si="41"/>
        <v>[473] = {wayshrines={424,424,424,}, dlcId=DLC_HARROWSTORM</v>
      </c>
      <c r="BF414" s="21" t="str">
        <f t="shared" si="42"/>
        <v>, zoneIds={1152,684,684}, veteran=false</v>
      </c>
      <c r="BG414" s="21" t="str">
        <f t="shared" si="43"/>
        <v>, setType=LIBSETS_SETTYPE_DUNGEON</v>
      </c>
      <c r="BH414" s="21" t="str">
        <f t="shared" si="44"/>
        <v>, dropMechanic={LIBSETS_DROP_MECHANIC_GROUP_DUNGEON_BOSS}</v>
      </c>
      <c r="BI414" s="21" t="str">
        <f t="shared" si="45"/>
        <v>}, --Bani\'s Torment / Banis Qual   [Icereach, Wrothgar, Wrothgar]</v>
      </c>
    </row>
    <row r="415" spans="1:61" x14ac:dyDescent="0.25">
      <c r="A415" s="5">
        <v>474</v>
      </c>
      <c r="B415" t="s">
        <v>1662</v>
      </c>
      <c r="C415" t="s">
        <v>2754</v>
      </c>
      <c r="D415" s="3">
        <f t="shared" si="40"/>
        <v>474</v>
      </c>
      <c r="G415" s="3" t="s">
        <v>1473</v>
      </c>
      <c r="I415" t="s">
        <v>91</v>
      </c>
      <c r="J415" t="s">
        <v>91</v>
      </c>
      <c r="K415">
        <v>425</v>
      </c>
      <c r="L415">
        <v>425</v>
      </c>
      <c r="M415">
        <v>425</v>
      </c>
      <c r="O415" s="61" t="s">
        <v>1642</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constants'!$B$4:$C$1012,2,FALSE),"")</f>
        <v>Harrowstorm</v>
      </c>
      <c r="V415" s="33" t="s">
        <v>3285</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8" t="s">
        <v>2653</v>
      </c>
      <c r="BA415" s="78"/>
      <c r="BB415" s="78"/>
      <c r="BC415" s="78"/>
      <c r="BD415" s="78"/>
      <c r="BE415" s="21" t="str">
        <f t="shared" si="41"/>
        <v>[474] = {wayshrines={425,425,425,}, dlcId=DLC_HARROWSTORM</v>
      </c>
      <c r="BF415" s="21" t="str">
        <f t="shared" si="42"/>
        <v>, zoneIds={1153,92,92}, veteran=false</v>
      </c>
      <c r="BG415" s="21" t="str">
        <f t="shared" si="43"/>
        <v>, setType=LIBSETS_SETTYPE_DUNGEON</v>
      </c>
      <c r="BH415" s="21" t="str">
        <f t="shared" si="44"/>
        <v>, dropMechanic={LIBSETS_DROP_MECHANIC_GROUP_DUNGEON_BOSS}</v>
      </c>
      <c r="BI415" s="21" t="str">
        <f t="shared" si="45"/>
        <v>}, --Draugrkin\'s Grip / Griff der Draugrbrut   [Unhallowed Grave, Bangkorai, Bangkorai]</v>
      </c>
    </row>
    <row r="416" spans="1:61" x14ac:dyDescent="0.25">
      <c r="A416" s="5">
        <v>475</v>
      </c>
      <c r="B416" t="s">
        <v>1663</v>
      </c>
      <c r="C416" t="s">
        <v>1646</v>
      </c>
      <c r="D416" s="3">
        <f t="shared" si="40"/>
        <v>475</v>
      </c>
      <c r="G416" s="3" t="s">
        <v>1473</v>
      </c>
      <c r="I416" t="s">
        <v>91</v>
      </c>
      <c r="J416" t="s">
        <v>91</v>
      </c>
      <c r="K416">
        <v>425</v>
      </c>
      <c r="L416">
        <v>425</v>
      </c>
      <c r="M416">
        <v>425</v>
      </c>
      <c r="O416" s="61" t="s">
        <v>1642</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constants'!$B$4:$C$1012,2,FALSE),"")</f>
        <v>Harrowstorm</v>
      </c>
      <c r="V416" s="33" t="s">
        <v>3285</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8" t="s">
        <v>2653</v>
      </c>
      <c r="BA416" s="78"/>
      <c r="BB416" s="78"/>
      <c r="BC416" s="78"/>
      <c r="BD416" s="78"/>
      <c r="BE416" s="21" t="str">
        <f t="shared" si="41"/>
        <v>[475] = {wayshrines={425,425,425,}, dlcId=DLC_HARROWSTORM</v>
      </c>
      <c r="BF416" s="21" t="str">
        <f t="shared" si="42"/>
        <v>, zoneIds={1153,92,92}, veteran=false</v>
      </c>
      <c r="BG416" s="21" t="str">
        <f t="shared" si="43"/>
        <v>, setType=LIBSETS_SETTYPE_DUNGEON</v>
      </c>
      <c r="BH416" s="21" t="str">
        <f t="shared" si="44"/>
        <v>, dropMechanic={LIBSETS_DROP_MECHANIC_GROUP_DUNGEON_BOSS}</v>
      </c>
      <c r="BI416" s="21" t="str">
        <f t="shared" si="45"/>
        <v>}, --Aegis Caller / Ägisrufer   [Unhallowed Grave, Bangkorai, Bangkorai]</v>
      </c>
    </row>
    <row r="417" spans="1:61" x14ac:dyDescent="0.25">
      <c r="A417" s="5">
        <v>476</v>
      </c>
      <c r="B417" t="s">
        <v>1664</v>
      </c>
      <c r="C417" t="s">
        <v>1647</v>
      </c>
      <c r="D417" s="3">
        <f t="shared" si="40"/>
        <v>476</v>
      </c>
      <c r="G417" s="3" t="s">
        <v>1473</v>
      </c>
      <c r="I417" t="s">
        <v>91</v>
      </c>
      <c r="J417" t="s">
        <v>91</v>
      </c>
      <c r="K417">
        <v>425</v>
      </c>
      <c r="L417">
        <v>425</v>
      </c>
      <c r="M417">
        <v>425</v>
      </c>
      <c r="O417" s="61" t="s">
        <v>1642</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constants'!$B$4:$C$1012,2,FALSE),"")</f>
        <v>Harrowstorm</v>
      </c>
      <c r="V417" s="33" t="s">
        <v>3285</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8" t="s">
        <v>2653</v>
      </c>
      <c r="BA417" s="78"/>
      <c r="BB417" s="78"/>
      <c r="BC417" s="78"/>
      <c r="BD417" s="78"/>
      <c r="BE417" s="21" t="str">
        <f t="shared" si="41"/>
        <v>[476] = {wayshrines={425,425,425,}, dlcId=DLC_HARROWSTORM</v>
      </c>
      <c r="BF417" s="21" t="str">
        <f t="shared" si="42"/>
        <v>, zoneIds={1153,92,92}, veteran=false</v>
      </c>
      <c r="BG417" s="21" t="str">
        <f t="shared" si="43"/>
        <v>, setType=LIBSETS_SETTYPE_DUNGEON</v>
      </c>
      <c r="BH417" s="21" t="str">
        <f t="shared" si="44"/>
        <v>, dropMechanic={LIBSETS_DROP_MECHANIC_GROUP_DUNGEON_BOSS}</v>
      </c>
      <c r="BI417" s="21" t="str">
        <f t="shared" si="45"/>
        <v>}, --Grave Guardian  / Grabwächter   [Unhallowed Grave, Bangkorai, Bangkorai]</v>
      </c>
    </row>
    <row r="418" spans="1:61" x14ac:dyDescent="0.25">
      <c r="A418" s="5">
        <v>478</v>
      </c>
      <c r="B418" t="s">
        <v>1652</v>
      </c>
      <c r="C418" t="s">
        <v>1645</v>
      </c>
      <c r="D418" s="3">
        <f t="shared" si="40"/>
        <v>478</v>
      </c>
      <c r="G418" s="3" t="s">
        <v>1475</v>
      </c>
      <c r="H418" s="86">
        <v>3</v>
      </c>
      <c r="I418" t="s">
        <v>1462</v>
      </c>
      <c r="J418" t="s">
        <v>91</v>
      </c>
      <c r="K418">
        <v>424</v>
      </c>
      <c r="L418">
        <v>424</v>
      </c>
      <c r="M418">
        <v>424</v>
      </c>
      <c r="O418" s="61" t="s">
        <v>1643</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constants'!$B$4:$C$1012,2,FALSE),"")</f>
        <v>Harrowstorm</v>
      </c>
      <c r="V418" s="33" t="s">
        <v>1538</v>
      </c>
      <c r="W418" s="3" t="s">
        <v>1645</v>
      </c>
      <c r="X418" s="3" t="s">
        <v>1652</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8" t="s">
        <v>2653</v>
      </c>
      <c r="BA418" s="78"/>
      <c r="BB418" s="78"/>
      <c r="BC418" s="78"/>
      <c r="BD418" s="78"/>
      <c r="BE418" s="21" t="str">
        <f t="shared" si="41"/>
        <v>[478] = {wayshrines={424,424,424,}, dlcId=DLC_HARROWSTORM</v>
      </c>
      <c r="BF418" s="21" t="str">
        <f t="shared" si="42"/>
        <v>, zoneIds={1152,684,684}, veteran={[EQUIP_TYPE_HEAD]=true, [EQUIP_TYPE_SHOULDERS]=false}</v>
      </c>
      <c r="BG418" s="21" t="str">
        <f t="shared" si="43"/>
        <v>, setType=LIBSETS_SETTYPE_MONSTER, undauntedChestId=3</v>
      </c>
      <c r="BH418" s="21" t="str">
        <f t="shared" si="44"/>
        <v>, dropMechanic={LIBSETS_DROP_MECHANIC_MONSTER_NAME}, dropMechanicDropLocationNames={['en']={'Mother Ciannait','','','','','',},['de']={'Mutter Ciannait','','','','','',},}</v>
      </c>
      <c r="BI418" s="21" t="str">
        <f t="shared" si="45"/>
        <v>}, --Mother Ciannait / Mutter Ciannait   [Icereach, Wrothgar, Wrothgar]</v>
      </c>
    </row>
    <row r="419" spans="1:61" x14ac:dyDescent="0.25">
      <c r="A419" s="5">
        <v>479</v>
      </c>
      <c r="B419" t="s">
        <v>1653</v>
      </c>
      <c r="C419" t="s">
        <v>1648</v>
      </c>
      <c r="D419" s="3">
        <f t="shared" si="40"/>
        <v>479</v>
      </c>
      <c r="G419" s="3" t="s">
        <v>1475</v>
      </c>
      <c r="H419" s="86">
        <v>3</v>
      </c>
      <c r="I419" t="s">
        <v>1462</v>
      </c>
      <c r="J419" t="s">
        <v>91</v>
      </c>
      <c r="K419">
        <v>425</v>
      </c>
      <c r="L419">
        <v>425</v>
      </c>
      <c r="M419">
        <v>425</v>
      </c>
      <c r="O419" s="61" t="s">
        <v>1642</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constants'!$B$4:$C$1012,2,FALSE),"")</f>
        <v>Harrowstorm</v>
      </c>
      <c r="V419" s="33" t="s">
        <v>1538</v>
      </c>
      <c r="W419" s="3" t="s">
        <v>1648</v>
      </c>
      <c r="X419" s="3" t="s">
        <v>1653</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8" t="s">
        <v>2653</v>
      </c>
      <c r="BA419" s="78"/>
      <c r="BB419" s="78"/>
      <c r="BC419" s="78"/>
      <c r="BD419" s="78"/>
      <c r="BE419" s="21" t="str">
        <f t="shared" si="41"/>
        <v>[479] = {wayshrines={425,425,425,}, dlcId=DLC_HARROWSTORM</v>
      </c>
      <c r="BF419" s="21" t="str">
        <f t="shared" si="42"/>
        <v>, zoneIds={1153,92,92}, veteran={[EQUIP_TYPE_HEAD]=true, [EQUIP_TYPE_SHOULDERS]=false}</v>
      </c>
      <c r="BG419" s="21" t="str">
        <f t="shared" si="43"/>
        <v>, setType=LIBSETS_SETTYPE_MONSTER, undauntedChestId=3</v>
      </c>
      <c r="BH419" s="21" t="str">
        <f t="shared" si="44"/>
        <v>, dropMechanic={LIBSETS_DROP_MECHANIC_MONSTER_NAME}, dropMechanicDropLocationNames={['en']={'Kjalnar\’s Nightmare','','','','','',},['de']={'Kjalnar\’s Albtraum','','','','','',},}</v>
      </c>
      <c r="BI419" s="21" t="str">
        <f t="shared" si="45"/>
        <v>}, --Kjalnar\’s Nightmare / Kjalnar\’s Albtraum   [Unhallowed Grave, Bangkorai, Bangkorai]</v>
      </c>
    </row>
    <row r="420" spans="1:61" x14ac:dyDescent="0.25">
      <c r="A420" s="5">
        <v>480</v>
      </c>
      <c r="B420" t="s">
        <v>1665</v>
      </c>
      <c r="C420" t="s">
        <v>1649</v>
      </c>
      <c r="D420" s="3">
        <f t="shared" si="40"/>
        <v>480</v>
      </c>
      <c r="E420" s="40"/>
      <c r="G420" s="3" t="s">
        <v>1470</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constants'!$B$4:$C$1012,2,FALSE),"")</f>
        <v>Included in base game</v>
      </c>
      <c r="V420" s="33" t="s">
        <v>3288</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constants'!$A$5:$D$10001,4,FALSE),"")</f>
        <v>Cyrodiil</v>
      </c>
      <c r="AB420" s="33" t="s">
        <v>1529</v>
      </c>
      <c r="AC420" s="39" t="str">
        <f>IF(AB420&lt;&gt;"",IF(AB420&lt;&gt;"LIBSETS_DROP_MECHANIC_MONSTER_NAME",VLOOKUP(AB420,'LibSets constants'!$I$4:$L$1012,3,FALSE),""),"")</f>
        <v>City Vlastarus (quartermaster)</v>
      </c>
      <c r="AD420" s="39" t="str">
        <f>IF(AB420&lt;&gt;"",IF(AB420&lt;&gt;"LIBSETS_DROP_MECHANIC_MONSTER_NAME",VLOOKUP(AB420,'LibSets constants'!$I$4:$L$1012,4,FALSE),""),"")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8" t="s">
        <v>2653</v>
      </c>
      <c r="BA420" s="78"/>
      <c r="BB420" s="78"/>
      <c r="BC420" s="78"/>
      <c r="BD420" s="78"/>
      <c r="BE420" s="21" t="str">
        <f t="shared" si="41"/>
        <v>[480] = {wayshrines={-1,-1,-1,}, traitsNeeded=3, dlcId=DLC_BASE_GAME</v>
      </c>
      <c r="BF420" s="21" t="str">
        <f t="shared" si="42"/>
        <v>, zoneIds={181,181}, veteran=false</v>
      </c>
      <c r="BG420" s="21" t="str">
        <f t="shared" si="43"/>
        <v>, setType=LIBSETS_SETTYPE_CRAFTED</v>
      </c>
      <c r="BH420" s="21" t="str">
        <f t="shared" si="44"/>
        <v>, dropMechanic={LIBSETS_DROP_MECHANIC_CRAFTED,LIBSETS_DROP_MECHANIC_CITY_CYRODIIL_VLASTARUS}, dropMechanicDropLocationNames={['en']={'','City Vlastarus (quartermaster)','','','','',},['de']={'','Stadt Vlastarus (Quartiermeister)','','','','',},}</v>
      </c>
      <c r="BI420" s="21" t="str">
        <f t="shared" si="45"/>
        <v>}, --Critical Riposte / Kritischer Konter   [Cyrodiil, Cyrodiil]</v>
      </c>
    </row>
    <row r="421" spans="1:61" x14ac:dyDescent="0.25">
      <c r="A421" s="5">
        <v>481</v>
      </c>
      <c r="B421" t="s">
        <v>1666</v>
      </c>
      <c r="C421" t="s">
        <v>1650</v>
      </c>
      <c r="D421" s="3">
        <f t="shared" si="40"/>
        <v>481</v>
      </c>
      <c r="G421" s="3" t="s">
        <v>1470</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constants'!$B$4:$C$1012,2,FALSE),"")</f>
        <v>Included in base game</v>
      </c>
      <c r="V421" s="33" t="s">
        <v>3288</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constants'!$A$5:$D$10001,4,FALSE),"")</f>
        <v>Cyrodiil</v>
      </c>
      <c r="AB421" s="33" t="s">
        <v>1527</v>
      </c>
      <c r="AC421" s="39" t="str">
        <f>IF(AB421&lt;&gt;"",IF(AB421&lt;&gt;"LIBSETS_DROP_MECHANIC_MONSTER_NAME",VLOOKUP(AB421,'LibSets constants'!$I$4:$L$1012,3,FALSE),""),"")</f>
        <v>City Bruma (quartermaster)</v>
      </c>
      <c r="AD421" s="39" t="str">
        <f>IF(AB421&lt;&gt;"",IF(AB421&lt;&gt;"LIBSETS_DROP_MECHANIC_MONSTER_NAME",VLOOKUP(AB421,'LibSets constants'!$I$4:$L$1012,4,FALSE),""),"")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8" t="s">
        <v>2653</v>
      </c>
      <c r="BA421" s="78"/>
      <c r="BB421" s="78"/>
      <c r="BC421" s="78"/>
      <c r="BD421" s="78"/>
      <c r="BE421" s="21" t="str">
        <f t="shared" si="41"/>
        <v>[481] = {wayshrines={-1,-1,-1,}, traitsNeeded=3, dlcId=DLC_BASE_GAME</v>
      </c>
      <c r="BF421" s="21" t="str">
        <f t="shared" si="42"/>
        <v>, zoneIds={181,181}, veteran=false</v>
      </c>
      <c r="BG421" s="21" t="str">
        <f t="shared" si="43"/>
        <v>, setType=LIBSETS_SETTYPE_CRAFTED</v>
      </c>
      <c r="BH421" s="21" t="str">
        <f t="shared" si="44"/>
        <v>, dropMechanic={LIBSETS_DROP_MECHANIC_CRAFTED,LIBSETS_DROP_MECHANIC_CITY_CYRODIIL_BRUMA}, dropMechanicDropLocationNames={['en']={'','City Bruma (quartermaster)','','','','',},['de']={'','Stadt Bruma (Quartiermeister)','','','','',},}</v>
      </c>
      <c r="BI421" s="21" t="str">
        <f t="shared" si="45"/>
        <v>}, --Unchained Aggressor / Entfesselter Aggressor   [Cyrodiil, Cyrodiil]</v>
      </c>
    </row>
    <row r="422" spans="1:61" x14ac:dyDescent="0.25">
      <c r="A422" s="5">
        <v>482</v>
      </c>
      <c r="B422" t="s">
        <v>1667</v>
      </c>
      <c r="C422" t="s">
        <v>1651</v>
      </c>
      <c r="D422" s="3">
        <f t="shared" si="40"/>
        <v>482</v>
      </c>
      <c r="E422" s="40"/>
      <c r="G422" s="3" t="s">
        <v>1470</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constants'!$B$4:$C$1012,2,FALSE),"")</f>
        <v>Included in base game</v>
      </c>
      <c r="V422" s="33" t="s">
        <v>3288</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constants'!$A$5:$D$10001,4,FALSE),"")</f>
        <v>Cyrodiil</v>
      </c>
      <c r="AB422" s="33" t="s">
        <v>2770</v>
      </c>
      <c r="AC422" s="39" t="str">
        <f>IF(AB422&lt;&gt;"",IF(AB422&lt;&gt;"LIBSETS_DROP_MECHANIC_MONSTER_NAME",VLOOKUP(AB422,'LibSets constants'!$I$4:$L$1012,3,FALSE),""),"")</f>
        <v>City Cropsford (quartermaster)</v>
      </c>
      <c r="AD422" s="39" t="str">
        <f>IF(AB422&lt;&gt;"",IF(AB422&lt;&gt;"LIBSETS_DROP_MECHANIC_MONSTER_NAME",VLOOKUP(AB422,'LibSets constants'!$I$4:$L$1012,4,FALSE),""),"")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8" t="s">
        <v>2653</v>
      </c>
      <c r="BA422" s="78"/>
      <c r="BB422" s="78"/>
      <c r="BC422" s="78"/>
      <c r="BD422" s="78"/>
      <c r="BE422" s="21" t="str">
        <f t="shared" si="41"/>
        <v>[482] = {wayshrines={-1,-1,-1,}, traitsNeeded=3, dlcId=DLC_BASE_GAME</v>
      </c>
      <c r="BF422" s="21" t="str">
        <f t="shared" si="42"/>
        <v>, zoneIds={181,181}, veteran=false</v>
      </c>
      <c r="BG422" s="21" t="str">
        <f t="shared" si="43"/>
        <v>, setType=LIBSETS_SETTYPE_CRAFTED</v>
      </c>
      <c r="BH422" s="21" t="str">
        <f t="shared" si="44"/>
        <v>, dropMechanic={LIBSETS_DROP_MECHANIC_CRAFTED,LIBSETS_DROP_MECHANIC_CITY_CYRODIIL_CROPSFORD}, dropMechanicDropLocationNames={['en']={'','City Cropsford (quartermaster)','','','','',},['de']={'','Stadt Erntefurt (Quartiermeister)','','','','',},}</v>
      </c>
      <c r="BI422" s="21" t="str">
        <f t="shared" si="45"/>
        <v>}, --Dauntless Combatant / Furchtloser Kombattant   [Cyrodiil, Cyrodiil]</v>
      </c>
    </row>
    <row r="423" spans="1:61" x14ac:dyDescent="0.25">
      <c r="A423" s="5">
        <v>483</v>
      </c>
      <c r="B423" t="s">
        <v>1723</v>
      </c>
      <c r="C423" t="s">
        <v>1723</v>
      </c>
      <c r="D423" s="3">
        <f t="shared" si="40"/>
        <v>483</v>
      </c>
      <c r="E423" s="55" t="s">
        <v>1786</v>
      </c>
      <c r="F423" s="30" t="s">
        <v>1460</v>
      </c>
      <c r="G423" s="8" t="s">
        <v>1478</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constants'!$B$4:$C$1012,2,FALSE),"")</f>
        <v/>
      </c>
      <c r="V423" s="33" t="s">
        <v>1795</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constants'!$A$5:$D$10001,4,FALSE),"")</f>
        <v/>
      </c>
      <c r="AC423" s="39" t="str">
        <f>IF(AB423&lt;&gt;"",IF(AB423&lt;&gt;"LIBSETS_DROP_MECHANIC_MONSTER_NAME",VLOOKUP(AB423,'LibSets constants'!$I$4:$L$1012,3,FALSE),""),"")</f>
        <v/>
      </c>
      <c r="AD423" s="39" t="str">
        <f>IF(AB423&lt;&gt;"",IF(AB423&lt;&gt;"LIBSETS_DROP_MECHANIC_MONSTER_NAME",VLOOKUP(AB423,'LibSets constants'!$I$4:$L$1012,4,FALSE),""),"")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8" t="s">
        <v>2653</v>
      </c>
      <c r="BA423" s="78"/>
      <c r="BB423" s="78"/>
      <c r="BC423" s="78"/>
      <c r="BD423" s="78"/>
      <c r="BE423" s="21" t="str">
        <f t="shared" si="41"/>
        <v/>
      </c>
      <c r="BF423" s="21" t="str">
        <f t="shared" si="42"/>
        <v/>
      </c>
      <c r="BG423" s="21" t="str">
        <f t="shared" si="43"/>
        <v/>
      </c>
      <c r="BH423" s="21" t="str">
        <f t="shared" si="44"/>
        <v/>
      </c>
      <c r="BI423" s="21" t="str">
        <f t="shared" si="45"/>
        <v/>
      </c>
    </row>
    <row r="424" spans="1:61" x14ac:dyDescent="0.25">
      <c r="A424" s="5">
        <v>484</v>
      </c>
      <c r="B424" t="s">
        <v>1724</v>
      </c>
      <c r="C424" t="s">
        <v>1724</v>
      </c>
      <c r="D424" s="3">
        <f t="shared" si="40"/>
        <v>484</v>
      </c>
      <c r="E424" s="55" t="s">
        <v>1786</v>
      </c>
      <c r="F424" s="30" t="s">
        <v>1460</v>
      </c>
      <c r="G424" s="8" t="s">
        <v>1478</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constants'!$B$4:$C$1012,2,FALSE),"")</f>
        <v/>
      </c>
      <c r="V424" s="33" t="s">
        <v>1795</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constants'!$A$5:$D$10001,4,FALSE),"")</f>
        <v/>
      </c>
      <c r="AC424" s="41" t="str">
        <f>IF(AB424&lt;&gt;"",IF(AB424&lt;&gt;"LIBSETS_DROP_MECHANIC_MONSTER_NAME",VLOOKUP(AB424,'LibSets constants'!$I$4:$L$1012,3,FALSE),""),"")</f>
        <v/>
      </c>
      <c r="AD424" s="41" t="str">
        <f>IF(AB424&lt;&gt;"",IF(AB424&lt;&gt;"LIBSETS_DROP_MECHANIC_MONSTER_NAME",VLOOKUP(AB424,'LibSets constants'!$I$4:$L$1012,4,FALSE),""),"")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8" t="s">
        <v>2653</v>
      </c>
      <c r="BA424" s="78"/>
      <c r="BB424" s="78"/>
      <c r="BC424" s="78"/>
      <c r="BD424" s="78"/>
      <c r="BE424" s="21" t="str">
        <f t="shared" si="41"/>
        <v/>
      </c>
      <c r="BF424" s="21" t="str">
        <f t="shared" si="42"/>
        <v/>
      </c>
      <c r="BG424" s="21" t="str">
        <f t="shared" si="43"/>
        <v/>
      </c>
      <c r="BH424" s="21" t="str">
        <f t="shared" si="44"/>
        <v/>
      </c>
      <c r="BI424" s="21" t="str">
        <f t="shared" si="45"/>
        <v/>
      </c>
    </row>
    <row r="425" spans="1:61" x14ac:dyDescent="0.25">
      <c r="A425" s="5">
        <v>485</v>
      </c>
      <c r="B425" t="s">
        <v>1725</v>
      </c>
      <c r="C425" t="s">
        <v>1725</v>
      </c>
      <c r="D425" s="3">
        <f t="shared" si="40"/>
        <v>485</v>
      </c>
      <c r="E425" s="55" t="s">
        <v>1786</v>
      </c>
      <c r="F425" s="30" t="s">
        <v>1460</v>
      </c>
      <c r="G425" s="8" t="s">
        <v>1478</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constants'!$B$4:$C$1012,2,FALSE),"")</f>
        <v/>
      </c>
      <c r="V425" s="33" t="s">
        <v>1795</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constants'!$A$5:$D$10001,4,FALSE),"")</f>
        <v/>
      </c>
      <c r="AC425" s="41" t="str">
        <f>IF(AB425&lt;&gt;"",IF(AB425&lt;&gt;"LIBSETS_DROP_MECHANIC_MONSTER_NAME",VLOOKUP(AB425,'LibSets constants'!$I$4:$L$1012,3,FALSE),""),"")</f>
        <v/>
      </c>
      <c r="AD425" s="41" t="str">
        <f>IF(AB425&lt;&gt;"",IF(AB425&lt;&gt;"LIBSETS_DROP_MECHANIC_MONSTER_NAME",VLOOKUP(AB425,'LibSets constants'!$I$4:$L$1012,4,FALSE),""),"")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8" t="s">
        <v>2653</v>
      </c>
      <c r="BA425" s="78"/>
      <c r="BB425" s="78"/>
      <c r="BC425" s="78"/>
      <c r="BD425" s="78"/>
      <c r="BE425" s="21" t="str">
        <f t="shared" si="41"/>
        <v/>
      </c>
      <c r="BF425" s="21" t="str">
        <f t="shared" si="42"/>
        <v/>
      </c>
      <c r="BG425" s="21" t="str">
        <f t="shared" si="43"/>
        <v/>
      </c>
      <c r="BH425" s="21" t="str">
        <f t="shared" si="44"/>
        <v/>
      </c>
      <c r="BI425" s="21" t="str">
        <f t="shared" si="45"/>
        <v/>
      </c>
    </row>
    <row r="426" spans="1:61" x14ac:dyDescent="0.25">
      <c r="A426" s="5">
        <v>486</v>
      </c>
      <c r="B426" t="s">
        <v>1726</v>
      </c>
      <c r="C426" t="s">
        <v>1726</v>
      </c>
      <c r="D426" s="3">
        <f t="shared" si="40"/>
        <v>486</v>
      </c>
      <c r="E426" s="55" t="s">
        <v>1786</v>
      </c>
      <c r="F426" s="30" t="s">
        <v>1460</v>
      </c>
      <c r="G426" s="8" t="s">
        <v>1478</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constants'!$B$4:$C$1012,2,FALSE),"")</f>
        <v/>
      </c>
      <c r="V426" s="33" t="s">
        <v>1795</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constants'!$A$5:$D$10001,4,FALSE),"")</f>
        <v/>
      </c>
      <c r="AC426" s="41" t="str">
        <f>IF(AB426&lt;&gt;"",IF(AB426&lt;&gt;"LIBSETS_DROP_MECHANIC_MONSTER_NAME",VLOOKUP(AB426,'LibSets constants'!$I$4:$L$1012,3,FALSE),""),"")</f>
        <v/>
      </c>
      <c r="AD426" s="41" t="str">
        <f>IF(AB426&lt;&gt;"",IF(AB426&lt;&gt;"LIBSETS_DROP_MECHANIC_MONSTER_NAME",VLOOKUP(AB426,'LibSets constants'!$I$4:$L$1012,4,FALSE),""),"")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8" t="s">
        <v>2653</v>
      </c>
      <c r="BA426" s="78"/>
      <c r="BB426" s="78"/>
      <c r="BC426" s="78"/>
      <c r="BD426" s="78"/>
      <c r="BE426" s="21" t="str">
        <f t="shared" si="41"/>
        <v/>
      </c>
      <c r="BF426" s="21" t="str">
        <f t="shared" si="42"/>
        <v/>
      </c>
      <c r="BG426" s="21" t="str">
        <f t="shared" si="43"/>
        <v/>
      </c>
      <c r="BH426" s="21" t="str">
        <f t="shared" si="44"/>
        <v/>
      </c>
      <c r="BI426" s="21" t="str">
        <f t="shared" si="45"/>
        <v/>
      </c>
    </row>
    <row r="427" spans="1:61" x14ac:dyDescent="0.25">
      <c r="A427" s="5">
        <v>487</v>
      </c>
      <c r="B427" t="s">
        <v>1727</v>
      </c>
      <c r="C427" t="s">
        <v>2635</v>
      </c>
      <c r="D427" s="3">
        <f t="shared" si="40"/>
        <v>487</v>
      </c>
      <c r="G427" s="8" t="s">
        <v>1476</v>
      </c>
      <c r="I427" t="s">
        <v>91</v>
      </c>
      <c r="J427" t="s">
        <v>91</v>
      </c>
      <c r="K427">
        <v>418</v>
      </c>
      <c r="L427">
        <v>419</v>
      </c>
      <c r="M427">
        <v>421</v>
      </c>
      <c r="O427" s="61" t="s">
        <v>1684</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constants'!$H$3:$K$9989,4,FALSE)),""))</f>
        <v>DLC_BASE_GAME</v>
      </c>
      <c r="U427" s="3" t="str">
        <f>IF(T427&lt;&gt;"",VLOOKUP(T427,'LibSets constants'!$B$4:$C$1012,2,FALSE),"")</f>
        <v>Included in base game</v>
      </c>
      <c r="V427" s="33" t="s">
        <v>1554</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constants'!$A$5:$D$10001,4,FALSE),"")</f>
        <v>Western Skyrim</v>
      </c>
      <c r="AB427" s="33" t="s">
        <v>1554</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constants'!$A$5:$D$10001,4,FALSE),"")</f>
        <v>Labyrinthian</v>
      </c>
      <c r="AH427" s="42" t="s">
        <v>1556</v>
      </c>
      <c r="AI427" s="41"/>
      <c r="AJ427" s="41"/>
      <c r="AK427" s="3">
        <f>IF(AND(G427&lt;&gt;"LIBSETS_SETTYPE_BATTLEGROUND",G427&lt;&gt;"LIBSETS_SETTYPE_SPECIAL"),IF(AL427&lt;&gt;"",VLOOKUP(AL427,'ESO zone constants'!$D$5:$H$4955,5,FALSE),""),"")</f>
        <v>1160</v>
      </c>
      <c r="AL427" t="s">
        <v>1684</v>
      </c>
      <c r="AM427" s="33" t="s">
        <v>1557</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8" t="s">
        <v>2653</v>
      </c>
      <c r="BA427" s="78"/>
      <c r="BB427" s="78"/>
      <c r="BC427" s="78"/>
      <c r="BD427" s="78"/>
      <c r="BE427" s="21" t="str">
        <f t="shared" si="41"/>
        <v>[487] = {wayshrines={418,419,421,}, dlcId=DLC_BASE_GAME</v>
      </c>
      <c r="BF427" s="21" t="str">
        <f t="shared" si="42"/>
        <v>, zoneIds={1160,1160,1186,1160}, veteran=false</v>
      </c>
      <c r="BG427" s="21" t="str">
        <f t="shared" si="43"/>
        <v>, setType=LIBSETS_SETTYPE_OVERLAND</v>
      </c>
      <c r="BH427" s="21" t="str">
        <f t="shared" si="44"/>
        <v>, dropMechanic={LIBSETS_DROP_MECHANIC_OVERLAND_BOSS_DELVE,LIBSETS_DROP_MECHANIC_OVERLAND_BOSS_DELVE,LIBSETS_DROP_MECHANIC_OVERLAND_BOSS_PUBLIC_DUNGEON,LIBSETS_DROP_MECHANIC_OVERLAND_CHEST}</v>
      </c>
      <c r="BI427" s="21" t="str">
        <f t="shared" si="45"/>
        <v>}, --Winter\'s Respite / Winterruhe   [Western Skyrim, Western Skyrim, Labyrinthian, Western Skyrim]</v>
      </c>
    </row>
    <row r="428" spans="1:61" x14ac:dyDescent="0.25">
      <c r="A428" s="5">
        <v>488</v>
      </c>
      <c r="B428" t="s">
        <v>1728</v>
      </c>
      <c r="C428" t="s">
        <v>1729</v>
      </c>
      <c r="D428" s="3">
        <f t="shared" si="40"/>
        <v>488</v>
      </c>
      <c r="G428" s="8" t="s">
        <v>1476</v>
      </c>
      <c r="I428" t="s">
        <v>91</v>
      </c>
      <c r="J428" t="s">
        <v>91</v>
      </c>
      <c r="K428">
        <v>418</v>
      </c>
      <c r="L428">
        <v>419</v>
      </c>
      <c r="M428">
        <v>421</v>
      </c>
      <c r="O428" s="61" t="s">
        <v>1684</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constants'!$H$3:$K$9989,4,FALSE)),""))</f>
        <v>DLC_BASE_GAME</v>
      </c>
      <c r="U428" s="3" t="str">
        <f>IF(T428&lt;&gt;"",VLOOKUP(T428,'LibSets constants'!$B$4:$C$1012,2,FALSE),"")</f>
        <v>Included in base game</v>
      </c>
      <c r="V428" s="33" t="s">
        <v>1554</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constants'!$A$5:$D$10001,4,FALSE),"")</f>
        <v>Western Skyrim</v>
      </c>
      <c r="AB428" s="33" t="s">
        <v>1554</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constants'!$A$5:$D$10001,4,FALSE),"")</f>
        <v>Labyrinthian</v>
      </c>
      <c r="AH428" s="42" t="s">
        <v>1556</v>
      </c>
      <c r="AI428" s="41"/>
      <c r="AJ428" s="41"/>
      <c r="AK428" s="3">
        <f>IF(AND(G428&lt;&gt;"LIBSETS_SETTYPE_BATTLEGROUND",G428&lt;&gt;"LIBSETS_SETTYPE_SPECIAL"),IF(AL428&lt;&gt;"",VLOOKUP(AL428,'ESO zone constants'!$D$5:$H$4955,5,FALSE),""),"")</f>
        <v>1160</v>
      </c>
      <c r="AL428" t="s">
        <v>1684</v>
      </c>
      <c r="AM428" s="33" t="s">
        <v>1557</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8" t="s">
        <v>2653</v>
      </c>
      <c r="BA428" s="78"/>
      <c r="BB428" s="78"/>
      <c r="BC428" s="78"/>
      <c r="BD428" s="78"/>
      <c r="BE428" s="21" t="str">
        <f t="shared" si="41"/>
        <v>[488] = {wayshrines={418,419,421,}, dlcId=DLC_BASE_GAME</v>
      </c>
      <c r="BF428" s="21" t="str">
        <f t="shared" si="42"/>
        <v>, zoneIds={1160,1160,1186,1160}, veteran=false</v>
      </c>
      <c r="BG428" s="21" t="str">
        <f t="shared" si="43"/>
        <v>, setType=LIBSETS_SETTYPE_OVERLAND</v>
      </c>
      <c r="BH428" s="21" t="str">
        <f t="shared" si="44"/>
        <v>, dropMechanic={LIBSETS_DROP_MECHANIC_OVERLAND_BOSS_DELVE,LIBSETS_DROP_MECHANIC_OVERLAND_BOSS_DELVE,LIBSETS_DROP_MECHANIC_OVERLAND_BOSS_PUBLIC_DUNGEON,LIBSETS_DROP_MECHANIC_OVERLAND_CHEST}</v>
      </c>
      <c r="BI428" s="21" t="str">
        <f t="shared" si="45"/>
        <v>}, --Venomous Smite / Giftschlag   [Western Skyrim, Western Skyrim, Labyrinthian, Western Skyrim]</v>
      </c>
    </row>
    <row r="429" spans="1:61" x14ac:dyDescent="0.25">
      <c r="A429" s="5">
        <v>489</v>
      </c>
      <c r="B429" t="s">
        <v>1730</v>
      </c>
      <c r="C429" t="s">
        <v>1731</v>
      </c>
      <c r="D429" s="3">
        <f t="shared" si="40"/>
        <v>489</v>
      </c>
      <c r="G429" s="8" t="s">
        <v>1476</v>
      </c>
      <c r="I429" t="s">
        <v>91</v>
      </c>
      <c r="J429" t="s">
        <v>91</v>
      </c>
      <c r="K429">
        <v>418</v>
      </c>
      <c r="L429">
        <v>419</v>
      </c>
      <c r="M429">
        <v>421</v>
      </c>
      <c r="O429" s="61" t="s">
        <v>1684</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constants'!$H$3:$K$9989,4,FALSE)),""))</f>
        <v>DLC_BASE_GAME</v>
      </c>
      <c r="U429" s="3" t="str">
        <f>IF(T429&lt;&gt;"",VLOOKUP(T429,'LibSets constants'!$B$4:$C$1012,2,FALSE),"")</f>
        <v>Included in base game</v>
      </c>
      <c r="V429" s="33" t="s">
        <v>1554</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constants'!$A$5:$D$10001,4,FALSE),"")</f>
        <v>Western Skyrim</v>
      </c>
      <c r="AB429" s="33" t="s">
        <v>1554</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constants'!$A$5:$D$10001,4,FALSE),"")</f>
        <v>Labyrinthian</v>
      </c>
      <c r="AH429" s="42" t="s">
        <v>1556</v>
      </c>
      <c r="AI429" s="41"/>
      <c r="AJ429" s="41"/>
      <c r="AK429" s="3">
        <f>IF(AND(G429&lt;&gt;"LIBSETS_SETTYPE_BATTLEGROUND",G429&lt;&gt;"LIBSETS_SETTYPE_SPECIAL"),IF(AL429&lt;&gt;"",VLOOKUP(AL429,'ESO zone constants'!$D$5:$H$4955,5,FALSE),""),"")</f>
        <v>1160</v>
      </c>
      <c r="AL429" t="s">
        <v>1684</v>
      </c>
      <c r="AM429" s="33" t="s">
        <v>1557</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8" t="s">
        <v>2653</v>
      </c>
      <c r="BA429" s="78"/>
      <c r="BB429" s="78"/>
      <c r="BC429" s="78"/>
      <c r="BD429" s="78"/>
      <c r="BE429" s="21" t="str">
        <f t="shared" si="41"/>
        <v>[489] = {wayshrines={418,419,421,}, dlcId=DLC_BASE_GAME</v>
      </c>
      <c r="BF429" s="21" t="str">
        <f t="shared" si="42"/>
        <v>, zoneIds={1160,1160,1186,1160}, veteran=false</v>
      </c>
      <c r="BG429" s="21" t="str">
        <f t="shared" si="43"/>
        <v>, setType=LIBSETS_SETTYPE_OVERLAND</v>
      </c>
      <c r="BH429" s="21" t="str">
        <f t="shared" si="44"/>
        <v>, dropMechanic={LIBSETS_DROP_MECHANIC_OVERLAND_BOSS_DELVE,LIBSETS_DROP_MECHANIC_OVERLAND_BOSS_DELVE,LIBSETS_DROP_MECHANIC_OVERLAND_BOSS_PUBLIC_DUNGEON,LIBSETS_DROP_MECHANIC_OVERLAND_CHEST}</v>
      </c>
      <c r="BI429" s="21" t="str">
        <f t="shared" si="45"/>
        <v>}, --Eternal Vigor / Ewiger Elan   [Western Skyrim, Western Skyrim, Labyrinthian, Western Skyrim]</v>
      </c>
    </row>
    <row r="430" spans="1:61" x14ac:dyDescent="0.25">
      <c r="A430" s="5">
        <v>490</v>
      </c>
      <c r="B430" t="s">
        <v>1732</v>
      </c>
      <c r="C430" t="s">
        <v>2636</v>
      </c>
      <c r="D430" s="3">
        <f t="shared" si="40"/>
        <v>490</v>
      </c>
      <c r="G430" s="8" t="s">
        <v>1470</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constants'!$H$3:$K$9989,4,FALSE)),""))</f>
        <v>DLC_BASE_GAME</v>
      </c>
      <c r="U430" s="3" t="str">
        <f>IF(T430&lt;&gt;"",VLOOKUP(T430,'LibSets constants'!$B$4:$C$1012,2,FALSE),"")</f>
        <v>Included in base game</v>
      </c>
      <c r="V430" s="33" t="s">
        <v>3288</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constants'!$A$5:$D$10001,4,FALSE),"")</f>
        <v>Western Skyrim</v>
      </c>
      <c r="AB430" s="33" t="s">
        <v>3288</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constants'!$A$5:$D$10001,4,FALSE),"")</f>
        <v>Western Skyrim</v>
      </c>
      <c r="AH430" s="33" t="s">
        <v>3288</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8" t="s">
        <v>2653</v>
      </c>
      <c r="BA430" s="78"/>
      <c r="BB430" s="78"/>
      <c r="BC430" s="78"/>
      <c r="BD430" s="78"/>
      <c r="BE430" s="21" t="str">
        <f t="shared" si="41"/>
        <v>[490] = {wayshrines={418,418,418,}, traitsNeeded=5, dlcId=DLC_BASE_GAME</v>
      </c>
      <c r="BF430" s="21" t="str">
        <f t="shared" si="42"/>
        <v>, zoneIds={1160,1160,1160}, veteran=false</v>
      </c>
      <c r="BG430" s="21" t="str">
        <f t="shared" si="43"/>
        <v>, setType=LIBSETS_SETTYPE_CRAFTED</v>
      </c>
      <c r="BH430" s="21" t="str">
        <f t="shared" si="44"/>
        <v>, dropMechanic={LIBSETS_DROP_MECHANIC_CRAFTED,LIBSETS_DROP_MECHANIC_CRAFTED,LIBSETS_DROP_MECHANIC_CRAFTED}</v>
      </c>
      <c r="BI430" s="21" t="str">
        <f t="shared" si="45"/>
        <v>}, --Stuhn\'s Favor / Stuhns Gunst   [Western Skyrim, Western Skyrim, Western Skyrim]</v>
      </c>
    </row>
    <row r="431" spans="1:61" x14ac:dyDescent="0.25">
      <c r="A431" s="5">
        <v>491</v>
      </c>
      <c r="B431" t="s">
        <v>1733</v>
      </c>
      <c r="C431" t="s">
        <v>2637</v>
      </c>
      <c r="D431" s="3">
        <f t="shared" si="40"/>
        <v>491</v>
      </c>
      <c r="G431" s="8" t="s">
        <v>1470</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constants'!$H$3:$K$9989,4,FALSE)),""))</f>
        <v>DLC_BASE_GAME</v>
      </c>
      <c r="U431" s="3" t="str">
        <f>IF(T431&lt;&gt;"",VLOOKUP(T431,'LibSets constants'!$B$4:$C$1012,2,FALSE),"")</f>
        <v>Included in base game</v>
      </c>
      <c r="V431" s="33" t="s">
        <v>3288</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constants'!$A$5:$D$10001,4,FALSE),"")</f>
        <v>Western Skyrim</v>
      </c>
      <c r="AB431" s="33" t="s">
        <v>3288</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constants'!$A$5:$D$10001,4,FALSE),"")</f>
        <v>Western Skyrim</v>
      </c>
      <c r="AH431" s="33" t="s">
        <v>3288</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8" t="s">
        <v>2653</v>
      </c>
      <c r="BA431" s="78"/>
      <c r="BB431" s="78"/>
      <c r="BC431" s="78"/>
      <c r="BD431" s="78"/>
      <c r="BE431" s="21" t="str">
        <f t="shared" si="41"/>
        <v>[491] = {wayshrines={417,417,417,}, traitsNeeded=7, dlcId=DLC_BASE_GAME</v>
      </c>
      <c r="BF431" s="21" t="str">
        <f t="shared" si="42"/>
        <v>, zoneIds={1160,1160,1160}, veteran=false</v>
      </c>
      <c r="BG431" s="21" t="str">
        <f t="shared" si="43"/>
        <v>, setType=LIBSETS_SETTYPE_CRAFTED</v>
      </c>
      <c r="BH431" s="21" t="str">
        <f t="shared" si="44"/>
        <v>, dropMechanic={LIBSETS_DROP_MECHANIC_CRAFTED,LIBSETS_DROP_MECHANIC_CRAFTED,LIBSETS_DROP_MECHANIC_CRAFTED}</v>
      </c>
      <c r="BI431" s="21" t="str">
        <f t="shared" si="45"/>
        <v>}, --Dragon\'s Appetite / Appetit des Drachen   [Western Skyrim, Western Skyrim, Western Skyrim]</v>
      </c>
    </row>
    <row r="432" spans="1:61" x14ac:dyDescent="0.25">
      <c r="A432" s="5">
        <v>492</v>
      </c>
      <c r="B432" t="s">
        <v>1734</v>
      </c>
      <c r="C432" t="s">
        <v>2638</v>
      </c>
      <c r="D432" s="3">
        <f t="shared" si="40"/>
        <v>492</v>
      </c>
      <c r="G432" s="8" t="s">
        <v>1477</v>
      </c>
      <c r="I432" t="s">
        <v>91</v>
      </c>
      <c r="J432" t="s">
        <v>91</v>
      </c>
      <c r="K432">
        <v>434</v>
      </c>
      <c r="L432">
        <v>434</v>
      </c>
      <c r="M432">
        <v>434</v>
      </c>
      <c r="O432" s="61" t="s">
        <v>1703</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constants'!$B$4:$C$1012,2,FALSE),"")</f>
        <v>Greymoor</v>
      </c>
      <c r="V432" s="33" t="s">
        <v>3266</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constants'!$A$5:$D$10001,4,FALSE),"")</f>
        <v>Kyne's Aegis</v>
      </c>
      <c r="AB432" s="33" t="s">
        <v>3266</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constants'!$A$5:$D$10001,4,FALSE),"")</f>
        <v>Kyne's Aegis</v>
      </c>
      <c r="AH432" s="33" t="s">
        <v>3266</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8" t="s">
        <v>2653</v>
      </c>
      <c r="BA432" s="78"/>
      <c r="BB432" s="78"/>
      <c r="BC432" s="78"/>
      <c r="BD432" s="78">
        <v>493</v>
      </c>
      <c r="BE432" s="21" t="str">
        <f t="shared" si="41"/>
        <v>[492] = {wayshrines={434,434,434,}, dlcId=DLC_GREYMOOR</v>
      </c>
      <c r="BF432" s="21" t="str">
        <f t="shared" si="42"/>
        <v>, zoneIds={1196,1196,1196}, veteran=false</v>
      </c>
      <c r="BG432" s="21" t="str">
        <f t="shared" si="43"/>
        <v>, setType=LIBSETS_SETTYPE_TRIAL</v>
      </c>
      <c r="BH432" s="21" t="str">
        <f t="shared" si="44"/>
        <v>, dropMechanic={LIBSETS_DROP_MECHANIC_TRIAL_BOSS,LIBSETS_DROP_MECHANIC_TRIAL_BOSS,LIBSETS_DROP_MECHANIC_TRIAL_BOSS}, perfectedSetId=493</v>
      </c>
      <c r="BI432" s="21" t="str">
        <f t="shared" si="45"/>
        <v>}, --Kyne\'s Wind / Kynes Wind   [Kyne's Aegis, Kyne's Aegis, Kyne's Aegis]</v>
      </c>
    </row>
    <row r="433" spans="1:61" x14ac:dyDescent="0.25">
      <c r="A433" s="5">
        <v>493</v>
      </c>
      <c r="B433" t="s">
        <v>1735</v>
      </c>
      <c r="C433" t="s">
        <v>2639</v>
      </c>
      <c r="D433" s="3">
        <f t="shared" si="40"/>
        <v>493</v>
      </c>
      <c r="G433" s="8" t="s">
        <v>1477</v>
      </c>
      <c r="I433" t="s">
        <v>92</v>
      </c>
      <c r="J433" t="s">
        <v>91</v>
      </c>
      <c r="K433">
        <v>434</v>
      </c>
      <c r="L433">
        <v>434</v>
      </c>
      <c r="M433">
        <v>434</v>
      </c>
      <c r="O433" s="61" t="s">
        <v>1703</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constants'!$B$4:$C$1012,2,FALSE),"")</f>
        <v>Greymoor</v>
      </c>
      <c r="V433" s="33" t="s">
        <v>3266</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constants'!$A$5:$D$10001,4,FALSE),"")</f>
        <v>Kyne's Aegis</v>
      </c>
      <c r="AB433" s="33" t="s">
        <v>3266</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constants'!$A$5:$D$10001,4,FALSE),"")</f>
        <v>Kyne's Aegis</v>
      </c>
      <c r="AH433" s="33" t="s">
        <v>3266</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8" t="s">
        <v>2653</v>
      </c>
      <c r="BA433" s="78"/>
      <c r="BB433" s="78"/>
      <c r="BC433" s="78"/>
      <c r="BD433" s="78" t="s">
        <v>3832</v>
      </c>
      <c r="BE433" s="21" t="str">
        <f t="shared" si="41"/>
        <v>[493] = {wayshrines={434,434,434,}, dlcId=DLC_GREYMOOR</v>
      </c>
      <c r="BF433" s="21" t="str">
        <f t="shared" si="42"/>
        <v>, zoneIds={1196,1196,1196}, veteran=true</v>
      </c>
      <c r="BG433" s="21" t="str">
        <f t="shared" si="43"/>
        <v>, setType=LIBSETS_SETTYPE_TRIAL</v>
      </c>
      <c r="BH433" s="21" t="str">
        <f t="shared" si="44"/>
        <v>, dropMechanic={LIBSETS_DROP_MECHANIC_TRIAL_BOSS,LIBSETS_DROP_MECHANIC_TRIAL_BOSS,LIBSETS_DROP_MECHANIC_TRIAL_BOSS}, isPerfectedSet=1</v>
      </c>
      <c r="BI433" s="21" t="str">
        <f t="shared" si="45"/>
        <v>}, --Perfected Kyne\'s Wind / Kynes perfektionierter Wind   [Kyne's Aegis, Kyne's Aegis, Kyne's Aegis]</v>
      </c>
    </row>
    <row r="434" spans="1:61" x14ac:dyDescent="0.25">
      <c r="A434" s="5">
        <v>494</v>
      </c>
      <c r="B434" t="s">
        <v>1736</v>
      </c>
      <c r="C434" t="s">
        <v>2640</v>
      </c>
      <c r="D434" s="3">
        <f t="shared" si="40"/>
        <v>494</v>
      </c>
      <c r="G434" s="8" t="s">
        <v>1477</v>
      </c>
      <c r="I434" t="s">
        <v>91</v>
      </c>
      <c r="J434" t="s">
        <v>91</v>
      </c>
      <c r="K434">
        <v>434</v>
      </c>
      <c r="L434">
        <v>434</v>
      </c>
      <c r="M434">
        <v>434</v>
      </c>
      <c r="O434" s="61" t="s">
        <v>1703</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constants'!$B$4:$C$1012,2,FALSE),"")</f>
        <v>Greymoor</v>
      </c>
      <c r="V434" s="33" t="s">
        <v>3266</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constants'!$A$5:$D$10001,4,FALSE),"")</f>
        <v>Kyne's Aegis</v>
      </c>
      <c r="AB434" s="33" t="s">
        <v>3266</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constants'!$A$5:$D$10001,4,FALSE),"")</f>
        <v>Kyne's Aegis</v>
      </c>
      <c r="AH434" s="33" t="s">
        <v>3266</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8" t="s">
        <v>2653</v>
      </c>
      <c r="BA434" s="78"/>
      <c r="BB434" s="78"/>
      <c r="BC434" s="78"/>
      <c r="BD434" s="78">
        <v>495</v>
      </c>
      <c r="BE434" s="21" t="str">
        <f t="shared" si="41"/>
        <v>[494] = {wayshrines={434,434,434,}, dlcId=DLC_GREYMOOR</v>
      </c>
      <c r="BF434" s="21" t="str">
        <f t="shared" si="42"/>
        <v>, zoneIds={1196,1196,1196}, veteran=false</v>
      </c>
      <c r="BG434" s="21" t="str">
        <f t="shared" si="43"/>
        <v>, setType=LIBSETS_SETTYPE_TRIAL</v>
      </c>
      <c r="BH434" s="21" t="str">
        <f t="shared" si="44"/>
        <v>, dropMechanic={LIBSETS_DROP_MECHANIC_TRIAL_BOSS,LIBSETS_DROP_MECHANIC_TRIAL_BOSS,LIBSETS_DROP_MECHANIC_TRIAL_BOSS}, perfectedSetId=495</v>
      </c>
      <c r="BI434" s="21" t="str">
        <f t="shared" si="45"/>
        <v>}, --Vrol\'s Command / Vrols Befehl   [Kyne's Aegis, Kyne's Aegis, Kyne's Aegis]</v>
      </c>
    </row>
    <row r="435" spans="1:61" x14ac:dyDescent="0.25">
      <c r="A435" s="5">
        <v>495</v>
      </c>
      <c r="B435" t="s">
        <v>1737</v>
      </c>
      <c r="C435" t="s">
        <v>2641</v>
      </c>
      <c r="D435" s="3">
        <f t="shared" si="40"/>
        <v>495</v>
      </c>
      <c r="G435" s="8" t="s">
        <v>1477</v>
      </c>
      <c r="I435" t="s">
        <v>92</v>
      </c>
      <c r="J435" t="s">
        <v>91</v>
      </c>
      <c r="K435">
        <v>434</v>
      </c>
      <c r="L435">
        <v>434</v>
      </c>
      <c r="M435">
        <v>434</v>
      </c>
      <c r="O435" s="61" t="s">
        <v>1703</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constants'!$B$4:$C$1012,2,FALSE),"")</f>
        <v>Greymoor</v>
      </c>
      <c r="V435" s="33" t="s">
        <v>3266</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constants'!$A$5:$D$10001,4,FALSE),"")</f>
        <v>Kyne's Aegis</v>
      </c>
      <c r="AB435" s="33" t="s">
        <v>3266</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constants'!$A$5:$D$10001,4,FALSE),"")</f>
        <v>Kyne's Aegis</v>
      </c>
      <c r="AH435" s="33" t="s">
        <v>3266</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8" t="s">
        <v>2653</v>
      </c>
      <c r="BA435" s="78"/>
      <c r="BB435" s="78"/>
      <c r="BC435" s="78"/>
      <c r="BD435" s="78" t="s">
        <v>3832</v>
      </c>
      <c r="BE435" s="21" t="str">
        <f t="shared" si="41"/>
        <v>[495] = {wayshrines={434,434,434,}, dlcId=DLC_GREYMOOR</v>
      </c>
      <c r="BF435" s="21" t="str">
        <f t="shared" si="42"/>
        <v>, zoneIds={1196,1196,1196}, veteran=true</v>
      </c>
      <c r="BG435" s="21" t="str">
        <f t="shared" si="43"/>
        <v>, setType=LIBSETS_SETTYPE_TRIAL</v>
      </c>
      <c r="BH435" s="21" t="str">
        <f t="shared" si="44"/>
        <v>, dropMechanic={LIBSETS_DROP_MECHANIC_TRIAL_BOSS,LIBSETS_DROP_MECHANIC_TRIAL_BOSS,LIBSETS_DROP_MECHANIC_TRIAL_BOSS}, isPerfectedSet=1</v>
      </c>
      <c r="BI435" s="21" t="str">
        <f t="shared" si="45"/>
        <v>}, --Perfected Vrol\'s Command / Vrols perfektionierter Befehl   [Kyne's Aegis, Kyne's Aegis, Kyne's Aegis]</v>
      </c>
    </row>
    <row r="436" spans="1:61" x14ac:dyDescent="0.25">
      <c r="A436" s="5">
        <v>496</v>
      </c>
      <c r="B436" t="s">
        <v>1738</v>
      </c>
      <c r="C436" t="s">
        <v>1739</v>
      </c>
      <c r="D436" s="3">
        <f t="shared" si="40"/>
        <v>496</v>
      </c>
      <c r="G436" s="8" t="s">
        <v>1477</v>
      </c>
      <c r="I436" t="s">
        <v>91</v>
      </c>
      <c r="J436" t="s">
        <v>91</v>
      </c>
      <c r="K436">
        <v>434</v>
      </c>
      <c r="L436">
        <v>434</v>
      </c>
      <c r="M436">
        <v>434</v>
      </c>
      <c r="O436" s="61" t="s">
        <v>1703</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constants'!$B$4:$C$1012,2,FALSE),"")</f>
        <v>Greymoor</v>
      </c>
      <c r="V436" s="33" t="s">
        <v>3266</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constants'!$A$5:$D$10001,4,FALSE),"")</f>
        <v>Kyne's Aegis</v>
      </c>
      <c r="AB436" s="33" t="s">
        <v>3266</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constants'!$A$5:$D$10001,4,FALSE),"")</f>
        <v>Kyne's Aegis</v>
      </c>
      <c r="AH436" s="33" t="s">
        <v>3266</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8" t="s">
        <v>2653</v>
      </c>
      <c r="BA436" s="78"/>
      <c r="BB436" s="78"/>
      <c r="BC436" s="78"/>
      <c r="BD436" s="78">
        <v>497</v>
      </c>
      <c r="BE436" s="21" t="str">
        <f t="shared" si="41"/>
        <v>[496] = {wayshrines={434,434,434,}, dlcId=DLC_GREYMOOR</v>
      </c>
      <c r="BF436" s="21" t="str">
        <f t="shared" si="42"/>
        <v>, zoneIds={1196,1196,1196}, veteran=false</v>
      </c>
      <c r="BG436" s="21" t="str">
        <f t="shared" si="43"/>
        <v>, setType=LIBSETS_SETTYPE_TRIAL</v>
      </c>
      <c r="BH436" s="21" t="str">
        <f t="shared" si="44"/>
        <v>, dropMechanic={LIBSETS_DROP_MECHANIC_TRIAL_BOSS,LIBSETS_DROP_MECHANIC_TRIAL_BOSS,LIBSETS_DROP_MECHANIC_TRIAL_BOSS}, perfectedSetId=497</v>
      </c>
      <c r="BI436" s="21" t="str">
        <f t="shared" si="45"/>
        <v>}, --Roaring Opportunist / Brüllender Opportunist   [Kyne's Aegis, Kyne's Aegis, Kyne's Aegis]</v>
      </c>
    </row>
    <row r="437" spans="1:61" x14ac:dyDescent="0.25">
      <c r="A437" s="5">
        <v>497</v>
      </c>
      <c r="B437" t="s">
        <v>1740</v>
      </c>
      <c r="C437" t="s">
        <v>1741</v>
      </c>
      <c r="D437" s="3">
        <f t="shared" si="40"/>
        <v>497</v>
      </c>
      <c r="G437" s="8" t="s">
        <v>1477</v>
      </c>
      <c r="I437" t="s">
        <v>92</v>
      </c>
      <c r="J437" t="s">
        <v>91</v>
      </c>
      <c r="K437">
        <v>434</v>
      </c>
      <c r="L437">
        <v>434</v>
      </c>
      <c r="M437">
        <v>434</v>
      </c>
      <c r="O437" s="61" t="s">
        <v>1703</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constants'!$B$4:$C$1012,2,FALSE),"")</f>
        <v>Greymoor</v>
      </c>
      <c r="V437" s="33" t="s">
        <v>3266</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constants'!$A$5:$D$10001,4,FALSE),"")</f>
        <v>Kyne's Aegis</v>
      </c>
      <c r="AB437" s="33" t="s">
        <v>3266</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constants'!$A$5:$D$10001,4,FALSE),"")</f>
        <v>Kyne's Aegis</v>
      </c>
      <c r="AH437" s="33" t="s">
        <v>3266</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8" t="s">
        <v>2653</v>
      </c>
      <c r="BA437" s="78"/>
      <c r="BB437" s="78"/>
      <c r="BC437" s="78"/>
      <c r="BD437" s="78" t="s">
        <v>3832</v>
      </c>
      <c r="BE437" s="21" t="str">
        <f t="shared" si="41"/>
        <v>[497] = {wayshrines={434,434,434,}, dlcId=DLC_GREYMOOR</v>
      </c>
      <c r="BF437" s="21" t="str">
        <f t="shared" si="42"/>
        <v>, zoneIds={1196,1196,1196}, veteran=true</v>
      </c>
      <c r="BG437" s="21" t="str">
        <f t="shared" si="43"/>
        <v>, setType=LIBSETS_SETTYPE_TRIAL</v>
      </c>
      <c r="BH437" s="21" t="str">
        <f t="shared" si="44"/>
        <v>, dropMechanic={LIBSETS_DROP_MECHANIC_TRIAL_BOSS,LIBSETS_DROP_MECHANIC_TRIAL_BOSS,LIBSETS_DROP_MECHANIC_TRIAL_BOSS}, isPerfectedSet=1</v>
      </c>
      <c r="BI437" s="21" t="str">
        <f t="shared" si="45"/>
        <v>}, --Perfected Roaring Opportunist / Perfektionierter brüllender Opportunist   [Kyne's Aegis, Kyne's Aegis, Kyne's Aegis]</v>
      </c>
    </row>
    <row r="438" spans="1:61" x14ac:dyDescent="0.25">
      <c r="A438" s="5">
        <v>498</v>
      </c>
      <c r="B438" t="s">
        <v>1742</v>
      </c>
      <c r="C438" t="s">
        <v>2642</v>
      </c>
      <c r="D438" s="3">
        <f t="shared" si="40"/>
        <v>498</v>
      </c>
      <c r="G438" s="8" t="s">
        <v>1477</v>
      </c>
      <c r="I438" t="s">
        <v>91</v>
      </c>
      <c r="J438" t="s">
        <v>91</v>
      </c>
      <c r="K438">
        <v>434</v>
      </c>
      <c r="L438">
        <v>434</v>
      </c>
      <c r="M438">
        <v>434</v>
      </c>
      <c r="O438" s="61" t="s">
        <v>1703</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constants'!$B$4:$C$1012,2,FALSE),"")</f>
        <v>Greymoor</v>
      </c>
      <c r="V438" s="33" t="s">
        <v>3266</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constants'!$A$5:$D$10001,4,FALSE),"")</f>
        <v>Kyne's Aegis</v>
      </c>
      <c r="AB438" s="33" t="s">
        <v>3266</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constants'!$A$5:$D$10001,4,FALSE),"")</f>
        <v>Kyne's Aegis</v>
      </c>
      <c r="AH438" s="33" t="s">
        <v>3266</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8" t="s">
        <v>2653</v>
      </c>
      <c r="BA438" s="78"/>
      <c r="BB438" s="78"/>
      <c r="BC438" s="78"/>
      <c r="BD438" s="78">
        <v>499</v>
      </c>
      <c r="BE438" s="21" t="str">
        <f t="shared" si="41"/>
        <v>[498] = {wayshrines={434,434,434,}, dlcId=DLC_GREYMOOR</v>
      </c>
      <c r="BF438" s="21" t="str">
        <f t="shared" si="42"/>
        <v>, zoneIds={1196,1196,1196}, veteran=false</v>
      </c>
      <c r="BG438" s="21" t="str">
        <f t="shared" si="43"/>
        <v>, setType=LIBSETS_SETTYPE_TRIAL</v>
      </c>
      <c r="BH438" s="21" t="str">
        <f t="shared" si="44"/>
        <v>, dropMechanic={LIBSETS_DROP_MECHANIC_TRIAL_BOSS,LIBSETS_DROP_MECHANIC_TRIAL_BOSS,LIBSETS_DROP_MECHANIC_TRIAL_BOSS}, perfectedSetId=499</v>
      </c>
      <c r="BI438" s="21" t="str">
        <f t="shared" si="45"/>
        <v>}, --Yandir\'s Might / Yandirs Macht   [Kyne's Aegis, Kyne's Aegis, Kyne's Aegis]</v>
      </c>
    </row>
    <row r="439" spans="1:61" x14ac:dyDescent="0.25">
      <c r="A439" s="5">
        <v>499</v>
      </c>
      <c r="B439" t="s">
        <v>1743</v>
      </c>
      <c r="C439" t="s">
        <v>2643</v>
      </c>
      <c r="D439" s="3">
        <f t="shared" si="40"/>
        <v>499</v>
      </c>
      <c r="G439" s="8" t="s">
        <v>1477</v>
      </c>
      <c r="I439" t="s">
        <v>92</v>
      </c>
      <c r="J439" t="s">
        <v>91</v>
      </c>
      <c r="K439">
        <v>434</v>
      </c>
      <c r="L439">
        <v>434</v>
      </c>
      <c r="M439">
        <v>434</v>
      </c>
      <c r="O439" s="61" t="s">
        <v>1703</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constants'!$B$4:$C$1012,2,FALSE),"")</f>
        <v>Greymoor</v>
      </c>
      <c r="V439" s="33" t="s">
        <v>3266</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constants'!$A$5:$D$10001,4,FALSE),"")</f>
        <v>Kyne's Aegis</v>
      </c>
      <c r="AB439" s="33" t="s">
        <v>3266</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constants'!$A$5:$D$10001,4,FALSE),"")</f>
        <v>Kyne's Aegis</v>
      </c>
      <c r="AH439" s="33" t="s">
        <v>3266</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8" t="s">
        <v>2653</v>
      </c>
      <c r="BA439" s="78"/>
      <c r="BB439" s="78"/>
      <c r="BC439" s="78"/>
      <c r="BD439" s="78" t="s">
        <v>3832</v>
      </c>
      <c r="BE439" s="21" t="str">
        <f t="shared" si="41"/>
        <v>[499] = {wayshrines={434,434,434,}, dlcId=DLC_GREYMOOR</v>
      </c>
      <c r="BF439" s="21" t="str">
        <f t="shared" si="42"/>
        <v>, zoneIds={1196,1196,1196}, veteran=true</v>
      </c>
      <c r="BG439" s="21" t="str">
        <f t="shared" si="43"/>
        <v>, setType=LIBSETS_SETTYPE_TRIAL</v>
      </c>
      <c r="BH439" s="21" t="str">
        <f t="shared" si="44"/>
        <v>, dropMechanic={LIBSETS_DROP_MECHANIC_TRIAL_BOSS,LIBSETS_DROP_MECHANIC_TRIAL_BOSS,LIBSETS_DROP_MECHANIC_TRIAL_BOSS}, isPerfectedSet=1</v>
      </c>
      <c r="BI439" s="21" t="str">
        <f t="shared" si="45"/>
        <v>}, --Perfected Yandir\'s Might / Yandirs perfektionierte Macht   [Kyne's Aegis, Kyne's Aegis, Kyne's Aegis]</v>
      </c>
    </row>
    <row r="440" spans="1:61" x14ac:dyDescent="0.25">
      <c r="A440" s="5">
        <v>500</v>
      </c>
      <c r="B440" t="s">
        <v>1744</v>
      </c>
      <c r="C440" t="s">
        <v>2644</v>
      </c>
      <c r="D440" s="3">
        <f t="shared" si="40"/>
        <v>500</v>
      </c>
      <c r="E440" s="40" t="s">
        <v>1787</v>
      </c>
      <c r="F440" s="30" t="s">
        <v>1460</v>
      </c>
      <c r="G440" s="8"/>
      <c r="O440" s="61" t="s">
        <v>1684</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constants'!$H$3:$K$9989,4,FALSE)),""))</f>
        <v>DLC_BASE_GAME</v>
      </c>
      <c r="U440" s="3" t="str">
        <f>IF(T440&lt;&gt;"",VLOOKUP(T440,'LibSets constants'!$B$4:$C$1012,2,FALSE),"")</f>
        <v>Included in base game</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constants'!$A$5:$D$10001,4,FALSE),"")</f>
        <v>Imperial Sewers</v>
      </c>
      <c r="AC440" s="41" t="str">
        <f>IF(AB440&lt;&gt;"",IF(AB440&lt;&gt;"LIBSETS_DROP_MECHANIC_MONSTER_NAME",VLOOKUP(AB440,'LibSets constants'!$I$4:$L$1012,3,FALSE),""),"")</f>
        <v/>
      </c>
      <c r="AD440" s="41" t="str">
        <f>IF(AB440&lt;&gt;"",IF(AB440&lt;&gt;"LIBSETS_DROP_MECHANIC_MONSTER_NAME",VLOOKUP(AB440,'LibSets constants'!$I$4:$L$1012,4,FALSE),""),"")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8" t="s">
        <v>2653</v>
      </c>
      <c r="BA440" s="78"/>
      <c r="BB440" s="78"/>
      <c r="BC440" s="78"/>
      <c r="BD440" s="78"/>
      <c r="BE440" s="21" t="str">
        <f t="shared" si="41"/>
        <v/>
      </c>
      <c r="BF440" s="21" t="str">
        <f t="shared" si="42"/>
        <v/>
      </c>
      <c r="BG440" s="21" t="str">
        <f t="shared" si="43"/>
        <v/>
      </c>
      <c r="BH440" s="21" t="str">
        <f t="shared" si="44"/>
        <v/>
      </c>
      <c r="BI440" s="21" t="str">
        <f t="shared" si="45"/>
        <v/>
      </c>
    </row>
    <row r="441" spans="1:61" x14ac:dyDescent="0.25">
      <c r="A441" s="5">
        <v>501</v>
      </c>
      <c r="B441" t="s">
        <v>1746</v>
      </c>
      <c r="C441" t="s">
        <v>1745</v>
      </c>
      <c r="D441" s="3">
        <f t="shared" si="40"/>
        <v>501</v>
      </c>
      <c r="G441" s="8" t="s">
        <v>1678</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WayshrineInfo'!$K$3:$N$9972,4,FALSE),"")))</f>
        <v>Auridon</v>
      </c>
      <c r="S441" s="61" t="s">
        <v>1606</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constants'!$B$4:$C$1012,2,FALSE),"")</f>
        <v>Greymoor</v>
      </c>
      <c r="V441" s="33" t="s">
        <v>1555</v>
      </c>
      <c r="W441" s="91"/>
      <c r="X441" s="91"/>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constants'!$A$5:$D$10001,4,FALSE),"")</f>
        <v>Artaeum</v>
      </c>
      <c r="AB441" s="33" t="s">
        <v>3217</v>
      </c>
      <c r="AC441" s="41" t="s">
        <v>3244</v>
      </c>
      <c r="AD441" s="41" t="s">
        <v>3245</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constants'!$A$5:$D$10001,4,FALSE),"")</f>
        <v>Stros M'Kai</v>
      </c>
      <c r="AH441" s="42" t="s">
        <v>3217</v>
      </c>
      <c r="AI441" s="41" t="s">
        <v>3246</v>
      </c>
      <c r="AJ441" s="41" t="s">
        <v>3247</v>
      </c>
      <c r="AK441" s="3">
        <f>IF(AND(G441&lt;&gt;"LIBSETS_SETTYPE_BATTLEGROUND",G441&lt;&gt;"LIBSETS_SETTYPE_SPECIAL"),IF(AL441&lt;&gt;"",VLOOKUP(AL441,'ESO zone constants'!$D$5:$H$4955,5,FALSE),""),"")</f>
        <v>1020</v>
      </c>
      <c r="AL441" t="s">
        <v>672</v>
      </c>
      <c r="AM441" s="33" t="s">
        <v>1555</v>
      </c>
      <c r="AN441" s="41"/>
      <c r="AO441" s="41"/>
      <c r="AP441" s="3">
        <f>IF(AND(G441&lt;&gt;"LIBSETS_SETTYPE_BATTLEGROUND",G441&lt;&gt;"LIBSETS_SETTYPE_SPECIAL"),IF(AQ441&lt;&gt;"",VLOOKUP(AQ441,'ESO zone constants'!$D$5:$H$4955,5,FALSE),""),"")</f>
        <v>1027</v>
      </c>
      <c r="AQ441" t="s">
        <v>679</v>
      </c>
      <c r="AR441" s="33" t="s">
        <v>3223</v>
      </c>
      <c r="AS441" s="41" t="s">
        <v>3248</v>
      </c>
      <c r="AT441" s="41" t="s">
        <v>3249</v>
      </c>
      <c r="AU441" s="3" t="str">
        <f>IF(AND(G441&lt;&gt;"LIBSETS_SETTYPE_BATTLEGROUND",G441&lt;&gt;"LIBSETS_SETTYPE_SPECIAL"),IF(AV441&lt;&gt;"",VLOOKUP(AV441,'ESO zone constants'!$D$5:$H$4955,5,FALSE),""),"")</f>
        <v/>
      </c>
      <c r="AV441" s="38"/>
      <c r="AX441" s="41"/>
      <c r="AY441" s="41"/>
      <c r="AZ441" s="78" t="s">
        <v>2653</v>
      </c>
      <c r="BA441" s="36" t="s">
        <v>3184</v>
      </c>
      <c r="BB441" s="36" t="s">
        <v>3184</v>
      </c>
      <c r="BC441" s="36"/>
      <c r="BD441" s="36"/>
      <c r="BE441" s="21" t="str">
        <f t="shared" si="41"/>
        <v>[501] = {wayshrines={176,360,179,}, dlcId=DLC_GREYMOOR</v>
      </c>
      <c r="BF441" s="21" t="str">
        <f t="shared" si="42"/>
        <v>, zoneIds={381,1027,534,1020,1027}, veteran=false</v>
      </c>
      <c r="BG441" s="21" t="str">
        <f t="shared" si="43"/>
        <v>, setType=LIBSETS_SETTYPE_MYTHIC</v>
      </c>
      <c r="BH441" s="21" t="str">
        <f t="shared" si="44"/>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 t="shared" si="45"/>
        <v>, addTooltip={['en']='https://en.uesp.net/wiki/Online:Thrassian_Stranglers',},}, --Thrassian Stranglers / Thrassische Würger   [Auridon, Artaeum, Stros M'Kai, Karnwasten, Artaeum]</v>
      </c>
    </row>
    <row r="442" spans="1:61" ht="15" customHeight="1" x14ac:dyDescent="0.25">
      <c r="A442" s="5">
        <v>502</v>
      </c>
      <c r="B442" t="s">
        <v>1747</v>
      </c>
      <c r="C442" t="s">
        <v>1747</v>
      </c>
      <c r="D442" s="3">
        <f t="shared" si="40"/>
        <v>502</v>
      </c>
      <c r="E442" t="s">
        <v>1788</v>
      </c>
      <c r="F442" s="30" t="s">
        <v>1460</v>
      </c>
      <c r="G442" s="8"/>
      <c r="O442" s="61" t="s">
        <v>1684</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constants'!$H$3:$K$9989,4,FALSE)),""))</f>
        <v>DLC_BASE_GAME</v>
      </c>
      <c r="U442" s="3" t="str">
        <f>IF(T442&lt;&gt;"",VLOOKUP(T442,'LibSets constants'!$B$4:$C$1012,2,FALSE),"")</f>
        <v>Included in base game</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constants'!$A$5:$D$10001,4,FALSE),"")</f>
        <v>Imperial Sewers</v>
      </c>
      <c r="AC442" s="41" t="str">
        <f>IF(AB442&lt;&gt;"",IF(AB442&lt;&gt;"LIBSETS_DROP_MECHANIC_MONSTER_NAME",VLOOKUP(AB442,'LibSets constants'!$I$4:$L$1012,3,FALSE),""),"")</f>
        <v/>
      </c>
      <c r="AD442" s="41" t="str">
        <f>IF(AB442&lt;&gt;"",IF(AB442&lt;&gt;"LIBSETS_DROP_MECHANIC_MONSTER_NAME",VLOOKUP(AB442,'LibSets constants'!$I$4:$L$1012,4,FALSE),""),"")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8" t="s">
        <v>2653</v>
      </c>
      <c r="BA442" s="78"/>
      <c r="BB442" s="78"/>
      <c r="BC442" s="78"/>
      <c r="BD442" s="78"/>
      <c r="BE442" s="21" t="str">
        <f t="shared" si="41"/>
        <v/>
      </c>
      <c r="BF442" s="21" t="str">
        <f t="shared" si="42"/>
        <v/>
      </c>
      <c r="BG442" s="21" t="str">
        <f t="shared" si="43"/>
        <v/>
      </c>
      <c r="BH442" s="21" t="str">
        <f t="shared" si="44"/>
        <v/>
      </c>
      <c r="BI442" s="21" t="str">
        <f t="shared" si="45"/>
        <v/>
      </c>
    </row>
    <row r="443" spans="1:61" x14ac:dyDescent="0.25">
      <c r="A443" s="5">
        <v>503</v>
      </c>
      <c r="B443" t="s">
        <v>1748</v>
      </c>
      <c r="C443" t="s">
        <v>1749</v>
      </c>
      <c r="D443" s="3">
        <f t="shared" si="40"/>
        <v>503</v>
      </c>
      <c r="G443" s="8" t="s">
        <v>1678</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WayshrineInfo'!$K$3:$N$9972,4,FALSE),"")))</f>
        <v>Glenumbra</v>
      </c>
      <c r="S443" s="61" t="s">
        <v>1606</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constants'!$B$4:$C$1012,2,FALSE),"")</f>
        <v>Greymoor</v>
      </c>
      <c r="V443" s="33" t="s">
        <v>1556</v>
      </c>
      <c r="W443" s="91"/>
      <c r="X443" s="91"/>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constants'!$A$5:$D$10001,4,FALSE),"")</f>
        <v>Murkmire</v>
      </c>
      <c r="AB443" s="33" t="s">
        <v>1554</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constants'!$A$5:$D$10001,4,FALSE),"")</f>
        <v>Malabal Tor</v>
      </c>
      <c r="AH443" s="42" t="s">
        <v>1555</v>
      </c>
      <c r="AI443" s="41"/>
      <c r="AJ443" s="41"/>
      <c r="AK443" s="3">
        <f>IF(AND(G443&lt;&gt;"LIBSETS_SETTYPE_BATTLEGROUND",G443&lt;&gt;"LIBSETS_SETTYPE_SPECIAL"),IF(AL443&lt;&gt;"",VLOOKUP(AL443,'ESO zone constants'!$D$5:$H$4955,5,FALSE),""),"")</f>
        <v>931</v>
      </c>
      <c r="AL443" t="s">
        <v>56</v>
      </c>
      <c r="AM443" s="33" t="s">
        <v>3285</v>
      </c>
      <c r="AN443" s="41" t="s">
        <v>1542</v>
      </c>
      <c r="AO443" s="41" t="s">
        <v>1635</v>
      </c>
      <c r="AP443" s="3">
        <f>IF(AND(G443&lt;&gt;"LIBSETS_SETTYPE_BATTLEGROUND",G443&lt;&gt;"LIBSETS_SETTYPE_SPECIAL"),IF(AQ443&lt;&gt;"",VLOOKUP(AQ443,'ESO zone constants'!$D$5:$H$4955,5,FALSE),""),"")</f>
        <v>108</v>
      </c>
      <c r="AQ443" t="s">
        <v>113</v>
      </c>
      <c r="AR443" s="33" t="s">
        <v>1555</v>
      </c>
      <c r="AS443" s="41"/>
      <c r="AT443" s="41"/>
      <c r="AU443" s="3">
        <f>IF(AND(G443&lt;&gt;"LIBSETS_SETTYPE_BATTLEGROUND",G443&lt;&gt;"LIBSETS_SETTYPE_SPECIAL"),IF(AV443&lt;&gt;"",VLOOKUP(AV443,'ESO zone constants'!$D$5:$H$4955,5,FALSE),""),"")</f>
        <v>726</v>
      </c>
      <c r="AV443" t="s">
        <v>80</v>
      </c>
      <c r="AW443" s="33" t="s">
        <v>1555</v>
      </c>
      <c r="AX443" s="41"/>
      <c r="AY443" s="41"/>
      <c r="AZ443" s="78" t="s">
        <v>2653</v>
      </c>
      <c r="BA443" s="36" t="s">
        <v>3181</v>
      </c>
      <c r="BB443" s="36" t="s">
        <v>3181</v>
      </c>
      <c r="BC443" s="36"/>
      <c r="BD443" s="36"/>
      <c r="BE443" s="21" t="str">
        <f t="shared" si="41"/>
        <v>[503] = {wayshrines={62,374,107,}, dlcId=DLC_GREYMOOR</v>
      </c>
      <c r="BF443" s="21" t="str">
        <f t="shared" si="42"/>
        <v>, zoneIds={3,726,58,931,108,726}, veteran=false</v>
      </c>
      <c r="BG443" s="21" t="str">
        <f t="shared" si="43"/>
        <v>, setType=LIBSETS_SETTYPE_MYTHIC</v>
      </c>
      <c r="BH443" s="21" t="str">
        <f t="shared" si="44"/>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 t="shared" si="45"/>
        <v>, addTooltip={['en']='https://en.uesp.net/wiki/Online:Ring_of_the_Wild_Hunt',},}, --Ring of the Wild Hunt / Ring der Wilden Jagd   [Glenumbra, Murkmire, Malabal Tor, Elden Hollow II, Greenshade, Murkmire]</v>
      </c>
    </row>
    <row r="444" spans="1:61" ht="15" customHeight="1" x14ac:dyDescent="0.25">
      <c r="A444" s="5">
        <v>504</v>
      </c>
      <c r="B444" t="s">
        <v>1750</v>
      </c>
      <c r="C444" t="s">
        <v>2645</v>
      </c>
      <c r="D444" s="3">
        <f t="shared" si="40"/>
        <v>504</v>
      </c>
      <c r="E444" t="s">
        <v>1789</v>
      </c>
      <c r="F444" s="30" t="s">
        <v>1460</v>
      </c>
      <c r="G444" s="8"/>
      <c r="O444" s="61" t="s">
        <v>1684</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constants'!$H$3:$K$9989,4,FALSE)),""))</f>
        <v>DLC_BASE_GAME</v>
      </c>
      <c r="U444" s="3" t="str">
        <f>IF(T444&lt;&gt;"",VLOOKUP(T444,'LibSets constants'!$B$4:$C$1012,2,FALSE),"")</f>
        <v>Included in base game</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constants'!$A$5:$D$10001,4,FALSE),"")</f>
        <v>Imperial Sewers</v>
      </c>
      <c r="AC444" s="41" t="str">
        <f>IF(AB444&lt;&gt;"",IF(AB444&lt;&gt;"LIBSETS_DROP_MECHANIC_MONSTER_NAME",VLOOKUP(AB444,'LibSets constants'!$I$4:$L$1012,3,FALSE),""),"")</f>
        <v/>
      </c>
      <c r="AD444" s="41" t="str">
        <f>IF(AB444&lt;&gt;"",IF(AB444&lt;&gt;"LIBSETS_DROP_MECHANIC_MONSTER_NAME",VLOOKUP(AB444,'LibSets constants'!$I$4:$L$1012,4,FALSE),""),"")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8" t="s">
        <v>2653</v>
      </c>
      <c r="BA444" s="78"/>
      <c r="BB444" s="78"/>
      <c r="BC444" s="78"/>
      <c r="BD444" s="78"/>
      <c r="BE444" s="21" t="str">
        <f t="shared" si="41"/>
        <v/>
      </c>
      <c r="BF444" s="21" t="str">
        <f t="shared" si="42"/>
        <v/>
      </c>
      <c r="BG444" s="21" t="str">
        <f t="shared" si="43"/>
        <v/>
      </c>
      <c r="BH444" s="21" t="str">
        <f t="shared" si="44"/>
        <v/>
      </c>
      <c r="BI444" s="21" t="str">
        <f t="shared" si="45"/>
        <v/>
      </c>
    </row>
    <row r="445" spans="1:61" x14ac:dyDescent="0.25">
      <c r="A445" s="5">
        <v>505</v>
      </c>
      <c r="B445" t="s">
        <v>1752</v>
      </c>
      <c r="C445" t="s">
        <v>1751</v>
      </c>
      <c r="D445" s="3">
        <f t="shared" si="40"/>
        <v>505</v>
      </c>
      <c r="G445" s="8" t="s">
        <v>1678</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WayshrineInfo'!$K$3:$N$9972,4,FALSE),"")))</f>
        <v>Alik'r Desert</v>
      </c>
      <c r="S445" s="61" t="s">
        <v>1606</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constants'!$B$4:$C$1012,2,FALSE),"")</f>
        <v>Greymoor</v>
      </c>
      <c r="V445" s="33" t="s">
        <v>1555</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constants'!$A$5:$D$10001,4,FALSE),"")</f>
        <v>Deshaan</v>
      </c>
      <c r="AB445" s="33" t="s">
        <v>1555</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constants'!$A$5:$D$10001,4,FALSE),"")</f>
        <v>Blackheart Haven</v>
      </c>
      <c r="AH445" s="42" t="s">
        <v>3285</v>
      </c>
      <c r="AI445" s="41" t="s">
        <v>1362</v>
      </c>
      <c r="AJ445" s="41" t="s">
        <v>1628</v>
      </c>
      <c r="AK445" s="3">
        <f>IF(AND(G445&lt;&gt;"LIBSETS_SETTYPE_BATTLEGROUND",G445&lt;&gt;"LIBSETS_SETTYPE_SPECIAL"),IF(AL445&lt;&gt;"",VLOOKUP(AL445,'ESO zone constants'!$D$5:$H$4955,5,FALSE),""),"")</f>
        <v>216</v>
      </c>
      <c r="AL445" t="s">
        <v>144</v>
      </c>
      <c r="AM445" s="33" t="s">
        <v>1556</v>
      </c>
      <c r="AN445" s="41"/>
      <c r="AO445" s="41"/>
      <c r="AP445" s="3">
        <f>IF(AND(G445&lt;&gt;"LIBSETS_SETTYPE_BATTLEGROUND",G445&lt;&gt;"LIBSETS_SETTYPE_SPECIAL"),IF(AQ445&lt;&gt;"",VLOOKUP(AQ445,'ESO zone constants'!$D$5:$H$4955,5,FALSE),""),"")</f>
        <v>888</v>
      </c>
      <c r="AQ445" t="s">
        <v>563</v>
      </c>
      <c r="AR445" s="33" t="s">
        <v>1555</v>
      </c>
      <c r="AS445" s="41"/>
      <c r="AT445" s="41"/>
      <c r="AU445" s="3" t="str">
        <f>IF(AND(G445&lt;&gt;"LIBSETS_SETTYPE_BATTLEGROUND",G445&lt;&gt;"LIBSETS_SETTYPE_SPECIAL"),IF(AV445&lt;&gt;"",VLOOKUP(AV445,'ESO zone constants'!$D$5:$H$4955,5,FALSE),""),"")</f>
        <v/>
      </c>
      <c r="AX445" s="41"/>
      <c r="AY445" s="41"/>
      <c r="AZ445" s="78" t="s">
        <v>2653</v>
      </c>
      <c r="BA445" s="36" t="s">
        <v>3185</v>
      </c>
      <c r="BB445" s="36" t="s">
        <v>3185</v>
      </c>
      <c r="BC445" s="36"/>
      <c r="BD445" s="36"/>
      <c r="BE445" s="21" t="str">
        <f t="shared" si="41"/>
        <v>[505] = {wayshrines={57,26,186,}, dlcId=DLC_GREYMOOR</v>
      </c>
      <c r="BF445" s="21" t="str">
        <f t="shared" si="42"/>
        <v>, zoneIds={104,57,38,216,888}, veteran=false</v>
      </c>
      <c r="BG445" s="21" t="str">
        <f t="shared" si="43"/>
        <v>, setType=LIBSETS_SETTYPE_MYTHIC</v>
      </c>
      <c r="BH445" s="21" t="str">
        <f t="shared" si="44"/>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 t="shared" si="45"/>
        <v>, addTooltip={['en']='https://en.uesp.net/wiki/Online:Torc_of_Tonal_Constancy',},}, --Torc of Tonal Constancy / Torques der Klangkonstanz   [Alik'r Desert, Deshaan, Blackheart Haven, Crow's Wood, Craglorn]</v>
      </c>
    </row>
    <row r="446" spans="1:61" ht="15" customHeight="1" x14ac:dyDescent="0.25">
      <c r="A446" s="5">
        <v>506</v>
      </c>
      <c r="B446" t="s">
        <v>1753</v>
      </c>
      <c r="C446" t="s">
        <v>1754</v>
      </c>
      <c r="D446" s="3">
        <f t="shared" si="40"/>
        <v>506</v>
      </c>
      <c r="G446" s="8" t="s">
        <v>1470</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constants'!$H$3:$K$9989,4,FALSE)),""))</f>
        <v>DLC_MARKARTH</v>
      </c>
      <c r="U446" s="3" t="str">
        <f>IF(T446&lt;&gt;"",VLOOKUP(T446,'LibSets constants'!$B$4:$C$1012,2,FALSE),"")</f>
        <v>Markarth</v>
      </c>
      <c r="V446" s="33" t="s">
        <v>3288</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constants'!$A$5:$D$10001,4,FALSE),"")</f>
        <v>Blackreach: Greymoor Caverns</v>
      </c>
      <c r="AB446" s="33" t="s">
        <v>3288</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constants'!$A$5:$D$10001,4,FALSE),"")</f>
        <v>Blackreach: Greymoor Caverns</v>
      </c>
      <c r="AH446" s="33" t="s">
        <v>3288</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8" t="s">
        <v>2653</v>
      </c>
      <c r="BA446" s="78"/>
      <c r="BB446" s="78"/>
      <c r="BC446" s="78"/>
      <c r="BD446" s="78"/>
      <c r="BE446" s="21" t="str">
        <f t="shared" si="41"/>
        <v>[506] = {wayshrines={430,430,430,}, traitsNeeded=3, dlcId=DLC_MARKARTH</v>
      </c>
      <c r="BF446" s="21" t="str">
        <f t="shared" si="42"/>
        <v>, zoneIds={1161,1161,1161}, veteran=false</v>
      </c>
      <c r="BG446" s="21" t="str">
        <f t="shared" si="43"/>
        <v>, setType=LIBSETS_SETTYPE_CRAFTED</v>
      </c>
      <c r="BH446" s="21" t="str">
        <f t="shared" si="44"/>
        <v>, dropMechanic={LIBSETS_DROP_MECHANIC_CRAFTED,LIBSETS_DROP_MECHANIC_CRAFTED,LIBSETS_DROP_MECHANIC_CRAFTED}</v>
      </c>
      <c r="BI446" s="21" t="str">
        <f t="shared" si="45"/>
        <v>}, --Spell Parasite / Magieparasit   [Blackreach: Greymoor Caverns, Blackreach: Greymoor Caverns, Blackreach: Greymoor Caverns]</v>
      </c>
    </row>
    <row r="447" spans="1:61" ht="15" customHeight="1" x14ac:dyDescent="0.25">
      <c r="A447" s="79">
        <v>509</v>
      </c>
      <c r="B447" s="80" t="s">
        <v>1755</v>
      </c>
      <c r="C447" t="s">
        <v>1755</v>
      </c>
      <c r="D447" s="3">
        <f t="shared" si="40"/>
        <v>509</v>
      </c>
      <c r="E447" s="55" t="s">
        <v>1786</v>
      </c>
      <c r="F447" s="30" t="s">
        <v>1460</v>
      </c>
      <c r="G447" s="8" t="s">
        <v>1478</v>
      </c>
      <c r="O447" s="61" t="s">
        <v>1684</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constants'!$H$3:$K$9989,4,FALSE)),""))</f>
        <v>DLC_BASE_GAME</v>
      </c>
      <c r="U447" s="3" t="str">
        <f>IF(T447&lt;&gt;"",VLOOKUP(T447,'LibSets constants'!$B$4:$C$1012,2,FALSE),"")</f>
        <v>Included in base game</v>
      </c>
      <c r="V447" s="33" t="s">
        <v>1795</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constants'!$A$5:$D$10001,4,FALSE),"")</f>
        <v/>
      </c>
      <c r="AC447" s="41" t="str">
        <f>IF(AB447&lt;&gt;"",IF(AB447&lt;&gt;"LIBSETS_DROP_MECHANIC_MONSTER_NAME",VLOOKUP(AB447,'LibSets constants'!$I$4:$L$1012,3,FALSE),""),"")</f>
        <v/>
      </c>
      <c r="AD447" s="41" t="str">
        <f>IF(AB447&lt;&gt;"",IF(AB447&lt;&gt;"LIBSETS_DROP_MECHANIC_MONSTER_NAME",VLOOKUP(AB447,'LibSets constants'!$I$4:$L$1012,4,FALSE),""),"")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8" t="s">
        <v>2653</v>
      </c>
      <c r="BA447" s="78"/>
      <c r="BB447" s="78"/>
      <c r="BC447" s="78"/>
      <c r="BD447" s="78"/>
      <c r="BE447" s="21" t="str">
        <f t="shared" si="41"/>
        <v/>
      </c>
      <c r="BF447" s="21" t="str">
        <f t="shared" si="42"/>
        <v/>
      </c>
      <c r="BG447" s="21" t="str">
        <f t="shared" si="43"/>
        <v/>
      </c>
      <c r="BH447" s="21" t="str">
        <f t="shared" si="44"/>
        <v/>
      </c>
      <c r="BI447" s="21" t="str">
        <f t="shared" si="45"/>
        <v/>
      </c>
    </row>
    <row r="448" spans="1:61" ht="15" customHeight="1" x14ac:dyDescent="0.25">
      <c r="A448" s="79">
        <v>510</v>
      </c>
      <c r="B448" s="80" t="s">
        <v>1756</v>
      </c>
      <c r="C448" t="s">
        <v>1756</v>
      </c>
      <c r="D448" s="3">
        <f t="shared" si="40"/>
        <v>510</v>
      </c>
      <c r="E448" s="55" t="s">
        <v>1786</v>
      </c>
      <c r="F448" s="30" t="s">
        <v>1460</v>
      </c>
      <c r="G448" s="8" t="s">
        <v>1478</v>
      </c>
      <c r="O448" s="61" t="s">
        <v>1684</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constants'!$H$3:$K$9989,4,FALSE)),""))</f>
        <v>DLC_BASE_GAME</v>
      </c>
      <c r="U448" s="3" t="str">
        <f>IF(T448&lt;&gt;"",VLOOKUP(T448,'LibSets constants'!$B$4:$C$1012,2,FALSE),"")</f>
        <v>Included in base game</v>
      </c>
      <c r="V448" s="33" t="s">
        <v>1795</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constants'!$A$5:$D$10001,4,FALSE),"")</f>
        <v/>
      </c>
      <c r="AC448" s="41" t="str">
        <f>IF(AB448&lt;&gt;"",IF(AB448&lt;&gt;"LIBSETS_DROP_MECHANIC_MONSTER_NAME",VLOOKUP(AB448,'LibSets constants'!$I$4:$L$1012,3,FALSE),""),"")</f>
        <v/>
      </c>
      <c r="AD448" s="41" t="str">
        <f>IF(AB448&lt;&gt;"",IF(AB448&lt;&gt;"LIBSETS_DROP_MECHANIC_MONSTER_NAME",VLOOKUP(AB448,'LibSets constants'!$I$4:$L$1012,4,FALSE),""),"")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8" t="s">
        <v>2653</v>
      </c>
      <c r="BA448" s="78"/>
      <c r="BB448" s="78"/>
      <c r="BC448" s="78"/>
      <c r="BD448" s="78"/>
      <c r="BE448" s="21" t="str">
        <f t="shared" si="41"/>
        <v/>
      </c>
      <c r="BF448" s="21" t="str">
        <f t="shared" si="42"/>
        <v/>
      </c>
      <c r="BG448" s="21" t="str">
        <f t="shared" si="43"/>
        <v/>
      </c>
      <c r="BH448" s="21" t="str">
        <f t="shared" si="44"/>
        <v/>
      </c>
      <c r="BI448" s="21" t="str">
        <f t="shared" si="45"/>
        <v/>
      </c>
    </row>
    <row r="449" spans="1:61" ht="15" customHeight="1" x14ac:dyDescent="0.25">
      <c r="A449" s="79">
        <v>511</v>
      </c>
      <c r="B449" s="80" t="s">
        <v>1757</v>
      </c>
      <c r="C449" t="s">
        <v>1757</v>
      </c>
      <c r="D449" s="3">
        <f t="shared" si="40"/>
        <v>511</v>
      </c>
      <c r="E449" s="55" t="s">
        <v>1786</v>
      </c>
      <c r="F449" s="30" t="s">
        <v>1460</v>
      </c>
      <c r="G449" s="8" t="s">
        <v>1478</v>
      </c>
      <c r="O449" s="61" t="s">
        <v>1684</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constants'!$H$3:$K$9989,4,FALSE)),""))</f>
        <v>DLC_BASE_GAME</v>
      </c>
      <c r="U449" s="3" t="str">
        <f>IF(T449&lt;&gt;"",VLOOKUP(T449,'LibSets constants'!$B$4:$C$1012,2,FALSE),"")</f>
        <v>Included in base game</v>
      </c>
      <c r="V449" s="33" t="s">
        <v>1795</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constants'!$A$5:$D$10001,4,FALSE),"")</f>
        <v/>
      </c>
      <c r="AC449" s="41" t="str">
        <f>IF(AB449&lt;&gt;"",IF(AB449&lt;&gt;"LIBSETS_DROP_MECHANIC_MONSTER_NAME",VLOOKUP(AB449,'LibSets constants'!$I$4:$L$1012,3,FALSE),""),"")</f>
        <v/>
      </c>
      <c r="AD449" s="41" t="str">
        <f>IF(AB449&lt;&gt;"",IF(AB449&lt;&gt;"LIBSETS_DROP_MECHANIC_MONSTER_NAME",VLOOKUP(AB449,'LibSets constants'!$I$4:$L$1012,4,FALSE),""),"")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8" t="s">
        <v>2653</v>
      </c>
      <c r="BA449" s="78"/>
      <c r="BB449" s="78"/>
      <c r="BC449" s="78"/>
      <c r="BD449" s="78"/>
      <c r="BE449" s="21" t="str">
        <f t="shared" si="41"/>
        <v/>
      </c>
      <c r="BF449" s="21" t="str">
        <f t="shared" si="42"/>
        <v/>
      </c>
      <c r="BG449" s="21" t="str">
        <f t="shared" si="43"/>
        <v/>
      </c>
      <c r="BH449" s="21" t="str">
        <f t="shared" si="44"/>
        <v/>
      </c>
      <c r="BI449" s="21" t="str">
        <f t="shared" si="45"/>
        <v/>
      </c>
    </row>
    <row r="450" spans="1:61" ht="15" customHeight="1" x14ac:dyDescent="0.25">
      <c r="A450" s="79">
        <v>512</v>
      </c>
      <c r="B450" s="80" t="s">
        <v>1758</v>
      </c>
      <c r="C450" t="s">
        <v>1758</v>
      </c>
      <c r="D450" s="3">
        <f t="shared" si="40"/>
        <v>512</v>
      </c>
      <c r="E450" s="55" t="s">
        <v>1786</v>
      </c>
      <c r="F450" s="30" t="s">
        <v>1460</v>
      </c>
      <c r="G450" s="8" t="s">
        <v>1478</v>
      </c>
      <c r="O450" s="61" t="s">
        <v>1684</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constants'!$H$3:$K$9989,4,FALSE)),""))</f>
        <v>DLC_BASE_GAME</v>
      </c>
      <c r="U450" s="3" t="str">
        <f>IF(T450&lt;&gt;"",VLOOKUP(T450,'LibSets constants'!$B$4:$C$1012,2,FALSE),"")</f>
        <v>Included in base game</v>
      </c>
      <c r="V450" s="33" t="s">
        <v>1795</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constants'!$A$5:$D$10001,4,FALSE),"")</f>
        <v/>
      </c>
      <c r="AC450" s="41" t="str">
        <f>IF(AB450&lt;&gt;"",IF(AB450&lt;&gt;"LIBSETS_DROP_MECHANIC_MONSTER_NAME",VLOOKUP(AB450,'LibSets constants'!$I$4:$L$1012,3,FALSE),""),"")</f>
        <v/>
      </c>
      <c r="AD450" s="41" t="str">
        <f>IF(AB450&lt;&gt;"",IF(AB450&lt;&gt;"LIBSETS_DROP_MECHANIC_MONSTER_NAME",VLOOKUP(AB450,'LibSets constants'!$I$4:$L$1012,4,FALSE),""),"")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8" t="s">
        <v>2653</v>
      </c>
      <c r="BA450" s="78"/>
      <c r="BB450" s="78"/>
      <c r="BC450" s="78"/>
      <c r="BD450" s="78"/>
      <c r="BE450" s="21" t="str">
        <f t="shared" si="41"/>
        <v/>
      </c>
      <c r="BF450" s="21" t="str">
        <f t="shared" si="42"/>
        <v/>
      </c>
      <c r="BG450" s="21" t="str">
        <f t="shared" si="43"/>
        <v/>
      </c>
      <c r="BH450" s="21" t="str">
        <f t="shared" si="44"/>
        <v/>
      </c>
      <c r="BI450" s="21" t="str">
        <f t="shared" si="45"/>
        <v/>
      </c>
    </row>
    <row r="451" spans="1:61" ht="15" customHeight="1" x14ac:dyDescent="0.25">
      <c r="A451" s="5">
        <v>513</v>
      </c>
      <c r="B451" t="s">
        <v>2152</v>
      </c>
      <c r="C451" t="s">
        <v>2753</v>
      </c>
      <c r="D451" s="3">
        <f t="shared" ref="D451:D514" si="46">A451</f>
        <v>513</v>
      </c>
      <c r="G451" s="3" t="s">
        <v>1473</v>
      </c>
      <c r="I451" t="s">
        <v>91</v>
      </c>
      <c r="J451" t="s">
        <v>91</v>
      </c>
      <c r="K451">
        <v>436</v>
      </c>
      <c r="L451">
        <v>436</v>
      </c>
      <c r="M451">
        <v>436</v>
      </c>
      <c r="O451" s="61" t="s">
        <v>1799</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constants'!$B$4:$C$1012,2,FALSE),"")</f>
        <v>Stonethorn</v>
      </c>
      <c r="V451" s="33" t="s">
        <v>3285</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8" t="s">
        <v>2653</v>
      </c>
      <c r="BA451" s="78"/>
      <c r="BB451" s="78"/>
      <c r="BC451" s="78"/>
      <c r="BD451" s="78"/>
      <c r="BE451" s="21" t="str">
        <f t="shared" si="41"/>
        <v>[513] = {wayshrines={436,436,436,}, dlcId=DLC_STONETHORN</v>
      </c>
      <c r="BF451" s="21" t="str">
        <f t="shared" si="42"/>
        <v>, zoneIds={1201,1160,1160}, veteran=false</v>
      </c>
      <c r="BG451" s="21" t="str">
        <f t="shared" si="43"/>
        <v>, setType=LIBSETS_SETTYPE_DUNGEON</v>
      </c>
      <c r="BH451" s="21" t="str">
        <f t="shared" si="44"/>
        <v>, dropMechanic={LIBSETS_DROP_MECHANIC_GROUP_DUNGEON_BOSS}</v>
      </c>
      <c r="BI451" s="21" t="str">
        <f t="shared" si="45"/>
        <v>}, --Talfyg\'s Treachery / Talfygs Verrat   [Castle Thorn, Western Skyrim, Western Skyrim]</v>
      </c>
    </row>
    <row r="452" spans="1:61" ht="15" customHeight="1" x14ac:dyDescent="0.25">
      <c r="A452" s="5">
        <v>514</v>
      </c>
      <c r="B452" t="s">
        <v>2153</v>
      </c>
      <c r="C452" t="s">
        <v>1800</v>
      </c>
      <c r="D452" s="3">
        <f t="shared" si="46"/>
        <v>514</v>
      </c>
      <c r="G452" s="3" t="s">
        <v>1473</v>
      </c>
      <c r="I452" t="s">
        <v>91</v>
      </c>
      <c r="J452" t="s">
        <v>91</v>
      </c>
      <c r="K452">
        <v>436</v>
      </c>
      <c r="L452">
        <v>436</v>
      </c>
      <c r="M452">
        <v>436</v>
      </c>
      <c r="O452" s="61" t="s">
        <v>1799</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constants'!$B$4:$C$1012,2,FALSE),"")</f>
        <v>Stonethorn</v>
      </c>
      <c r="V452" s="33" t="s">
        <v>3285</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8" t="s">
        <v>2653</v>
      </c>
      <c r="BA452" s="78"/>
      <c r="BB452" s="78"/>
      <c r="BC452" s="78"/>
      <c r="BD452" s="78"/>
      <c r="BE452" s="21" t="str">
        <f t="shared" ref="BE452:BE515" si="47">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21" t="str">
        <f t="shared" ref="BF452:BF515" si="48">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21" t="str">
        <f t="shared" ref="BG452:BG515" si="49">IF(A452&lt;&gt;"",IF(F452&lt;&gt;"Not in the game (anymore)",IF(A452&lt;&gt;"",", setType="&amp;G452,"")&amp;IF(G452="LIBSETS_SETTYPE_CLASS",", classId="&amp;BC452,"")&amp;IF(J452="true",", multiTrialSet=true",""),"")
&amp; IF(AND(H452&lt;&gt;"",ISNUMBER(H452)),", undauntedChestId=" &amp; H452,""),"")</f>
        <v>, setType=LIBSETS_SETTYPE_DUNGEON</v>
      </c>
      <c r="BH452" s="21" t="str">
        <f t="shared" ref="BH452:BH515" si="50">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21" t="str">
        <f t="shared" ref="BI452:BI515" si="51">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2154</v>
      </c>
      <c r="C453" t="s">
        <v>1801</v>
      </c>
      <c r="D453" s="3">
        <f t="shared" si="46"/>
        <v>515</v>
      </c>
      <c r="G453" s="3" t="s">
        <v>1473</v>
      </c>
      <c r="I453" t="s">
        <v>91</v>
      </c>
      <c r="J453" t="s">
        <v>91</v>
      </c>
      <c r="K453">
        <v>436</v>
      </c>
      <c r="L453">
        <v>436</v>
      </c>
      <c r="M453">
        <v>436</v>
      </c>
      <c r="O453" s="61" t="s">
        <v>1799</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constants'!$B$4:$C$1012,2,FALSE),"")</f>
        <v>Stonethorn</v>
      </c>
      <c r="V453" s="33" t="s">
        <v>3285</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8" t="s">
        <v>2653</v>
      </c>
      <c r="BA453" s="78"/>
      <c r="BB453" s="78"/>
      <c r="BC453" s="78"/>
      <c r="BD453" s="78"/>
      <c r="BE453" s="21" t="str">
        <f t="shared" si="47"/>
        <v>[515] = {wayshrines={436,436,436,}, dlcId=DLC_STONETHORN</v>
      </c>
      <c r="BF453" s="21" t="str">
        <f t="shared" si="48"/>
        <v>, zoneIds={1201,1160,1160}, veteran=false</v>
      </c>
      <c r="BG453" s="21" t="str">
        <f t="shared" si="49"/>
        <v>, setType=LIBSETS_SETTYPE_DUNGEON</v>
      </c>
      <c r="BH453" s="21" t="str">
        <f t="shared" si="50"/>
        <v>, dropMechanic={LIBSETS_DROP_MECHANIC_GROUP_DUNGEON_BOSS}</v>
      </c>
      <c r="BI453" s="21" t="str">
        <f t="shared" si="51"/>
        <v>}, --Crimson Twilight / Scharlachrotes Zwielicht   [Castle Thorn, Western Skyrim, Western Skyrim]</v>
      </c>
    </row>
    <row r="454" spans="1:61" ht="15" customHeight="1" x14ac:dyDescent="0.25">
      <c r="A454" s="5">
        <v>516</v>
      </c>
      <c r="B454" t="s">
        <v>2155</v>
      </c>
      <c r="C454" t="s">
        <v>1803</v>
      </c>
      <c r="D454" s="3">
        <f t="shared" si="46"/>
        <v>516</v>
      </c>
      <c r="G454" s="3" t="s">
        <v>1473</v>
      </c>
      <c r="I454" t="s">
        <v>91</v>
      </c>
      <c r="J454" t="s">
        <v>91</v>
      </c>
      <c r="K454">
        <v>433</v>
      </c>
      <c r="L454">
        <v>433</v>
      </c>
      <c r="M454">
        <v>433</v>
      </c>
      <c r="O454" s="61" t="s">
        <v>1804</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constants'!$B$4:$C$1012,2,FALSE),"")</f>
        <v>Stonethorn</v>
      </c>
      <c r="V454" s="33" t="s">
        <v>3285</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8" t="s">
        <v>2653</v>
      </c>
      <c r="BA454" s="78"/>
      <c r="BB454" s="78"/>
      <c r="BC454" s="78"/>
      <c r="BD454" s="78"/>
      <c r="BE454" s="21" t="str">
        <f t="shared" si="47"/>
        <v>[516] = {wayshrines={433,433,433,}, dlcId=DLC_STONETHORN</v>
      </c>
      <c r="BF454" s="21" t="str">
        <f t="shared" si="48"/>
        <v>, zoneIds={1197,0,0}, veteran=false</v>
      </c>
      <c r="BG454" s="21" t="str">
        <f t="shared" si="49"/>
        <v>, setType=LIBSETS_SETTYPE_DUNGEON</v>
      </c>
      <c r="BH454" s="21" t="str">
        <f t="shared" si="50"/>
        <v>, dropMechanic={LIBSETS_DROP_MECHANIC_GROUP_DUNGEON_BOSS}</v>
      </c>
      <c r="BI454" s="21" t="str">
        <f t="shared" si="51"/>
        <v>}, --Elemental Catalyst / Elementarer Katalysator   [Stone Garden, Tamriel Map, Tamriel Map]</v>
      </c>
    </row>
    <row r="455" spans="1:61" ht="15" customHeight="1" x14ac:dyDescent="0.25">
      <c r="A455" s="5">
        <v>517</v>
      </c>
      <c r="B455" t="s">
        <v>2156</v>
      </c>
      <c r="C455" t="s">
        <v>2752</v>
      </c>
      <c r="D455" s="3">
        <f t="shared" si="46"/>
        <v>517</v>
      </c>
      <c r="G455" s="3" t="s">
        <v>1473</v>
      </c>
      <c r="I455" t="s">
        <v>91</v>
      </c>
      <c r="J455" t="s">
        <v>91</v>
      </c>
      <c r="K455">
        <v>433</v>
      </c>
      <c r="L455">
        <v>433</v>
      </c>
      <c r="M455">
        <v>433</v>
      </c>
      <c r="O455" s="61" t="s">
        <v>1804</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constants'!$B$4:$C$1012,2,FALSE),"")</f>
        <v>Stonethorn</v>
      </c>
      <c r="V455" s="33" t="s">
        <v>3285</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8" t="s">
        <v>2653</v>
      </c>
      <c r="BA455" s="78"/>
      <c r="BB455" s="78"/>
      <c r="BC455" s="78"/>
      <c r="BD455" s="78"/>
      <c r="BE455" s="21" t="str">
        <f t="shared" si="47"/>
        <v>[517] = {wayshrines={433,433,433,}, dlcId=DLC_STONETHORN</v>
      </c>
      <c r="BF455" s="21" t="str">
        <f t="shared" si="48"/>
        <v>, zoneIds={1197,0,0}, veteran=false</v>
      </c>
      <c r="BG455" s="21" t="str">
        <f t="shared" si="49"/>
        <v>, setType=LIBSETS_SETTYPE_DUNGEON</v>
      </c>
      <c r="BH455" s="21" t="str">
        <f t="shared" si="50"/>
        <v>, dropMechanic={LIBSETS_DROP_MECHANIC_GROUP_DUNGEON_BOSS}</v>
      </c>
      <c r="BI455" s="21" t="str">
        <f t="shared" si="51"/>
        <v>}, --Kraglen\'s Howl / Kraglens Heulen   [Stone Garden, Tamriel Map, Tamriel Map]</v>
      </c>
    </row>
    <row r="456" spans="1:61" x14ac:dyDescent="0.25">
      <c r="A456" s="5">
        <v>518</v>
      </c>
      <c r="B456" t="s">
        <v>2157</v>
      </c>
      <c r="C456" t="s">
        <v>2751</v>
      </c>
      <c r="D456" s="3">
        <f t="shared" si="46"/>
        <v>518</v>
      </c>
      <c r="G456" s="3" t="s">
        <v>1473</v>
      </c>
      <c r="I456" t="s">
        <v>91</v>
      </c>
      <c r="J456" t="s">
        <v>91</v>
      </c>
      <c r="K456">
        <v>433</v>
      </c>
      <c r="L456">
        <v>433</v>
      </c>
      <c r="M456">
        <v>433</v>
      </c>
      <c r="O456" s="61" t="s">
        <v>1804</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constants'!$B$4:$C$1012,2,FALSE),"")</f>
        <v>Stonethorn</v>
      </c>
      <c r="V456" s="33" t="s">
        <v>3285</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8" t="s">
        <v>2653</v>
      </c>
      <c r="BA456" s="78"/>
      <c r="BB456" s="78"/>
      <c r="BC456" s="78"/>
      <c r="BD456" s="78"/>
      <c r="BE456" s="21" t="str">
        <f t="shared" si="47"/>
        <v>[518] = {wayshrines={433,433,433,}, dlcId=DLC_STONETHORN</v>
      </c>
      <c r="BF456" s="21" t="str">
        <f t="shared" si="48"/>
        <v>, zoneIds={1197,0,0}, veteran=false</v>
      </c>
      <c r="BG456" s="21" t="str">
        <f t="shared" si="49"/>
        <v>, setType=LIBSETS_SETTYPE_DUNGEON</v>
      </c>
      <c r="BH456" s="21" t="str">
        <f t="shared" si="50"/>
        <v>, dropMechanic={LIBSETS_DROP_MECHANIC_GROUP_DUNGEON_BOSS}</v>
      </c>
      <c r="BI456" s="21" t="str">
        <f t="shared" si="51"/>
        <v>}, --Arkasis\'s Genius / Arkasis' Genie   [Stone Garden, Tamriel Map, Tamriel Map]</v>
      </c>
    </row>
    <row r="457" spans="1:61" x14ac:dyDescent="0.25">
      <c r="A457" s="5">
        <v>519</v>
      </c>
      <c r="B457" t="s">
        <v>1759</v>
      </c>
      <c r="C457" t="s">
        <v>1760</v>
      </c>
      <c r="D457" s="3">
        <f t="shared" si="46"/>
        <v>519</v>
      </c>
      <c r="G457" s="8" t="s">
        <v>1678</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WayshrineInfo'!$K$3:$N$9972,4,FALSE),"")))</f>
        <v>Western Skyrim</v>
      </c>
      <c r="S457" s="61" t="s">
        <v>1606</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constants'!$B$4:$C$1012,2,FALSE),"")</f>
        <v>Greymoor</v>
      </c>
      <c r="V457" s="33" t="s">
        <v>1556</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constants'!$A$5:$D$10001,4,FALSE),"")</f>
        <v>Bleakrock Isle</v>
      </c>
      <c r="AB457" s="33" t="s">
        <v>3269</v>
      </c>
      <c r="AC457" s="41" t="s">
        <v>3208</v>
      </c>
      <c r="AD457" s="41" t="s">
        <v>3207</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constants'!$A$5:$D$10001,4,FALSE),"")</f>
        <v>The Rift</v>
      </c>
      <c r="AH457" s="42" t="s">
        <v>1555</v>
      </c>
      <c r="AI457" s="41"/>
      <c r="AJ457" s="41"/>
      <c r="AK457" s="3">
        <f>IF(AND(G457&lt;&gt;"LIBSETS_SETTYPE_BATTLEGROUND",G457&lt;&gt;"LIBSETS_SETTYPE_SPECIAL"),IF(AL457&lt;&gt;"",VLOOKUP(AL457,'ESO zone constants'!$D$5:$H$4955,5,FALSE),""),"")</f>
        <v>449</v>
      </c>
      <c r="AL457" t="s">
        <v>48</v>
      </c>
      <c r="AM457" s="33" t="s">
        <v>3285</v>
      </c>
      <c r="AN457" s="41" t="s">
        <v>1545</v>
      </c>
      <c r="AO457" s="41" t="s">
        <v>1618</v>
      </c>
      <c r="AP457" s="3">
        <f>IF(AND(G457&lt;&gt;"LIBSETS_SETTYPE_BATTLEGROUND",G457&lt;&gt;"LIBSETS_SETTYPE_SPECIAL"),IF(AQ457&lt;&gt;"",VLOOKUP(AQ457,'ESO zone constants'!$D$5:$H$4955,5,FALSE),""),"")</f>
        <v>181</v>
      </c>
      <c r="AQ457" t="s">
        <v>125</v>
      </c>
      <c r="AR457" s="33" t="s">
        <v>1554</v>
      </c>
      <c r="AS457" s="41" t="s">
        <v>3867</v>
      </c>
      <c r="AT457" s="41" t="s">
        <v>3868</v>
      </c>
      <c r="AU457" s="3" t="str">
        <f>IF(AND(G457&lt;&gt;"LIBSETS_SETTYPE_BATTLEGROUND",G457&lt;&gt;"LIBSETS_SETTYPE_SPECIAL"),IF(AV457&lt;&gt;"",VLOOKUP(AV457,'ESO zone constants'!$D$5:$H$4955,5,FALSE),""),"")</f>
        <v/>
      </c>
      <c r="AX457" s="41"/>
      <c r="AY457" s="41"/>
      <c r="AZ457" s="78" t="s">
        <v>2653</v>
      </c>
      <c r="BA457" s="36" t="s">
        <v>3183</v>
      </c>
      <c r="BB457" s="36" t="s">
        <v>3183</v>
      </c>
      <c r="BC457" s="36"/>
      <c r="BD457" s="36"/>
      <c r="BE457" s="21" t="str">
        <f t="shared" si="47"/>
        <v>[519] = {wayshrines={416,172,109,}, dlcId=DLC_GREYMOOR</v>
      </c>
      <c r="BF457" s="21" t="str">
        <f t="shared" si="48"/>
        <v>, zoneIds={1160,280,103,449,181}, veteran=false</v>
      </c>
      <c r="BG457" s="21" t="str">
        <f t="shared" si="49"/>
        <v>, setType=LIBSETS_SETTYPE_MYTHIC</v>
      </c>
      <c r="BH457" s="21" t="str">
        <f t="shared" si="50"/>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 t="shared" si="51"/>
        <v>, addTooltip={['en']='https://en.uesp.net/wiki/Online:Snow_Treaders',},}, --Snow Treaders / Schneetreter   [Western Skyrim, Bleakrock Isle, The Rift, Direfrost Keep, Cyrodiil]</v>
      </c>
    </row>
    <row r="458" spans="1:61" x14ac:dyDescent="0.25">
      <c r="A458" s="5">
        <v>520</v>
      </c>
      <c r="B458" t="s">
        <v>1761</v>
      </c>
      <c r="C458" t="s">
        <v>2646</v>
      </c>
      <c r="D458" s="3">
        <f t="shared" si="46"/>
        <v>520</v>
      </c>
      <c r="G458" s="8" t="s">
        <v>1678</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WayshrineInfo'!$K$3:$N$9972,4,FALSE),"")))</f>
        <v>Wrothgar</v>
      </c>
      <c r="S458" s="61" t="s">
        <v>1606</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constants'!$B$4:$C$1012,2,FALSE),"")</f>
        <v>Greymoor</v>
      </c>
      <c r="V458" s="33" t="s">
        <v>1556</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constants'!$A$5:$D$10001,4,FALSE),"")</f>
        <v>Reaper's March</v>
      </c>
      <c r="AB458" s="33" t="s">
        <v>1555</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constants'!$A$5:$D$10001,4,FALSE),"")</f>
        <v>Bonesnap Ruins</v>
      </c>
      <c r="AH458" s="42" t="s">
        <v>1556</v>
      </c>
      <c r="AI458" s="41"/>
      <c r="AJ458" s="41"/>
      <c r="AK458" s="3">
        <f>IF(AND(G458&lt;&gt;"LIBSETS_SETTYPE_BATTLEGROUND",G458&lt;&gt;"LIBSETS_SETTYPE_SPECIAL"),IF(AL458&lt;&gt;"",VLOOKUP(AL458,'ESO zone constants'!$D$5:$H$4955,5,FALSE),""),"")</f>
        <v>584</v>
      </c>
      <c r="AL458" t="s">
        <v>39</v>
      </c>
      <c r="AM458" s="33" t="s">
        <v>3269</v>
      </c>
      <c r="AN458" s="41" t="s">
        <v>3202</v>
      </c>
      <c r="AO458" s="41" t="s">
        <v>3203</v>
      </c>
      <c r="AP458" s="3">
        <f>IF(AND(G458&lt;&gt;"LIBSETS_SETTYPE_BATTLEGROUND",G458&lt;&gt;"LIBSETS_SETTYPE_SPECIAL"),IF(AQ458&lt;&gt;"",VLOOKUP(AQ458,'ESO zone constants'!$D$5:$H$4955,5,FALSE),""),"")</f>
        <v>535</v>
      </c>
      <c r="AQ458" t="s">
        <v>384</v>
      </c>
      <c r="AR458" s="33" t="s">
        <v>3269</v>
      </c>
      <c r="AS458" s="41" t="s">
        <v>3230</v>
      </c>
      <c r="AT458" s="41" t="s">
        <v>3207</v>
      </c>
      <c r="AU458" s="3" t="str">
        <f>IF(AND(G458&lt;&gt;"LIBSETS_SETTYPE_BATTLEGROUND",G458&lt;&gt;"LIBSETS_SETTYPE_SPECIAL"),IF(AV458&lt;&gt;"",VLOOKUP(AV458,'ESO zone constants'!$D$5:$H$4955,5,FALSE),""),"")</f>
        <v/>
      </c>
      <c r="AX458" s="41"/>
      <c r="AY458" s="41"/>
      <c r="AZ458" s="78" t="s">
        <v>2653</v>
      </c>
      <c r="BA458" s="36" t="s">
        <v>3177</v>
      </c>
      <c r="BB458" s="36" t="s">
        <v>3177</v>
      </c>
      <c r="BC458" s="36"/>
      <c r="BD458" s="36"/>
      <c r="BE458" s="21" t="str">
        <f t="shared" si="47"/>
        <v>[520] = {wayshrines={241,144,17,}, dlcId=DLC_GREYMOOR</v>
      </c>
      <c r="BF458" s="21" t="str">
        <f t="shared" si="48"/>
        <v>, zoneIds={684,382,142,584,535}, veteran=false</v>
      </c>
      <c r="BG458" s="21" t="str">
        <f t="shared" si="49"/>
        <v>, setType=LIBSETS_SETTYPE_MYTHIC</v>
      </c>
      <c r="BH458" s="21" t="str">
        <f t="shared" si="50"/>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 t="shared" si="51"/>
        <v>, addTooltip={['en']='https://en.uesp.net/wiki/Online:Malacath%27s_Band_of_Brutality',},}, --Malacath\'s Band of Brutality / Malacaths Band der Brutalität   [Wrothgar, Reaper's March, Bonesnap Ruins, Imperial City, Betnikh]</v>
      </c>
    </row>
    <row r="459" spans="1:61" x14ac:dyDescent="0.25">
      <c r="A459" s="5">
        <v>521</v>
      </c>
      <c r="B459" t="s">
        <v>1762</v>
      </c>
      <c r="C459" t="s">
        <v>2647</v>
      </c>
      <c r="D459" s="3">
        <f t="shared" si="46"/>
        <v>521</v>
      </c>
      <c r="E459" s="40"/>
      <c r="G459" s="8" t="s">
        <v>1678</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WayshrineInfo'!$K$3:$N$9972,4,FALSE),"")))</f>
        <v>Shadowfen</v>
      </c>
      <c r="S459" s="61" t="s">
        <v>1606</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constants'!$B$4:$C$1012,2,FALSE),"")</f>
        <v>Greymoor</v>
      </c>
      <c r="V459" s="33" t="s">
        <v>1556</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constants'!$A$5:$D$10001,4,FALSE),"")</f>
        <v>Village of the Lost</v>
      </c>
      <c r="AB459" s="33" t="s">
        <v>1556</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constants'!$A$5:$D$10001,4,FALSE),"")</f>
        <v>Crypt of Hearts I</v>
      </c>
      <c r="AH459" s="42" t="s">
        <v>3285</v>
      </c>
      <c r="AI459" s="41" t="s">
        <v>3863</v>
      </c>
      <c r="AJ459" s="41" t="s">
        <v>3864</v>
      </c>
      <c r="AK459" s="3">
        <f>IF(AND(G459&lt;&gt;"LIBSETS_SETTYPE_BATTLEGROUND",G459&lt;&gt;"LIBSETS_SETTYPE_SPECIAL"),IF(AL459&lt;&gt;"",VLOOKUP(AL459,'ESO zone constants'!$D$5:$H$4955,5,FALSE),""),"")</f>
        <v>144</v>
      </c>
      <c r="AL459" t="s">
        <v>66</v>
      </c>
      <c r="AM459" s="33" t="s">
        <v>3285</v>
      </c>
      <c r="AN459" s="41" t="s">
        <v>1541</v>
      </c>
      <c r="AO459" s="41" t="s">
        <v>3204</v>
      </c>
      <c r="AP459" s="3">
        <f>IF(AND(G459&lt;&gt;"LIBSETS_SETTYPE_BATTLEGROUND",G459&lt;&gt;"LIBSETS_SETTYPE_SPECIAL"),IF(AQ459&lt;&gt;"",VLOOKUP(AQ459,'ESO zone constants'!$D$5:$H$4955,5,FALSE),""),"")</f>
        <v>643</v>
      </c>
      <c r="AQ459" t="s">
        <v>446</v>
      </c>
      <c r="AR459" s="33" t="s">
        <v>3269</v>
      </c>
      <c r="AS459" s="41" t="s">
        <v>3205</v>
      </c>
      <c r="AT459" s="41" t="s">
        <v>3206</v>
      </c>
      <c r="AU459" s="3" t="str">
        <f>IF(AND(G459&lt;&gt;"LIBSETS_SETTYPE_BATTLEGROUND",G459&lt;&gt;"LIBSETS_SETTYPE_SPECIAL"),IF(AV459&lt;&gt;"",VLOOKUP(AV459,'ESO zone constants'!$D$5:$H$4955,5,FALSE),""),"")</f>
        <v/>
      </c>
      <c r="AX459" s="41"/>
      <c r="AY459" s="41"/>
      <c r="AZ459" s="78" t="s">
        <v>2653</v>
      </c>
      <c r="BA459" s="36" t="s">
        <v>3173</v>
      </c>
      <c r="BB459" s="36" t="s">
        <v>3173</v>
      </c>
      <c r="BC459" s="36"/>
      <c r="BD459" s="36"/>
      <c r="BE459" s="21" t="str">
        <f t="shared" si="47"/>
        <v>[521] = {wayshrines={48,133,190,}, dlcId=DLC_GREYMOOR</v>
      </c>
      <c r="BF459" s="21" t="str">
        <f t="shared" si="48"/>
        <v>, zoneIds={117,557,130,144,643}, veteran=false</v>
      </c>
      <c r="BG459" s="21" t="str">
        <f t="shared" si="49"/>
        <v>, setType=LIBSETS_SETTYPE_MYTHIC</v>
      </c>
      <c r="BH459" s="21" t="str">
        <f t="shared" si="50"/>
        <v>, dropMechanic={LIBSETS_DROP_MECHANIC_OVERLAND_BOSS_PUBLIC_DUNGEON,LIBSETS_DROP_MECHANIC_OVERLAND_BOSS_PUBLIC_DUNGEON,LIBSETS_DROP_MECHANIC_GROUP_DUNGEON_BOSS,LIBSETS_DROP_MECHANIC_GROUP_DUNGEON_BOSS,LIBSETS_DROP_MECHANIC_MOB_TYPE}, dropMechanicDropLocationNames={['en']={'','','Illambris twins','The Whisperer','Wandering bosses','',},['de']={'','','Illambris Zwillinge','Der Flüsterer','Herumwandernde Bosse','',},}</v>
      </c>
      <c r="BI459" s="21" t="str">
        <f t="shared" si="51"/>
        <v>, addTooltip={['en']='https://en.uesp.net/wiki/Online:Bloodlord%27s_Embrace',},}, --Bloodlord\'s Embrace / Umarmung des Blutfürsten   [Shadowfen, Village of the Lost, Crypt of Hearts I, Spindleclutch I, Imperial Sewers]</v>
      </c>
    </row>
    <row r="460" spans="1:61" x14ac:dyDescent="0.25">
      <c r="A460" s="5">
        <v>522</v>
      </c>
      <c r="B460" t="s">
        <v>1763</v>
      </c>
      <c r="C460" t="s">
        <v>1764</v>
      </c>
      <c r="D460" s="3">
        <f t="shared" si="46"/>
        <v>522</v>
      </c>
      <c r="E460" s="40"/>
      <c r="G460" s="8" t="s">
        <v>1468</v>
      </c>
      <c r="I460" t="s">
        <v>92</v>
      </c>
      <c r="J460" t="s">
        <v>91</v>
      </c>
      <c r="K460">
        <v>249</v>
      </c>
      <c r="L460">
        <v>249</v>
      </c>
      <c r="M460">
        <v>249</v>
      </c>
      <c r="O460" s="61" t="s">
        <v>449</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constants'!$B$4:$C$1012,2,FALSE),"")</f>
        <v>Summerset</v>
      </c>
      <c r="V460" s="33" t="s">
        <v>1550</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constants'!$A$5:$D$10001,4,FALSE),"")</f>
        <v>Wrothgar</v>
      </c>
      <c r="AB460" s="33" t="s">
        <v>1550</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8" t="s">
        <v>2653</v>
      </c>
      <c r="BA460" s="78"/>
      <c r="BB460" s="78"/>
      <c r="BC460" s="78"/>
      <c r="BD460" s="78" t="s">
        <v>3832</v>
      </c>
      <c r="BE460" s="21" t="str">
        <f t="shared" si="47"/>
        <v>[522] = {wayshrines={249,249,249,}, dlcId=DLC_SUMMERSET</v>
      </c>
      <c r="BF460" s="21" t="str">
        <f t="shared" si="48"/>
        <v>, zoneIds={677,684,684}, veteran=true</v>
      </c>
      <c r="BG460" s="21" t="str">
        <f t="shared" si="49"/>
        <v>, setType=LIBSETS_SETTYPE_ARENA</v>
      </c>
      <c r="BH460" s="21" t="str">
        <f t="shared" si="50"/>
        <v>, dropMechanic={LIBSETS_DROP_MECHANIC_ARENA_STAGE_CHEST,LIBSETS_DROP_MECHANIC_ARENA_STAGE_CHEST}, isPerfectedSet=1</v>
      </c>
      <c r="BI460" s="21" t="str">
        <f t="shared" si="51"/>
        <v>}, --Perfected Merciless Charge / Perfektionierter gnadenloser Ansturm   [Maelstrom Arena, Wrothgar, Wrothgar]</v>
      </c>
    </row>
    <row r="461" spans="1:61" x14ac:dyDescent="0.25">
      <c r="A461" s="5">
        <v>523</v>
      </c>
      <c r="B461" t="s">
        <v>1765</v>
      </c>
      <c r="C461" t="s">
        <v>1766</v>
      </c>
      <c r="D461" s="3">
        <f t="shared" si="46"/>
        <v>523</v>
      </c>
      <c r="E461" s="40"/>
      <c r="G461" s="8" t="s">
        <v>1468</v>
      </c>
      <c r="I461" t="s">
        <v>92</v>
      </c>
      <c r="J461" t="s">
        <v>91</v>
      </c>
      <c r="K461">
        <v>249</v>
      </c>
      <c r="L461">
        <v>249</v>
      </c>
      <c r="M461">
        <v>249</v>
      </c>
      <c r="O461" s="61" t="s">
        <v>449</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constants'!$B$4:$C$1012,2,FALSE),"")</f>
        <v>Summerset</v>
      </c>
      <c r="V461" s="33" t="s">
        <v>1550</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constants'!$A$5:$D$10001,4,FALSE),"")</f>
        <v>Wrothgar</v>
      </c>
      <c r="AB461" s="33" t="s">
        <v>1550</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8" t="s">
        <v>2653</v>
      </c>
      <c r="BA461" s="78"/>
      <c r="BB461" s="78"/>
      <c r="BC461" s="78"/>
      <c r="BD461" s="78" t="s">
        <v>3832</v>
      </c>
      <c r="BE461" s="21" t="str">
        <f t="shared" si="47"/>
        <v>[523] = {wayshrines={249,249,249,}, dlcId=DLC_SUMMERSET</v>
      </c>
      <c r="BF461" s="21" t="str">
        <f t="shared" si="48"/>
        <v>, zoneIds={677,684,684}, veteran=true</v>
      </c>
      <c r="BG461" s="21" t="str">
        <f t="shared" si="49"/>
        <v>, setType=LIBSETS_SETTYPE_ARENA</v>
      </c>
      <c r="BH461" s="21" t="str">
        <f t="shared" si="50"/>
        <v>, dropMechanic={LIBSETS_DROP_MECHANIC_ARENA_STAGE_CHEST,LIBSETS_DROP_MECHANIC_ARENA_STAGE_CHEST}, isPerfectedSet=1</v>
      </c>
      <c r="BI461" s="21" t="str">
        <f t="shared" si="51"/>
        <v>}, --Perfected Rampaging Slash / Perfektionierter tobender Schnitt   [Maelstrom Arena, Wrothgar, Wrothgar]</v>
      </c>
    </row>
    <row r="462" spans="1:61" x14ac:dyDescent="0.25">
      <c r="A462" s="5">
        <v>524</v>
      </c>
      <c r="B462" t="s">
        <v>1768</v>
      </c>
      <c r="C462" t="s">
        <v>1767</v>
      </c>
      <c r="D462" s="3">
        <f t="shared" si="46"/>
        <v>524</v>
      </c>
      <c r="E462" s="40"/>
      <c r="G462" s="8" t="s">
        <v>1468</v>
      </c>
      <c r="I462" t="s">
        <v>92</v>
      </c>
      <c r="J462" t="s">
        <v>91</v>
      </c>
      <c r="K462">
        <v>249</v>
      </c>
      <c r="L462">
        <v>249</v>
      </c>
      <c r="M462">
        <v>249</v>
      </c>
      <c r="O462" s="61" t="s">
        <v>449</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constants'!$B$4:$C$1012,2,FALSE),"")</f>
        <v>Summerset</v>
      </c>
      <c r="V462" s="33" t="s">
        <v>1550</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constants'!$A$5:$D$10001,4,FALSE),"")</f>
        <v>Wrothgar</v>
      </c>
      <c r="AB462" s="33" t="s">
        <v>1550</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8" t="s">
        <v>2653</v>
      </c>
      <c r="BA462" s="78"/>
      <c r="BB462" s="78"/>
      <c r="BC462" s="78"/>
      <c r="BD462" s="78" t="s">
        <v>3832</v>
      </c>
      <c r="BE462" s="21" t="str">
        <f t="shared" si="47"/>
        <v>[524] = {wayshrines={249,249,249,}, dlcId=DLC_SUMMERSET</v>
      </c>
      <c r="BF462" s="21" t="str">
        <f t="shared" si="48"/>
        <v>, zoneIds={677,684,684}, veteran=true</v>
      </c>
      <c r="BG462" s="21" t="str">
        <f t="shared" si="49"/>
        <v>, setType=LIBSETS_SETTYPE_ARENA</v>
      </c>
      <c r="BH462" s="21" t="str">
        <f t="shared" si="50"/>
        <v>, dropMechanic={LIBSETS_DROP_MECHANIC_ARENA_STAGE_CHEST,LIBSETS_DROP_MECHANIC_ARENA_STAGE_CHEST}, isPerfectedSet=1</v>
      </c>
      <c r="BI462" s="21" t="str">
        <f t="shared" si="51"/>
        <v>}, --Perfected Cruel Flurry / Perfektionierter grausamer Schlaghagel   [Maelstrom Arena, Wrothgar, Wrothgar]</v>
      </c>
    </row>
    <row r="463" spans="1:61" x14ac:dyDescent="0.25">
      <c r="A463" s="5">
        <v>525</v>
      </c>
      <c r="B463" t="s">
        <v>1770</v>
      </c>
      <c r="C463" t="s">
        <v>1769</v>
      </c>
      <c r="D463" s="3">
        <f t="shared" si="46"/>
        <v>525</v>
      </c>
      <c r="E463" s="40"/>
      <c r="G463" s="8" t="s">
        <v>1468</v>
      </c>
      <c r="I463" t="s">
        <v>92</v>
      </c>
      <c r="J463" t="s">
        <v>91</v>
      </c>
      <c r="K463">
        <v>249</v>
      </c>
      <c r="L463">
        <v>249</v>
      </c>
      <c r="M463">
        <v>249</v>
      </c>
      <c r="O463" s="61" t="s">
        <v>449</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constants'!$B$4:$C$1012,2,FALSE),"")</f>
        <v>Summerset</v>
      </c>
      <c r="V463" s="33" t="s">
        <v>1550</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constants'!$A$5:$D$10001,4,FALSE),"")</f>
        <v>Wrothgar</v>
      </c>
      <c r="AB463" s="33" t="s">
        <v>1550</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8" t="s">
        <v>2653</v>
      </c>
      <c r="BA463" s="78"/>
      <c r="BB463" s="78"/>
      <c r="BC463" s="78"/>
      <c r="BD463" s="78" t="s">
        <v>3832</v>
      </c>
      <c r="BE463" s="21" t="str">
        <f t="shared" si="47"/>
        <v>[525] = {wayshrines={249,249,249,}, dlcId=DLC_SUMMERSET</v>
      </c>
      <c r="BF463" s="21" t="str">
        <f t="shared" si="48"/>
        <v>, zoneIds={677,684,684}, veteran=true</v>
      </c>
      <c r="BG463" s="21" t="str">
        <f t="shared" si="49"/>
        <v>, setType=LIBSETS_SETTYPE_ARENA</v>
      </c>
      <c r="BH463" s="21" t="str">
        <f t="shared" si="50"/>
        <v>, dropMechanic={LIBSETS_DROP_MECHANIC_ARENA_STAGE_CHEST,LIBSETS_DROP_MECHANIC_ARENA_STAGE_CHEST}, isPerfectedSet=1</v>
      </c>
      <c r="BI463" s="21" t="str">
        <f t="shared" si="51"/>
        <v>}, --Perfected Thunderous Volley / Perfektionierte donnernde Salve   [Maelstrom Arena, Wrothgar, Wrothgar]</v>
      </c>
    </row>
    <row r="464" spans="1:61" x14ac:dyDescent="0.25">
      <c r="A464" s="5">
        <v>526</v>
      </c>
      <c r="B464" t="s">
        <v>1772</v>
      </c>
      <c r="C464" t="s">
        <v>1771</v>
      </c>
      <c r="D464" s="3">
        <f t="shared" si="46"/>
        <v>526</v>
      </c>
      <c r="E464" s="40"/>
      <c r="G464" s="8" t="s">
        <v>1468</v>
      </c>
      <c r="I464" t="s">
        <v>92</v>
      </c>
      <c r="J464" t="s">
        <v>91</v>
      </c>
      <c r="K464">
        <v>249</v>
      </c>
      <c r="L464">
        <v>249</v>
      </c>
      <c r="M464">
        <v>249</v>
      </c>
      <c r="O464" s="61" t="s">
        <v>449</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constants'!$B$4:$C$1012,2,FALSE),"")</f>
        <v>Summerset</v>
      </c>
      <c r="V464" s="33" t="s">
        <v>1550</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constants'!$A$5:$D$10001,4,FALSE),"")</f>
        <v>Wrothgar</v>
      </c>
      <c r="AB464" s="33" t="s">
        <v>1550</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8" t="s">
        <v>2654</v>
      </c>
      <c r="BA464" s="78"/>
      <c r="BB464" s="78"/>
      <c r="BC464" s="78"/>
      <c r="BD464" s="78" t="s">
        <v>3832</v>
      </c>
      <c r="BE464" s="21" t="str">
        <f t="shared" si="47"/>
        <v>[526] = {wayshrines={249,249,249,}, dlcId=DLC_SUMMERSET</v>
      </c>
      <c r="BF464" s="21" t="str">
        <f t="shared" si="48"/>
        <v>, zoneIds={677,684,684}, veteran=true</v>
      </c>
      <c r="BG464" s="21" t="str">
        <f t="shared" si="49"/>
        <v>, setType=LIBSETS_SETTYPE_ARENA</v>
      </c>
      <c r="BH464" s="21" t="str">
        <f t="shared" si="50"/>
        <v>, isProcSetAllowedInPvP=1, dropMechanic={LIBSETS_DROP_MECHANIC_ARENA_STAGE_CHEST,LIBSETS_DROP_MECHANIC_ARENA_STAGE_CHEST}, isPerfectedSet=1</v>
      </c>
      <c r="BI464" s="21" t="str">
        <f t="shared" si="51"/>
        <v>}, --Perfected Crushing Wall / Perfektionierte zermalmende Mauer   [Maelstrom Arena, Wrothgar, Wrothgar]</v>
      </c>
    </row>
    <row r="465" spans="1:61" x14ac:dyDescent="0.25">
      <c r="A465" s="5">
        <v>527</v>
      </c>
      <c r="B465" t="s">
        <v>1773</v>
      </c>
      <c r="C465" t="s">
        <v>1774</v>
      </c>
      <c r="D465" s="3">
        <f t="shared" si="46"/>
        <v>527</v>
      </c>
      <c r="E465" s="40"/>
      <c r="G465" s="8" t="s">
        <v>1468</v>
      </c>
      <c r="I465" t="s">
        <v>92</v>
      </c>
      <c r="J465" t="s">
        <v>91</v>
      </c>
      <c r="K465">
        <v>249</v>
      </c>
      <c r="L465">
        <v>249</v>
      </c>
      <c r="M465">
        <v>249</v>
      </c>
      <c r="O465" s="61" t="s">
        <v>449</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constants'!$B$4:$C$1012,2,FALSE),"")</f>
        <v>Summerset</v>
      </c>
      <c r="V465" s="33" t="s">
        <v>1550</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constants'!$A$5:$D$10001,4,FALSE),"")</f>
        <v>Wrothgar</v>
      </c>
      <c r="AB465" s="33" t="s">
        <v>1550</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8" t="s">
        <v>2653</v>
      </c>
      <c r="BA465" s="78"/>
      <c r="BB465" s="78"/>
      <c r="BC465" s="78"/>
      <c r="BD465" s="78" t="s">
        <v>3832</v>
      </c>
      <c r="BE465" s="21" t="str">
        <f t="shared" si="47"/>
        <v>[527] = {wayshrines={249,249,249,}, dlcId=DLC_SUMMERSET</v>
      </c>
      <c r="BF465" s="21" t="str">
        <f t="shared" si="48"/>
        <v>, zoneIds={677,684,684}, veteran=true</v>
      </c>
      <c r="BG465" s="21" t="str">
        <f t="shared" si="49"/>
        <v>, setType=LIBSETS_SETTYPE_ARENA</v>
      </c>
      <c r="BH465" s="21" t="str">
        <f t="shared" si="50"/>
        <v>, dropMechanic={LIBSETS_DROP_MECHANIC_ARENA_STAGE_CHEST,LIBSETS_DROP_MECHANIC_ARENA_STAGE_CHEST}, isPerfectedSet=1</v>
      </c>
      <c r="BI465" s="21" t="str">
        <f t="shared" si="51"/>
        <v>}, --Perfected Precise Regeneration / Perfektionierte präzise Regeneration   [Maelstrom Arena, Wrothgar, Wrothgar]</v>
      </c>
    </row>
    <row r="466" spans="1:61" x14ac:dyDescent="0.25">
      <c r="A466" s="5">
        <v>528</v>
      </c>
      <c r="B466" t="s">
        <v>1776</v>
      </c>
      <c r="C466" t="s">
        <v>1775</v>
      </c>
      <c r="D466" s="3">
        <f t="shared" si="46"/>
        <v>528</v>
      </c>
      <c r="E466" s="40"/>
      <c r="G466" s="8" t="s">
        <v>1468</v>
      </c>
      <c r="I466" t="s">
        <v>92</v>
      </c>
      <c r="J466" t="s">
        <v>91</v>
      </c>
      <c r="K466">
        <v>270</v>
      </c>
      <c r="L466">
        <v>270</v>
      </c>
      <c r="M466">
        <v>270</v>
      </c>
      <c r="O466" s="61" t="s">
        <v>439</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constants'!$B$4:$C$1012,2,FALSE),"")</f>
        <v>Clockwork City</v>
      </c>
      <c r="V466" s="33" t="s">
        <v>1550</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constants'!$A$5:$D$10001,4,FALSE),"")</f>
        <v>Craglorn</v>
      </c>
      <c r="AB466" s="33" t="s">
        <v>1550</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8" t="s">
        <v>2653</v>
      </c>
      <c r="BA466" s="78"/>
      <c r="BB466" s="78"/>
      <c r="BC466" s="78"/>
      <c r="BD466" s="78" t="s">
        <v>3832</v>
      </c>
      <c r="BE466" s="21" t="str">
        <f t="shared" si="47"/>
        <v>[528] = {wayshrines={270,270,270,}, dlcId=DLC_CLOCKWORK_CITY</v>
      </c>
      <c r="BF466" s="21" t="str">
        <f t="shared" si="48"/>
        <v>, zoneIds={635,888,888}, veteran=true</v>
      </c>
      <c r="BG466" s="21" t="str">
        <f t="shared" si="49"/>
        <v>, setType=LIBSETS_SETTYPE_ARENA</v>
      </c>
      <c r="BH466" s="21" t="str">
        <f t="shared" si="50"/>
        <v>, dropMechanic={LIBSETS_DROP_MECHANIC_ARENA_STAGE_CHEST,LIBSETS_DROP_MECHANIC_ARENA_STAGE_CHEST}, isPerfectedSet=1</v>
      </c>
      <c r="BI466" s="21" t="str">
        <f t="shared" si="51"/>
        <v>}, --Perfected Titanic Cleave / Perfektioniertes titanisches Trennen   [Dragonstar Arena, Craglorn, Craglorn]</v>
      </c>
    </row>
    <row r="467" spans="1:61" x14ac:dyDescent="0.25">
      <c r="A467" s="5">
        <v>529</v>
      </c>
      <c r="B467" t="s">
        <v>1778</v>
      </c>
      <c r="C467" t="s">
        <v>1777</v>
      </c>
      <c r="D467" s="3">
        <f t="shared" si="46"/>
        <v>529</v>
      </c>
      <c r="E467" s="40"/>
      <c r="G467" s="8" t="s">
        <v>1468</v>
      </c>
      <c r="I467" t="s">
        <v>92</v>
      </c>
      <c r="J467" t="s">
        <v>91</v>
      </c>
      <c r="K467">
        <v>270</v>
      </c>
      <c r="L467">
        <v>270</v>
      </c>
      <c r="M467">
        <v>270</v>
      </c>
      <c r="O467" s="61" t="s">
        <v>439</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constants'!$B$4:$C$1012,2,FALSE),"")</f>
        <v>Clockwork City</v>
      </c>
      <c r="V467" s="33" t="s">
        <v>1550</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constants'!$A$5:$D$10001,4,FALSE),"")</f>
        <v>Craglorn</v>
      </c>
      <c r="AB467" s="33" t="s">
        <v>1550</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8" t="s">
        <v>2653</v>
      </c>
      <c r="BA467" s="78"/>
      <c r="BB467" s="78"/>
      <c r="BC467" s="78"/>
      <c r="BD467" s="78" t="s">
        <v>3832</v>
      </c>
      <c r="BE467" s="21" t="str">
        <f t="shared" si="47"/>
        <v>[529] = {wayshrines={270,270,270,}, dlcId=DLC_CLOCKWORK_CITY</v>
      </c>
      <c r="BF467" s="21" t="str">
        <f t="shared" si="48"/>
        <v>, zoneIds={635,888,888}, veteran=true</v>
      </c>
      <c r="BG467" s="21" t="str">
        <f t="shared" si="49"/>
        <v>, setType=LIBSETS_SETTYPE_ARENA</v>
      </c>
      <c r="BH467" s="21" t="str">
        <f t="shared" si="50"/>
        <v>, dropMechanic={LIBSETS_DROP_MECHANIC_ARENA_STAGE_CHEST,LIBSETS_DROP_MECHANIC_ARENA_STAGE_CHEST}, isPerfectedSet=1</v>
      </c>
      <c r="BI467" s="21" t="str">
        <f t="shared" si="51"/>
        <v>}, --Perfected Puncturing Remedy / Perfektionierte durchschlagende Genesung   [Dragonstar Arena, Craglorn, Craglorn]</v>
      </c>
    </row>
    <row r="468" spans="1:61" x14ac:dyDescent="0.25">
      <c r="A468" s="5">
        <v>530</v>
      </c>
      <c r="B468" t="s">
        <v>1779</v>
      </c>
      <c r="C468" t="s">
        <v>1780</v>
      </c>
      <c r="D468" s="3">
        <f t="shared" si="46"/>
        <v>530</v>
      </c>
      <c r="E468" s="40"/>
      <c r="G468" s="8" t="s">
        <v>1468</v>
      </c>
      <c r="I468" t="s">
        <v>92</v>
      </c>
      <c r="J468" t="s">
        <v>91</v>
      </c>
      <c r="K468">
        <v>270</v>
      </c>
      <c r="L468">
        <v>270</v>
      </c>
      <c r="M468">
        <v>270</v>
      </c>
      <c r="O468" s="61" t="s">
        <v>439</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constants'!$B$4:$C$1012,2,FALSE),"")</f>
        <v>Clockwork City</v>
      </c>
      <c r="V468" s="33" t="s">
        <v>1550</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constants'!$A$5:$D$10001,4,FALSE),"")</f>
        <v>Craglorn</v>
      </c>
      <c r="AB468" s="33" t="s">
        <v>1550</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8" t="s">
        <v>2653</v>
      </c>
      <c r="BA468" s="78"/>
      <c r="BB468" s="78"/>
      <c r="BC468" s="78"/>
      <c r="BD468" s="78" t="s">
        <v>3832</v>
      </c>
      <c r="BE468" s="21" t="str">
        <f t="shared" si="47"/>
        <v>[530] = {wayshrines={270,270,270,}, dlcId=DLC_CLOCKWORK_CITY</v>
      </c>
      <c r="BF468" s="21" t="str">
        <f t="shared" si="48"/>
        <v>, zoneIds={635,888,888}, veteran=true</v>
      </c>
      <c r="BG468" s="21" t="str">
        <f t="shared" si="49"/>
        <v>, setType=LIBSETS_SETTYPE_ARENA</v>
      </c>
      <c r="BH468" s="21" t="str">
        <f t="shared" si="50"/>
        <v>, dropMechanic={LIBSETS_DROP_MECHANIC_ARENA_STAGE_CHEST,LIBSETS_DROP_MECHANIC_ARENA_STAGE_CHEST}, isPerfectedSet=1</v>
      </c>
      <c r="BI468" s="21" t="str">
        <f t="shared" si="51"/>
        <v>}, --Perfected Stinging Slashes / Perfektionierte stechende Schnitte   [Dragonstar Arena, Craglorn, Craglorn]</v>
      </c>
    </row>
    <row r="469" spans="1:61" x14ac:dyDescent="0.25">
      <c r="A469" s="5">
        <v>531</v>
      </c>
      <c r="B469" t="s">
        <v>1782</v>
      </c>
      <c r="C469" t="s">
        <v>1781</v>
      </c>
      <c r="D469" s="3">
        <f t="shared" si="46"/>
        <v>531</v>
      </c>
      <c r="E469" s="40"/>
      <c r="G469" s="8" t="s">
        <v>1468</v>
      </c>
      <c r="I469" t="s">
        <v>92</v>
      </c>
      <c r="J469" t="s">
        <v>91</v>
      </c>
      <c r="K469">
        <v>270</v>
      </c>
      <c r="L469">
        <v>270</v>
      </c>
      <c r="M469">
        <v>270</v>
      </c>
      <c r="O469" s="61" t="s">
        <v>439</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constants'!$B$4:$C$1012,2,FALSE),"")</f>
        <v>Clockwork City</v>
      </c>
      <c r="V469" s="33" t="s">
        <v>1550</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constants'!$A$5:$D$10001,4,FALSE),"")</f>
        <v>Craglorn</v>
      </c>
      <c r="AB469" s="33" t="s">
        <v>1550</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8">
        <v>0</v>
      </c>
      <c r="BA469" s="78"/>
      <c r="BB469" s="78"/>
      <c r="BC469" s="78"/>
      <c r="BD469" s="78" t="s">
        <v>3832</v>
      </c>
      <c r="BE469" s="21" t="str">
        <f t="shared" si="47"/>
        <v>[531] = {wayshrines={270,270,270,}, dlcId=DLC_CLOCKWORK_CITY</v>
      </c>
      <c r="BF469" s="21" t="str">
        <f t="shared" si="48"/>
        <v>, zoneIds={635,888,888}, veteran=true</v>
      </c>
      <c r="BG469" s="21" t="str">
        <f t="shared" si="49"/>
        <v>, setType=LIBSETS_SETTYPE_ARENA</v>
      </c>
      <c r="BH469" s="21" t="str">
        <f t="shared" si="50"/>
        <v>, isProcSetAllowedInPvP=0, dropMechanic={LIBSETS_DROP_MECHANIC_ARENA_STAGE_CHEST,LIBSETS_DROP_MECHANIC_ARENA_STAGE_CHEST}, isPerfectedSet=1</v>
      </c>
      <c r="BI469" s="21" t="str">
        <f t="shared" si="51"/>
        <v>}, --Perfected Caustic Arrow / Perfektionierter beißender Pfeil   [Dragonstar Arena, Craglorn, Craglorn]</v>
      </c>
    </row>
    <row r="470" spans="1:61" x14ac:dyDescent="0.25">
      <c r="A470" s="5">
        <v>532</v>
      </c>
      <c r="B470" t="s">
        <v>1783</v>
      </c>
      <c r="C470" t="s">
        <v>1784</v>
      </c>
      <c r="D470" s="3">
        <f t="shared" si="46"/>
        <v>532</v>
      </c>
      <c r="E470" s="40"/>
      <c r="G470" s="8" t="s">
        <v>1468</v>
      </c>
      <c r="I470" t="s">
        <v>92</v>
      </c>
      <c r="J470" t="s">
        <v>91</v>
      </c>
      <c r="K470">
        <v>270</v>
      </c>
      <c r="L470">
        <v>270</v>
      </c>
      <c r="M470">
        <v>270</v>
      </c>
      <c r="O470" s="61" t="s">
        <v>439</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constants'!$B$4:$C$1012,2,FALSE),"")</f>
        <v>Clockwork City</v>
      </c>
      <c r="V470" s="33" t="s">
        <v>1550</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constants'!$A$5:$D$10001,4,FALSE),"")</f>
        <v>Craglorn</v>
      </c>
      <c r="AB470" s="33" t="s">
        <v>1550</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8" t="s">
        <v>2653</v>
      </c>
      <c r="BA470" s="78"/>
      <c r="BB470" s="78"/>
      <c r="BC470" s="78"/>
      <c r="BD470" s="78" t="s">
        <v>3832</v>
      </c>
      <c r="BE470" s="21" t="str">
        <f t="shared" si="47"/>
        <v>[532] = {wayshrines={270,270,270,}, dlcId=DLC_CLOCKWORK_CITY</v>
      </c>
      <c r="BF470" s="21" t="str">
        <f t="shared" si="48"/>
        <v>, zoneIds={635,888,888}, veteran=true</v>
      </c>
      <c r="BG470" s="21" t="str">
        <f t="shared" si="49"/>
        <v>, setType=LIBSETS_SETTYPE_ARENA</v>
      </c>
      <c r="BH470" s="21" t="str">
        <f t="shared" si="50"/>
        <v>, dropMechanic={LIBSETS_DROP_MECHANIC_ARENA_STAGE_CHEST,LIBSETS_DROP_MECHANIC_ARENA_STAGE_CHEST}, isPerfectedSet=1</v>
      </c>
      <c r="BI470" s="21" t="str">
        <f t="shared" si="51"/>
        <v>}, --Perfected Destructive Impact / Perfektionierter zerstörerischer Einschlag   [Dragonstar Arena, Craglorn, Craglorn]</v>
      </c>
    </row>
    <row r="471" spans="1:61" x14ac:dyDescent="0.25">
      <c r="A471" s="5">
        <v>533</v>
      </c>
      <c r="B471" t="s">
        <v>1794</v>
      </c>
      <c r="C471" t="s">
        <v>1793</v>
      </c>
      <c r="D471" s="3">
        <f t="shared" si="46"/>
        <v>533</v>
      </c>
      <c r="E471" s="40"/>
      <c r="G471" s="8" t="s">
        <v>1468</v>
      </c>
      <c r="I471" t="s">
        <v>92</v>
      </c>
      <c r="J471" t="s">
        <v>91</v>
      </c>
      <c r="K471">
        <v>270</v>
      </c>
      <c r="L471">
        <v>270</v>
      </c>
      <c r="M471">
        <v>270</v>
      </c>
      <c r="O471" s="61" t="s">
        <v>439</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constants'!$B$4:$C$1012,2,FALSE),"")</f>
        <v>Clockwork City</v>
      </c>
      <c r="V471" s="33" t="s">
        <v>1550</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constants'!$A$5:$D$10001,4,FALSE),"")</f>
        <v>Craglorn</v>
      </c>
      <c r="AB471" s="33" t="s">
        <v>1550</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8" t="s">
        <v>2653</v>
      </c>
      <c r="BA471" s="78"/>
      <c r="BB471" s="78"/>
      <c r="BC471" s="78"/>
      <c r="BD471" s="78" t="s">
        <v>3832</v>
      </c>
      <c r="BE471" s="21" t="str">
        <f t="shared" si="47"/>
        <v>[533] = {wayshrines={270,270,270,}, dlcId=DLC_CLOCKWORK_CITY</v>
      </c>
      <c r="BF471" s="21" t="str">
        <f t="shared" si="48"/>
        <v>, zoneIds={635,888,888}, veteran=true</v>
      </c>
      <c r="BG471" s="21" t="str">
        <f t="shared" si="49"/>
        <v>, setType=LIBSETS_SETTYPE_ARENA</v>
      </c>
      <c r="BH471" s="21" t="str">
        <f t="shared" si="50"/>
        <v>, dropMechanic={LIBSETS_DROP_MECHANIC_ARENA_STAGE_CHEST,LIBSETS_DROP_MECHANIC_ARENA_STAGE_CHEST}, isPerfectedSet=1</v>
      </c>
      <c r="BI471" s="21" t="str">
        <f t="shared" si="51"/>
        <v>}, --Perfected Grand Rejuvenation / Pefektionierte Große Verjüngung   [Dragonstar Arena, Craglorn, Craglorn]</v>
      </c>
    </row>
    <row r="472" spans="1:61" x14ac:dyDescent="0.25">
      <c r="A472" s="5">
        <v>534</v>
      </c>
      <c r="B472" t="s">
        <v>2158</v>
      </c>
      <c r="C472" t="s">
        <v>1805</v>
      </c>
      <c r="D472" s="3">
        <f t="shared" si="46"/>
        <v>534</v>
      </c>
      <c r="G472" s="3" t="s">
        <v>1475</v>
      </c>
      <c r="H472" s="86">
        <v>3</v>
      </c>
      <c r="I472" t="s">
        <v>1462</v>
      </c>
      <c r="J472" t="s">
        <v>91</v>
      </c>
      <c r="K472">
        <v>435</v>
      </c>
      <c r="L472">
        <v>435</v>
      </c>
      <c r="M472">
        <v>435</v>
      </c>
      <c r="O472" s="61" t="s">
        <v>1804</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constants'!$B$4:$C$1012,2,FALSE),"")</f>
        <v>Stonethorn</v>
      </c>
      <c r="V472" s="33" t="s">
        <v>1538</v>
      </c>
      <c r="W472" s="3" t="s">
        <v>2160</v>
      </c>
      <c r="X472" s="3" t="s">
        <v>2161</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constants'!$A$5:$D$10001,4,FALSE),"")</f>
        <v>Tamriel Map</v>
      </c>
      <c r="AC472" s="41" t="str">
        <f>IF(AB472&lt;&gt;"",IF(AB472&lt;&gt;"LIBSETS_DROP_MECHANIC_MONSTER_NAME",VLOOKUP(AB472,'LibSets constants'!$I$4:$L$1012,3,FALSE),""),"")</f>
        <v/>
      </c>
      <c r="AD472" s="41" t="str">
        <f>IF(AB472&lt;&gt;"",IF(AB472&lt;&gt;"LIBSETS_DROP_MECHANIC_MONSTER_NAME",VLOOKUP(AB472,'LibSets constants'!$I$4:$L$1012,4,FALSE),""),"")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8" t="s">
        <v>2653</v>
      </c>
      <c r="BA472" s="78"/>
      <c r="BB472" s="78"/>
      <c r="BC472" s="78"/>
      <c r="BD472" s="78"/>
      <c r="BE472" s="21" t="str">
        <f t="shared" si="47"/>
        <v>[534] = {wayshrines={435,435,435,}, dlcId=DLC_STONETHORN</v>
      </c>
      <c r="BF472" s="21" t="str">
        <f t="shared" si="48"/>
        <v>, zoneIds={1197,0,0}, veteran={[EQUIP_TYPE_HEAD]=true, [EQUIP_TYPE_SHOULDERS]=false}</v>
      </c>
      <c r="BG472" s="21" t="str">
        <f t="shared" si="49"/>
        <v>, setType=LIBSETS_SETTYPE_MONSTER, undauntedChestId=3</v>
      </c>
      <c r="BH472" s="21" t="str">
        <f t="shared" si="50"/>
        <v>, dropMechanic={LIBSETS_DROP_MECHANIC_MONSTER_NAME}, dropMechanicDropLocationNames={['en']={'Arkasis the Mad Alchemist','','','','','',},['de']={'Arkasis der verrückte Alchemist','','','','','',},}</v>
      </c>
      <c r="BI472" s="21" t="str">
        <f t="shared" si="51"/>
        <v>}, --Stone Husk / Steinhülle   [Stone Garden, Tamriel Map, Tamriel Map]</v>
      </c>
    </row>
    <row r="473" spans="1:61" x14ac:dyDescent="0.25">
      <c r="A473" s="5">
        <v>535</v>
      </c>
      <c r="B473" t="s">
        <v>2159</v>
      </c>
      <c r="C473" t="s">
        <v>1802</v>
      </c>
      <c r="D473" s="3">
        <f t="shared" si="46"/>
        <v>535</v>
      </c>
      <c r="G473" s="3" t="s">
        <v>1475</v>
      </c>
      <c r="H473" s="86">
        <v>3</v>
      </c>
      <c r="I473" t="s">
        <v>1462</v>
      </c>
      <c r="J473" t="s">
        <v>91</v>
      </c>
      <c r="K473">
        <v>436</v>
      </c>
      <c r="L473">
        <v>436</v>
      </c>
      <c r="M473">
        <v>436</v>
      </c>
      <c r="O473" s="61" t="s">
        <v>1799</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constants'!$B$4:$C$1012,2,FALSE),"")</f>
        <v>Stonethorn</v>
      </c>
      <c r="V473" s="33" t="s">
        <v>1538</v>
      </c>
      <c r="W473" s="3" t="s">
        <v>1802</v>
      </c>
      <c r="X473" s="3" t="s">
        <v>2159</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constants'!$A$5:$D$10001,4,FALSE),"")</f>
        <v>Western Skyrim</v>
      </c>
      <c r="AC473" s="41" t="str">
        <f>IF(AB473&lt;&gt;"",IF(AB473&lt;&gt;"LIBSETS_DROP_MECHANIC_MONSTER_NAME",VLOOKUP(AB473,'LibSets constants'!$I$4:$L$1012,3,FALSE),""),"")</f>
        <v/>
      </c>
      <c r="AD473" s="41" t="str">
        <f>IF(AB473&lt;&gt;"",IF(AB473&lt;&gt;"LIBSETS_DROP_MECHANIC_MONSTER_NAME",VLOOKUP(AB473,'LibSets constants'!$I$4:$L$1012,4,FALSE),""),"")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8" t="s">
        <v>2653</v>
      </c>
      <c r="BA473" s="78"/>
      <c r="BB473" s="78"/>
      <c r="BC473" s="78"/>
      <c r="BD473" s="78"/>
      <c r="BE473" s="21" t="str">
        <f t="shared" si="47"/>
        <v>[535] = {wayshrines={436,436,436,}, dlcId=DLC_STONETHORN</v>
      </c>
      <c r="BF473" s="21" t="str">
        <f t="shared" si="48"/>
        <v>, zoneIds={1201,1160,1160}, veteran={[EQUIP_TYPE_HEAD]=true, [EQUIP_TYPE_SHOULDERS]=false}</v>
      </c>
      <c r="BG473" s="21" t="str">
        <f t="shared" si="49"/>
        <v>, setType=LIBSETS_SETTYPE_MONSTER, undauntedChestId=3</v>
      </c>
      <c r="BH473" s="21" t="str">
        <f t="shared" si="50"/>
        <v>, dropMechanic={LIBSETS_DROP_MECHANIC_MONSTER_NAME}, dropMechanicDropLocationNames={['en']={'Lady Thorn','','','','','',},['de']={'Fürstin Dorn','','','','','',},}</v>
      </c>
      <c r="BI473" s="21" t="str">
        <f t="shared" si="51"/>
        <v>}, --Lady Thorn / Fürstin Dorn   [Castle Thorn, Western Skyrim, Western Skyrim]</v>
      </c>
    </row>
    <row r="474" spans="1:61" x14ac:dyDescent="0.25">
      <c r="A474" s="5">
        <v>536</v>
      </c>
      <c r="B474" t="s">
        <v>2229</v>
      </c>
      <c r="C474" t="s">
        <v>2228</v>
      </c>
      <c r="D474" s="3">
        <f t="shared" si="46"/>
        <v>536</v>
      </c>
      <c r="G474" s="3" t="s">
        <v>1476</v>
      </c>
      <c r="I474" t="s">
        <v>91</v>
      </c>
      <c r="J474" t="s">
        <v>91</v>
      </c>
      <c r="K474">
        <v>441</v>
      </c>
      <c r="L474">
        <v>441</v>
      </c>
      <c r="M474">
        <v>441</v>
      </c>
      <c r="O474" s="61" t="s">
        <v>2210</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constants'!$B$4:$C$1012,2,FALSE),"")</f>
        <v>Included in base game</v>
      </c>
      <c r="V474" s="33" t="s">
        <v>1554</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constants'!$A$5:$D$10001,4,FALSE),"")</f>
        <v>The Reach</v>
      </c>
      <c r="AB474" s="33" t="s">
        <v>1554</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constants'!$A$5:$D$10001,4,FALSE),"")</f>
        <v>The Reach</v>
      </c>
      <c r="AH474" s="33" t="s">
        <v>1557</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8" t="s">
        <v>2653</v>
      </c>
      <c r="BA474" s="78"/>
      <c r="BB474" s="78"/>
      <c r="BC474" s="78"/>
      <c r="BD474" s="78"/>
      <c r="BE474" s="21" t="str">
        <f t="shared" si="47"/>
        <v>[536] = {wayshrines={441,441,441,}, dlcId=DLC_BASE_GAME</v>
      </c>
      <c r="BF474" s="21" t="str">
        <f t="shared" si="48"/>
        <v>, zoneIds={1207,1207,1207}, veteran=false</v>
      </c>
      <c r="BG474" s="21" t="str">
        <f t="shared" si="49"/>
        <v>, setType=LIBSETS_SETTYPE_OVERLAND</v>
      </c>
      <c r="BH474" s="21" t="str">
        <f t="shared" si="50"/>
        <v>, dropMechanic={LIBSETS_DROP_MECHANIC_OVERLAND_BOSS_DELVE,LIBSETS_DROP_MECHANIC_OVERLAND_BOSS_DELVE,LIBSETS_DROP_MECHANIC_OVERLAND_CHEST}</v>
      </c>
      <c r="BI474" s="21" t="str">
        <f t="shared" si="51"/>
        <v>}, --Radiant Bastion / Strahlende Bastion   [The Reach, The Reach, The Reach]</v>
      </c>
    </row>
    <row r="475" spans="1:61" x14ac:dyDescent="0.25">
      <c r="A475" s="5">
        <v>537</v>
      </c>
      <c r="B475" t="s">
        <v>2230</v>
      </c>
      <c r="C475" t="s">
        <v>2252</v>
      </c>
      <c r="D475" s="3">
        <f t="shared" si="46"/>
        <v>537</v>
      </c>
      <c r="G475" s="3" t="s">
        <v>1476</v>
      </c>
      <c r="I475" t="s">
        <v>91</v>
      </c>
      <c r="J475" t="s">
        <v>91</v>
      </c>
      <c r="K475">
        <v>441</v>
      </c>
      <c r="L475">
        <v>441</v>
      </c>
      <c r="M475">
        <v>441</v>
      </c>
      <c r="O475" s="61" t="s">
        <v>2210</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constants'!$B$4:$C$1012,2,FALSE),"")</f>
        <v>Included in base game</v>
      </c>
      <c r="V475" s="33" t="s">
        <v>1554</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constants'!$A$5:$D$10001,4,FALSE),"")</f>
        <v>The Reach</v>
      </c>
      <c r="AB475" s="33" t="s">
        <v>1554</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constants'!$A$5:$D$10001,4,FALSE),"")</f>
        <v>The Reach</v>
      </c>
      <c r="AH475" s="33" t="s">
        <v>1557</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8" t="s">
        <v>2653</v>
      </c>
      <c r="BA475" s="78"/>
      <c r="BB475" s="78"/>
      <c r="BC475" s="78"/>
      <c r="BD475" s="78"/>
      <c r="BE475" s="21" t="str">
        <f t="shared" si="47"/>
        <v>[537] = {wayshrines={441,441,441,}, dlcId=DLC_BASE_GAME</v>
      </c>
      <c r="BF475" s="21" t="str">
        <f t="shared" si="48"/>
        <v>, zoneIds={1207,1207,1207}, veteran=false</v>
      </c>
      <c r="BG475" s="21" t="str">
        <f t="shared" si="49"/>
        <v>, setType=LIBSETS_SETTYPE_OVERLAND</v>
      </c>
      <c r="BH475" s="21" t="str">
        <f t="shared" si="50"/>
        <v>, dropMechanic={LIBSETS_DROP_MECHANIC_OVERLAND_BOSS_DELVE,LIBSETS_DROP_MECHANIC_OVERLAND_BOSS_DELVE,LIBSETS_DROP_MECHANIC_OVERLAND_CHEST}</v>
      </c>
      <c r="BI475" s="21" t="str">
        <f t="shared" si="51"/>
        <v>}, --Voidcaller / Leerenrufer   [The Reach, The Reach, The Reach]</v>
      </c>
    </row>
    <row r="476" spans="1:61" x14ac:dyDescent="0.25">
      <c r="A476" s="5">
        <v>538</v>
      </c>
      <c r="B476" t="s">
        <v>2231</v>
      </c>
      <c r="C476" t="s">
        <v>2648</v>
      </c>
      <c r="D476" s="3">
        <f t="shared" si="46"/>
        <v>538</v>
      </c>
      <c r="G476" s="3" t="s">
        <v>1476</v>
      </c>
      <c r="I476" t="s">
        <v>91</v>
      </c>
      <c r="J476" t="s">
        <v>91</v>
      </c>
      <c r="K476">
        <v>441</v>
      </c>
      <c r="L476">
        <v>441</v>
      </c>
      <c r="M476">
        <v>441</v>
      </c>
      <c r="O476" s="61" t="s">
        <v>2210</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constants'!$B$4:$C$1012,2,FALSE),"")</f>
        <v>Included in base game</v>
      </c>
      <c r="V476" s="33" t="s">
        <v>1554</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constants'!$A$5:$D$10001,4,FALSE),"")</f>
        <v>The Reach</v>
      </c>
      <c r="AB476" s="33" t="s">
        <v>1554</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constants'!$A$5:$D$10001,4,FALSE),"")</f>
        <v>The Reach</v>
      </c>
      <c r="AH476" s="33" t="s">
        <v>1557</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8" t="s">
        <v>2654</v>
      </c>
      <c r="BA476" s="78"/>
      <c r="BB476" s="78"/>
      <c r="BC476" s="78"/>
      <c r="BD476" s="78"/>
      <c r="BE476" s="21" t="str">
        <f t="shared" si="47"/>
        <v>[538] = {wayshrines={441,441,441,}, dlcId=DLC_BASE_GAME</v>
      </c>
      <c r="BF476" s="21" t="str">
        <f t="shared" si="48"/>
        <v>, zoneIds={1207,1207,1207}, veteran=false</v>
      </c>
      <c r="BG476" s="21" t="str">
        <f t="shared" si="49"/>
        <v>, setType=LIBSETS_SETTYPE_OVERLAND</v>
      </c>
      <c r="BH476" s="21" t="str">
        <f t="shared" si="50"/>
        <v>, isProcSetAllowedInPvP=1, dropMechanic={LIBSETS_DROP_MECHANIC_OVERLAND_BOSS_DELVE,LIBSETS_DROP_MECHANIC_OVERLAND_BOSS_DELVE,LIBSETS_DROP_MECHANIC_OVERLAND_CHEST}</v>
      </c>
      <c r="BI476" s="21" t="str">
        <f t="shared" si="51"/>
        <v>}, --Witch-Knight\'s Defiance / Trotz des Hexenritters   [The Reach, The Reach, The Reach]</v>
      </c>
    </row>
    <row r="477" spans="1:61" x14ac:dyDescent="0.25">
      <c r="A477" s="5">
        <v>539</v>
      </c>
      <c r="B477" t="s">
        <v>2232</v>
      </c>
      <c r="C477" t="s">
        <v>2649</v>
      </c>
      <c r="D477" s="3">
        <f t="shared" si="46"/>
        <v>539</v>
      </c>
      <c r="G477" s="3" t="s">
        <v>1470</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constants'!$B$4:$C$1012,2,FALSE),"")</f>
        <v>Included in base game</v>
      </c>
      <c r="V477" s="33" t="s">
        <v>3288</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constants'!$A$5:$D$10001,4,FALSE),"")</f>
        <v>The Reach</v>
      </c>
      <c r="AB477" s="33" t="s">
        <v>3288</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constants'!$A$5:$D$10001,4,FALSE),"")</f>
        <v>The Reach</v>
      </c>
      <c r="AH477" s="33" t="s">
        <v>3288</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8" t="s">
        <v>2654</v>
      </c>
      <c r="BA477" s="78"/>
      <c r="BB477" s="78"/>
      <c r="BC477" s="78"/>
      <c r="BD477" s="78"/>
      <c r="BE477" s="21" t="str">
        <f t="shared" si="47"/>
        <v>[539] = {wayshrines={447,447,447,}, traitsNeeded=3, dlcId=DLC_BASE_GAME</v>
      </c>
      <c r="BF477" s="21" t="str">
        <f t="shared" si="48"/>
        <v>, zoneIds={1207,1207,1207}, veteran=false</v>
      </c>
      <c r="BG477" s="21" t="str">
        <f t="shared" si="49"/>
        <v>, setType=LIBSETS_SETTYPE_CRAFTED</v>
      </c>
      <c r="BH477" s="21" t="str">
        <f t="shared" si="50"/>
        <v>, isProcSetAllowedInPvP=1, dropMechanic={LIBSETS_DROP_MECHANIC_CRAFTED,LIBSETS_DROP_MECHANIC_CRAFTED,LIBSETS_DROP_MECHANIC_CRAFTED}</v>
      </c>
      <c r="BI477" s="21" t="str">
        <f t="shared" si="51"/>
        <v>}, --Red Eagle\'s Fury / Zorn des Roten Adlers   [The Reach, The Reach, The Reach]</v>
      </c>
    </row>
    <row r="478" spans="1:61" x14ac:dyDescent="0.25">
      <c r="A478" s="5">
        <v>540</v>
      </c>
      <c r="B478" t="s">
        <v>2233</v>
      </c>
      <c r="C478" t="s">
        <v>2253</v>
      </c>
      <c r="D478" s="3">
        <f t="shared" si="46"/>
        <v>540</v>
      </c>
      <c r="G478" s="3" t="s">
        <v>1470</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constants'!$B$4:$C$1012,2,FALSE),"")</f>
        <v>Included in base game</v>
      </c>
      <c r="V478" s="33" t="s">
        <v>3288</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constants'!$A$5:$D$10001,4,FALSE),"")</f>
        <v>The Reach</v>
      </c>
      <c r="AB478" s="33" t="s">
        <v>3288</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constants'!$A$5:$D$10001,4,FALSE),"")</f>
        <v>The Reach</v>
      </c>
      <c r="AH478" s="33" t="s">
        <v>3288</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8" t="s">
        <v>2653</v>
      </c>
      <c r="BA478" s="78"/>
      <c r="BB478" s="78"/>
      <c r="BC478" s="78"/>
      <c r="BD478" s="78"/>
      <c r="BE478" s="21" t="str">
        <f t="shared" si="47"/>
        <v>[540] = {wayshrines={442,442,442,}, traitsNeeded=6, dlcId=DLC_BASE_GAME</v>
      </c>
      <c r="BF478" s="21" t="str">
        <f t="shared" si="48"/>
        <v>, zoneIds={1207,1207,1207}, veteran=false</v>
      </c>
      <c r="BG478" s="21" t="str">
        <f t="shared" si="49"/>
        <v>, setType=LIBSETS_SETTYPE_CRAFTED</v>
      </c>
      <c r="BH478" s="21" t="str">
        <f t="shared" si="50"/>
        <v>, dropMechanic={LIBSETS_DROP_MECHANIC_CRAFTED,LIBSETS_DROP_MECHANIC_CRAFTED,LIBSETS_DROP_MECHANIC_CRAFTED}</v>
      </c>
      <c r="BI478" s="21" t="str">
        <f t="shared" si="51"/>
        <v>}, --Legacy of Karth / Erbe des Karth   [The Reach, The Reach, The Reach]</v>
      </c>
    </row>
    <row r="479" spans="1:61" x14ac:dyDescent="0.25">
      <c r="A479" s="5">
        <v>541</v>
      </c>
      <c r="B479" t="s">
        <v>2234</v>
      </c>
      <c r="C479" t="s">
        <v>2254</v>
      </c>
      <c r="D479" s="3">
        <f t="shared" si="46"/>
        <v>541</v>
      </c>
      <c r="G479" s="3" t="s">
        <v>1470</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constants'!$B$4:$C$1012,2,FALSE),"")</f>
        <v>Included in base game</v>
      </c>
      <c r="V479" s="33" t="s">
        <v>3288</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constants'!$A$5:$D$10001,4,FALSE),"")</f>
        <v>Tamriel Map</v>
      </c>
      <c r="AB479" s="33" t="s">
        <v>3288</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constants'!$A$5:$D$10001,4,FALSE),"")</f>
        <v>Tamriel Map</v>
      </c>
      <c r="AH479" s="42" t="s">
        <v>3288</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8" t="s">
        <v>2654</v>
      </c>
      <c r="BA479" s="78"/>
      <c r="BB479" s="78"/>
      <c r="BC479" s="78"/>
      <c r="BD479" s="78"/>
      <c r="BE479" s="21" t="str">
        <f t="shared" si="47"/>
        <v>[541] = {wayshrines={446,446,446,}, traitsNeeded=9, dlcId=DLC_BASE_GAME</v>
      </c>
      <c r="BF479" s="21" t="str">
        <f t="shared" si="48"/>
        <v>, zoneIds={1208,0,0}, veteran=false</v>
      </c>
      <c r="BG479" s="21" t="str">
        <f t="shared" si="49"/>
        <v>, setType=LIBSETS_SETTYPE_CRAFTED</v>
      </c>
      <c r="BH479" s="21" t="str">
        <f t="shared" si="50"/>
        <v>, isProcSetAllowedInPvP=1, dropMechanic={LIBSETS_DROP_MECHANIC_CRAFTED,LIBSETS_DROP_MECHANIC_CRAFTED,LIBSETS_DROP_MECHANIC_CRAFTED}</v>
      </c>
      <c r="BI479" s="21" t="str">
        <f t="shared" si="51"/>
        <v>}, --Aetherial Ascension / Ätherischer Aufstieg   [Blackreach: Arkthzand Cavern, Tamriel Map, Tamriel Map]</v>
      </c>
    </row>
    <row r="480" spans="1:61" x14ac:dyDescent="0.25">
      <c r="A480" s="5">
        <v>542</v>
      </c>
      <c r="B480" t="s">
        <v>2235</v>
      </c>
      <c r="C480" t="s">
        <v>2255</v>
      </c>
      <c r="D480" s="3">
        <f t="shared" si="46"/>
        <v>542</v>
      </c>
      <c r="G480" s="3" t="s">
        <v>1476</v>
      </c>
      <c r="I480" t="s">
        <v>91</v>
      </c>
      <c r="J480" t="s">
        <v>91</v>
      </c>
      <c r="K480">
        <v>441</v>
      </c>
      <c r="L480">
        <v>441</v>
      </c>
      <c r="M480">
        <v>441</v>
      </c>
      <c r="O480" s="61" t="s">
        <v>2210</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constants'!$B$4:$C$1012,2,FALSE),"")</f>
        <v>Included in base game</v>
      </c>
      <c r="V480" s="33" t="s">
        <v>1554</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constants'!$A$5:$D$10001,4,FALSE),"")</f>
        <v>The Reach</v>
      </c>
      <c r="AB480" s="33" t="s">
        <v>1554</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constants'!$A$5:$D$10001,4,FALSE),"")</f>
        <v>The Reach</v>
      </c>
      <c r="AH480" s="33" t="s">
        <v>1557</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8" t="s">
        <v>2653</v>
      </c>
      <c r="BA480" s="78"/>
      <c r="BB480" s="78"/>
      <c r="BC480" s="78"/>
      <c r="BD480" s="78"/>
      <c r="BE480" s="21" t="str">
        <f t="shared" si="47"/>
        <v>[542] = {wayshrines={441,441,441,}, dlcId=DLC_BASE_GAME</v>
      </c>
      <c r="BF480" s="21" t="str">
        <f t="shared" si="48"/>
        <v>, zoneIds={1207,1207,1207}, veteran=false</v>
      </c>
      <c r="BG480" s="21" t="str">
        <f t="shared" si="49"/>
        <v>, setType=LIBSETS_SETTYPE_OVERLAND</v>
      </c>
      <c r="BH480" s="21" t="str">
        <f t="shared" si="50"/>
        <v>, dropMechanic={LIBSETS_DROP_MECHANIC_OVERLAND_BOSS_DELVE,LIBSETS_DROP_MECHANIC_OVERLAND_BOSS_DELVE,LIBSETS_DROP_MECHANIC_OVERLAND_CHEST}</v>
      </c>
      <c r="BI480" s="21" t="str">
        <f t="shared" si="51"/>
        <v>}, --Hex Siphon / Fluchsiphon   [The Reach, The Reach, The Reach]</v>
      </c>
    </row>
    <row r="481" spans="1:61" x14ac:dyDescent="0.25">
      <c r="A481" s="5">
        <v>543</v>
      </c>
      <c r="B481" t="s">
        <v>2236</v>
      </c>
      <c r="C481" t="s">
        <v>2256</v>
      </c>
      <c r="D481" s="3">
        <f t="shared" si="46"/>
        <v>543</v>
      </c>
      <c r="G481" s="3" t="s">
        <v>1476</v>
      </c>
      <c r="I481" t="s">
        <v>91</v>
      </c>
      <c r="J481" t="s">
        <v>91</v>
      </c>
      <c r="K481">
        <v>441</v>
      </c>
      <c r="L481">
        <v>441</v>
      </c>
      <c r="M481">
        <v>441</v>
      </c>
      <c r="O481" s="61" t="s">
        <v>2210</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constants'!$B$4:$C$1012,2,FALSE),"")</f>
        <v>Included in base game</v>
      </c>
      <c r="V481" s="33" t="s">
        <v>1554</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constants'!$A$5:$D$10001,4,FALSE),"")</f>
        <v>The Reach</v>
      </c>
      <c r="AB481" s="33" t="s">
        <v>1554</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constants'!$A$5:$D$10001,4,FALSE),"")</f>
        <v>The Reach</v>
      </c>
      <c r="AH481" s="33" t="s">
        <v>1557</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8" t="s">
        <v>2653</v>
      </c>
      <c r="BA481" s="78"/>
      <c r="BB481" s="78"/>
      <c r="BC481" s="78"/>
      <c r="BD481" s="78"/>
      <c r="BE481" s="21" t="str">
        <f t="shared" si="47"/>
        <v>[543] = {wayshrines={441,441,441,}, dlcId=DLC_BASE_GAME</v>
      </c>
      <c r="BF481" s="21" t="str">
        <f t="shared" si="48"/>
        <v>, zoneIds={1207,1207,1207}, veteran=false</v>
      </c>
      <c r="BG481" s="21" t="str">
        <f t="shared" si="49"/>
        <v>, setType=LIBSETS_SETTYPE_OVERLAND</v>
      </c>
      <c r="BH481" s="21" t="str">
        <f t="shared" si="50"/>
        <v>, dropMechanic={LIBSETS_DROP_MECHANIC_OVERLAND_BOSS_DELVE,LIBSETS_DROP_MECHANIC_OVERLAND_BOSS_DELVE,LIBSETS_DROP_MECHANIC_OVERLAND_CHEST}</v>
      </c>
      <c r="BI481" s="21" t="str">
        <f t="shared" si="51"/>
        <v>}, --Pestilent Host / Pestilenter Wirt   [The Reach, The Reach, The Reach]</v>
      </c>
    </row>
    <row r="482" spans="1:61" x14ac:dyDescent="0.25">
      <c r="A482" s="5">
        <v>544</v>
      </c>
      <c r="B482" t="s">
        <v>2237</v>
      </c>
      <c r="C482" t="s">
        <v>2257</v>
      </c>
      <c r="D482" s="3">
        <f t="shared" si="46"/>
        <v>544</v>
      </c>
      <c r="G482" s="3" t="s">
        <v>1476</v>
      </c>
      <c r="I482" t="s">
        <v>91</v>
      </c>
      <c r="J482" t="s">
        <v>91</v>
      </c>
      <c r="K482">
        <v>441</v>
      </c>
      <c r="L482">
        <v>441</v>
      </c>
      <c r="M482">
        <v>441</v>
      </c>
      <c r="O482" s="61" t="s">
        <v>2210</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constants'!$B$4:$C$1012,2,FALSE),"")</f>
        <v>Included in base game</v>
      </c>
      <c r="V482" s="33" t="s">
        <v>1554</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constants'!$A$5:$D$10001,4,FALSE),"")</f>
        <v>The Reach</v>
      </c>
      <c r="AB482" s="33" t="s">
        <v>1554</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constants'!$A$5:$D$10001,4,FALSE),"")</f>
        <v>The Reach</v>
      </c>
      <c r="AH482" s="33" t="s">
        <v>1557</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8" t="s">
        <v>2653</v>
      </c>
      <c r="BA482" s="78"/>
      <c r="BB482" s="78"/>
      <c r="BC482" s="78"/>
      <c r="BD482" s="78"/>
      <c r="BE482" s="21" t="str">
        <f t="shared" si="47"/>
        <v>[544] = {wayshrines={441,441,441,}, dlcId=DLC_BASE_GAME</v>
      </c>
      <c r="BF482" s="21" t="str">
        <f t="shared" si="48"/>
        <v>, zoneIds={1207,1207,1207}, veteran=false</v>
      </c>
      <c r="BG482" s="21" t="str">
        <f t="shared" si="49"/>
        <v>, setType=LIBSETS_SETTYPE_OVERLAND</v>
      </c>
      <c r="BH482" s="21" t="str">
        <f t="shared" si="50"/>
        <v>, dropMechanic={LIBSETS_DROP_MECHANIC_OVERLAND_BOSS_DELVE,LIBSETS_DROP_MECHANIC_OVERLAND_BOSS_DELVE,LIBSETS_DROP_MECHANIC_OVERLAND_CHEST}</v>
      </c>
      <c r="BI482" s="21" t="str">
        <f t="shared" si="51"/>
        <v>}, --Explosive Rebuke / Explosiver Tadel   [The Reach, The Reach, The Reach]</v>
      </c>
    </row>
    <row r="483" spans="1:61" x14ac:dyDescent="0.25">
      <c r="A483" s="5">
        <v>557</v>
      </c>
      <c r="B483" t="s">
        <v>2238</v>
      </c>
      <c r="C483" t="s">
        <v>2650</v>
      </c>
      <c r="D483" s="3">
        <f t="shared" si="46"/>
        <v>557</v>
      </c>
      <c r="E483" s="40"/>
      <c r="G483" s="8" t="s">
        <v>1468</v>
      </c>
      <c r="I483" t="s">
        <v>91</v>
      </c>
      <c r="J483" t="s">
        <v>91</v>
      </c>
      <c r="K483">
        <v>457</v>
      </c>
      <c r="L483">
        <v>457</v>
      </c>
      <c r="M483">
        <v>457</v>
      </c>
      <c r="O483" s="61" t="s">
        <v>2209</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constants'!$H$3:$K$9989,4,FALSE)),""))</f>
        <v>DLC_GREYMOOR</v>
      </c>
      <c r="U483" s="3" t="str">
        <f>IF(T483&lt;&gt;"",VLOOKUP(T483,'LibSets constants'!$B$4:$C$1012,2,FALSE),"")</f>
        <v>Greymoor</v>
      </c>
      <c r="V483" s="33" t="s">
        <v>1550</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constants'!$A$5:$D$10001,4,FALSE),"")</f>
        <v>The Reach</v>
      </c>
      <c r="AB483" s="33" t="s">
        <v>1550</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8" t="s">
        <v>2653</v>
      </c>
      <c r="BA483" s="78"/>
      <c r="BB483" s="78"/>
      <c r="BC483" s="78"/>
      <c r="BD483" s="78">
        <v>563</v>
      </c>
      <c r="BE483" s="21" t="str">
        <f t="shared" si="47"/>
        <v>[557] = {wayshrines={457,457,457,}, dlcId=DLC_GREYMOOR</v>
      </c>
      <c r="BF483" s="21" t="str">
        <f t="shared" si="48"/>
        <v>, zoneIds={1227,1207,1207}, veteran=false</v>
      </c>
      <c r="BG483" s="21" t="str">
        <f t="shared" si="49"/>
        <v>, setType=LIBSETS_SETTYPE_ARENA</v>
      </c>
      <c r="BH483" s="21" t="str">
        <f t="shared" si="50"/>
        <v>, dropMechanic={LIBSETS_DROP_MECHANIC_ARENA_STAGE_CHEST,LIBSETS_DROP_MECHANIC_ARENA_STAGE_CHEST}, perfectedSetId=563</v>
      </c>
      <c r="BI483" s="21" t="str">
        <f t="shared" si="51"/>
        <v>}, --Executioner\'s Blade / Henkersklinge   [Vateshran Hollows, The Reach, The Reach]</v>
      </c>
    </row>
    <row r="484" spans="1:61" x14ac:dyDescent="0.25">
      <c r="A484" s="5">
        <v>558</v>
      </c>
      <c r="B484" t="s">
        <v>2239</v>
      </c>
      <c r="C484" t="s">
        <v>2258</v>
      </c>
      <c r="D484" s="3">
        <f t="shared" si="46"/>
        <v>558</v>
      </c>
      <c r="E484" s="40"/>
      <c r="G484" s="8" t="s">
        <v>1468</v>
      </c>
      <c r="I484" t="s">
        <v>91</v>
      </c>
      <c r="J484" t="s">
        <v>91</v>
      </c>
      <c r="K484">
        <v>457</v>
      </c>
      <c r="L484">
        <v>457</v>
      </c>
      <c r="M484">
        <v>457</v>
      </c>
      <c r="O484" s="61" t="s">
        <v>2209</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constants'!$H$3:$K$9989,4,FALSE)),""))</f>
        <v>DLC_GREYMOOR</v>
      </c>
      <c r="U484" s="3" t="str">
        <f>IF(T484&lt;&gt;"",VLOOKUP(T484,'LibSets constants'!$B$4:$C$1012,2,FALSE),"")</f>
        <v>Greymoor</v>
      </c>
      <c r="V484" s="33" t="s">
        <v>1550</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constants'!$A$5:$D$10001,4,FALSE),"")</f>
        <v>The Reach</v>
      </c>
      <c r="AB484" s="33" t="s">
        <v>1550</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8" t="s">
        <v>2653</v>
      </c>
      <c r="BA484" s="78"/>
      <c r="BB484" s="78"/>
      <c r="BC484" s="78"/>
      <c r="BD484" s="78">
        <v>564</v>
      </c>
      <c r="BE484" s="21" t="str">
        <f t="shared" si="47"/>
        <v>[558] = {wayshrines={457,457,457,}, dlcId=DLC_GREYMOOR</v>
      </c>
      <c r="BF484" s="21" t="str">
        <f t="shared" si="48"/>
        <v>, zoneIds={1227,1207,1207}, veteran=false</v>
      </c>
      <c r="BG484" s="21" t="str">
        <f t="shared" si="49"/>
        <v>, setType=LIBSETS_SETTYPE_ARENA</v>
      </c>
      <c r="BH484" s="21" t="str">
        <f t="shared" si="50"/>
        <v>, dropMechanic={LIBSETS_DROP_MECHANIC_ARENA_STAGE_CHEST,LIBSETS_DROP_MECHANIC_ARENA_STAGE_CHEST}, perfectedSetId=564</v>
      </c>
      <c r="BI484" s="21" t="str">
        <f t="shared" si="51"/>
        <v>}, --Void Bash / LeerenWucht   [Vateshran Hollows, The Reach, The Reach]</v>
      </c>
    </row>
    <row r="485" spans="1:61" x14ac:dyDescent="0.25">
      <c r="A485" s="5">
        <v>559</v>
      </c>
      <c r="B485" t="s">
        <v>2240</v>
      </c>
      <c r="C485" t="s">
        <v>2259</v>
      </c>
      <c r="D485" s="3">
        <f t="shared" si="46"/>
        <v>559</v>
      </c>
      <c r="E485" s="40"/>
      <c r="G485" s="8" t="s">
        <v>1468</v>
      </c>
      <c r="I485" t="s">
        <v>91</v>
      </c>
      <c r="J485" t="s">
        <v>91</v>
      </c>
      <c r="K485">
        <v>457</v>
      </c>
      <c r="L485">
        <v>457</v>
      </c>
      <c r="M485">
        <v>457</v>
      </c>
      <c r="O485" s="61" t="s">
        <v>2209</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constants'!$H$3:$K$9989,4,FALSE)),""))</f>
        <v>DLC_GREYMOOR</v>
      </c>
      <c r="U485" s="3" t="str">
        <f>IF(T485&lt;&gt;"",VLOOKUP(T485,'LibSets constants'!$B$4:$C$1012,2,FALSE),"")</f>
        <v>Greymoor</v>
      </c>
      <c r="V485" s="33" t="s">
        <v>1550</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constants'!$A$5:$D$10001,4,FALSE),"")</f>
        <v>The Reach</v>
      </c>
      <c r="AB485" s="33" t="s">
        <v>1550</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8" t="s">
        <v>2653</v>
      </c>
      <c r="BA485" s="78"/>
      <c r="BB485" s="78"/>
      <c r="BC485" s="78"/>
      <c r="BD485" s="78">
        <v>565</v>
      </c>
      <c r="BE485" s="21" t="str">
        <f t="shared" si="47"/>
        <v>[559] = {wayshrines={457,457,457,}, dlcId=DLC_GREYMOOR</v>
      </c>
      <c r="BF485" s="21" t="str">
        <f t="shared" si="48"/>
        <v>, zoneIds={1227,1207,1207}, veteran=false</v>
      </c>
      <c r="BG485" s="21" t="str">
        <f t="shared" si="49"/>
        <v>, setType=LIBSETS_SETTYPE_ARENA</v>
      </c>
      <c r="BH485" s="21" t="str">
        <f t="shared" si="50"/>
        <v>, dropMechanic={LIBSETS_DROP_MECHANIC_ARENA_STAGE_CHEST,LIBSETS_DROP_MECHANIC_ARENA_STAGE_CHEST}, perfectedSetId=565</v>
      </c>
      <c r="BI485" s="21" t="str">
        <f t="shared" si="51"/>
        <v>}, --Frenzied Momentum / Tobendes Momentum   [Vateshran Hollows, The Reach, The Reach]</v>
      </c>
    </row>
    <row r="486" spans="1:61" x14ac:dyDescent="0.25">
      <c r="A486" s="5">
        <v>560</v>
      </c>
      <c r="B486" t="s">
        <v>2241</v>
      </c>
      <c r="C486" t="s">
        <v>2260</v>
      </c>
      <c r="D486" s="3">
        <f t="shared" si="46"/>
        <v>560</v>
      </c>
      <c r="E486" s="40"/>
      <c r="G486" s="8" t="s">
        <v>1468</v>
      </c>
      <c r="I486" t="s">
        <v>91</v>
      </c>
      <c r="J486" t="s">
        <v>91</v>
      </c>
      <c r="K486">
        <v>457</v>
      </c>
      <c r="L486">
        <v>457</v>
      </c>
      <c r="M486">
        <v>457</v>
      </c>
      <c r="O486" s="61" t="s">
        <v>2209</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constants'!$H$3:$K$9989,4,FALSE)),""))</f>
        <v>DLC_GREYMOOR</v>
      </c>
      <c r="U486" s="3" t="str">
        <f>IF(T486&lt;&gt;"",VLOOKUP(T486,'LibSets constants'!$B$4:$C$1012,2,FALSE),"")</f>
        <v>Greymoor</v>
      </c>
      <c r="V486" s="33" t="s">
        <v>1550</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constants'!$A$5:$D$10001,4,FALSE),"")</f>
        <v>The Reach</v>
      </c>
      <c r="AB486" s="33" t="s">
        <v>1550</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8" t="s">
        <v>2653</v>
      </c>
      <c r="BA486" s="78"/>
      <c r="BB486" s="78"/>
      <c r="BC486" s="78"/>
      <c r="BD486" s="78">
        <v>566</v>
      </c>
      <c r="BE486" s="21" t="str">
        <f t="shared" si="47"/>
        <v>[560] = {wayshrines={457,457,457,}, dlcId=DLC_GREYMOOR</v>
      </c>
      <c r="BF486" s="21" t="str">
        <f t="shared" si="48"/>
        <v>, zoneIds={1227,1207,1207}, veteran=false</v>
      </c>
      <c r="BG486" s="21" t="str">
        <f t="shared" si="49"/>
        <v>, setType=LIBSETS_SETTYPE_ARENA</v>
      </c>
      <c r="BH486" s="21" t="str">
        <f t="shared" si="50"/>
        <v>, dropMechanic={LIBSETS_DROP_MECHANIC_ARENA_STAGE_CHEST,LIBSETS_DROP_MECHANIC_ARENA_STAGE_CHEST}, perfectedSetId=566</v>
      </c>
      <c r="BI486" s="21" t="str">
        <f t="shared" si="51"/>
        <v>}, --Point-Blank Snipe / Volltreffer   [Vateshran Hollows, The Reach, The Reach]</v>
      </c>
    </row>
    <row r="487" spans="1:61" x14ac:dyDescent="0.25">
      <c r="A487" s="5">
        <v>561</v>
      </c>
      <c r="B487" t="s">
        <v>2242</v>
      </c>
      <c r="C487" t="s">
        <v>2261</v>
      </c>
      <c r="D487" s="3">
        <f t="shared" si="46"/>
        <v>561</v>
      </c>
      <c r="E487" s="40"/>
      <c r="G487" s="8" t="s">
        <v>1468</v>
      </c>
      <c r="I487" t="s">
        <v>91</v>
      </c>
      <c r="J487" t="s">
        <v>91</v>
      </c>
      <c r="K487">
        <v>457</v>
      </c>
      <c r="L487">
        <v>457</v>
      </c>
      <c r="M487">
        <v>457</v>
      </c>
      <c r="O487" s="61" t="s">
        <v>2209</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constants'!$H$3:$K$9989,4,FALSE)),""))</f>
        <v>DLC_GREYMOOR</v>
      </c>
      <c r="U487" s="3" t="str">
        <f>IF(T487&lt;&gt;"",VLOOKUP(T487,'LibSets constants'!$B$4:$C$1012,2,FALSE),"")</f>
        <v>Greymoor</v>
      </c>
      <c r="V487" s="33" t="s">
        <v>1550</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constants'!$A$5:$D$10001,4,FALSE),"")</f>
        <v>The Reach</v>
      </c>
      <c r="AB487" s="33" t="s">
        <v>1550</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8" t="s">
        <v>2653</v>
      </c>
      <c r="BA487" s="78"/>
      <c r="BB487" s="78"/>
      <c r="BC487" s="78"/>
      <c r="BD487" s="78">
        <v>567</v>
      </c>
      <c r="BE487" s="21" t="str">
        <f t="shared" si="47"/>
        <v>[561] = {wayshrines={457,457,457,}, dlcId=DLC_GREYMOOR</v>
      </c>
      <c r="BF487" s="21" t="str">
        <f t="shared" si="48"/>
        <v>, zoneIds={1227,1207,1207}, veteran=false</v>
      </c>
      <c r="BG487" s="21" t="str">
        <f t="shared" si="49"/>
        <v>, setType=LIBSETS_SETTYPE_ARENA</v>
      </c>
      <c r="BH487" s="21" t="str">
        <f t="shared" si="50"/>
        <v>, dropMechanic={LIBSETS_DROP_MECHANIC_ARENA_STAGE_CHEST,LIBSETS_DROP_MECHANIC_ARENA_STAGE_CHEST}, perfectedSetId=567</v>
      </c>
      <c r="BI487" s="21" t="str">
        <f t="shared" si="51"/>
        <v>}, --Wrath of Elements / Zorn der Elemente   [Vateshran Hollows, The Reach, The Reach]</v>
      </c>
    </row>
    <row r="488" spans="1:61" x14ac:dyDescent="0.25">
      <c r="A488" s="5">
        <v>562</v>
      </c>
      <c r="B488" t="s">
        <v>2243</v>
      </c>
      <c r="C488" t="s">
        <v>2262</v>
      </c>
      <c r="D488" s="3">
        <f t="shared" si="46"/>
        <v>562</v>
      </c>
      <c r="E488" s="40"/>
      <c r="G488" s="8" t="s">
        <v>1468</v>
      </c>
      <c r="I488" t="s">
        <v>91</v>
      </c>
      <c r="J488" t="s">
        <v>91</v>
      </c>
      <c r="K488">
        <v>457</v>
      </c>
      <c r="L488">
        <v>457</v>
      </c>
      <c r="M488">
        <v>457</v>
      </c>
      <c r="O488" s="61" t="s">
        <v>2209</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constants'!$H$3:$K$9989,4,FALSE)),""))</f>
        <v>DLC_GREYMOOR</v>
      </c>
      <c r="U488" s="3" t="str">
        <f>IF(T488&lt;&gt;"",VLOOKUP(T488,'LibSets constants'!$B$4:$C$1012,2,FALSE),"")</f>
        <v>Greymoor</v>
      </c>
      <c r="V488" s="33" t="s">
        <v>1550</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constants'!$A$5:$D$10001,4,FALSE),"")</f>
        <v>The Reach</v>
      </c>
      <c r="AB488" s="33" t="s">
        <v>1550</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8" t="s">
        <v>2653</v>
      </c>
      <c r="BA488" s="78"/>
      <c r="BB488" s="78"/>
      <c r="BC488" s="78"/>
      <c r="BD488" s="78">
        <v>568</v>
      </c>
      <c r="BE488" s="21" t="str">
        <f t="shared" si="47"/>
        <v>[562] = {wayshrines={457,457,457,}, dlcId=DLC_GREYMOOR</v>
      </c>
      <c r="BF488" s="21" t="str">
        <f t="shared" si="48"/>
        <v>, zoneIds={1227,1207,1207}, veteran=false</v>
      </c>
      <c r="BG488" s="21" t="str">
        <f t="shared" si="49"/>
        <v>, setType=LIBSETS_SETTYPE_ARENA</v>
      </c>
      <c r="BH488" s="21" t="str">
        <f t="shared" si="50"/>
        <v>, dropMechanic={LIBSETS_DROP_MECHANIC_ARENA_STAGE_CHEST,LIBSETS_DROP_MECHANIC_ARENA_STAGE_CHEST}, perfectedSetId=568</v>
      </c>
      <c r="BI488" s="21" t="str">
        <f t="shared" si="51"/>
        <v>}, --Force Overflow / Machtüberschuss   [Vateshran Hollows, The Reach, The Reach]</v>
      </c>
    </row>
    <row r="489" spans="1:61" x14ac:dyDescent="0.25">
      <c r="A489" s="5">
        <v>563</v>
      </c>
      <c r="B489" t="s">
        <v>2246</v>
      </c>
      <c r="C489" t="s">
        <v>2651</v>
      </c>
      <c r="D489" s="3">
        <f t="shared" si="46"/>
        <v>563</v>
      </c>
      <c r="E489" s="40"/>
      <c r="G489" s="8" t="s">
        <v>1468</v>
      </c>
      <c r="I489" t="s">
        <v>92</v>
      </c>
      <c r="J489" t="s">
        <v>91</v>
      </c>
      <c r="K489">
        <v>457</v>
      </c>
      <c r="L489">
        <v>457</v>
      </c>
      <c r="M489">
        <v>457</v>
      </c>
      <c r="O489" s="61" t="s">
        <v>2209</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constants'!$H$3:$K$9989,4,FALSE)),""))</f>
        <v>DLC_GREYMOOR</v>
      </c>
      <c r="U489" s="3" t="str">
        <f>IF(T489&lt;&gt;"",VLOOKUP(T489,'LibSets constants'!$B$4:$C$1012,2,FALSE),"")</f>
        <v>Greymoor</v>
      </c>
      <c r="V489" s="33" t="s">
        <v>1550</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constants'!$A$5:$D$10001,4,FALSE),"")</f>
        <v>The Reach</v>
      </c>
      <c r="AB489" s="33" t="s">
        <v>1550</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8" t="s">
        <v>2653</v>
      </c>
      <c r="BA489" s="78"/>
      <c r="BB489" s="78"/>
      <c r="BC489" s="78"/>
      <c r="BD489" s="78" t="s">
        <v>3832</v>
      </c>
      <c r="BE489" s="21" t="str">
        <f t="shared" si="47"/>
        <v>[563] = {wayshrines={457,457,457,}, dlcId=DLC_GREYMOOR</v>
      </c>
      <c r="BF489" s="21" t="str">
        <f t="shared" si="48"/>
        <v>, zoneIds={1227,1207,1207}, veteran=true</v>
      </c>
      <c r="BG489" s="21" t="str">
        <f t="shared" si="49"/>
        <v>, setType=LIBSETS_SETTYPE_ARENA</v>
      </c>
      <c r="BH489" s="21" t="str">
        <f t="shared" si="50"/>
        <v>, dropMechanic={LIBSETS_DROP_MECHANIC_ARENA_STAGE_CHEST,LIBSETS_DROP_MECHANIC_ARENA_STAGE_CHEST}, isPerfectedSet=1</v>
      </c>
      <c r="BI489" s="21" t="str">
        <f t="shared" si="51"/>
        <v>}, --Perfected Executioner\'s Blade / Perfektionierte Klinge des Henkers   [Vateshran Hollows, The Reach, The Reach]</v>
      </c>
    </row>
    <row r="490" spans="1:61" x14ac:dyDescent="0.25">
      <c r="A490" s="5">
        <v>564</v>
      </c>
      <c r="B490" t="s">
        <v>2247</v>
      </c>
      <c r="C490" t="s">
        <v>2263</v>
      </c>
      <c r="D490" s="3">
        <f t="shared" si="46"/>
        <v>564</v>
      </c>
      <c r="E490" s="40"/>
      <c r="G490" s="8" t="s">
        <v>1468</v>
      </c>
      <c r="I490" t="s">
        <v>92</v>
      </c>
      <c r="J490" t="s">
        <v>91</v>
      </c>
      <c r="K490">
        <v>457</v>
      </c>
      <c r="L490">
        <v>457</v>
      </c>
      <c r="M490">
        <v>457</v>
      </c>
      <c r="O490" s="61" t="s">
        <v>2209</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constants'!$H$3:$K$9989,4,FALSE)),""))</f>
        <v>DLC_GREYMOOR</v>
      </c>
      <c r="U490" s="3" t="str">
        <f>IF(T490&lt;&gt;"",VLOOKUP(T490,'LibSets constants'!$B$4:$C$1012,2,FALSE),"")</f>
        <v>Greymoor</v>
      </c>
      <c r="V490" s="33" t="s">
        <v>1550</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constants'!$A$5:$D$10001,4,FALSE),"")</f>
        <v>The Reach</v>
      </c>
      <c r="AB490" s="33" t="s">
        <v>1550</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8" t="s">
        <v>2653</v>
      </c>
      <c r="BA490" s="78"/>
      <c r="BB490" s="78"/>
      <c r="BC490" s="78"/>
      <c r="BD490" s="78" t="s">
        <v>3832</v>
      </c>
      <c r="BE490" s="21" t="str">
        <f t="shared" si="47"/>
        <v>[564] = {wayshrines={457,457,457,}, dlcId=DLC_GREYMOOR</v>
      </c>
      <c r="BF490" s="21" t="str">
        <f t="shared" si="48"/>
        <v>, zoneIds={1227,1207,1207}, veteran=true</v>
      </c>
      <c r="BG490" s="21" t="str">
        <f t="shared" si="49"/>
        <v>, setType=LIBSETS_SETTYPE_ARENA</v>
      </c>
      <c r="BH490" s="21" t="str">
        <f t="shared" si="50"/>
        <v>, dropMechanic={LIBSETS_DROP_MECHANIC_ARENA_STAGE_CHEST,LIBSETS_DROP_MECHANIC_ARENA_STAGE_CHEST}, isPerfectedSet=1</v>
      </c>
      <c r="BI490" s="21" t="str">
        <f t="shared" si="51"/>
        <v>}, --Perfected Void Bash / Perfektionierte Leerenwucht   [Vateshran Hollows, The Reach, The Reach]</v>
      </c>
    </row>
    <row r="491" spans="1:61" x14ac:dyDescent="0.25">
      <c r="A491" s="5">
        <v>565</v>
      </c>
      <c r="B491" t="s">
        <v>2248</v>
      </c>
      <c r="C491" t="s">
        <v>2264</v>
      </c>
      <c r="D491" s="3">
        <f t="shared" si="46"/>
        <v>565</v>
      </c>
      <c r="E491" s="40"/>
      <c r="G491" s="8" t="s">
        <v>1468</v>
      </c>
      <c r="I491" t="s">
        <v>92</v>
      </c>
      <c r="J491" t="s">
        <v>91</v>
      </c>
      <c r="K491">
        <v>457</v>
      </c>
      <c r="L491">
        <v>457</v>
      </c>
      <c r="M491">
        <v>457</v>
      </c>
      <c r="O491" s="61" t="s">
        <v>2209</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constants'!$H$3:$K$9989,4,FALSE)),""))</f>
        <v>DLC_GREYMOOR</v>
      </c>
      <c r="U491" s="3" t="str">
        <f>IF(T491&lt;&gt;"",VLOOKUP(T491,'LibSets constants'!$B$4:$C$1012,2,FALSE),"")</f>
        <v>Greymoor</v>
      </c>
      <c r="V491" s="33" t="s">
        <v>1550</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constants'!$A$5:$D$10001,4,FALSE),"")</f>
        <v>The Reach</v>
      </c>
      <c r="AB491" s="33" t="s">
        <v>1550</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8" t="s">
        <v>2653</v>
      </c>
      <c r="BA491" s="78"/>
      <c r="BB491" s="78"/>
      <c r="BC491" s="78"/>
      <c r="BD491" s="78" t="s">
        <v>3832</v>
      </c>
      <c r="BE491" s="21" t="str">
        <f t="shared" si="47"/>
        <v>[565] = {wayshrines={457,457,457,}, dlcId=DLC_GREYMOOR</v>
      </c>
      <c r="BF491" s="21" t="str">
        <f t="shared" si="48"/>
        <v>, zoneIds={1227,1207,1207}, veteran=true</v>
      </c>
      <c r="BG491" s="21" t="str">
        <f t="shared" si="49"/>
        <v>, setType=LIBSETS_SETTYPE_ARENA</v>
      </c>
      <c r="BH491" s="21" t="str">
        <f t="shared" si="50"/>
        <v>, dropMechanic={LIBSETS_DROP_MECHANIC_ARENA_STAGE_CHEST,LIBSETS_DROP_MECHANIC_ARENA_STAGE_CHEST}, isPerfectedSet=1</v>
      </c>
      <c r="BI491" s="21" t="str">
        <f t="shared" si="51"/>
        <v>}, --Perfected Frenzied Momentum / Perfektioniertes tobendes Momentum   [Vateshran Hollows, The Reach, The Reach]</v>
      </c>
    </row>
    <row r="492" spans="1:61" x14ac:dyDescent="0.25">
      <c r="A492" s="5">
        <v>566</v>
      </c>
      <c r="B492" t="s">
        <v>2249</v>
      </c>
      <c r="C492" t="s">
        <v>2265</v>
      </c>
      <c r="D492" s="3">
        <f t="shared" si="46"/>
        <v>566</v>
      </c>
      <c r="E492" s="40"/>
      <c r="G492" s="8" t="s">
        <v>1468</v>
      </c>
      <c r="I492" t="s">
        <v>92</v>
      </c>
      <c r="J492" t="s">
        <v>91</v>
      </c>
      <c r="K492">
        <v>457</v>
      </c>
      <c r="L492">
        <v>457</v>
      </c>
      <c r="M492">
        <v>457</v>
      </c>
      <c r="O492" s="61" t="s">
        <v>2209</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constants'!$H$3:$K$9989,4,FALSE)),""))</f>
        <v>DLC_GREYMOOR</v>
      </c>
      <c r="U492" s="3" t="str">
        <f>IF(T492&lt;&gt;"",VLOOKUP(T492,'LibSets constants'!$B$4:$C$1012,2,FALSE),"")</f>
        <v>Greymoor</v>
      </c>
      <c r="V492" s="33" t="s">
        <v>1550</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constants'!$A$5:$D$10001,4,FALSE),"")</f>
        <v>The Reach</v>
      </c>
      <c r="AB492" s="33" t="s">
        <v>1550</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8" t="s">
        <v>2653</v>
      </c>
      <c r="BA492" s="78"/>
      <c r="BB492" s="78"/>
      <c r="BC492" s="78"/>
      <c r="BD492" s="78" t="s">
        <v>3832</v>
      </c>
      <c r="BE492" s="21" t="str">
        <f t="shared" si="47"/>
        <v>[566] = {wayshrines={457,457,457,}, dlcId=DLC_GREYMOOR</v>
      </c>
      <c r="BF492" s="21" t="str">
        <f t="shared" si="48"/>
        <v>, zoneIds={1227,1207,1207}, veteran=true</v>
      </c>
      <c r="BG492" s="21" t="str">
        <f t="shared" si="49"/>
        <v>, setType=LIBSETS_SETTYPE_ARENA</v>
      </c>
      <c r="BH492" s="21" t="str">
        <f t="shared" si="50"/>
        <v>, dropMechanic={LIBSETS_DROP_MECHANIC_ARENA_STAGE_CHEST,LIBSETS_DROP_MECHANIC_ARENA_STAGE_CHEST}, isPerfectedSet=1</v>
      </c>
      <c r="BI492" s="21" t="str">
        <f t="shared" si="51"/>
        <v>}, --Perfected Point-Blank Snipe / Perfektionierter Volltreffer   [Vateshran Hollows, The Reach, The Reach]</v>
      </c>
    </row>
    <row r="493" spans="1:61" x14ac:dyDescent="0.25">
      <c r="A493" s="5">
        <v>567</v>
      </c>
      <c r="B493" t="s">
        <v>2250</v>
      </c>
      <c r="C493" t="s">
        <v>2266</v>
      </c>
      <c r="D493" s="3">
        <f t="shared" si="46"/>
        <v>567</v>
      </c>
      <c r="E493" s="40"/>
      <c r="G493" s="8" t="s">
        <v>1468</v>
      </c>
      <c r="I493" t="s">
        <v>92</v>
      </c>
      <c r="J493" t="s">
        <v>91</v>
      </c>
      <c r="K493">
        <v>457</v>
      </c>
      <c r="L493">
        <v>457</v>
      </c>
      <c r="M493">
        <v>457</v>
      </c>
      <c r="O493" s="61" t="s">
        <v>2209</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constants'!$H$3:$K$9989,4,FALSE)),""))</f>
        <v>DLC_GREYMOOR</v>
      </c>
      <c r="U493" s="3" t="str">
        <f>IF(T493&lt;&gt;"",VLOOKUP(T493,'LibSets constants'!$B$4:$C$1012,2,FALSE),"")</f>
        <v>Greymoor</v>
      </c>
      <c r="V493" s="33" t="s">
        <v>1550</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constants'!$A$5:$D$10001,4,FALSE),"")</f>
        <v>The Reach</v>
      </c>
      <c r="AB493" s="33" t="s">
        <v>1550</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8" t="s">
        <v>2653</v>
      </c>
      <c r="BA493" s="78"/>
      <c r="BB493" s="78"/>
      <c r="BC493" s="78"/>
      <c r="BD493" s="78" t="s">
        <v>3832</v>
      </c>
      <c r="BE493" s="21" t="str">
        <f t="shared" si="47"/>
        <v>[567] = {wayshrines={457,457,457,}, dlcId=DLC_GREYMOOR</v>
      </c>
      <c r="BF493" s="21" t="str">
        <f t="shared" si="48"/>
        <v>, zoneIds={1227,1207,1207}, veteran=true</v>
      </c>
      <c r="BG493" s="21" t="str">
        <f t="shared" si="49"/>
        <v>, setType=LIBSETS_SETTYPE_ARENA</v>
      </c>
      <c r="BH493" s="21" t="str">
        <f t="shared" si="50"/>
        <v>, dropMechanic={LIBSETS_DROP_MECHANIC_ARENA_STAGE_CHEST,LIBSETS_DROP_MECHANIC_ARENA_STAGE_CHEST}, isPerfectedSet=1</v>
      </c>
      <c r="BI493" s="21" t="str">
        <f t="shared" si="51"/>
        <v>}, --Perfected Wrath of Elements / Perfektionierter Zorn der Elemente   [Vateshran Hollows, The Reach, The Reach]</v>
      </c>
    </row>
    <row r="494" spans="1:61" x14ac:dyDescent="0.25">
      <c r="A494" s="5">
        <v>568</v>
      </c>
      <c r="B494" t="s">
        <v>2251</v>
      </c>
      <c r="C494" t="s">
        <v>2267</v>
      </c>
      <c r="D494" s="3">
        <f t="shared" si="46"/>
        <v>568</v>
      </c>
      <c r="E494" s="40"/>
      <c r="G494" s="8" t="s">
        <v>1468</v>
      </c>
      <c r="I494" t="s">
        <v>92</v>
      </c>
      <c r="J494" t="s">
        <v>91</v>
      </c>
      <c r="K494">
        <v>457</v>
      </c>
      <c r="L494">
        <v>457</v>
      </c>
      <c r="M494">
        <v>457</v>
      </c>
      <c r="O494" s="61" t="s">
        <v>2209</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constants'!$H$3:$K$9989,4,FALSE)),""))</f>
        <v>DLC_GREYMOOR</v>
      </c>
      <c r="U494" s="3" t="str">
        <f>IF(T494&lt;&gt;"",VLOOKUP(T494,'LibSets constants'!$B$4:$C$1012,2,FALSE),"")</f>
        <v>Greymoor</v>
      </c>
      <c r="V494" s="33" t="s">
        <v>1550</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constants'!$A$5:$D$10001,4,FALSE),"")</f>
        <v>The Reach</v>
      </c>
      <c r="AB494" s="33" t="s">
        <v>1550</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8" t="s">
        <v>2653</v>
      </c>
      <c r="BA494" s="78"/>
      <c r="BB494" s="78"/>
      <c r="BC494" s="78"/>
      <c r="BD494" s="78" t="s">
        <v>3832</v>
      </c>
      <c r="BE494" s="21" t="str">
        <f t="shared" si="47"/>
        <v>[568] = {wayshrines={457,457,457,}, dlcId=DLC_GREYMOOR</v>
      </c>
      <c r="BF494" s="21" t="str">
        <f t="shared" si="48"/>
        <v>, zoneIds={1227,1207,1207}, veteran=true</v>
      </c>
      <c r="BG494" s="21" t="str">
        <f t="shared" si="49"/>
        <v>, setType=LIBSETS_SETTYPE_ARENA</v>
      </c>
      <c r="BH494" s="21" t="str">
        <f t="shared" si="50"/>
        <v>, dropMechanic={LIBSETS_DROP_MECHANIC_ARENA_STAGE_CHEST,LIBSETS_DROP_MECHANIC_ARENA_STAGE_CHEST}, isPerfectedSet=1</v>
      </c>
      <c r="BI494" s="21" t="str">
        <f t="shared" si="51"/>
        <v>}, --Perfected Force Overflow / Perfektionierter Machtüberschuss   [Vateshran Hollows, The Reach, The Reach]</v>
      </c>
    </row>
    <row r="495" spans="1:61" x14ac:dyDescent="0.25">
      <c r="A495" s="5">
        <v>569</v>
      </c>
      <c r="B495" t="s">
        <v>2403</v>
      </c>
      <c r="C495" t="s">
        <v>2388</v>
      </c>
      <c r="D495" s="3">
        <f t="shared" si="46"/>
        <v>569</v>
      </c>
      <c r="G495" s="3" t="s">
        <v>1473</v>
      </c>
      <c r="I495" t="s">
        <v>91</v>
      </c>
      <c r="J495" t="s">
        <v>91</v>
      </c>
      <c r="K495" s="36">
        <v>437</v>
      </c>
      <c r="L495" s="36">
        <v>437</v>
      </c>
      <c r="M495" s="36">
        <v>437</v>
      </c>
      <c r="O495" s="61" t="s">
        <v>2391</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constants'!$B$4:$C$1012,2,FALSE),"")</f>
        <v>Flames of Ambition</v>
      </c>
      <c r="V495" s="33" t="s">
        <v>3285</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8" t="s">
        <v>2653</v>
      </c>
      <c r="BA495" s="78"/>
      <c r="BB495" s="78"/>
      <c r="BC495" s="78"/>
      <c r="BD495" s="78"/>
      <c r="BE495" s="21" t="str">
        <f t="shared" si="47"/>
        <v>[569] = {wayshrines={437,437,437,}, dlcId=DLC_FLAMES_OF_AMBITION</v>
      </c>
      <c r="BF495" s="21" t="str">
        <f t="shared" si="48"/>
        <v>, zoneIds={1228,823,823}, veteran=false</v>
      </c>
      <c r="BG495" s="21" t="str">
        <f t="shared" si="49"/>
        <v>, setType=LIBSETS_SETTYPE_DUNGEON</v>
      </c>
      <c r="BH495" s="21" t="str">
        <f t="shared" si="50"/>
        <v>, dropMechanic={LIBSETS_DROP_MECHANIC_GROUP_DUNGEON_BOSS}</v>
      </c>
      <c r="BI495" s="21" t="str">
        <f t="shared" si="51"/>
        <v>}, --True-Sworn Fury  / Wahrgeschworenen-Raserei   [Black Drake Villa, Gold Coast, Gold Coast]</v>
      </c>
    </row>
    <row r="496" spans="1:61" x14ac:dyDescent="0.25">
      <c r="A496" s="5">
        <v>570</v>
      </c>
      <c r="B496" t="s">
        <v>2404</v>
      </c>
      <c r="C496" t="s">
        <v>2750</v>
      </c>
      <c r="D496" s="3">
        <f t="shared" si="46"/>
        <v>570</v>
      </c>
      <c r="G496" s="3" t="s">
        <v>1473</v>
      </c>
      <c r="I496" t="s">
        <v>91</v>
      </c>
      <c r="J496" t="s">
        <v>91</v>
      </c>
      <c r="K496" s="36">
        <v>437</v>
      </c>
      <c r="L496" s="36">
        <v>437</v>
      </c>
      <c r="M496" s="36">
        <v>437</v>
      </c>
      <c r="O496" s="61" t="s">
        <v>2391</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constants'!$B$4:$C$1012,2,FALSE),"")</f>
        <v>Flames of Ambition</v>
      </c>
      <c r="V496" s="33" t="s">
        <v>3285</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8" t="s">
        <v>2653</v>
      </c>
      <c r="BA496" s="78"/>
      <c r="BB496" s="78"/>
      <c r="BC496" s="78"/>
      <c r="BD496" s="78"/>
      <c r="BE496" s="21" t="str">
        <f t="shared" si="47"/>
        <v>[570] = {wayshrines={437,437,437,}, dlcId=DLC_FLAMES_OF_AMBITION</v>
      </c>
      <c r="BF496" s="21" t="str">
        <f t="shared" si="48"/>
        <v>, zoneIds={1228,823,823}, veteran=false</v>
      </c>
      <c r="BG496" s="21" t="str">
        <f t="shared" si="49"/>
        <v>, setType=LIBSETS_SETTYPE_DUNGEON</v>
      </c>
      <c r="BH496" s="21" t="str">
        <f t="shared" si="50"/>
        <v>, dropMechanic={LIBSETS_DROP_MECHANIC_GROUP_DUNGEON_BOSS}</v>
      </c>
      <c r="BI496" s="21" t="str">
        <f t="shared" si="51"/>
        <v>}, --Kinras\'s Wrath / Kinra's Zorn   [Black Drake Villa, Gold Coast, Gold Coast]</v>
      </c>
    </row>
    <row r="497" spans="1:61" x14ac:dyDescent="0.25">
      <c r="A497" s="5">
        <v>571</v>
      </c>
      <c r="B497" t="s">
        <v>2405</v>
      </c>
      <c r="C497" t="s">
        <v>2749</v>
      </c>
      <c r="D497" s="3">
        <f t="shared" si="46"/>
        <v>571</v>
      </c>
      <c r="E497" s="40"/>
      <c r="G497" s="3" t="s">
        <v>1473</v>
      </c>
      <c r="I497" t="s">
        <v>91</v>
      </c>
      <c r="J497" t="s">
        <v>91</v>
      </c>
      <c r="K497" s="36">
        <v>437</v>
      </c>
      <c r="L497" s="36">
        <v>437</v>
      </c>
      <c r="M497" s="36">
        <v>437</v>
      </c>
      <c r="O497" s="61" t="s">
        <v>2391</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constants'!$B$4:$C$1012,2,FALSE),"")</f>
        <v>Flames of Ambition</v>
      </c>
      <c r="V497" s="33" t="s">
        <v>3285</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8" t="s">
        <v>2653</v>
      </c>
      <c r="BA497" s="78"/>
      <c r="BB497" s="78"/>
      <c r="BC497" s="78"/>
      <c r="BD497" s="78"/>
      <c r="BE497" s="21" t="str">
        <f t="shared" si="47"/>
        <v>[571] = {wayshrines={437,437,437,}, dlcId=DLC_FLAMES_OF_AMBITION</v>
      </c>
      <c r="BF497" s="21" t="str">
        <f t="shared" si="48"/>
        <v>, zoneIds={1228,823,823}, veteran=false</v>
      </c>
      <c r="BG497" s="21" t="str">
        <f t="shared" si="49"/>
        <v>, setType=LIBSETS_SETTYPE_DUNGEON</v>
      </c>
      <c r="BH497" s="21" t="str">
        <f t="shared" si="50"/>
        <v>, dropMechanic={LIBSETS_DROP_MECHANIC_GROUP_DUNGEON_BOSS}</v>
      </c>
      <c r="BI497" s="21" t="str">
        <f t="shared" si="51"/>
        <v>}, --Drake\'s Rush / Dracheneile   [Black Drake Villa, Gold Coast, Gold Coast]</v>
      </c>
    </row>
    <row r="498" spans="1:61" x14ac:dyDescent="0.25">
      <c r="A498" s="5">
        <v>572</v>
      </c>
      <c r="B498" t="s">
        <v>2406</v>
      </c>
      <c r="C498" t="s">
        <v>2389</v>
      </c>
      <c r="D498" s="3">
        <f t="shared" si="46"/>
        <v>572</v>
      </c>
      <c r="G498" s="3" t="s">
        <v>1473</v>
      </c>
      <c r="I498" t="s">
        <v>91</v>
      </c>
      <c r="J498" t="s">
        <v>91</v>
      </c>
      <c r="K498" s="36">
        <v>454</v>
      </c>
      <c r="L498" s="36">
        <v>454</v>
      </c>
      <c r="M498" s="36">
        <v>454</v>
      </c>
      <c r="O498" s="61" t="s">
        <v>2392</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constants'!$B$4:$C$1012,2,FALSE),"")</f>
        <v>Blackwood</v>
      </c>
      <c r="V498" s="33" t="s">
        <v>3285</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8" t="s">
        <v>2653</v>
      </c>
      <c r="BA498" s="78"/>
      <c r="BB498" s="78"/>
      <c r="BC498" s="78"/>
      <c r="BD498" s="78"/>
      <c r="BE498" s="21" t="str">
        <f t="shared" si="47"/>
        <v>[572] = {wayshrines={454,454,454,}, dlcId=DLC_BLACKWOOD</v>
      </c>
      <c r="BF498" s="21" t="str">
        <f t="shared" si="48"/>
        <v>, zoneIds={1229,57,57}, veteran=false</v>
      </c>
      <c r="BG498" s="21" t="str">
        <f t="shared" si="49"/>
        <v>, setType=LIBSETS_SETTYPE_DUNGEON</v>
      </c>
      <c r="BH498" s="21" t="str">
        <f t="shared" si="50"/>
        <v>, dropMechanic={LIBSETS_DROP_MECHANIC_GROUP_DUNGEON_BOSS}</v>
      </c>
      <c r="BI498" s="21" t="str">
        <f t="shared" si="51"/>
        <v>}, --Unleashed Ritualist / Entfesselter Ritualist   [The Cauldron, Deshaan, Deshaan]</v>
      </c>
    </row>
    <row r="499" spans="1:61" x14ac:dyDescent="0.25">
      <c r="A499" s="5">
        <v>573</v>
      </c>
      <c r="B499" t="s">
        <v>2407</v>
      </c>
      <c r="C499" t="s">
        <v>2745</v>
      </c>
      <c r="D499" s="3">
        <f t="shared" si="46"/>
        <v>573</v>
      </c>
      <c r="G499" s="3" t="s">
        <v>1473</v>
      </c>
      <c r="I499" t="s">
        <v>91</v>
      </c>
      <c r="J499" t="s">
        <v>91</v>
      </c>
      <c r="K499" s="36">
        <v>454</v>
      </c>
      <c r="L499" s="36">
        <v>454</v>
      </c>
      <c r="M499" s="36">
        <v>454</v>
      </c>
      <c r="O499" s="61" t="s">
        <v>2392</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constants'!$B$4:$C$1012,2,FALSE),"")</f>
        <v>Blackwood</v>
      </c>
      <c r="V499" s="33" t="s">
        <v>3285</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8" t="s">
        <v>2654</v>
      </c>
      <c r="BA499" s="78"/>
      <c r="BB499" s="78"/>
      <c r="BC499" s="78"/>
      <c r="BD499" s="78"/>
      <c r="BE499" s="21" t="str">
        <f t="shared" si="47"/>
        <v>[573] = {wayshrines={454,454,454,}, dlcId=DLC_BLACKWOOD</v>
      </c>
      <c r="BF499" s="21" t="str">
        <f t="shared" si="48"/>
        <v>, zoneIds={1229,57,57}, veteran=false</v>
      </c>
      <c r="BG499" s="21" t="str">
        <f t="shared" si="49"/>
        <v>, setType=LIBSETS_SETTYPE_DUNGEON</v>
      </c>
      <c r="BH499" s="21" t="str">
        <f t="shared" si="50"/>
        <v>, isProcSetAllowedInPvP=1, dropMechanic={LIBSETS_DROP_MECHANIC_GROUP_DUNGEON_BOSS}</v>
      </c>
      <c r="BI499" s="21" t="str">
        <f t="shared" si="51"/>
        <v>}, --Dagon\'s Dominion / Dagons Herrschaft   [The Cauldron, Deshaan, Deshaan]</v>
      </c>
    </row>
    <row r="500" spans="1:61" x14ac:dyDescent="0.25">
      <c r="A500" s="5">
        <v>574</v>
      </c>
      <c r="B500" t="s">
        <v>2408</v>
      </c>
      <c r="C500" t="s">
        <v>2746</v>
      </c>
      <c r="D500" s="3">
        <f t="shared" si="46"/>
        <v>574</v>
      </c>
      <c r="G500" s="3" t="s">
        <v>1473</v>
      </c>
      <c r="I500" t="s">
        <v>91</v>
      </c>
      <c r="J500" t="s">
        <v>91</v>
      </c>
      <c r="K500" s="36">
        <v>454</v>
      </c>
      <c r="L500" s="36">
        <v>454</v>
      </c>
      <c r="M500" s="36">
        <v>454</v>
      </c>
      <c r="O500" s="61" t="s">
        <v>2392</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constants'!$B$4:$C$1012,2,FALSE),"")</f>
        <v>Blackwood</v>
      </c>
      <c r="V500" s="33" t="s">
        <v>3285</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8" t="s">
        <v>2653</v>
      </c>
      <c r="BA500" s="78"/>
      <c r="BB500" s="78"/>
      <c r="BC500" s="78"/>
      <c r="BD500" s="78"/>
      <c r="BE500" s="21" t="str">
        <f t="shared" si="47"/>
        <v>[574] = {wayshrines={454,454,454,}, dlcId=DLC_BLACKWOOD</v>
      </c>
      <c r="BF500" s="21" t="str">
        <f t="shared" si="48"/>
        <v>, zoneIds={1229,57,57}, veteran=false</v>
      </c>
      <c r="BG500" s="21" t="str">
        <f t="shared" si="49"/>
        <v>, setType=LIBSETS_SETTYPE_DUNGEON</v>
      </c>
      <c r="BH500" s="21" t="str">
        <f t="shared" si="50"/>
        <v>, dropMechanic={LIBSETS_DROP_MECHANIC_GROUP_DUNGEON_BOSS}</v>
      </c>
      <c r="BI500" s="21" t="str">
        <f t="shared" si="51"/>
        <v>}, --Foolkiller\'s Ward / Schutz des Narrentöters   [The Cauldron, Deshaan, Deshaan]</v>
      </c>
    </row>
    <row r="501" spans="1:61" x14ac:dyDescent="0.25">
      <c r="A501" s="5">
        <v>575</v>
      </c>
      <c r="B501" t="s">
        <v>2244</v>
      </c>
      <c r="C501" t="s">
        <v>2226</v>
      </c>
      <c r="D501" s="3">
        <f t="shared" si="46"/>
        <v>575</v>
      </c>
      <c r="G501" s="3" t="s">
        <v>1678</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WayshrineInfo'!$K$3:$N$9972,4,FALSE),"")))</f>
        <v>Wrothgar</v>
      </c>
      <c r="S501" s="61" t="s">
        <v>2162</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constants'!$B$4:$C$1012,2,FALSE),"")</f>
        <v>Markarth</v>
      </c>
      <c r="V501" s="33" t="s">
        <v>1555</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constants'!$A$5:$D$10001,4,FALSE),"")</f>
        <v>Alik'r Desert</v>
      </c>
      <c r="AB501" s="33" t="s">
        <v>1554</v>
      </c>
      <c r="AC501" s="41" t="s">
        <v>227</v>
      </c>
      <c r="AD501" s="41" t="s">
        <v>3235</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constants'!$A$5:$D$10001,4,FALSE),"")</f>
        <v>Bad Man's Hallows</v>
      </c>
      <c r="AH501" s="42" t="s">
        <v>1556</v>
      </c>
      <c r="AI501" s="41"/>
      <c r="AJ501" s="41"/>
      <c r="AK501" s="3">
        <f>IF(AND(G501&lt;&gt;"LIBSETS_SETTYPE_BATTLEGROUND",G501&lt;&gt;"LIBSETS_SETTYPE_SPECIAL"),IF(AL501&lt;&gt;"",VLOOKUP(AL501,'ESO zone constants'!$D$5:$H$4955,5,FALSE),""),"")</f>
        <v>1224</v>
      </c>
      <c r="AL501" t="s">
        <v>2218</v>
      </c>
      <c r="AM501" s="33" t="s">
        <v>3223</v>
      </c>
      <c r="AN501" s="41" t="s">
        <v>3865</v>
      </c>
      <c r="AO501" s="41" t="s">
        <v>3866</v>
      </c>
      <c r="AP501" s="3">
        <f>IF(AND(G501&lt;&gt;"LIBSETS_SETTYPE_BATTLEGROUND",G501&lt;&gt;"LIBSETS_SETTYPE_SPECIAL"),IF(AQ501&lt;&gt;"",VLOOKUP(AQ501,'ESO zone constants'!$D$5:$H$4955,5,FALSE),""),"")</f>
        <v>92</v>
      </c>
      <c r="AQ501" t="s">
        <v>109</v>
      </c>
      <c r="AR501" s="33" t="s">
        <v>1557</v>
      </c>
      <c r="AS501" s="41"/>
      <c r="AT501" s="41"/>
      <c r="AU501" s="3" t="str">
        <f>IF(AND(G501&lt;&gt;"LIBSETS_SETTYPE_BATTLEGROUND",G501&lt;&gt;"LIBSETS_SETTYPE_SPECIAL"),IF(AV501&lt;&gt;"",VLOOKUP(AV501,'ESO zone constants'!$D$5:$H$4955,5,FALSE),""),"")</f>
        <v/>
      </c>
      <c r="AV501" s="87"/>
      <c r="AX501" s="41"/>
      <c r="AY501" s="41"/>
      <c r="AZ501" s="78" t="s">
        <v>2653</v>
      </c>
      <c r="BA501" s="36" t="s">
        <v>3180</v>
      </c>
      <c r="BB501" s="36" t="s">
        <v>3180</v>
      </c>
      <c r="BC501" s="36"/>
      <c r="BD501" s="36"/>
      <c r="BE501" s="21" t="str">
        <f t="shared" si="47"/>
        <v>[575] = {wayshrines={240,137,62,}, dlcId=DLC_MARKARTH</v>
      </c>
      <c r="BF501" s="21" t="str">
        <f t="shared" si="48"/>
        <v>, zoneIds={684,104,284,1224,92}, veteran=false</v>
      </c>
      <c r="BG501" s="21" t="str">
        <f t="shared" si="49"/>
        <v>, setType=LIBSETS_SETTYPE_MYTHIC</v>
      </c>
      <c r="BH501" s="21" t="str">
        <f t="shared" si="50"/>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 t="shared" si="51"/>
        <v>, addTooltip={['en']='https://en.uesp.net/wiki/Online:Ring_of_the_Pale_Order',},}, --Ring of the Pale Order / Ring des Fahlen Ordens   [Wrothgar, Alik'r Desert, Bad Man's Hallows, Nighthollow Keep, Bangkorai]</v>
      </c>
    </row>
    <row r="502" spans="1:61" x14ac:dyDescent="0.25">
      <c r="A502" s="5">
        <v>576</v>
      </c>
      <c r="B502" t="s">
        <v>2245</v>
      </c>
      <c r="C502" t="s">
        <v>2268</v>
      </c>
      <c r="D502" s="3">
        <f t="shared" si="46"/>
        <v>576</v>
      </c>
      <c r="G502" s="3" t="s">
        <v>1678</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WayshrineInfo'!$K$3:$N$9972,4,FALSE),"")))</f>
        <v>Auridon</v>
      </c>
      <c r="S502" s="61" t="s">
        <v>2162</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constants'!$B$4:$C$1012,2,FALSE),"")</f>
        <v>Markarth</v>
      </c>
      <c r="V502" s="33" t="s">
        <v>1554</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constants'!$A$5:$D$10001,4,FALSE),"")</f>
        <v>Root Sunder Ruins</v>
      </c>
      <c r="AB502" s="33" t="s">
        <v>1556</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constants'!$A$5:$D$10001,4,FALSE),"")</f>
        <v>The Reach</v>
      </c>
      <c r="AH502" s="42" t="s">
        <v>3223</v>
      </c>
      <c r="AI502" s="41" t="s">
        <v>3232</v>
      </c>
      <c r="AJ502" s="41" t="s">
        <v>3233</v>
      </c>
      <c r="AK502" s="3">
        <f>IF(AND(G502&lt;&gt;"LIBSETS_SETTYPE_BATTLEGROUND",G502&lt;&gt;"LIBSETS_SETTYPE_SPECIAL"),IF(AL502&lt;&gt;"",VLOOKUP(AL502,'ESO zone constants'!$D$5:$H$4955,5,FALSE),""),"")</f>
        <v>380</v>
      </c>
      <c r="AL502" t="s">
        <v>96</v>
      </c>
      <c r="AM502" s="33" t="s">
        <v>3285</v>
      </c>
      <c r="AN502" s="41" t="s">
        <v>3234</v>
      </c>
      <c r="AO502" s="41" t="s">
        <v>1614</v>
      </c>
      <c r="AP502" s="3">
        <f>IF(AND(G502&lt;&gt;"LIBSETS_SETTYPE_BATTLEGROUND",G502&lt;&gt;"LIBSETS_SETTYPE_SPECIAL"),IF(AQ502&lt;&gt;"",VLOOKUP(AQ502,'ESO zone constants'!$D$5:$H$4955,5,FALSE),""),"")</f>
        <v>932</v>
      </c>
      <c r="AQ502" t="s">
        <v>55</v>
      </c>
      <c r="AR502" s="33" t="s">
        <v>3285</v>
      </c>
      <c r="AS502" s="41" t="s">
        <v>1553</v>
      </c>
      <c r="AT502" s="41" t="s">
        <v>1553</v>
      </c>
      <c r="AU502" s="3" t="str">
        <f>IF(AND(G502&lt;&gt;"LIBSETS_SETTYPE_BATTLEGROUND",G502&lt;&gt;"LIBSETS_SETTYPE_SPECIAL"),IF(AV502&lt;&gt;"",VLOOKUP(AV502,'ESO zone constants'!$D$5:$H$4955,5,FALSE),""),"")</f>
        <v/>
      </c>
      <c r="AX502" s="41"/>
      <c r="AY502" s="41"/>
      <c r="AZ502" s="78" t="s">
        <v>2653</v>
      </c>
      <c r="BA502" s="36" t="s">
        <v>3179</v>
      </c>
      <c r="BB502" s="36" t="s">
        <v>3179</v>
      </c>
      <c r="BC502" s="36"/>
      <c r="BD502" s="36"/>
      <c r="BE502" s="21" t="str">
        <f t="shared" si="47"/>
        <v>[576] = {wayshrines={176,169,449,}, dlcId=DLC_MARKARTH</v>
      </c>
      <c r="BF502" s="21" t="str">
        <f t="shared" si="48"/>
        <v>, zoneIds={381,124,1207,380,932}, veteran=false</v>
      </c>
      <c r="BG502" s="21" t="str">
        <f t="shared" si="49"/>
        <v>, setType=LIBSETS_SETTYPE_MYTHIC</v>
      </c>
      <c r="BH502" s="21" t="str">
        <f t="shared" si="50"/>
        <v>, dropMechanic={LIBSETS_DROP_MECHANIC_OVERLAND_BOSS_DELVE,LIBSETS_DROP_MECHANIC_OVERLAND_BOSS_PUBLIC_DUNGEON,LIBSETS_DROP_MECHANIC_OVERLAND_LOOT,LIBSETS_DROP_MECHANIC_GROUP_DUNGEON_BOSS,LIBSETS_DROP_MECHANIC_GROUP_DUNGEON_BOSS}, dropMechanicDropLocationNames={['en']={'','','Safeboxes','High Kinlord Rillis','Nerien\'eth','',},['de']={'','','Wertkasetten','Hochwärter Dämmer','Nerien\'eth','',},}</v>
      </c>
      <c r="BI502" s="21" t="str">
        <f t="shared" si="51"/>
        <v>, addTooltip={['en']='https://en.uesp.net/wiki/Online:Pearls_of_Ehlnofey',},}, --Pearls of Ehlnofey / Perlen der Ehlnofey   [Auridon, Root Sunder Ruins, The Reach, The Banished Cells I, Crypt of Hearts II]</v>
      </c>
    </row>
    <row r="503" spans="1:61" x14ac:dyDescent="0.25">
      <c r="A503" s="5">
        <v>577</v>
      </c>
      <c r="B503" t="s">
        <v>2411</v>
      </c>
      <c r="C503" t="s">
        <v>2412</v>
      </c>
      <c r="D503" s="3">
        <f t="shared" si="46"/>
        <v>577</v>
      </c>
      <c r="E503" s="40"/>
      <c r="G503" s="3" t="s">
        <v>1475</v>
      </c>
      <c r="H503" s="86">
        <v>3</v>
      </c>
      <c r="I503" t="s">
        <v>1462</v>
      </c>
      <c r="J503" t="s">
        <v>91</v>
      </c>
      <c r="K503" s="36">
        <v>437</v>
      </c>
      <c r="L503" s="36">
        <v>437</v>
      </c>
      <c r="M503" s="36">
        <v>437</v>
      </c>
      <c r="O503" s="61" t="s">
        <v>2391</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constants'!$B$4:$C$1012,2,FALSE),"")</f>
        <v>Flames of Ambition</v>
      </c>
      <c r="V503" s="33" t="s">
        <v>1538</v>
      </c>
      <c r="W503" s="3" t="s">
        <v>2411</v>
      </c>
      <c r="X503" s="3" t="s">
        <v>2411</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constants'!$A$5:$D$10001,4,FALSE),"")</f>
        <v>Gold Coast</v>
      </c>
      <c r="AC503" s="41" t="str">
        <f>IF(AB503&lt;&gt;"",IF(AB503&lt;&gt;"LIBSETS_DROP_MECHANIC_MONSTER_NAME",VLOOKUP(AB503,'LibSets constants'!$I$4:$L$1012,3,FALSE),""),"")</f>
        <v/>
      </c>
      <c r="AD503" s="41" t="str">
        <f>IF(AB503&lt;&gt;"",IF(AB503&lt;&gt;"LIBSETS_DROP_MECHANIC_MONSTER_NAME",VLOOKUP(AB503,'LibSets constants'!$I$4:$L$1012,4,FALSE),""),"")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8" t="s">
        <v>2653</v>
      </c>
      <c r="BA503" s="78"/>
      <c r="BB503" s="78"/>
      <c r="BC503" s="78"/>
      <c r="BD503" s="78"/>
      <c r="BE503" s="21" t="str">
        <f t="shared" si="47"/>
        <v>[577] = {wayshrines={437,437,437,}, dlcId=DLC_FLAMES_OF_AMBITION</v>
      </c>
      <c r="BF503" s="21" t="str">
        <f t="shared" si="48"/>
        <v>, zoneIds={1228,823,823}, veteran={[EQUIP_TYPE_HEAD]=true, [EQUIP_TYPE_SHOULDERS]=false}</v>
      </c>
      <c r="BG503" s="21" t="str">
        <f t="shared" si="49"/>
        <v>, setType=LIBSETS_SETTYPE_MONSTER, undauntedChestId=3</v>
      </c>
      <c r="BH503" s="21" t="str">
        <f t="shared" si="50"/>
        <v>, dropMechanic={LIBSETS_DROP_MECHANIC_MONSTER_NAME}, dropMechanicDropLocationNames={['en']={'Encrati\'s Behemoth','','','','','',},['de']={'Encrati\'s Behemoth','','','','','',},}</v>
      </c>
      <c r="BI503" s="21" t="str">
        <f t="shared" si="51"/>
        <v>}, --Encrati\’s Behemoth / Encrati\'s Behemoth   [Black Drake Villa, Gold Coast, Gold Coast]</v>
      </c>
    </row>
    <row r="504" spans="1:61" x14ac:dyDescent="0.25">
      <c r="A504" s="5">
        <v>578</v>
      </c>
      <c r="B504" t="s">
        <v>2390</v>
      </c>
      <c r="C504" t="s">
        <v>2390</v>
      </c>
      <c r="D504" s="3">
        <f t="shared" si="46"/>
        <v>578</v>
      </c>
      <c r="E504" s="40"/>
      <c r="G504" s="3" t="s">
        <v>1475</v>
      </c>
      <c r="H504" s="86">
        <v>3</v>
      </c>
      <c r="I504" t="s">
        <v>1462</v>
      </c>
      <c r="J504" t="s">
        <v>91</v>
      </c>
      <c r="K504" s="36">
        <v>454</v>
      </c>
      <c r="L504" s="36">
        <v>454</v>
      </c>
      <c r="M504" s="36">
        <v>454</v>
      </c>
      <c r="O504" s="61" t="s">
        <v>2392</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constants'!$B$4:$C$1012,2,FALSE),"")</f>
        <v>Blackwood</v>
      </c>
      <c r="V504" s="33" t="s">
        <v>1538</v>
      </c>
      <c r="W504" s="3" t="s">
        <v>2390</v>
      </c>
      <c r="X504" s="3" t="s">
        <v>2390</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constants'!$A$5:$D$10001,4,FALSE),"")</f>
        <v>Deshaan</v>
      </c>
      <c r="AC504" s="41" t="str">
        <f>IF(AB504&lt;&gt;"",IF(AB504&lt;&gt;"LIBSETS_DROP_MECHANIC_MONSTER_NAME",VLOOKUP(AB504,'LibSets constants'!$I$4:$L$1012,3,FALSE),""),"")</f>
        <v/>
      </c>
      <c r="AD504" s="41" t="str">
        <f>IF(AB504&lt;&gt;"",IF(AB504&lt;&gt;"LIBSETS_DROP_MECHANIC_MONSTER_NAME",VLOOKUP(AB504,'LibSets constants'!$I$4:$L$1012,4,FALSE),""),"")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8" t="s">
        <v>2653</v>
      </c>
      <c r="BA504" s="78"/>
      <c r="BB504" s="78"/>
      <c r="BC504" s="78"/>
      <c r="BD504" s="78"/>
      <c r="BE504" s="21" t="str">
        <f t="shared" si="47"/>
        <v>[578] = {wayshrines={454,454,454,}, dlcId=DLC_BLACKWOOD</v>
      </c>
      <c r="BF504" s="21" t="str">
        <f t="shared" si="48"/>
        <v>, zoneIds={1229,57,57}, veteran={[EQUIP_TYPE_HEAD]=true, [EQUIP_TYPE_SHOULDERS]=false}</v>
      </c>
      <c r="BG504" s="21" t="str">
        <f t="shared" si="49"/>
        <v>, setType=LIBSETS_SETTYPE_MONSTER, undauntedChestId=3</v>
      </c>
      <c r="BH504" s="21" t="str">
        <f t="shared" si="50"/>
        <v>, dropMechanic={LIBSETS_DROP_MECHANIC_MONSTER_NAME}, dropMechanicDropLocationNames={['en']={'Baron Zaudrus','','','','','',},['de']={'Baron Zaudrus','','','','','',},}</v>
      </c>
      <c r="BI504" s="21" t="str">
        <f t="shared" si="51"/>
        <v>}, --Baron Zaudrus / Baron Zaudrus   [The Cauldron, Deshaan, Deshaan]</v>
      </c>
    </row>
    <row r="505" spans="1:61" x14ac:dyDescent="0.25">
      <c r="A505" s="5">
        <v>579</v>
      </c>
      <c r="B505" t="s">
        <v>2464</v>
      </c>
      <c r="C505" t="s">
        <v>2463</v>
      </c>
      <c r="D505" s="3">
        <f t="shared" si="46"/>
        <v>579</v>
      </c>
      <c r="G505" s="3" t="s">
        <v>1476</v>
      </c>
      <c r="I505" t="s">
        <v>91</v>
      </c>
      <c r="J505" t="s">
        <v>91</v>
      </c>
      <c r="K505" s="36">
        <v>458</v>
      </c>
      <c r="L505" s="36">
        <v>458</v>
      </c>
      <c r="M505" s="36">
        <v>458</v>
      </c>
      <c r="O505" s="61" t="s">
        <v>2385</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constants'!$H$3:$K$9989,4,FALSE)),""))</f>
        <v>DLC_BASE_GAME</v>
      </c>
      <c r="U505" s="3" t="str">
        <f>IF(T505&lt;&gt;"",VLOOKUP(T505,'LibSets constants'!$B$4:$C$1012,2,FALSE),"")</f>
        <v>Included in base game</v>
      </c>
      <c r="V505" s="33" t="s">
        <v>1554</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constants'!$A$5:$D$10001,4,FALSE),"")</f>
        <v>Blackwood</v>
      </c>
      <c r="AB505" s="33" t="s">
        <v>1554</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constants'!$A$5:$D$10001,4,FALSE),"")</f>
        <v>Blackwood</v>
      </c>
      <c r="AH505" s="42" t="s">
        <v>1556</v>
      </c>
      <c r="AI505" s="41"/>
      <c r="AJ505" s="41"/>
      <c r="AK505" s="3">
        <f>IF(AND(G505&lt;&gt;"LIBSETS_SETTYPE_BATTLEGROUND",G505&lt;&gt;"LIBSETS_SETTYPE_SPECIAL"),IF(AL505&lt;&gt;"",VLOOKUP(AL505,'ESO zone constants'!$D$5:$H$4955,5,FALSE),""),"")</f>
        <v>1261</v>
      </c>
      <c r="AL505" t="s">
        <v>2385</v>
      </c>
      <c r="AM505" s="33" t="s">
        <v>1557</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8" t="s">
        <v>2654</v>
      </c>
      <c r="BA505" s="78"/>
      <c r="BB505" s="78"/>
      <c r="BC505" s="78"/>
      <c r="BD505" s="78"/>
      <c r="BE505" s="21" t="str">
        <f t="shared" si="47"/>
        <v>[579] = {wayshrines={458,458,458,}, dlcId=DLC_BASE_GAME</v>
      </c>
      <c r="BF505" s="21" t="str">
        <f t="shared" si="48"/>
        <v>, zoneIds={1261,1261,1261,1261}, veteran=false</v>
      </c>
      <c r="BG505" s="21" t="str">
        <f t="shared" si="49"/>
        <v>, setType=LIBSETS_SETTYPE_OVERLAND</v>
      </c>
      <c r="BH505" s="21" t="str">
        <f t="shared" si="50"/>
        <v>, isProcSetAllowedInPvP=1, dropMechanic={LIBSETS_DROP_MECHANIC_OVERLAND_BOSS_DELVE,LIBSETS_DROP_MECHANIC_OVERLAND_BOSS_DELVE,LIBSETS_DROP_MECHANIC_OVERLAND_BOSS_PUBLIC_DUNGEON,LIBSETS_DROP_MECHANIC_OVERLAND_CHEST}</v>
      </c>
      <c r="BI505" s="21" t="str">
        <f t="shared" si="51"/>
        <v>}, --Frostbite / Frostbiss   [Blackwood, Blackwood, Blackwood, Blackwood]</v>
      </c>
    </row>
    <row r="506" spans="1:61" x14ac:dyDescent="0.25">
      <c r="A506" s="5">
        <v>580</v>
      </c>
      <c r="B506" t="s">
        <v>2460</v>
      </c>
      <c r="C506" t="s">
        <v>2461</v>
      </c>
      <c r="D506" s="3">
        <f t="shared" si="46"/>
        <v>580</v>
      </c>
      <c r="G506" s="3" t="s">
        <v>1476</v>
      </c>
      <c r="I506" t="s">
        <v>91</v>
      </c>
      <c r="J506" t="s">
        <v>91</v>
      </c>
      <c r="K506" s="36">
        <v>458</v>
      </c>
      <c r="L506" s="36">
        <v>458</v>
      </c>
      <c r="M506" s="36">
        <v>458</v>
      </c>
      <c r="O506" s="61" t="s">
        <v>2385</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constants'!$H$3:$K$9989,4,FALSE)),""))</f>
        <v>DLC_BASE_GAME</v>
      </c>
      <c r="U506" s="3" t="str">
        <f>IF(T506&lt;&gt;"",VLOOKUP(T506,'LibSets constants'!$B$4:$C$1012,2,FALSE),"")</f>
        <v>Included in base game</v>
      </c>
      <c r="V506" s="33" t="s">
        <v>1554</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constants'!$A$5:$D$10001,4,FALSE),"")</f>
        <v>Blackwood</v>
      </c>
      <c r="AB506" s="33" t="s">
        <v>1554</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constants'!$A$5:$D$10001,4,FALSE),"")</f>
        <v>Blackwood</v>
      </c>
      <c r="AH506" s="42" t="s">
        <v>1556</v>
      </c>
      <c r="AI506" s="41"/>
      <c r="AJ506" s="41"/>
      <c r="AK506" s="3">
        <f>IF(AND(G506&lt;&gt;"LIBSETS_SETTYPE_BATTLEGROUND",G506&lt;&gt;"LIBSETS_SETTYPE_SPECIAL"),IF(AL506&lt;&gt;"",VLOOKUP(AL506,'ESO zone constants'!$D$5:$H$4955,5,FALSE),""),"")</f>
        <v>1261</v>
      </c>
      <c r="AL506" t="s">
        <v>2385</v>
      </c>
      <c r="AM506" s="33" t="s">
        <v>1557</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8" t="s">
        <v>2653</v>
      </c>
      <c r="BA506" s="78"/>
      <c r="BB506" s="78"/>
      <c r="BC506" s="78"/>
      <c r="BD506" s="78"/>
      <c r="BE506" s="21" t="str">
        <f t="shared" si="47"/>
        <v>[580] = {wayshrines={458,458,458,}, dlcId=DLC_BASE_GAME</v>
      </c>
      <c r="BF506" s="21" t="str">
        <f t="shared" si="48"/>
        <v>, zoneIds={1261,1261,1261,1261}, veteran=false</v>
      </c>
      <c r="BG506" s="21" t="str">
        <f t="shared" si="49"/>
        <v>, setType=LIBSETS_SETTYPE_OVERLAND</v>
      </c>
      <c r="BH506" s="21" t="str">
        <f t="shared" si="50"/>
        <v>, dropMechanic={LIBSETS_DROP_MECHANIC_OVERLAND_BOSS_DELVE,LIBSETS_DROP_MECHANIC_OVERLAND_BOSS_DELVE,LIBSETS_DROP_MECHANIC_OVERLAND_BOSS_PUBLIC_DUNGEON,LIBSETS_DROP_MECHANIC_OVERLAND_CHEST}</v>
      </c>
      <c r="BI506" s="21" t="str">
        <f t="shared" si="51"/>
        <v>}, --Deadlands Assassin / Totenländer-Assassine   [Blackwood, Blackwood, Blackwood, Blackwood]</v>
      </c>
    </row>
    <row r="507" spans="1:61" x14ac:dyDescent="0.25">
      <c r="A507" s="5">
        <v>581</v>
      </c>
      <c r="B507" t="s">
        <v>2458</v>
      </c>
      <c r="C507" t="s">
        <v>2459</v>
      </c>
      <c r="D507" s="3">
        <f t="shared" si="46"/>
        <v>581</v>
      </c>
      <c r="E507" s="40"/>
      <c r="G507" s="3" t="s">
        <v>1476</v>
      </c>
      <c r="I507" t="s">
        <v>91</v>
      </c>
      <c r="J507" t="s">
        <v>91</v>
      </c>
      <c r="K507" s="36">
        <v>458</v>
      </c>
      <c r="L507" s="36">
        <v>458</v>
      </c>
      <c r="M507" s="36">
        <v>458</v>
      </c>
      <c r="O507" s="61" t="s">
        <v>2385</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constants'!$H$3:$K$9989,4,FALSE)),""))</f>
        <v>DLC_BASE_GAME</v>
      </c>
      <c r="U507" s="3" t="str">
        <f>IF(T507&lt;&gt;"",VLOOKUP(T507,'LibSets constants'!$B$4:$C$1012,2,FALSE),"")</f>
        <v>Included in base game</v>
      </c>
      <c r="V507" s="33" t="s">
        <v>1554</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constants'!$A$5:$D$10001,4,FALSE),"")</f>
        <v>Blackwood</v>
      </c>
      <c r="AB507" s="33" t="s">
        <v>1554</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constants'!$A$5:$D$10001,4,FALSE),"")</f>
        <v>Blackwood</v>
      </c>
      <c r="AH507" s="42" t="s">
        <v>1556</v>
      </c>
      <c r="AI507" s="41"/>
      <c r="AJ507" s="41"/>
      <c r="AK507" s="3">
        <f>IF(AND(G507&lt;&gt;"LIBSETS_SETTYPE_BATTLEGROUND",G507&lt;&gt;"LIBSETS_SETTYPE_SPECIAL"),IF(AL507&lt;&gt;"",VLOOKUP(AL507,'ESO zone constants'!$D$5:$H$4955,5,FALSE),""),"")</f>
        <v>1261</v>
      </c>
      <c r="AL507" t="s">
        <v>2385</v>
      </c>
      <c r="AM507" s="33" t="s">
        <v>1557</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8" t="s">
        <v>2653</v>
      </c>
      <c r="BA507" s="78"/>
      <c r="BB507" s="78"/>
      <c r="BC507" s="78"/>
      <c r="BD507" s="78"/>
      <c r="BE507" s="21" t="str">
        <f t="shared" si="47"/>
        <v>[581] = {wayshrines={458,458,458,}, dlcId=DLC_BASE_GAME</v>
      </c>
      <c r="BF507" s="21" t="str">
        <f t="shared" si="48"/>
        <v>, zoneIds={1261,1261,1261,1261}, veteran=false</v>
      </c>
      <c r="BG507" s="21" t="str">
        <f t="shared" si="49"/>
        <v>, setType=LIBSETS_SETTYPE_OVERLAND</v>
      </c>
      <c r="BH507" s="21" t="str">
        <f t="shared" si="50"/>
        <v>, dropMechanic={LIBSETS_DROP_MECHANIC_OVERLAND_BOSS_DELVE,LIBSETS_DROP_MECHANIC_OVERLAND_BOSS_DELVE,LIBSETS_DROP_MECHANIC_OVERLAND_BOSS_PUBLIC_DUNGEON,LIBSETS_DROP_MECHANIC_OVERLAND_CHEST}</v>
      </c>
      <c r="BI507" s="21" t="str">
        <f t="shared" si="51"/>
        <v>}, --Bog Raider / Moorräuber   [Blackwood, Blackwood, Blackwood, Blackwood]</v>
      </c>
    </row>
    <row r="508" spans="1:61" x14ac:dyDescent="0.25">
      <c r="A508" s="5">
        <v>582</v>
      </c>
      <c r="B508" t="s">
        <v>2457</v>
      </c>
      <c r="C508" t="s">
        <v>2454</v>
      </c>
      <c r="D508" s="3">
        <f t="shared" si="46"/>
        <v>582</v>
      </c>
      <c r="G508" s="3" t="s">
        <v>1470</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constants'!$H$3:$K$9989,4,FALSE)),""))</f>
        <v>DLC_BASE_GAME</v>
      </c>
      <c r="U508" s="3" t="str">
        <f>IF(T508&lt;&gt;"",VLOOKUP(T508,'LibSets constants'!$B$4:$C$1012,2,FALSE),"")</f>
        <v>Included in base game</v>
      </c>
      <c r="V508" s="33" t="s">
        <v>3288</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constants'!$A$5:$D$10001,4,FALSE),"")</f>
        <v>Blackwood</v>
      </c>
      <c r="AB508" s="33" t="s">
        <v>3288</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constants'!$A$5:$D$10001,4,FALSE),"")</f>
        <v>Blackwood</v>
      </c>
      <c r="AH508" s="33" t="s">
        <v>3288</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8" t="s">
        <v>2653</v>
      </c>
      <c r="BA508" s="78"/>
      <c r="BB508" s="78"/>
      <c r="BC508" s="78"/>
      <c r="BD508" s="78"/>
      <c r="BE508" s="21" t="str">
        <f t="shared" si="47"/>
        <v>[582] = {wayshrines={484,484,484,}, traitsNeeded=3, dlcId=DLC_BASE_GAME</v>
      </c>
      <c r="BF508" s="21" t="str">
        <f t="shared" si="48"/>
        <v>, zoneIds={1261,1261,1261}, veteran=false</v>
      </c>
      <c r="BG508" s="21" t="str">
        <f t="shared" si="49"/>
        <v>, setType=LIBSETS_SETTYPE_CRAFTED</v>
      </c>
      <c r="BH508" s="21" t="str">
        <f t="shared" si="50"/>
        <v>, dropMechanic={LIBSETS_DROP_MECHANIC_CRAFTED,LIBSETS_DROP_MECHANIC_CRAFTED,LIBSETS_DROP_MECHANIC_CRAFTED}</v>
      </c>
      <c r="BI508" s="21" t="str">
        <f t="shared" si="51"/>
        <v>}, --Hist Whisperer / Histflüsterer   [Blackwood, Blackwood, Blackwood]</v>
      </c>
    </row>
    <row r="509" spans="1:61" x14ac:dyDescent="0.25">
      <c r="A509" s="5">
        <v>583</v>
      </c>
      <c r="B509" t="s">
        <v>2456</v>
      </c>
      <c r="C509" t="s">
        <v>2455</v>
      </c>
      <c r="D509" s="3">
        <f t="shared" si="46"/>
        <v>583</v>
      </c>
      <c r="G509" s="3" t="s">
        <v>1470</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constants'!$H$3:$K$9989,4,FALSE)),""))</f>
        <v>DLC_BASE_GAME</v>
      </c>
      <c r="U509" s="3" t="str">
        <f>IF(T509&lt;&gt;"",VLOOKUP(T509,'LibSets constants'!$B$4:$C$1012,2,FALSE),"")</f>
        <v>Included in base game</v>
      </c>
      <c r="V509" s="33" t="s">
        <v>3288</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constants'!$A$5:$D$10001,4,FALSE),"")</f>
        <v>Blackwood</v>
      </c>
      <c r="AB509" s="33" t="s">
        <v>3288</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constants'!$A$5:$D$10001,4,FALSE),"")</f>
        <v>Blackwood</v>
      </c>
      <c r="AH509" s="33" t="s">
        <v>3288</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8" t="s">
        <v>2653</v>
      </c>
      <c r="BA509" s="78"/>
      <c r="BB509" s="78"/>
      <c r="BC509" s="78"/>
      <c r="BD509" s="78"/>
      <c r="BE509" s="21" t="str">
        <f t="shared" si="47"/>
        <v>[583] = {wayshrines={483,483,483,}, traitsNeeded=7, dlcId=DLC_BASE_GAME</v>
      </c>
      <c r="BF509" s="21" t="str">
        <f t="shared" si="48"/>
        <v>, zoneIds={1261,1261,1261}, veteran=false</v>
      </c>
      <c r="BG509" s="21" t="str">
        <f t="shared" si="49"/>
        <v>, setType=LIBSETS_SETTYPE_CRAFTED</v>
      </c>
      <c r="BH509" s="21" t="str">
        <f t="shared" si="50"/>
        <v>, dropMechanic={LIBSETS_DROP_MECHANIC_CRAFTED,LIBSETS_DROP_MECHANIC_CRAFTED,LIBSETS_DROP_MECHANIC_CRAFTED}</v>
      </c>
      <c r="BI509" s="21" t="str">
        <f t="shared" si="51"/>
        <v>}, --Heartland Conqueror / Herzlanderoberer   [Blackwood, Blackwood, Blackwood]</v>
      </c>
    </row>
    <row r="510" spans="1:61" x14ac:dyDescent="0.25">
      <c r="A510" s="5">
        <v>584</v>
      </c>
      <c r="B510" t="s">
        <v>2462</v>
      </c>
      <c r="C510" t="s">
        <v>2484</v>
      </c>
      <c r="D510" s="3">
        <f t="shared" si="46"/>
        <v>584</v>
      </c>
      <c r="G510" s="3" t="s">
        <v>1470</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constants'!$H$3:$K$9989,4,FALSE)),""))</f>
        <v>DLC_BASE_GAME</v>
      </c>
      <c r="U510" s="3" t="str">
        <f>IF(T510&lt;&gt;"",VLOOKUP(T510,'LibSets constants'!$B$4:$C$1012,2,FALSE),"")</f>
        <v>Included in base game</v>
      </c>
      <c r="V510" s="33" t="s">
        <v>3288</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constants'!$A$5:$D$10001,4,FALSE),"")</f>
        <v>Blackwood</v>
      </c>
      <c r="AB510" s="33" t="s">
        <v>3288</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constants'!$A$5:$D$10001,4,FALSE),"")</f>
        <v>Blackwood</v>
      </c>
      <c r="AH510" s="33" t="s">
        <v>3288</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8" t="s">
        <v>2653</v>
      </c>
      <c r="BA510" s="78"/>
      <c r="BB510" s="78"/>
      <c r="BC510" s="78"/>
      <c r="BD510" s="78"/>
      <c r="BE510" s="21" t="str">
        <f t="shared" si="47"/>
        <v>[584] = {wayshrines={461,461,461,}, traitsNeeded=5, dlcId=DLC_BASE_GAME</v>
      </c>
      <c r="BF510" s="21" t="str">
        <f t="shared" si="48"/>
        <v>, zoneIds={1261,1261,1261}, veteran=false</v>
      </c>
      <c r="BG510" s="21" t="str">
        <f t="shared" si="49"/>
        <v>, setType=LIBSETS_SETTYPE_CRAFTED</v>
      </c>
      <c r="BH510" s="21" t="str">
        <f t="shared" si="50"/>
        <v>, dropMechanic={LIBSETS_DROP_MECHANIC_CRAFTED,LIBSETS_DROP_MECHANIC_CRAFTED,LIBSETS_DROP_MECHANIC_CRAFTED}</v>
      </c>
      <c r="BI510" s="21" t="str">
        <f t="shared" si="51"/>
        <v>}, --Diamond\'s Victory / Sieg des Diamanten   [Blackwood, Blackwood, Blackwood]</v>
      </c>
    </row>
    <row r="511" spans="1:61" x14ac:dyDescent="0.25">
      <c r="A511" s="5">
        <v>585</v>
      </c>
      <c r="B511" t="s">
        <v>2473</v>
      </c>
      <c r="C511" t="s">
        <v>2474</v>
      </c>
      <c r="D511" s="3">
        <f t="shared" si="46"/>
        <v>585</v>
      </c>
      <c r="G511" s="3" t="s">
        <v>1477</v>
      </c>
      <c r="I511" t="s">
        <v>91</v>
      </c>
      <c r="J511" t="s">
        <v>91</v>
      </c>
      <c r="K511" s="36">
        <v>468</v>
      </c>
      <c r="L511" s="36">
        <v>468</v>
      </c>
      <c r="M511" s="36">
        <v>468</v>
      </c>
      <c r="O511" s="61" t="s">
        <v>2441</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constants'!$H$3:$K$9989,4,FALSE)),""))</f>
        <v>DLC_ELSWEYR</v>
      </c>
      <c r="U511" s="3" t="str">
        <f>IF(T511&lt;&gt;"",VLOOKUP(T511,'LibSets constants'!$B$4:$C$1012,2,FALSE),"")</f>
        <v>Elsweyr</v>
      </c>
      <c r="V511" s="33" t="s">
        <v>3266</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constants'!$A$5:$D$10001,4,FALSE),"")</f>
        <v>Rockgrove</v>
      </c>
      <c r="AB511" s="33" t="s">
        <v>3266</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constants'!$A$5:$D$10001,4,FALSE),"")</f>
        <v>Rockgrove</v>
      </c>
      <c r="AH511" s="33" t="s">
        <v>3266</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8" t="s">
        <v>2653</v>
      </c>
      <c r="BA511" s="78"/>
      <c r="BB511" s="78"/>
      <c r="BC511" s="78"/>
      <c r="BD511" s="78">
        <v>589</v>
      </c>
      <c r="BE511" s="21" t="str">
        <f t="shared" si="47"/>
        <v>[585] = {wayshrines={468,468,468,}, dlcId=DLC_ELSWEYR</v>
      </c>
      <c r="BF511" s="21" t="str">
        <f t="shared" si="48"/>
        <v>, zoneIds={1263,1263,1263}, veteran=false</v>
      </c>
      <c r="BG511" s="21" t="str">
        <f t="shared" si="49"/>
        <v>, setType=LIBSETS_SETTYPE_TRIAL</v>
      </c>
      <c r="BH511" s="21" t="str">
        <f t="shared" si="50"/>
        <v>, dropMechanic={LIBSETS_DROP_MECHANIC_TRIAL_BOSS,LIBSETS_DROP_MECHANIC_TRIAL_BOSS,LIBSETS_DROP_MECHANIC_TRIAL_BOSS}, perfectedSetId=589</v>
      </c>
      <c r="BI511" s="21" t="str">
        <f t="shared" si="51"/>
        <v>}, --Saxhleel Champion / Saxhleel-Champion   [Rockgrove, Rockgrove, Rockgrove]</v>
      </c>
    </row>
    <row r="512" spans="1:61" x14ac:dyDescent="0.25">
      <c r="A512" s="5">
        <v>586</v>
      </c>
      <c r="B512" t="s">
        <v>2475</v>
      </c>
      <c r="C512" t="s">
        <v>2485</v>
      </c>
      <c r="D512" s="3">
        <f t="shared" si="46"/>
        <v>586</v>
      </c>
      <c r="G512" s="3" t="s">
        <v>1477</v>
      </c>
      <c r="I512" t="s">
        <v>91</v>
      </c>
      <c r="J512" t="s">
        <v>91</v>
      </c>
      <c r="K512" s="36">
        <v>468</v>
      </c>
      <c r="L512" s="36">
        <v>468</v>
      </c>
      <c r="M512" s="36">
        <v>468</v>
      </c>
      <c r="O512" s="61" t="s">
        <v>2441</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constants'!$H$3:$K$9989,4,FALSE)),""))</f>
        <v>DLC_ELSWEYR</v>
      </c>
      <c r="U512" s="3" t="str">
        <f>IF(T512&lt;&gt;"",VLOOKUP(T512,'LibSets constants'!$B$4:$C$1012,2,FALSE),"")</f>
        <v>Elsweyr</v>
      </c>
      <c r="V512" s="33" t="s">
        <v>3266</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constants'!$A$5:$D$10001,4,FALSE),"")</f>
        <v>Rockgrove</v>
      </c>
      <c r="AB512" s="33" t="s">
        <v>3266</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constants'!$A$5:$D$10001,4,FALSE),"")</f>
        <v>Rockgrove</v>
      </c>
      <c r="AH512" s="33" t="s">
        <v>3266</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8" t="s">
        <v>2653</v>
      </c>
      <c r="BA512" s="78"/>
      <c r="BB512" s="78"/>
      <c r="BC512" s="78"/>
      <c r="BD512" s="78">
        <v>590</v>
      </c>
      <c r="BE512" s="21" t="str">
        <f t="shared" si="47"/>
        <v>[586] = {wayshrines={468,468,468,}, dlcId=DLC_ELSWEYR</v>
      </c>
      <c r="BF512" s="21" t="str">
        <f t="shared" si="48"/>
        <v>, zoneIds={1263,1263,1263}, veteran=false</v>
      </c>
      <c r="BG512" s="21" t="str">
        <f t="shared" si="49"/>
        <v>, setType=LIBSETS_SETTYPE_TRIAL</v>
      </c>
      <c r="BH512" s="21" t="str">
        <f t="shared" si="50"/>
        <v>, dropMechanic={LIBSETS_DROP_MECHANIC_TRIAL_BOSS,LIBSETS_DROP_MECHANIC_TRIAL_BOSS,LIBSETS_DROP_MECHANIC_TRIAL_BOSS}, perfectedSetId=590</v>
      </c>
      <c r="BI512" s="21" t="str">
        <f t="shared" si="51"/>
        <v>}, --Sul-Xan\'s Torment / Sul-Xans Folter   [Rockgrove, Rockgrove, Rockgrove]</v>
      </c>
    </row>
    <row r="513" spans="1:61" x14ac:dyDescent="0.25">
      <c r="A513" s="5">
        <v>587</v>
      </c>
      <c r="B513" t="s">
        <v>2472</v>
      </c>
      <c r="C513" t="s">
        <v>2486</v>
      </c>
      <c r="D513" s="3">
        <f t="shared" si="46"/>
        <v>587</v>
      </c>
      <c r="G513" s="3" t="s">
        <v>1477</v>
      </c>
      <c r="I513" t="s">
        <v>91</v>
      </c>
      <c r="J513" t="s">
        <v>91</v>
      </c>
      <c r="K513" s="36">
        <v>468</v>
      </c>
      <c r="L513" s="36">
        <v>468</v>
      </c>
      <c r="M513" s="36">
        <v>468</v>
      </c>
      <c r="O513" s="61" t="s">
        <v>2441</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constants'!$H$3:$K$9989,4,FALSE)),""))</f>
        <v>DLC_ELSWEYR</v>
      </c>
      <c r="U513" s="3" t="str">
        <f>IF(T513&lt;&gt;"",VLOOKUP(T513,'LibSets constants'!$B$4:$C$1012,2,FALSE),"")</f>
        <v>Elsweyr</v>
      </c>
      <c r="V513" s="33" t="s">
        <v>3266</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constants'!$A$5:$D$10001,4,FALSE),"")</f>
        <v>Rockgrove</v>
      </c>
      <c r="AB513" s="33" t="s">
        <v>3266</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constants'!$A$5:$D$10001,4,FALSE),"")</f>
        <v>Rockgrove</v>
      </c>
      <c r="AH513" s="33" t="s">
        <v>3266</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8" t="s">
        <v>2653</v>
      </c>
      <c r="BA513" s="78"/>
      <c r="BB513" s="78"/>
      <c r="BC513" s="78"/>
      <c r="BD513" s="78">
        <v>591</v>
      </c>
      <c r="BE513" s="21" t="str">
        <f t="shared" si="47"/>
        <v>[587] = {wayshrines={468,468,468,}, dlcId=DLC_ELSWEYR</v>
      </c>
      <c r="BF513" s="21" t="str">
        <f t="shared" si="48"/>
        <v>, zoneIds={1263,1263,1263}, veteran=false</v>
      </c>
      <c r="BG513" s="21" t="str">
        <f t="shared" si="49"/>
        <v>, setType=LIBSETS_SETTYPE_TRIAL</v>
      </c>
      <c r="BH513" s="21" t="str">
        <f t="shared" si="50"/>
        <v>, dropMechanic={LIBSETS_DROP_MECHANIC_TRIAL_BOSS,LIBSETS_DROP_MECHANIC_TRIAL_BOSS,LIBSETS_DROP_MECHANIC_TRIAL_BOSS}, perfectedSetId=591</v>
      </c>
      <c r="BI513" s="21" t="str">
        <f t="shared" si="51"/>
        <v>}, --Bahsei\'s Mania / Bahseis Manie   [Rockgrove, Rockgrove, Rockgrove]</v>
      </c>
    </row>
    <row r="514" spans="1:61" x14ac:dyDescent="0.25">
      <c r="A514" s="5">
        <v>588</v>
      </c>
      <c r="B514" t="s">
        <v>2468</v>
      </c>
      <c r="C514" t="s">
        <v>2487</v>
      </c>
      <c r="D514" s="3">
        <f t="shared" si="46"/>
        <v>588</v>
      </c>
      <c r="G514" s="3" t="s">
        <v>1477</v>
      </c>
      <c r="I514" t="s">
        <v>91</v>
      </c>
      <c r="J514" t="s">
        <v>91</v>
      </c>
      <c r="K514">
        <v>468</v>
      </c>
      <c r="L514">
        <v>468</v>
      </c>
      <c r="M514">
        <v>468</v>
      </c>
      <c r="O514" s="61" t="s">
        <v>2441</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constants'!$H$3:$K$9989,4,FALSE)),""))</f>
        <v>DLC_ELSWEYR</v>
      </c>
      <c r="U514" s="3" t="str">
        <f>IF(T514&lt;&gt;"",VLOOKUP(T514,'LibSets constants'!$B$4:$C$1012,2,FALSE),"")</f>
        <v>Elsweyr</v>
      </c>
      <c r="V514" s="33" t="s">
        <v>3266</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constants'!$A$5:$D$10001,4,FALSE),"")</f>
        <v>Rockgrove</v>
      </c>
      <c r="AB514" s="33" t="s">
        <v>3266</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constants'!$A$5:$D$10001,4,FALSE),"")</f>
        <v>Rockgrove</v>
      </c>
      <c r="AH514" s="33" t="s">
        <v>3266</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8" t="s">
        <v>2653</v>
      </c>
      <c r="BA514" s="78"/>
      <c r="BB514" s="78"/>
      <c r="BC514" s="78"/>
      <c r="BD514" s="78">
        <v>592</v>
      </c>
      <c r="BE514" s="21" t="str">
        <f t="shared" si="47"/>
        <v>[588] = {wayshrines={468,468,468,}, dlcId=DLC_ELSWEYR</v>
      </c>
      <c r="BF514" s="21" t="str">
        <f t="shared" si="48"/>
        <v>, zoneIds={1263,1263,1263}, veteran=false</v>
      </c>
      <c r="BG514" s="21" t="str">
        <f t="shared" si="49"/>
        <v>, setType=LIBSETS_SETTYPE_TRIAL</v>
      </c>
      <c r="BH514" s="21" t="str">
        <f t="shared" si="50"/>
        <v>, dropMechanic={LIBSETS_DROP_MECHANIC_TRIAL_BOSS,LIBSETS_DROP_MECHANIC_TRIAL_BOSS,LIBSETS_DROP_MECHANIC_TRIAL_BOSS}, perfectedSetId=592</v>
      </c>
      <c r="BI514" s="21" t="str">
        <f t="shared" si="51"/>
        <v>}, --Stone-Talker\'s Oath / Eid des Steinsprechers   [Rockgrove, Rockgrove, Rockgrove]</v>
      </c>
    </row>
    <row r="515" spans="1:61" x14ac:dyDescent="0.25">
      <c r="A515" s="5">
        <v>589</v>
      </c>
      <c r="B515" t="s">
        <v>2466</v>
      </c>
      <c r="C515" t="s">
        <v>2467</v>
      </c>
      <c r="D515" s="3">
        <f t="shared" ref="D515:D578" si="52">A515</f>
        <v>589</v>
      </c>
      <c r="G515" s="3" t="s">
        <v>1477</v>
      </c>
      <c r="I515" t="s">
        <v>92</v>
      </c>
      <c r="J515" t="s">
        <v>91</v>
      </c>
      <c r="K515" s="36">
        <v>468</v>
      </c>
      <c r="L515" s="36">
        <v>468</v>
      </c>
      <c r="M515" s="36">
        <v>468</v>
      </c>
      <c r="O515" s="61" t="s">
        <v>2441</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constants'!$H$3:$K$9989,4,FALSE)),""))</f>
        <v>DLC_ELSWEYR</v>
      </c>
      <c r="U515" s="3" t="str">
        <f>IF(T515&lt;&gt;"",VLOOKUP(T515,'LibSets constants'!$B$4:$C$1012,2,FALSE),"")</f>
        <v>Elsweyr</v>
      </c>
      <c r="V515" s="33" t="s">
        <v>3266</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constants'!$A$5:$D$10001,4,FALSE),"")</f>
        <v>Rockgrove</v>
      </c>
      <c r="AB515" s="33" t="s">
        <v>3266</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constants'!$A$5:$D$10001,4,FALSE),"")</f>
        <v>Rockgrove</v>
      </c>
      <c r="AH515" s="33" t="s">
        <v>3266</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8" t="s">
        <v>2653</v>
      </c>
      <c r="BA515" s="78"/>
      <c r="BB515" s="78"/>
      <c r="BC515" s="78"/>
      <c r="BD515" s="78" t="s">
        <v>3832</v>
      </c>
      <c r="BE515" s="21" t="str">
        <f t="shared" si="47"/>
        <v>[589] = {wayshrines={468,468,468,}, dlcId=DLC_ELSWEYR</v>
      </c>
      <c r="BF515" s="21" t="str">
        <f t="shared" si="48"/>
        <v>, zoneIds={1263,1263,1263}, veteran=true</v>
      </c>
      <c r="BG515" s="21" t="str">
        <f t="shared" si="49"/>
        <v>, setType=LIBSETS_SETTYPE_TRIAL</v>
      </c>
      <c r="BH515" s="21" t="str">
        <f t="shared" si="50"/>
        <v>, dropMechanic={LIBSETS_DROP_MECHANIC_TRIAL_BOSS,LIBSETS_DROP_MECHANIC_TRIAL_BOSS,LIBSETS_DROP_MECHANIC_TRIAL_BOSS}, isPerfectedSet=1</v>
      </c>
      <c r="BI515" s="21" t="str">
        <f t="shared" si="51"/>
        <v>}, --Perfected Saxhleel Champion / Perfektionierter Saxhleel-Champion   [Rockgrove, Rockgrove, Rockgrove]</v>
      </c>
    </row>
    <row r="516" spans="1:61" x14ac:dyDescent="0.25">
      <c r="A516" s="5">
        <v>590</v>
      </c>
      <c r="B516" t="s">
        <v>2483</v>
      </c>
      <c r="C516" t="s">
        <v>2483</v>
      </c>
      <c r="D516" s="3">
        <f t="shared" si="52"/>
        <v>590</v>
      </c>
      <c r="G516" s="3" t="s">
        <v>1477</v>
      </c>
      <c r="I516" t="s">
        <v>92</v>
      </c>
      <c r="J516" t="s">
        <v>91</v>
      </c>
      <c r="K516" s="36">
        <v>468</v>
      </c>
      <c r="L516" s="36">
        <v>468</v>
      </c>
      <c r="M516" s="36">
        <v>468</v>
      </c>
      <c r="O516" s="61" t="s">
        <v>2441</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constants'!$H$3:$K$9989,4,FALSE)),""))</f>
        <v>DLC_ELSWEYR</v>
      </c>
      <c r="U516" s="3" t="str">
        <f>IF(T516&lt;&gt;"",VLOOKUP(T516,'LibSets constants'!$B$4:$C$1012,2,FALSE),"")</f>
        <v>Elsweyr</v>
      </c>
      <c r="V516" s="33" t="s">
        <v>3266</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constants'!$A$5:$D$10001,4,FALSE),"")</f>
        <v>Rockgrove</v>
      </c>
      <c r="AB516" s="33" t="s">
        <v>3266</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constants'!$A$5:$D$10001,4,FALSE),"")</f>
        <v>Rockgrove</v>
      </c>
      <c r="AH516" s="33" t="s">
        <v>3266</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8" t="s">
        <v>2653</v>
      </c>
      <c r="BA516" s="78"/>
      <c r="BB516" s="78"/>
      <c r="BC516" s="78"/>
      <c r="BD516" s="78" t="s">
        <v>3832</v>
      </c>
      <c r="BE516" s="21" t="str">
        <f t="shared" ref="BE516:BE579" si="53">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dlcId=DLC_ELSWEYR</v>
      </c>
      <c r="BF516" s="21" t="str">
        <f t="shared" ref="BF516:BF579" si="54">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21" t="str">
        <f t="shared" ref="BG516:BG579" si="55">IF(A516&lt;&gt;"",IF(F516&lt;&gt;"Not in the game (anymore)",IF(A516&lt;&gt;"",", setType="&amp;G516,"")&amp;IF(G516="LIBSETS_SETTYPE_CLASS",", classId="&amp;BC516,"")&amp;IF(J516="true",", multiTrialSet=true",""),"")
&amp; IF(AND(H516&lt;&gt;"",ISNUMBER(H516)),", undauntedChestId=" &amp; H516,""),"")</f>
        <v>, setType=LIBSETS_SETTYPE_TRIAL</v>
      </c>
      <c r="BH516" s="21" t="str">
        <f t="shared" ref="BH516:BH579" si="56">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21" t="str">
        <f t="shared" ref="BI516:BI579" si="57">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2465</v>
      </c>
      <c r="C517" t="s">
        <v>2488</v>
      </c>
      <c r="D517" s="3">
        <f t="shared" si="52"/>
        <v>591</v>
      </c>
      <c r="G517" s="3" t="s">
        <v>1477</v>
      </c>
      <c r="I517" t="s">
        <v>92</v>
      </c>
      <c r="J517" t="s">
        <v>91</v>
      </c>
      <c r="K517" s="36">
        <v>468</v>
      </c>
      <c r="L517" s="36">
        <v>468</v>
      </c>
      <c r="M517" s="36">
        <v>468</v>
      </c>
      <c r="O517" s="61" t="s">
        <v>2441</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constants'!$H$3:$K$9989,4,FALSE)),""))</f>
        <v>DLC_ELSWEYR</v>
      </c>
      <c r="U517" s="3" t="str">
        <f>IF(T517&lt;&gt;"",VLOOKUP(T517,'LibSets constants'!$B$4:$C$1012,2,FALSE),"")</f>
        <v>Elsweyr</v>
      </c>
      <c r="V517" s="33" t="s">
        <v>3266</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constants'!$A$5:$D$10001,4,FALSE),"")</f>
        <v>Rockgrove</v>
      </c>
      <c r="AB517" s="33" t="s">
        <v>3266</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constants'!$A$5:$D$10001,4,FALSE),"")</f>
        <v>Rockgrove</v>
      </c>
      <c r="AH517" s="33" t="s">
        <v>3266</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8" t="s">
        <v>2653</v>
      </c>
      <c r="BA517" s="78"/>
      <c r="BB517" s="78"/>
      <c r="BC517" s="78"/>
      <c r="BD517" s="78" t="s">
        <v>3832</v>
      </c>
      <c r="BE517" s="21" t="str">
        <f t="shared" si="53"/>
        <v>[591] = {wayshrines={468,468,468,}, dlcId=DLC_ELSWEYR</v>
      </c>
      <c r="BF517" s="21" t="str">
        <f t="shared" si="54"/>
        <v>, zoneIds={1263,1263,1263}, veteran=true</v>
      </c>
      <c r="BG517" s="21" t="str">
        <f t="shared" si="55"/>
        <v>, setType=LIBSETS_SETTYPE_TRIAL</v>
      </c>
      <c r="BH517" s="21" t="str">
        <f t="shared" si="56"/>
        <v>, dropMechanic={LIBSETS_DROP_MECHANIC_TRIAL_BOSS,LIBSETS_DROP_MECHANIC_TRIAL_BOSS,LIBSETS_DROP_MECHANIC_TRIAL_BOSS}, isPerfectedSet=1</v>
      </c>
      <c r="BI517" s="21" t="str">
        <f t="shared" si="57"/>
        <v>}, --Perfected Bahsei\'s Mania / Bahseis perfektionierte Manie   [Rockgrove, Rockgrove, Rockgrove]</v>
      </c>
    </row>
    <row r="518" spans="1:61" x14ac:dyDescent="0.25">
      <c r="A518" s="5">
        <v>592</v>
      </c>
      <c r="B518" t="s">
        <v>2476</v>
      </c>
      <c r="C518" t="s">
        <v>2489</v>
      </c>
      <c r="D518" s="3">
        <f t="shared" si="52"/>
        <v>592</v>
      </c>
      <c r="G518" s="3" t="s">
        <v>1477</v>
      </c>
      <c r="I518" t="s">
        <v>92</v>
      </c>
      <c r="J518" t="s">
        <v>91</v>
      </c>
      <c r="K518" s="36">
        <v>468</v>
      </c>
      <c r="L518" s="36">
        <v>468</v>
      </c>
      <c r="M518" s="36">
        <v>468</v>
      </c>
      <c r="O518" s="61" t="s">
        <v>2441</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constants'!$H$3:$K$9989,4,FALSE)),""))</f>
        <v>DLC_ELSWEYR</v>
      </c>
      <c r="U518" s="3" t="str">
        <f>IF(T518&lt;&gt;"",VLOOKUP(T518,'LibSets constants'!$B$4:$C$1012,2,FALSE),"")</f>
        <v>Elsweyr</v>
      </c>
      <c r="V518" s="33" t="s">
        <v>3266</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constants'!$A$5:$D$10001,4,FALSE),"")</f>
        <v>Rockgrove</v>
      </c>
      <c r="AB518" s="33" t="s">
        <v>3266</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constants'!$A$5:$D$10001,4,FALSE),"")</f>
        <v>Rockgrove</v>
      </c>
      <c r="AH518" s="33" t="s">
        <v>3266</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8" t="s">
        <v>2653</v>
      </c>
      <c r="BA518" s="78"/>
      <c r="BB518" s="78"/>
      <c r="BC518" s="78"/>
      <c r="BD518" s="78" t="s">
        <v>3832</v>
      </c>
      <c r="BE518" s="21" t="str">
        <f t="shared" si="53"/>
        <v>[592] = {wayshrines={468,468,468,}, dlcId=DLC_ELSWEYR</v>
      </c>
      <c r="BF518" s="21" t="str">
        <f t="shared" si="54"/>
        <v>, zoneIds={1263,1263,1263}, veteran=true</v>
      </c>
      <c r="BG518" s="21" t="str">
        <f t="shared" si="55"/>
        <v>, setType=LIBSETS_SETTYPE_TRIAL</v>
      </c>
      <c r="BH518" s="21" t="str">
        <f t="shared" si="56"/>
        <v>, dropMechanic={LIBSETS_DROP_MECHANIC_TRIAL_BOSS,LIBSETS_DROP_MECHANIC_TRIAL_BOSS,LIBSETS_DROP_MECHANIC_TRIAL_BOSS}, isPerfectedSet=1</v>
      </c>
      <c r="BI518" s="21" t="str">
        <f t="shared" si="57"/>
        <v>}, --Perfected Stone-Talker\'s Oath / Perfektionierter Eid des Steinsprechers   [Rockgrove, Rockgrove, Rockgrove]</v>
      </c>
    </row>
    <row r="519" spans="1:61" x14ac:dyDescent="0.25">
      <c r="A519" s="5">
        <v>593</v>
      </c>
      <c r="B519" t="s">
        <v>2477</v>
      </c>
      <c r="C519" t="s">
        <v>2477</v>
      </c>
      <c r="D519" s="3">
        <f t="shared" si="52"/>
        <v>593</v>
      </c>
      <c r="G519" s="3" t="s">
        <v>1678</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WayshrineInfo'!$K$3:$N$9972,4,FALSE),"")))</f>
        <v>Blackwood</v>
      </c>
      <c r="S519" s="61" t="s">
        <v>2384</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constants'!$B$4:$C$1012,2,FALSE),"")</f>
        <v>Blackwood</v>
      </c>
      <c r="V519" s="33" t="s">
        <v>1556</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constants'!$A$5:$D$10001,4,FALSE),"")</f>
        <v>Hew's Bane</v>
      </c>
      <c r="AB519" s="33" t="s">
        <v>3195</v>
      </c>
      <c r="AC519" s="41" t="s">
        <v>3197</v>
      </c>
      <c r="AD519" s="41" t="s">
        <v>3198</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constants'!$A$5:$D$10001,4,FALSE),"")</f>
        <v>Forgotten Crypts</v>
      </c>
      <c r="AH519" s="42" t="s">
        <v>1556</v>
      </c>
      <c r="AI519" s="41"/>
      <c r="AJ519" s="41"/>
      <c r="AK519" s="3">
        <f>IF(AND(G519&lt;&gt;"LIBSETS_SETTYPE_BATTLEGROUND",G519&lt;&gt;"LIBSETS_SETTYPE_SPECIAL"),IF(AL519&lt;&gt;"",VLOOKUP(AL519,'ESO zone constants'!$D$5:$H$4955,5,FALSE),""),"")</f>
        <v>117</v>
      </c>
      <c r="AL519" t="s">
        <v>114</v>
      </c>
      <c r="AM519" s="33" t="s">
        <v>1554</v>
      </c>
      <c r="AN519" s="41"/>
      <c r="AO519" s="41"/>
      <c r="AP519" s="3">
        <f>IF(AND(G519&lt;&gt;"LIBSETS_SETTYPE_BATTLEGROUND",G519&lt;&gt;"LIBSETS_SETTYPE_SPECIAL"),IF(AQ519&lt;&gt;"",VLOOKUP(AQ519,'ESO zone constants'!$D$5:$H$4955,5,FALSE),""),"")</f>
        <v>848</v>
      </c>
      <c r="AQ519" t="s">
        <v>72</v>
      </c>
      <c r="AR519" s="33" t="s">
        <v>3285</v>
      </c>
      <c r="AS519" s="41" t="s">
        <v>32</v>
      </c>
      <c r="AT519" s="41" t="s">
        <v>32</v>
      </c>
      <c r="AU519" s="3" t="str">
        <f>IF(AND(G519&lt;&gt;"LIBSETS_SETTYPE_BATTLEGROUND",G519&lt;&gt;"LIBSETS_SETTYPE_SPECIAL"),IF(AV519&lt;&gt;"",VLOOKUP(AV519,'ESO zone constants'!$D$5:$H$4955,5,FALSE),""),"")</f>
        <v/>
      </c>
      <c r="AX519" s="41"/>
      <c r="AY519" s="41"/>
      <c r="AZ519" s="78" t="s">
        <v>2653</v>
      </c>
      <c r="BA519" s="36" t="s">
        <v>3175</v>
      </c>
      <c r="BB519" s="36" t="s">
        <v>3175</v>
      </c>
      <c r="BC519" s="36"/>
      <c r="BD519" s="36"/>
      <c r="BE519" s="21" t="str">
        <f t="shared" si="53"/>
        <v>[593] = {wayshrines={461,255,30,}, dlcId=DLC_BLACKWOOD</v>
      </c>
      <c r="BF519" s="21" t="str">
        <f t="shared" si="54"/>
        <v>, zoneIds={1261,816,306,117,848}, veteran=false</v>
      </c>
      <c r="BG519" s="21" t="str">
        <f t="shared" si="55"/>
        <v>, setType=LIBSETS_SETTYPE_MYTHIC</v>
      </c>
      <c r="BH519" s="21" t="str">
        <f t="shared" si="56"/>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 t="shared" si="57"/>
        <v>, addTooltip={['en']='https://en.uesp.net/wiki/Online:Gaze_of_Sithis',},}, --Gaze of Sithis / Gaze of Sithis   [Blackwood, Hew's Bane, Forgotten Crypts, Shadowfen, Cradle of Shadows]</v>
      </c>
    </row>
    <row r="520" spans="1:61" x14ac:dyDescent="0.25">
      <c r="A520" s="5">
        <v>594</v>
      </c>
      <c r="B520" t="s">
        <v>2482</v>
      </c>
      <c r="C520" t="s">
        <v>2482</v>
      </c>
      <c r="D520" s="3">
        <f t="shared" si="52"/>
        <v>594</v>
      </c>
      <c r="G520" s="3" t="s">
        <v>1678</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WayshrineInfo'!$K$3:$N$9972,4,FALSE),"")))</f>
        <v>Blackwood</v>
      </c>
      <c r="S520" s="61" t="s">
        <v>2384</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constants'!$B$4:$C$1012,2,FALSE),"")</f>
        <v>Blackwood</v>
      </c>
      <c r="V520" s="33" t="s">
        <v>1555</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constants'!$A$5:$D$10001,4,FALSE),"")</f>
        <v>Bal Foyen</v>
      </c>
      <c r="AB520" s="33" t="s">
        <v>3269</v>
      </c>
      <c r="AC520" s="41" t="s">
        <v>3215</v>
      </c>
      <c r="AD520" s="41" t="s">
        <v>3216</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constants'!$A$5:$D$10001,4,FALSE),"")</f>
        <v>Murkmire</v>
      </c>
      <c r="AH520" s="42" t="s">
        <v>3217</v>
      </c>
      <c r="AI520" s="41" t="s">
        <v>3220</v>
      </c>
      <c r="AJ520" s="41" t="s">
        <v>3221</v>
      </c>
      <c r="AK520" s="3">
        <f>IF(AND(G520&lt;&gt;"LIBSETS_SETTYPE_BATTLEGROUND",G520&lt;&gt;"LIBSETS_SETTYPE_SPECIAL"),IF(AL520&lt;&gt;"",VLOOKUP(AL520,'ESO zone constants'!$D$5:$H$4955,5,FALSE),""),"")</f>
        <v>843</v>
      </c>
      <c r="AL520" t="s">
        <v>53</v>
      </c>
      <c r="AM520" s="33" t="s">
        <v>3285</v>
      </c>
      <c r="AN520" s="41" t="s">
        <v>1361</v>
      </c>
      <c r="AO520" s="41" t="s">
        <v>3222</v>
      </c>
      <c r="AP520" s="3">
        <f>IF(AND(G520&lt;&gt;"LIBSETS_SETTYPE_BATTLEGROUND",G520&lt;&gt;"LIBSETS_SETTYPE_SPECIAL"),IF(AQ520&lt;&gt;"",VLOOKUP(AQ520,'ESO zone constants'!$D$5:$H$4955,5,FALSE),""),"")</f>
        <v>117</v>
      </c>
      <c r="AQ520" t="s">
        <v>114</v>
      </c>
      <c r="AR520" s="33" t="s">
        <v>3597</v>
      </c>
      <c r="AS520" s="41" t="s">
        <v>3226</v>
      </c>
      <c r="AT520" s="41" t="s">
        <v>3227</v>
      </c>
      <c r="AU520" s="3" t="str">
        <f>IF(AND(G520&lt;&gt;"LIBSETS_SETTYPE_BATTLEGROUND",G520&lt;&gt;"LIBSETS_SETTYPE_SPECIAL"),IF(AV520&lt;&gt;"",VLOOKUP(AV520,'ESO zone constants'!$D$5:$H$4955,5,FALSE),""),"")</f>
        <v/>
      </c>
      <c r="AX520" s="41"/>
      <c r="AY520" s="41"/>
      <c r="AZ520" s="78" t="s">
        <v>2653</v>
      </c>
      <c r="BA520" s="36" t="s">
        <v>3176</v>
      </c>
      <c r="BB520" s="36" t="s">
        <v>3176</v>
      </c>
      <c r="BC520" s="36"/>
      <c r="BD520" s="36"/>
      <c r="BE520" s="21" t="str">
        <f t="shared" si="53"/>
        <v>[594] = {wayshrines={464,173,374,}, dlcId=DLC_BLACKWOOD</v>
      </c>
      <c r="BF520" s="21" t="str">
        <f t="shared" si="54"/>
        <v>, zoneIds={1261,281,726,843,117}, veteran=false</v>
      </c>
      <c r="BG520" s="21" t="str">
        <f t="shared" si="55"/>
        <v>, setType=LIBSETS_SETTYPE_MYTHIC</v>
      </c>
      <c r="BH520" s="21" t="str">
        <f t="shared" si="56"/>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 t="shared" si="57"/>
        <v>, addTooltip={['en']='https://en.uesp.net/wiki/Online:Harpooner%27s_Wading_Kilt',},}, --Harpooner\'s Wading Kilt / Harpooner\'s Wading Kilt   [Blackwood, Bal Foyen, Murkmire, Ruins of Mazzatun, Shadowfen]</v>
      </c>
    </row>
    <row r="521" spans="1:61" x14ac:dyDescent="0.25">
      <c r="A521" s="5">
        <v>596</v>
      </c>
      <c r="B521" t="s">
        <v>2481</v>
      </c>
      <c r="C521" t="s">
        <v>2481</v>
      </c>
      <c r="D521" s="3">
        <f t="shared" si="52"/>
        <v>596</v>
      </c>
      <c r="G521" s="3" t="s">
        <v>1678</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WayshrineInfo'!$K$3:$N$9972,4,FALSE),"")))</f>
        <v>Blackwood</v>
      </c>
      <c r="S521" s="61" t="s">
        <v>2384</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constants'!$B$4:$C$1012,2,FALSE),"")</f>
        <v>Blackwood</v>
      </c>
      <c r="V521" s="33" t="s">
        <v>3199</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constants'!$A$5:$D$10001,4,FALSE),"")</f>
        <v>Craglorn</v>
      </c>
      <c r="AB521" s="33" t="s">
        <v>3236</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constants'!$A$5:$D$10001,4,FALSE),"")</f>
        <v>Craglorn</v>
      </c>
      <c r="AH521" s="42" t="s">
        <v>1550</v>
      </c>
      <c r="AI521" s="41"/>
      <c r="AJ521" s="41"/>
      <c r="AK521" s="3">
        <f>IF(AND(G521&lt;&gt;"LIBSETS_SETTYPE_BATTLEGROUND",G521&lt;&gt;"LIBSETS_SETTYPE_SPECIAL"),IF(AL521&lt;&gt;"",VLOOKUP(AL521,'ESO zone constants'!$D$5:$H$4955,5,FALSE),""),"")</f>
        <v>584</v>
      </c>
      <c r="AL521" t="s">
        <v>39</v>
      </c>
      <c r="AM521" s="33" t="s">
        <v>3269</v>
      </c>
      <c r="AN521" s="41" t="s">
        <v>3202</v>
      </c>
      <c r="AO521" s="41" t="s">
        <v>3203</v>
      </c>
      <c r="AP521" s="3">
        <f>IF(AND(G521&lt;&gt;"LIBSETS_SETTYPE_BATTLEGROUND",G521&lt;&gt;"LIBSETS_SETTYPE_SPECIAL"),IF(AQ521&lt;&gt;"",VLOOKUP(AQ521,'ESO zone constants'!$D$5:$H$4955,5,FALSE),""),"")</f>
        <v>181</v>
      </c>
      <c r="AQ521" t="s">
        <v>125</v>
      </c>
      <c r="AR521" s="33" t="s">
        <v>1535</v>
      </c>
      <c r="AS521" s="41"/>
      <c r="AT521" s="41"/>
      <c r="AU521" s="3" t="str">
        <f>IF(AND(G521&lt;&gt;"LIBSETS_SETTYPE_BATTLEGROUND",G521&lt;&gt;"LIBSETS_SETTYPE_SPECIAL"),IF(AV521&lt;&gt;"",VLOOKUP(AV521,'ESO zone constants'!$D$5:$H$4955,5,FALSE),""),"")</f>
        <v/>
      </c>
      <c r="AX521" s="41"/>
      <c r="AY521" s="41"/>
      <c r="AZ521" s="78" t="s">
        <v>2653</v>
      </c>
      <c r="BA521" s="36" t="s">
        <v>3174</v>
      </c>
      <c r="BB521" s="36" t="s">
        <v>3174</v>
      </c>
      <c r="BC521" s="36"/>
      <c r="BD521" s="36"/>
      <c r="BE521" s="21" t="str">
        <f t="shared" si="53"/>
        <v>[596] = {wayshrines={461,229,270,}, dlcId=DLC_BLACKWOOD</v>
      </c>
      <c r="BF521" s="21" t="str">
        <f t="shared" si="54"/>
        <v>, zoneIds={1261,888,888,584,181}, veteran=false</v>
      </c>
      <c r="BG521" s="21" t="str">
        <f t="shared" si="55"/>
        <v>, setType=LIBSETS_SETTYPE_MYTHIC</v>
      </c>
      <c r="BH521" s="21" t="str">
        <f t="shared" si="56"/>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 t="shared" si="57"/>
        <v>, addTooltip={['en']='https://en.uesp.net/wiki/Online:Death_Dealer%27s_Fete',},}, --Death Dealer\'s Fete / Death Dealer\'s Fete   [Blackwood, Craglorn, Craglorn, Imperial City, Cyrodiil]</v>
      </c>
    </row>
    <row r="522" spans="1:61" x14ac:dyDescent="0.25">
      <c r="A522" s="5">
        <v>597</v>
      </c>
      <c r="B522" t="s">
        <v>2490</v>
      </c>
      <c r="C522" t="s">
        <v>2490</v>
      </c>
      <c r="D522" s="3">
        <f t="shared" si="52"/>
        <v>597</v>
      </c>
      <c r="G522" s="3" t="s">
        <v>1678</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WayshrineInfo'!$K$3:$N$9972,4,FALSE),"")))</f>
        <v>Western Skyrim</v>
      </c>
      <c r="S522" s="61" t="s">
        <v>2384</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constants'!$B$4:$C$1012,2,FALSE),"")</f>
        <v>Blackwood</v>
      </c>
      <c r="V522" s="33" t="s">
        <v>3236</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constants'!$A$5:$D$10001,4,FALSE),"")</f>
        <v>Vaults of Madness</v>
      </c>
      <c r="AB522" s="33" t="s">
        <v>3285</v>
      </c>
      <c r="AC522" s="41" t="s">
        <v>1547</v>
      </c>
      <c r="AD522" s="41" t="s">
        <v>3238</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constants'!$A$5:$D$10001,4,FALSE),"")</f>
        <v>Craglorn</v>
      </c>
      <c r="AH522" s="42" t="s">
        <v>1554</v>
      </c>
      <c r="AI522" s="41" t="s">
        <v>3284</v>
      </c>
      <c r="AJ522" s="41" t="s">
        <v>3294</v>
      </c>
      <c r="AK522" s="3">
        <f>IF(AND(G522&lt;&gt;"LIBSETS_SETTYPE_BATTLEGROUND",G522&lt;&gt;"LIBSETS_SETTYPE_SPECIAL"),IF(AL522&lt;&gt;"",VLOOKUP(AL522,'ESO zone constants'!$D$5:$H$4955,5,FALSE),""),"")</f>
        <v>936</v>
      </c>
      <c r="AL522" t="s">
        <v>42</v>
      </c>
      <c r="AM522" s="33" t="s">
        <v>3285</v>
      </c>
      <c r="AN522" s="41" t="s">
        <v>1357</v>
      </c>
      <c r="AO522" s="41" t="s">
        <v>3239</v>
      </c>
      <c r="AP522" s="3">
        <f>IF(AND(G522&lt;&gt;"LIBSETS_SETTYPE_BATTLEGROUND",G522&lt;&gt;"LIBSETS_SETTYPE_SPECIAL"),IF(AQ522&lt;&gt;"",VLOOKUP(AQ522,'ESO zone constants'!$D$5:$H$4955,5,FALSE),""),"")</f>
        <v>1260</v>
      </c>
      <c r="AQ522" t="s">
        <v>2440</v>
      </c>
      <c r="AR522" s="33" t="s">
        <v>1556</v>
      </c>
      <c r="AS522" s="41"/>
      <c r="AT522" s="41"/>
      <c r="AU522" s="3" t="str">
        <f>IF(AND(G522&lt;&gt;"LIBSETS_SETTYPE_BATTLEGROUND",G522&lt;&gt;"LIBSETS_SETTYPE_SPECIAL"),IF(AV522&lt;&gt;"",VLOOKUP(AV522,'ESO zone constants'!$D$5:$H$4955,5,FALSE),""),"")</f>
        <v/>
      </c>
      <c r="AX522" s="41"/>
      <c r="AY522" s="41"/>
      <c r="AZ522" s="78" t="s">
        <v>2654</v>
      </c>
      <c r="BA522" s="36" t="s">
        <v>3182</v>
      </c>
      <c r="BB522" s="36" t="s">
        <v>3182</v>
      </c>
      <c r="BC522" s="36"/>
      <c r="BD522" s="36"/>
      <c r="BE522" s="21" t="str">
        <f t="shared" si="53"/>
        <v>[597] = {wayshrines={451,184,225,}, dlcId=DLC_BLACKWOOD</v>
      </c>
      <c r="BF522" s="21" t="str">
        <f t="shared" si="54"/>
        <v>, zoneIds={1160,11,888,936,1260}, veteran=false</v>
      </c>
      <c r="BG522" s="21" t="str">
        <f t="shared" si="55"/>
        <v>, setType=LIBSETS_SETTYPE_MYTHIC</v>
      </c>
      <c r="BH522" s="21" t="str">
        <f t="shared" si="56"/>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 t="shared" si="57"/>
        <v>, addTooltip={['en']='https://en.uesp.net/wiki/Online:Shapeshifter%27s_Chain',},}, --Shapeshifter\'s Chain / Shapeshifter\'s Chain   [Western Skyrim, Vaults of Madness, Craglorn, Spindleclutch II, The Silent Halls]</v>
      </c>
    </row>
    <row r="523" spans="1:61" x14ac:dyDescent="0.25">
      <c r="A523" s="5">
        <v>598</v>
      </c>
      <c r="B523" t="s">
        <v>2478</v>
      </c>
      <c r="C523" t="s">
        <v>2469</v>
      </c>
      <c r="D523" s="3">
        <f t="shared" si="52"/>
        <v>598</v>
      </c>
      <c r="F523" t="s">
        <v>2758</v>
      </c>
      <c r="G523" s="8" t="s">
        <v>2757</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WayshrineInfo'!$K$3:$N$9972,4,FALSE),"")))</f>
        <v>Imperial City</v>
      </c>
      <c r="S523" s="61" t="s">
        <v>2384</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constants'!$B$4:$C$1012,2,FALSE),"")</f>
        <v>Blackwood</v>
      </c>
      <c r="V523" s="33" t="s">
        <v>1538</v>
      </c>
      <c r="W523" s="3" t="s">
        <v>3878</v>
      </c>
      <c r="X523" s="3" t="s">
        <v>3879</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constants'!$A$5:$D$10001,4,FALSE),"")</f>
        <v>Imperial Sewers</v>
      </c>
      <c r="AB523" s="33" t="s">
        <v>2761</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8" t="s">
        <v>2653</v>
      </c>
      <c r="BA523" s="78"/>
      <c r="BB523" s="78"/>
      <c r="BC523" s="78"/>
      <c r="BD523" s="78"/>
      <c r="BE523" s="21" t="str">
        <f t="shared" si="53"/>
        <v>[598] = {wayshrines={-1,-1,-1,}, dlcId=DLC_BLACKWOOD</v>
      </c>
      <c r="BF523" s="21" t="str">
        <f t="shared" si="54"/>
        <v>, zoneIds={584,643}, veteran=false</v>
      </c>
      <c r="BG523" s="21" t="str">
        <f t="shared" si="55"/>
        <v>, setType=LIBSETS_SETTYPE_IMPERIALCITY_MONSTER</v>
      </c>
      <c r="BH523" s="21" t="str">
        <f t="shared" si="56"/>
        <v>, dropMechanic={LIBSETS_DROP_MECHANIC_MONSTER_NAME,LIBSETS_DROP_MECHANIC_TELVAR_EQUIPMENT_LOCKBOX_MERCHANT}, dropMechanicDropLocationNames={['en']={'Zoal the Ever-Wakeful [Elvengarden district, north-west]','','','','','',},['de']={'Zoal der Immerwache [Elfengarten Bezirk, Nord-Westen]','','','','','',},}</v>
      </c>
      <c r="BI523" s="21" t="str">
        <f t="shared" si="57"/>
        <v>}, --Zoal the Ever-Wakeful / Zoal der Immerwache   [Imperial City, Imperial Sewers]</v>
      </c>
    </row>
    <row r="524" spans="1:61" x14ac:dyDescent="0.25">
      <c r="A524" s="5">
        <v>599</v>
      </c>
      <c r="B524" t="s">
        <v>2479</v>
      </c>
      <c r="C524" t="s">
        <v>2470</v>
      </c>
      <c r="D524" s="3">
        <f t="shared" si="52"/>
        <v>599</v>
      </c>
      <c r="F524" t="s">
        <v>2758</v>
      </c>
      <c r="G524" s="8" t="s">
        <v>2757</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WayshrineInfo'!$K$3:$N$9972,4,FALSE),"")))</f>
        <v>Imperial City</v>
      </c>
      <c r="S524" s="61" t="s">
        <v>2384</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constants'!$B$4:$C$1012,2,FALSE),"")</f>
        <v>Blackwood</v>
      </c>
      <c r="V524" s="33" t="s">
        <v>1538</v>
      </c>
      <c r="W524" s="3" t="s">
        <v>3877</v>
      </c>
      <c r="X524" s="3" t="s">
        <v>3880</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constants'!$A$5:$D$10001,4,FALSE),"")</f>
        <v>Imperial Sewers</v>
      </c>
      <c r="AB524" s="33" t="s">
        <v>2761</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8" t="s">
        <v>2653</v>
      </c>
      <c r="BA524" s="78"/>
      <c r="BB524" s="78"/>
      <c r="BC524" s="78"/>
      <c r="BD524" s="78"/>
      <c r="BE524" s="21" t="str">
        <f t="shared" si="53"/>
        <v>[599] = {wayshrines={-1,-1,-1,}, dlcId=DLC_BLACKWOOD</v>
      </c>
      <c r="BF524" s="21" t="str">
        <f t="shared" si="54"/>
        <v>, zoneIds={584,643}, veteran=false</v>
      </c>
      <c r="BG524" s="21" t="str">
        <f t="shared" si="55"/>
        <v>, setType=LIBSETS_SETTYPE_IMPERIALCITY_MONSTER</v>
      </c>
      <c r="BH524" s="21" t="str">
        <f t="shared" si="56"/>
        <v>, dropMechanic={LIBSETS_DROP_MECHANIC_MONSTER_NAME,LIBSETS_DROP_MECHANIC_TELVAR_EQUIPMENT_LOCKBOX_MERCHANT}, dropMechanicDropLocationNames={['en']={'Immolator Charr [Temple district, south]','','','','','',},['de']={'Entflammer Charr [Tempelbezirk, Süden]','','','','','',},}</v>
      </c>
      <c r="BI524" s="21" t="str">
        <f t="shared" si="57"/>
        <v>}, --Immolator Charr / Entflammer Charr   [Imperial City, Imperial Sewers]</v>
      </c>
    </row>
    <row r="525" spans="1:61" x14ac:dyDescent="0.25">
      <c r="A525" s="5">
        <v>600</v>
      </c>
      <c r="B525" t="s">
        <v>2480</v>
      </c>
      <c r="C525" t="s">
        <v>2471</v>
      </c>
      <c r="D525" s="3">
        <f t="shared" si="52"/>
        <v>600</v>
      </c>
      <c r="F525" t="s">
        <v>2758</v>
      </c>
      <c r="G525" s="8" t="s">
        <v>2757</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WayshrineInfo'!$K$3:$N$9972,4,FALSE),"")))</f>
        <v>Imperial City</v>
      </c>
      <c r="S525" s="61" t="s">
        <v>2384</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constants'!$B$4:$C$1012,2,FALSE),"")</f>
        <v>Blackwood</v>
      </c>
      <c r="V525" s="33" t="s">
        <v>1538</v>
      </c>
      <c r="W525" s="3" t="s">
        <v>3876</v>
      </c>
      <c r="X525" s="3" t="s">
        <v>3881</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constants'!$A$5:$D$10001,4,FALSE),"")</f>
        <v>Imperial Sewers</v>
      </c>
      <c r="AB525" s="33" t="s">
        <v>2761</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8" t="s">
        <v>2653</v>
      </c>
      <c r="BA525" s="78"/>
      <c r="BB525" s="78"/>
      <c r="BC525" s="78"/>
      <c r="BD525" s="78"/>
      <c r="BE525" s="21" t="str">
        <f t="shared" si="53"/>
        <v>[600] = {wayshrines={-1,-1,-1,}, dlcId=DLC_BLACKWOOD</v>
      </c>
      <c r="BF525" s="21" t="str">
        <f t="shared" si="54"/>
        <v>, zoneIds={584,643}, veteran=false</v>
      </c>
      <c r="BG525" s="21" t="str">
        <f t="shared" si="55"/>
        <v>, setType=LIBSETS_SETTYPE_IMPERIALCITY_MONSTER</v>
      </c>
      <c r="BH525" s="21" t="str">
        <f t="shared" si="56"/>
        <v>, dropMechanic={LIBSETS_DROP_MECHANIC_MONSTER_NAME,LIBSETS_DROP_MECHANIC_TELVAR_EQUIPMENT_LOCKBOX_MERCHANT}, dropMechanicDropLocationNames={['en']={'Glorgoloch the Destroyer [Arena district, north-east]','','','','','',},['de']={'Glorgoloch der Zerstörer [Arenabezirk, Nord-Osten]','','','','','',},}</v>
      </c>
      <c r="BI525" s="21" t="str">
        <f t="shared" si="57"/>
        <v>}, --Glorgoloch the Destroyer / Glorgoloch der Zerstörer   [Imperial City, Imperial Sewers]</v>
      </c>
    </row>
    <row r="526" spans="1:61" x14ac:dyDescent="0.25">
      <c r="A526" s="5">
        <v>602</v>
      </c>
      <c r="B526" t="s">
        <v>2516</v>
      </c>
      <c r="C526" t="s">
        <v>2747</v>
      </c>
      <c r="D526" s="3">
        <f t="shared" si="52"/>
        <v>602</v>
      </c>
      <c r="G526" s="8" t="s">
        <v>1473</v>
      </c>
      <c r="I526" t="s">
        <v>91</v>
      </c>
      <c r="J526" t="s">
        <v>91</v>
      </c>
      <c r="K526">
        <v>469</v>
      </c>
      <c r="L526">
        <v>469</v>
      </c>
      <c r="M526">
        <v>469</v>
      </c>
      <c r="O526" s="61" t="s">
        <v>2499</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constants'!$B$4:$C$1012,2,FALSE),"")</f>
        <v>Waking Flame</v>
      </c>
      <c r="V526" s="33" t="s">
        <v>3285</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8" t="s">
        <v>2653</v>
      </c>
      <c r="BA526" s="78"/>
      <c r="BB526" s="78"/>
      <c r="BC526" s="78"/>
      <c r="BD526" s="78"/>
      <c r="BE526" s="21" t="str">
        <f t="shared" si="53"/>
        <v>[602] = {wayshrines={469,469,469,}, dlcId=DLC_WAKING_FLAME</v>
      </c>
      <c r="BF526" s="21" t="str">
        <f t="shared" si="54"/>
        <v>, zoneIds={1268,1261,1261}, veteran=false</v>
      </c>
      <c r="BG526" s="21" t="str">
        <f t="shared" si="55"/>
        <v>, setType=LIBSETS_SETTYPE_DUNGEON</v>
      </c>
      <c r="BH526" s="21" t="str">
        <f t="shared" si="56"/>
        <v>, dropMechanic={LIBSETS_DROP_MECHANIC_GROUP_DUNGEON_BOSS}</v>
      </c>
      <c r="BI526" s="21" t="str">
        <f t="shared" si="57"/>
        <v>}, --Crimson Oath\'s Rive / Spalt des Karmesinschwurs   [The Dread Cellar, Blackwood, Blackwood]</v>
      </c>
    </row>
    <row r="527" spans="1:61" x14ac:dyDescent="0.25">
      <c r="A527" s="5">
        <v>603</v>
      </c>
      <c r="B527" t="s">
        <v>2514</v>
      </c>
      <c r="C527" t="s">
        <v>2748</v>
      </c>
      <c r="D527" s="3">
        <f t="shared" si="52"/>
        <v>603</v>
      </c>
      <c r="G527" s="8" t="s">
        <v>1473</v>
      </c>
      <c r="I527" t="s">
        <v>91</v>
      </c>
      <c r="J527" t="s">
        <v>91</v>
      </c>
      <c r="K527">
        <v>469</v>
      </c>
      <c r="L527">
        <v>469</v>
      </c>
      <c r="M527">
        <v>469</v>
      </c>
      <c r="O527" s="61" t="s">
        <v>2499</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constants'!$B$4:$C$1012,2,FALSE),"")</f>
        <v>Waking Flame</v>
      </c>
      <c r="V527" s="33" t="s">
        <v>3285</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8" t="s">
        <v>2653</v>
      </c>
      <c r="BA527" s="78"/>
      <c r="BB527" s="78"/>
      <c r="BC527" s="78"/>
      <c r="BD527" s="78"/>
      <c r="BE527" s="21" t="str">
        <f t="shared" si="53"/>
        <v>[603] = {wayshrines={469,469,469,}, dlcId=DLC_WAKING_FLAME</v>
      </c>
      <c r="BF527" s="21" t="str">
        <f t="shared" si="54"/>
        <v>, zoneIds={1268,1261,1261}, veteran=false</v>
      </c>
      <c r="BG527" s="21" t="str">
        <f t="shared" si="55"/>
        <v>, setType=LIBSETS_SETTYPE_DUNGEON</v>
      </c>
      <c r="BH527" s="21" t="str">
        <f t="shared" si="56"/>
        <v>, dropMechanic={LIBSETS_DROP_MECHANIC_GROUP_DUNGEON_BOSS}</v>
      </c>
      <c r="BI527" s="21" t="str">
        <f t="shared" si="57"/>
        <v>}, --Scorion\'s Feast  / Festmahl des Skorions   [The Dread Cellar, Blackwood, Blackwood]</v>
      </c>
    </row>
    <row r="528" spans="1:61" x14ac:dyDescent="0.25">
      <c r="A528" s="5">
        <v>604</v>
      </c>
      <c r="B528" t="s">
        <v>2515</v>
      </c>
      <c r="C528" t="s">
        <v>2492</v>
      </c>
      <c r="D528" s="3">
        <f t="shared" si="52"/>
        <v>604</v>
      </c>
      <c r="G528" s="8" t="s">
        <v>1473</v>
      </c>
      <c r="I528" t="s">
        <v>91</v>
      </c>
      <c r="J528" t="s">
        <v>91</v>
      </c>
      <c r="K528">
        <v>469</v>
      </c>
      <c r="L528">
        <v>469</v>
      </c>
      <c r="M528">
        <v>469</v>
      </c>
      <c r="O528" s="61" t="s">
        <v>2499</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constants'!$B$4:$C$1012,2,FALSE),"")</f>
        <v>Waking Flame</v>
      </c>
      <c r="V528" s="33" t="s">
        <v>3285</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8" t="s">
        <v>2653</v>
      </c>
      <c r="BA528" s="78"/>
      <c r="BB528" s="78"/>
      <c r="BC528" s="78"/>
      <c r="BD528" s="78"/>
      <c r="BE528" s="21" t="str">
        <f t="shared" si="53"/>
        <v>[604] = {wayshrines={469,469,469,}, dlcId=DLC_WAKING_FLAME</v>
      </c>
      <c r="BF528" s="21" t="str">
        <f t="shared" si="54"/>
        <v>, zoneIds={1268,1261,1261}, veteran=false</v>
      </c>
      <c r="BG528" s="21" t="str">
        <f t="shared" si="55"/>
        <v>, setType=LIBSETS_SETTYPE_DUNGEON</v>
      </c>
      <c r="BH528" s="21" t="str">
        <f t="shared" si="56"/>
        <v>, dropMechanic={LIBSETS_DROP_MECHANIC_GROUP_DUNGEON_BOSS}</v>
      </c>
      <c r="BI528" s="21" t="str">
        <f t="shared" si="57"/>
        <v>}, --Rush of Agony / Auftreibende Agonie   [The Dread Cellar, Blackwood, Blackwood]</v>
      </c>
    </row>
    <row r="529" spans="1:61" x14ac:dyDescent="0.25">
      <c r="A529" s="5">
        <v>605</v>
      </c>
      <c r="B529" t="s">
        <v>2520</v>
      </c>
      <c r="C529" t="s">
        <v>2497</v>
      </c>
      <c r="D529" s="3">
        <f t="shared" si="52"/>
        <v>605</v>
      </c>
      <c r="G529" s="8" t="s">
        <v>1473</v>
      </c>
      <c r="I529" t="s">
        <v>91</v>
      </c>
      <c r="J529" t="s">
        <v>91</v>
      </c>
      <c r="K529">
        <v>470</v>
      </c>
      <c r="L529">
        <v>470</v>
      </c>
      <c r="M529">
        <v>470</v>
      </c>
      <c r="O529" s="61" t="s">
        <v>2494</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constants'!$B$4:$C$1012,2,FALSE),"")</f>
        <v>Waking Flame</v>
      </c>
      <c r="V529" s="33" t="s">
        <v>3285</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8" t="s">
        <v>2653</v>
      </c>
      <c r="BA529" s="78"/>
      <c r="BB529" s="78"/>
      <c r="BC529" s="78"/>
      <c r="BD529" s="78"/>
      <c r="BE529" s="21" t="str">
        <f t="shared" si="53"/>
        <v>[605] = {wayshrines={470,470,470,}, dlcId=DLC_WAKING_FLAME</v>
      </c>
      <c r="BF529" s="21" t="str">
        <f t="shared" si="54"/>
        <v>, zoneIds={1267,3,3}, veteran=false</v>
      </c>
      <c r="BG529" s="21" t="str">
        <f t="shared" si="55"/>
        <v>, setType=LIBSETS_SETTYPE_DUNGEON</v>
      </c>
      <c r="BH529" s="21" t="str">
        <f t="shared" si="56"/>
        <v>, dropMechanic={LIBSETS_DROP_MECHANIC_GROUP_DUNGEON_BOSS}</v>
      </c>
      <c r="BI529" s="21" t="str">
        <f t="shared" si="57"/>
        <v>}, --Silver Rose Vigil / Silberrosen-Wacht   [Red Petal Bastion, Glenumbra, Glenumbra]</v>
      </c>
    </row>
    <row r="530" spans="1:61" x14ac:dyDescent="0.25">
      <c r="A530" s="5">
        <v>606</v>
      </c>
      <c r="B530" t="s">
        <v>2518</v>
      </c>
      <c r="C530" t="s">
        <v>2495</v>
      </c>
      <c r="D530" s="3">
        <f t="shared" si="52"/>
        <v>606</v>
      </c>
      <c r="G530" s="8" t="s">
        <v>1473</v>
      </c>
      <c r="I530" t="s">
        <v>91</v>
      </c>
      <c r="J530" t="s">
        <v>91</v>
      </c>
      <c r="K530">
        <v>470</v>
      </c>
      <c r="L530">
        <v>470</v>
      </c>
      <c r="M530">
        <v>470</v>
      </c>
      <c r="O530" s="61" t="s">
        <v>2494</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constants'!$B$4:$C$1012,2,FALSE),"")</f>
        <v>Waking Flame</v>
      </c>
      <c r="V530" s="33" t="s">
        <v>3285</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8" t="s">
        <v>2653</v>
      </c>
      <c r="BA530" s="78"/>
      <c r="BB530" s="78"/>
      <c r="BC530" s="78"/>
      <c r="BD530" s="78"/>
      <c r="BE530" s="21" t="str">
        <f t="shared" si="53"/>
        <v>[606] = {wayshrines={470,470,470,}, dlcId=DLC_WAKING_FLAME</v>
      </c>
      <c r="BF530" s="21" t="str">
        <f t="shared" si="54"/>
        <v>, zoneIds={1267,3,3}, veteran=false</v>
      </c>
      <c r="BG530" s="21" t="str">
        <f t="shared" si="55"/>
        <v>, setType=LIBSETS_SETTYPE_DUNGEON</v>
      </c>
      <c r="BH530" s="21" t="str">
        <f t="shared" si="56"/>
        <v>, dropMechanic={LIBSETS_DROP_MECHANIC_GROUP_DUNGEON_BOSS}</v>
      </c>
      <c r="BI530" s="21" t="str">
        <f t="shared" si="57"/>
        <v>}, --Thunder Caller / Donnerrufer   [Red Petal Bastion, Glenumbra, Glenumbra]</v>
      </c>
    </row>
    <row r="531" spans="1:61" x14ac:dyDescent="0.25">
      <c r="A531" s="5">
        <v>607</v>
      </c>
      <c r="B531" t="s">
        <v>2519</v>
      </c>
      <c r="C531" t="s">
        <v>2496</v>
      </c>
      <c r="D531" s="3">
        <f t="shared" si="52"/>
        <v>607</v>
      </c>
      <c r="G531" s="8" t="s">
        <v>1473</v>
      </c>
      <c r="I531" t="s">
        <v>91</v>
      </c>
      <c r="J531" t="s">
        <v>91</v>
      </c>
      <c r="K531">
        <v>470</v>
      </c>
      <c r="L531">
        <v>470</v>
      </c>
      <c r="M531">
        <v>470</v>
      </c>
      <c r="O531" s="61" t="s">
        <v>2494</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constants'!$B$4:$C$1012,2,FALSE),"")</f>
        <v>Waking Flame</v>
      </c>
      <c r="V531" s="33" t="s">
        <v>3285</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8" t="s">
        <v>2653</v>
      </c>
      <c r="BA531" s="78"/>
      <c r="BB531" s="78"/>
      <c r="BC531" s="78"/>
      <c r="BD531" s="78"/>
      <c r="BE531" s="21" t="str">
        <f t="shared" si="53"/>
        <v>[607] = {wayshrines={470,470,470,}, dlcId=DLC_WAKING_FLAME</v>
      </c>
      <c r="BF531" s="21" t="str">
        <f t="shared" si="54"/>
        <v>, zoneIds={1267,3,3}, veteran=false</v>
      </c>
      <c r="BG531" s="21" t="str">
        <f t="shared" si="55"/>
        <v>, setType=LIBSETS_SETTYPE_DUNGEON</v>
      </c>
      <c r="BH531" s="21" t="str">
        <f t="shared" si="56"/>
        <v>, dropMechanic={LIBSETS_DROP_MECHANIC_GROUP_DUNGEON_BOSS}</v>
      </c>
      <c r="BI531" s="21" t="str">
        <f t="shared" si="57"/>
        <v>}, --Grisly Gourmet / Grausiger Gourmet   [Red Petal Bastion, Glenumbra, Glenumbra]</v>
      </c>
    </row>
    <row r="532" spans="1:61" x14ac:dyDescent="0.25">
      <c r="A532" s="5">
        <v>608</v>
      </c>
      <c r="B532" t="s">
        <v>2498</v>
      </c>
      <c r="C532" t="s">
        <v>2498</v>
      </c>
      <c r="D532" s="3">
        <f t="shared" si="52"/>
        <v>608</v>
      </c>
      <c r="G532" s="8" t="s">
        <v>1475</v>
      </c>
      <c r="H532" s="86">
        <v>3</v>
      </c>
      <c r="I532" t="s">
        <v>1462</v>
      </c>
      <c r="J532" t="s">
        <v>91</v>
      </c>
      <c r="K532">
        <v>470</v>
      </c>
      <c r="L532">
        <v>470</v>
      </c>
      <c r="M532">
        <v>470</v>
      </c>
      <c r="O532" s="61" t="s">
        <v>2494</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constants'!$B$4:$C$1012,2,FALSE),"")</f>
        <v>Waking Flame</v>
      </c>
      <c r="V532" s="33" t="s">
        <v>1538</v>
      </c>
      <c r="W532" s="3" t="s">
        <v>2529</v>
      </c>
      <c r="X532" s="3" t="s">
        <v>2529</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8" t="s">
        <v>2653</v>
      </c>
      <c r="BA532" s="78"/>
      <c r="BB532" s="78"/>
      <c r="BC532" s="78"/>
      <c r="BD532" s="78"/>
      <c r="BE532" s="21" t="str">
        <f t="shared" si="53"/>
        <v>[608] = {wayshrines={470,470,470,}, dlcId=DLC_WAKING_FLAME</v>
      </c>
      <c r="BF532" s="21" t="str">
        <f t="shared" si="54"/>
        <v>, zoneIds={1267,3,3}, veteran={[EQUIP_TYPE_HEAD]=true, [EQUIP_TYPE_SHOULDERS]=false}</v>
      </c>
      <c r="BG532" s="21" t="str">
        <f t="shared" si="55"/>
        <v>, setType=LIBSETS_SETTYPE_MONSTER, undauntedChestId=3</v>
      </c>
      <c r="BH532" s="21" t="str">
        <f t="shared" si="56"/>
        <v>, dropMechanic={LIBSETS_DROP_MECHANIC_MONSTER_NAME}, dropMechanicDropLocationNames={['en']={'Prior Thierric Sarazen','','','','','',},['de']={'Prior Thierric Sarazen','','','','','',},}</v>
      </c>
      <c r="BI532" s="21" t="str">
        <f t="shared" si="57"/>
        <v>}, --Prior Thierric / Prior Thierric   [Red Petal Bastion, Glenumbra, Glenumbra]</v>
      </c>
    </row>
    <row r="533" spans="1:61" x14ac:dyDescent="0.25">
      <c r="A533" s="5">
        <v>609</v>
      </c>
      <c r="B533" t="s">
        <v>2517</v>
      </c>
      <c r="C533" t="s">
        <v>2493</v>
      </c>
      <c r="D533" s="3">
        <f t="shared" si="52"/>
        <v>609</v>
      </c>
      <c r="G533" s="8" t="s">
        <v>1475</v>
      </c>
      <c r="H533" s="86">
        <v>3</v>
      </c>
      <c r="I533" t="s">
        <v>1462</v>
      </c>
      <c r="J533" t="s">
        <v>91</v>
      </c>
      <c r="K533">
        <v>469</v>
      </c>
      <c r="L533">
        <v>469</v>
      </c>
      <c r="M533">
        <v>469</v>
      </c>
      <c r="O533" s="61" t="s">
        <v>2499</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constants'!$B$4:$C$1012,2,FALSE),"")</f>
        <v>Waking Flame</v>
      </c>
      <c r="V533" s="33" t="s">
        <v>1538</v>
      </c>
      <c r="W533" s="3" t="s">
        <v>2493</v>
      </c>
      <c r="X533" s="3" t="s">
        <v>2517</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8" t="s">
        <v>2653</v>
      </c>
      <c r="BA533" s="78"/>
      <c r="BB533" s="78"/>
      <c r="BC533" s="78"/>
      <c r="BD533" s="78"/>
      <c r="BE533" s="21" t="str">
        <f t="shared" si="53"/>
        <v>[609] = {wayshrines={469,469,469,}, dlcId=DLC_WAKING_FLAME</v>
      </c>
      <c r="BF533" s="21" t="str">
        <f t="shared" si="54"/>
        <v>, zoneIds={1268,1261,1261}, veteran={[EQUIP_TYPE_HEAD]=true, [EQUIP_TYPE_SHOULDERS]=false}</v>
      </c>
      <c r="BG533" s="21" t="str">
        <f t="shared" si="55"/>
        <v>, setType=LIBSETS_SETTYPE_MONSTER, undauntedChestId=3</v>
      </c>
      <c r="BH533" s="21" t="str">
        <f t="shared" si="56"/>
        <v>, dropMechanic={LIBSETS_DROP_MECHANIC_MONSTER_NAME}, dropMechanicDropLocationNames={['en']={'Magma Incarnate','','','','','',},['de']={'Magmaverkörperung','','','','','',},}</v>
      </c>
      <c r="BI533" s="21" t="str">
        <f t="shared" si="57"/>
        <v>}, --Magma Incarnate / Magmaverkörperung   [The Dread Cellar, Blackwood, Blackwood]</v>
      </c>
    </row>
    <row r="534" spans="1:61" x14ac:dyDescent="0.25">
      <c r="A534" s="5">
        <v>610</v>
      </c>
      <c r="B534" t="s">
        <v>2657</v>
      </c>
      <c r="C534" t="s">
        <v>2699</v>
      </c>
      <c r="D534" s="3">
        <f t="shared" si="52"/>
        <v>610</v>
      </c>
      <c r="G534" s="3" t="s">
        <v>1470</v>
      </c>
      <c r="I534" t="s">
        <v>91</v>
      </c>
      <c r="J534" t="s">
        <v>91</v>
      </c>
      <c r="K534">
        <v>478</v>
      </c>
      <c r="L534">
        <v>478</v>
      </c>
      <c r="M534">
        <v>478</v>
      </c>
      <c r="N534">
        <v>3</v>
      </c>
      <c r="O534" s="61" t="s">
        <v>2442</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constants'!$B$4:$C$1012,2,FALSE),"")</f>
        <v>Included in base game</v>
      </c>
      <c r="V534" s="33" t="s">
        <v>3288</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constants'!$A$5:$D$10001,4,FALSE),"")</f>
        <v>The Deadlands</v>
      </c>
      <c r="AB534" s="33" t="s">
        <v>3288</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constants'!$A$5:$D$10001,4,FALSE),"")</f>
        <v>The Deadlands</v>
      </c>
      <c r="AH534" s="42" t="s">
        <v>3288</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82"/>
      <c r="BA534" s="82"/>
      <c r="BB534" s="82"/>
      <c r="BC534" s="82"/>
      <c r="BD534" s="82"/>
      <c r="BE534" s="21" t="str">
        <f t="shared" si="53"/>
        <v>[610] = {wayshrines={478,478,478,}, traitsNeeded=3, dlcId=DLC_BASE_GAME</v>
      </c>
      <c r="BF534" s="21" t="str">
        <f t="shared" si="54"/>
        <v>, zoneIds={1286,1286,1286}, veteran=false</v>
      </c>
      <c r="BG534" s="21" t="str">
        <f t="shared" si="55"/>
        <v>, setType=LIBSETS_SETTYPE_CRAFTED</v>
      </c>
      <c r="BH534" s="21" t="str">
        <f t="shared" si="56"/>
        <v>, dropMechanic={LIBSETS_DROP_MECHANIC_CRAFTED,LIBSETS_DROP_MECHANIC_CRAFTED,LIBSETS_DROP_MECHANIC_CRAFTED}</v>
      </c>
      <c r="BI534" s="21" t="str">
        <f t="shared" si="57"/>
        <v>}, --Wretched Vitality / Elendsvitalität   [The Deadlands, The Deadlands, The Deadlands]</v>
      </c>
    </row>
    <row r="535" spans="1:61" x14ac:dyDescent="0.25">
      <c r="A535" s="5">
        <v>611</v>
      </c>
      <c r="B535" t="s">
        <v>2658</v>
      </c>
      <c r="C535" t="s">
        <v>2700</v>
      </c>
      <c r="D535" s="3">
        <f t="shared" si="52"/>
        <v>611</v>
      </c>
      <c r="G535" s="3" t="s">
        <v>1470</v>
      </c>
      <c r="I535" t="s">
        <v>91</v>
      </c>
      <c r="J535" t="s">
        <v>91</v>
      </c>
      <c r="K535" s="36">
        <v>494</v>
      </c>
      <c r="L535" s="36">
        <v>494</v>
      </c>
      <c r="M535" s="36">
        <v>494</v>
      </c>
      <c r="N535">
        <v>7</v>
      </c>
      <c r="O535" s="61" t="s">
        <v>2442</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constants'!$B$4:$C$1012,2,FALSE),"")</f>
        <v>Included in base game</v>
      </c>
      <c r="V535" s="33" t="s">
        <v>3288</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constants'!$A$5:$D$10001,4,FALSE),"")</f>
        <v>The Deadlands</v>
      </c>
      <c r="AB535" s="33" t="s">
        <v>3288</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constants'!$A$5:$D$10001,4,FALSE),"")</f>
        <v>The Deadlands</v>
      </c>
      <c r="AH535" s="42" t="s">
        <v>3288</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82"/>
      <c r="BA535" s="82"/>
      <c r="BB535" s="82"/>
      <c r="BC535" s="82"/>
      <c r="BD535" s="82"/>
      <c r="BE535" s="21" t="str">
        <f t="shared" si="53"/>
        <v>[611] = {wayshrines={494,494,494,}, traitsNeeded=7, dlcId=DLC_BASE_GAME</v>
      </c>
      <c r="BF535" s="21" t="str">
        <f t="shared" si="54"/>
        <v>, zoneIds={1286,1286,1286}, veteran=false</v>
      </c>
      <c r="BG535" s="21" t="str">
        <f t="shared" si="55"/>
        <v>, setType=LIBSETS_SETTYPE_CRAFTED</v>
      </c>
      <c r="BH535" s="21" t="str">
        <f t="shared" si="56"/>
        <v>, dropMechanic={LIBSETS_DROP_MECHANIC_CRAFTED,LIBSETS_DROP_MECHANIC_CRAFTED,LIBSETS_DROP_MECHANIC_CRAFTED}</v>
      </c>
      <c r="BI535" s="21" t="str">
        <f t="shared" si="57"/>
        <v>}, --Deadlands Demolisher / Totenländer-Demolierer   [The Deadlands, The Deadlands, The Deadlands]</v>
      </c>
    </row>
    <row r="536" spans="1:61" x14ac:dyDescent="0.25">
      <c r="A536" s="5">
        <v>612</v>
      </c>
      <c r="B536" t="s">
        <v>2659</v>
      </c>
      <c r="C536" t="s">
        <v>2701</v>
      </c>
      <c r="D536" s="3">
        <f t="shared" si="52"/>
        <v>612</v>
      </c>
      <c r="G536" s="3" t="s">
        <v>1470</v>
      </c>
      <c r="I536" t="s">
        <v>91</v>
      </c>
      <c r="J536" t="s">
        <v>91</v>
      </c>
      <c r="K536" s="36">
        <v>489</v>
      </c>
      <c r="L536" s="36">
        <v>489</v>
      </c>
      <c r="M536" s="36">
        <v>489</v>
      </c>
      <c r="N536">
        <v>5</v>
      </c>
      <c r="O536" s="61" t="s">
        <v>2679</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constants'!$H$3:$K$9989,4,FALSE)),""))</f>
        <v>DLC_WRATHSTONE</v>
      </c>
      <c r="U536" s="3" t="str">
        <f>IF(T536&lt;&gt;"",VLOOKUP(T536,'LibSets constants'!$B$4:$C$1012,2,FALSE),"")</f>
        <v>Wrathstone</v>
      </c>
      <c r="V536" s="33" t="s">
        <v>3288</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constants'!$A$5:$D$10001,4,FALSE),"")</f>
        <v>The Shambles</v>
      </c>
      <c r="AB536" s="33" t="s">
        <v>3288</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constants'!$A$5:$D$10001,4,FALSE),"")</f>
        <v>The Shambles</v>
      </c>
      <c r="AH536" s="33" t="s">
        <v>3288</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82"/>
      <c r="BA536" s="82"/>
      <c r="BB536" s="82"/>
      <c r="BC536" s="82"/>
      <c r="BD536" s="82"/>
      <c r="BE536" s="21" t="str">
        <f t="shared" si="53"/>
        <v>[612] = {wayshrines={489,489,489,}, traitsNeeded=5, dlcId=DLC_WRATHSTONE</v>
      </c>
      <c r="BF536" s="21" t="str">
        <f t="shared" si="54"/>
        <v>, zoneIds={1283,1283,1283}, veteran=false</v>
      </c>
      <c r="BG536" s="21" t="str">
        <f t="shared" si="55"/>
        <v>, setType=LIBSETS_SETTYPE_CRAFTED</v>
      </c>
      <c r="BH536" s="21" t="str">
        <f t="shared" si="56"/>
        <v>, dropMechanic={LIBSETS_DROP_MECHANIC_CRAFTED,LIBSETS_DROP_MECHANIC_CRAFTED,LIBSETS_DROP_MECHANIC_CRAFTED}</v>
      </c>
      <c r="BI536" s="21" t="str">
        <f t="shared" si="57"/>
        <v>}, --Iron Flask / Eisenfläschchen   [The Shambles, The Shambles, The Shambles]</v>
      </c>
    </row>
    <row r="537" spans="1:61" x14ac:dyDescent="0.25">
      <c r="A537" s="5">
        <v>613</v>
      </c>
      <c r="B537" t="s">
        <v>2660</v>
      </c>
      <c r="C537" t="s">
        <v>2707</v>
      </c>
      <c r="D537" s="3">
        <f t="shared" si="52"/>
        <v>613</v>
      </c>
      <c r="G537" s="3" t="s">
        <v>1476</v>
      </c>
      <c r="I537" t="s">
        <v>91</v>
      </c>
      <c r="J537" t="s">
        <v>91</v>
      </c>
      <c r="K537">
        <v>493</v>
      </c>
      <c r="L537">
        <v>493</v>
      </c>
      <c r="M537">
        <v>493</v>
      </c>
      <c r="O537" s="61" t="s">
        <v>2442</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constants'!$B$4:$C$1012,2,FALSE),"")</f>
        <v>Included in base game</v>
      </c>
      <c r="V537" s="33" t="s">
        <v>1554</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constants'!$A$5:$D$10001,4,FALSE),"")</f>
        <v>The Shambles</v>
      </c>
      <c r="AB537" s="33" t="s">
        <v>1554</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constants'!$A$5:$D$10001,4,FALSE),"")</f>
        <v>The Shambles</v>
      </c>
      <c r="AH537" s="33" t="s">
        <v>1557</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82"/>
      <c r="BA537" s="82"/>
      <c r="BB537" s="82"/>
      <c r="BC537" s="82"/>
      <c r="BD537" s="82"/>
      <c r="BE537" s="21" t="str">
        <f t="shared" si="53"/>
        <v>[613] = {wayshrines={493,493,493,}, dlcId=DLC_BASE_GAME</v>
      </c>
      <c r="BF537" s="21" t="str">
        <f t="shared" si="54"/>
        <v>, zoneIds={1286,1283,1283}, veteran=false</v>
      </c>
      <c r="BG537" s="21" t="str">
        <f t="shared" si="55"/>
        <v>, setType=LIBSETS_SETTYPE_OVERLAND</v>
      </c>
      <c r="BH537" s="21" t="str">
        <f t="shared" si="56"/>
        <v>, dropMechanic={LIBSETS_DROP_MECHANIC_OVERLAND_BOSS_DELVE,LIBSETS_DROP_MECHANIC_OVERLAND_BOSS_DELVE,LIBSETS_DROP_MECHANIC_OVERLAND_CHEST}</v>
      </c>
      <c r="BI537" s="21" t="str">
        <f t="shared" si="57"/>
        <v>}, --Eye of the Grasp / Griffblick   [The Deadlands, The Shambles, The Shambles]</v>
      </c>
    </row>
    <row r="538" spans="1:61" x14ac:dyDescent="0.25">
      <c r="A538" s="5">
        <v>614</v>
      </c>
      <c r="B538" t="s">
        <v>2661</v>
      </c>
      <c r="C538" t="s">
        <v>2706</v>
      </c>
      <c r="D538" s="3">
        <f t="shared" si="52"/>
        <v>614</v>
      </c>
      <c r="G538" s="3" t="s">
        <v>1476</v>
      </c>
      <c r="I538" t="s">
        <v>91</v>
      </c>
      <c r="J538" t="s">
        <v>91</v>
      </c>
      <c r="K538">
        <v>493</v>
      </c>
      <c r="L538">
        <v>493</v>
      </c>
      <c r="M538">
        <v>493</v>
      </c>
      <c r="O538" s="61" t="s">
        <v>2442</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constants'!$B$4:$C$1012,2,FALSE),"")</f>
        <v>Included in base game</v>
      </c>
      <c r="V538" s="33" t="s">
        <v>1554</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constants'!$A$5:$D$10001,4,FALSE),"")</f>
        <v>The Shambles</v>
      </c>
      <c r="AB538" s="33" t="s">
        <v>1554</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constants'!$A$5:$D$10001,4,FALSE),"")</f>
        <v>The Shambles</v>
      </c>
      <c r="AH538" s="33" t="s">
        <v>1557</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5"/>
      <c r="BA538" s="82"/>
      <c r="BB538" s="82"/>
      <c r="BC538" s="82"/>
      <c r="BD538" s="82"/>
      <c r="BE538" s="21" t="str">
        <f t="shared" si="53"/>
        <v>[614] = {wayshrines={493,493,493,}, dlcId=DLC_BASE_GAME</v>
      </c>
      <c r="BF538" s="21" t="str">
        <f t="shared" si="54"/>
        <v>, zoneIds={1286,1283,1283}, veteran=false</v>
      </c>
      <c r="BG538" s="21" t="str">
        <f t="shared" si="55"/>
        <v>, setType=LIBSETS_SETTYPE_OVERLAND</v>
      </c>
      <c r="BH538" s="21" t="str">
        <f t="shared" si="56"/>
        <v>, dropMechanic={LIBSETS_DROP_MECHANIC_OVERLAND_BOSS_DELVE,LIBSETS_DROP_MECHANIC_OVERLAND_BOSS_DELVE,LIBSETS_DROP_MECHANIC_OVERLAND_CHEST}</v>
      </c>
      <c r="BI538" s="21" t="str">
        <f t="shared" si="57"/>
        <v>}, --Hexos' Ward / Hexos-Abschirmung   [The Deadlands, The Shambles, The Shambles]</v>
      </c>
    </row>
    <row r="539" spans="1:61" x14ac:dyDescent="0.25">
      <c r="A539" s="5">
        <v>615</v>
      </c>
      <c r="B539" t="s">
        <v>2662</v>
      </c>
      <c r="C539" t="s">
        <v>2705</v>
      </c>
      <c r="D539" s="3">
        <f t="shared" si="52"/>
        <v>615</v>
      </c>
      <c r="G539" s="3" t="s">
        <v>1476</v>
      </c>
      <c r="I539" t="s">
        <v>91</v>
      </c>
      <c r="J539" t="s">
        <v>91</v>
      </c>
      <c r="K539">
        <v>493</v>
      </c>
      <c r="L539">
        <v>493</v>
      </c>
      <c r="M539">
        <v>493</v>
      </c>
      <c r="O539" s="61" t="s">
        <v>2442</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constants'!$B$4:$C$1012,2,FALSE),"")</f>
        <v>Included in base game</v>
      </c>
      <c r="V539" s="33" t="s">
        <v>1554</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constants'!$A$5:$D$10001,4,FALSE),"")</f>
        <v>The Shambles</v>
      </c>
      <c r="AB539" s="33" t="s">
        <v>1554</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constants'!$A$5:$D$10001,4,FALSE),"")</f>
        <v>The Shambles</v>
      </c>
      <c r="AH539" s="33" t="s">
        <v>1557</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5"/>
      <c r="BA539" s="82"/>
      <c r="BB539" s="82"/>
      <c r="BC539" s="82"/>
      <c r="BD539" s="82"/>
      <c r="BE539" s="21" t="str">
        <f t="shared" si="53"/>
        <v>[615] = {wayshrines={493,493,493,}, dlcId=DLC_BASE_GAME</v>
      </c>
      <c r="BF539" s="21" t="str">
        <f t="shared" si="54"/>
        <v>, zoneIds={1286,1283,1283}, veteran=false</v>
      </c>
      <c r="BG539" s="21" t="str">
        <f t="shared" si="55"/>
        <v>, setType=LIBSETS_SETTYPE_OVERLAND</v>
      </c>
      <c r="BH539" s="21" t="str">
        <f t="shared" si="56"/>
        <v>, dropMechanic={LIBSETS_DROP_MECHANIC_OVERLAND_BOSS_DELVE,LIBSETS_DROP_MECHANIC_OVERLAND_BOSS_DELVE,LIBSETS_DROP_MECHANIC_OVERLAND_CHEST}</v>
      </c>
      <c r="BI539" s="21" t="str">
        <f t="shared" si="57"/>
        <v>}, --Kynmarcher's Cruelty / Grausamkeit der Kynandantin   [The Deadlands, The Shambles, The Shambles]</v>
      </c>
    </row>
    <row r="540" spans="1:61" x14ac:dyDescent="0.25">
      <c r="A540" s="5">
        <v>616</v>
      </c>
      <c r="B540" t="s">
        <v>2521</v>
      </c>
      <c r="C540" t="s">
        <v>2512</v>
      </c>
      <c r="D540" s="3">
        <f t="shared" si="52"/>
        <v>616</v>
      </c>
      <c r="E540" s="40"/>
      <c r="G540" s="3" t="s">
        <v>1471</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WayshrineInfo'!$K$3:$N$9972,4,FALSE),"")))</f>
        <v>Cyrodiil</v>
      </c>
      <c r="S540" s="61" t="s">
        <v>2527</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constants'!$B$4:$C$1012,2,FALSE),"")</f>
        <v>Waking Flame</v>
      </c>
      <c r="V540" s="33" t="s">
        <v>1535</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constants'!$A$5:$D$10001,4,FALSE),"")</f>
        <v>Cyrodiil</v>
      </c>
      <c r="AB540" s="33" t="s">
        <v>3737</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constants'!$A$5:$D$10001,4,FALSE),"")</f>
        <v>Cyrodiil</v>
      </c>
      <c r="AH540" s="33" t="s">
        <v>2765</v>
      </c>
      <c r="AK540" s="3">
        <f>IF(AND(G540&lt;&gt;"LIBSETS_SETTYPE_BATTLEGROUND",G540&lt;&gt;"LIBSETS_SETTYPE_SPECIAL"),IF(AL540&lt;&gt;"",VLOOKUP(AL540,'ESO zone constants'!$D$5:$H$4955,5,FALSE),""),"")</f>
        <v>181</v>
      </c>
      <c r="AL540" t="s">
        <v>125</v>
      </c>
      <c r="AM540" s="33" t="s">
        <v>3740</v>
      </c>
      <c r="AP540" s="3">
        <f>IF(AND(G540&lt;&gt;"LIBSETS_SETTYPE_BATTLEGROUND",G540&lt;&gt;"LIBSETS_SETTYPE_SPECIAL"),IF(AQ540&lt;&gt;"",VLOOKUP(AQ540,'ESO zone constants'!$D$5:$H$4955,5,FALSE),""),"")</f>
        <v>181</v>
      </c>
      <c r="AQ540" t="s">
        <v>125</v>
      </c>
      <c r="AR540" s="33" t="s">
        <v>1554</v>
      </c>
      <c r="AU540" s="3">
        <f>IF(AND(G540&lt;&gt;"LIBSETS_SETTYPE_BATTLEGROUND",G540&lt;&gt;"LIBSETS_SETTYPE_SPECIAL"),IF(AV540&lt;&gt;"",VLOOKUP(AV540,'ESO zone constants'!$D$5:$H$4955,5,FALSE),""),"")</f>
        <v>181</v>
      </c>
      <c r="AV540" t="s">
        <v>125</v>
      </c>
      <c r="AW540" s="33" t="s">
        <v>3236</v>
      </c>
      <c r="AZ540" s="83" t="s">
        <v>2653</v>
      </c>
      <c r="BA540" s="78"/>
      <c r="BB540" s="78"/>
      <c r="BC540" s="78"/>
      <c r="BD540" s="78"/>
      <c r="BE540" s="21" t="str">
        <f t="shared" si="53"/>
        <v>[616] = {wayshrines={-1,-1,-1,}, dlcId=DLC_WAKING_FLAME</v>
      </c>
      <c r="BF540" s="21" t="str">
        <f t="shared" si="54"/>
        <v>, zoneIds={181,181,181,181,181,181}, veteran=false</v>
      </c>
      <c r="BG540" s="21" t="str">
        <f t="shared" si="55"/>
        <v>, setType=LIBSETS_SETTYPE_CYRODIIL</v>
      </c>
      <c r="BH540"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 t="shared" si="57"/>
        <v>}, --Dark Convergence / Dunkle Konvergenz   [Cyrodiil, Cyrodiil, Cyrodiil, Cyrodiil, Cyrodiil, Cyrodiil]</v>
      </c>
    </row>
    <row r="541" spans="1:61" x14ac:dyDescent="0.25">
      <c r="A541" s="5">
        <v>617</v>
      </c>
      <c r="B541" t="s">
        <v>2522</v>
      </c>
      <c r="C541" t="s">
        <v>2513</v>
      </c>
      <c r="D541" s="3">
        <f t="shared" si="52"/>
        <v>617</v>
      </c>
      <c r="G541" s="3" t="s">
        <v>1471</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WayshrineInfo'!$K$3:$N$9972,4,FALSE),"")))</f>
        <v>Cyrodiil</v>
      </c>
      <c r="S541" s="61" t="s">
        <v>2527</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constants'!$B$4:$C$1012,2,FALSE),"")</f>
        <v>Waking Flame</v>
      </c>
      <c r="V541" s="33" t="s">
        <v>1535</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constants'!$A$5:$D$10001,4,FALSE),"")</f>
        <v>Cyrodiil</v>
      </c>
      <c r="AB541" s="33" t="s">
        <v>3737</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constants'!$A$5:$D$10001,4,FALSE),"")</f>
        <v>Cyrodiil</v>
      </c>
      <c r="AH541" s="33" t="s">
        <v>2765</v>
      </c>
      <c r="AK541" s="3">
        <f>IF(AND(G541&lt;&gt;"LIBSETS_SETTYPE_BATTLEGROUND",G541&lt;&gt;"LIBSETS_SETTYPE_SPECIAL"),IF(AL541&lt;&gt;"",VLOOKUP(AL541,'ESO zone constants'!$D$5:$H$4955,5,FALSE),""),"")</f>
        <v>181</v>
      </c>
      <c r="AL541" t="s">
        <v>125</v>
      </c>
      <c r="AM541" s="33" t="s">
        <v>3740</v>
      </c>
      <c r="AP541" s="3">
        <f>IF(AND(G541&lt;&gt;"LIBSETS_SETTYPE_BATTLEGROUND",G541&lt;&gt;"LIBSETS_SETTYPE_SPECIAL"),IF(AQ541&lt;&gt;"",VLOOKUP(AQ541,'ESO zone constants'!$D$5:$H$4955,5,FALSE),""),"")</f>
        <v>181</v>
      </c>
      <c r="AQ541" t="s">
        <v>125</v>
      </c>
      <c r="AR541" s="33" t="s">
        <v>1554</v>
      </c>
      <c r="AU541" s="3">
        <f>IF(AND(G541&lt;&gt;"LIBSETS_SETTYPE_BATTLEGROUND",G541&lt;&gt;"LIBSETS_SETTYPE_SPECIAL"),IF(AV541&lt;&gt;"",VLOOKUP(AV541,'ESO zone constants'!$D$5:$H$4955,5,FALSE),""),"")</f>
        <v>181</v>
      </c>
      <c r="AV541" t="s">
        <v>125</v>
      </c>
      <c r="AW541" s="33" t="s">
        <v>3236</v>
      </c>
      <c r="AZ541" s="83" t="s">
        <v>2653</v>
      </c>
      <c r="BA541" s="78"/>
      <c r="BB541" s="78"/>
      <c r="BC541" s="78"/>
      <c r="BD541" s="78"/>
      <c r="BE541" s="21" t="str">
        <f t="shared" si="53"/>
        <v>[617] = {wayshrines={-1,-1,-1,}, dlcId=DLC_WAKING_FLAME</v>
      </c>
      <c r="BF541" s="21" t="str">
        <f t="shared" si="54"/>
        <v>, zoneIds={181,181,181,181,181,181}, veteran=false</v>
      </c>
      <c r="BG541" s="21" t="str">
        <f t="shared" si="55"/>
        <v>, setType=LIBSETS_SETTYPE_CYRODIIL</v>
      </c>
      <c r="BH541"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 t="shared" si="57"/>
        <v>}, --Plaguebreak / Seuchenbruch   [Cyrodiil, Cyrodiil, Cyrodiil, Cyrodiil, Cyrodiil, Cyrodiil]</v>
      </c>
    </row>
    <row r="542" spans="1:61" x14ac:dyDescent="0.25">
      <c r="A542" s="5">
        <v>618</v>
      </c>
      <c r="B542" t="s">
        <v>2523</v>
      </c>
      <c r="C542" t="s">
        <v>2652</v>
      </c>
      <c r="D542" s="3">
        <f t="shared" si="52"/>
        <v>618</v>
      </c>
      <c r="G542" s="3" t="s">
        <v>1471</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WayshrineInfo'!$K$3:$N$9972,4,FALSE),"")))</f>
        <v>Cyrodiil</v>
      </c>
      <c r="S542" s="61" t="s">
        <v>2527</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constants'!$B$4:$C$1012,2,FALSE),"")</f>
        <v>Waking Flame</v>
      </c>
      <c r="V542" s="33" t="s">
        <v>1535</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constants'!$A$5:$D$10001,4,FALSE),"")</f>
        <v>Cyrodiil</v>
      </c>
      <c r="AB542" s="33" t="s">
        <v>3737</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constants'!$A$5:$D$10001,4,FALSE),"")</f>
        <v>Cyrodiil</v>
      </c>
      <c r="AH542" s="33" t="s">
        <v>2765</v>
      </c>
      <c r="AK542" s="3">
        <f>IF(AND(G542&lt;&gt;"LIBSETS_SETTYPE_BATTLEGROUND",G542&lt;&gt;"LIBSETS_SETTYPE_SPECIAL"),IF(AL542&lt;&gt;"",VLOOKUP(AL542,'ESO zone constants'!$D$5:$H$4955,5,FALSE),""),"")</f>
        <v>181</v>
      </c>
      <c r="AL542" t="s">
        <v>125</v>
      </c>
      <c r="AM542" s="33" t="s">
        <v>3740</v>
      </c>
      <c r="AP542" s="3">
        <f>IF(AND(G542&lt;&gt;"LIBSETS_SETTYPE_BATTLEGROUND",G542&lt;&gt;"LIBSETS_SETTYPE_SPECIAL"),IF(AQ542&lt;&gt;"",VLOOKUP(AQ542,'ESO zone constants'!$D$5:$H$4955,5,FALSE),""),"")</f>
        <v>181</v>
      </c>
      <c r="AQ542" t="s">
        <v>125</v>
      </c>
      <c r="AR542" s="33" t="s">
        <v>1554</v>
      </c>
      <c r="AU542" s="3">
        <f>IF(AND(G542&lt;&gt;"LIBSETS_SETTYPE_BATTLEGROUND",G542&lt;&gt;"LIBSETS_SETTYPE_SPECIAL"),IF(AV542&lt;&gt;"",VLOOKUP(AV542,'ESO zone constants'!$D$5:$H$4955,5,FALSE),""),"")</f>
        <v>181</v>
      </c>
      <c r="AV542" t="s">
        <v>125</v>
      </c>
      <c r="AW542" s="33" t="s">
        <v>3236</v>
      </c>
      <c r="AZ542" s="83" t="s">
        <v>2653</v>
      </c>
      <c r="BA542" s="78"/>
      <c r="BB542" s="78"/>
      <c r="BC542" s="78"/>
      <c r="BD542" s="78"/>
      <c r="BE542" s="21" t="str">
        <f t="shared" si="53"/>
        <v>[618] = {wayshrines={-1,-1,-1,}, dlcId=DLC_WAKING_FLAME</v>
      </c>
      <c r="BF542" s="21" t="str">
        <f t="shared" si="54"/>
        <v>, zoneIds={181,181,181,181,181,181}, veteran=false</v>
      </c>
      <c r="BG542" s="21" t="str">
        <f t="shared" si="55"/>
        <v>, setType=LIBSETS_SETTYPE_CYRODIIL</v>
      </c>
      <c r="BH54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 t="shared" si="57"/>
        <v>}, --Hrothgar\'s Chill / Hrothgars Kühle   [Cyrodiil, Cyrodiil, Cyrodiil, Cyrodiil, Cyrodiil, Cyrodiil]</v>
      </c>
    </row>
    <row r="543" spans="1:61" x14ac:dyDescent="0.25">
      <c r="A543" s="71">
        <v>619</v>
      </c>
      <c r="B543" t="s">
        <v>2744</v>
      </c>
      <c r="C543" t="s">
        <v>2743</v>
      </c>
      <c r="D543" s="3">
        <f t="shared" si="52"/>
        <v>619</v>
      </c>
      <c r="G543" s="8" t="s">
        <v>1473</v>
      </c>
      <c r="I543" t="s">
        <v>91</v>
      </c>
      <c r="J543" t="s">
        <v>91</v>
      </c>
      <c r="K543">
        <v>497</v>
      </c>
      <c r="L543">
        <v>497</v>
      </c>
      <c r="M543">
        <v>497</v>
      </c>
      <c r="O543" s="61" t="s">
        <v>2712</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constants'!$B$4:$C$1012,2,FALSE),"")</f>
        <v>Ascending Tide</v>
      </c>
      <c r="V543" s="89" t="s">
        <v>3285</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5"/>
      <c r="BA543" s="82"/>
      <c r="BB543" s="82"/>
      <c r="BC543" s="82"/>
      <c r="BD543" s="82"/>
      <c r="BE543" s="21" t="str">
        <f t="shared" si="53"/>
        <v>[619] = {wayshrines={497,497,497,}, dlcId=DLC_ASCENDING_TIDE</v>
      </c>
      <c r="BF543" s="21" t="str">
        <f t="shared" si="54"/>
        <v>, zoneIds={1301,1011,1011}, veteran=false</v>
      </c>
      <c r="BG543" s="21" t="str">
        <f t="shared" si="55"/>
        <v>, setType=LIBSETS_SETTYPE_DUNGEON</v>
      </c>
      <c r="BH543" s="21" t="str">
        <f t="shared" si="56"/>
        <v>, dropMechanic={LIBSETS_DROP_MECHANIC_GROUP_DUNGEON_BOSS}</v>
      </c>
      <c r="BI543" s="21" t="str">
        <f t="shared" si="57"/>
        <v>}, --Maligalig\'s Maelstrom / Maligaligs Mahlstrom   [Coral Aerie, Summerset, Summerset]</v>
      </c>
    </row>
    <row r="544" spans="1:61" x14ac:dyDescent="0.25">
      <c r="A544" s="71">
        <v>620</v>
      </c>
      <c r="B544" t="s">
        <v>2742</v>
      </c>
      <c r="C544" t="s">
        <v>2731</v>
      </c>
      <c r="D544" s="3">
        <f t="shared" si="52"/>
        <v>620</v>
      </c>
      <c r="G544" s="8" t="s">
        <v>1473</v>
      </c>
      <c r="I544" t="s">
        <v>91</v>
      </c>
      <c r="J544" t="s">
        <v>91</v>
      </c>
      <c r="K544">
        <v>497</v>
      </c>
      <c r="L544">
        <v>497</v>
      </c>
      <c r="M544">
        <v>497</v>
      </c>
      <c r="O544" s="61" t="s">
        <v>2712</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constants'!$B$4:$C$1012,2,FALSE),"")</f>
        <v>Ascending Tide</v>
      </c>
      <c r="V544" s="89" t="s">
        <v>3285</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5"/>
      <c r="BA544" s="82"/>
      <c r="BB544" s="82"/>
      <c r="BC544" s="82"/>
      <c r="BD544" s="82"/>
      <c r="BE544" s="21" t="str">
        <f t="shared" si="53"/>
        <v>[620] = {wayshrines={497,497,497,}, dlcId=DLC_ASCENDING_TIDE</v>
      </c>
      <c r="BF544" s="21" t="str">
        <f t="shared" si="54"/>
        <v>, zoneIds={1301,1011,1011}, veteran=false</v>
      </c>
      <c r="BG544" s="21" t="str">
        <f t="shared" si="55"/>
        <v>, setType=LIBSETS_SETTYPE_DUNGEON</v>
      </c>
      <c r="BH544" s="21" t="str">
        <f t="shared" si="56"/>
        <v>, dropMechanic={LIBSETS_DROP_MECHANIC_GROUP_DUNGEON_BOSS}</v>
      </c>
      <c r="BI544" s="21" t="str">
        <f t="shared" si="57"/>
        <v>}, --Gryphon\'s Reprisal / Vergeltung des Greifen   [Coral Aerie, Summerset, Summerset]</v>
      </c>
    </row>
    <row r="545" spans="1:61" x14ac:dyDescent="0.25">
      <c r="A545" s="71">
        <v>621</v>
      </c>
      <c r="B545" t="s">
        <v>2741</v>
      </c>
      <c r="C545" t="s">
        <v>2714</v>
      </c>
      <c r="D545" s="3">
        <f t="shared" si="52"/>
        <v>621</v>
      </c>
      <c r="G545" s="8" t="s">
        <v>1473</v>
      </c>
      <c r="I545" t="s">
        <v>91</v>
      </c>
      <c r="J545" t="s">
        <v>91</v>
      </c>
      <c r="K545">
        <v>497</v>
      </c>
      <c r="L545">
        <v>497</v>
      </c>
      <c r="M545">
        <v>497</v>
      </c>
      <c r="O545" s="61" t="s">
        <v>2712</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constants'!$B$4:$C$1012,2,FALSE),"")</f>
        <v>Ascending Tide</v>
      </c>
      <c r="V545" s="89" t="s">
        <v>3285</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5"/>
      <c r="BA545" s="82"/>
      <c r="BB545" s="82"/>
      <c r="BC545" s="82"/>
      <c r="BD545" s="82"/>
      <c r="BE545" s="21" t="str">
        <f t="shared" si="53"/>
        <v>[621] = {wayshrines={497,497,497,}, dlcId=DLC_ASCENDING_TIDE</v>
      </c>
      <c r="BF545" s="21" t="str">
        <f t="shared" si="54"/>
        <v>, zoneIds={1301,1011,1011}, veteran=false</v>
      </c>
      <c r="BG545" s="21" t="str">
        <f t="shared" si="55"/>
        <v>, setType=LIBSETS_SETTYPE_DUNGEON</v>
      </c>
      <c r="BH545" s="21" t="str">
        <f t="shared" si="56"/>
        <v>, dropMechanic={LIBSETS_DROP_MECHANIC_GROUP_DUNGEON_BOSS}</v>
      </c>
      <c r="BI545" s="21" t="str">
        <f t="shared" si="57"/>
        <v>}, --Glacial Guardian / Gletscherwächter   [Coral Aerie, Summerset, Summerset]</v>
      </c>
    </row>
    <row r="546" spans="1:61" x14ac:dyDescent="0.25">
      <c r="A546" s="71">
        <v>622</v>
      </c>
      <c r="B546" t="s">
        <v>2740</v>
      </c>
      <c r="C546" t="s">
        <v>2716</v>
      </c>
      <c r="D546" s="3">
        <f t="shared" si="52"/>
        <v>622</v>
      </c>
      <c r="G546" s="8" t="s">
        <v>1473</v>
      </c>
      <c r="I546" t="s">
        <v>91</v>
      </c>
      <c r="J546" t="s">
        <v>91</v>
      </c>
      <c r="K546">
        <v>498</v>
      </c>
      <c r="L546">
        <v>498</v>
      </c>
      <c r="M546">
        <v>498</v>
      </c>
      <c r="O546" s="61" t="s">
        <v>2724</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constants'!$B$4:$C$1012,2,FALSE),"")</f>
        <v>Ascending Tide</v>
      </c>
      <c r="V546" s="89" t="s">
        <v>3285</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5"/>
      <c r="BA546" s="82"/>
      <c r="BB546" s="82"/>
      <c r="BC546" s="82"/>
      <c r="BD546" s="82"/>
      <c r="BE546" s="21" t="str">
        <f t="shared" si="53"/>
        <v>[622] = {wayshrines={498,498,498,}, dlcId=DLC_ASCENDING_TIDE</v>
      </c>
      <c r="BF546" s="21" t="str">
        <f t="shared" si="54"/>
        <v>, zoneIds={1302,20,20}, veteran=false</v>
      </c>
      <c r="BG546" s="21" t="str">
        <f t="shared" si="55"/>
        <v>, setType=LIBSETS_SETTYPE_DUNGEON</v>
      </c>
      <c r="BH546" s="21" t="str">
        <f t="shared" si="56"/>
        <v>, dropMechanic={LIBSETS_DROP_MECHANIC_GROUP_DUNGEON_BOSS}</v>
      </c>
      <c r="BI546" s="21" t="str">
        <f t="shared" si="57"/>
        <v>}, --Turning Tide / Gezeitenwechsel   [Shipwright's Regret, Rivenspire, Rivenspire]</v>
      </c>
    </row>
    <row r="547" spans="1:61" x14ac:dyDescent="0.25">
      <c r="A547" s="71">
        <v>623</v>
      </c>
      <c r="B547" t="s">
        <v>2739</v>
      </c>
      <c r="C547" t="s">
        <v>2732</v>
      </c>
      <c r="D547" s="3">
        <f t="shared" si="52"/>
        <v>623</v>
      </c>
      <c r="G547" s="8" t="s">
        <v>1473</v>
      </c>
      <c r="I547" t="s">
        <v>91</v>
      </c>
      <c r="J547" t="s">
        <v>91</v>
      </c>
      <c r="K547">
        <v>498</v>
      </c>
      <c r="L547">
        <v>498</v>
      </c>
      <c r="M547">
        <v>498</v>
      </c>
      <c r="O547" s="61" t="s">
        <v>2724</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constants'!$B$4:$C$1012,2,FALSE),"")</f>
        <v>Ascending Tide</v>
      </c>
      <c r="V547" s="89" t="s">
        <v>3285</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5"/>
      <c r="BA547" s="82"/>
      <c r="BB547" s="82"/>
      <c r="BC547" s="82"/>
      <c r="BD547" s="82"/>
      <c r="BE547" s="21" t="str">
        <f t="shared" si="53"/>
        <v>[623] = {wayshrines={498,498,498,}, dlcId=DLC_ASCENDING_TIDE</v>
      </c>
      <c r="BF547" s="21" t="str">
        <f t="shared" si="54"/>
        <v>, zoneIds={1302,20,20}, veteran=false</v>
      </c>
      <c r="BG547" s="21" t="str">
        <f t="shared" si="55"/>
        <v>, setType=LIBSETS_SETTYPE_DUNGEON</v>
      </c>
      <c r="BH547" s="21" t="str">
        <f t="shared" si="56"/>
        <v>, dropMechanic={LIBSETS_DROP_MECHANIC_GROUP_DUNGEON_BOSS}</v>
      </c>
      <c r="BI547" s="21" t="str">
        <f t="shared" si="57"/>
        <v>}, --Storm-Cursed\’s Revenge / Rache des Sturmverfluchten   [Shipwright's Regret, Rivenspire, Rivenspire]</v>
      </c>
    </row>
    <row r="548" spans="1:61" x14ac:dyDescent="0.25">
      <c r="A548" s="71">
        <v>624</v>
      </c>
      <c r="B548" t="s">
        <v>2737</v>
      </c>
      <c r="C548" t="s">
        <v>2738</v>
      </c>
      <c r="D548" s="3">
        <f t="shared" si="52"/>
        <v>624</v>
      </c>
      <c r="G548" s="8" t="s">
        <v>1473</v>
      </c>
      <c r="I548" t="s">
        <v>91</v>
      </c>
      <c r="J548" t="s">
        <v>91</v>
      </c>
      <c r="K548">
        <v>498</v>
      </c>
      <c r="L548">
        <v>498</v>
      </c>
      <c r="M548">
        <v>498</v>
      </c>
      <c r="O548" s="61" t="s">
        <v>2724</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constants'!$B$4:$C$1012,2,FALSE),"")</f>
        <v>Ascending Tide</v>
      </c>
      <c r="V548" s="89" t="s">
        <v>3285</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5"/>
      <c r="BA548" s="82"/>
      <c r="BB548" s="82"/>
      <c r="BC548" s="82"/>
      <c r="BD548" s="82"/>
      <c r="BE548" s="21" t="str">
        <f t="shared" si="53"/>
        <v>[624] = {wayshrines={498,498,498,}, dlcId=DLC_ASCENDING_TIDE</v>
      </c>
      <c r="BF548" s="21" t="str">
        <f t="shared" si="54"/>
        <v>, zoneIds={1302,20,20}, veteran=false</v>
      </c>
      <c r="BG548" s="21" t="str">
        <f t="shared" si="55"/>
        <v>, setType=LIBSETS_SETTYPE_DUNGEON</v>
      </c>
      <c r="BH548" s="21" t="str">
        <f t="shared" si="56"/>
        <v>, dropMechanic={LIBSETS_DROP_MECHANIC_GROUP_DUNGEON_BOSS}</v>
      </c>
      <c r="BI548" s="21" t="str">
        <f t="shared" si="57"/>
        <v>}, --Spriggan\’s Vigor / Elan des Zweiglings   [Shipwright's Regret, Rivenspire, Rivenspire]</v>
      </c>
    </row>
    <row r="549" spans="1:61" x14ac:dyDescent="0.25">
      <c r="A549" s="5">
        <v>625</v>
      </c>
      <c r="B549" t="s">
        <v>2663</v>
      </c>
      <c r="C549" t="s">
        <v>2703</v>
      </c>
      <c r="D549" s="3">
        <f t="shared" si="52"/>
        <v>625</v>
      </c>
      <c r="G549" s="3" t="s">
        <v>1678</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WayshrineInfo'!$K$3:$N$9972,4,FALSE),"")))</f>
        <v>Coldharbour</v>
      </c>
      <c r="S549" s="61" t="s">
        <v>2656</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constants'!$B$4:$C$1012,2,FALSE),"")</f>
        <v>The Deadlands</v>
      </c>
      <c r="V549" s="33" t="s">
        <v>1557</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constants'!$A$5:$D$10001,4,FALSE),"")</f>
        <v>The Deadlands</v>
      </c>
      <c r="AB549" s="33" t="s">
        <v>3269</v>
      </c>
      <c r="AC549" s="41" t="s">
        <v>3228</v>
      </c>
      <c r="AD549" s="41" t="s">
        <v>3229</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constants'!$A$5:$D$10001,4,FALSE),"")</f>
        <v>The Shambles</v>
      </c>
      <c r="AH549" s="42" t="s">
        <v>1555</v>
      </c>
      <c r="AI549" s="41" t="s">
        <v>3231</v>
      </c>
      <c r="AJ549" s="41" t="s">
        <v>3293</v>
      </c>
      <c r="AK549" s="3">
        <f>IF(AND(G549&lt;&gt;"LIBSETS_SETTYPE_BATTLEGROUND",G549&lt;&gt;"LIBSETS_SETTYPE_SPECIAL"),IF(AL549&lt;&gt;"",VLOOKUP(AL549,'ESO zone constants'!$D$5:$H$4955,5,FALSE),""),"")</f>
        <v>380</v>
      </c>
      <c r="AL549" t="s">
        <v>96</v>
      </c>
      <c r="AM549" s="33" t="s">
        <v>3269</v>
      </c>
      <c r="AN549" s="41" t="s">
        <v>3230</v>
      </c>
      <c r="AO549" s="41" t="s">
        <v>3207</v>
      </c>
      <c r="AP549" s="3">
        <f>IF(AND(G549&lt;&gt;"LIBSETS_SETTYPE_BATTLEGROUND",G549&lt;&gt;"LIBSETS_SETTYPE_SPECIAL"),IF(AQ549&lt;&gt;"",VLOOKUP(AQ549,'ESO zone constants'!$D$5:$H$4955,5,FALSE),""),"")</f>
        <v>935</v>
      </c>
      <c r="AQ549" t="s">
        <v>97</v>
      </c>
      <c r="AR549" s="33" t="s">
        <v>3269</v>
      </c>
      <c r="AS549" s="41" t="s">
        <v>3230</v>
      </c>
      <c r="AT549" s="41" t="s">
        <v>3207</v>
      </c>
      <c r="AU549" s="3">
        <f>IF(AND(G549&lt;&gt;"LIBSETS_SETTYPE_BATTLEGROUND",G549&lt;&gt;"LIBSETS_SETTYPE_SPECIAL"),IF(AV549&lt;&gt;"",VLOOKUP(AV549,'ESO zone constants'!$D$5:$H$4955,5,FALSE),""),"")</f>
        <v>1282</v>
      </c>
      <c r="AV549" t="s">
        <v>2678</v>
      </c>
      <c r="AW549" s="33" t="s">
        <v>3212</v>
      </c>
      <c r="AX549" s="41"/>
      <c r="AY549" s="41"/>
      <c r="AZ549" s="85"/>
      <c r="BA549" s="36" t="s">
        <v>3178</v>
      </c>
      <c r="BB549" s="36" t="s">
        <v>3178</v>
      </c>
      <c r="BC549" s="36"/>
      <c r="BD549" s="36"/>
      <c r="BE549" s="21" t="str">
        <f t="shared" si="53"/>
        <v>[625] = {wayshrines={130,491,493,}, dlcId=DLC_DEADLANDS</v>
      </c>
      <c r="BF549" s="21" t="str">
        <f t="shared" si="54"/>
        <v>, zoneIds={347,1286,1283,380,935,1282}, veteran=false</v>
      </c>
      <c r="BG549" s="21" t="str">
        <f t="shared" si="55"/>
        <v>, setType=LIBSETS_SETTYPE_MYTHIC</v>
      </c>
      <c r="BH549" s="21" t="str">
        <f t="shared" si="56"/>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 t="shared" si="57"/>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2664</v>
      </c>
      <c r="C550" t="s">
        <v>2702</v>
      </c>
      <c r="D550" s="3">
        <f t="shared" si="52"/>
        <v>626</v>
      </c>
      <c r="E550" s="40"/>
      <c r="G550" s="3" t="s">
        <v>1678</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WayshrineInfo'!$K$3:$N$9972,4,FALSE),"")))</f>
        <v>The Deadlands</v>
      </c>
      <c r="S550" s="61" t="s">
        <v>2656</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constants'!$B$4:$C$1012,2,FALSE),"")</f>
        <v>The Deadlands</v>
      </c>
      <c r="V550" s="33" t="s">
        <v>3212</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constants'!$A$5:$D$10001,4,FALSE),"")</f>
        <v>Gold Coast</v>
      </c>
      <c r="AB550" s="33" t="s">
        <v>1555</v>
      </c>
      <c r="AC550" s="41" t="s">
        <v>3862</v>
      </c>
      <c r="AD550" s="41" t="s">
        <v>3861</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constants'!$A$5:$D$10001,4,FALSE),"")</f>
        <v>Gold Coast</v>
      </c>
      <c r="AH550" s="42" t="s">
        <v>1557</v>
      </c>
      <c r="AI550" s="41"/>
      <c r="AJ550" s="41"/>
      <c r="AK550" s="3">
        <f>IF(AND(G550&lt;&gt;"LIBSETS_SETTYPE_BATTLEGROUND",G550&lt;&gt;"LIBSETS_SETTYPE_SPECIAL"),IF(AL550&lt;&gt;"",VLOOKUP(AL550,'ESO zone constants'!$D$5:$H$4955,5,FALSE),""),"")</f>
        <v>1228</v>
      </c>
      <c r="AL550" t="s">
        <v>2391</v>
      </c>
      <c r="AM550" s="33" t="s">
        <v>3269</v>
      </c>
      <c r="AN550" s="41" t="s">
        <v>3230</v>
      </c>
      <c r="AO550" s="41" t="s">
        <v>3207</v>
      </c>
      <c r="AP550" s="3">
        <f>IF(AND(G550&lt;&gt;"LIBSETS_SETTYPE_BATTLEGROUND",G550&lt;&gt;"LIBSETS_SETTYPE_SPECIAL"),IF(AQ550&lt;&gt;"",VLOOKUP(AQ550,'ESO zone constants'!$D$5:$H$4955,5,FALSE),""),"")</f>
        <v>974</v>
      </c>
      <c r="AQ550" t="s">
        <v>44</v>
      </c>
      <c r="AR550" s="33" t="s">
        <v>3209</v>
      </c>
      <c r="AS550" s="41"/>
      <c r="AT550" s="41"/>
      <c r="AU550" s="3" t="str">
        <f>IF(AND(G550&lt;&gt;"LIBSETS_SETTYPE_BATTLEGROUND",G550&lt;&gt;"LIBSETS_SETTYPE_SPECIAL"),IF(AV550&lt;&gt;"",VLOOKUP(AV550,'ESO zone constants'!$D$5:$H$4955,5,FALSE),""),"")</f>
        <v/>
      </c>
      <c r="AV550" s="39"/>
      <c r="AX550" s="41"/>
      <c r="AY550" s="41"/>
      <c r="AZ550" s="85"/>
      <c r="BA550" s="36" t="s">
        <v>3172</v>
      </c>
      <c r="BB550" s="36" t="s">
        <v>3172</v>
      </c>
      <c r="BC550" s="36"/>
      <c r="BD550" s="36"/>
      <c r="BE550" s="21" t="str">
        <f t="shared" si="53"/>
        <v>[626] = {wayshrines={479,253,253,}, dlcId=DLC_DEADLANDS</v>
      </c>
      <c r="BF550" s="21" t="str">
        <f t="shared" si="54"/>
        <v>, zoneIds={1286,823,823,1228,974}, veteran=false</v>
      </c>
      <c r="BG550" s="21" t="str">
        <f t="shared" si="55"/>
        <v>, setType=LIBSETS_SETTYPE_MYTHIC</v>
      </c>
      <c r="BH550" s="21" t="str">
        <f t="shared" si="56"/>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 t="shared" si="57"/>
        <v>, addTooltip={['en']='https://en.uesp.net/wiki/Online:Belharza%27s_Band',},}, --Belharza's Band / Belharzas Band   [The Deadlands, Gold Coast, Gold Coast, Black Drake Villa, Falkreath Hold]</v>
      </c>
    </row>
    <row r="551" spans="1:61" x14ac:dyDescent="0.25">
      <c r="A551" s="5">
        <v>627</v>
      </c>
      <c r="B551" t="s">
        <v>2708</v>
      </c>
      <c r="C551" t="s">
        <v>2704</v>
      </c>
      <c r="D551" s="3">
        <f t="shared" si="52"/>
        <v>627</v>
      </c>
      <c r="G551" s="3" t="s">
        <v>1678</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WayshrineInfo'!$K$3:$N$9972,4,FALSE),"")))</f>
        <v>The Deadlands</v>
      </c>
      <c r="S551" s="61" t="s">
        <v>2656</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constants'!$B$4:$C$1012,2,FALSE),"")</f>
        <v>The Deadlands</v>
      </c>
      <c r="V551" s="33" t="s">
        <v>1555</v>
      </c>
      <c r="W551" s="3" t="s">
        <v>3275</v>
      </c>
      <c r="X551" s="3" t="s">
        <v>3275</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constants'!$A$5:$D$10001,4,FALSE),"")</f>
        <v>Blackwood</v>
      </c>
      <c r="AB551" s="33" t="s">
        <v>3223</v>
      </c>
      <c r="AC551" s="41" t="s">
        <v>3232</v>
      </c>
      <c r="AD551" s="41" t="s">
        <v>3233</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constants'!$A$5:$D$10001,4,FALSE),"")</f>
        <v>Stonefalls</v>
      </c>
      <c r="AH551" s="42" t="s">
        <v>1555</v>
      </c>
      <c r="AI551" s="41" t="s">
        <v>3240</v>
      </c>
      <c r="AJ551" s="41" t="s">
        <v>3292</v>
      </c>
      <c r="AK551" s="3">
        <f>IF(AND(G551&lt;&gt;"LIBSETS_SETTYPE_BATTLEGROUND",G551&lt;&gt;"LIBSETS_SETTYPE_SPECIAL"),IF(AL551&lt;&gt;"",VLOOKUP(AL551,'ESO zone constants'!$D$5:$H$4955,5,FALSE),""),"")</f>
        <v>0</v>
      </c>
      <c r="AL551" t="s">
        <v>2227</v>
      </c>
      <c r="AM551" s="33" t="s">
        <v>3269</v>
      </c>
      <c r="AN551" s="41" t="s">
        <v>3241</v>
      </c>
      <c r="AO551" s="41" t="s">
        <v>3242</v>
      </c>
      <c r="AP551" s="3">
        <f>IF(AND(G551&lt;&gt;"LIBSETS_SETTYPE_BATTLEGROUND",G551&lt;&gt;"LIBSETS_SETTYPE_SPECIAL"),IF(AQ551&lt;&gt;"",VLOOKUP(AQ551,'ESO zone constants'!$D$5:$H$4955,5,FALSE),""),"")</f>
        <v>0</v>
      </c>
      <c r="AQ551" t="s">
        <v>2227</v>
      </c>
      <c r="AR551" s="33" t="s">
        <v>3269</v>
      </c>
      <c r="AS551" s="41" t="s">
        <v>3243</v>
      </c>
      <c r="AT551" s="41" t="s">
        <v>3243</v>
      </c>
      <c r="AU551" s="3" t="str">
        <f>IF(AND(G551&lt;&gt;"LIBSETS_SETTYPE_BATTLEGROUND",G551&lt;&gt;"LIBSETS_SETTYPE_SPECIAL"),IF(AV551&lt;&gt;"",VLOOKUP(AV551,'ESO zone constants'!$D$5:$H$4955,5,FALSE),""),"")</f>
        <v/>
      </c>
      <c r="AX551" s="41"/>
      <c r="AY551" s="41"/>
      <c r="AZ551" s="85"/>
      <c r="BA551" s="36" t="s">
        <v>3274</v>
      </c>
      <c r="BB551" s="36" t="s">
        <v>3274</v>
      </c>
      <c r="BC551" s="36"/>
      <c r="BD551" s="36"/>
      <c r="BE551" s="21" t="str">
        <f t="shared" si="53"/>
        <v>[627] = {wayshrines={479,458,75,}, dlcId=DLC_DEADLANDS</v>
      </c>
      <c r="BF551" s="21" t="str">
        <f t="shared" si="54"/>
        <v>, zoneIds={1286,1261,41,0,0}, veteran=false</v>
      </c>
      <c r="BG551" s="21" t="str">
        <f t="shared" si="55"/>
        <v>, setType=LIBSETS_SETTYPE_MYTHIC</v>
      </c>
      <c r="BH551" s="21" t="str">
        <f t="shared" si="56"/>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 t="shared" si="57"/>
        <v>, addTooltip={['en']='https://en.uesp.net/wiki/Online:Spaulder_of_Ruin',},}, --Spaulder of Ruin / Schulterbänder des Untergangs   [The Deadlands, Blackwood, Stonefalls, Tamriel Map, Tamriel Map]</v>
      </c>
    </row>
    <row r="552" spans="1:61" x14ac:dyDescent="0.25">
      <c r="A552" s="5">
        <v>629</v>
      </c>
      <c r="B552" t="s">
        <v>2733</v>
      </c>
      <c r="C552" t="s">
        <v>2718</v>
      </c>
      <c r="D552" s="3">
        <f t="shared" si="52"/>
        <v>629</v>
      </c>
      <c r="G552" s="8" t="s">
        <v>1471</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WayshrineInfo'!$K$3:$N$9972,4,FALSE),"")))</f>
        <v>Cyrodiil</v>
      </c>
      <c r="S552" s="61" t="s">
        <v>2710</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constants'!$B$4:$C$1012,2,FALSE),"")</f>
        <v>Ascending Tide</v>
      </c>
      <c r="V552" s="33" t="s">
        <v>1535</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constants'!$A$5:$D$10001,4,FALSE),"")</f>
        <v>Cyrodiil</v>
      </c>
      <c r="AB552" s="33" t="s">
        <v>3737</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constants'!$A$5:$D$10001,4,FALSE),"")</f>
        <v>Cyrodiil</v>
      </c>
      <c r="AH552" s="33" t="s">
        <v>2765</v>
      </c>
      <c r="AK552" s="3">
        <f>IF(AND(G552&lt;&gt;"LIBSETS_SETTYPE_BATTLEGROUND",G552&lt;&gt;"LIBSETS_SETTYPE_SPECIAL"),IF(AL552&lt;&gt;"",VLOOKUP(AL552,'ESO zone constants'!$D$5:$H$4955,5,FALSE),""),"")</f>
        <v>181</v>
      </c>
      <c r="AL552" t="s">
        <v>125</v>
      </c>
      <c r="AM552" s="33" t="s">
        <v>3740</v>
      </c>
      <c r="AP552" s="3">
        <f>IF(AND(G552&lt;&gt;"LIBSETS_SETTYPE_BATTLEGROUND",G552&lt;&gt;"LIBSETS_SETTYPE_SPECIAL"),IF(AQ552&lt;&gt;"",VLOOKUP(AQ552,'ESO zone constants'!$D$5:$H$4955,5,FALSE),""),"")</f>
        <v>181</v>
      </c>
      <c r="AQ552" t="s">
        <v>125</v>
      </c>
      <c r="AR552" s="33" t="s">
        <v>1554</v>
      </c>
      <c r="AU552" s="3">
        <f>IF(AND(G552&lt;&gt;"LIBSETS_SETTYPE_BATTLEGROUND",G552&lt;&gt;"LIBSETS_SETTYPE_SPECIAL"),IF(AV552&lt;&gt;"",VLOOKUP(AV552,'ESO zone constants'!$D$5:$H$4955,5,FALSE),""),"")</f>
        <v>181</v>
      </c>
      <c r="AV552" t="s">
        <v>125</v>
      </c>
      <c r="AW552" s="33" t="s">
        <v>3236</v>
      </c>
      <c r="AZ552" s="78" t="s">
        <v>2653</v>
      </c>
      <c r="BA552" s="78"/>
      <c r="BB552" s="78"/>
      <c r="BC552" s="78"/>
      <c r="BD552" s="78"/>
      <c r="BE552" s="21" t="str">
        <f t="shared" si="53"/>
        <v>[629] = {wayshrines={-1,-1,-1,}, dlcId=DLC_ASCENDING_TIDE</v>
      </c>
      <c r="BF552" s="21" t="str">
        <f t="shared" si="54"/>
        <v>, zoneIds={181,181,181,181,181,181}, veteran=false</v>
      </c>
      <c r="BG552" s="21" t="str">
        <f t="shared" si="55"/>
        <v>, setType=LIBSETS_SETTYPE_CYRODIIL</v>
      </c>
      <c r="BH55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 t="shared" si="57"/>
        <v>}, --Rallying Cry / Schlachtruf   [Cyrodiil, Cyrodiil, Cyrodiil, Cyrodiil, Cyrodiil, Cyrodiil]</v>
      </c>
    </row>
    <row r="553" spans="1:61" x14ac:dyDescent="0.25">
      <c r="A553" s="5">
        <v>630</v>
      </c>
      <c r="B553" t="s">
        <v>2734</v>
      </c>
      <c r="C553" t="s">
        <v>2719</v>
      </c>
      <c r="D553" s="3">
        <f t="shared" si="52"/>
        <v>630</v>
      </c>
      <c r="G553" s="8" t="s">
        <v>1471</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WayshrineInfo'!$K$3:$N$9972,4,FALSE),"")))</f>
        <v>Cyrodiil</v>
      </c>
      <c r="S553" s="61" t="s">
        <v>2710</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constants'!$B$4:$C$1012,2,FALSE),"")</f>
        <v>Ascending Tide</v>
      </c>
      <c r="V553" s="33" t="s">
        <v>1535</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constants'!$A$5:$D$10001,4,FALSE),"")</f>
        <v>Cyrodiil</v>
      </c>
      <c r="AB553" s="33" t="s">
        <v>3737</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constants'!$A$5:$D$10001,4,FALSE),"")</f>
        <v>Cyrodiil</v>
      </c>
      <c r="AH553" s="33" t="s">
        <v>2765</v>
      </c>
      <c r="AK553" s="3">
        <f>IF(AND(G553&lt;&gt;"LIBSETS_SETTYPE_BATTLEGROUND",G553&lt;&gt;"LIBSETS_SETTYPE_SPECIAL"),IF(AL553&lt;&gt;"",VLOOKUP(AL553,'ESO zone constants'!$D$5:$H$4955,5,FALSE),""),"")</f>
        <v>181</v>
      </c>
      <c r="AL553" t="s">
        <v>125</v>
      </c>
      <c r="AM553" s="33" t="s">
        <v>3740</v>
      </c>
      <c r="AP553" s="3">
        <f>IF(AND(G553&lt;&gt;"LIBSETS_SETTYPE_BATTLEGROUND",G553&lt;&gt;"LIBSETS_SETTYPE_SPECIAL"),IF(AQ553&lt;&gt;"",VLOOKUP(AQ553,'ESO zone constants'!$D$5:$H$4955,5,FALSE),""),"")</f>
        <v>181</v>
      </c>
      <c r="AQ553" t="s">
        <v>125</v>
      </c>
      <c r="AR553" s="33" t="s">
        <v>1554</v>
      </c>
      <c r="AU553" s="3">
        <f>IF(AND(G553&lt;&gt;"LIBSETS_SETTYPE_BATTLEGROUND",G553&lt;&gt;"LIBSETS_SETTYPE_SPECIAL"),IF(AV553&lt;&gt;"",VLOOKUP(AV553,'ESO zone constants'!$D$5:$H$4955,5,FALSE),""),"")</f>
        <v>181</v>
      </c>
      <c r="AV553" t="s">
        <v>125</v>
      </c>
      <c r="AW553" s="33" t="s">
        <v>3236</v>
      </c>
      <c r="AZ553" s="78" t="s">
        <v>2653</v>
      </c>
      <c r="BA553" s="78"/>
      <c r="BB553" s="78"/>
      <c r="BC553" s="78"/>
      <c r="BD553" s="78"/>
      <c r="BE553" s="21" t="str">
        <f t="shared" si="53"/>
        <v>[630] = {wayshrines={-1,-1,-1,}, dlcId=DLC_ASCENDING_TIDE</v>
      </c>
      <c r="BF553" s="21" t="str">
        <f t="shared" si="54"/>
        <v>, zoneIds={181,181,181,181,181,181}, veteran=false</v>
      </c>
      <c r="BG553" s="21" t="str">
        <f t="shared" si="55"/>
        <v>, setType=LIBSETS_SETTYPE_CYRODIIL</v>
      </c>
      <c r="BH553"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 t="shared" si="57"/>
        <v>}, --Hew and Sunder  / Kappspalter   [Cyrodiil, Cyrodiil, Cyrodiil, Cyrodiil, Cyrodiil, Cyrodiil]</v>
      </c>
    </row>
    <row r="554" spans="1:61" x14ac:dyDescent="0.25">
      <c r="A554" s="5">
        <v>631</v>
      </c>
      <c r="B554" t="s">
        <v>2735</v>
      </c>
      <c r="C554" t="s">
        <v>2720</v>
      </c>
      <c r="D554" s="3">
        <f t="shared" si="52"/>
        <v>631</v>
      </c>
      <c r="G554" s="8" t="s">
        <v>1471</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WayshrineInfo'!$K$3:$N$9972,4,FALSE),"")))</f>
        <v>Cyrodiil</v>
      </c>
      <c r="S554" s="61" t="s">
        <v>2710</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constants'!$B$4:$C$1012,2,FALSE),"")</f>
        <v>Ascending Tide</v>
      </c>
      <c r="V554" s="33" t="s">
        <v>1535</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constants'!$A$5:$D$10001,4,FALSE),"")</f>
        <v>Cyrodiil</v>
      </c>
      <c r="AB554" s="33" t="s">
        <v>3737</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constants'!$A$5:$D$10001,4,FALSE),"")</f>
        <v>Cyrodiil</v>
      </c>
      <c r="AH554" s="33" t="s">
        <v>2765</v>
      </c>
      <c r="AK554" s="3">
        <f>IF(AND(G554&lt;&gt;"LIBSETS_SETTYPE_BATTLEGROUND",G554&lt;&gt;"LIBSETS_SETTYPE_SPECIAL"),IF(AL554&lt;&gt;"",VLOOKUP(AL554,'ESO zone constants'!$D$5:$H$4955,5,FALSE),""),"")</f>
        <v>181</v>
      </c>
      <c r="AL554" t="s">
        <v>125</v>
      </c>
      <c r="AM554" s="33" t="s">
        <v>3740</v>
      </c>
      <c r="AP554" s="3">
        <f>IF(AND(G554&lt;&gt;"LIBSETS_SETTYPE_BATTLEGROUND",G554&lt;&gt;"LIBSETS_SETTYPE_SPECIAL"),IF(AQ554&lt;&gt;"",VLOOKUP(AQ554,'ESO zone constants'!$D$5:$H$4955,5,FALSE),""),"")</f>
        <v>181</v>
      </c>
      <c r="AQ554" t="s">
        <v>125</v>
      </c>
      <c r="AR554" s="33" t="s">
        <v>1554</v>
      </c>
      <c r="AU554" s="3">
        <f>IF(AND(G554&lt;&gt;"LIBSETS_SETTYPE_BATTLEGROUND",G554&lt;&gt;"LIBSETS_SETTYPE_SPECIAL"),IF(AV554&lt;&gt;"",VLOOKUP(AV554,'ESO zone constants'!$D$5:$H$4955,5,FALSE),""),"")</f>
        <v>181</v>
      </c>
      <c r="AV554" t="s">
        <v>125</v>
      </c>
      <c r="AW554" s="33" t="s">
        <v>3236</v>
      </c>
      <c r="AZ554" s="78" t="s">
        <v>2653</v>
      </c>
      <c r="BA554" s="78"/>
      <c r="BB554" s="78"/>
      <c r="BC554" s="78"/>
      <c r="BD554" s="78"/>
      <c r="BE554" s="21" t="str">
        <f t="shared" si="53"/>
        <v>[631] = {wayshrines={-1,-1,-1,}, dlcId=DLC_ASCENDING_TIDE</v>
      </c>
      <c r="BF554" s="21" t="str">
        <f t="shared" si="54"/>
        <v>, zoneIds={181,181,181,181,181,181}, veteran=false</v>
      </c>
      <c r="BG554" s="21" t="str">
        <f t="shared" si="55"/>
        <v>, setType=LIBSETS_SETTYPE_CYRODIIL</v>
      </c>
      <c r="BH554"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 t="shared" si="57"/>
        <v>}, --Enervating Aura  / Enervierende Aura   [Cyrodiil, Cyrodiil, Cyrodiil, Cyrodiil, Cyrodiil, Cyrodiil]</v>
      </c>
    </row>
    <row r="555" spans="1:61" x14ac:dyDescent="0.25">
      <c r="A555" s="5">
        <v>632</v>
      </c>
      <c r="B555" t="s">
        <v>2715</v>
      </c>
      <c r="C555" t="s">
        <v>2715</v>
      </c>
      <c r="D555" s="3">
        <f t="shared" si="52"/>
        <v>632</v>
      </c>
      <c r="G555" s="8" t="s">
        <v>1475</v>
      </c>
      <c r="H555" s="86">
        <v>3</v>
      </c>
      <c r="I555" t="s">
        <v>1462</v>
      </c>
      <c r="J555" t="s">
        <v>91</v>
      </c>
      <c r="K555">
        <v>497</v>
      </c>
      <c r="L555">
        <v>497</v>
      </c>
      <c r="M555">
        <v>497</v>
      </c>
      <c r="O555" s="61" t="s">
        <v>2712</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constants'!$B$4:$C$1012,2,FALSE),"")</f>
        <v>Ascending Tide</v>
      </c>
      <c r="V555" s="33" t="s">
        <v>1538</v>
      </c>
      <c r="W555" s="3" t="s">
        <v>2756</v>
      </c>
      <c r="X555" s="3" t="s">
        <v>2756</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82"/>
      <c r="BA555" s="82"/>
      <c r="BB555" s="82"/>
      <c r="BC555" s="82"/>
      <c r="BD555" s="82"/>
      <c r="BE555" s="21" t="str">
        <f t="shared" si="53"/>
        <v>[632] = {wayshrines={497,497,497,}, dlcId=DLC_ASCENDING_TIDE</v>
      </c>
      <c r="BF555" s="21" t="str">
        <f t="shared" si="54"/>
        <v>, zoneIds={1301,1011,1011}, veteran={[EQUIP_TYPE_HEAD]=true, [EQUIP_TYPE_SHOULDERS]=false}</v>
      </c>
      <c r="BG555" s="21" t="str">
        <f t="shared" si="55"/>
        <v>, setType=LIBSETS_SETTYPE_MONSTER, undauntedChestId=3</v>
      </c>
      <c r="BH555" s="21" t="str">
        <f t="shared" si="56"/>
        <v>, dropMechanic={LIBSETS_DROP_MECHANIC_MONSTER_NAME}, dropMechanicDropLocationNames={['en']={'Varallion','','','','','',},['de']={'Varallion','','','','','',},}</v>
      </c>
      <c r="BI555" s="21" t="str">
        <f t="shared" si="57"/>
        <v>}, --Kargaeda / Kargaeda   [Coral Aerie, Summerset, Summerset]</v>
      </c>
    </row>
    <row r="556" spans="1:61" x14ac:dyDescent="0.25">
      <c r="A556" s="5">
        <v>633</v>
      </c>
      <c r="B556" t="s">
        <v>2717</v>
      </c>
      <c r="C556" t="s">
        <v>2717</v>
      </c>
      <c r="D556" s="3">
        <f t="shared" si="52"/>
        <v>633</v>
      </c>
      <c r="G556" s="8" t="s">
        <v>1475</v>
      </c>
      <c r="H556" s="86">
        <v>3</v>
      </c>
      <c r="I556" t="s">
        <v>1462</v>
      </c>
      <c r="J556" t="s">
        <v>91</v>
      </c>
      <c r="K556">
        <v>498</v>
      </c>
      <c r="L556">
        <v>498</v>
      </c>
      <c r="M556">
        <v>498</v>
      </c>
      <c r="O556" s="61" t="s">
        <v>2724</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constants'!$B$4:$C$1012,2,FALSE),"")</f>
        <v>Ascending Tide</v>
      </c>
      <c r="V556" s="33" t="s">
        <v>1538</v>
      </c>
      <c r="W556" s="3" t="s">
        <v>2717</v>
      </c>
      <c r="X556" s="3" t="s">
        <v>2717</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82"/>
      <c r="BA556" s="82"/>
      <c r="BB556" s="82"/>
      <c r="BC556" s="82"/>
      <c r="BD556" s="82"/>
      <c r="BE556" s="21" t="str">
        <f t="shared" si="53"/>
        <v>[633] = {wayshrines={498,498,498,}, dlcId=DLC_ASCENDING_TIDE</v>
      </c>
      <c r="BF556" s="21" t="str">
        <f t="shared" si="54"/>
        <v>, zoneIds={1302,20,20}, veteran={[EQUIP_TYPE_HEAD]=true, [EQUIP_TYPE_SHOULDERS]=false}</v>
      </c>
      <c r="BG556" s="21" t="str">
        <f t="shared" si="55"/>
        <v>, setType=LIBSETS_SETTYPE_MONSTER, undauntedChestId=3</v>
      </c>
      <c r="BH556" s="21" t="str">
        <f t="shared" si="56"/>
        <v>, dropMechanic={LIBSETS_DROP_MECHANIC_MONSTER_NAME}, dropMechanicDropLocationNames={['en']={'Nazaray ','','','','','',},['de']={'Nazaray ','','','','','',},}</v>
      </c>
      <c r="BI556" s="21" t="str">
        <f t="shared" si="57"/>
        <v>}, --Nazaray  / Nazaray    [Shipwright's Regret, Rivenspire, Rivenspire]</v>
      </c>
    </row>
    <row r="557" spans="1:61" x14ac:dyDescent="0.25">
      <c r="A557" s="5">
        <v>634</v>
      </c>
      <c r="B557" t="s">
        <v>2721</v>
      </c>
      <c r="C557" t="s">
        <v>2721</v>
      </c>
      <c r="D557" s="3">
        <f t="shared" si="52"/>
        <v>634</v>
      </c>
      <c r="F557" t="s">
        <v>2758</v>
      </c>
      <c r="G557" s="8" t="s">
        <v>2757</v>
      </c>
      <c r="I557" t="s">
        <v>91</v>
      </c>
      <c r="J557" t="s">
        <v>91</v>
      </c>
      <c r="K557">
        <v>-1</v>
      </c>
      <c r="L557">
        <v>-1</v>
      </c>
      <c r="M557">
        <v>-1</v>
      </c>
      <c r="N557" s="84"/>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WayshrineInfo'!$K$3:$N$9972,4,FALSE),"")))</f>
        <v>Imperial City</v>
      </c>
      <c r="S557" s="61" t="s">
        <v>2710</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constants'!$B$4:$C$1012,2,FALSE),"")</f>
        <v>Ascending Tide</v>
      </c>
      <c r="V557" s="33" t="s">
        <v>1538</v>
      </c>
      <c r="W557" s="3" t="s">
        <v>3875</v>
      </c>
      <c r="X557" s="3" t="s">
        <v>3882</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constants'!$A$5:$D$10001,4,FALSE),"")</f>
        <v>Imperial Sewers</v>
      </c>
      <c r="AB557" s="33" t="s">
        <v>2761</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8" t="s">
        <v>2653</v>
      </c>
      <c r="BA557" s="78"/>
      <c r="BB557" s="78"/>
      <c r="BC557" s="78"/>
      <c r="BD557" s="78"/>
      <c r="BE557" s="21" t="str">
        <f t="shared" si="53"/>
        <v>[634] = {wayshrines={-1,-1,-1,}, dlcId=DLC_ASCENDING_TIDE</v>
      </c>
      <c r="BF557" s="21" t="str">
        <f t="shared" si="54"/>
        <v>, zoneIds={584,643}, veteran=false</v>
      </c>
      <c r="BG557" s="21" t="str">
        <f t="shared" si="55"/>
        <v>, setType=LIBSETS_SETTYPE_IMPERIALCITY_MONSTER</v>
      </c>
      <c r="BH557" s="21" t="str">
        <f t="shared" si="56"/>
        <v>, dropMechanic={LIBSETS_DROP_MECHANIC_MONSTER_NAME,LIBSETS_DROP_MECHANIC_TELVAR_EQUIPMENT_LOCKBOX_MERCHANT}, dropMechanicDropLocationNames={['en']={'Nunatak [Memorial district, north]','','','','','',},['de']={'Nunatak [Gedenkbezirk, Norden]','','','','','',},}</v>
      </c>
      <c r="BI557" s="21" t="str">
        <f t="shared" si="57"/>
        <v>}, --Nunatak / Nunatak   [Imperial City, Imperial Sewers]</v>
      </c>
    </row>
    <row r="558" spans="1:61" x14ac:dyDescent="0.25">
      <c r="A558" s="5">
        <v>635</v>
      </c>
      <c r="B558" t="s">
        <v>2736</v>
      </c>
      <c r="C558" t="s">
        <v>2722</v>
      </c>
      <c r="D558" s="3">
        <f t="shared" si="52"/>
        <v>635</v>
      </c>
      <c r="F558" t="s">
        <v>2758</v>
      </c>
      <c r="G558" s="8" t="s">
        <v>2757</v>
      </c>
      <c r="I558" t="s">
        <v>91</v>
      </c>
      <c r="J558" t="s">
        <v>91</v>
      </c>
      <c r="K558">
        <v>-1</v>
      </c>
      <c r="L558">
        <v>-1</v>
      </c>
      <c r="M558">
        <v>-1</v>
      </c>
      <c r="N558" s="84"/>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WayshrineInfo'!$K$3:$N$9972,4,FALSE),"")))</f>
        <v>Imperial City</v>
      </c>
      <c r="S558" s="61" t="s">
        <v>2710</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constants'!$B$4:$C$1012,2,FALSE),"")</f>
        <v>Ascending Tide</v>
      </c>
      <c r="V558" s="33" t="s">
        <v>1538</v>
      </c>
      <c r="W558" s="3" t="s">
        <v>3874</v>
      </c>
      <c r="X558" s="3" t="s">
        <v>3883</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constants'!$A$5:$D$10001,4,FALSE),"")</f>
        <v>Imperial Sewers</v>
      </c>
      <c r="AB558" s="33" t="s">
        <v>2761</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8" t="s">
        <v>2653</v>
      </c>
      <c r="BA558" s="78"/>
      <c r="BB558" s="78"/>
      <c r="BC558" s="78"/>
      <c r="BD558" s="78"/>
      <c r="BE558" s="21" t="str">
        <f t="shared" si="53"/>
        <v>[635] = {wayshrines={-1,-1,-1,}, dlcId=DLC_ASCENDING_TIDE</v>
      </c>
      <c r="BF558" s="21" t="str">
        <f t="shared" si="54"/>
        <v>, zoneIds={584,643}, veteran=false</v>
      </c>
      <c r="BG558" s="21" t="str">
        <f t="shared" si="55"/>
        <v>, setType=LIBSETS_SETTYPE_IMPERIALCITY_MONSTER</v>
      </c>
      <c r="BH558" s="21" t="str">
        <f t="shared" si="56"/>
        <v>, dropMechanic={LIBSETS_DROP_MECHANIC_MONSTER_NAME,LIBSETS_DROP_MECHANIC_TELVAR_EQUIPMENT_LOCKBOX_MERCHANT}, dropMechanicDropLocationNames={['en']={'Lady Malygda [Aboretum, south-east]','','','','','',},['de']={'Fürstin Malydga [Arboretum, Süd-Osten]','','','','','',},}</v>
      </c>
      <c r="BI558" s="21" t="str">
        <f t="shared" si="57"/>
        <v>}, --Lady Malydga / Fürstin Malygda   [Imperial City, Imperial Sewers]</v>
      </c>
    </row>
    <row r="559" spans="1:61" x14ac:dyDescent="0.25">
      <c r="A559" s="5">
        <v>636</v>
      </c>
      <c r="B559" t="s">
        <v>2723</v>
      </c>
      <c r="C559" t="s">
        <v>2723</v>
      </c>
      <c r="D559" s="3">
        <f t="shared" si="52"/>
        <v>636</v>
      </c>
      <c r="E559" s="40"/>
      <c r="F559" t="s">
        <v>2758</v>
      </c>
      <c r="G559" s="8" t="s">
        <v>2757</v>
      </c>
      <c r="I559" t="s">
        <v>91</v>
      </c>
      <c r="J559" t="s">
        <v>91</v>
      </c>
      <c r="K559">
        <v>-1</v>
      </c>
      <c r="L559">
        <v>-1</v>
      </c>
      <c r="M559">
        <v>-1</v>
      </c>
      <c r="N559" s="84"/>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WayshrineInfo'!$K$3:$N$9972,4,FALSE),"")))</f>
        <v>Imperial City</v>
      </c>
      <c r="S559" s="61" t="s">
        <v>2710</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constants'!$B$4:$C$1012,2,FALSE),"")</f>
        <v>Ascending Tide</v>
      </c>
      <c r="V559" s="33" t="s">
        <v>1538</v>
      </c>
      <c r="W559" s="3" t="s">
        <v>3873</v>
      </c>
      <c r="X559" s="3" t="s">
        <v>3884</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constants'!$A$5:$D$10001,4,FALSE),"")</f>
        <v>Imperial Sewers</v>
      </c>
      <c r="AB559" s="33" t="s">
        <v>2761</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8" t="s">
        <v>2653</v>
      </c>
      <c r="BA559" s="78"/>
      <c r="BB559" s="78"/>
      <c r="BC559" s="78"/>
      <c r="BD559" s="78"/>
      <c r="BE559" s="21" t="str">
        <f t="shared" si="53"/>
        <v>[636] = {wayshrines={-1,-1,-1,}, dlcId=DLC_ASCENDING_TIDE</v>
      </c>
      <c r="BF559" s="21" t="str">
        <f t="shared" si="54"/>
        <v>, zoneIds={584,643}, veteran=false</v>
      </c>
      <c r="BG559" s="21" t="str">
        <f t="shared" si="55"/>
        <v>, setType=LIBSETS_SETTYPE_IMPERIALCITY_MONSTER</v>
      </c>
      <c r="BH559" s="21" t="str">
        <f t="shared" si="56"/>
        <v>, dropMechanic={LIBSETS_DROP_MECHANIC_MONSTER_NAME,LIBSETS_DROP_MECHANIC_TELVAR_EQUIPMENT_LOCKBOX_MERCHANT}, dropMechanicDropLocationNames={['en']={'Baron Thirsk [Nobles district, south-west]','','','','','',},['de']={'Baron Thirsk [Adelsbezirk, Süd-Westen]','','','','','',},}</v>
      </c>
      <c r="BI559" s="21" t="str">
        <f t="shared" si="57"/>
        <v>}, --Baron Thirsk / Baron Thirsk   [Imperial City, Imperial Sewers]</v>
      </c>
    </row>
    <row r="560" spans="1:61" x14ac:dyDescent="0.25">
      <c r="A560" s="93">
        <v>640</v>
      </c>
      <c r="B560" t="s">
        <v>3429</v>
      </c>
      <c r="C560" t="s">
        <v>3370</v>
      </c>
      <c r="D560" s="3">
        <f t="shared" si="52"/>
        <v>640</v>
      </c>
      <c r="G560" s="3" t="s">
        <v>1470</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constants'!$B$4:$C$1012,2,FALSE),"")</f>
        <v>Included in base game</v>
      </c>
      <c r="V560" s="33" t="s">
        <v>3288</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constants'!$A$5:$D$10001,4,FALSE),"")</f>
        <v>High Isle</v>
      </c>
      <c r="AB560" s="33" t="s">
        <v>3288</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constants'!$A$5:$D$10001,4,FALSE),"")</f>
        <v>High Isle</v>
      </c>
      <c r="AH560" s="33" t="s">
        <v>3288</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82"/>
      <c r="BA560" s="82"/>
      <c r="BB560" s="82"/>
      <c r="BC560" s="82"/>
      <c r="BD560" s="82"/>
      <c r="BE560" s="21" t="str">
        <f t="shared" si="53"/>
        <v>[640] = {wayshrines={503,503,503,}, traitsNeeded=3, dlcId=DLC_BASE_GAME</v>
      </c>
      <c r="BF560" s="21" t="str">
        <f t="shared" si="54"/>
        <v>, zoneIds={1318,1318,1318}, veteran=false</v>
      </c>
      <c r="BG560" s="21" t="str">
        <f t="shared" si="55"/>
        <v>, setType=LIBSETS_SETTYPE_CRAFTED</v>
      </c>
      <c r="BH560" s="21" t="str">
        <f t="shared" si="56"/>
        <v>, dropMechanic={LIBSETS_DROP_MECHANIC_CRAFTED,LIBSETS_DROP_MECHANIC_CRAFTED,LIBSETS_DROP_MECHANIC_CRAFTED}</v>
      </c>
      <c r="BI560" s="21" t="str">
        <f t="shared" si="57"/>
        <v>}, --Order\'s Wrath / Zorn des Ordens   [High Isle, High Isle, High Isle]</v>
      </c>
    </row>
    <row r="561" spans="1:61" x14ac:dyDescent="0.25">
      <c r="A561" s="93">
        <v>641</v>
      </c>
      <c r="B561" t="s">
        <v>3430</v>
      </c>
      <c r="C561" s="86" t="s">
        <v>3957</v>
      </c>
      <c r="D561" s="3">
        <f t="shared" si="52"/>
        <v>641</v>
      </c>
      <c r="G561" s="3" t="s">
        <v>1470</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constants'!$B$4:$C$1012,2,FALSE),"")</f>
        <v>Included in base game</v>
      </c>
      <c r="V561" s="33" t="s">
        <v>3288</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constants'!$A$5:$D$10001,4,FALSE),"")</f>
        <v>High Isle</v>
      </c>
      <c r="AB561" s="33" t="s">
        <v>3288</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constants'!$A$5:$D$10001,4,FALSE),"")</f>
        <v>High Isle</v>
      </c>
      <c r="AH561" s="33" t="s">
        <v>3288</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E561" s="21" t="str">
        <f t="shared" si="53"/>
        <v>[641] = {wayshrines={506,506,506,}, traitsNeeded=5, dlcId=DLC_BASE_GAME</v>
      </c>
      <c r="BF561" s="21" t="str">
        <f t="shared" si="54"/>
        <v>, zoneIds={1318,1318,1318}, veteran=false</v>
      </c>
      <c r="BG561" s="21" t="str">
        <f t="shared" si="55"/>
        <v>, setType=LIBSETS_SETTYPE_CRAFTED</v>
      </c>
      <c r="BH561" s="21" t="str">
        <f t="shared" si="56"/>
        <v>, dropMechanic={LIBSETS_DROP_MECHANIC_CRAFTED,LIBSETS_DROP_MECHANIC_CRAFTED,LIBSETS_DROP_MECHANIC_CRAFTED}</v>
      </c>
      <c r="BI561" s="21" t="str">
        <f t="shared" si="57"/>
        <v>}, --Serpent\'s Disdain / Verachtung der Schlange   [High Isle, High Isle, High Isle]</v>
      </c>
    </row>
    <row r="562" spans="1:61" x14ac:dyDescent="0.25">
      <c r="A562" s="93">
        <v>642</v>
      </c>
      <c r="B562" t="s">
        <v>3431</v>
      </c>
      <c r="C562" t="s">
        <v>3371</v>
      </c>
      <c r="D562" s="3">
        <f t="shared" si="52"/>
        <v>642</v>
      </c>
      <c r="G562" s="3" t="s">
        <v>1470</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constants'!$B$4:$C$1012,2,FALSE),"")</f>
        <v>Included in base game</v>
      </c>
      <c r="V562" s="33" t="s">
        <v>3288</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constants'!$A$5:$D$10001,4,FALSE),"")</f>
        <v>High Isle</v>
      </c>
      <c r="AB562" s="33" t="s">
        <v>3288</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constants'!$A$5:$D$10001,4,FALSE),"")</f>
        <v>High Isle</v>
      </c>
      <c r="AH562" s="33" t="s">
        <v>3288</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E562" s="21" t="str">
        <f t="shared" si="53"/>
        <v>[642] = {wayshrines={511,511,511,}, traitsNeeded=7, dlcId=DLC_BASE_GAME</v>
      </c>
      <c r="BF562" s="21" t="str">
        <f t="shared" si="54"/>
        <v>, zoneIds={1318,1318,1318}, veteran=false</v>
      </c>
      <c r="BG562" s="21" t="str">
        <f t="shared" si="55"/>
        <v>, setType=LIBSETS_SETTYPE_CRAFTED</v>
      </c>
      <c r="BH562" s="21" t="str">
        <f t="shared" si="56"/>
        <v>, dropMechanic={LIBSETS_DROP_MECHANIC_CRAFTED,LIBSETS_DROP_MECHANIC_CRAFTED,LIBSETS_DROP_MECHANIC_CRAFTED}</v>
      </c>
      <c r="BI562" s="21" t="str">
        <f t="shared" si="57"/>
        <v>}, --Druid\'s Braid / Druidenflechte   [High Isle, High Isle, High Isle]</v>
      </c>
    </row>
    <row r="563" spans="1:61" x14ac:dyDescent="0.25">
      <c r="A563" s="93">
        <v>643</v>
      </c>
      <c r="B563" t="s">
        <v>3432</v>
      </c>
      <c r="C563" t="s">
        <v>3372</v>
      </c>
      <c r="D563" s="3">
        <f t="shared" si="52"/>
        <v>643</v>
      </c>
      <c r="G563" s="3" t="s">
        <v>1476</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constants'!$B$4:$C$1012,2,FALSE),"")</f>
        <v>Included in base game</v>
      </c>
      <c r="V563" s="33" t="s">
        <v>1555</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constants'!$A$5:$D$10001,4,FALSE),"")</f>
        <v>High Isle</v>
      </c>
      <c r="AB563" s="33" t="s">
        <v>1554</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constants'!$A$5:$D$10001,4,FALSE),"")</f>
        <v>High Isle</v>
      </c>
      <c r="AH563" s="42" t="s">
        <v>1557</v>
      </c>
      <c r="AK563" s="3">
        <f>IF(AND(G563&lt;&gt;"LIBSETS_SETTYPE_BATTLEGROUND",G563&lt;&gt;"LIBSETS_SETTYPE_SPECIAL"),IF(AL563&lt;&gt;"",VLOOKUP(AL563,'ESO zone constants'!$D$5:$H$4955,5,FALSE),""),"")</f>
        <v>1318</v>
      </c>
      <c r="AL563" t="s">
        <v>3327</v>
      </c>
      <c r="AM563" s="33" t="s">
        <v>1556</v>
      </c>
      <c r="AP563" s="3">
        <f>IF(AND(G563&lt;&gt;"LIBSETS_SETTYPE_BATTLEGROUND",G563&lt;&gt;"LIBSETS_SETTYPE_SPECIAL"),IF(AQ563&lt;&gt;"",VLOOKUP(AQ563,'ESO zone constants'!$D$5:$H$4955,5,FALSE),""),"")</f>
        <v>1318</v>
      </c>
      <c r="AQ563" t="s">
        <v>3327</v>
      </c>
      <c r="AR563" s="33" t="s">
        <v>3223</v>
      </c>
      <c r="AU563" s="3" t="str">
        <f>IF(AND(G563&lt;&gt;"LIBSETS_SETTYPE_BATTLEGROUND",G563&lt;&gt;"LIBSETS_SETTYPE_SPECIAL"),IF(AV563&lt;&gt;"",VLOOKUP(AV563,'ESO zone constants'!$D$5:$H$4955,5,FALSE),""),"")</f>
        <v/>
      </c>
      <c r="BE563" s="21" t="str">
        <f t="shared" si="53"/>
        <v>[643] = {wayshrines={512,512,512,}, dlcId=DLC_BASE_GAME</v>
      </c>
      <c r="BF563" s="21" t="str">
        <f t="shared" si="54"/>
        <v>, zoneIds={1318,1318,1318,1318,1318}, veteran=false</v>
      </c>
      <c r="BG563" s="21" t="str">
        <f t="shared" si="55"/>
        <v>, setType=LIBSETS_SETTYPE_OVERLAND</v>
      </c>
      <c r="BH563" s="21" t="str">
        <f t="shared" si="56"/>
        <v>, dropMechanic={LIBSETS_DROP_MECHANIC_OVERLAND_WORLDBOSS,LIBSETS_DROP_MECHANIC_OVERLAND_BOSS_DELVE,LIBSETS_DROP_MECHANIC_OVERLAND_CHEST,LIBSETS_DROP_MECHANIC_OVERLAND_BOSS_PUBLIC_DUNGEON,LIBSETS_DROP_MECHANIC_OVERLAND_LOOT}</v>
      </c>
      <c r="BI563" s="21" t="str">
        <f t="shared" si="57"/>
        <v>}, --Blessing of High Isle / Segen von Hochinsel   [High Isle, High Isle, High Isle, High Isle, High Isle]</v>
      </c>
    </row>
    <row r="564" spans="1:61" x14ac:dyDescent="0.25">
      <c r="A564" s="93">
        <v>644</v>
      </c>
      <c r="B564" t="s">
        <v>3433</v>
      </c>
      <c r="C564" t="s">
        <v>3373</v>
      </c>
      <c r="D564" s="3">
        <f t="shared" si="52"/>
        <v>644</v>
      </c>
      <c r="G564" s="3" t="s">
        <v>1476</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constants'!$B$4:$C$1012,2,FALSE),"")</f>
        <v>Included in base game</v>
      </c>
      <c r="V564" s="33" t="s">
        <v>1555</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constants'!$A$5:$D$10001,4,FALSE),"")</f>
        <v>High Isle</v>
      </c>
      <c r="AB564" s="33" t="s">
        <v>1554</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constants'!$A$5:$D$10001,4,FALSE),"")</f>
        <v>High Isle</v>
      </c>
      <c r="AH564" s="42" t="s">
        <v>1557</v>
      </c>
      <c r="AK564" s="3">
        <f>IF(AND(G564&lt;&gt;"LIBSETS_SETTYPE_BATTLEGROUND",G564&lt;&gt;"LIBSETS_SETTYPE_SPECIAL"),IF(AL564&lt;&gt;"",VLOOKUP(AL564,'ESO zone constants'!$D$5:$H$4955,5,FALSE),""),"")</f>
        <v>1318</v>
      </c>
      <c r="AL564" t="s">
        <v>3327</v>
      </c>
      <c r="AM564" s="33" t="s">
        <v>1556</v>
      </c>
      <c r="AP564" s="3">
        <f>IF(AND(G564&lt;&gt;"LIBSETS_SETTYPE_BATTLEGROUND",G564&lt;&gt;"LIBSETS_SETTYPE_SPECIAL"),IF(AQ564&lt;&gt;"",VLOOKUP(AQ564,'ESO zone constants'!$D$5:$H$4955,5,FALSE),""),"")</f>
        <v>1318</v>
      </c>
      <c r="AQ564" t="s">
        <v>3327</v>
      </c>
      <c r="AR564" s="33" t="s">
        <v>3223</v>
      </c>
      <c r="AU564" s="3" t="str">
        <f>IF(AND(G564&lt;&gt;"LIBSETS_SETTYPE_BATTLEGROUND",G564&lt;&gt;"LIBSETS_SETTYPE_SPECIAL"),IF(AV564&lt;&gt;"",VLOOKUP(AV564,'ESO zone constants'!$D$5:$H$4955,5,FALSE),""),"")</f>
        <v/>
      </c>
      <c r="BE564" s="21" t="str">
        <f t="shared" si="53"/>
        <v>[644] = {wayshrines={512,512,512,}, dlcId=DLC_BASE_GAME</v>
      </c>
      <c r="BF564" s="21" t="str">
        <f t="shared" si="54"/>
        <v>, zoneIds={1318,1318,1318,1318,1318}, veteran=false</v>
      </c>
      <c r="BG564" s="21" t="str">
        <f t="shared" si="55"/>
        <v>, setType=LIBSETS_SETTYPE_OVERLAND</v>
      </c>
      <c r="BH564" s="21" t="str">
        <f t="shared" si="56"/>
        <v>, dropMechanic={LIBSETS_DROP_MECHANIC_OVERLAND_WORLDBOSS,LIBSETS_DROP_MECHANIC_OVERLAND_BOSS_DELVE,LIBSETS_DROP_MECHANIC_OVERLAND_CHEST,LIBSETS_DROP_MECHANIC_OVERLAND_BOSS_PUBLIC_DUNGEON,LIBSETS_DROP_MECHANIC_OVERLAND_LOOT}</v>
      </c>
      <c r="BI564" s="21" t="str">
        <f t="shared" si="57"/>
        <v>}, --Steadfast\'s Mettle / Mut der Standhaften   [High Isle, High Isle, High Isle, High Isle, High Isle]</v>
      </c>
    </row>
    <row r="565" spans="1:61" x14ac:dyDescent="0.25">
      <c r="A565" s="93">
        <v>645</v>
      </c>
      <c r="B565" t="s">
        <v>3434</v>
      </c>
      <c r="C565" t="s">
        <v>3374</v>
      </c>
      <c r="D565" s="3">
        <f t="shared" si="52"/>
        <v>645</v>
      </c>
      <c r="G565" s="3" t="s">
        <v>1476</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constants'!$B$4:$C$1012,2,FALSE),"")</f>
        <v>Included in base game</v>
      </c>
      <c r="V565" s="33" t="s">
        <v>1555</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constants'!$A$5:$D$10001,4,FALSE),"")</f>
        <v>High Isle</v>
      </c>
      <c r="AB565" s="33" t="s">
        <v>1554</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constants'!$A$5:$D$10001,4,FALSE),"")</f>
        <v>High Isle</v>
      </c>
      <c r="AH565" s="42" t="s">
        <v>1557</v>
      </c>
      <c r="AK565" s="3">
        <f>IF(AND(G565&lt;&gt;"LIBSETS_SETTYPE_BATTLEGROUND",G565&lt;&gt;"LIBSETS_SETTYPE_SPECIAL"),IF(AL565&lt;&gt;"",VLOOKUP(AL565,'ESO zone constants'!$D$5:$H$4955,5,FALSE),""),"")</f>
        <v>1318</v>
      </c>
      <c r="AL565" t="s">
        <v>3327</v>
      </c>
      <c r="AM565" s="33" t="s">
        <v>1556</v>
      </c>
      <c r="AP565" s="3">
        <f>IF(AND(G565&lt;&gt;"LIBSETS_SETTYPE_BATTLEGROUND",G565&lt;&gt;"LIBSETS_SETTYPE_SPECIAL"),IF(AQ565&lt;&gt;"",VLOOKUP(AQ565,'ESO zone constants'!$D$5:$H$4955,5,FALSE),""),"")</f>
        <v>1318</v>
      </c>
      <c r="AQ565" t="s">
        <v>3327</v>
      </c>
      <c r="AR565" s="33" t="s">
        <v>3223</v>
      </c>
      <c r="AU565" s="3" t="str">
        <f>IF(AND(G565&lt;&gt;"LIBSETS_SETTYPE_BATTLEGROUND",G565&lt;&gt;"LIBSETS_SETTYPE_SPECIAL"),IF(AV565&lt;&gt;"",VLOOKUP(AV565,'ESO zone constants'!$D$5:$H$4955,5,FALSE),""),"")</f>
        <v/>
      </c>
      <c r="BE565" s="21" t="str">
        <f t="shared" si="53"/>
        <v>[645] = {wayshrines={512,512,512,}, dlcId=DLC_BASE_GAME</v>
      </c>
      <c r="BF565" s="21" t="str">
        <f t="shared" si="54"/>
        <v>, zoneIds={1318,1318,1318,1318,1318}, veteran=false</v>
      </c>
      <c r="BG565" s="21" t="str">
        <f t="shared" si="55"/>
        <v>, setType=LIBSETS_SETTYPE_OVERLAND</v>
      </c>
      <c r="BH565" s="21" t="str">
        <f t="shared" si="56"/>
        <v>, dropMechanic={LIBSETS_DROP_MECHANIC_OVERLAND_WORLDBOSS,LIBSETS_DROP_MECHANIC_OVERLAND_BOSS_DELVE,LIBSETS_DROP_MECHANIC_OVERLAND_CHEST,LIBSETS_DROP_MECHANIC_OVERLAND_BOSS_PUBLIC_DUNGEON,LIBSETS_DROP_MECHANIC_OVERLAND_LOOT}</v>
      </c>
      <c r="BI565" s="21" t="str">
        <f t="shared" si="57"/>
        <v>}, --Systres\' Scowl / Blick der Systren   [High Isle, High Isle, High Isle, High Isle, High Isle]</v>
      </c>
    </row>
    <row r="566" spans="1:61" x14ac:dyDescent="0.25">
      <c r="A566" s="5">
        <v>646</v>
      </c>
      <c r="B566" t="s">
        <v>3435</v>
      </c>
      <c r="C566" t="s">
        <v>3375</v>
      </c>
      <c r="D566" s="3">
        <f t="shared" si="52"/>
        <v>646</v>
      </c>
      <c r="G566" s="3" t="s">
        <v>1477</v>
      </c>
      <c r="I566" t="s">
        <v>91</v>
      </c>
      <c r="J566" t="s">
        <v>91</v>
      </c>
      <c r="K566">
        <v>505</v>
      </c>
      <c r="L566">
        <v>505</v>
      </c>
      <c r="M566">
        <v>505</v>
      </c>
      <c r="O566" s="61" t="s">
        <v>3349</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constants'!$B$4:$C$1012,2,FALSE),"")</f>
        <v>High Isle</v>
      </c>
      <c r="V566" s="33" t="s">
        <v>3266</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constants'!$A$5:$D$10001,4,FALSE),"")</f>
        <v>Dreadsail Reef</v>
      </c>
      <c r="AB566" s="33" t="s">
        <v>3266</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constants'!$A$5:$D$10001,4,FALSE),"")</f>
        <v>Dreadsail Reef</v>
      </c>
      <c r="AH566" s="33" t="s">
        <v>3266</v>
      </c>
      <c r="AK566" s="3"/>
      <c r="AU566" s="3" t="str">
        <f>IF(AND(G566&lt;&gt;"LIBSETS_SETTYPE_BATTLEGROUND",G566&lt;&gt;"LIBSETS_SETTYPE_SPECIAL"),IF(AV566&lt;&gt;"",VLOOKUP(AV566,'ESO zone constants'!$D$5:$H$4955,5,FALSE),""),"")</f>
        <v/>
      </c>
      <c r="BD566" s="96">
        <v>653</v>
      </c>
      <c r="BE566" s="21" t="str">
        <f t="shared" si="53"/>
        <v>[646] = {wayshrines={505,505,505,}, dlcId=DLC_HIGH_ISLE</v>
      </c>
      <c r="BF566" s="21" t="str">
        <f t="shared" si="54"/>
        <v>, zoneIds={1344,1344,1344}, veteran=false</v>
      </c>
      <c r="BG566" s="21" t="str">
        <f t="shared" si="55"/>
        <v>, setType=LIBSETS_SETTYPE_TRIAL</v>
      </c>
      <c r="BH566" s="21" t="str">
        <f t="shared" si="56"/>
        <v>, dropMechanic={LIBSETS_DROP_MECHANIC_TRIAL_BOSS,LIBSETS_DROP_MECHANIC_TRIAL_BOSS,LIBSETS_DROP_MECHANIC_TRIAL_BOSS}, perfectedSetId=653</v>
      </c>
      <c r="BI566" s="21" t="str">
        <f t="shared" si="57"/>
        <v>}, --Whorl of the Depths / Wirbel der Tiefen   [Dreadsail Reef, Dreadsail Reef, Dreadsail Reef]</v>
      </c>
    </row>
    <row r="567" spans="1:61" x14ac:dyDescent="0.25">
      <c r="A567" s="5">
        <v>647</v>
      </c>
      <c r="B567" t="s">
        <v>3436</v>
      </c>
      <c r="C567" t="s">
        <v>3376</v>
      </c>
      <c r="D567" s="3">
        <f t="shared" si="52"/>
        <v>647</v>
      </c>
      <c r="G567" s="3" t="s">
        <v>1477</v>
      </c>
      <c r="I567" t="s">
        <v>91</v>
      </c>
      <c r="J567" t="s">
        <v>91</v>
      </c>
      <c r="K567">
        <v>505</v>
      </c>
      <c r="L567">
        <v>505</v>
      </c>
      <c r="M567">
        <v>505</v>
      </c>
      <c r="O567" s="61" t="s">
        <v>3349</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constants'!$B$4:$C$1012,2,FALSE),"")</f>
        <v>High Isle</v>
      </c>
      <c r="V567" s="33" t="s">
        <v>3266</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constants'!$A$5:$D$10001,4,FALSE),"")</f>
        <v>Dreadsail Reef</v>
      </c>
      <c r="AB567" s="33" t="s">
        <v>3266</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constants'!$A$5:$D$10001,4,FALSE),"")</f>
        <v>Dreadsail Reef</v>
      </c>
      <c r="AH567" s="33" t="s">
        <v>3266</v>
      </c>
      <c r="AK567" s="3"/>
      <c r="AU567" s="3" t="str">
        <f>IF(AND(G567&lt;&gt;"LIBSETS_SETTYPE_BATTLEGROUND",G567&lt;&gt;"LIBSETS_SETTYPE_SPECIAL"),IF(AV567&lt;&gt;"",VLOOKUP(AV567,'ESO zone constants'!$D$5:$H$4955,5,FALSE),""),"")</f>
        <v/>
      </c>
      <c r="BD567" s="96">
        <v>652</v>
      </c>
      <c r="BE567" s="21" t="str">
        <f t="shared" si="53"/>
        <v>[647] = {wayshrines={505,505,505,}, dlcId=DLC_HIGH_ISLE</v>
      </c>
      <c r="BF567" s="21" t="str">
        <f t="shared" si="54"/>
        <v>, zoneIds={1344,1344,1344}, veteran=false</v>
      </c>
      <c r="BG567" s="21" t="str">
        <f t="shared" si="55"/>
        <v>, setType=LIBSETS_SETTYPE_TRIAL</v>
      </c>
      <c r="BH567" s="21" t="str">
        <f t="shared" si="56"/>
        <v>, dropMechanic={LIBSETS_DROP_MECHANIC_TRIAL_BOSS,LIBSETS_DROP_MECHANIC_TRIAL_BOSS,LIBSETS_DROP_MECHANIC_TRIAL_BOSS}, perfectedSetId=652</v>
      </c>
      <c r="BI567" s="21" t="str">
        <f t="shared" si="57"/>
        <v>}, --Coral Riptide / Korallenbrandung   [Dreadsail Reef, Dreadsail Reef, Dreadsail Reef]</v>
      </c>
    </row>
    <row r="568" spans="1:61" x14ac:dyDescent="0.25">
      <c r="A568" s="5">
        <v>648</v>
      </c>
      <c r="B568" t="s">
        <v>3437</v>
      </c>
      <c r="C568" t="s">
        <v>3377</v>
      </c>
      <c r="D568" s="3">
        <f t="shared" si="52"/>
        <v>648</v>
      </c>
      <c r="G568" s="3" t="s">
        <v>1477</v>
      </c>
      <c r="I568" t="s">
        <v>91</v>
      </c>
      <c r="J568" t="s">
        <v>91</v>
      </c>
      <c r="K568">
        <v>505</v>
      </c>
      <c r="L568">
        <v>505</v>
      </c>
      <c r="M568">
        <v>505</v>
      </c>
      <c r="O568" s="61" t="s">
        <v>3349</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constants'!$B$4:$C$1012,2,FALSE),"")</f>
        <v>High Isle</v>
      </c>
      <c r="V568" s="33" t="s">
        <v>3266</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constants'!$A$5:$D$10001,4,FALSE),"")</f>
        <v>Dreadsail Reef</v>
      </c>
      <c r="AB568" s="33" t="s">
        <v>3266</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constants'!$A$5:$D$10001,4,FALSE),"")</f>
        <v>Dreadsail Reef</v>
      </c>
      <c r="AH568" s="33" t="s">
        <v>3266</v>
      </c>
      <c r="AK568" s="3"/>
      <c r="AU568" s="3" t="str">
        <f>IF(AND(G568&lt;&gt;"LIBSETS_SETTYPE_BATTLEGROUND",G568&lt;&gt;"LIBSETS_SETTYPE_SPECIAL"),IF(AV568&lt;&gt;"",VLOOKUP(AV568,'ESO zone constants'!$D$5:$H$4955,5,FALSE),""),"")</f>
        <v/>
      </c>
      <c r="BD568" s="96">
        <v>651</v>
      </c>
      <c r="BE568" s="21" t="str">
        <f t="shared" si="53"/>
        <v>[648] = {wayshrines={505,505,505,}, dlcId=DLC_HIGH_ISLE</v>
      </c>
      <c r="BF568" s="21" t="str">
        <f t="shared" si="54"/>
        <v>, zoneIds={1344,1344,1344}, veteran=false</v>
      </c>
      <c r="BG568" s="21" t="str">
        <f t="shared" si="55"/>
        <v>, setType=LIBSETS_SETTYPE_TRIAL</v>
      </c>
      <c r="BH568" s="21" t="str">
        <f t="shared" si="56"/>
        <v>, dropMechanic={LIBSETS_DROP_MECHANIC_TRIAL_BOSS,LIBSETS_DROP_MECHANIC_TRIAL_BOSS,LIBSETS_DROP_MECHANIC_TRIAL_BOSS}, perfectedSetId=651</v>
      </c>
      <c r="BI568" s="21" t="str">
        <f t="shared" si="57"/>
        <v>}, --Pearlescent Ward / Perlenglanz-Schutz   [Dreadsail Reef, Dreadsail Reef, Dreadsail Reef]</v>
      </c>
    </row>
    <row r="569" spans="1:61" x14ac:dyDescent="0.25">
      <c r="A569" s="5">
        <v>649</v>
      </c>
      <c r="B569" t="s">
        <v>3438</v>
      </c>
      <c r="C569" t="s">
        <v>3378</v>
      </c>
      <c r="D569" s="3">
        <f t="shared" si="52"/>
        <v>649</v>
      </c>
      <c r="G569" s="3" t="s">
        <v>1477</v>
      </c>
      <c r="I569" t="s">
        <v>91</v>
      </c>
      <c r="J569" t="s">
        <v>91</v>
      </c>
      <c r="K569">
        <v>505</v>
      </c>
      <c r="L569">
        <v>505</v>
      </c>
      <c r="M569">
        <v>505</v>
      </c>
      <c r="O569" s="61" t="s">
        <v>3349</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constants'!$B$4:$C$1012,2,FALSE),"")</f>
        <v>High Isle</v>
      </c>
      <c r="V569" s="33" t="s">
        <v>3266</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constants'!$A$5:$D$10001,4,FALSE),"")</f>
        <v>Dreadsail Reef</v>
      </c>
      <c r="AB569" s="33" t="s">
        <v>3266</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constants'!$A$5:$D$10001,4,FALSE),"")</f>
        <v>Dreadsail Reef</v>
      </c>
      <c r="AH569" s="33" t="s">
        <v>3266</v>
      </c>
      <c r="AK569" s="3"/>
      <c r="AU569" s="3" t="str">
        <f>IF(AND(G569&lt;&gt;"LIBSETS_SETTYPE_BATTLEGROUND",G569&lt;&gt;"LIBSETS_SETTYPE_SPECIAL"),IF(AV569&lt;&gt;"",VLOOKUP(AV569,'ESO zone constants'!$D$5:$H$4955,5,FALSE),""),"")</f>
        <v/>
      </c>
      <c r="BD569" s="96">
        <v>650</v>
      </c>
      <c r="BE569" s="21" t="str">
        <f t="shared" si="53"/>
        <v>[649] = {wayshrines={505,505,505,}, dlcId=DLC_HIGH_ISLE</v>
      </c>
      <c r="BF569" s="21" t="str">
        <f t="shared" si="54"/>
        <v>, zoneIds={1344,1344,1344}, veteran=false</v>
      </c>
      <c r="BG569" s="21" t="str">
        <f t="shared" si="55"/>
        <v>, setType=LIBSETS_SETTYPE_TRIAL</v>
      </c>
      <c r="BH569" s="21" t="str">
        <f t="shared" si="56"/>
        <v>, dropMechanic={LIBSETS_DROP_MECHANIC_TRIAL_BOSS,LIBSETS_DROP_MECHANIC_TRIAL_BOSS,LIBSETS_DROP_MECHANIC_TRIAL_BOSS}, perfectedSetId=650</v>
      </c>
      <c r="BI569" s="21" t="str">
        <f t="shared" si="57"/>
        <v>}, --Pillager\'s Profit / Profit des Brandschatzers   [Dreadsail Reef, Dreadsail Reef, Dreadsail Reef]</v>
      </c>
    </row>
    <row r="570" spans="1:61" x14ac:dyDescent="0.25">
      <c r="A570" s="5">
        <v>650</v>
      </c>
      <c r="B570" t="s">
        <v>3439</v>
      </c>
      <c r="C570" s="86" t="s">
        <v>3956</v>
      </c>
      <c r="D570" s="3">
        <f t="shared" si="52"/>
        <v>650</v>
      </c>
      <c r="G570" s="3" t="s">
        <v>1477</v>
      </c>
      <c r="I570" t="s">
        <v>92</v>
      </c>
      <c r="J570" t="s">
        <v>91</v>
      </c>
      <c r="K570">
        <v>505</v>
      </c>
      <c r="L570">
        <v>505</v>
      </c>
      <c r="M570">
        <v>505</v>
      </c>
      <c r="O570" s="61" t="s">
        <v>3349</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constants'!$B$4:$C$1012,2,FALSE),"")</f>
        <v>High Isle</v>
      </c>
      <c r="V570" s="33" t="s">
        <v>3266</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constants'!$A$5:$D$10001,4,FALSE),"")</f>
        <v>Dreadsail Reef</v>
      </c>
      <c r="AB570" s="33" t="s">
        <v>3266</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constants'!$A$5:$D$10001,4,FALSE),"")</f>
        <v>Dreadsail Reef</v>
      </c>
      <c r="AH570" s="33" t="s">
        <v>3266</v>
      </c>
      <c r="AK570" s="3"/>
      <c r="AU570" s="3" t="str">
        <f>IF(AND(G570&lt;&gt;"LIBSETS_SETTYPE_BATTLEGROUND",G570&lt;&gt;"LIBSETS_SETTYPE_SPECIAL"),IF(AV570&lt;&gt;"",VLOOKUP(AV570,'ESO zone constants'!$D$5:$H$4955,5,FALSE),""),"")</f>
        <v/>
      </c>
      <c r="BD570" s="96" t="s">
        <v>3832</v>
      </c>
      <c r="BE570" s="21" t="str">
        <f t="shared" si="53"/>
        <v>[650] = {wayshrines={505,505,505,}, dlcId=DLC_HIGH_ISLE</v>
      </c>
      <c r="BF570" s="21" t="str">
        <f t="shared" si="54"/>
        <v>, zoneIds={1344,1344,1344}, veteran=true</v>
      </c>
      <c r="BG570" s="21" t="str">
        <f t="shared" si="55"/>
        <v>, setType=LIBSETS_SETTYPE_TRIAL</v>
      </c>
      <c r="BH570" s="21" t="str">
        <f t="shared" si="56"/>
        <v>, dropMechanic={LIBSETS_DROP_MECHANIC_TRIAL_BOSS,LIBSETS_DROP_MECHANIC_TRIAL_BOSS,LIBSETS_DROP_MECHANIC_TRIAL_BOSS}, isPerfectedSet=1</v>
      </c>
      <c r="BI570" s="21" t="str">
        <f t="shared" si="57"/>
        <v>}, --Perfected Pillager\'s Profit / Perfektionierter Profit des Brandschatzers   [Dreadsail Reef, Dreadsail Reef, Dreadsail Reef]</v>
      </c>
    </row>
    <row r="571" spans="1:61" x14ac:dyDescent="0.25">
      <c r="A571" s="5">
        <v>651</v>
      </c>
      <c r="B571" t="s">
        <v>3440</v>
      </c>
      <c r="C571" t="s">
        <v>3379</v>
      </c>
      <c r="D571" s="3">
        <f t="shared" si="52"/>
        <v>651</v>
      </c>
      <c r="G571" s="3" t="s">
        <v>1477</v>
      </c>
      <c r="I571" t="s">
        <v>92</v>
      </c>
      <c r="J571" t="s">
        <v>91</v>
      </c>
      <c r="K571">
        <v>505</v>
      </c>
      <c r="L571">
        <v>505</v>
      </c>
      <c r="M571">
        <v>505</v>
      </c>
      <c r="O571" s="61" t="s">
        <v>3349</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constants'!$B$4:$C$1012,2,FALSE),"")</f>
        <v>High Isle</v>
      </c>
      <c r="V571" s="33" t="s">
        <v>3266</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constants'!$A$5:$D$10001,4,FALSE),"")</f>
        <v>Dreadsail Reef</v>
      </c>
      <c r="AB571" s="33" t="s">
        <v>3266</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constants'!$A$5:$D$10001,4,FALSE),"")</f>
        <v>Dreadsail Reef</v>
      </c>
      <c r="AH571" s="33" t="s">
        <v>3266</v>
      </c>
      <c r="AK571" s="3"/>
      <c r="AU571" s="3" t="str">
        <f>IF(AND(G571&lt;&gt;"LIBSETS_SETTYPE_BATTLEGROUND",G571&lt;&gt;"LIBSETS_SETTYPE_SPECIAL"),IF(AV571&lt;&gt;"",VLOOKUP(AV571,'ESO zone constants'!$D$5:$H$4955,5,FALSE),""),"")</f>
        <v/>
      </c>
      <c r="BD571" s="96" t="s">
        <v>3832</v>
      </c>
      <c r="BE571" s="21" t="str">
        <f t="shared" si="53"/>
        <v>[651] = {wayshrines={505,505,505,}, dlcId=DLC_HIGH_ISLE</v>
      </c>
      <c r="BF571" s="21" t="str">
        <f t="shared" si="54"/>
        <v>, zoneIds={1344,1344,1344}, veteran=true</v>
      </c>
      <c r="BG571" s="21" t="str">
        <f t="shared" si="55"/>
        <v>, setType=LIBSETS_SETTYPE_TRIAL</v>
      </c>
      <c r="BH571" s="21" t="str">
        <f t="shared" si="56"/>
        <v>, dropMechanic={LIBSETS_DROP_MECHANIC_TRIAL_BOSS,LIBSETS_DROP_MECHANIC_TRIAL_BOSS,LIBSETS_DROP_MECHANIC_TRIAL_BOSS}, isPerfectedSet=1</v>
      </c>
      <c r="BI571" s="21" t="str">
        <f t="shared" si="57"/>
        <v>}, --Perfected Pearlescent Ward / Perfektionierter Perlenglanz-Schutz   [Dreadsail Reef, Dreadsail Reef, Dreadsail Reef]</v>
      </c>
    </row>
    <row r="572" spans="1:61" x14ac:dyDescent="0.25">
      <c r="A572" s="5">
        <v>652</v>
      </c>
      <c r="B572" t="s">
        <v>3441</v>
      </c>
      <c r="C572" t="s">
        <v>3380</v>
      </c>
      <c r="D572" s="3">
        <f t="shared" si="52"/>
        <v>652</v>
      </c>
      <c r="G572" s="3" t="s">
        <v>1477</v>
      </c>
      <c r="I572" t="s">
        <v>92</v>
      </c>
      <c r="J572" t="s">
        <v>91</v>
      </c>
      <c r="K572">
        <v>505</v>
      </c>
      <c r="L572">
        <v>505</v>
      </c>
      <c r="M572">
        <v>505</v>
      </c>
      <c r="O572" s="61" t="s">
        <v>3349</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constants'!$B$4:$C$1012,2,FALSE),"")</f>
        <v>High Isle</v>
      </c>
      <c r="V572" s="33" t="s">
        <v>3266</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constants'!$A$5:$D$10001,4,FALSE),"")</f>
        <v>Dreadsail Reef</v>
      </c>
      <c r="AB572" s="33" t="s">
        <v>3266</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constants'!$A$5:$D$10001,4,FALSE),"")</f>
        <v>Dreadsail Reef</v>
      </c>
      <c r="AH572" s="33" t="s">
        <v>3266</v>
      </c>
      <c r="AK572" s="3"/>
      <c r="AU572" s="3" t="str">
        <f>IF(AND(G572&lt;&gt;"LIBSETS_SETTYPE_BATTLEGROUND",G572&lt;&gt;"LIBSETS_SETTYPE_SPECIAL"),IF(AV572&lt;&gt;"",VLOOKUP(AV572,'ESO zone constants'!$D$5:$H$4955,5,FALSE),""),"")</f>
        <v/>
      </c>
      <c r="BD572" s="96" t="s">
        <v>3832</v>
      </c>
      <c r="BE572" s="21" t="str">
        <f t="shared" si="53"/>
        <v>[652] = {wayshrines={505,505,505,}, dlcId=DLC_HIGH_ISLE</v>
      </c>
      <c r="BF572" s="21" t="str">
        <f t="shared" si="54"/>
        <v>, zoneIds={1344,1344,1344}, veteran=true</v>
      </c>
      <c r="BG572" s="21" t="str">
        <f t="shared" si="55"/>
        <v>, setType=LIBSETS_SETTYPE_TRIAL</v>
      </c>
      <c r="BH572" s="21" t="str">
        <f t="shared" si="56"/>
        <v>, dropMechanic={LIBSETS_DROP_MECHANIC_TRIAL_BOSS,LIBSETS_DROP_MECHANIC_TRIAL_BOSS,LIBSETS_DROP_MECHANIC_TRIAL_BOSS}, isPerfectedSet=1</v>
      </c>
      <c r="BI572" s="21" t="str">
        <f t="shared" si="57"/>
        <v>}, --Perfected Coral Riptide / Perfektionierte Korallenbrandung   [Dreadsail Reef, Dreadsail Reef, Dreadsail Reef]</v>
      </c>
    </row>
    <row r="573" spans="1:61" x14ac:dyDescent="0.25">
      <c r="A573" s="5">
        <v>653</v>
      </c>
      <c r="B573" t="s">
        <v>3442</v>
      </c>
      <c r="C573" t="s">
        <v>3381</v>
      </c>
      <c r="D573" s="3">
        <f t="shared" si="52"/>
        <v>653</v>
      </c>
      <c r="G573" s="3" t="s">
        <v>1477</v>
      </c>
      <c r="I573" t="s">
        <v>92</v>
      </c>
      <c r="J573" t="s">
        <v>91</v>
      </c>
      <c r="K573">
        <v>505</v>
      </c>
      <c r="L573">
        <v>505</v>
      </c>
      <c r="M573">
        <v>505</v>
      </c>
      <c r="O573" s="61" t="s">
        <v>3349</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constants'!$B$4:$C$1012,2,FALSE),"")</f>
        <v>High Isle</v>
      </c>
      <c r="V573" s="33" t="s">
        <v>3266</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constants'!$A$5:$D$10001,4,FALSE),"")</f>
        <v>Dreadsail Reef</v>
      </c>
      <c r="AB573" s="33" t="s">
        <v>3266</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constants'!$A$5:$D$10001,4,FALSE),"")</f>
        <v>Dreadsail Reef</v>
      </c>
      <c r="AH573" s="33" t="s">
        <v>3266</v>
      </c>
      <c r="AK573" s="3"/>
      <c r="AU573" s="3" t="str">
        <f>IF(AND(G573&lt;&gt;"LIBSETS_SETTYPE_BATTLEGROUND",G573&lt;&gt;"LIBSETS_SETTYPE_SPECIAL"),IF(AV573&lt;&gt;"",VLOOKUP(AV573,'ESO zone constants'!$D$5:$H$4955,5,FALSE),""),"")</f>
        <v/>
      </c>
      <c r="BD573" s="96" t="s">
        <v>3832</v>
      </c>
      <c r="BE573" s="21" t="str">
        <f t="shared" si="53"/>
        <v>[653] = {wayshrines={505,505,505,}, dlcId=DLC_HIGH_ISLE</v>
      </c>
      <c r="BF573" s="21" t="str">
        <f t="shared" si="54"/>
        <v>, zoneIds={1344,1344,1344}, veteran=true</v>
      </c>
      <c r="BG573" s="21" t="str">
        <f t="shared" si="55"/>
        <v>, setType=LIBSETS_SETTYPE_TRIAL</v>
      </c>
      <c r="BH573" s="21" t="str">
        <f t="shared" si="56"/>
        <v>, dropMechanic={LIBSETS_DROP_MECHANIC_TRIAL_BOSS,LIBSETS_DROP_MECHANIC_TRIAL_BOSS,LIBSETS_DROP_MECHANIC_TRIAL_BOSS}, isPerfectedSet=1</v>
      </c>
      <c r="BI573" s="21" t="str">
        <f t="shared" si="57"/>
        <v>}, --Perfected Whorl of the Depths / Perfektionierter Wirbel der Tiefen   [Dreadsail Reef, Dreadsail Reef, Dreadsail Reef]</v>
      </c>
    </row>
    <row r="574" spans="1:61" x14ac:dyDescent="0.25">
      <c r="A574" s="5">
        <v>654</v>
      </c>
      <c r="B574" t="s">
        <v>3443</v>
      </c>
      <c r="C574" s="86" t="s">
        <v>3490</v>
      </c>
      <c r="D574" s="3">
        <f t="shared" si="52"/>
        <v>654</v>
      </c>
      <c r="G574" s="95" t="s">
        <v>1678</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WayshrineInfo'!$K$3:$N$9972,4,FALSE),"")))</f>
        <v>The Deadlands</v>
      </c>
      <c r="S574" s="61" t="s">
        <v>3328</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constants'!$B$4:$C$1012,2,FALSE),"")</f>
        <v>High Isle</v>
      </c>
      <c r="V574" s="33" t="s">
        <v>3269</v>
      </c>
      <c r="W574" s="3" t="s">
        <v>3492</v>
      </c>
      <c r="X574" s="3" t="s">
        <v>3493</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constants'!$A$5:$D$10001,4,FALSE),"")</f>
        <v>The Vile Manse</v>
      </c>
      <c r="AB574" s="33" t="s">
        <v>3554</v>
      </c>
      <c r="AC574" s="3" t="s">
        <v>3869</v>
      </c>
      <c r="AD574" s="3" t="s">
        <v>3497</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constants'!$A$5:$D$10001,4,FALSE),"")</f>
        <v>The Deadlands</v>
      </c>
      <c r="AH574" s="33" t="s">
        <v>3269</v>
      </c>
      <c r="AI574" s="3" t="s">
        <v>3498</v>
      </c>
      <c r="AJ574" s="3" t="s">
        <v>3499</v>
      </c>
      <c r="AK574" s="3">
        <f>IF(AND(G574&lt;&gt;"LIBSETS_SETTYPE_BATTLEGROUND",G574&lt;&gt;"LIBSETS_SETTYPE_SPECIAL"),IF(AL574&lt;&gt;"",VLOOKUP(AL574,'ESO zone constants'!$D$5:$H$4955,5,FALSE),""),"")</f>
        <v>1286</v>
      </c>
      <c r="AL574" t="s">
        <v>2442</v>
      </c>
      <c r="AM574" s="33" t="s">
        <v>3597</v>
      </c>
      <c r="AN574" s="3" t="s">
        <v>3603</v>
      </c>
      <c r="AO574" s="3" t="s">
        <v>3604</v>
      </c>
      <c r="AP574" s="3">
        <f>IF(AND(G574&lt;&gt;"LIBSETS_SETTYPE_BATTLEGROUND",G574&lt;&gt;"LIBSETS_SETTYPE_SPECIAL"),IF(AQ574&lt;&gt;"",VLOOKUP(AQ574,'ESO zone constants'!$D$5:$H$4955,5,FALSE),""),"")</f>
        <v>678</v>
      </c>
      <c r="AQ574" t="s">
        <v>52</v>
      </c>
      <c r="AR574" s="33" t="s">
        <v>3285</v>
      </c>
      <c r="AS574" s="3" t="s">
        <v>3500</v>
      </c>
      <c r="AT574" s="3" t="s">
        <v>3501</v>
      </c>
      <c r="AU574" s="3" t="str">
        <f>IF(AND(G574&lt;&gt;"LIBSETS_SETTYPE_BATTLEGROUND",G574&lt;&gt;"LIBSETS_SETTYPE_SPECIAL"),IF(AV574&lt;&gt;"",VLOOKUP(AV574,'ESO zone constants'!$D$5:$H$4955,5,FALSE),""),"")</f>
        <v/>
      </c>
      <c r="BA574" s="96" t="s">
        <v>3515</v>
      </c>
      <c r="BB574" s="96" t="s">
        <v>3515</v>
      </c>
      <c r="BC574" s="96"/>
      <c r="BD574" s="96"/>
      <c r="BE574" s="21" t="str">
        <f t="shared" si="53"/>
        <v>[654] = {wayshrines={479,156,479,}, dlcId=DLC_HIGH_ISLE</v>
      </c>
      <c r="BF574" s="21" t="str">
        <f t="shared" si="54"/>
        <v>, zoneIds={1286,487,1286,1286,678}, veteran=false</v>
      </c>
      <c r="BG574" s="21" t="str">
        <f t="shared" si="55"/>
        <v>, setType=LIBSETS_SETTYPE_MYTHIC</v>
      </c>
      <c r="BH574" s="21" t="str">
        <f t="shared" si="56"/>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 t="shared" si="57"/>
        <v>, addTooltip={['en']='https://en.uesp.net/wiki/Online:Mora%27s_Whispers',},}, --Mora\'s Whispers / Moras Flüstern   [The Deadlands, The Vile Manse, The Deadlands, The Deadlands, Imperial City Prison]</v>
      </c>
    </row>
    <row r="575" spans="1:61" x14ac:dyDescent="0.25">
      <c r="A575" s="5">
        <v>655</v>
      </c>
      <c r="B575" t="s">
        <v>3444</v>
      </c>
      <c r="C575" s="86" t="s">
        <v>3382</v>
      </c>
      <c r="D575" s="3">
        <f t="shared" si="52"/>
        <v>655</v>
      </c>
      <c r="G575" s="95" t="s">
        <v>1678</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WayshrineInfo'!$K$3:$N$9972,4,FALSE),"")))</f>
        <v>Northern Elsweyr</v>
      </c>
      <c r="S575" s="61" t="s">
        <v>3328</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constants'!$B$4:$C$1012,2,FALSE),"")</f>
        <v>High Isle</v>
      </c>
      <c r="V575" s="33" t="s">
        <v>3223</v>
      </c>
      <c r="W575" s="3" t="s">
        <v>3232</v>
      </c>
      <c r="X575" s="3" t="s">
        <v>3233</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constants'!$A$5:$D$10001,4,FALSE),"")</f>
        <v>Southern Elsweyr</v>
      </c>
      <c r="AB575" s="33" t="s">
        <v>3223</v>
      </c>
      <c r="AC575" s="3" t="s">
        <v>3502</v>
      </c>
      <c r="AD575" s="3" t="s">
        <v>3503</v>
      </c>
      <c r="AF575" s="3">
        <v>1121</v>
      </c>
      <c r="AG575" t="s">
        <v>1343</v>
      </c>
      <c r="AH575" s="33" t="s">
        <v>3269</v>
      </c>
      <c r="AI575" s="3" t="s">
        <v>3504</v>
      </c>
      <c r="AJ575" s="3" t="s">
        <v>3505</v>
      </c>
      <c r="AK575" s="3">
        <f>IF(AND(G575&lt;&gt;"LIBSETS_SETTYPE_BATTLEGROUND",G575&lt;&gt;"LIBSETS_SETTYPE_SPECIAL"),IF(AL575&lt;&gt;"",VLOOKUP(AL575,'ESO zone constants'!$D$5:$H$4955,5,FALSE),""),"")</f>
        <v>1123</v>
      </c>
      <c r="AL575" t="s">
        <v>1483</v>
      </c>
      <c r="AM575" s="33" t="s">
        <v>3285</v>
      </c>
      <c r="AN575" s="3" t="s">
        <v>1504</v>
      </c>
      <c r="AO575" s="3" t="s">
        <v>1504</v>
      </c>
      <c r="AP575" s="3">
        <f>IF(AND(G575&lt;&gt;"LIBSETS_SETTYPE_BATTLEGROUND",G575&lt;&gt;"LIBSETS_SETTYPE_SPECIAL"),IF(AQ575&lt;&gt;"",VLOOKUP(AQ575,'ESO zone constants'!$D$5:$H$4955,5,FALSE),""),"")</f>
        <v>1122</v>
      </c>
      <c r="AQ575" t="s">
        <v>1482</v>
      </c>
      <c r="AR575" s="33" t="s">
        <v>3269</v>
      </c>
      <c r="AS575" s="3" t="s">
        <v>3506</v>
      </c>
      <c r="AT575" s="3" t="s">
        <v>3507</v>
      </c>
      <c r="AU575" s="3" t="str">
        <f>IF(AND(G575&lt;&gt;"LIBSETS_SETTYPE_BATTLEGROUND",G575&lt;&gt;"LIBSETS_SETTYPE_SPECIAL"),IF(AV575&lt;&gt;"",VLOOKUP(AV575,'ESO zone constants'!$D$5:$H$4955,5,FALSE),""),"")</f>
        <v/>
      </c>
      <c r="BA575" s="96" t="s">
        <v>3516</v>
      </c>
      <c r="BB575" s="96" t="s">
        <v>3516</v>
      </c>
      <c r="BC575" s="96"/>
      <c r="BD575" s="96"/>
      <c r="BE575" s="21" t="str">
        <f t="shared" si="53"/>
        <v>[655] = {wayshrines={383,402,-1,}, dlcId=DLC_HIGH_ISLE</v>
      </c>
      <c r="BF575" s="21" t="str">
        <f t="shared" si="54"/>
        <v>, zoneIds={1086,1133,1121,1123,1122}, veteran=false</v>
      </c>
      <c r="BG575" s="21" t="str">
        <f t="shared" si="55"/>
        <v>, setType=LIBSETS_SETTYPE_MYTHIC</v>
      </c>
      <c r="BH575" s="21" t="str">
        <f t="shared" si="56"/>
        <v>, dropMechanic={LIBSETS_DROP_MECHANIC_OVERLAND_LOOT,LIBSETS_DROP_MECHANIC_OVERLAND_LOOT,LIBSETS_DROP_MECHANIC_MOB_TYPE,LIBSETS_DROP_MECHANIC_GROUP_DUNGEON_BOSS,LIBSETS_DROP_MECHANIC_MOB_TYPE}, dropMechanicDropLocationNames={['en']={'Safeboxes','Psijic portal','Dragons','Maarselok','Big Khajiit','',},['de']={'Wertkasetten','Psijic Portal','Drachen','Maarselok','Große Khajiit','',},}</v>
      </c>
      <c r="BI575" s="21" t="str">
        <f t="shared" si="57"/>
        <v>, addTooltip={['en']='https://en.uesp.net/wiki/Online:Dov-rha_Sabatons',},}, --Dov-rha Sabatons / Dov-rha-Panzerschuhe   [Northern Elsweyr, Southern Elsweyr, Sunspire, Lair of Maarselok, Moongrave Fane]</v>
      </c>
    </row>
    <row r="576" spans="1:61" x14ac:dyDescent="0.25">
      <c r="A576" s="5">
        <v>656</v>
      </c>
      <c r="B576" t="s">
        <v>3445</v>
      </c>
      <c r="C576" s="86" t="s">
        <v>3508</v>
      </c>
      <c r="D576" s="3">
        <f t="shared" si="52"/>
        <v>656</v>
      </c>
      <c r="G576" s="95" t="s">
        <v>1678</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WayshrineInfo'!$K$3:$N$9972,4,FALSE),"")))</f>
        <v>Summerset</v>
      </c>
      <c r="S576" s="61" t="s">
        <v>3328</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constants'!$B$4:$C$1012,2,FALSE),"")</f>
        <v>High Isle</v>
      </c>
      <c r="V576" s="33" t="s">
        <v>3269</v>
      </c>
      <c r="W576" s="3" t="s">
        <v>3509</v>
      </c>
      <c r="X576" s="3" t="s">
        <v>3510</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constants'!$A$5:$D$10001,4,FALSE),"")</f>
        <v>High Isle</v>
      </c>
      <c r="AB576" s="33" t="s">
        <v>1555</v>
      </c>
      <c r="AC576" s="3" t="s">
        <v>3511</v>
      </c>
      <c r="AD576" s="3" t="s">
        <v>3512</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constants'!$A$5:$D$10001,4,FALSE),"")</f>
        <v>Alik'r Desert</v>
      </c>
      <c r="AH576" s="33" t="s">
        <v>1557</v>
      </c>
      <c r="AK576" s="3">
        <f>IF(AND(G576&lt;&gt;"LIBSETS_SETTYPE_BATTLEGROUND",G576&lt;&gt;"LIBSETS_SETTYPE_SPECIAL"),IF(AL576&lt;&gt;"",VLOOKUP(AL576,'ESO zone constants'!$D$5:$H$4955,5,FALSE),""),"")</f>
        <v>0</v>
      </c>
      <c r="AL576" t="s">
        <v>2227</v>
      </c>
      <c r="AM576" s="33" t="s">
        <v>3288</v>
      </c>
      <c r="AN576" s="3" t="s">
        <v>3836</v>
      </c>
      <c r="AO576" s="3" t="s">
        <v>3837</v>
      </c>
      <c r="AP576" s="3">
        <f>IF(AND(G576&lt;&gt;"LIBSETS_SETTYPE_BATTLEGROUND",G576&lt;&gt;"LIBSETS_SETTYPE_SPECIAL"),IF(AQ576&lt;&gt;"",VLOOKUP(AQ576,'ESO zone constants'!$D$5:$H$4955,5,FALSE),""),"")</f>
        <v>1011</v>
      </c>
      <c r="AQ576" t="s">
        <v>79</v>
      </c>
      <c r="AR576" s="33" t="s">
        <v>3236</v>
      </c>
      <c r="AS576" s="3" t="s">
        <v>3513</v>
      </c>
      <c r="AT576" s="3" t="s">
        <v>3514</v>
      </c>
      <c r="AU576" s="3" t="str">
        <f>IF(AND(G576&lt;&gt;"LIBSETS_SETTYPE_BATTLEGROUND",G576&lt;&gt;"LIBSETS_SETTYPE_SPECIAL"),IF(AV576&lt;&gt;"",VLOOKUP(AV576,'ESO zone constants'!$D$5:$H$4955,5,FALSE),""),"")</f>
        <v/>
      </c>
      <c r="BA576" s="96" t="s">
        <v>3516</v>
      </c>
      <c r="BB576" s="96" t="s">
        <v>3516</v>
      </c>
      <c r="BC576" s="96"/>
      <c r="BD576" s="96"/>
      <c r="BE576" s="21" t="str">
        <f t="shared" si="53"/>
        <v>[656] = {wayshrines={354,519,43,}, dlcId=DLC_HIGH_ISLE</v>
      </c>
      <c r="BF576" s="21" t="str">
        <f t="shared" si="54"/>
        <v>, zoneIds={1011,1318,104,0,1011}, veteran=false</v>
      </c>
      <c r="BG576" s="21" t="str">
        <f t="shared" si="55"/>
        <v>, setType=LIBSETS_SETTYPE_MYTHIC</v>
      </c>
      <c r="BH576" s="21" t="str">
        <f t="shared" si="56"/>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 t="shared" si="57"/>
        <v>, addTooltip={['en']='https://en.uesp.net/wiki/Online:Dov-rha_Sabatons',},}, --Lefthander\'s Aegis Belt / Ägisriemen der Linkshänder   [Summerset, High Isle, Alik'r Desert, Tamriel Map, Summerset]</v>
      </c>
    </row>
    <row r="577" spans="1:61" x14ac:dyDescent="0.25">
      <c r="A577" s="5">
        <v>657</v>
      </c>
      <c r="B577" t="s">
        <v>3446</v>
      </c>
      <c r="C577" s="86" t="s">
        <v>3491</v>
      </c>
      <c r="D577" s="3">
        <f t="shared" si="52"/>
        <v>657</v>
      </c>
      <c r="G577" s="95" t="s">
        <v>1678</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WayshrineInfo'!$K$3:$N$9972,4,FALSE),"")))</f>
        <v>High Isle</v>
      </c>
      <c r="S577" s="61" t="s">
        <v>3328</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constants'!$B$4:$C$1012,2,FALSE),"")</f>
        <v>High Isle</v>
      </c>
      <c r="V577" s="33" t="s">
        <v>3223</v>
      </c>
      <c r="W577" s="3" t="s">
        <v>3519</v>
      </c>
      <c r="X577" s="3" t="s">
        <v>3520</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constants'!$A$5:$D$10001,4,FALSE),"")</f>
        <v>The Rift</v>
      </c>
      <c r="AB577" s="33" t="s">
        <v>1555</v>
      </c>
      <c r="AC577" s="3" t="s">
        <v>3521</v>
      </c>
      <c r="AD577" s="3" t="s">
        <v>3522</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constants'!$A$5:$D$10001,4,FALSE),"")</f>
        <v>High Isle</v>
      </c>
      <c r="AH577" s="33" t="s">
        <v>1555</v>
      </c>
      <c r="AI577" s="3" t="s">
        <v>3523</v>
      </c>
      <c r="AJ577" s="3" t="s">
        <v>3524</v>
      </c>
      <c r="AK577" s="3">
        <f>IF(AND(G577&lt;&gt;"LIBSETS_SETTYPE_BATTLEGROUND",G577&lt;&gt;"LIBSETS_SETTYPE_SPECIAL"),IF(AL577&lt;&gt;"",VLOOKUP(AL577,'ESO zone constants'!$D$5:$H$4955,5,FALSE),""),"")</f>
        <v>0</v>
      </c>
      <c r="AL577" t="s">
        <v>2227</v>
      </c>
      <c r="AM577" s="33" t="s">
        <v>3223</v>
      </c>
      <c r="AN577" s="3" t="s">
        <v>3525</v>
      </c>
      <c r="AO577" s="3" t="s">
        <v>3526</v>
      </c>
      <c r="AP577" s="3">
        <f>IF(AND(G577&lt;&gt;"LIBSETS_SETTYPE_BATTLEGROUND",G577&lt;&gt;"LIBSETS_SETTYPE_SPECIAL"),IF(AQ577&lt;&gt;"",VLOOKUP(AQ577,'ESO zone constants'!$D$5:$H$4955,5,FALSE),""),"")</f>
        <v>57</v>
      </c>
      <c r="AQ577" t="s">
        <v>107</v>
      </c>
      <c r="AR577" s="33" t="s">
        <v>3527</v>
      </c>
      <c r="AS577" s="3" t="s">
        <v>3528</v>
      </c>
      <c r="AT577" s="3" t="s">
        <v>3529</v>
      </c>
      <c r="AU577" s="3">
        <f>IF(AND(G577&lt;&gt;"LIBSETS_SETTYPE_BATTLEGROUND",G577&lt;&gt;"LIBSETS_SETTYPE_SPECIAL"),IF(AV577&lt;&gt;"",VLOOKUP(AV577,'ESO zone constants'!$D$5:$H$4955,5,FALSE),""),"")</f>
        <v>383</v>
      </c>
      <c r="AV577" t="s">
        <v>264</v>
      </c>
      <c r="AW577" s="33" t="s">
        <v>3527</v>
      </c>
      <c r="AX577" s="3" t="s">
        <v>3528</v>
      </c>
      <c r="AY577" s="3" t="s">
        <v>3529</v>
      </c>
      <c r="BA577" s="96" t="s">
        <v>3517</v>
      </c>
      <c r="BB577" s="96" t="s">
        <v>3517</v>
      </c>
      <c r="BC577" s="96"/>
      <c r="BD577" s="96"/>
      <c r="BE577" s="21" t="str">
        <f t="shared" si="53"/>
        <v>[657] = {wayshrines={511,117,502,}, dlcId=DLC_HIGH_ISLE</v>
      </c>
      <c r="BF577" s="21" t="str">
        <f t="shared" si="54"/>
        <v>, zoneIds={1318,103,1318,0,57,383}, veteran=false</v>
      </c>
      <c r="BG577" s="21" t="str">
        <f t="shared" si="55"/>
        <v>, setType=LIBSETS_SETTYPE_MYTHIC</v>
      </c>
      <c r="BH577" s="21" t="str">
        <f t="shared" si="56"/>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 t="shared" si="57"/>
        <v>, addTooltip={['en']='https://en.uesp.net/wiki/Online:Sea-Serpent%27s_Coil',},}, --Sea-Serpent\'s Coil / Wicklung der Seeschlange   [High Isle, The Rift, High Isle, Tamriel Map, Deshaan, Grahtwood]</v>
      </c>
    </row>
    <row r="578" spans="1:61" x14ac:dyDescent="0.25">
      <c r="A578" s="5">
        <v>658</v>
      </c>
      <c r="B578" t="s">
        <v>3447</v>
      </c>
      <c r="C578" s="86" t="s">
        <v>3383</v>
      </c>
      <c r="D578" s="3">
        <f t="shared" si="52"/>
        <v>658</v>
      </c>
      <c r="G578" s="95" t="s">
        <v>1678</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WayshrineInfo'!$K$3:$N$9972,4,FALSE),"")))</f>
        <v>High Isle</v>
      </c>
      <c r="S578" s="61" t="s">
        <v>3328</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constants'!$B$4:$C$1012,2,FALSE),"")</f>
        <v>High Isle</v>
      </c>
      <c r="V578" s="42" t="s">
        <v>3236</v>
      </c>
      <c r="W578" s="3" t="s">
        <v>3530</v>
      </c>
      <c r="X578" s="3" t="s">
        <v>3531</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constants'!$A$5:$D$10001,4,FALSE),"")</f>
        <v>Stormhaven</v>
      </c>
      <c r="AB578" s="33" t="s">
        <v>1555</v>
      </c>
      <c r="AC578" s="3" t="s">
        <v>3532</v>
      </c>
      <c r="AD578" s="3" t="s">
        <v>3533</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constants'!$A$5:$D$10001,4,FALSE),"")</f>
        <v>Malabal Tor</v>
      </c>
      <c r="AH578" s="33" t="s">
        <v>3269</v>
      </c>
      <c r="AI578" s="3" t="s">
        <v>3534</v>
      </c>
      <c r="AJ578" s="3" t="s">
        <v>3535</v>
      </c>
      <c r="AK578" s="3">
        <f>IF(AND(G578&lt;&gt;"LIBSETS_SETTYPE_BATTLEGROUND",G578&lt;&gt;"LIBSETS_SETTYPE_SPECIAL"),IF(AL578&lt;&gt;"",VLOOKUP(AL578,'ESO zone constants'!$D$5:$H$4955,5,FALSE),""),"")</f>
        <v>3</v>
      </c>
      <c r="AL578" t="s">
        <v>103</v>
      </c>
      <c r="AM578" s="33" t="s">
        <v>3597</v>
      </c>
      <c r="AN578" s="3" t="s">
        <v>3605</v>
      </c>
      <c r="AO578" s="3" t="s">
        <v>3606</v>
      </c>
      <c r="AP578" s="3">
        <f>IF(AND(G578&lt;&gt;"LIBSETS_SETTYPE_BATTLEGROUND",G578&lt;&gt;"LIBSETS_SETTYPE_SPECIAL"),IF(AQ578&lt;&gt;"",VLOOKUP(AQ578,'ESO zone constants'!$D$5:$H$4955,5,FALSE),""),"")</f>
        <v>726</v>
      </c>
      <c r="AQ578" t="s">
        <v>80</v>
      </c>
      <c r="AR578" s="33" t="s">
        <v>3223</v>
      </c>
      <c r="AS578" s="3" t="s">
        <v>3536</v>
      </c>
      <c r="AT578" s="3" t="s">
        <v>3537</v>
      </c>
      <c r="AU578" s="3" t="str">
        <f>IF(AND(G578&lt;&gt;"LIBSETS_SETTYPE_BATTLEGROUND",G578&lt;&gt;"LIBSETS_SETTYPE_SPECIAL"),IF(AV578&lt;&gt;"",VLOOKUP(AV578,'ESO zone constants'!$D$5:$H$4955,5,FALSE),""),"")</f>
        <v/>
      </c>
      <c r="BA578" s="96" t="s">
        <v>3518</v>
      </c>
      <c r="BB578" s="96" t="s">
        <v>3518</v>
      </c>
      <c r="BC578" s="96"/>
      <c r="BD578" s="96"/>
      <c r="BE578" s="21" t="str">
        <f t="shared" si="53"/>
        <v>[658] = {wayshrines={518,18,100,}, dlcId=DLC_HIGH_ISLE</v>
      </c>
      <c r="BF578" s="21" t="str">
        <f t="shared" si="54"/>
        <v>, zoneIds={1318,19,58,3,726}, veteran=false</v>
      </c>
      <c r="BG578" s="21" t="str">
        <f t="shared" si="55"/>
        <v>, setType=LIBSETS_SETTYPE_MYTHIC</v>
      </c>
      <c r="BH578" s="21" t="str">
        <f t="shared" si="56"/>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 t="shared" si="57"/>
        <v>, addTooltip={['en']='https://en.uesp.net/wiki/Online:Oakensoul_Ring',},}, --Oakensoul Ring / Eichenseelenring   [High Isle, Stormhaven, Malabal Tor, Glenumbra, Murkmire]</v>
      </c>
    </row>
    <row r="579" spans="1:61" x14ac:dyDescent="0.25">
      <c r="A579" s="5">
        <v>660</v>
      </c>
      <c r="B579" t="s">
        <v>3399</v>
      </c>
      <c r="C579" t="s">
        <v>3390</v>
      </c>
      <c r="D579" s="3">
        <f t="shared" ref="D579:D589" si="58">A579</f>
        <v>660</v>
      </c>
      <c r="G579" s="8" t="s">
        <v>1473</v>
      </c>
      <c r="I579" t="s">
        <v>91</v>
      </c>
      <c r="J579" t="s">
        <v>91</v>
      </c>
      <c r="K579" s="94">
        <v>520</v>
      </c>
      <c r="L579" s="94">
        <v>520</v>
      </c>
      <c r="M579" s="94">
        <v>520</v>
      </c>
      <c r="O579" s="61" t="s">
        <v>3386</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constants'!$B$4:$C$1012,2,FALSE),"")</f>
        <v>Lost Depths</v>
      </c>
      <c r="V579" s="89" t="s">
        <v>3285</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E579" s="21" t="str">
        <f t="shared" si="53"/>
        <v>[660] = {wayshrines={520,520,520,}, dlcId=DLC_LOST_DEPTHS</v>
      </c>
      <c r="BF579" s="21" t="str">
        <f t="shared" si="54"/>
        <v>, zoneIds={1360,1318,1318}, veteran=false</v>
      </c>
      <c r="BG579" s="21" t="str">
        <f t="shared" si="55"/>
        <v>, setType=LIBSETS_SETTYPE_DUNGEON</v>
      </c>
      <c r="BH579" s="21" t="str">
        <f t="shared" si="56"/>
        <v>, dropMechanic={LIBSETS_DROP_MECHANIC_GROUP_DUNGEON_BOSS}</v>
      </c>
      <c r="BI579" s="21" t="str">
        <f t="shared" si="57"/>
        <v>}, --Deeproot Zeal / Tiefwurz-Eifer   [Earthen Root Enclave, High Isle, High Isle]</v>
      </c>
    </row>
    <row r="580" spans="1:61" x14ac:dyDescent="0.25">
      <c r="A580" s="5">
        <v>661</v>
      </c>
      <c r="B580" t="s">
        <v>3400</v>
      </c>
      <c r="C580" t="s">
        <v>3388</v>
      </c>
      <c r="D580" s="3">
        <f t="shared" si="58"/>
        <v>661</v>
      </c>
      <c r="G580" s="8" t="s">
        <v>1473</v>
      </c>
      <c r="I580" t="s">
        <v>91</v>
      </c>
      <c r="J580" t="s">
        <v>91</v>
      </c>
      <c r="K580" s="94">
        <v>520</v>
      </c>
      <c r="L580" s="94">
        <v>520</v>
      </c>
      <c r="M580" s="94">
        <v>520</v>
      </c>
      <c r="O580" s="61" t="s">
        <v>3386</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constants'!$B$4:$C$1012,2,FALSE),"")</f>
        <v>Lost Depths</v>
      </c>
      <c r="V580" s="89" t="s">
        <v>3285</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E580" s="21" t="str">
        <f t="shared" ref="BE580:BE643" si="59">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21" t="str">
        <f t="shared" ref="BF580:BF643" si="60">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21" t="str">
        <f t="shared" ref="BG580:BG643" si="61">IF(A580&lt;&gt;"",IF(F580&lt;&gt;"Not in the game (anymore)",IF(A580&lt;&gt;"",", setType="&amp;G580,"")&amp;IF(G580="LIBSETS_SETTYPE_CLASS",", classId="&amp;BC580,"")&amp;IF(J580="true",", multiTrialSet=true",""),"")
&amp; IF(AND(H580&lt;&gt;"",ISNUMBER(H580)),", undauntedChestId=" &amp; H580,""),"")</f>
        <v>, setType=LIBSETS_SETTYPE_DUNGEON</v>
      </c>
      <c r="BH580" s="21" t="str">
        <f t="shared" ref="BH580:BH643" si="62">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21" t="str">
        <f t="shared" ref="BI580:BI643" si="63">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3401</v>
      </c>
      <c r="C581" t="s">
        <v>3389</v>
      </c>
      <c r="D581" s="3">
        <f t="shared" si="58"/>
        <v>662</v>
      </c>
      <c r="G581" s="8" t="s">
        <v>1473</v>
      </c>
      <c r="I581" t="s">
        <v>91</v>
      </c>
      <c r="J581" t="s">
        <v>91</v>
      </c>
      <c r="K581" s="94">
        <v>520</v>
      </c>
      <c r="L581" s="94">
        <v>520</v>
      </c>
      <c r="M581" s="94">
        <v>520</v>
      </c>
      <c r="O581" s="61" t="s">
        <v>3386</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constants'!$B$4:$C$1012,2,FALSE),"")</f>
        <v>Lost Depths</v>
      </c>
      <c r="V581" s="89" t="s">
        <v>3285</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E581" s="21" t="str">
        <f t="shared" si="59"/>
        <v>[662] = {wayshrines={520,520,520,}, dlcId=DLC_LOST_DEPTHS</v>
      </c>
      <c r="BF581" s="21" t="str">
        <f t="shared" si="60"/>
        <v>, zoneIds={1360,1318,1318}, veteran=false</v>
      </c>
      <c r="BG581" s="21" t="str">
        <f t="shared" si="61"/>
        <v>, setType=LIBSETS_SETTYPE_DUNGEON</v>
      </c>
      <c r="BH581" s="21" t="str">
        <f t="shared" si="62"/>
        <v>, dropMechanic={LIBSETS_DROP_MECHANIC_GROUP_DUNGEON_BOSS}</v>
      </c>
      <c r="BI581" s="21" t="str">
        <f t="shared" si="63"/>
        <v>}, --Rage of the Ursauk  / Zorns des Ursauk   [Earthen Root Enclave, High Isle, High Isle]</v>
      </c>
    </row>
    <row r="582" spans="1:61" x14ac:dyDescent="0.25">
      <c r="A582" s="5">
        <v>663</v>
      </c>
      <c r="B582" t="s">
        <v>3402</v>
      </c>
      <c r="C582" t="s">
        <v>3394</v>
      </c>
      <c r="D582" s="3">
        <f t="shared" si="58"/>
        <v>663</v>
      </c>
      <c r="G582" s="8" t="s">
        <v>1473</v>
      </c>
      <c r="I582" t="s">
        <v>91</v>
      </c>
      <c r="J582" t="s">
        <v>91</v>
      </c>
      <c r="K582">
        <v>521</v>
      </c>
      <c r="L582">
        <v>521</v>
      </c>
      <c r="M582">
        <v>521</v>
      </c>
      <c r="O582" s="61" t="s">
        <v>3387</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constants'!$B$4:$C$1012,2,FALSE),"")</f>
        <v>Lost Depths</v>
      </c>
      <c r="V582" s="89" t="s">
        <v>3285</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E582" s="21" t="str">
        <f t="shared" si="59"/>
        <v>[663] = {wayshrines={521,521,521,}, dlcId=DLC_LOST_DEPTHS</v>
      </c>
      <c r="BF582" s="21" t="str">
        <f t="shared" si="60"/>
        <v>, zoneIds={1361,1318,1318}, veteran=false</v>
      </c>
      <c r="BG582" s="21" t="str">
        <f t="shared" si="61"/>
        <v>, setType=LIBSETS_SETTYPE_DUNGEON</v>
      </c>
      <c r="BH582" s="21" t="str">
        <f t="shared" si="62"/>
        <v>, dropMechanic={LIBSETS_DROP_MECHANIC_GROUP_DUNGEON_BOSS}</v>
      </c>
      <c r="BI582" s="21" t="str">
        <f t="shared" si="63"/>
        <v>}, --Pangrit Denmother / Pangrit-Baumutter   [Graven Deep, High Isle, High Isle]</v>
      </c>
    </row>
    <row r="583" spans="1:61" x14ac:dyDescent="0.25">
      <c r="A583" s="5">
        <v>664</v>
      </c>
      <c r="B583" t="s">
        <v>3409</v>
      </c>
      <c r="C583" t="s">
        <v>3392</v>
      </c>
      <c r="D583" s="3">
        <f t="shared" si="58"/>
        <v>664</v>
      </c>
      <c r="G583" s="8" t="s">
        <v>1473</v>
      </c>
      <c r="I583" t="s">
        <v>91</v>
      </c>
      <c r="J583" t="s">
        <v>91</v>
      </c>
      <c r="K583">
        <v>521</v>
      </c>
      <c r="L583">
        <v>521</v>
      </c>
      <c r="M583">
        <v>521</v>
      </c>
      <c r="O583" s="61" t="s">
        <v>3387</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constants'!$B$4:$C$1012,2,FALSE),"")</f>
        <v>Lost Depths</v>
      </c>
      <c r="V583" s="89" t="s">
        <v>3285</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E583" s="21" t="str">
        <f t="shared" si="59"/>
        <v>[664] = {wayshrines={521,521,521,}, dlcId=DLC_LOST_DEPTHS</v>
      </c>
      <c r="BF583" s="21" t="str">
        <f t="shared" si="60"/>
        <v>, zoneIds={1361,1318,1318}, veteran=false</v>
      </c>
      <c r="BG583" s="21" t="str">
        <f t="shared" si="61"/>
        <v>, setType=LIBSETS_SETTYPE_DUNGEON</v>
      </c>
      <c r="BH583" s="21" t="str">
        <f t="shared" si="62"/>
        <v>, dropMechanic={LIBSETS_DROP_MECHANIC_GROUP_DUNGEON_BOSS}</v>
      </c>
      <c r="BI583" s="21" t="str">
        <f t="shared" si="63"/>
        <v>}, --Grave Inevitability / Unvermeidlichkeit des Grabs   [Graven Deep, High Isle, High Isle]</v>
      </c>
    </row>
    <row r="584" spans="1:61" x14ac:dyDescent="0.25">
      <c r="A584" s="5">
        <v>665</v>
      </c>
      <c r="B584" t="s">
        <v>3408</v>
      </c>
      <c r="C584" t="s">
        <v>3393</v>
      </c>
      <c r="D584" s="3">
        <f t="shared" si="58"/>
        <v>665</v>
      </c>
      <c r="G584" s="8" t="s">
        <v>1473</v>
      </c>
      <c r="I584" t="s">
        <v>91</v>
      </c>
      <c r="J584" t="s">
        <v>91</v>
      </c>
      <c r="K584">
        <v>521</v>
      </c>
      <c r="L584">
        <v>521</v>
      </c>
      <c r="M584">
        <v>521</v>
      </c>
      <c r="O584" s="61" t="s">
        <v>3387</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constants'!$B$4:$C$1012,2,FALSE),"")</f>
        <v>Lost Depths</v>
      </c>
      <c r="V584" s="89" t="s">
        <v>3285</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E584" s="21" t="str">
        <f t="shared" si="59"/>
        <v>[665] = {wayshrines={521,521,521,}, dlcId=DLC_LOST_DEPTHS</v>
      </c>
      <c r="BF584" s="21" t="str">
        <f t="shared" si="60"/>
        <v>, zoneIds={1361,1318,1318}, veteran=false</v>
      </c>
      <c r="BG584" s="21" t="str">
        <f t="shared" si="61"/>
        <v>, setType=LIBSETS_SETTYPE_DUNGEON</v>
      </c>
      <c r="BH584" s="21" t="str">
        <f t="shared" si="62"/>
        <v>, dropMechanic={LIBSETS_DROP_MECHANIC_GROUP_DUNGEON_BOSS}</v>
      </c>
      <c r="BI584" s="21" t="str">
        <f t="shared" si="63"/>
        <v>}, --Phylactery\’s Grasp / Phylakteriumsgriff   [Graven Deep, High Isle, High Isle]</v>
      </c>
    </row>
    <row r="585" spans="1:61" x14ac:dyDescent="0.25">
      <c r="A585" s="5">
        <v>666</v>
      </c>
      <c r="B585" t="s">
        <v>3404</v>
      </c>
      <c r="C585" t="s">
        <v>3391</v>
      </c>
      <c r="D585" s="3">
        <f t="shared" si="58"/>
        <v>666</v>
      </c>
      <c r="G585" s="8" t="s">
        <v>1475</v>
      </c>
      <c r="H585">
        <v>3</v>
      </c>
      <c r="I585" t="s">
        <v>1462</v>
      </c>
      <c r="J585" t="s">
        <v>91</v>
      </c>
      <c r="K585">
        <v>520</v>
      </c>
      <c r="L585">
        <v>520</v>
      </c>
      <c r="M585">
        <v>520</v>
      </c>
      <c r="O585" s="61" t="s">
        <v>3386</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WayshrineInfo'!$K$3:$N$9972,4,FALSE),"")))</f>
        <v>Earthen Root Enclave</v>
      </c>
      <c r="S585" s="61" t="s">
        <v>3384</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constants'!$B$4:$C$1012,2,FALSE),"")</f>
        <v>Lost Depths</v>
      </c>
      <c r="V585" s="33" t="s">
        <v>1538</v>
      </c>
      <c r="W585" s="3" t="s">
        <v>3391</v>
      </c>
      <c r="X585" s="3" t="s">
        <v>3404</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E585" s="21" t="str">
        <f t="shared" si="59"/>
        <v>[666] = {wayshrines={520,520,520,}, dlcId=DLC_LOST_DEPTHS</v>
      </c>
      <c r="BF585" s="21" t="str">
        <f t="shared" si="60"/>
        <v>, zoneIds={1360,1318,1318}, veteran={[EQUIP_TYPE_HEAD]=true, [EQUIP_TYPE_SHOULDERS]=false}</v>
      </c>
      <c r="BG585" s="21" t="str">
        <f t="shared" si="61"/>
        <v>, setType=LIBSETS_SETTYPE_MONSTER, undauntedChestId=3</v>
      </c>
      <c r="BH585" s="21" t="str">
        <f t="shared" si="62"/>
        <v>, dropMechanic={LIBSETS_DROP_MECHANIC_MONSTER_NAME}, dropMechanicDropLocationNames={['en']={'Archdruid Devyric','','','','','',},['de']={'Erzdruide Devyric','','','','','',},}</v>
      </c>
      <c r="BI585" s="21" t="str">
        <f t="shared" si="63"/>
        <v>}, --Archdruid Devyric / Erzdruide Devyric   [Earthen Root Enclave, High Isle, High Isle]</v>
      </c>
    </row>
    <row r="586" spans="1:61" x14ac:dyDescent="0.25">
      <c r="A586" s="5">
        <v>667</v>
      </c>
      <c r="B586" t="s">
        <v>3403</v>
      </c>
      <c r="C586" t="s">
        <v>3395</v>
      </c>
      <c r="D586" s="3">
        <f t="shared" si="58"/>
        <v>667</v>
      </c>
      <c r="G586" s="8" t="s">
        <v>1475</v>
      </c>
      <c r="H586">
        <v>3</v>
      </c>
      <c r="I586" t="s">
        <v>1462</v>
      </c>
      <c r="J586" t="s">
        <v>91</v>
      </c>
      <c r="K586">
        <v>521</v>
      </c>
      <c r="L586">
        <v>521</v>
      </c>
      <c r="M586">
        <v>521</v>
      </c>
      <c r="O586" s="61" t="s">
        <v>3387</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WayshrineInfo'!$K$3:$N$9972,4,FALSE),"")))</f>
        <v>Graven Deep</v>
      </c>
      <c r="S586" s="61" t="s">
        <v>3384</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constants'!$B$4:$C$1012,2,FALSE),"")</f>
        <v>Lost Depths</v>
      </c>
      <c r="V586" s="33" t="s">
        <v>1538</v>
      </c>
      <c r="W586" s="3" t="s">
        <v>3395</v>
      </c>
      <c r="X586" s="3" t="s">
        <v>3403</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E586" s="21" t="str">
        <f t="shared" si="59"/>
        <v>[667] = {wayshrines={521,521,521,}, dlcId=DLC_LOST_DEPTHS</v>
      </c>
      <c r="BF586" s="21" t="str">
        <f t="shared" si="60"/>
        <v>, zoneIds={1361,1318,1318}, veteran={[EQUIP_TYPE_HEAD]=true, [EQUIP_TYPE_SHOULDERS]=false}</v>
      </c>
      <c r="BG586" s="21" t="str">
        <f t="shared" si="61"/>
        <v>, setType=LIBSETS_SETTYPE_MONSTER, undauntedChestId=3</v>
      </c>
      <c r="BH586" s="21" t="str">
        <f t="shared" si="62"/>
        <v>, dropMechanic={LIBSETS_DROP_MECHANIC_MONSTER_NAME}, dropMechanicDropLocationNames={['en']={'Euphotic Gatekeeper','','','','','',},['de']={'Euphotischer Torhüter','','','','','',},}</v>
      </c>
      <c r="BI586" s="21" t="str">
        <f t="shared" si="63"/>
        <v>}, --Euphotic Gatekeeper / Euphotischer Torhüter   [Graven Deep, High Isle, High Isle]</v>
      </c>
    </row>
    <row r="587" spans="1:61" x14ac:dyDescent="0.25">
      <c r="A587" s="5">
        <v>668</v>
      </c>
      <c r="B587" t="s">
        <v>3407</v>
      </c>
      <c r="C587" t="s">
        <v>3396</v>
      </c>
      <c r="D587" s="3">
        <f t="shared" si="58"/>
        <v>668</v>
      </c>
      <c r="G587" s="3" t="s">
        <v>1471</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WayshrineInfo'!$K$3:$N$9972,4,FALSE),"")))</f>
        <v>Cyrodiil</v>
      </c>
      <c r="S587" s="61" t="s">
        <v>3384</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constants'!$B$4:$C$1012,2,FALSE),"")</f>
        <v>Lost Depths</v>
      </c>
      <c r="V587" s="33" t="s">
        <v>1535</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constants'!$A$5:$D$10001,4,FALSE),"")</f>
        <v>Cyrodiil</v>
      </c>
      <c r="AB587" s="33" t="s">
        <v>3737</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constants'!$A$5:$D$10001,4,FALSE),"")</f>
        <v>Cyrodiil</v>
      </c>
      <c r="AH587" s="33" t="s">
        <v>2765</v>
      </c>
      <c r="AK587" s="3">
        <f>IF(AND(G587&lt;&gt;"LIBSETS_SETTYPE_BATTLEGROUND",G587&lt;&gt;"LIBSETS_SETTYPE_SPECIAL"),IF(AL587&lt;&gt;"",VLOOKUP(AL587,'ESO zone constants'!$D$5:$H$4955,5,FALSE),""),"")</f>
        <v>181</v>
      </c>
      <c r="AL587" t="s">
        <v>125</v>
      </c>
      <c r="AM587" s="33" t="s">
        <v>3740</v>
      </c>
      <c r="AP587" s="3">
        <f>IF(AND(G587&lt;&gt;"LIBSETS_SETTYPE_BATTLEGROUND",G587&lt;&gt;"LIBSETS_SETTYPE_SPECIAL"),IF(AQ587&lt;&gt;"",VLOOKUP(AQ587,'ESO zone constants'!$D$5:$H$4955,5,FALSE),""),"")</f>
        <v>181</v>
      </c>
      <c r="AQ587" t="s">
        <v>125</v>
      </c>
      <c r="AR587" s="33" t="s">
        <v>1554</v>
      </c>
      <c r="AU587" s="3">
        <f>IF(AND(G587&lt;&gt;"LIBSETS_SETTYPE_BATTLEGROUND",G587&lt;&gt;"LIBSETS_SETTYPE_SPECIAL"),IF(AV587&lt;&gt;"",VLOOKUP(AV587,'ESO zone constants'!$D$5:$H$4955,5,FALSE),""),"")</f>
        <v>181</v>
      </c>
      <c r="AV587" t="s">
        <v>125</v>
      </c>
      <c r="AW587" s="33" t="s">
        <v>3236</v>
      </c>
      <c r="BE587" s="21" t="str">
        <f t="shared" si="59"/>
        <v>[668] = {wayshrines={-1,-1,-1,}, dlcId=DLC_LOST_DEPTHS</v>
      </c>
      <c r="BF587" s="21" t="str">
        <f t="shared" si="60"/>
        <v>, zoneIds={181,181,181,181,181,181}, veteran=false</v>
      </c>
      <c r="BG587" s="21" t="str">
        <f t="shared" si="61"/>
        <v>, setType=LIBSETS_SETTYPE_CYRODIIL</v>
      </c>
      <c r="BH58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 t="shared" si="63"/>
        <v>}, --Langour of Peryite / Peryites Entkräftung   [Cyrodiil, Cyrodiil, Cyrodiil, Cyrodiil, Cyrodiil, Cyrodiil]</v>
      </c>
    </row>
    <row r="588" spans="1:61" x14ac:dyDescent="0.25">
      <c r="A588" s="5">
        <v>669</v>
      </c>
      <c r="B588" t="s">
        <v>3405</v>
      </c>
      <c r="C588" t="s">
        <v>3397</v>
      </c>
      <c r="D588" s="3">
        <f t="shared" si="58"/>
        <v>669</v>
      </c>
      <c r="G588" s="3" t="s">
        <v>1471</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WayshrineInfo'!$K$3:$N$9972,4,FALSE),"")))</f>
        <v>Cyrodiil</v>
      </c>
      <c r="S588" s="61" t="s">
        <v>3384</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constants'!$B$4:$C$1012,2,FALSE),"")</f>
        <v>Lost Depths</v>
      </c>
      <c r="V588" s="33" t="s">
        <v>1535</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constants'!$A$5:$D$10001,4,FALSE),"")</f>
        <v>Cyrodiil</v>
      </c>
      <c r="AB588" s="33" t="s">
        <v>3737</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constants'!$A$5:$D$10001,4,FALSE),"")</f>
        <v>Cyrodiil</v>
      </c>
      <c r="AH588" s="33" t="s">
        <v>2765</v>
      </c>
      <c r="AK588" s="3">
        <f>IF(AND(G588&lt;&gt;"LIBSETS_SETTYPE_BATTLEGROUND",G588&lt;&gt;"LIBSETS_SETTYPE_SPECIAL"),IF(AL588&lt;&gt;"",VLOOKUP(AL588,'ESO zone constants'!$D$5:$H$4955,5,FALSE),""),"")</f>
        <v>181</v>
      </c>
      <c r="AL588" t="s">
        <v>125</v>
      </c>
      <c r="AM588" s="33" t="s">
        <v>3740</v>
      </c>
      <c r="AP588" s="3">
        <f>IF(AND(G588&lt;&gt;"LIBSETS_SETTYPE_BATTLEGROUND",G588&lt;&gt;"LIBSETS_SETTYPE_SPECIAL"),IF(AQ588&lt;&gt;"",VLOOKUP(AQ588,'ESO zone constants'!$D$5:$H$4955,5,FALSE),""),"")</f>
        <v>181</v>
      </c>
      <c r="AQ588" t="s">
        <v>125</v>
      </c>
      <c r="AR588" s="33" t="s">
        <v>1554</v>
      </c>
      <c r="AU588" s="3">
        <f>IF(AND(G588&lt;&gt;"LIBSETS_SETTYPE_BATTLEGROUND",G588&lt;&gt;"LIBSETS_SETTYPE_SPECIAL"),IF(AV588&lt;&gt;"",VLOOKUP(AV588,'ESO zone constants'!$D$5:$H$4955,5,FALSE),""),"")</f>
        <v>181</v>
      </c>
      <c r="AV588" t="s">
        <v>125</v>
      </c>
      <c r="AW588" s="33" t="s">
        <v>3236</v>
      </c>
      <c r="BE588" s="21" t="str">
        <f t="shared" si="59"/>
        <v>[669] = {wayshrines={-1,-1,-1,}, dlcId=DLC_LOST_DEPTHS</v>
      </c>
      <c r="BF588" s="21" t="str">
        <f t="shared" si="60"/>
        <v>, zoneIds={181,181,181,181,181,181}, veteran=false</v>
      </c>
      <c r="BG588" s="21" t="str">
        <f t="shared" si="61"/>
        <v>, setType=LIBSETS_SETTYPE_CYRODIIL</v>
      </c>
      <c r="BH58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 t="shared" si="63"/>
        <v>}, --Nocturnal\’s Ploy  / Nocturnals List   [Cyrodiil, Cyrodiil, Cyrodiil, Cyrodiil, Cyrodiil, Cyrodiil]</v>
      </c>
    </row>
    <row r="589" spans="1:61" x14ac:dyDescent="0.25">
      <c r="A589" s="5">
        <v>670</v>
      </c>
      <c r="B589" t="s">
        <v>3406</v>
      </c>
      <c r="C589" t="s">
        <v>3398</v>
      </c>
      <c r="D589" s="3">
        <f t="shared" si="58"/>
        <v>670</v>
      </c>
      <c r="G589" s="3" t="s">
        <v>1471</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WayshrineInfo'!$K$3:$N$9972,4,FALSE),"")))</f>
        <v>Cyrodiil</v>
      </c>
      <c r="S589" s="61" t="s">
        <v>3384</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constants'!$B$4:$C$1012,2,FALSE),"")</f>
        <v>Lost Depths</v>
      </c>
      <c r="V589" s="33" t="s">
        <v>1535</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constants'!$A$5:$D$10001,4,FALSE),"")</f>
        <v>Cyrodiil</v>
      </c>
      <c r="AB589" s="33" t="s">
        <v>3737</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constants'!$A$5:$D$10001,4,FALSE),"")</f>
        <v>Cyrodiil</v>
      </c>
      <c r="AH589" s="33" t="s">
        <v>2765</v>
      </c>
      <c r="AK589" s="3">
        <f>IF(AND(G589&lt;&gt;"LIBSETS_SETTYPE_BATTLEGROUND",G589&lt;&gt;"LIBSETS_SETTYPE_SPECIAL"),IF(AL589&lt;&gt;"",VLOOKUP(AL589,'ESO zone constants'!$D$5:$H$4955,5,FALSE),""),"")</f>
        <v>181</v>
      </c>
      <c r="AL589" t="s">
        <v>125</v>
      </c>
      <c r="AM589" s="33" t="s">
        <v>3740</v>
      </c>
      <c r="AP589" s="3">
        <f>IF(AND(G589&lt;&gt;"LIBSETS_SETTYPE_BATTLEGROUND",G589&lt;&gt;"LIBSETS_SETTYPE_SPECIAL"),IF(AQ589&lt;&gt;"",VLOOKUP(AQ589,'ESO zone constants'!$D$5:$H$4955,5,FALSE),""),"")</f>
        <v>181</v>
      </c>
      <c r="AQ589" t="s">
        <v>125</v>
      </c>
      <c r="AR589" s="33" t="s">
        <v>1554</v>
      </c>
      <c r="AU589" s="3">
        <f>IF(AND(G589&lt;&gt;"LIBSETS_SETTYPE_BATTLEGROUND",G589&lt;&gt;"LIBSETS_SETTYPE_SPECIAL"),IF(AV589&lt;&gt;"",VLOOKUP(AV589,'ESO zone constants'!$D$5:$H$4955,5,FALSE),""),"")</f>
        <v>181</v>
      </c>
      <c r="AV589" t="s">
        <v>125</v>
      </c>
      <c r="AW589" s="33" t="s">
        <v>3236</v>
      </c>
      <c r="BE589" s="21" t="str">
        <f t="shared" si="59"/>
        <v>[670] = {wayshrines={-1,-1,-1,}, dlcId=DLC_LOST_DEPTHS</v>
      </c>
      <c r="BF589" s="21" t="str">
        <f t="shared" si="60"/>
        <v>, zoneIds={181,181,181,181,181,181}, veteran=false</v>
      </c>
      <c r="BG589" s="21" t="str">
        <f t="shared" si="61"/>
        <v>, setType=LIBSETS_SETTYPE_CYRODIIL</v>
      </c>
      <c r="BH58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 t="shared" si="63"/>
        <v>}, --Mara\’s Balm / Maras Trost   [Cyrodiil, Cyrodiil, Cyrodiil, Cyrodiil, Cyrodiil, Cyrodiil]</v>
      </c>
    </row>
    <row r="590" spans="1:61" x14ac:dyDescent="0.25">
      <c r="A590" s="5">
        <v>671</v>
      </c>
      <c r="B590" t="s">
        <v>3448</v>
      </c>
      <c r="C590" t="s">
        <v>3418</v>
      </c>
      <c r="D590" s="3">
        <f t="shared" ref="D590:D648" si="64">A590</f>
        <v>671</v>
      </c>
      <c r="G590" s="3" t="s">
        <v>1476</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constants'!$H$3:$K$9989,4,FALSE)),""))</f>
        <v>DLC_MORROWIND</v>
      </c>
      <c r="U590" s="3" t="str">
        <f>IF(T590&lt;&gt;"",VLOOKUP(T590,'LibSets constants'!$B$4:$C$1012,2,FALSE),"")</f>
        <v>Morrowind</v>
      </c>
      <c r="V590" s="33" t="s">
        <v>1555</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constants'!$A$5:$D$10001,4,FALSE),"")</f>
        <v>Galen</v>
      </c>
      <c r="AB590" s="33" t="s">
        <v>1554</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constants'!$A$5:$D$10001,4,FALSE),"")</f>
        <v>Galen</v>
      </c>
      <c r="AH590" s="42" t="s">
        <v>1557</v>
      </c>
      <c r="AK590" s="3">
        <f>IF(AND(G590&lt;&gt;"LIBSETS_SETTYPE_BATTLEGROUND",G590&lt;&gt;"LIBSETS_SETTYPE_SPECIAL"),IF(AL590&lt;&gt;"",VLOOKUP(AL590,'ESO zone constants'!$D$5:$H$4955,5,FALSE),""),"")</f>
        <v>1383</v>
      </c>
      <c r="AL590" t="s">
        <v>3470</v>
      </c>
      <c r="AM590" s="33" t="s">
        <v>3223</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E590" s="21" t="str">
        <f t="shared" si="59"/>
        <v>[671] = {wayshrines={524,524,524,}, dlcId=DLC_MORROWIND</v>
      </c>
      <c r="BF590" s="21" t="str">
        <f t="shared" si="60"/>
        <v>, zoneIds={1383,1383,1383,1383}, veteran=false</v>
      </c>
      <c r="BG590" s="21" t="str">
        <f t="shared" si="61"/>
        <v>, setType=LIBSETS_SETTYPE_OVERLAND</v>
      </c>
      <c r="BH590" s="21" t="str">
        <f t="shared" si="62"/>
        <v>, dropMechanic={LIBSETS_DROP_MECHANIC_OVERLAND_WORLDBOSS,LIBSETS_DROP_MECHANIC_OVERLAND_BOSS_DELVE,LIBSETS_DROP_MECHANIC_OVERLAND_CHEST,LIBSETS_DROP_MECHANIC_OVERLAND_LOOT}</v>
      </c>
      <c r="BI590" s="21" t="str">
        <f t="shared" si="63"/>
        <v>}, --Back-Alley Gourmand / Hinterhof-Gourmet   [Galen, Galen, Galen, Galen]</v>
      </c>
    </row>
    <row r="591" spans="1:61" x14ac:dyDescent="0.25">
      <c r="A591" s="5">
        <v>672</v>
      </c>
      <c r="B591" t="s">
        <v>3449</v>
      </c>
      <c r="C591" t="s">
        <v>3419</v>
      </c>
      <c r="D591" s="3">
        <f t="shared" si="64"/>
        <v>672</v>
      </c>
      <c r="G591" s="3" t="s">
        <v>1476</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constants'!$H$3:$K$9989,4,FALSE)),""))</f>
        <v>DLC_MORROWIND</v>
      </c>
      <c r="U591" s="3" t="str">
        <f>IF(T591&lt;&gt;"",VLOOKUP(T591,'LibSets constants'!$B$4:$C$1012,2,FALSE),"")</f>
        <v>Morrowind</v>
      </c>
      <c r="V591" s="33" t="s">
        <v>1555</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constants'!$A$5:$D$10001,4,FALSE),"")</f>
        <v>Galen</v>
      </c>
      <c r="AB591" s="33" t="s">
        <v>1554</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constants'!$A$5:$D$10001,4,FALSE),"")</f>
        <v>Galen</v>
      </c>
      <c r="AH591" s="42" t="s">
        <v>1557</v>
      </c>
      <c r="AK591" s="3">
        <f>IF(AND(G591&lt;&gt;"LIBSETS_SETTYPE_BATTLEGROUND",G591&lt;&gt;"LIBSETS_SETTYPE_SPECIAL"),IF(AL591&lt;&gt;"",VLOOKUP(AL591,'ESO zone constants'!$D$5:$H$4955,5,FALSE),""),"")</f>
        <v>1383</v>
      </c>
      <c r="AL591" t="s">
        <v>3470</v>
      </c>
      <c r="AM591" s="33" t="s">
        <v>3223</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E591" s="21" t="str">
        <f t="shared" si="59"/>
        <v>[672] = {wayshrines={524,524,524,}, dlcId=DLC_MORROWIND</v>
      </c>
      <c r="BF591" s="21" t="str">
        <f t="shared" si="60"/>
        <v>, zoneIds={1383,1383,1383,1383}, veteran=false</v>
      </c>
      <c r="BG591" s="21" t="str">
        <f t="shared" si="61"/>
        <v>, setType=LIBSETS_SETTYPE_OVERLAND</v>
      </c>
      <c r="BH591" s="21" t="str">
        <f t="shared" si="62"/>
        <v>, dropMechanic={LIBSETS_DROP_MECHANIC_OVERLAND_WORLDBOSS,LIBSETS_DROP_MECHANIC_OVERLAND_BOSS_DELVE,LIBSETS_DROP_MECHANIC_OVERLAND_CHEST,LIBSETS_DROP_MECHANIC_OVERLAND_LOOT}</v>
      </c>
      <c r="BI591" s="21" t="str">
        <f t="shared" si="63"/>
        <v>}, --Phoenix Moth Theurge / Phönixmotten-Theurg   [Galen, Galen, Galen, Galen]</v>
      </c>
    </row>
    <row r="592" spans="1:61" x14ac:dyDescent="0.25">
      <c r="A592" s="5">
        <v>673</v>
      </c>
      <c r="B592" t="s">
        <v>3450</v>
      </c>
      <c r="C592" t="s">
        <v>3420</v>
      </c>
      <c r="D592" s="3">
        <f t="shared" si="64"/>
        <v>673</v>
      </c>
      <c r="G592" s="3" t="s">
        <v>1476</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constants'!$H$3:$K$9989,4,FALSE)),""))</f>
        <v>DLC_MORROWIND</v>
      </c>
      <c r="U592" s="3" t="str">
        <f>IF(T592&lt;&gt;"",VLOOKUP(T592,'LibSets constants'!$B$4:$C$1012,2,FALSE),"")</f>
        <v>Morrowind</v>
      </c>
      <c r="V592" s="33" t="s">
        <v>1555</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constants'!$A$5:$D$10001,4,FALSE),"")</f>
        <v>Galen</v>
      </c>
      <c r="AB592" s="33" t="s">
        <v>1554</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constants'!$A$5:$D$10001,4,FALSE),"")</f>
        <v>Galen</v>
      </c>
      <c r="AH592" s="42" t="s">
        <v>1557</v>
      </c>
      <c r="AK592" s="3">
        <f>IF(AND(G592&lt;&gt;"LIBSETS_SETTYPE_BATTLEGROUND",G592&lt;&gt;"LIBSETS_SETTYPE_SPECIAL"),IF(AL592&lt;&gt;"",VLOOKUP(AL592,'ESO zone constants'!$D$5:$H$4955,5,FALSE),""),"")</f>
        <v>1383</v>
      </c>
      <c r="AL592" t="s">
        <v>3470</v>
      </c>
      <c r="AM592" s="33" t="s">
        <v>3223</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E592" s="21" t="str">
        <f t="shared" si="59"/>
        <v>[673] = {wayshrines={524,524,524,}, dlcId=DLC_MORROWIND</v>
      </c>
      <c r="BF592" s="21" t="str">
        <f t="shared" si="60"/>
        <v>, zoneIds={1383,1383,1383,1383}, veteran=false</v>
      </c>
      <c r="BG592" s="21" t="str">
        <f t="shared" si="61"/>
        <v>, setType=LIBSETS_SETTYPE_OVERLAND</v>
      </c>
      <c r="BH592" s="21" t="str">
        <f t="shared" si="62"/>
        <v>, dropMechanic={LIBSETS_DROP_MECHANIC_OVERLAND_WORLDBOSS,LIBSETS_DROP_MECHANIC_OVERLAND_BOSS_DELVE,LIBSETS_DROP_MECHANIC_OVERLAND_CHEST,LIBSETS_DROP_MECHANIC_OVERLAND_LOOT}</v>
      </c>
      <c r="BI592" s="21" t="str">
        <f t="shared" si="63"/>
        <v>}, --Bastion of Draoife / Bastion des Draoife   [Galen, Galen, Galen, Galen]</v>
      </c>
    </row>
    <row r="593" spans="1:61" x14ac:dyDescent="0.25">
      <c r="A593" s="5">
        <v>674</v>
      </c>
      <c r="B593" t="s">
        <v>3451</v>
      </c>
      <c r="C593" t="s">
        <v>3426</v>
      </c>
      <c r="D593" s="3">
        <f t="shared" si="64"/>
        <v>674</v>
      </c>
      <c r="G593" s="95" t="s">
        <v>1678</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WayshrineInfo'!$K$3:$N$9972,4,FALSE),"")))</f>
        <v>High Isle</v>
      </c>
      <c r="S593" s="61" t="s">
        <v>3421</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constants'!$B$4:$C$1012,2,FALSE),"")</f>
        <v>Firesong</v>
      </c>
      <c r="V593" s="42" t="s">
        <v>3223</v>
      </c>
      <c r="W593" s="3" t="s">
        <v>3536</v>
      </c>
      <c r="X593" s="3" t="s">
        <v>3537</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constants'!$A$5:$D$10001,4,FALSE),"")</f>
        <v>High Isle</v>
      </c>
      <c r="AB593" s="33" t="s">
        <v>1555</v>
      </c>
      <c r="AC593" s="3" t="s">
        <v>3595</v>
      </c>
      <c r="AD593" s="3" t="s">
        <v>3596</v>
      </c>
      <c r="AF593" s="3">
        <v>1318</v>
      </c>
      <c r="AG593" t="str">
        <f>IF(AND(AF593&lt;&gt;"",ISNUMBER(AF593),NOT(ISNA(AF593))),VLOOKUP(AF593,'ESO zone constants'!$A$5:$D$10001,4,FALSE),"")</f>
        <v>High Isle</v>
      </c>
      <c r="AH593" s="33" t="s">
        <v>3597</v>
      </c>
      <c r="AI593" s="3" t="s">
        <v>3601</v>
      </c>
      <c r="AJ593" s="3" t="s">
        <v>3602</v>
      </c>
      <c r="AK593" s="3">
        <f>IF(AND(G593&lt;&gt;"LIBSETS_SETTYPE_BATTLEGROUND",G593&lt;&gt;"LIBSETS_SETTYPE_SPECIAL"),IF(AL593&lt;&gt;"",VLOOKUP(AL593,'ESO zone constants'!$D$5:$H$4955,5,FALSE),""),"")</f>
        <v>1318</v>
      </c>
      <c r="AL593" t="s">
        <v>3327</v>
      </c>
      <c r="AM593" s="33" t="s">
        <v>3269</v>
      </c>
      <c r="AN593" s="3" t="s">
        <v>3607</v>
      </c>
      <c r="AO593" s="3" t="s">
        <v>3608</v>
      </c>
      <c r="AP593" s="3">
        <f>IF(AND(G593&lt;&gt;"LIBSETS_SETTYPE_BATTLEGROUND",G593&lt;&gt;"LIBSETS_SETTYPE_SPECIAL"),IF(AQ593&lt;&gt;"",VLOOKUP(AQ593,'ESO zone constants'!$D$5:$H$4955,5,FALSE),""),"")</f>
        <v>1334</v>
      </c>
      <c r="AQ593" t="s">
        <v>3363</v>
      </c>
      <c r="AR593" s="33" t="s">
        <v>1554</v>
      </c>
      <c r="AU593" s="3">
        <f>IF(AND(G593&lt;&gt;"LIBSETS_SETTYPE_BATTLEGROUND",G593&lt;&gt;"LIBSETS_SETTYPE_SPECIAL"),IF(AV593&lt;&gt;"",VLOOKUP(AV593,'ESO zone constants'!$D$5:$H$4955,5,FALSE),""),"")</f>
        <v>162</v>
      </c>
      <c r="AV593" t="s">
        <v>121</v>
      </c>
      <c r="AW593" s="33" t="s">
        <v>1556</v>
      </c>
      <c r="AX593" s="3" t="s">
        <v>3609</v>
      </c>
      <c r="AY593" s="3" t="s">
        <v>3610</v>
      </c>
      <c r="BA593" s="96" t="s">
        <v>3592</v>
      </c>
      <c r="BB593" s="96" t="s">
        <v>3592</v>
      </c>
      <c r="BC593" s="96"/>
      <c r="BD593" s="96"/>
      <c r="BE593" s="21" t="str">
        <f t="shared" si="59"/>
        <v>[674] = {wayshrines={529,505,529,}, dlcId=DLC_FIRESONG</v>
      </c>
      <c r="BF593" s="21" t="str">
        <f t="shared" si="60"/>
        <v>, zoneIds={1318,1318,1318,1318,1334,162}, veteran=false</v>
      </c>
      <c r="BG593" s="21" t="str">
        <f t="shared" si="61"/>
        <v>, setType=LIBSETS_SETTYPE_MYTHIC</v>
      </c>
      <c r="BH593" s="21" t="str">
        <f t="shared" si="62"/>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 t="shared" si="63"/>
        <v>, addTooltip={['en']='https://en.uesp.net/wiki/Online:Mythic_Items#Faun.27s_Lark_Cladding',},}, --Faun\'s Lark Cladding / Faunstreich   [High Isle, High Isle, High Isle, High Isle, Whalefall, Obsidian Scar]</v>
      </c>
    </row>
    <row r="594" spans="1:61" x14ac:dyDescent="0.25">
      <c r="A594" s="5">
        <v>675</v>
      </c>
      <c r="B594" t="s">
        <v>3452</v>
      </c>
      <c r="C594" t="s">
        <v>3427</v>
      </c>
      <c r="D594" s="3">
        <f t="shared" si="64"/>
        <v>675</v>
      </c>
      <c r="G594" s="95" t="s">
        <v>1678</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WayshrineInfo'!$K$3:$N$9972,4,FALSE),"")))</f>
        <v>Toothmaul Gully</v>
      </c>
      <c r="S594" s="61" t="s">
        <v>3421</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constants'!$B$4:$C$1012,2,FALSE),"")</f>
        <v>Firesong</v>
      </c>
      <c r="V594" s="33" t="s">
        <v>1556</v>
      </c>
      <c r="W594" s="3" t="s">
        <v>3870</v>
      </c>
      <c r="X594" s="3" t="s">
        <v>3871</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constants'!$A$5:$D$10001,4,FALSE),"")</f>
        <v>Galen</v>
      </c>
      <c r="AB594" s="33" t="s">
        <v>1555</v>
      </c>
      <c r="AC594" s="3" t="s">
        <v>3611</v>
      </c>
      <c r="AD594" s="3" t="s">
        <v>3612</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constants'!$A$5:$D$10001,4,FALSE),"")</f>
        <v>Galen</v>
      </c>
      <c r="AH594" s="33" t="s">
        <v>3212</v>
      </c>
      <c r="AI594" s="3" t="s">
        <v>3615</v>
      </c>
      <c r="AJ594" s="3" t="s">
        <v>3616</v>
      </c>
      <c r="AK594" s="3">
        <f>IF(AND(G595&lt;&gt;"LIBSETS_SETTYPE_BATTLEGROUND",G595&lt;&gt;"LIBSETS_SETTYPE_SPECIAL"),IF(AL594&lt;&gt;"",VLOOKUP(AL594,'ESO zone constants'!$D$5:$H$4955,5,FALSE),""),"")</f>
        <v>1383</v>
      </c>
      <c r="AL594" t="s">
        <v>3470</v>
      </c>
      <c r="AM594" s="33" t="s">
        <v>3236</v>
      </c>
      <c r="AN594" s="3" t="s">
        <v>3613</v>
      </c>
      <c r="AO594" s="3" t="s">
        <v>3614</v>
      </c>
      <c r="AP594" s="3">
        <f>IF(AND(G595&lt;&gt;"LIBSETS_SETTYPE_BATTLEGROUND",G595&lt;&gt;"LIBSETS_SETTYPE_SPECIAL"),IF(AQ594&lt;&gt;"",VLOOKUP(AQ594,'ESO zone constants'!$D$5:$H$4955,5,FALSE),""),"")</f>
        <v>1383</v>
      </c>
      <c r="AQ594" t="s">
        <v>3470</v>
      </c>
      <c r="AR594" s="33" t="s">
        <v>3597</v>
      </c>
      <c r="AS594" s="3" t="s">
        <v>3603</v>
      </c>
      <c r="AT594" s="3" t="s">
        <v>3604</v>
      </c>
      <c r="AU594" s="3" t="str">
        <f>IF(AND(G594&lt;&gt;"LIBSETS_SETTYPE_BATTLEGROUND",G594&lt;&gt;"LIBSETS_SETTYPE_SPECIAL"),IF(AV594&lt;&gt;"",VLOOKUP(AV594,'ESO zone constants'!$D$5:$H$4955,5,FALSE),""),"")</f>
        <v/>
      </c>
      <c r="BA594" s="96" t="s">
        <v>3593</v>
      </c>
      <c r="BB594" s="96" t="s">
        <v>3593</v>
      </c>
      <c r="BC594" s="96"/>
      <c r="BD594" s="96"/>
      <c r="BE594" s="21" t="str">
        <f t="shared" si="59"/>
        <v>[675] = {wayshrines={176,527,527,}, dlcId=DLC_FIRESONG</v>
      </c>
      <c r="BF594" s="21" t="str">
        <f t="shared" si="60"/>
        <v>, zoneIds={486,1383,1383,1383,1383}, veteran=false</v>
      </c>
      <c r="BG594" s="21" t="str">
        <f t="shared" si="61"/>
        <v>, setType=LIBSETS_SETTYPE_MYTHIC</v>
      </c>
      <c r="BH594" s="21" t="str">
        <f t="shared" si="62"/>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 t="shared" si="63"/>
        <v>, addTooltip={['en']='https://en.uesp.net/wiki/Online:Mythic_Items#Stormweaver.27s_Cavort',},}, --Stormweaver\'s Cavort / Sturmwebertollen   [Toothmaul Gully, Galen, Galen, Galen, Galen]</v>
      </c>
    </row>
    <row r="595" spans="1:61" x14ac:dyDescent="0.25">
      <c r="A595" s="5">
        <v>676</v>
      </c>
      <c r="B595" t="s">
        <v>3453</v>
      </c>
      <c r="C595" t="s">
        <v>3428</v>
      </c>
      <c r="D595" s="3">
        <f t="shared" si="64"/>
        <v>676</v>
      </c>
      <c r="G595" s="95" t="s">
        <v>1678</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WayshrineInfo'!$K$3:$N$9972,4,FALSE),"")))</f>
        <v>Galen</v>
      </c>
      <c r="S595" s="61" t="s">
        <v>3421</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constants'!$B$4:$C$1012,2,FALSE),"")</f>
        <v>Firesong</v>
      </c>
      <c r="V595" s="42" t="s">
        <v>3223</v>
      </c>
      <c r="W595" s="3" t="s">
        <v>3617</v>
      </c>
      <c r="X595" s="3" t="s">
        <v>3618</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constants'!$A$5:$D$10001,4,FALSE),"")</f>
        <v>Summerset</v>
      </c>
      <c r="AB595" s="33" t="s">
        <v>1555</v>
      </c>
      <c r="AC595" s="3" t="s">
        <v>3620</v>
      </c>
      <c r="AD595" s="3" t="s">
        <v>3619</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constants'!$A$5:$D$10001,4,FALSE),"")</f>
        <v>Galen</v>
      </c>
      <c r="AH595" s="33" t="s">
        <v>3217</v>
      </c>
      <c r="AI595" s="3" t="s">
        <v>3621</v>
      </c>
      <c r="AJ595" s="3" t="s">
        <v>3622</v>
      </c>
      <c r="AK595" s="3">
        <f>IF(AND(G596&lt;&gt;"LIBSETS_SETTYPE_BATTLEGROUND",G596&lt;&gt;"LIBSETS_SETTYPE_SPECIAL"),IF(AL595&lt;&gt;"",VLOOKUP(AL595,'ESO zone constants'!$D$5:$H$4955,5,FALSE),""),"")</f>
        <v>1302</v>
      </c>
      <c r="AL595" t="s">
        <v>2724</v>
      </c>
      <c r="AM595" s="33" t="s">
        <v>3285</v>
      </c>
      <c r="AN595" s="3" t="s">
        <v>3623</v>
      </c>
      <c r="AO595" s="3" t="s">
        <v>3624</v>
      </c>
      <c r="AP595" s="3">
        <f>IF(AND(G596&lt;&gt;"LIBSETS_SETTYPE_BATTLEGROUND",G596&lt;&gt;"LIBSETS_SETTYPE_SPECIAL"),IF(AQ595&lt;&gt;"",VLOOKUP(AQ595,'ESO zone constants'!$D$5:$H$4955,5,FALSE),""),"")</f>
        <v>935</v>
      </c>
      <c r="AQ595" t="s">
        <v>97</v>
      </c>
      <c r="AR595" s="33" t="s">
        <v>3285</v>
      </c>
      <c r="AS595" s="3" t="s">
        <v>1360</v>
      </c>
      <c r="AT595" s="3" t="s">
        <v>1632</v>
      </c>
      <c r="AU595" s="3" t="str">
        <f>IF(AND(G595&lt;&gt;"LIBSETS_SETTYPE_BATTLEGROUND",G595&lt;&gt;"LIBSETS_SETTYPE_SPECIAL"),IF(AV595&lt;&gt;"",VLOOKUP(AV595,'ESO zone constants'!$D$5:$H$4955,5,FALSE),""),"")</f>
        <v/>
      </c>
      <c r="BA595" s="96" t="s">
        <v>3594</v>
      </c>
      <c r="BB595" s="96" t="s">
        <v>3594</v>
      </c>
      <c r="BC595" s="96"/>
      <c r="BD595" s="96"/>
      <c r="BE595" s="21" t="str">
        <f t="shared" si="59"/>
        <v>[676] = {wayshrines={529,350,529,}, dlcId=DLC_FIRESONG</v>
      </c>
      <c r="BF595" s="21" t="str">
        <f t="shared" si="60"/>
        <v>, zoneIds={1383,1011,1383,1302,935}, veteran=false</v>
      </c>
      <c r="BG595" s="21" t="str">
        <f t="shared" si="61"/>
        <v>, setType=LIBSETS_SETTYPE_MYTHIC</v>
      </c>
      <c r="BH595" s="21" t="str">
        <f t="shared" si="62"/>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 t="shared" si="63"/>
        <v>, addTooltip={['en']='https://en.uesp.net/wiki/Online:Mythic_Items#Syrabane.27s_Ward',},}, --Syrabane\'s Ward / Syrabanns Schutz   [Galen, Summerset, Galen, Shipwright's Regret, The Banished Cells II]</v>
      </c>
    </row>
    <row r="596" spans="1:61" x14ac:dyDescent="0.25">
      <c r="A596" s="5">
        <v>677</v>
      </c>
      <c r="B596" t="s">
        <v>3454</v>
      </c>
      <c r="C596" s="86" t="s">
        <v>3425</v>
      </c>
      <c r="D596" s="3">
        <f t="shared" si="64"/>
        <v>677</v>
      </c>
      <c r="G596" s="95" t="s">
        <v>1470</v>
      </c>
      <c r="I596" t="s">
        <v>91</v>
      </c>
      <c r="J596" t="s">
        <v>91</v>
      </c>
      <c r="K596">
        <v>528</v>
      </c>
      <c r="L596">
        <v>528</v>
      </c>
      <c r="M596">
        <v>528</v>
      </c>
      <c r="N596">
        <v>3</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constants'!$H$3:$K$9989,4,FALSE)),""))</f>
        <v>DLC_MORROWIND</v>
      </c>
      <c r="U596" s="3" t="str">
        <f>IF(T596&lt;&gt;"",VLOOKUP(T596,'LibSets constants'!$B$4:$C$1012,2,FALSE),"")</f>
        <v>Morrowind</v>
      </c>
      <c r="V596" s="33" t="s">
        <v>3288</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E596" s="21" t="str">
        <f t="shared" si="59"/>
        <v>[677] = {wayshrines={528,528,528,}, traitsNeeded=3, dlcId=DLC_MORROWIND</v>
      </c>
      <c r="BF596" s="21" t="str">
        <f t="shared" si="60"/>
        <v>, zoneIds={1383,1383,1383}, veteran=false</v>
      </c>
      <c r="BG596" s="21" t="str">
        <f t="shared" si="61"/>
        <v>, setType=LIBSETS_SETTYPE_CRAFTED</v>
      </c>
      <c r="BH596" s="21" t="str">
        <f t="shared" si="62"/>
        <v>, dropMechanic={LIBSETS_DROP_MECHANIC_CRAFTED}</v>
      </c>
      <c r="BI596" s="21" t="str">
        <f t="shared" si="63"/>
        <v>}, --Chimera\'s Rebuke / Zurechtweisung der Schimäre   [Galen, Galen, Galen]</v>
      </c>
    </row>
    <row r="597" spans="1:61" x14ac:dyDescent="0.25">
      <c r="A597" s="5">
        <v>678</v>
      </c>
      <c r="B597" t="s">
        <v>3455</v>
      </c>
      <c r="C597" s="86" t="s">
        <v>3423</v>
      </c>
      <c r="D597" s="3">
        <f t="shared" si="64"/>
        <v>678</v>
      </c>
      <c r="G597" s="95" t="s">
        <v>1470</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constants'!$H$3:$K$9989,4,FALSE)),""))</f>
        <v>DLC_MORROWIND</v>
      </c>
      <c r="U597" s="3" t="str">
        <f>IF(T597&lt;&gt;"",VLOOKUP(T597,'LibSets constants'!$B$4:$C$1012,2,FALSE),"")</f>
        <v>Morrowind</v>
      </c>
      <c r="V597" s="33" t="s">
        <v>3288</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E597" s="21" t="str">
        <f t="shared" si="59"/>
        <v>[678] = {wayshrines={530,530,530,}, traitsNeeded=3, dlcId=DLC_MORROWIND</v>
      </c>
      <c r="BF597" s="21" t="str">
        <f t="shared" si="60"/>
        <v>, zoneIds={1383,1383,1383}, veteran=false</v>
      </c>
      <c r="BG597" s="21" t="str">
        <f t="shared" si="61"/>
        <v>, setType=LIBSETS_SETTYPE_CRAFTED</v>
      </c>
      <c r="BH597" s="21" t="str">
        <f t="shared" si="62"/>
        <v>, dropMechanic={LIBSETS_DROP_MECHANIC_CRAFTED}</v>
      </c>
      <c r="BI597" s="21" t="str">
        <f t="shared" si="63"/>
        <v>}, --Old Growth Brewer / Altwuchs-Brauer   [Galen, Galen, Galen]</v>
      </c>
    </row>
    <row r="598" spans="1:61" x14ac:dyDescent="0.25">
      <c r="A598" s="5">
        <v>679</v>
      </c>
      <c r="B598" t="s">
        <v>3456</v>
      </c>
      <c r="C598" s="86" t="s">
        <v>3424</v>
      </c>
      <c r="D598" s="3">
        <f t="shared" si="64"/>
        <v>679</v>
      </c>
      <c r="G598" s="95" t="s">
        <v>1470</v>
      </c>
      <c r="I598" t="s">
        <v>91</v>
      </c>
      <c r="J598" t="s">
        <v>91</v>
      </c>
      <c r="K598">
        <v>527</v>
      </c>
      <c r="L598">
        <v>527</v>
      </c>
      <c r="M598">
        <v>527</v>
      </c>
      <c r="N598">
        <v>3</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constants'!$H$3:$K$9989,4,FALSE)),""))</f>
        <v>DLC_MORROWIND</v>
      </c>
      <c r="U598" s="3" t="str">
        <f>IF(T598&lt;&gt;"",VLOOKUP(T598,'LibSets constants'!$B$4:$C$1012,2,FALSE),"")</f>
        <v>Morrowind</v>
      </c>
      <c r="V598" s="33" t="s">
        <v>3288</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E598" s="21" t="str">
        <f t="shared" si="59"/>
        <v>[679] = {wayshrines={527,527,527,}, traitsNeeded=3, dlcId=DLC_MORROWIND</v>
      </c>
      <c r="BF598" s="21" t="str">
        <f t="shared" si="60"/>
        <v>, zoneIds={1383,1383,1383}, veteran=false</v>
      </c>
      <c r="BG598" s="21" t="str">
        <f t="shared" si="61"/>
        <v>, setType=LIBSETS_SETTYPE_CRAFTED</v>
      </c>
      <c r="BH598" s="21" t="str">
        <f t="shared" si="62"/>
        <v>, dropMechanic={LIBSETS_DROP_MECHANIC_CRAFTED}</v>
      </c>
      <c r="BI598" s="21" t="str">
        <f t="shared" si="63"/>
        <v>}, --Claw of the Forest Wraith / Kralle des Waldgespensts   [Galen, Galen, Galen]</v>
      </c>
    </row>
    <row r="599" spans="1:61" x14ac:dyDescent="0.25">
      <c r="A599" s="5">
        <v>680</v>
      </c>
      <c r="B599" t="s">
        <v>3571</v>
      </c>
      <c r="C599" s="86" t="s">
        <v>3561</v>
      </c>
      <c r="D599" s="3">
        <f t="shared" si="64"/>
        <v>680</v>
      </c>
      <c r="G599" s="8" t="s">
        <v>1473</v>
      </c>
      <c r="I599" t="s">
        <v>91</v>
      </c>
      <c r="J599" t="s">
        <v>91</v>
      </c>
      <c r="K599">
        <v>531</v>
      </c>
      <c r="L599">
        <v>531</v>
      </c>
      <c r="M599">
        <v>531</v>
      </c>
      <c r="O599" s="61" t="s">
        <v>3555</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constants'!$B$4:$C$1012,2,FALSE),"")</f>
        <v>Scribes of Fate</v>
      </c>
      <c r="V599" s="89" t="s">
        <v>3285</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E599" s="21" t="str">
        <f t="shared" si="59"/>
        <v>[680] = {wayshrines={531,531,531,}, dlcId=DLC_SCRIBES_OF_FATE</v>
      </c>
      <c r="BF599" s="21" t="str">
        <f t="shared" si="60"/>
        <v>, zoneIds={1389,41,41}, veteran=false</v>
      </c>
      <c r="BG599" s="21" t="str">
        <f t="shared" si="61"/>
        <v>, setType=LIBSETS_SETTYPE_DUNGEON</v>
      </c>
      <c r="BH599" s="21" t="str">
        <f t="shared" si="62"/>
        <v>, dropMechanic={LIBSETS_DROP_MECHANIC_GROUP_DUNGEON_BOSS}</v>
      </c>
      <c r="BI599" s="21" t="str">
        <f t="shared" si="63"/>
        <v>}, --Ritemaster\’s Bond / Bindung des Ritenmeisters   [Bal Sunnar, Stonefalls, Stonefalls]</v>
      </c>
    </row>
    <row r="600" spans="1:61" x14ac:dyDescent="0.25">
      <c r="A600" s="5">
        <v>681</v>
      </c>
      <c r="B600" t="s">
        <v>3572</v>
      </c>
      <c r="C600" s="86" t="s">
        <v>3562</v>
      </c>
      <c r="D600" s="3">
        <f t="shared" si="64"/>
        <v>681</v>
      </c>
      <c r="G600" s="8" t="s">
        <v>1473</v>
      </c>
      <c r="I600" t="s">
        <v>91</v>
      </c>
      <c r="J600" t="s">
        <v>91</v>
      </c>
      <c r="K600">
        <v>531</v>
      </c>
      <c r="L600">
        <v>531</v>
      </c>
      <c r="M600">
        <v>531</v>
      </c>
      <c r="O600" s="61" t="s">
        <v>3555</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constants'!$B$4:$C$1012,2,FALSE),"")</f>
        <v>Scribes of Fate</v>
      </c>
      <c r="V600" s="89" t="s">
        <v>3285</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E600" s="21" t="str">
        <f t="shared" si="59"/>
        <v>[681] = {wayshrines={531,531,531,}, dlcId=DLC_SCRIBES_OF_FATE</v>
      </c>
      <c r="BF600" s="21" t="str">
        <f t="shared" si="60"/>
        <v>, zoneIds={1389,41,41}, veteran=false</v>
      </c>
      <c r="BG600" s="21" t="str">
        <f t="shared" si="61"/>
        <v>, setType=LIBSETS_SETTYPE_DUNGEON</v>
      </c>
      <c r="BH600" s="21" t="str">
        <f t="shared" si="62"/>
        <v>, dropMechanic={LIBSETS_DROP_MECHANIC_GROUP_DUNGEON_BOSS}</v>
      </c>
      <c r="BI600" s="21" t="str">
        <f t="shared" si="63"/>
        <v>}, --Nix-Hound\’s Howl / Nixhund-Heulen   [Bal Sunnar, Stonefalls, Stonefalls]</v>
      </c>
    </row>
    <row r="601" spans="1:61" x14ac:dyDescent="0.25">
      <c r="A601" s="5">
        <v>682</v>
      </c>
      <c r="B601" t="s">
        <v>3573</v>
      </c>
      <c r="C601" s="86" t="s">
        <v>3556</v>
      </c>
      <c r="D601" s="3">
        <f t="shared" si="64"/>
        <v>682</v>
      </c>
      <c r="G601" s="8" t="s">
        <v>1473</v>
      </c>
      <c r="I601" t="s">
        <v>91</v>
      </c>
      <c r="J601" t="s">
        <v>91</v>
      </c>
      <c r="K601">
        <v>531</v>
      </c>
      <c r="L601">
        <v>531</v>
      </c>
      <c r="M601">
        <v>531</v>
      </c>
      <c r="O601" s="61" t="s">
        <v>3555</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constants'!$B$4:$C$1012,2,FALSE),"")</f>
        <v>Scribes of Fate</v>
      </c>
      <c r="V601" s="89" t="s">
        <v>3285</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E601" s="21" t="str">
        <f t="shared" si="59"/>
        <v>[682] = {wayshrines={531,531,531,}, dlcId=DLC_SCRIBES_OF_FATE</v>
      </c>
      <c r="BF601" s="21" t="str">
        <f t="shared" si="60"/>
        <v>, zoneIds={1389,41,41}, veteran=false</v>
      </c>
      <c r="BG601" s="21" t="str">
        <f t="shared" si="61"/>
        <v>, setType=LIBSETS_SETTYPE_DUNGEON</v>
      </c>
      <c r="BH601" s="21" t="str">
        <f t="shared" si="62"/>
        <v>, dropMechanic={LIBSETS_DROP_MECHANIC_GROUP_DUNGEON_BOSS}</v>
      </c>
      <c r="BI601" s="21" t="str">
        <f t="shared" si="63"/>
        <v>}, --Telvanni Enforcer / Telvanni-Vollstrecker   [Bal Sunnar, Stonefalls, Stonefalls]</v>
      </c>
    </row>
    <row r="602" spans="1:61" x14ac:dyDescent="0.25">
      <c r="A602" s="5">
        <v>683</v>
      </c>
      <c r="B602" t="s">
        <v>3574</v>
      </c>
      <c r="C602" s="86" t="s">
        <v>3557</v>
      </c>
      <c r="D602" s="3">
        <f t="shared" si="64"/>
        <v>683</v>
      </c>
      <c r="G602" s="8" t="s">
        <v>1475</v>
      </c>
      <c r="H602">
        <v>3</v>
      </c>
      <c r="I602" t="s">
        <v>1462</v>
      </c>
      <c r="K602">
        <v>531</v>
      </c>
      <c r="L602">
        <v>531</v>
      </c>
      <c r="M602">
        <v>531</v>
      </c>
      <c r="O602" s="61" t="s">
        <v>3555</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constants'!$B$4:$C$1012,2,FALSE),"")</f>
        <v>Scribes of Fate</v>
      </c>
      <c r="V602" s="33" t="s">
        <v>1538</v>
      </c>
      <c r="W602" s="3" t="s">
        <v>3557</v>
      </c>
      <c r="X602" s="3" t="s">
        <v>3591</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E602" s="21" t="str">
        <f t="shared" si="59"/>
        <v>[683] = {wayshrines={531,531,531,}, dlcId=DLC_SCRIBES_OF_FATE</v>
      </c>
      <c r="BF602" s="21" t="str">
        <f t="shared" si="60"/>
        <v>, zoneIds={1389,41,41}, veteran={[EQUIP_TYPE_HEAD]=true, [EQUIP_TYPE_SHOULDERS]=false}</v>
      </c>
      <c r="BG602" s="21" t="str">
        <f t="shared" si="61"/>
        <v>, setType=LIBSETS_SETTYPE_MONSTER, undauntedChestId=3</v>
      </c>
      <c r="BH602" s="21" t="str">
        <f t="shared" si="62"/>
        <v>, dropMechanic={LIBSETS_DROP_MECHANIC_MONSTER_NAME}, dropMechanicDropLocationNames={['en']={'Roksa the Warped','','','','','',},['de']={'Roksa die Verzerrte','','','','','',},}</v>
      </c>
      <c r="BI602" s="21" t="str">
        <f t="shared" si="63"/>
        <v>}, --Roksa the Warped / Roksa die Verkrümmte   [Bal Sunnar, Stonefalls, Stonefalls]</v>
      </c>
    </row>
    <row r="603" spans="1:61" x14ac:dyDescent="0.25">
      <c r="A603" s="5">
        <v>684</v>
      </c>
      <c r="B603" t="s">
        <v>3575</v>
      </c>
      <c r="C603" s="86" t="s">
        <v>3563</v>
      </c>
      <c r="D603" s="3">
        <f t="shared" si="64"/>
        <v>684</v>
      </c>
      <c r="G603" s="8" t="s">
        <v>1473</v>
      </c>
      <c r="I603" t="s">
        <v>91</v>
      </c>
      <c r="J603" t="s">
        <v>91</v>
      </c>
      <c r="K603">
        <v>532</v>
      </c>
      <c r="L603">
        <v>532</v>
      </c>
      <c r="M603">
        <v>532</v>
      </c>
      <c r="O603" s="61" t="s">
        <v>3584</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constants'!$B$4:$C$1012,2,FALSE),"")</f>
        <v>Scribes of Fate</v>
      </c>
      <c r="V603" s="89" t="s">
        <v>3285</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E603" s="21" t="str">
        <f t="shared" si="59"/>
        <v>[684] = {wayshrines={532,532,532,}, dlcId=DLC_SCRIBES_OF_FATE</v>
      </c>
      <c r="BF603" s="21" t="str">
        <f t="shared" si="60"/>
        <v>, zoneIds={1390,103,103}, veteran=false</v>
      </c>
      <c r="BG603" s="21" t="str">
        <f t="shared" si="61"/>
        <v>, setType=LIBSETS_SETTYPE_DUNGEON</v>
      </c>
      <c r="BH603" s="21" t="str">
        <f t="shared" si="62"/>
        <v>, dropMechanic={LIBSETS_DROP_MECHANIC_GROUP_DUNGEON_BOSS}</v>
      </c>
      <c r="BI603" s="21" t="str">
        <f t="shared" si="63"/>
        <v>}, --Runecarver\’s Blaze / Lodern des Runenschnitzers   [Scrivener's Hall, The Rift, The Rift]</v>
      </c>
    </row>
    <row r="604" spans="1:61" x14ac:dyDescent="0.25">
      <c r="A604" s="5">
        <v>685</v>
      </c>
      <c r="B604" t="s">
        <v>3576</v>
      </c>
      <c r="C604" s="86" t="s">
        <v>3564</v>
      </c>
      <c r="D604" s="3">
        <f t="shared" si="64"/>
        <v>685</v>
      </c>
      <c r="G604" s="8" t="s">
        <v>1473</v>
      </c>
      <c r="I604" t="s">
        <v>91</v>
      </c>
      <c r="J604" t="s">
        <v>91</v>
      </c>
      <c r="K604">
        <v>532</v>
      </c>
      <c r="L604">
        <v>532</v>
      </c>
      <c r="M604">
        <v>532</v>
      </c>
      <c r="O604" s="61" t="s">
        <v>3584</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constants'!$B$4:$C$1012,2,FALSE),"")</f>
        <v>Scribes of Fate</v>
      </c>
      <c r="V604" s="89" t="s">
        <v>3285</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E604" s="21" t="str">
        <f t="shared" si="59"/>
        <v>[685] = {wayshrines={532,532,532,}, dlcId=DLC_SCRIBES_OF_FATE</v>
      </c>
      <c r="BF604" s="21" t="str">
        <f t="shared" si="60"/>
        <v>, zoneIds={1390,103,103}, veteran=false</v>
      </c>
      <c r="BG604" s="21" t="str">
        <f t="shared" si="61"/>
        <v>, setType=LIBSETS_SETTYPE_DUNGEON</v>
      </c>
      <c r="BH604" s="21" t="str">
        <f t="shared" si="62"/>
        <v>, dropMechanic={LIBSETS_DROP_MECHANIC_GROUP_DUNGEON_BOSS}</v>
      </c>
      <c r="BI604" s="21" t="str">
        <f t="shared" si="63"/>
        <v>}, --Apocryphal Inspiration / Apocryphische Inspiration   [Scrivener's Hall, The Rift, The Rift]</v>
      </c>
    </row>
    <row r="605" spans="1:61" x14ac:dyDescent="0.25">
      <c r="A605" s="5">
        <v>686</v>
      </c>
      <c r="B605" t="s">
        <v>3577</v>
      </c>
      <c r="C605" s="86" t="s">
        <v>3559</v>
      </c>
      <c r="D605" s="3">
        <f t="shared" si="64"/>
        <v>686</v>
      </c>
      <c r="G605" s="8" t="s">
        <v>1473</v>
      </c>
      <c r="I605" t="s">
        <v>91</v>
      </c>
      <c r="J605" t="s">
        <v>91</v>
      </c>
      <c r="K605">
        <v>532</v>
      </c>
      <c r="L605">
        <v>532</v>
      </c>
      <c r="M605">
        <v>532</v>
      </c>
      <c r="O605" s="61" t="s">
        <v>3584</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constants'!$B$4:$C$1012,2,FALSE),"")</f>
        <v>Scribes of Fate</v>
      </c>
      <c r="V605" s="89" t="s">
        <v>3285</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E605" s="21" t="str">
        <f t="shared" si="59"/>
        <v>[686] = {wayshrines={532,532,532,}, dlcId=DLC_SCRIBES_OF_FATE</v>
      </c>
      <c r="BF605" s="21" t="str">
        <f t="shared" si="60"/>
        <v>, zoneIds={1390,103,103}, veteran=false</v>
      </c>
      <c r="BG605" s="21" t="str">
        <f t="shared" si="61"/>
        <v>, setType=LIBSETS_SETTYPE_DUNGEON</v>
      </c>
      <c r="BH605" s="21" t="str">
        <f t="shared" si="62"/>
        <v>, dropMechanic={LIBSETS_DROP_MECHANIC_GROUP_DUNGEON_BOSS}</v>
      </c>
      <c r="BI605" s="21" t="str">
        <f t="shared" si="63"/>
        <v>}, --Abyssal Brace / Abgründiges Wappnen   [Scrivener's Hall, The Rift, The Rift]</v>
      </c>
    </row>
    <row r="606" spans="1:61" x14ac:dyDescent="0.25">
      <c r="A606" s="5">
        <v>687</v>
      </c>
      <c r="B606" t="s">
        <v>3578</v>
      </c>
      <c r="C606" s="86" t="s">
        <v>3560</v>
      </c>
      <c r="D606" s="3">
        <f t="shared" si="64"/>
        <v>687</v>
      </c>
      <c r="G606" s="8" t="s">
        <v>1475</v>
      </c>
      <c r="H606">
        <v>3</v>
      </c>
      <c r="I606" t="s">
        <v>1462</v>
      </c>
      <c r="K606">
        <v>532</v>
      </c>
      <c r="L606">
        <v>532</v>
      </c>
      <c r="M606">
        <v>532</v>
      </c>
      <c r="O606" s="61" t="s">
        <v>3584</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constants'!$B$4:$C$1012,2,FALSE),"")</f>
        <v>Scribes of Fate</v>
      </c>
      <c r="V606" s="33" t="s">
        <v>1538</v>
      </c>
      <c r="W606" s="3" t="s">
        <v>3560</v>
      </c>
      <c r="X606" s="3" t="s">
        <v>3578</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E606" s="21" t="str">
        <f t="shared" si="59"/>
        <v>[687] = {wayshrines={532,532,532,}, dlcId=DLC_SCRIBES_OF_FATE</v>
      </c>
      <c r="BF606" s="21" t="str">
        <f t="shared" si="60"/>
        <v>, zoneIds={1390,103,103}, veteran={[EQUIP_TYPE_HEAD]=true, [EQUIP_TYPE_SHOULDERS]=false}</v>
      </c>
      <c r="BG606" s="21" t="str">
        <f t="shared" si="61"/>
        <v>, setType=LIBSETS_SETTYPE_MONSTER, undauntedChestId=3</v>
      </c>
      <c r="BH606" s="21" t="str">
        <f t="shared" si="62"/>
        <v>, dropMechanic={LIBSETS_DROP_MECHANIC_MONSTER_NAME}, dropMechanicDropLocationNames={['en']={'Ozezan the Inferno','','','','','',},['de']={'Ozezan das Inferno','','','','','',},}</v>
      </c>
      <c r="BI606" s="21" t="str">
        <f t="shared" si="63"/>
        <v>}, --Ozezan the Inferno / Ozezan das Inferno   [Scrivener's Hall, The Rift, The Rift]</v>
      </c>
    </row>
    <row r="607" spans="1:61" x14ac:dyDescent="0.25">
      <c r="A607" s="5">
        <v>688</v>
      </c>
      <c r="B607" t="s">
        <v>3579</v>
      </c>
      <c r="C607" t="s">
        <v>3588</v>
      </c>
      <c r="D607" s="3">
        <f t="shared" si="64"/>
        <v>688</v>
      </c>
      <c r="G607" s="8" t="s">
        <v>1471</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WayshrineInfo'!$K$3:$N$9972,4,FALSE),"")))</f>
        <v>Cyrodiil</v>
      </c>
      <c r="S607" s="61" t="s">
        <v>3565</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constants'!$B$4:$C$1012,2,FALSE),"")</f>
        <v>Scribes of Fate</v>
      </c>
      <c r="V607" s="33" t="s">
        <v>1535</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constants'!$A$5:$D$10001,4,FALSE),"")</f>
        <v>Cyrodiil</v>
      </c>
      <c r="AB607" s="33" t="s">
        <v>3737</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constants'!$A$5:$D$10001,4,FALSE),"")</f>
        <v>Cyrodiil</v>
      </c>
      <c r="AH607" s="33" t="s">
        <v>2765</v>
      </c>
      <c r="AK607" s="3">
        <f>IF(AND(G607&lt;&gt;"LIBSETS_SETTYPE_BATTLEGROUND",G607&lt;&gt;"LIBSETS_SETTYPE_SPECIAL"),IF(AL607&lt;&gt;"",VLOOKUP(AL607,'ESO zone constants'!$D$5:$H$4955,5,FALSE),""),"")</f>
        <v>181</v>
      </c>
      <c r="AL607" t="s">
        <v>125</v>
      </c>
      <c r="AM607" s="33" t="s">
        <v>3740</v>
      </c>
      <c r="AP607" s="3">
        <f>IF(AND(G607&lt;&gt;"LIBSETS_SETTYPE_BATTLEGROUND",G607&lt;&gt;"LIBSETS_SETTYPE_SPECIAL"),IF(AQ607&lt;&gt;"",VLOOKUP(AQ607,'ESO zone constants'!$D$5:$H$4955,5,FALSE),""),"")</f>
        <v>181</v>
      </c>
      <c r="AQ607" t="s">
        <v>125</v>
      </c>
      <c r="AR607" s="33" t="s">
        <v>1554</v>
      </c>
      <c r="AU607" s="3">
        <f>IF(AND(G607&lt;&gt;"LIBSETS_SETTYPE_BATTLEGROUND",G607&lt;&gt;"LIBSETS_SETTYPE_SPECIAL"),IF(AV607&lt;&gt;"",VLOOKUP(AV607,'ESO zone constants'!$D$5:$H$4955,5,FALSE),""),"")</f>
        <v>181</v>
      </c>
      <c r="AV607" t="s">
        <v>125</v>
      </c>
      <c r="AW607" s="33" t="s">
        <v>3236</v>
      </c>
      <c r="BE607" s="21" t="str">
        <f t="shared" si="59"/>
        <v>[688] = {wayshrines={-1,-1,-1,}, dlcId=DLC_SCRIBES_OF_FATE</v>
      </c>
      <c r="BF607" s="21" t="str">
        <f t="shared" si="60"/>
        <v>, zoneIds={181,181,181,181,181,181}, veteran=false</v>
      </c>
      <c r="BG607" s="21" t="str">
        <f t="shared" si="61"/>
        <v>, setType=LIBSETS_SETTYPE_CYRODIIL</v>
      </c>
      <c r="BH60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 t="shared" si="63"/>
        <v>}, --Snake in the Stars / Schlange inmitten der Sterne   [Cyrodiil, Cyrodiil, Cyrodiil, Cyrodiil, Cyrodiil, Cyrodiil]</v>
      </c>
    </row>
    <row r="608" spans="1:61" x14ac:dyDescent="0.25">
      <c r="A608" s="5">
        <v>689</v>
      </c>
      <c r="B608" t="s">
        <v>3580</v>
      </c>
      <c r="C608" t="s">
        <v>3589</v>
      </c>
      <c r="D608" s="3">
        <f t="shared" si="64"/>
        <v>689</v>
      </c>
      <c r="G608" s="8" t="s">
        <v>1471</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WayshrineInfo'!$K$3:$N$9972,4,FALSE),"")))</f>
        <v>Cyrodiil</v>
      </c>
      <c r="S608" s="61" t="s">
        <v>3565</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constants'!$B$4:$C$1012,2,FALSE),"")</f>
        <v>Scribes of Fate</v>
      </c>
      <c r="V608" s="33" t="s">
        <v>1535</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constants'!$A$5:$D$10001,4,FALSE),"")</f>
        <v>Cyrodiil</v>
      </c>
      <c r="AB608" s="33" t="s">
        <v>3737</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constants'!$A$5:$D$10001,4,FALSE),"")</f>
        <v>Cyrodiil</v>
      </c>
      <c r="AH608" s="33" t="s">
        <v>2765</v>
      </c>
      <c r="AK608" s="3">
        <f>IF(AND(G608&lt;&gt;"LIBSETS_SETTYPE_BATTLEGROUND",G608&lt;&gt;"LIBSETS_SETTYPE_SPECIAL"),IF(AL608&lt;&gt;"",VLOOKUP(AL608,'ESO zone constants'!$D$5:$H$4955,5,FALSE),""),"")</f>
        <v>181</v>
      </c>
      <c r="AL608" t="s">
        <v>125</v>
      </c>
      <c r="AM608" s="33" t="s">
        <v>3740</v>
      </c>
      <c r="AP608" s="3">
        <f>IF(AND(G608&lt;&gt;"LIBSETS_SETTYPE_BATTLEGROUND",G608&lt;&gt;"LIBSETS_SETTYPE_SPECIAL"),IF(AQ608&lt;&gt;"",VLOOKUP(AQ608,'ESO zone constants'!$D$5:$H$4955,5,FALSE),""),"")</f>
        <v>181</v>
      </c>
      <c r="AQ608" t="s">
        <v>125</v>
      </c>
      <c r="AR608" s="33" t="s">
        <v>1554</v>
      </c>
      <c r="AU608" s="3">
        <f>IF(AND(G608&lt;&gt;"LIBSETS_SETTYPE_BATTLEGROUND",G608&lt;&gt;"LIBSETS_SETTYPE_SPECIAL"),IF(AV608&lt;&gt;"",VLOOKUP(AV608,'ESO zone constants'!$D$5:$H$4955,5,FALSE),""),"")</f>
        <v>181</v>
      </c>
      <c r="AV608" t="s">
        <v>125</v>
      </c>
      <c r="AW608" s="33" t="s">
        <v>3236</v>
      </c>
      <c r="BE608" s="21" t="str">
        <f t="shared" si="59"/>
        <v>[689] = {wayshrines={-1,-1,-1,}, dlcId=DLC_SCRIBES_OF_FATE</v>
      </c>
      <c r="BF608" s="21" t="str">
        <f t="shared" si="60"/>
        <v>, zoneIds={181,181,181,181,181,181}, veteran=false</v>
      </c>
      <c r="BG608" s="21" t="str">
        <f t="shared" si="61"/>
        <v>, setType=LIBSETS_SETTYPE_CYRODIIL</v>
      </c>
      <c r="BH60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 t="shared" si="63"/>
        <v>}, --Shell Splitter / Panzerspalten   [Cyrodiil, Cyrodiil, Cyrodiil, Cyrodiil, Cyrodiil, Cyrodiil]</v>
      </c>
    </row>
    <row r="609" spans="1:61" x14ac:dyDescent="0.25">
      <c r="A609" s="5">
        <v>690</v>
      </c>
      <c r="B609" t="s">
        <v>3581</v>
      </c>
      <c r="C609" t="s">
        <v>3590</v>
      </c>
      <c r="D609" s="3">
        <f t="shared" si="64"/>
        <v>690</v>
      </c>
      <c r="G609" s="8" t="s">
        <v>1471</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WayshrineInfo'!$K$3:$N$9972,4,FALSE),"")))</f>
        <v>Cyrodiil</v>
      </c>
      <c r="S609" s="61" t="s">
        <v>3565</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constants'!$B$4:$C$1012,2,FALSE),"")</f>
        <v>Scribes of Fate</v>
      </c>
      <c r="V609" s="33" t="s">
        <v>1535</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constants'!$A$5:$D$10001,4,FALSE),"")</f>
        <v>Cyrodiil</v>
      </c>
      <c r="AB609" s="33" t="s">
        <v>3737</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constants'!$A$5:$D$10001,4,FALSE),"")</f>
        <v>Cyrodiil</v>
      </c>
      <c r="AH609" s="33" t="s">
        <v>2765</v>
      </c>
      <c r="AK609" s="3">
        <f>IF(AND(G609&lt;&gt;"LIBSETS_SETTYPE_BATTLEGROUND",G609&lt;&gt;"LIBSETS_SETTYPE_SPECIAL"),IF(AL609&lt;&gt;"",VLOOKUP(AL609,'ESO zone constants'!$D$5:$H$4955,5,FALSE),""),"")</f>
        <v>181</v>
      </c>
      <c r="AL609" t="s">
        <v>125</v>
      </c>
      <c r="AM609" s="33" t="s">
        <v>3740</v>
      </c>
      <c r="AP609" s="3">
        <f>IF(AND(G609&lt;&gt;"LIBSETS_SETTYPE_BATTLEGROUND",G609&lt;&gt;"LIBSETS_SETTYPE_SPECIAL"),IF(AQ609&lt;&gt;"",VLOOKUP(AQ609,'ESO zone constants'!$D$5:$H$4955,5,FALSE),""),"")</f>
        <v>181</v>
      </c>
      <c r="AQ609" t="s">
        <v>125</v>
      </c>
      <c r="AR609" s="33" t="s">
        <v>1554</v>
      </c>
      <c r="AU609" s="3">
        <f>IF(AND(G609&lt;&gt;"LIBSETS_SETTYPE_BATTLEGROUND",G609&lt;&gt;"LIBSETS_SETTYPE_SPECIAL"),IF(AV609&lt;&gt;"",VLOOKUP(AV609,'ESO zone constants'!$D$5:$H$4955,5,FALSE),""),"")</f>
        <v>181</v>
      </c>
      <c r="AV609" t="s">
        <v>125</v>
      </c>
      <c r="AW609" s="33" t="s">
        <v>3236</v>
      </c>
      <c r="BE609" s="21" t="str">
        <f t="shared" si="59"/>
        <v>[690] = {wayshrines={-1,-1,-1,}, dlcId=DLC_SCRIBES_OF_FATE</v>
      </c>
      <c r="BF609" s="21" t="str">
        <f t="shared" si="60"/>
        <v>, zoneIds={181,181,181,181,181,181}, veteran=false</v>
      </c>
      <c r="BG609" s="21" t="str">
        <f t="shared" si="61"/>
        <v>, setType=LIBSETS_SETTYPE_CYRODIIL</v>
      </c>
      <c r="BH60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 t="shared" si="63"/>
        <v>}, --Judgement of Akatosh  / Urteil von Akatosh   [Cyrodiil, Cyrodiil, Cyrodiil, Cyrodiil, Cyrodiil, Cyrodiil]</v>
      </c>
    </row>
    <row r="610" spans="1:61" x14ac:dyDescent="0.25">
      <c r="A610" s="5">
        <v>691</v>
      </c>
      <c r="B610" t="s">
        <v>3838</v>
      </c>
      <c r="C610" s="36" t="s">
        <v>3650</v>
      </c>
      <c r="D610" s="3">
        <f t="shared" si="64"/>
        <v>691</v>
      </c>
      <c r="G610" s="95" t="s">
        <v>1678</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WayshrineInfo'!$K$3:$N$9972,4,FALSE),"")))</f>
        <v>Telvanni Peninsula</v>
      </c>
      <c r="S610" s="61" t="s">
        <v>3648</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constants'!$B$4:$C$1012,2,FALSE),"")</f>
        <v>Necrom</v>
      </c>
      <c r="V610" s="42" t="s">
        <v>3212</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constants'!$A$5:$D$10001,4,FALSE),"")</f>
        <v>Apocrypha</v>
      </c>
      <c r="AB610" s="33" t="s">
        <v>1554</v>
      </c>
      <c r="AC610" s="3" t="s">
        <v>3841</v>
      </c>
      <c r="AD610" s="3" t="s">
        <v>3840</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constants'!$A$5:$D$10001,4,FALSE),"")</f>
        <v>Telvanni Peninsula</v>
      </c>
      <c r="AH610" s="33" t="s">
        <v>1555</v>
      </c>
      <c r="AI610" s="3" t="s">
        <v>3844</v>
      </c>
      <c r="AJ610" s="3" t="s">
        <v>3839</v>
      </c>
      <c r="AK610" s="3">
        <f>IF(AND(G611&lt;&gt;"LIBSETS_SETTYPE_BATTLEGROUND",G611&lt;&gt;"LIBSETS_SETTYPE_SPECIAL"),IF(AL610&lt;&gt;"",VLOOKUP(AL610,'ESO zone constants'!$D$5:$H$4955,5,FALSE),""),"")</f>
        <v>1414</v>
      </c>
      <c r="AL610" t="s">
        <v>3700</v>
      </c>
      <c r="AM610" s="33" t="s">
        <v>1557</v>
      </c>
      <c r="AP610" s="3">
        <f>IF(AND(G611&lt;&gt;"LIBSETS_SETTYPE_BATTLEGROUND",G611&lt;&gt;"LIBSETS_SETTYPE_SPECIAL"),IF(AQ610&lt;&gt;"",VLOOKUP(AQ610,'ESO zone constants'!$D$5:$H$4955,5,FALSE),""),"")</f>
        <v>1389</v>
      </c>
      <c r="AQ610" t="s">
        <v>3555</v>
      </c>
      <c r="AR610" s="33" t="s">
        <v>3285</v>
      </c>
      <c r="AS610" s="3" t="s">
        <v>3842</v>
      </c>
      <c r="AT610" s="3" t="s">
        <v>3843</v>
      </c>
      <c r="AU610" s="3" t="str">
        <f>IF(AND(G610&lt;&gt;"LIBSETS_SETTYPE_BATTLEGROUND",G610&lt;&gt;"LIBSETS_SETTYPE_SPECIAL"),IF(AV610&lt;&gt;"",VLOOKUP(AV610,'ESO zone constants'!$D$5:$H$4955,5,FALSE),""),"")</f>
        <v/>
      </c>
      <c r="BA610" s="96" t="s">
        <v>3892</v>
      </c>
      <c r="BB610" s="96" t="s">
        <v>3892</v>
      </c>
      <c r="BE610" s="21" t="str">
        <f t="shared" si="59"/>
        <v>[691] = {wayshrines={536,545,538,}, dlcId=DLC_NECROM</v>
      </c>
      <c r="BF610" s="21" t="str">
        <f t="shared" si="60"/>
        <v>, zoneIds={1414,1413,1414,1414,1389}, veteran=false</v>
      </c>
      <c r="BG610" s="21" t="str">
        <f t="shared" si="61"/>
        <v>, setType=LIBSETS_SETTYPE_MYTHIC</v>
      </c>
      <c r="BH610" s="21" t="str">
        <f t="shared" si="62"/>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 t="shared" si="63"/>
        <v>, addTooltip={['en']='https://en.uesp.net/wiki/Online:Cryptcanon_Vestments',},}, -- Cryptcanon Vestments / Gewandung des Kryptenvogts   [Telvanni Peninsula, Apocrypha, Telvanni Peninsula, Telvanni Peninsula, Bal Sunnar]</v>
      </c>
    </row>
    <row r="611" spans="1:61" x14ac:dyDescent="0.25">
      <c r="A611" s="5">
        <v>692</v>
      </c>
      <c r="B611" t="s">
        <v>3853</v>
      </c>
      <c r="C611" s="36" t="s">
        <v>3651</v>
      </c>
      <c r="D611" s="3">
        <f t="shared" si="64"/>
        <v>692</v>
      </c>
      <c r="G611" s="95" t="s">
        <v>1678</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WayshrineInfo'!$K$3:$N$9972,4,FALSE),"")))</f>
        <v>Gorne</v>
      </c>
      <c r="S611" s="61" t="s">
        <v>3648</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constants'!$B$4:$C$1012,2,FALSE),"")</f>
        <v>Necrom</v>
      </c>
      <c r="V611" s="42" t="s">
        <v>1556</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constants'!$A$5:$D$10001,4,FALSE),"")</f>
        <v>Vvardenfell</v>
      </c>
      <c r="AB611" s="33" t="s">
        <v>1554</v>
      </c>
      <c r="AC611" s="3" t="s">
        <v>3845</v>
      </c>
      <c r="AD611" s="3" t="s">
        <v>3846</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constants'!$A$5:$D$10001,4,FALSE),"")</f>
        <v>Forgotten Wastes</v>
      </c>
      <c r="AH611" s="33" t="s">
        <v>1556</v>
      </c>
      <c r="AI611" s="3" t="s">
        <v>3847</v>
      </c>
      <c r="AJ611" s="3" t="s">
        <v>3848</v>
      </c>
      <c r="AK611" s="3">
        <f>IF(AND(G612&lt;&gt;"LIBSETS_SETTYPE_BATTLEGROUND",G612&lt;&gt;"LIBSETS_SETTYPE_SPECIAL"),IF(AL611&lt;&gt;"",VLOOKUP(AL611,'ESO zone constants'!$D$5:$H$4955,5,FALSE),""),"")</f>
        <v>1301</v>
      </c>
      <c r="AL611" t="s">
        <v>2712</v>
      </c>
      <c r="AM611" s="33" t="s">
        <v>3285</v>
      </c>
      <c r="AN611" s="3" t="s">
        <v>3849</v>
      </c>
      <c r="AO611" s="3" t="s">
        <v>3850</v>
      </c>
      <c r="AP611" s="3">
        <f>IF(AND(G612&lt;&gt;"LIBSETS_SETTYPE_BATTLEGROUND",G612&lt;&gt;"LIBSETS_SETTYPE_SPECIAL"),IF(AQ611&lt;&gt;"",VLOOKUP(AQ611,'ESO zone constants'!$D$5:$H$4955,5,FALSE),""),"")</f>
        <v>1361</v>
      </c>
      <c r="AQ611" t="s">
        <v>3387</v>
      </c>
      <c r="AR611" s="33" t="s">
        <v>3285</v>
      </c>
      <c r="AS611" s="3" t="s">
        <v>3851</v>
      </c>
      <c r="AT611" s="3" t="s">
        <v>3852</v>
      </c>
      <c r="AU611" s="3" t="str">
        <f>IF(AND(G611&lt;&gt;"LIBSETS_SETTYPE_BATTLEGROUND",G611&lt;&gt;"LIBSETS_SETTYPE_SPECIAL"),IF(AV611&lt;&gt;"",VLOOKUP(AV611,'ESO zone constants'!$D$5:$H$4955,5,FALSE),""),"")</f>
        <v/>
      </c>
      <c r="BA611" s="96" t="s">
        <v>3893</v>
      </c>
      <c r="BB611" s="96" t="s">
        <v>3893</v>
      </c>
      <c r="BE611" s="21" t="str">
        <f t="shared" si="59"/>
        <v>[692] = {wayshrines={549,280,282,}, dlcId=DLC_NECROM</v>
      </c>
      <c r="BF611" s="21" t="str">
        <f t="shared" si="60"/>
        <v>, zoneIds={1415,849,919,1301,1361}, veteran=false</v>
      </c>
      <c r="BG611" s="21" t="str">
        <f t="shared" si="61"/>
        <v>, setType=LIBSETS_SETTYPE_MYTHIC</v>
      </c>
      <c r="BH611" s="21" t="str">
        <f t="shared" si="62"/>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 t="shared" si="63"/>
        <v>, addTooltip={['en']='https://en.uesp.net/wiki/Online:Esoteric_Environment_Greaves',},}, -- Esoteric Environment Greaves / Beinschienen der esoterischen Umgebung   [Gorne, Vvardenfell, Forgotten Wastes, Coral Aerie, Graven Deep]</v>
      </c>
    </row>
    <row r="612" spans="1:61" x14ac:dyDescent="0.25">
      <c r="A612" s="5">
        <v>694</v>
      </c>
      <c r="B612" s="36" t="s">
        <v>3663</v>
      </c>
      <c r="C612" s="36" t="s">
        <v>3663</v>
      </c>
      <c r="D612" s="3">
        <f t="shared" si="64"/>
        <v>694</v>
      </c>
      <c r="G612" s="95" t="s">
        <v>1678</v>
      </c>
      <c r="I612" t="s">
        <v>91</v>
      </c>
      <c r="J612" t="s">
        <v>91</v>
      </c>
      <c r="K612" s="36">
        <v>538</v>
      </c>
      <c r="L612" s="36">
        <v>543</v>
      </c>
      <c r="M612" s="36">
        <v>546</v>
      </c>
      <c r="Q612" s="3">
        <f>IF(AND(P612&lt;&gt;"",ISNUMBER(P612),NOT(ISNA(P612))),P612,IF(R612&lt;&gt;"",VLOOKUP(R612,'ESO zone constants'!$D$5:$H$10003,5,FALSE),""))</f>
        <v>1414</v>
      </c>
      <c r="R612" t="str">
        <f>IF(AND(O612&lt;&gt;"",NOT(ISERROR(O612))),O612,
IF(AND(P612&lt;&gt;"",ISNUMBER(P612),P612&gt;0,NOT(ISNA(P612))),VLOOKUP(P612,'ESO zone constants'!$A$5:$D$10001,4,FALSE),
IF(AND(K612&lt;&gt;"",K612&gt;0,NOT(ISERROR(K612))),VLOOKUP(K612,'ESO dumped WayshrineInfo'!$K$3:$N$9972,4,FALSE),"")))</f>
        <v>Telvanni Peninsula</v>
      </c>
      <c r="S612" s="61" t="s">
        <v>3648</v>
      </c>
      <c r="T612" s="19" t="str">
        <f>IF(AND(S612&lt;&gt;"",NOT(ISERROR(S612))),S612,IF(Q612&lt;&gt;"",IF(NOT(ISERROR(VLOOKUP(Q612,'ESO Dungeon constants'!$D$3:$H$9999,5,FALSE))),VLOOKUP(Q612,'ESO Dungeon constants'!$D$3:$I$9999,6,FALSE),VLOOKUP(Q612,'ESO zone constants'!$H$3:$K$9989,4,FALSE)),""))</f>
        <v>DLC_NECROM</v>
      </c>
      <c r="U612" s="3" t="str">
        <f>IF(T612&lt;&gt;"",VLOOKUP(T612,'LibSets constants'!$B$4:$C$1012,2,FALSE),"")</f>
        <v>Necrom</v>
      </c>
      <c r="V612" s="33" t="s">
        <v>1554</v>
      </c>
      <c r="W612" s="3" t="s">
        <v>3718</v>
      </c>
      <c r="X612" s="3" t="s">
        <v>3718</v>
      </c>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constants'!$A$5:$D$10001,4,FALSE),"")</f>
        <v>Apocrypha</v>
      </c>
      <c r="AB612" s="33" t="s">
        <v>1555</v>
      </c>
      <c r="AC612" s="3" t="s">
        <v>3854</v>
      </c>
      <c r="AD612" s="3" t="s">
        <v>3860</v>
      </c>
      <c r="AE612" s="3">
        <v>1416</v>
      </c>
      <c r="AF612" s="3">
        <f>IF(AND(G612&lt;&gt;"LIBSETS_SETTYPE_BATTLEGROUND",G612&lt;&gt;"LIBSETS_SETTYPE_SPECIAL"),
IF(AND(AE612&lt;&gt;"",ISNUMBER(AE612),NOT(ISNA(AE612))),AE612,
   IF(AND(M612&lt;&gt;"",ISNUMBER(M612),M612&gt;0,NOT(ISNA(M612))),VLOOKUP(M612,'ESO dumped WayshrineInfo'!$K$3:$L$9972,2,FALSE),"")
),"")</f>
        <v>1416</v>
      </c>
      <c r="AG612" t="str">
        <f>IF(AND(AF612&lt;&gt;"",ISNUMBER(AF612),NOT(ISNA(AF612))),VLOOKUP(AF612,'ESO zone constants'!$A$5:$D$10001,4,FALSE),"")</f>
        <v>The Underweave</v>
      </c>
      <c r="AH612" s="33" t="s">
        <v>1556</v>
      </c>
      <c r="AI612" s="3" t="s">
        <v>3699</v>
      </c>
      <c r="AJ612" s="3" t="s">
        <v>3855</v>
      </c>
      <c r="AK612" s="3">
        <f>IF(AND(G613&lt;&gt;"LIBSETS_SETTYPE_BATTLEGROUND",G613&lt;&gt;"LIBSETS_SETTYPE_SPECIAL"),IF(AL612&lt;&gt;"",VLOOKUP(AL612,'ESO zone constants'!$D$5:$H$4955,5,FALSE),""),"")</f>
        <v>849</v>
      </c>
      <c r="AL612" t="s">
        <v>530</v>
      </c>
      <c r="AM612" s="33" t="s">
        <v>3212</v>
      </c>
      <c r="AN612" s="3" t="s">
        <v>3856</v>
      </c>
      <c r="AO612" s="3" t="s">
        <v>3857</v>
      </c>
      <c r="AP612" s="3">
        <f>IF(AND(G613&lt;&gt;"LIBSETS_SETTYPE_BATTLEGROUND",G613&lt;&gt;"LIBSETS_SETTYPE_SPECIAL"),IF(AQ612&lt;&gt;"",VLOOKUP(AQ612,'ESO zone constants'!$D$5:$H$4955,5,FALSE),""),"")</f>
        <v>1390</v>
      </c>
      <c r="AQ612" t="s">
        <v>3584</v>
      </c>
      <c r="AR612" s="33" t="s">
        <v>3209</v>
      </c>
      <c r="AS612" s="3" t="s">
        <v>3858</v>
      </c>
      <c r="AT612" s="3" t="s">
        <v>3859</v>
      </c>
      <c r="AU612" s="3" t="str">
        <f>IF(AND(G612&lt;&gt;"LIBSETS_SETTYPE_BATTLEGROUND",G612&lt;&gt;"LIBSETS_SETTYPE_SPECIAL"),IF(AV612&lt;&gt;"",VLOOKUP(AV612,'ESO zone constants'!$D$5:$H$4955,5,FALSE),""),"")</f>
        <v/>
      </c>
      <c r="BA612" s="96" t="s">
        <v>3894</v>
      </c>
      <c r="BB612" s="96" t="s">
        <v>3894</v>
      </c>
      <c r="BE612" s="21" t="str">
        <f t="shared" si="59"/>
        <v>[694] = {wayshrines={538,543,546,}, dlcId=DLC_NECROM</v>
      </c>
      <c r="BF612" s="21" t="str">
        <f t="shared" si="60"/>
        <v>, zoneIds={1414,1413,1416,849,1390}, veteran=false</v>
      </c>
      <c r="BG612" s="21" t="str">
        <f t="shared" si="61"/>
        <v>, setType=LIBSETS_SETTYPE_MYTHIC</v>
      </c>
      <c r="BH612" s="21" t="str">
        <f t="shared" si="62"/>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2" s="21" t="str">
        <f t="shared" si="63"/>
        <v>, addTooltip={['en']='https://en.uesp.net/wiki/Online:Velothi_Ur-Mage%27s_Amulet',},}, -- Velothi Ur-Mage\'s Amulet /  Velothi Ur-Mage\'s Amulet   [Telvanni Peninsula, Apocrypha, The Underweave, Vvardenfell, Scrivener's Hall]</v>
      </c>
    </row>
    <row r="613" spans="1:61" x14ac:dyDescent="0.25">
      <c r="A613" s="5">
        <v>695</v>
      </c>
      <c r="B613" s="36" t="s">
        <v>3652</v>
      </c>
      <c r="C613" s="36" t="s">
        <v>3652</v>
      </c>
      <c r="D613" s="3">
        <f t="shared" si="64"/>
        <v>695</v>
      </c>
      <c r="G613" s="8" t="s">
        <v>1470</v>
      </c>
      <c r="I613" t="s">
        <v>91</v>
      </c>
      <c r="J613" t="s">
        <v>91</v>
      </c>
      <c r="K613">
        <v>542</v>
      </c>
      <c r="L613">
        <v>542</v>
      </c>
      <c r="M613">
        <v>542</v>
      </c>
      <c r="N613">
        <v>5</v>
      </c>
      <c r="Q613" s="3">
        <f>IF(AND(P613&lt;&gt;"",ISNUMBER(P613),NOT(ISNA(P613))),P613,IF(R613&lt;&gt;"",VLOOKUP(R613,'ESO zone constants'!$D$5:$H$10003,5,FALSE),""))</f>
        <v>1413</v>
      </c>
      <c r="R613" t="str">
        <f>IF(AND(O613&lt;&gt;"",NOT(ISERROR(O613))),O613,
IF(AND(P613&lt;&gt;"",ISNUMBER(P613),P613&gt;0,NOT(ISNA(P613))),VLOOKUP(P613,'ESO zone constants'!$A$5:$D$10001,4,FALSE),
IF(AND(K613&lt;&gt;"",K613&gt;0,NOT(ISERROR(K613))),VLOOKUP(K613,'ESO dumped WayshrineInfo'!$K$3:$N$9972,4,FALSE),"")))</f>
        <v>Apocrypha</v>
      </c>
      <c r="S613" s="61" t="s">
        <v>3648</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constants'!$B$4:$C$1012,2,FALSE),"")</f>
        <v>Necrom</v>
      </c>
      <c r="V613" s="89" t="s">
        <v>3288</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constants'!$A$5:$D$10001,4,FALSE),"")</f>
        <v>Apocrypha</v>
      </c>
      <c r="AF613" s="3">
        <f>IF(AND(G613&lt;&gt;"LIBSETS_SETTYPE_BATTLEGROUND",G613&lt;&gt;"LIBSETS_SETTYPE_SPECIAL"),
IF(AND(AE613&lt;&gt;"",ISNUMBER(AE613),NOT(ISNA(AE613))),AE613,
   IF(AND(M613&lt;&gt;"",ISNUMBER(M613),M613&gt;0,NOT(ISNA(M613))),VLOOKUP(M613,'ESO dumped WayshrineInfo'!$K$3:$L$9972,2,FALSE),"")
),"")</f>
        <v>1413</v>
      </c>
      <c r="AG613" t="str">
        <f>IF(AND(AF613&lt;&gt;"",ISNUMBER(AF613),NOT(ISNA(AF613))),VLOOKUP(AF613,'ESO zone constants'!$A$5:$D$10001,4,FALSE),"")</f>
        <v>Apocrypha</v>
      </c>
      <c r="AH613" s="42"/>
      <c r="AK613" s="3" t="str">
        <f>IF(AND(G613&lt;&gt;"LIBSETS_SETTYPE_BATTLEGROUND",G613&lt;&gt;"LIBSETS_SETTYPE_SPECIAL"),IF(AL613&lt;&gt;"",VLOOKUP(AL613,'ESO zone constants'!$D$5:$H$4955,5,FALSE),""),"")</f>
        <v/>
      </c>
      <c r="AM613" s="42"/>
      <c r="AP613" s="3" t="str">
        <f>IF(AND(G613&lt;&gt;"LIBSETS_SETTYPE_BATTLEGROUND",G613&lt;&gt;"LIBSETS_SETTYPE_SPECIAL"),IF(AQ613&lt;&gt;"",VLOOKUP(AQ613,'ESO zone constants'!$D$5:$H$4955,5,FALSE),""),"")</f>
        <v/>
      </c>
      <c r="AR613" s="42"/>
      <c r="AU613" s="3" t="str">
        <f>IF(AND(G613&lt;&gt;"LIBSETS_SETTYPE_BATTLEGROUND",G613&lt;&gt;"LIBSETS_SETTYPE_SPECIAL"),IF(AV613&lt;&gt;"",VLOOKUP(AV613,'ESO zone constants'!$D$5:$H$4955,5,FALSE),""),"")</f>
        <v/>
      </c>
      <c r="BE613" s="21" t="str">
        <f t="shared" si="59"/>
        <v>[695] = {wayshrines={542,542,542,}, traitsNeeded=5, dlcId=DLC_NECROM</v>
      </c>
      <c r="BF613" s="21" t="str">
        <f t="shared" si="60"/>
        <v>, zoneIds={1413,1413,1413}, veteran=false</v>
      </c>
      <c r="BG613" s="21" t="str">
        <f t="shared" si="61"/>
        <v>, setType=LIBSETS_SETTYPE_CRAFTED</v>
      </c>
      <c r="BH613" s="21" t="str">
        <f t="shared" si="62"/>
        <v>, dropMechanic={LIBSETS_DROP_MECHANIC_CRAFTED}</v>
      </c>
      <c r="BI613" s="21" t="str">
        <f t="shared" si="63"/>
        <v>}, -- Shattered Fate /  Shattered Fate   [Apocrypha, Apocrypha, Apocrypha]</v>
      </c>
    </row>
    <row r="614" spans="1:61" x14ac:dyDescent="0.25">
      <c r="A614" s="5">
        <v>696</v>
      </c>
      <c r="B614" s="36" t="s">
        <v>3653</v>
      </c>
      <c r="C614" s="36" t="s">
        <v>3653</v>
      </c>
      <c r="D614" s="3">
        <f t="shared" si="64"/>
        <v>696</v>
      </c>
      <c r="G614" s="8" t="s">
        <v>1470</v>
      </c>
      <c r="I614" t="s">
        <v>91</v>
      </c>
      <c r="J614" t="s">
        <v>91</v>
      </c>
      <c r="K614">
        <v>535</v>
      </c>
      <c r="L614">
        <v>535</v>
      </c>
      <c r="M614">
        <v>535</v>
      </c>
      <c r="N614">
        <v>3</v>
      </c>
      <c r="Q614" s="3">
        <f>IF(AND(P614&lt;&gt;"",ISNUMBER(P614),NOT(ISNA(P614))),P614,IF(R614&lt;&gt;"",VLOOKUP(R614,'ESO zone constants'!$D$5:$H$10003,5,FALSE),""))</f>
        <v>1414</v>
      </c>
      <c r="R614" t="str">
        <f>IF(AND(O614&lt;&gt;"",NOT(ISERROR(O614))),O614,
IF(AND(P614&lt;&gt;"",ISNUMBER(P614),P614&gt;0,NOT(ISNA(P614))),VLOOKUP(P614,'ESO zone constants'!$A$5:$D$10001,4,FALSE),
IF(AND(K614&lt;&gt;"",K614&gt;0,NOT(ISERROR(K614))),VLOOKUP(K614,'ESO dumped WayshrineInfo'!$K$3:$N$9972,4,FALSE),"")))</f>
        <v>Telvanni Peninsula</v>
      </c>
      <c r="S614" s="61" t="s">
        <v>3648</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constants'!$B$4:$C$1012,2,FALSE),"")</f>
        <v>Necrom</v>
      </c>
      <c r="V614" s="89" t="s">
        <v>3288</v>
      </c>
      <c r="Z614" s="3">
        <f>IF(AND(G614&lt;&gt;"LIBSETS_SETTYPE_BATTLEGROUND",G614&lt;&gt;"LIBSETS_SETTYPE_SPECIAL"),
IF(AND(Y614&lt;&gt;"",ISNUMBER(Y614),NOT(ISNA(Y614))),Y614,
   IF(AND(L614&lt;&gt;"",ISNUMBER(L614),L614&gt;0,NOT(ISNA(L614))),VLOOKUP(L614,'ESO dumped WayshrineInfo'!$K$3:$L$9972,2,FALSE),"")
),"")</f>
        <v>1414</v>
      </c>
      <c r="AA614" t="str">
        <f>IF(AND(Z614&lt;&gt;"",ISNUMBER(Z614),NOT(ISNA(Z614))),VLOOKUP(Z614,'ESO zone constants'!$A$5:$D$10001,4,FALSE),"")</f>
        <v>Telvanni Peninsula</v>
      </c>
      <c r="AF614" s="3">
        <f>IF(AND(G614&lt;&gt;"LIBSETS_SETTYPE_BATTLEGROUND",G614&lt;&gt;"LIBSETS_SETTYPE_SPECIAL"),
IF(AND(AE614&lt;&gt;"",ISNUMBER(AE614),NOT(ISNA(AE614))),AE614,
   IF(AND(M614&lt;&gt;"",ISNUMBER(M614),M614&gt;0,NOT(ISNA(M614))),VLOOKUP(M614,'ESO dumped WayshrineInfo'!$K$3:$L$9972,2,FALSE),"")
),"")</f>
        <v>1414</v>
      </c>
      <c r="AG614" t="str">
        <f>IF(AND(AF614&lt;&gt;"",ISNUMBER(AF614),NOT(ISNA(AF614))),VLOOKUP(AF614,'ESO zone constants'!$A$5:$D$10001,4,FALSE),"")</f>
        <v>Telvanni Peninsula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E614" s="21" t="str">
        <f t="shared" si="59"/>
        <v>[696] = {wayshrines={535,535,535,}, traitsNeeded=3, dlcId=DLC_NECROM</v>
      </c>
      <c r="BF614" s="21" t="str">
        <f t="shared" si="60"/>
        <v>, zoneIds={1414,1414,1414}, veteran=false</v>
      </c>
      <c r="BG614" s="21" t="str">
        <f t="shared" si="61"/>
        <v>, setType=LIBSETS_SETTYPE_CRAFTED</v>
      </c>
      <c r="BH614" s="21" t="str">
        <f t="shared" si="62"/>
        <v>, dropMechanic={LIBSETS_DROP_MECHANIC_CRAFTED}</v>
      </c>
      <c r="BI614" s="21" t="str">
        <f t="shared" si="63"/>
        <v>}, -- Telvanni Efficiency /  Telvanni Efficiency   [Telvanni Peninsula, Telvanni Peninsula, Telvanni Peninsula]</v>
      </c>
    </row>
    <row r="615" spans="1:61" x14ac:dyDescent="0.25">
      <c r="A615" s="5">
        <v>697</v>
      </c>
      <c r="B615" s="36" t="s">
        <v>3654</v>
      </c>
      <c r="C615" s="36" t="s">
        <v>3654</v>
      </c>
      <c r="D615" s="3">
        <f t="shared" si="64"/>
        <v>697</v>
      </c>
      <c r="G615" s="8" t="s">
        <v>1470</v>
      </c>
      <c r="I615" t="s">
        <v>91</v>
      </c>
      <c r="J615" t="s">
        <v>91</v>
      </c>
      <c r="K615">
        <v>546</v>
      </c>
      <c r="L615">
        <v>546</v>
      </c>
      <c r="M615">
        <v>546</v>
      </c>
      <c r="N615">
        <v>7</v>
      </c>
      <c r="Q615" s="3">
        <f>IF(AND(P615&lt;&gt;"",ISNUMBER(P615),NOT(ISNA(P615))),P615,IF(R615&lt;&gt;"",VLOOKUP(R615,'ESO zone constants'!$D$5:$H$10003,5,FALSE),""))</f>
        <v>1413</v>
      </c>
      <c r="R615" t="str">
        <f>IF(AND(O615&lt;&gt;"",NOT(ISERROR(O615))),O615,
IF(AND(P615&lt;&gt;"",ISNUMBER(P615),P615&gt;0,NOT(ISNA(P615))),VLOOKUP(P615,'ESO zone constants'!$A$5:$D$10001,4,FALSE),
IF(AND(K615&lt;&gt;"",K615&gt;0,NOT(ISERROR(K615))),VLOOKUP(K615,'ESO dumped WayshrineInfo'!$K$3:$N$9972,4,FALSE),"")))</f>
        <v>Apocrypha</v>
      </c>
      <c r="S615" s="61" t="s">
        <v>3648</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constants'!$B$4:$C$1012,2,FALSE),"")</f>
        <v>Necrom</v>
      </c>
      <c r="V615" s="89" t="s">
        <v>3288</v>
      </c>
      <c r="Z615" s="3">
        <f>IF(AND(G615&lt;&gt;"LIBSETS_SETTYPE_BATTLEGROUND",G615&lt;&gt;"LIBSETS_SETTYPE_SPECIAL"),
IF(AND(Y615&lt;&gt;"",ISNUMBER(Y615),NOT(ISNA(Y615))),Y615,
   IF(AND(L615&lt;&gt;"",ISNUMBER(L615),L615&gt;0,NOT(ISNA(L615))),VLOOKUP(L615,'ESO dumped WayshrineInfo'!$K$3:$L$9972,2,FALSE),"")
),"")</f>
        <v>1413</v>
      </c>
      <c r="AA615" t="str">
        <f>IF(AND(Z615&lt;&gt;"",ISNUMBER(Z615),NOT(ISNA(Z615))),VLOOKUP(Z615,'ESO zone constants'!$A$5:$D$10001,4,FALSE),"")</f>
        <v>Apocrypha</v>
      </c>
      <c r="AF615" s="3">
        <f>IF(AND(G615&lt;&gt;"LIBSETS_SETTYPE_BATTLEGROUND",G615&lt;&gt;"LIBSETS_SETTYPE_SPECIAL"),
IF(AND(AE615&lt;&gt;"",ISNUMBER(AE615),NOT(ISNA(AE615))),AE615,
   IF(AND(M615&lt;&gt;"",ISNUMBER(M615),M615&gt;0,NOT(ISNA(M615))),VLOOKUP(M615,'ESO dumped WayshrineInfo'!$K$3:$L$9972,2,FALSE),"")
),"")</f>
        <v>1413</v>
      </c>
      <c r="AG615" t="str">
        <f>IF(AND(AF615&lt;&gt;"",ISNUMBER(AF615),NOT(ISNA(AF615))),VLOOKUP(AF615,'ESO zone constants'!$A$5:$D$10001,4,FALSE),"")</f>
        <v>Apocrypha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E615" s="21" t="str">
        <f t="shared" si="59"/>
        <v>[697] = {wayshrines={546,546,546,}, traitsNeeded=7, dlcId=DLC_NECROM</v>
      </c>
      <c r="BF615" s="21" t="str">
        <f t="shared" si="60"/>
        <v>, zoneIds={1413,1413,1413}, veteran=false</v>
      </c>
      <c r="BG615" s="21" t="str">
        <f t="shared" si="61"/>
        <v>, setType=LIBSETS_SETTYPE_CRAFTED</v>
      </c>
      <c r="BH615" s="21" t="str">
        <f t="shared" si="62"/>
        <v>, dropMechanic={LIBSETS_DROP_MECHANIC_CRAFTED}</v>
      </c>
      <c r="BI615" s="21" t="str">
        <f t="shared" si="63"/>
        <v>}, -- Seeker Synthesis /  Seeker Synthesis   [Apocrypha, Apocrypha, Apocrypha]</v>
      </c>
    </row>
    <row r="616" spans="1:61" x14ac:dyDescent="0.25">
      <c r="A616" s="5">
        <v>698</v>
      </c>
      <c r="B616" s="36" t="s">
        <v>3665</v>
      </c>
      <c r="C616" s="36" t="s">
        <v>3665</v>
      </c>
      <c r="D616" s="3">
        <f t="shared" si="64"/>
        <v>698</v>
      </c>
      <c r="G616" s="8" t="s">
        <v>1476</v>
      </c>
      <c r="I616" t="s">
        <v>91</v>
      </c>
      <c r="J616" t="s">
        <v>91</v>
      </c>
      <c r="K616">
        <v>541</v>
      </c>
      <c r="L616">
        <v>540</v>
      </c>
      <c r="M616">
        <v>535</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WayshrineInfo'!$K$3:$N$9972,4,FALSE),"")))</f>
        <v>Apocrypha</v>
      </c>
      <c r="S616" s="61" t="s">
        <v>3648</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constants'!$B$4:$C$1012,2,FALSE),"")</f>
        <v>Necrom</v>
      </c>
      <c r="V616" s="89" t="s">
        <v>3288</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constants'!$A$5:$D$10001,4,FALSE),"")</f>
        <v>Apocrypha</v>
      </c>
      <c r="AB616" s="33" t="s">
        <v>1554</v>
      </c>
      <c r="AF616" s="3">
        <f>IF(AND(G616&lt;&gt;"LIBSETS_SETTYPE_BATTLEGROUND",G616&lt;&gt;"LIBSETS_SETTYPE_SPECIAL"),
IF(AND(AE616&lt;&gt;"",ISNUMBER(AE616),NOT(ISNA(AE616))),AE616,
   IF(AND(M616&lt;&gt;"",ISNUMBER(M616),M616&gt;0,NOT(ISNA(M616))),VLOOKUP(M616,'ESO dumped WayshrineInfo'!$K$3:$L$9972,2,FALSE),"")
),"")</f>
        <v>1414</v>
      </c>
      <c r="AG616" t="str">
        <f>IF(AND(AF616&lt;&gt;"",ISNUMBER(AF616),NOT(ISNA(AF616))),VLOOKUP(AF616,'ESO zone constants'!$A$5:$D$10001,4,FALSE),"")</f>
        <v>Telvanni Peninsula</v>
      </c>
      <c r="AH616" s="42" t="s">
        <v>1557</v>
      </c>
      <c r="AK616" s="3">
        <f>IF(AND(G616&lt;&gt;"LIBSETS_SETTYPE_BATTLEGROUND",G616&lt;&gt;"LIBSETS_SETTYPE_SPECIAL"),IF(AL616&lt;&gt;"",VLOOKUP(AL616,'ESO zone constants'!$D$5:$H$4955,5,FALSE),""),"")</f>
        <v>1416</v>
      </c>
      <c r="AL616" t="s">
        <v>3699</v>
      </c>
      <c r="AM616" s="42" t="s">
        <v>1556</v>
      </c>
      <c r="AP616" s="3">
        <f>IF(AND(G616&lt;&gt;"LIBSETS_SETTYPE_BATTLEGROUND",G616&lt;&gt;"LIBSETS_SETTYPE_SPECIAL"),IF(AQ616&lt;&gt;"",VLOOKUP(AQ616,'ESO zone constants'!$D$5:$H$4955,5,FALSE),""),"")</f>
        <v>1413</v>
      </c>
      <c r="AQ616" t="s">
        <v>3628</v>
      </c>
      <c r="AR616" s="42" t="s">
        <v>3223</v>
      </c>
      <c r="AU616" s="3">
        <f>IF(AND(G616&lt;&gt;"LIBSETS_SETTYPE_BATTLEGROUND",G616&lt;&gt;"LIBSETS_SETTYPE_SPECIAL"),IF(AV616&lt;&gt;"",VLOOKUP(AV616,'ESO zone constants'!$D$5:$H$4955,5,FALSE),""),"")</f>
        <v>1413</v>
      </c>
      <c r="AV616" t="s">
        <v>3628</v>
      </c>
      <c r="AW616" s="33" t="s">
        <v>1555</v>
      </c>
      <c r="BE616" s="21" t="str">
        <f t="shared" si="59"/>
        <v>[698] = {wayshrines={541,540,535,}, dlcId=DLC_NECROM</v>
      </c>
      <c r="BF616" s="21" t="str">
        <f t="shared" si="60"/>
        <v>, zoneIds={1413,1413,1414,1416,1413,1413}, veteran=false</v>
      </c>
      <c r="BG616" s="21" t="str">
        <f t="shared" si="61"/>
        <v>, setType=LIBSETS_SETTYPE_OVERLAND</v>
      </c>
      <c r="BH616" s="21" t="str">
        <f t="shared" si="62"/>
        <v>, dropMechanic={LIBSETS_DROP_MECHANIC_CRAFTED,LIBSETS_DROP_MECHANIC_OVERLAND_BOSS_DELVE,LIBSETS_DROP_MECHANIC_OVERLAND_CHEST,LIBSETS_DROP_MECHANIC_OVERLAND_BOSS_PUBLIC_DUNGEON,LIBSETS_DROP_MECHANIC_OVERLAND_LOOT,LIBSETS_DROP_MECHANIC_OVERLAND_WORLDBOSS}</v>
      </c>
      <c r="BI616" s="21" t="str">
        <f t="shared" si="63"/>
        <v>}, -- Vivec\'s Duality /  Vivec\'s Duality   [Apocrypha, Apocrypha, Telvanni Peninsula, The Underweave, Apocrypha, Apocrypha]</v>
      </c>
    </row>
    <row r="617" spans="1:61" x14ac:dyDescent="0.25">
      <c r="A617" s="5">
        <v>699</v>
      </c>
      <c r="B617" s="36" t="s">
        <v>3655</v>
      </c>
      <c r="C617" s="36" t="s">
        <v>3655</v>
      </c>
      <c r="D617" s="3">
        <f t="shared" si="64"/>
        <v>699</v>
      </c>
      <c r="G617" s="8" t="s">
        <v>1476</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WayshrineInfo'!$K$3:$N$9972,4,FALSE),"")))</f>
        <v>Apocrypha</v>
      </c>
      <c r="S617" s="61" t="s">
        <v>3648</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constants'!$B$4:$C$1012,2,FALSE),"")</f>
        <v>Necrom</v>
      </c>
      <c r="V617" s="33" t="s">
        <v>1555</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constants'!$A$5:$D$10001,4,FALSE),"")</f>
        <v>Apocrypha</v>
      </c>
      <c r="AB617" s="33" t="s">
        <v>1554</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constants'!$A$5:$D$10001,4,FALSE),"")</f>
        <v>Telvanni Peninsula</v>
      </c>
      <c r="AH617" s="42" t="s">
        <v>1557</v>
      </c>
      <c r="AK617" s="3">
        <f>IF(AND(G617&lt;&gt;"LIBSETS_SETTYPE_BATTLEGROUND",G617&lt;&gt;"LIBSETS_SETTYPE_SPECIAL"),IF(AL617&lt;&gt;"",VLOOKUP(AL617,'ESO zone constants'!$D$5:$H$4955,5,FALSE),""),"")</f>
        <v>1416</v>
      </c>
      <c r="AL617" t="s">
        <v>3699</v>
      </c>
      <c r="AM617" s="42" t="s">
        <v>1556</v>
      </c>
      <c r="AP617" s="3">
        <f>IF(AND(G617&lt;&gt;"LIBSETS_SETTYPE_BATTLEGROUND",G617&lt;&gt;"LIBSETS_SETTYPE_SPECIAL"),IF(AQ617&lt;&gt;"",VLOOKUP(AQ617,'ESO zone constants'!$D$5:$H$4955,5,FALSE),""),"")</f>
        <v>1413</v>
      </c>
      <c r="AQ617" t="s">
        <v>3628</v>
      </c>
      <c r="AR617" s="42" t="s">
        <v>3223</v>
      </c>
      <c r="AU617" s="3">
        <f>IF(AND(G617&lt;&gt;"LIBSETS_SETTYPE_BATTLEGROUND",G617&lt;&gt;"LIBSETS_SETTYPE_SPECIAL"),IF(AV617&lt;&gt;"",VLOOKUP(AV617,'ESO zone constants'!$D$5:$H$4955,5,FALSE),""),"")</f>
        <v>1413</v>
      </c>
      <c r="AV617" t="s">
        <v>3628</v>
      </c>
      <c r="AW617" s="33" t="s">
        <v>1555</v>
      </c>
      <c r="BE617" s="21" t="str">
        <f t="shared" si="59"/>
        <v>[699] = {wayshrines={541,540,535,}, dlcId=DLC_NECROM</v>
      </c>
      <c r="BF617" s="21" t="str">
        <f t="shared" si="60"/>
        <v>, zoneIds={1413,1413,1414,1416,1413,1413}, veteran=false</v>
      </c>
      <c r="BG617" s="21" t="str">
        <f t="shared" si="61"/>
        <v>, setType=LIBSETS_SETTYPE_OVERLAND</v>
      </c>
      <c r="BH617" s="21" t="str">
        <f t="shared" si="62"/>
        <v>, dropMechanic={LIBSETS_DROP_MECHANIC_OVERLAND_WORLDBOSS,LIBSETS_DROP_MECHANIC_OVERLAND_BOSS_DELVE,LIBSETS_DROP_MECHANIC_OVERLAND_CHEST,LIBSETS_DROP_MECHANIC_OVERLAND_BOSS_PUBLIC_DUNGEON,LIBSETS_DROP_MECHANIC_OVERLAND_LOOT,LIBSETS_DROP_MECHANIC_OVERLAND_WORLDBOSS}</v>
      </c>
      <c r="BI617" s="21" t="str">
        <f t="shared" si="63"/>
        <v>}, -- Camonna Tong /  Camonna Tong   [Apocrypha, Apocrypha, Telvanni Peninsula, The Underweave, Apocrypha, Apocrypha]</v>
      </c>
    </row>
    <row r="618" spans="1:61" x14ac:dyDescent="0.25">
      <c r="A618" s="5">
        <v>700</v>
      </c>
      <c r="B618" s="36" t="s">
        <v>3656</v>
      </c>
      <c r="C618" s="36" t="s">
        <v>3656</v>
      </c>
      <c r="D618" s="3">
        <f t="shared" si="64"/>
        <v>700</v>
      </c>
      <c r="G618" s="8" t="s">
        <v>1476</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WayshrineInfo'!$K$3:$N$9972,4,FALSE),"")))</f>
        <v>Apocrypha</v>
      </c>
      <c r="S618" s="61" t="s">
        <v>3648</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constants'!$B$4:$C$1012,2,FALSE),"")</f>
        <v>Necrom</v>
      </c>
      <c r="V618" s="33" t="s">
        <v>1555</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constants'!$A$5:$D$10001,4,FALSE),"")</f>
        <v>Apocrypha</v>
      </c>
      <c r="AB618" s="33" t="s">
        <v>1554</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constants'!$A$5:$D$10001,4,FALSE),"")</f>
        <v>Telvanni Peninsula</v>
      </c>
      <c r="AH618" s="42" t="s">
        <v>1557</v>
      </c>
      <c r="AK618" s="3">
        <f>IF(AND(G618&lt;&gt;"LIBSETS_SETTYPE_BATTLEGROUND",G618&lt;&gt;"LIBSETS_SETTYPE_SPECIAL"),IF(AL618&lt;&gt;"",VLOOKUP(AL618,'ESO zone constants'!$D$5:$H$4955,5,FALSE),""),"")</f>
        <v>1416</v>
      </c>
      <c r="AL618" t="s">
        <v>3699</v>
      </c>
      <c r="AM618" s="42" t="s">
        <v>1556</v>
      </c>
      <c r="AP618" s="3">
        <f>IF(AND(G618&lt;&gt;"LIBSETS_SETTYPE_BATTLEGROUND",G618&lt;&gt;"LIBSETS_SETTYPE_SPECIAL"),IF(AQ618&lt;&gt;"",VLOOKUP(AQ618,'ESO zone constants'!$D$5:$H$4955,5,FALSE),""),"")</f>
        <v>1413</v>
      </c>
      <c r="AQ618" t="s">
        <v>3628</v>
      </c>
      <c r="AR618" s="42" t="s">
        <v>3223</v>
      </c>
      <c r="AU618" s="3">
        <f>IF(AND(G618&lt;&gt;"LIBSETS_SETTYPE_BATTLEGROUND",G618&lt;&gt;"LIBSETS_SETTYPE_SPECIAL"),IF(AV618&lt;&gt;"",VLOOKUP(AV618,'ESO zone constants'!$D$5:$H$4955,5,FALSE),""),"")</f>
        <v>1413</v>
      </c>
      <c r="AV618" t="s">
        <v>3628</v>
      </c>
      <c r="AW618" s="33" t="s">
        <v>1555</v>
      </c>
      <c r="BE618" s="21" t="str">
        <f t="shared" si="59"/>
        <v>[700] = {wayshrines={541,540,535,}, dlcId=DLC_NECROM</v>
      </c>
      <c r="BF618" s="21" t="str">
        <f t="shared" si="60"/>
        <v>, zoneIds={1413,1413,1414,1416,1413,1413}, veteran=false</v>
      </c>
      <c r="BG618" s="21" t="str">
        <f t="shared" si="61"/>
        <v>, setType=LIBSETS_SETTYPE_OVERLAND</v>
      </c>
      <c r="BH618" s="21" t="str">
        <f t="shared" si="62"/>
        <v>, dropMechanic={LIBSETS_DROP_MECHANIC_OVERLAND_WORLDBOSS,LIBSETS_DROP_MECHANIC_OVERLAND_BOSS_DELVE,LIBSETS_DROP_MECHANIC_OVERLAND_CHEST,LIBSETS_DROP_MECHANIC_OVERLAND_BOSS_PUBLIC_DUNGEON,LIBSETS_DROP_MECHANIC_OVERLAND_LOOT,LIBSETS_DROP_MECHANIC_OVERLAND_WORLDBOSS}</v>
      </c>
      <c r="BI618" s="21" t="str">
        <f t="shared" si="63"/>
        <v>}, -- Adamant Lurker /  Adamant Lurker   [Apocrypha, Apocrypha, Telvanni Peninsula, The Underweave, Apocrypha, Apocrypha]</v>
      </c>
    </row>
    <row r="619" spans="1:61" x14ac:dyDescent="0.25">
      <c r="A619" s="5">
        <v>701</v>
      </c>
      <c r="B619" s="36" t="s">
        <v>3657</v>
      </c>
      <c r="C619" s="36" t="s">
        <v>3657</v>
      </c>
      <c r="D619" s="3">
        <f t="shared" si="64"/>
        <v>701</v>
      </c>
      <c r="G619" s="8" t="s">
        <v>1477</v>
      </c>
      <c r="I619" t="s">
        <v>91</v>
      </c>
      <c r="J619" t="s">
        <v>91</v>
      </c>
      <c r="K619">
        <v>534</v>
      </c>
      <c r="L619">
        <v>534</v>
      </c>
      <c r="M619">
        <v>534</v>
      </c>
      <c r="O619" s="61" t="s">
        <v>3691</v>
      </c>
      <c r="Q619" s="3">
        <f>IF(AND(P619&lt;&gt;"",ISNUMBER(P619),NOT(ISNA(P619))),P619,IF(R619&lt;&gt;"",VLOOKUP(R619,'ESO zone constants'!$D$5:$H$10003,5,FALSE),""))</f>
        <v>1427</v>
      </c>
      <c r="R619" t="str">
        <f>IF(AND(O619&lt;&gt;"",NOT(ISERROR(O619))),O619,
IF(AND(P619&lt;&gt;"",ISNUMBER(P619),P619&gt;0,NOT(ISNA(P619))),VLOOKUP(P619,'ESO zone constants'!$A$5:$D$10001,4,FALSE),
IF(AND(K619&lt;&gt;"",K619&gt;0,NOT(ISERROR(K619))),VLOOKUP(K619,'ESO dumped WayshrineInfo'!$K$3:$N$9972,4,FALSE),"")))</f>
        <v>Sanity's Edge</v>
      </c>
      <c r="T619" s="19" t="str">
        <f>IF(AND(S619&lt;&gt;"",NOT(ISERROR(S619))),S619,IF(Q619&lt;&gt;"",IF(NOT(ISERROR(VLOOKUP(Q619,'ESO Dungeon constants'!$D$3:$H$9999,5,FALSE))),VLOOKUP(Q619,'ESO Dungeon constants'!$D$3:$I$9999,6,FALSE),VLOOKUP(Q619,'ESO zone constants'!$H$3:$K$9989,4,FALSE)),""))</f>
        <v>DLC_SCRIBES_OF_FATE</v>
      </c>
      <c r="U619" s="3" t="str">
        <f>IF(T619&lt;&gt;"",VLOOKUP(T619,'LibSets constants'!$B$4:$C$1012,2,FALSE),"")</f>
        <v>Scribes of Fate</v>
      </c>
      <c r="V619" s="33" t="s">
        <v>3266</v>
      </c>
      <c r="Y619" s="60">
        <v>1427</v>
      </c>
      <c r="Z619" s="3">
        <f>IF(AND(G619&lt;&gt;"LIBSETS_SETTYPE_BATTLEGROUND",G619&lt;&gt;"LIBSETS_SETTYPE_SPECIAL"),
IF(AND(Y619&lt;&gt;"",ISNUMBER(Y619),NOT(ISNA(Y619))),Y619,
   IF(AND(L619&lt;&gt;"",ISNUMBER(L619),L619&gt;0,NOT(ISNA(L619))),VLOOKUP(L619,'ESO dumped WayshrineInfo'!$K$3:$L$9972,2,FALSE),"")
),"")</f>
        <v>1427</v>
      </c>
      <c r="AA619" t="str">
        <f>IF(AND(Z619&lt;&gt;"",ISNUMBER(Z619),NOT(ISNA(Z619))),VLOOKUP(Z619,'ESO zone constants'!$A$5:$D$10001,4,FALSE),"")</f>
        <v>Sanity's Edge</v>
      </c>
      <c r="AB619" s="33" t="s">
        <v>3266</v>
      </c>
      <c r="AC619" s="41"/>
      <c r="AD619" s="41"/>
      <c r="AE619" s="60">
        <v>1427</v>
      </c>
      <c r="AF619" s="3">
        <f>IF(AND(G619&lt;&gt;"LIBSETS_SETTYPE_BATTLEGROUND",G619&lt;&gt;"LIBSETS_SETTYPE_SPECIAL"),
IF(AND(AE619&lt;&gt;"",ISNUMBER(AE619),NOT(ISNA(AE619))),AE619,
   IF(AND(M619&lt;&gt;"",ISNUMBER(M619),M619&gt;0,NOT(ISNA(M619))),VLOOKUP(M619,'ESO dumped WayshrineInfo'!$K$3:$L$9972,2,FALSE),"")
),"")</f>
        <v>1427</v>
      </c>
      <c r="AG619" t="str">
        <f>IF(AND(AF619&lt;&gt;"",ISNUMBER(AF619),NOT(ISNA(AF619))),VLOOKUP(AF619,'ESO zone constants'!$A$5:$D$10001,4,FALSE),"")</f>
        <v>Sanity's Edge</v>
      </c>
      <c r="AH619" s="33" t="s">
        <v>3266</v>
      </c>
      <c r="AK619" s="3" t="str">
        <f>IF(AND(G619&lt;&gt;"LIBSETS_SETTYPE_BATTLEGROUND",G619&lt;&gt;"LIBSETS_SETTYPE_SPECIAL"),IF(AL619&lt;&gt;"",VLOOKUP(AL619,'ESO zone constants'!$D$5:$H$4955,5,FALSE),""),"")</f>
        <v/>
      </c>
      <c r="AM619" s="42"/>
      <c r="AP619" s="3" t="str">
        <f>IF(AND(G619&lt;&gt;"LIBSETS_SETTYPE_BATTLEGROUND",G619&lt;&gt;"LIBSETS_SETTYPE_SPECIAL"),IF(AQ619&lt;&gt;"",VLOOKUP(AQ619,'ESO zone constants'!$D$5:$H$4955,5,FALSE),""),"")</f>
        <v/>
      </c>
      <c r="AR619" s="42"/>
      <c r="AU619" s="3" t="str">
        <f>IF(AND(G619&lt;&gt;"LIBSETS_SETTYPE_BATTLEGROUND",G619&lt;&gt;"LIBSETS_SETTYPE_SPECIAL"),IF(AV619&lt;&gt;"",VLOOKUP(AV619,'ESO zone constants'!$D$5:$H$4955,5,FALSE),""),"")</f>
        <v/>
      </c>
      <c r="BD619" s="96">
        <v>708</v>
      </c>
      <c r="BE619" s="21" t="str">
        <f t="shared" si="59"/>
        <v>[701] = {wayshrines={534,534,534,}, dlcId=DLC_SCRIBES_OF_FATE</v>
      </c>
      <c r="BF619" s="21" t="str">
        <f t="shared" si="60"/>
        <v>, zoneIds={1427,1427,1427}, veteran=false</v>
      </c>
      <c r="BG619" s="21" t="str">
        <f t="shared" si="61"/>
        <v>, setType=LIBSETS_SETTYPE_TRIAL</v>
      </c>
      <c r="BH619" s="21" t="str">
        <f t="shared" si="62"/>
        <v>, dropMechanic={LIBSETS_DROP_MECHANIC_TRIAL_BOSS,LIBSETS_DROP_MECHANIC_TRIAL_BOSS,LIBSETS_DROP_MECHANIC_TRIAL_BOSS}, perfectedSetId=708</v>
      </c>
      <c r="BI619" s="21" t="str">
        <f t="shared" si="63"/>
        <v>}, -- Peace and Serenity /  Peace and Serenity   [Sanity's Edge, Sanity's Edge, Sanity's Edge]</v>
      </c>
    </row>
    <row r="620" spans="1:61" x14ac:dyDescent="0.25">
      <c r="A620" s="5">
        <v>702</v>
      </c>
      <c r="B620" s="36" t="s">
        <v>3664</v>
      </c>
      <c r="C620" s="36" t="s">
        <v>3664</v>
      </c>
      <c r="D620" s="3">
        <f t="shared" si="64"/>
        <v>702</v>
      </c>
      <c r="G620" s="8" t="s">
        <v>1477</v>
      </c>
      <c r="I620" t="s">
        <v>91</v>
      </c>
      <c r="J620" t="s">
        <v>91</v>
      </c>
      <c r="K620">
        <v>534</v>
      </c>
      <c r="L620">
        <v>534</v>
      </c>
      <c r="M620">
        <v>534</v>
      </c>
      <c r="O620" s="61" t="s">
        <v>3691</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constants'!$B$4:$C$1012,2,FALSE),"")</f>
        <v>Scribes of Fate</v>
      </c>
      <c r="V620" s="33" t="s">
        <v>3266</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constants'!$A$5:$D$10001,4,FALSE),"")</f>
        <v>Sanity's Edge</v>
      </c>
      <c r="AB620" s="33" t="s">
        <v>3266</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constants'!$A$5:$D$10001,4,FALSE),"")</f>
        <v>Sanity's Edge</v>
      </c>
      <c r="AH620" s="33" t="s">
        <v>3266</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96">
        <v>707</v>
      </c>
      <c r="BE620" s="21" t="str">
        <f t="shared" si="59"/>
        <v>[702] = {wayshrines={534,534,534,}, dlcId=DLC_SCRIBES_OF_FATE</v>
      </c>
      <c r="BF620" s="21" t="str">
        <f t="shared" si="60"/>
        <v>, zoneIds={1427,1427,1427}, veteran=false</v>
      </c>
      <c r="BG620" s="21" t="str">
        <f t="shared" si="61"/>
        <v>, setType=LIBSETS_SETTYPE_TRIAL</v>
      </c>
      <c r="BH620" s="21" t="str">
        <f t="shared" si="62"/>
        <v>, dropMechanic={LIBSETS_DROP_MECHANIC_TRIAL_BOSS,LIBSETS_DROP_MECHANIC_TRIAL_BOSS,LIBSETS_DROP_MECHANIC_TRIAL_BOSS}, perfectedSetId=707</v>
      </c>
      <c r="BI620" s="21" t="str">
        <f t="shared" si="63"/>
        <v>}, -- Ansuul\'s Torment /  Ansuul\'s Torment   [Sanity's Edge, Sanity's Edge, Sanity's Edge]</v>
      </c>
    </row>
    <row r="621" spans="1:61" x14ac:dyDescent="0.25">
      <c r="A621" s="5">
        <v>703</v>
      </c>
      <c r="B621" s="36" t="s">
        <v>3658</v>
      </c>
      <c r="C621" s="36" t="s">
        <v>3658</v>
      </c>
      <c r="D621" s="3">
        <f t="shared" si="64"/>
        <v>703</v>
      </c>
      <c r="G621" s="8" t="s">
        <v>1477</v>
      </c>
      <c r="I621" t="s">
        <v>91</v>
      </c>
      <c r="J621" t="s">
        <v>91</v>
      </c>
      <c r="K621">
        <v>534</v>
      </c>
      <c r="L621">
        <v>534</v>
      </c>
      <c r="M621">
        <v>534</v>
      </c>
      <c r="O621" s="61" t="s">
        <v>3691</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constants'!$B$4:$C$1012,2,FALSE),"")</f>
        <v>Scribes of Fate</v>
      </c>
      <c r="V621" s="33" t="s">
        <v>3266</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constants'!$A$5:$D$10001,4,FALSE),"")</f>
        <v>Sanity's Edge</v>
      </c>
      <c r="AB621" s="33" t="s">
        <v>3266</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constants'!$A$5:$D$10001,4,FALSE),"")</f>
        <v>Sanity's Edge</v>
      </c>
      <c r="AH621" s="33" t="s">
        <v>3266</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96">
        <v>706</v>
      </c>
      <c r="BE621" s="21" t="str">
        <f t="shared" si="59"/>
        <v>[703] = {wayshrines={534,534,534,}, dlcId=DLC_SCRIBES_OF_FATE</v>
      </c>
      <c r="BF621" s="21" t="str">
        <f t="shared" si="60"/>
        <v>, zoneIds={1427,1427,1427}, veteran=false</v>
      </c>
      <c r="BG621" s="21" t="str">
        <f t="shared" si="61"/>
        <v>, setType=LIBSETS_SETTYPE_TRIAL</v>
      </c>
      <c r="BH621" s="21" t="str">
        <f t="shared" si="62"/>
        <v>, dropMechanic={LIBSETS_DROP_MECHANIC_TRIAL_BOSS,LIBSETS_DROP_MECHANIC_TRIAL_BOSS,LIBSETS_DROP_MECHANIC_TRIAL_BOSS}, perfectedSetId=706</v>
      </c>
      <c r="BI621" s="21" t="str">
        <f t="shared" si="63"/>
        <v>}, -- Test of Resolve /  Test of Resolve   [Sanity's Edge, Sanity's Edge, Sanity's Edge]</v>
      </c>
    </row>
    <row r="622" spans="1:61" x14ac:dyDescent="0.25">
      <c r="A622" s="5">
        <v>704</v>
      </c>
      <c r="B622" s="36" t="s">
        <v>3659</v>
      </c>
      <c r="C622" s="36" t="s">
        <v>3659</v>
      </c>
      <c r="D622" s="3">
        <f t="shared" si="64"/>
        <v>704</v>
      </c>
      <c r="G622" s="8" t="s">
        <v>1477</v>
      </c>
      <c r="I622" t="s">
        <v>91</v>
      </c>
      <c r="J622" t="s">
        <v>91</v>
      </c>
      <c r="K622">
        <v>534</v>
      </c>
      <c r="L622">
        <v>534</v>
      </c>
      <c r="M622">
        <v>534</v>
      </c>
      <c r="O622" s="61" t="s">
        <v>3691</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constants'!$B$4:$C$1012,2,FALSE),"")</f>
        <v>Scribes of Fate</v>
      </c>
      <c r="V622" s="33" t="s">
        <v>3266</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constants'!$A$5:$D$10001,4,FALSE),"")</f>
        <v>Sanity's Edge</v>
      </c>
      <c r="AB622" s="33" t="s">
        <v>3266</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constants'!$A$5:$D$10001,4,FALSE),"")</f>
        <v>Sanity's Edge</v>
      </c>
      <c r="AH622" s="33" t="s">
        <v>3266</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96">
        <v>705</v>
      </c>
      <c r="BE622" s="21" t="str">
        <f t="shared" si="59"/>
        <v>[704] = {wayshrines={534,534,534,}, dlcId=DLC_SCRIBES_OF_FATE</v>
      </c>
      <c r="BF622" s="21" t="str">
        <f t="shared" si="60"/>
        <v>, zoneIds={1427,1427,1427}, veteran=false</v>
      </c>
      <c r="BG622" s="21" t="str">
        <f t="shared" si="61"/>
        <v>, setType=LIBSETS_SETTYPE_TRIAL</v>
      </c>
      <c r="BH622" s="21" t="str">
        <f t="shared" si="62"/>
        <v>, dropMechanic={LIBSETS_DROP_MECHANIC_TRIAL_BOSS,LIBSETS_DROP_MECHANIC_TRIAL_BOSS,LIBSETS_DROP_MECHANIC_TRIAL_BOSS}, perfectedSetId=705</v>
      </c>
      <c r="BI622" s="21" t="str">
        <f t="shared" si="63"/>
        <v>}, -- Transformative Hope /  Transformative Hope   [Sanity's Edge, Sanity's Edge, Sanity's Edge]</v>
      </c>
    </row>
    <row r="623" spans="1:61" x14ac:dyDescent="0.25">
      <c r="A623" s="5">
        <v>705</v>
      </c>
      <c r="B623" s="36" t="s">
        <v>3660</v>
      </c>
      <c r="C623" s="36" t="s">
        <v>3660</v>
      </c>
      <c r="D623" s="3">
        <f t="shared" si="64"/>
        <v>705</v>
      </c>
      <c r="G623" s="8" t="s">
        <v>1477</v>
      </c>
      <c r="I623" t="s">
        <v>92</v>
      </c>
      <c r="J623" t="s">
        <v>91</v>
      </c>
      <c r="K623">
        <v>534</v>
      </c>
      <c r="L623">
        <v>534</v>
      </c>
      <c r="M623">
        <v>534</v>
      </c>
      <c r="O623" s="61" t="s">
        <v>3691</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constants'!$B$4:$C$1012,2,FALSE),"")</f>
        <v>Scribes of Fate</v>
      </c>
      <c r="V623" s="33" t="s">
        <v>3266</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constants'!$A$5:$D$10001,4,FALSE),"")</f>
        <v>Sanity's Edge</v>
      </c>
      <c r="AB623" s="33" t="s">
        <v>3266</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constants'!$A$5:$D$10001,4,FALSE),"")</f>
        <v>Sanity's Edge</v>
      </c>
      <c r="AH623" s="33" t="s">
        <v>3266</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96" t="s">
        <v>3832</v>
      </c>
      <c r="BE623" s="21" t="str">
        <f t="shared" si="59"/>
        <v>[705] = {wayshrines={534,534,534,}, dlcId=DLC_SCRIBES_OF_FATE</v>
      </c>
      <c r="BF623" s="21" t="str">
        <f t="shared" si="60"/>
        <v>, zoneIds={1427,1427,1427}, veteran=true</v>
      </c>
      <c r="BG623" s="21" t="str">
        <f t="shared" si="61"/>
        <v>, setType=LIBSETS_SETTYPE_TRIAL</v>
      </c>
      <c r="BH623" s="21" t="str">
        <f t="shared" si="62"/>
        <v>, dropMechanic={LIBSETS_DROP_MECHANIC_TRIAL_BOSS,LIBSETS_DROP_MECHANIC_TRIAL_BOSS,LIBSETS_DROP_MECHANIC_TRIAL_BOSS}, isPerfectedSet=1</v>
      </c>
      <c r="BI623" s="21" t="str">
        <f t="shared" si="63"/>
        <v>}, -- Perfected Transformative Hope /  Perfected Transformative Hope   [Sanity's Edge, Sanity's Edge, Sanity's Edge]</v>
      </c>
    </row>
    <row r="624" spans="1:61" x14ac:dyDescent="0.25">
      <c r="A624" s="5">
        <v>706</v>
      </c>
      <c r="B624" s="36" t="s">
        <v>3661</v>
      </c>
      <c r="C624" s="36" t="s">
        <v>3661</v>
      </c>
      <c r="D624" s="3">
        <f t="shared" si="64"/>
        <v>706</v>
      </c>
      <c r="G624" s="8" t="s">
        <v>1477</v>
      </c>
      <c r="I624" t="s">
        <v>92</v>
      </c>
      <c r="J624" t="s">
        <v>91</v>
      </c>
      <c r="K624">
        <v>534</v>
      </c>
      <c r="L624">
        <v>534</v>
      </c>
      <c r="M624">
        <v>534</v>
      </c>
      <c r="O624" s="61" t="s">
        <v>3691</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constants'!$B$4:$C$1012,2,FALSE),"")</f>
        <v>Scribes of Fate</v>
      </c>
      <c r="V624" s="33" t="s">
        <v>3266</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constants'!$A$5:$D$10001,4,FALSE),"")</f>
        <v>Sanity's Edge</v>
      </c>
      <c r="AB624" s="33" t="s">
        <v>3266</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constants'!$A$5:$D$10001,4,FALSE),"")</f>
        <v>Sanity's Edge</v>
      </c>
      <c r="AH624" s="33" t="s">
        <v>3266</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96" t="s">
        <v>3832</v>
      </c>
      <c r="BE624" s="21" t="str">
        <f t="shared" si="59"/>
        <v>[706] = {wayshrines={534,534,534,}, dlcId=DLC_SCRIBES_OF_FATE</v>
      </c>
      <c r="BF624" s="21" t="str">
        <f t="shared" si="60"/>
        <v>, zoneIds={1427,1427,1427}, veteran=true</v>
      </c>
      <c r="BG624" s="21" t="str">
        <f t="shared" si="61"/>
        <v>, setType=LIBSETS_SETTYPE_TRIAL</v>
      </c>
      <c r="BH624" s="21" t="str">
        <f t="shared" si="62"/>
        <v>, dropMechanic={LIBSETS_DROP_MECHANIC_TRIAL_BOSS,LIBSETS_DROP_MECHANIC_TRIAL_BOSS,LIBSETS_DROP_MECHANIC_TRIAL_BOSS}, isPerfectedSet=1</v>
      </c>
      <c r="BI624" s="21" t="str">
        <f t="shared" si="63"/>
        <v>}, -- Perfected Test of Resolve /  Perfected Test of Resolve   [Sanity's Edge, Sanity's Edge, Sanity's Edge]</v>
      </c>
    </row>
    <row r="625" spans="1:61" x14ac:dyDescent="0.25">
      <c r="A625" s="5">
        <v>707</v>
      </c>
      <c r="B625" s="36" t="s">
        <v>3666</v>
      </c>
      <c r="C625" s="36" t="s">
        <v>3666</v>
      </c>
      <c r="D625" s="3">
        <f t="shared" si="64"/>
        <v>707</v>
      </c>
      <c r="G625" s="8" t="s">
        <v>1477</v>
      </c>
      <c r="I625" t="s">
        <v>92</v>
      </c>
      <c r="J625" t="s">
        <v>91</v>
      </c>
      <c r="K625">
        <v>534</v>
      </c>
      <c r="L625">
        <v>534</v>
      </c>
      <c r="M625">
        <v>534</v>
      </c>
      <c r="O625" s="61" t="s">
        <v>3691</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constants'!$B$4:$C$1012,2,FALSE),"")</f>
        <v>Scribes of Fate</v>
      </c>
      <c r="V625" s="33" t="s">
        <v>3266</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constants'!$A$5:$D$10001,4,FALSE),"")</f>
        <v>Sanity's Edge</v>
      </c>
      <c r="AB625" s="33" t="s">
        <v>3266</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constants'!$A$5:$D$10001,4,FALSE),"")</f>
        <v>Sanity's Edge</v>
      </c>
      <c r="AH625" s="33" t="s">
        <v>3266</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96" t="s">
        <v>3832</v>
      </c>
      <c r="BE625" s="21" t="str">
        <f t="shared" si="59"/>
        <v>[707] = {wayshrines={534,534,534,}, dlcId=DLC_SCRIBES_OF_FATE</v>
      </c>
      <c r="BF625" s="21" t="str">
        <f t="shared" si="60"/>
        <v>, zoneIds={1427,1427,1427}, veteran=true</v>
      </c>
      <c r="BG625" s="21" t="str">
        <f t="shared" si="61"/>
        <v>, setType=LIBSETS_SETTYPE_TRIAL</v>
      </c>
      <c r="BH625" s="21" t="str">
        <f t="shared" si="62"/>
        <v>, dropMechanic={LIBSETS_DROP_MECHANIC_TRIAL_BOSS,LIBSETS_DROP_MECHANIC_TRIAL_BOSS,LIBSETS_DROP_MECHANIC_TRIAL_BOSS}, isPerfectedSet=1</v>
      </c>
      <c r="BI625" s="21" t="str">
        <f t="shared" si="63"/>
        <v>}, -- Perfected Ansuul\'s Torment /  Perfected Ansuul\'s Torment   [Sanity's Edge, Sanity's Edge, Sanity's Edge]</v>
      </c>
    </row>
    <row r="626" spans="1:61" x14ac:dyDescent="0.25">
      <c r="A626" s="5">
        <v>708</v>
      </c>
      <c r="B626" s="36" t="s">
        <v>3662</v>
      </c>
      <c r="C626" s="36" t="s">
        <v>3662</v>
      </c>
      <c r="D626" s="3">
        <f t="shared" si="64"/>
        <v>708</v>
      </c>
      <c r="G626" s="8" t="s">
        <v>1477</v>
      </c>
      <c r="I626" t="s">
        <v>92</v>
      </c>
      <c r="J626" t="s">
        <v>91</v>
      </c>
      <c r="K626">
        <v>534</v>
      </c>
      <c r="L626">
        <v>534</v>
      </c>
      <c r="M626">
        <v>534</v>
      </c>
      <c r="O626" s="61" t="s">
        <v>3691</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constants'!$B$4:$C$1012,2,FALSE),"")</f>
        <v>Scribes of Fate</v>
      </c>
      <c r="V626" s="33" t="s">
        <v>3266</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constants'!$A$5:$D$10001,4,FALSE),"")</f>
        <v>Sanity's Edge</v>
      </c>
      <c r="AB626" s="33" t="s">
        <v>3266</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constants'!$A$5:$D$10001,4,FALSE),"")</f>
        <v>Sanity's Edge</v>
      </c>
      <c r="AH626" s="33" t="s">
        <v>3266</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96" t="s">
        <v>3832</v>
      </c>
      <c r="BE626" s="21" t="str">
        <f t="shared" si="59"/>
        <v>[708] = {wayshrines={534,534,534,}, dlcId=DLC_SCRIBES_OF_FATE</v>
      </c>
      <c r="BF626" s="21" t="str">
        <f t="shared" si="60"/>
        <v>, zoneIds={1427,1427,1427}, veteran=true</v>
      </c>
      <c r="BG626" s="21" t="str">
        <f t="shared" si="61"/>
        <v>, setType=LIBSETS_SETTYPE_TRIAL</v>
      </c>
      <c r="BH626" s="21" t="str">
        <f t="shared" si="62"/>
        <v>, dropMechanic={LIBSETS_DROP_MECHANIC_TRIAL_BOSS,LIBSETS_DROP_MECHANIC_TRIAL_BOSS,LIBSETS_DROP_MECHANIC_TRIAL_BOSS}, isPerfectedSet=1</v>
      </c>
      <c r="BI626" s="21" t="str">
        <f t="shared" si="63"/>
        <v>}, -- Perfected Peace and Serenity /  Perfected Peace and Serenity   [Sanity's Edge, Sanity's Edge, Sanity's Edge]</v>
      </c>
    </row>
    <row r="627" spans="1:61" x14ac:dyDescent="0.25">
      <c r="A627" s="5">
        <v>711</v>
      </c>
      <c r="B627" s="36" t="s">
        <v>3719</v>
      </c>
      <c r="C627" s="36" t="s">
        <v>3719</v>
      </c>
      <c r="D627" s="3">
        <f t="shared" si="64"/>
        <v>711</v>
      </c>
      <c r="F627" t="s">
        <v>3723</v>
      </c>
      <c r="G627" s="8" t="s">
        <v>3722</v>
      </c>
      <c r="I627" t="s">
        <v>3729</v>
      </c>
      <c r="J627" t="s">
        <v>91</v>
      </c>
      <c r="K627">
        <v>-1</v>
      </c>
      <c r="L627">
        <v>-1</v>
      </c>
      <c r="M627">
        <v>-1</v>
      </c>
      <c r="O627" s="61" t="s">
        <v>125</v>
      </c>
      <c r="Q627" s="3">
        <f>IF(AND(P627&lt;&gt;"",ISNUMBER(P627),NOT(ISNA(P627))),P627,IF(R627&lt;&gt;"",VLOOKUP(R627,'ESO zone constants'!$D$5:$H$10003,5,FALSE),""))</f>
        <v>181</v>
      </c>
      <c r="R627" t="str">
        <f>IF(AND(O627&lt;&gt;"",NOT(ISERROR(O627))),O627,
IF(AND(P627&lt;&gt;"",ISNUMBER(P627),P627&gt;0,NOT(ISNA(P627))),VLOOKUP(P627,'ESO zone constants'!$A$5:$D$10001,4,FALSE),
IF(AND(K627&lt;&gt;"",K627&gt;0,NOT(ISERROR(K627))),VLOOKUP(K627,'ESO dumped WayshrineInfo'!$K$3:$N$9972,4,FALSE),"")))</f>
        <v>Cyrodiil</v>
      </c>
      <c r="S627" s="61" t="s">
        <v>3728</v>
      </c>
      <c r="T627" s="19" t="str">
        <f>IF(AND(S627&lt;&gt;"",NOT(ISERROR(S627))),S627,IF(Q627&lt;&gt;"",IF(NOT(ISERROR(VLOOKUP(Q627,'ESO Dungeon constants'!$D$3:$H$9999,5,FALSE))),VLOOKUP(Q627,'ESO Dungeon constants'!$D$3:$I$9999,6,FALSE),VLOOKUP(Q627,'ESO zone constants'!$H$3:$K$9989,4,FALSE)),""))</f>
        <v>NO_DLC_UPDATE39</v>
      </c>
      <c r="U627" s="3" t="str">
        <f>IF(T627&lt;&gt;"",VLOOKUP(T627,'LibSets constants'!$B$4:$C$1012,2,FALSE),"")</f>
        <v>Patch 39, QOL and other</v>
      </c>
      <c r="V627" s="89" t="s">
        <v>2765</v>
      </c>
      <c r="Y627" s="61">
        <v>181</v>
      </c>
      <c r="Z627" s="3">
        <f>IF(AND(G627&lt;&gt;"LIBSETS_SETTYPE_BATTLEGROUND",G627&lt;&gt;"LIBSETS_SETTYPE_SPECIAL"),
IF(AND(Y627&lt;&gt;"",ISNUMBER(Y627),NOT(ISNA(Y627))),Y627,
   IF(AND(L627&lt;&gt;"",ISNUMBER(L627),L627&gt;0,NOT(ISNA(L627))),VLOOKUP(L627,'ESO dumped WayshrineInfo'!$K$3:$L$9972,2,FALSE),"")
),"")</f>
        <v>181</v>
      </c>
      <c r="AA627" t="str">
        <f>IF(AND(Z627&lt;&gt;"",ISNUMBER(Z627),NOT(ISNA(Z627))),VLOOKUP(Z627,'ESO zone constants'!$A$5:$D$10001,4,FALSE),"")</f>
        <v>Cyrodiil</v>
      </c>
      <c r="AC627" s="39"/>
      <c r="AD627" s="39"/>
      <c r="AE627" s="39"/>
      <c r="AF627" s="3" t="str">
        <f>IF(AND(G627&lt;&gt;"LIBSETS_SETTYPE_BATTLEGROUND",G627&lt;&gt;"LIBSETS_SETTYPE_SPECIAL"),
IF(AND(AE627&lt;&gt;"",ISNUMBER(AE627),NOT(ISNA(AE627))),AE627,
   IF(AND(M627&lt;&gt;"",ISNUMBER(M627),M627&gt;0,NOT(ISNA(M627))),VLOOKUP(M627,'ESO dumped WayshrineInfo'!$K$3:$L$9972,2,FALSE),"")
),"")</f>
        <v/>
      </c>
      <c r="AG627" t="str">
        <f>IF(AND(AF627&lt;&gt;"",ISNUMBER(AF627),NOT(ISNA(AF627))),VLOOKUP(AF627,'ESO zone constants'!$A$5:$D$10001,4,FALSE),"")</f>
        <v/>
      </c>
      <c r="AH627" s="42"/>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W627" s="42"/>
      <c r="AX627" s="39"/>
      <c r="AY627" s="39"/>
      <c r="AZ627" s="78" t="s">
        <v>2653</v>
      </c>
      <c r="BA627" s="78"/>
      <c r="BB627" s="78"/>
      <c r="BC627" s="78"/>
      <c r="BD627" s="78"/>
      <c r="BE627" s="21" t="str">
        <f t="shared" si="59"/>
        <v>[711] = {wayshrines={-1,-1,-1,}, dlcId=NO_DLC_UPDATE39</v>
      </c>
      <c r="BF627" s="21" t="str">
        <f t="shared" si="60"/>
        <v>, zoneIds={181,181}, veteran={[EQUIP_TYPE_HEAD]=false, [EQUIP_TYPE_SHOULDERS]=false}</v>
      </c>
      <c r="BG627" s="21" t="str">
        <f t="shared" si="61"/>
        <v>, setType=LIBSETS_SETTYPE_CYRODIIL_MONSTER</v>
      </c>
      <c r="BH627" s="21" t="str">
        <f t="shared" si="62"/>
        <v>, dropMechanic={LIBSETS_DROP_MECHANIC_AP_ELITE_GEAR_LOCKBOX_MERCHANT}</v>
      </c>
      <c r="BI627" s="21" t="str">
        <f t="shared" si="63"/>
        <v>}, --Jerall Mountains Warchief / Jerall Mountains Warchief   [Cyrodiil, Cyrodiil]</v>
      </c>
    </row>
    <row r="628" spans="1:61" x14ac:dyDescent="0.25">
      <c r="A628" s="5">
        <v>712</v>
      </c>
      <c r="B628" s="36" t="s">
        <v>3720</v>
      </c>
      <c r="C628" s="36" t="s">
        <v>3720</v>
      </c>
      <c r="D628" s="3">
        <f t="shared" si="64"/>
        <v>712</v>
      </c>
      <c r="F628" t="s">
        <v>3723</v>
      </c>
      <c r="G628" s="8" t="s">
        <v>3722</v>
      </c>
      <c r="I628" t="s">
        <v>3729</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WayshrineInfo'!$K$3:$N$9972,4,FALSE),"")))</f>
        <v>Cyrodiil</v>
      </c>
      <c r="S628" s="61" t="s">
        <v>3728</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constants'!$B$4:$C$1012,2,FALSE),"")</f>
        <v>Patch 39, QOL and other</v>
      </c>
      <c r="V628" s="89" t="s">
        <v>2765</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constants'!$A$5:$D$10001,4,FALSE),"")</f>
        <v>Cyrodiil</v>
      </c>
      <c r="AB628" s="89"/>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8" t="s">
        <v>2653</v>
      </c>
      <c r="BA628" s="78"/>
      <c r="BB628" s="78"/>
      <c r="BC628" s="78"/>
      <c r="BD628" s="78"/>
      <c r="BE628" s="21" t="str">
        <f t="shared" si="59"/>
        <v>[712] = {wayshrines={-1,-1,-1,}, dlcId=NO_DLC_UPDATE39</v>
      </c>
      <c r="BF628" s="21" t="str">
        <f t="shared" si="60"/>
        <v>, zoneIds={181,181}, veteran={[EQUIP_TYPE_HEAD]=false, [EQUIP_TYPE_SHOULDERS]=false}</v>
      </c>
      <c r="BG628" s="21" t="str">
        <f t="shared" si="61"/>
        <v>, setType=LIBSETS_SETTYPE_CYRODIIL_MONSTER</v>
      </c>
      <c r="BH628" s="21" t="str">
        <f t="shared" si="62"/>
        <v>, dropMechanic={LIBSETS_DROP_MECHANIC_AP_ELITE_GEAR_LOCKBOX_MERCHANT}</v>
      </c>
      <c r="BI628" s="21" t="str">
        <f t="shared" si="63"/>
        <v>}, --Nibenay Bay Battlereeve / Nibenay Bay Battlereeve   [Cyrodiil, Cyrodiil]</v>
      </c>
    </row>
    <row r="629" spans="1:61" x14ac:dyDescent="0.25">
      <c r="A629" s="5">
        <v>713</v>
      </c>
      <c r="B629" s="36" t="s">
        <v>3721</v>
      </c>
      <c r="C629" s="36" t="s">
        <v>3721</v>
      </c>
      <c r="D629" s="3">
        <f t="shared" si="64"/>
        <v>713</v>
      </c>
      <c r="F629" t="s">
        <v>3723</v>
      </c>
      <c r="G629" s="8" t="s">
        <v>3722</v>
      </c>
      <c r="I629" t="s">
        <v>3729</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WayshrineInfo'!$K$3:$N$9972,4,FALSE),"")))</f>
        <v>Cyrodiil</v>
      </c>
      <c r="S629" s="61" t="s">
        <v>3728</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constants'!$B$4:$C$1012,2,FALSE),"")</f>
        <v>Patch 39, QOL and other</v>
      </c>
      <c r="V629" s="89" t="s">
        <v>2765</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constants'!$A$5:$D$10001,4,FALSE),"")</f>
        <v>Cyrodiil</v>
      </c>
      <c r="AB629" s="89"/>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8" t="s">
        <v>2653</v>
      </c>
      <c r="BA629" s="78"/>
      <c r="BB629" s="78"/>
      <c r="BC629" s="78"/>
      <c r="BD629" s="78"/>
      <c r="BE629" s="21" t="str">
        <f t="shared" si="59"/>
        <v>[713] = {wayshrines={-1,-1,-1,}, dlcId=NO_DLC_UPDATE39</v>
      </c>
      <c r="BF629" s="21" t="str">
        <f t="shared" si="60"/>
        <v>, zoneIds={181,181}, veteran={[EQUIP_TYPE_HEAD]=false, [EQUIP_TYPE_SHOULDERS]=false}</v>
      </c>
      <c r="BG629" s="21" t="str">
        <f t="shared" si="61"/>
        <v>, setType=LIBSETS_SETTYPE_CYRODIIL_MONSTER</v>
      </c>
      <c r="BH629" s="21" t="str">
        <f t="shared" si="62"/>
        <v>, dropMechanic={LIBSETS_DROP_MECHANIC_AP_ELITE_GEAR_LOCKBOX_MERCHANT}</v>
      </c>
      <c r="BI629" s="21" t="str">
        <f t="shared" si="63"/>
        <v>}, --Colovian Highlands General / Colovian Highlands General   [Cyrodiil, Cyrodiil]</v>
      </c>
    </row>
    <row r="630" spans="1:61" x14ac:dyDescent="0.25">
      <c r="A630" s="5">
        <v>722</v>
      </c>
      <c r="B630" t="s">
        <v>3765</v>
      </c>
      <c r="C630" t="s">
        <v>3765</v>
      </c>
      <c r="D630" s="3">
        <f t="shared" si="64"/>
        <v>722</v>
      </c>
      <c r="E630" s="36" t="s">
        <v>3777</v>
      </c>
      <c r="G630" s="3" t="s">
        <v>3757</v>
      </c>
      <c r="I630" t="s">
        <v>91</v>
      </c>
      <c r="J630" t="s">
        <v>91</v>
      </c>
      <c r="K630">
        <v>543</v>
      </c>
      <c r="L630">
        <v>543</v>
      </c>
      <c r="M630">
        <v>543</v>
      </c>
      <c r="Q630" s="3">
        <f>IF(AND(P630&lt;&gt;"",ISNUMBER(P630),NOT(ISNA(P630))),P630,IF(R630&lt;&gt;"",VLOOKUP(R630,'ESO zone constants'!$D$5:$H$10003,5,FALSE),""))</f>
        <v>1413</v>
      </c>
      <c r="R630" t="str">
        <f>IF(AND(O630&lt;&gt;"",NOT(ISERROR(O630))),O630,
IF(AND(P630&lt;&gt;"",ISNUMBER(P630),P630&gt;0,NOT(ISNA(P630))),VLOOKUP(P630,'ESO zone constants'!$A$5:$D$10001,4,FALSE),
IF(AND(K630&lt;&gt;"",K630&gt;0,NOT(ISERROR(K630))),VLOOKUP(K630,'ESO dumped WayshrineInfo'!$K$3:$N$9972,4,FALSE),"")))</f>
        <v>Apocrypha</v>
      </c>
      <c r="S630" s="61" t="s">
        <v>3752</v>
      </c>
      <c r="T630" s="19" t="str">
        <f>IF(AND(S630&lt;&gt;"",NOT(ISERROR(S630))),S630,IF(Q630&lt;&gt;"",IF(NOT(ISERROR(VLOOKUP(Q630,'ESO Dungeon constants'!$D$3:$H$9999,5,FALSE))),VLOOKUP(Q630,'ESO Dungeon constants'!$D$3:$I$9999,6,FALSE),VLOOKUP(Q630,'ESO zone constants'!$H$3:$K$9989,4,FALSE)),""))</f>
        <v>NO_DLC_SECRET_OF_THE_TELVANNI</v>
      </c>
      <c r="U630" s="3" t="str">
        <f>IF(T630&lt;&gt;"",VLOOKUP(T630,'LibSets constants'!$B$4:$C$1012,2,FALSE),"")</f>
        <v>Secret of the Telvanni</v>
      </c>
      <c r="V630" s="89" t="s">
        <v>3754</v>
      </c>
      <c r="W630" s="3" t="s">
        <v>3777</v>
      </c>
      <c r="X630" s="3" t="s">
        <v>3885</v>
      </c>
      <c r="Y630" s="61"/>
      <c r="Z630" s="3">
        <f>IF(AND(G630&lt;&gt;"LIBSETS_SETTYPE_BATTLEGROUND",G630&lt;&gt;"LIBSETS_SETTYPE_SPECIAL"),
IF(AND(Y630&lt;&gt;"",ISNUMBER(Y630),NOT(ISNA(Y630))),Y630,
   IF(AND(L630&lt;&gt;"",ISNUMBER(L630),L630&gt;0,NOT(ISNA(L630))),VLOOKUP(L630,'ESO dumped WayshrineInfo'!$K$3:$L$9972,2,FALSE),"")
),"")</f>
        <v>1413</v>
      </c>
      <c r="AA630" t="str">
        <f>IF(AND(Z630&lt;&gt;"",ISNUMBER(Z630),NOT(ISNA(Z630))),VLOOKUP(Z630,'ESO zone constants'!$A$5:$D$10001,4,FALSE),"")</f>
        <v>Apocrypha</v>
      </c>
      <c r="AB630" s="89"/>
      <c r="AC630" s="39"/>
      <c r="AD630" s="39"/>
      <c r="AE630" s="39"/>
      <c r="AF630" s="3">
        <f>IF(AND(G630&lt;&gt;"LIBSETS_SETTYPE_BATTLEGROUND",G630&lt;&gt;"LIBSETS_SETTYPE_SPECIAL"),
IF(AND(AE630&lt;&gt;"",ISNUMBER(AE630),NOT(ISNA(AE630))),AE630,
   IF(AND(M630&lt;&gt;"",ISNUMBER(M630),M630&gt;0,NOT(ISNA(M630))),VLOOKUP(M630,'ESO dumped WayshrineInfo'!$K$3:$L$9972,2,FALSE),"")
),"")</f>
        <v>1413</v>
      </c>
      <c r="AG630" t="str">
        <f>IF(AND(AF630&lt;&gt;"",ISNUMBER(AF630),NOT(ISNA(AF630))),VLOOKUP(AF630,'ESO zone constants'!$A$5:$D$10001,4,FALSE),"")</f>
        <v>Apocrypha</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8" t="s">
        <v>2653</v>
      </c>
      <c r="BA630" s="78"/>
      <c r="BB630" s="78"/>
      <c r="BC630">
        <v>117</v>
      </c>
      <c r="BD630"/>
      <c r="BE630" s="21" t="str">
        <f t="shared" si="59"/>
        <v>[722] = {wayshrines={543,543,543,}, dlcId=NO_DLC_SECRET_OF_THE_TELVANNI</v>
      </c>
      <c r="BF630" s="21" t="str">
        <f t="shared" si="60"/>
        <v>, zoneIds={1413,1413,1413}, veteran=false</v>
      </c>
      <c r="BG630" s="21" t="str">
        <f t="shared" si="61"/>
        <v>, setType=LIBSETS_SETTYPE_CLASS, classId=117</v>
      </c>
      <c r="BH630" s="21" t="str">
        <f t="shared" si="62"/>
        <v>, dropMechanic={LIBSETS_DROP_MECHANIC_ENDLESS_ARCHIVE}, dropMechanicDropLocationNames={['en']={'Arcanist','','','','','',},['de']={'Arkanist','','','','','',},}</v>
      </c>
      <c r="BI630" s="21" t="str">
        <f t="shared" si="63"/>
        <v>}, --Reawakened Hierophant / Reawakened Hierophant   [Apocrypha, Apocrypha, Apocrypha]</v>
      </c>
    </row>
    <row r="631" spans="1:61" x14ac:dyDescent="0.25">
      <c r="A631" s="5">
        <v>723</v>
      </c>
      <c r="B631" t="s">
        <v>3764</v>
      </c>
      <c r="C631" t="s">
        <v>3764</v>
      </c>
      <c r="D631" s="3">
        <f t="shared" si="64"/>
        <v>723</v>
      </c>
      <c r="E631" s="36" t="s">
        <v>3771</v>
      </c>
      <c r="G631" s="3" t="s">
        <v>3757</v>
      </c>
      <c r="I631" t="s">
        <v>91</v>
      </c>
      <c r="J631" t="s">
        <v>91</v>
      </c>
      <c r="K631">
        <v>543</v>
      </c>
      <c r="L631">
        <v>543</v>
      </c>
      <c r="M631">
        <v>543</v>
      </c>
      <c r="Q631" s="3">
        <f>IF(AND(P631&lt;&gt;"",ISNUMBER(P631),NOT(ISNA(P631))),P631,IF(R631&lt;&gt;"",VLOOKUP(R631,'ESO zone constants'!$D$5:$H$10003,5,FALSE),""))</f>
        <v>1413</v>
      </c>
      <c r="R631" t="str">
        <f>IF(AND(O631&lt;&gt;"",NOT(ISERROR(O631))),O631,
IF(AND(P631&lt;&gt;"",ISNUMBER(P631),P631&gt;0,NOT(ISNA(P631))),VLOOKUP(P631,'ESO zone constants'!$A$5:$D$10001,4,FALSE),
IF(AND(K631&lt;&gt;"",K631&gt;0,NOT(ISERROR(K631))),VLOOKUP(K631,'ESO dumped WayshrineInfo'!$K$3:$N$9972,4,FALSE),"")))</f>
        <v>Apocrypha</v>
      </c>
      <c r="S631" s="61" t="s">
        <v>3752</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constants'!$B$4:$C$1012,2,FALSE),"")</f>
        <v>Secret of the Telvanni</v>
      </c>
      <c r="V631" s="89" t="s">
        <v>3754</v>
      </c>
      <c r="W631" s="3" t="s">
        <v>3771</v>
      </c>
      <c r="X631" s="3" t="s">
        <v>3886</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constants'!$A$5:$D$10001,4,FALSE),"")</f>
        <v>Apocrypha</v>
      </c>
      <c r="AB631" s="89"/>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8" t="s">
        <v>2653</v>
      </c>
      <c r="BA631" s="78"/>
      <c r="BB631" s="78"/>
      <c r="BC631">
        <v>1</v>
      </c>
      <c r="BD631"/>
      <c r="BE631" s="21" t="str">
        <f t="shared" si="59"/>
        <v>[723] = {wayshrines={543,543,543,}, dlcId=NO_DLC_SECRET_OF_THE_TELVANNI</v>
      </c>
      <c r="BF631" s="21" t="str">
        <f t="shared" si="60"/>
        <v>, zoneIds={1413,1413,1413}, veteran=false</v>
      </c>
      <c r="BG631" s="21" t="str">
        <f t="shared" si="61"/>
        <v>, setType=LIBSETS_SETTYPE_CLASS, classId=1</v>
      </c>
      <c r="BH631" s="21" t="str">
        <f t="shared" si="62"/>
        <v>, dropMechanic={LIBSETS_DROP_MECHANIC_ENDLESS_ARCHIVE}, dropMechanicDropLocationNames={['en']={'Dragonknight','','','','','',},['de']={'Drachenritter','','','','','',},}</v>
      </c>
      <c r="BI631" s="21" t="str">
        <f t="shared" si="63"/>
        <v>}, --Basalt-Blooded Warrior / Basalt-Blooded Warrior   [Apocrypha, Apocrypha, Apocrypha]</v>
      </c>
    </row>
    <row r="632" spans="1:61" x14ac:dyDescent="0.25">
      <c r="A632" s="5">
        <v>724</v>
      </c>
      <c r="B632" t="s">
        <v>3766</v>
      </c>
      <c r="C632" t="s">
        <v>3763</v>
      </c>
      <c r="D632" s="3">
        <f t="shared" si="64"/>
        <v>724</v>
      </c>
      <c r="E632" s="36" t="s">
        <v>3776</v>
      </c>
      <c r="G632" s="3" t="s">
        <v>3757</v>
      </c>
      <c r="I632" t="s">
        <v>91</v>
      </c>
      <c r="J632" t="s">
        <v>91</v>
      </c>
      <c r="K632">
        <v>543</v>
      </c>
      <c r="L632">
        <v>543</v>
      </c>
      <c r="M632">
        <v>543</v>
      </c>
      <c r="Q632" s="3">
        <f>IF(AND(P632&lt;&gt;"",ISNUMBER(P632),NOT(ISNA(P632))),P632,IF(R632&lt;&gt;"",VLOOKUP(R632,'ESO zone constants'!$D$5:$H$10003,5,FALSE),""))</f>
        <v>1413</v>
      </c>
      <c r="R632" t="str">
        <f>IF(AND(O632&lt;&gt;"",NOT(ISERROR(O632))),O632,
IF(AND(P632&lt;&gt;"",ISNUMBER(P632),P632&gt;0,NOT(ISNA(P632))),VLOOKUP(P632,'ESO zone constants'!$A$5:$D$10001,4,FALSE),
IF(AND(K632&lt;&gt;"",K632&gt;0,NOT(ISERROR(K632))),VLOOKUP(K632,'ESO dumped WayshrineInfo'!$K$3:$N$9972,4,FALSE),"")))</f>
        <v>Apocrypha</v>
      </c>
      <c r="S632" s="61" t="s">
        <v>3752</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constants'!$B$4:$C$1012,2,FALSE),"")</f>
        <v>Secret of the Telvanni</v>
      </c>
      <c r="V632" s="89" t="s">
        <v>3754</v>
      </c>
      <c r="W632" s="3" t="s">
        <v>3776</v>
      </c>
      <c r="X632" s="3" t="s">
        <v>3887</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constants'!$A$5:$D$10001,4,FALSE),"")</f>
        <v>Apocrypha</v>
      </c>
      <c r="AB632" s="89"/>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8" t="s">
        <v>2653</v>
      </c>
      <c r="BA632" s="78"/>
      <c r="BB632" s="78"/>
      <c r="BC632">
        <v>5</v>
      </c>
      <c r="BD632"/>
      <c r="BE632" s="21" t="str">
        <f t="shared" si="59"/>
        <v>[724] = {wayshrines={543,543,543,}, dlcId=NO_DLC_SECRET_OF_THE_TELVANNI</v>
      </c>
      <c r="BF632" s="21" t="str">
        <f t="shared" si="60"/>
        <v>, zoneIds={1413,1413,1413}, veteran=false</v>
      </c>
      <c r="BG632" s="21" t="str">
        <f t="shared" si="61"/>
        <v>, setType=LIBSETS_SETTYPE_CLASS, classId=5</v>
      </c>
      <c r="BH632" s="21" t="str">
        <f t="shared" si="62"/>
        <v>, dropMechanic={LIBSETS_DROP_MECHANIC_ENDLESS_ARCHIVE}, dropMechanicDropLocationNames={['en']={'Necromancer','','','','','',},['de']={'Nekromant','','','','','',},}</v>
      </c>
      <c r="BI632" s="21" t="str">
        <f t="shared" si="63"/>
        <v>}, --Nobility in Decay / Adel im Verfall   [Apocrypha, Apocrypha, Apocrypha]</v>
      </c>
    </row>
    <row r="633" spans="1:61" x14ac:dyDescent="0.25">
      <c r="A633" s="5">
        <v>726</v>
      </c>
      <c r="B633" t="s">
        <v>3767</v>
      </c>
      <c r="C633" t="s">
        <v>3762</v>
      </c>
      <c r="D633" s="3">
        <f t="shared" si="64"/>
        <v>726</v>
      </c>
      <c r="E633" s="36" t="s">
        <v>3774</v>
      </c>
      <c r="G633" s="3" t="s">
        <v>3757</v>
      </c>
      <c r="I633" t="s">
        <v>91</v>
      </c>
      <c r="J633" t="s">
        <v>91</v>
      </c>
      <c r="K633">
        <v>543</v>
      </c>
      <c r="L633">
        <v>543</v>
      </c>
      <c r="M633">
        <v>543</v>
      </c>
      <c r="Q633" s="3">
        <f>IF(AND(P633&lt;&gt;"",ISNUMBER(P633),NOT(ISNA(P633))),P633,IF(R633&lt;&gt;"",VLOOKUP(R633,'ESO zone constants'!$D$5:$H$10003,5,FALSE),""))</f>
        <v>1413</v>
      </c>
      <c r="R633" t="str">
        <f>IF(AND(O633&lt;&gt;"",NOT(ISERROR(O633))),O633,
IF(AND(P633&lt;&gt;"",ISNUMBER(P633),P633&gt;0,NOT(ISNA(P633))),VLOOKUP(P633,'ESO zone constants'!$A$5:$D$10001,4,FALSE),
IF(AND(K633&lt;&gt;"",K633&gt;0,NOT(ISERROR(K633))),VLOOKUP(K633,'ESO dumped WayshrineInfo'!$K$3:$N$9972,4,FALSE),"")))</f>
        <v>Apocrypha</v>
      </c>
      <c r="S633" s="61" t="s">
        <v>3752</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constants'!$B$4:$C$1012,2,FALSE),"")</f>
        <v>Secret of the Telvanni</v>
      </c>
      <c r="V633" s="89" t="s">
        <v>3754</v>
      </c>
      <c r="W633" s="3" t="s">
        <v>3774</v>
      </c>
      <c r="X633" s="3" t="s">
        <v>3891</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constants'!$A$5:$D$10001,4,FALSE),"")</f>
        <v>Apocrypha</v>
      </c>
      <c r="AB633" s="89"/>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8" t="s">
        <v>2653</v>
      </c>
      <c r="BA633" s="78"/>
      <c r="BB633" s="78"/>
      <c r="BC633">
        <v>3</v>
      </c>
      <c r="BD633"/>
      <c r="BE633" s="21" t="str">
        <f t="shared" si="59"/>
        <v>[726] = {wayshrines={543,543,543,}, dlcId=NO_DLC_SECRET_OF_THE_TELVANNI</v>
      </c>
      <c r="BF633" s="21" t="str">
        <f t="shared" si="60"/>
        <v>, zoneIds={1413,1413,1413}, veteran=false</v>
      </c>
      <c r="BG633" s="21" t="str">
        <f t="shared" si="61"/>
        <v>, setType=LIBSETS_SETTYPE_CLASS, classId=3</v>
      </c>
      <c r="BH633" s="21" t="str">
        <f t="shared" si="62"/>
        <v>, dropMechanic={LIBSETS_DROP_MECHANIC_ENDLESS_ARCHIVE}, dropMechanicDropLocationNames={['en']={'Nightblade','','','','','',},['de']={'Nachtklinge','','','','','',},}</v>
      </c>
      <c r="BI633" s="21" t="str">
        <f t="shared" si="63"/>
        <v>}, --Soulcleaver / Seelenspalter   [Apocrypha, Apocrypha, Apocrypha]</v>
      </c>
    </row>
    <row r="634" spans="1:61" x14ac:dyDescent="0.25">
      <c r="A634" s="5">
        <v>727</v>
      </c>
      <c r="B634" t="s">
        <v>3768</v>
      </c>
      <c r="C634" t="s">
        <v>3761</v>
      </c>
      <c r="D634" s="3">
        <f t="shared" si="64"/>
        <v>727</v>
      </c>
      <c r="E634" s="36" t="s">
        <v>3773</v>
      </c>
      <c r="G634" s="3" t="s">
        <v>3757</v>
      </c>
      <c r="I634" t="s">
        <v>91</v>
      </c>
      <c r="J634" t="s">
        <v>91</v>
      </c>
      <c r="K634">
        <v>543</v>
      </c>
      <c r="L634">
        <v>543</v>
      </c>
      <c r="M634">
        <v>543</v>
      </c>
      <c r="Q634" s="3">
        <f>IF(AND(P634&lt;&gt;"",ISNUMBER(P634),NOT(ISNA(P634))),P634,IF(R634&lt;&gt;"",VLOOKUP(R634,'ESO zone constants'!$D$5:$H$10003,5,FALSE),""))</f>
        <v>1413</v>
      </c>
      <c r="R634" t="str">
        <f>IF(AND(O634&lt;&gt;"",NOT(ISERROR(O634))),O634,
IF(AND(P634&lt;&gt;"",ISNUMBER(P634),P634&gt;0,NOT(ISNA(P634))),VLOOKUP(P634,'ESO zone constants'!$A$5:$D$10001,4,FALSE),
IF(AND(K634&lt;&gt;"",K634&gt;0,NOT(ISERROR(K634))),VLOOKUP(K634,'ESO dumped WayshrineInfo'!$K$3:$N$9972,4,FALSE),"")))</f>
        <v>Apocrypha</v>
      </c>
      <c r="S634" s="61" t="s">
        <v>3752</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constants'!$B$4:$C$1012,2,FALSE),"")</f>
        <v>Secret of the Telvanni</v>
      </c>
      <c r="V634" s="89" t="s">
        <v>3754</v>
      </c>
      <c r="W634" s="3" t="s">
        <v>3773</v>
      </c>
      <c r="X634" s="3" t="s">
        <v>3888</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constants'!$A$5:$D$10001,4,FALSE),"")</f>
        <v>Apocrypha</v>
      </c>
      <c r="AB634" s="89"/>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8" t="s">
        <v>2653</v>
      </c>
      <c r="BA634" s="78"/>
      <c r="BB634" s="78"/>
      <c r="BC634">
        <v>2</v>
      </c>
      <c r="BD634"/>
      <c r="BE634" s="21" t="str">
        <f t="shared" si="59"/>
        <v>[727] = {wayshrines={543,543,543,}, dlcId=NO_DLC_SECRET_OF_THE_TELVANNI</v>
      </c>
      <c r="BF634" s="21" t="str">
        <f t="shared" si="60"/>
        <v>, zoneIds={1413,1413,1413}, veteran=false</v>
      </c>
      <c r="BG634" s="21" t="str">
        <f t="shared" si="61"/>
        <v>, setType=LIBSETS_SETTYPE_CLASS, classId=2</v>
      </c>
      <c r="BH634" s="21" t="str">
        <f t="shared" si="62"/>
        <v>, dropMechanic={LIBSETS_DROP_MECHANIC_ENDLESS_ARCHIVE}, dropMechanicDropLocationNames={['en']={'Sorcerer','','','','','',},['de']={'Zauberer','','','','','',},}</v>
      </c>
      <c r="BI634" s="21" t="str">
        <f t="shared" si="63"/>
        <v>}, --Monolith of Storms / Monolith der Stürme   [Apocrypha, Apocrypha, Apocrypha]</v>
      </c>
    </row>
    <row r="635" spans="1:61" x14ac:dyDescent="0.25">
      <c r="A635" s="5">
        <v>728</v>
      </c>
      <c r="B635" t="s">
        <v>3769</v>
      </c>
      <c r="C635" t="s">
        <v>3760</v>
      </c>
      <c r="D635" s="3">
        <f t="shared" si="64"/>
        <v>728</v>
      </c>
      <c r="E635" s="36" t="s">
        <v>3772</v>
      </c>
      <c r="G635" s="3" t="s">
        <v>3757</v>
      </c>
      <c r="I635" t="s">
        <v>91</v>
      </c>
      <c r="J635" t="s">
        <v>91</v>
      </c>
      <c r="K635">
        <v>543</v>
      </c>
      <c r="L635">
        <v>543</v>
      </c>
      <c r="M635">
        <v>543</v>
      </c>
      <c r="Q635" s="3">
        <f>IF(AND(P635&lt;&gt;"",ISNUMBER(P635),NOT(ISNA(P635))),P635,IF(R635&lt;&gt;"",VLOOKUP(R635,'ESO zone constants'!$D$5:$H$10003,5,FALSE),""))</f>
        <v>1413</v>
      </c>
      <c r="R635" t="str">
        <f>IF(AND(O635&lt;&gt;"",NOT(ISERROR(O635))),O635,
IF(AND(P635&lt;&gt;"",ISNUMBER(P635),P635&gt;0,NOT(ISNA(P635))),VLOOKUP(P635,'ESO zone constants'!$A$5:$D$10001,4,FALSE),
IF(AND(K635&lt;&gt;"",K635&gt;0,NOT(ISERROR(K635))),VLOOKUP(K635,'ESO dumped WayshrineInfo'!$K$3:$N$9972,4,FALSE),"")))</f>
        <v>Apocrypha</v>
      </c>
      <c r="S635" s="61" t="s">
        <v>3752</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constants'!$B$4:$C$1012,2,FALSE),"")</f>
        <v>Secret of the Telvanni</v>
      </c>
      <c r="V635" s="89" t="s">
        <v>3754</v>
      </c>
      <c r="W635" s="3" t="s">
        <v>3772</v>
      </c>
      <c r="X635" s="3" t="s">
        <v>3889</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constants'!$A$5:$D$10001,4,FALSE),"")</f>
        <v>Apocrypha</v>
      </c>
      <c r="AB635" s="89"/>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8" t="s">
        <v>2653</v>
      </c>
      <c r="BA635" s="78"/>
      <c r="BB635" s="78"/>
      <c r="BC635">
        <v>6</v>
      </c>
      <c r="BD635"/>
      <c r="BE635" s="21" t="str">
        <f t="shared" si="59"/>
        <v>[728] = {wayshrines={543,543,543,}, dlcId=NO_DLC_SECRET_OF_THE_TELVANNI</v>
      </c>
      <c r="BF635" s="21" t="str">
        <f t="shared" si="60"/>
        <v>, zoneIds={1413,1413,1413}, veteran=false</v>
      </c>
      <c r="BG635" s="21" t="str">
        <f t="shared" si="61"/>
        <v>, setType=LIBSETS_SETTYPE_CLASS, classId=6</v>
      </c>
      <c r="BH635" s="21" t="str">
        <f t="shared" si="62"/>
        <v>, dropMechanic={LIBSETS_DROP_MECHANIC_ENDLESS_ARCHIVE}, dropMechanicDropLocationNames={['en']={'Templar','','','','','',},['de']={'Templer','','','','','',},}</v>
      </c>
      <c r="BI635" s="21" t="str">
        <f t="shared" si="63"/>
        <v>}, --Wrathsun / Wutsonne   [Apocrypha, Apocrypha, Apocrypha]</v>
      </c>
    </row>
    <row r="636" spans="1:61" x14ac:dyDescent="0.25">
      <c r="A636" s="5">
        <v>729</v>
      </c>
      <c r="B636" t="s">
        <v>3770</v>
      </c>
      <c r="C636" t="s">
        <v>3759</v>
      </c>
      <c r="D636" s="3">
        <f t="shared" si="64"/>
        <v>729</v>
      </c>
      <c r="E636" s="36" t="s">
        <v>3775</v>
      </c>
      <c r="G636" s="3" t="s">
        <v>3757</v>
      </c>
      <c r="I636" t="s">
        <v>91</v>
      </c>
      <c r="J636" t="s">
        <v>91</v>
      </c>
      <c r="K636">
        <v>543</v>
      </c>
      <c r="L636">
        <v>543</v>
      </c>
      <c r="M636">
        <v>543</v>
      </c>
      <c r="Q636" s="3">
        <f>IF(AND(P636&lt;&gt;"",ISNUMBER(P636),NOT(ISNA(P636))),P636,IF(R636&lt;&gt;"",VLOOKUP(R636,'ESO zone constants'!$D$5:$H$10003,5,FALSE),""))</f>
        <v>1413</v>
      </c>
      <c r="R636" t="str">
        <f>IF(AND(O636&lt;&gt;"",NOT(ISERROR(O636))),O636,
IF(AND(P636&lt;&gt;"",ISNUMBER(P636),P636&gt;0,NOT(ISNA(P636))),VLOOKUP(P636,'ESO zone constants'!$A$5:$D$10001,4,FALSE),
IF(AND(K636&lt;&gt;"",K636&gt;0,NOT(ISERROR(K636))),VLOOKUP(K636,'ESO dumped WayshrineInfo'!$K$3:$N$9972,4,FALSE),"")))</f>
        <v>Apocrypha</v>
      </c>
      <c r="S636" s="61" t="s">
        <v>3752</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constants'!$B$4:$C$1012,2,FALSE),"")</f>
        <v>Secret of the Telvanni</v>
      </c>
      <c r="V636" s="89" t="s">
        <v>3754</v>
      </c>
      <c r="W636" s="3" t="s">
        <v>3775</v>
      </c>
      <c r="X636" s="3" t="s">
        <v>3890</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constants'!$A$5:$D$10001,4,FALSE),"")</f>
        <v>Apocrypha</v>
      </c>
      <c r="AB636" s="89"/>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8" t="s">
        <v>2653</v>
      </c>
      <c r="BA636" s="78"/>
      <c r="BB636" s="78"/>
      <c r="BC636">
        <v>4</v>
      </c>
      <c r="BD636"/>
      <c r="BE636" s="21" t="str">
        <f t="shared" si="59"/>
        <v>[729] = {wayshrines={543,543,543,}, dlcId=NO_DLC_SECRET_OF_THE_TELVANNI</v>
      </c>
      <c r="BF636" s="21" t="str">
        <f t="shared" si="60"/>
        <v>, zoneIds={1413,1413,1413}, veteran=false</v>
      </c>
      <c r="BG636" s="21" t="str">
        <f t="shared" si="61"/>
        <v>, setType=LIBSETS_SETTYPE_CLASS, classId=4</v>
      </c>
      <c r="BH636" s="21" t="str">
        <f t="shared" si="62"/>
        <v>, dropMechanic={LIBSETS_DROP_MECHANIC_ENDLESS_ARCHIVE}, dropMechanicDropLocationNames={['en']={'Warden','','','','','',},['de']={'Hüter','','','','','',},}</v>
      </c>
      <c r="BI636" s="21" t="str">
        <f t="shared" si="63"/>
        <v>}, --Gardener of Seasons / Gärtner der Jahreszeiten   [Apocrypha, Apocrypha, Apocrypha]</v>
      </c>
    </row>
    <row r="637" spans="1:61" x14ac:dyDescent="0.25">
      <c r="A637" s="53">
        <v>735</v>
      </c>
      <c r="B637" s="53" t="s">
        <v>3899</v>
      </c>
      <c r="C637" s="53" t="s">
        <v>3899</v>
      </c>
      <c r="D637" s="3">
        <f t="shared" si="64"/>
        <v>735</v>
      </c>
      <c r="G637" s="8" t="s">
        <v>1473</v>
      </c>
      <c r="I637" t="s">
        <v>91</v>
      </c>
      <c r="J637" t="s">
        <v>91</v>
      </c>
      <c r="K637" s="53">
        <v>-1</v>
      </c>
      <c r="L637" s="53">
        <v>-1</v>
      </c>
      <c r="M637" s="53">
        <v>-1</v>
      </c>
      <c r="O637" s="61" t="s">
        <v>3896</v>
      </c>
      <c r="Q637" s="3">
        <f>IF(AND(P637&lt;&gt;"",ISNUMBER(P637),NOT(ISNA(P637))),P637,IF(R637&lt;&gt;"",VLOOKUP(R637,'ESO zone constants'!$D$5:$H$10003,5,FALSE),""))</f>
        <v>1471</v>
      </c>
      <c r="R637" t="str">
        <f>IF(AND(O637&lt;&gt;"",NOT(ISERROR(O637))),O637,
IF(AND(P637&lt;&gt;"",ISNUMBER(P637),P637&gt;0,NOT(ISNA(P637))),VLOOKUP(P637,'ESO zone constants'!$A$5:$D$10001,4,FALSE),
IF(AND(K637&lt;&gt;"",K637&gt;0,NOT(ISERROR(K637))),VLOOKUP(K637,'ESO dumped WayshrineInfo'!$K$3:$N$9972,4,FALSE),"")))</f>
        <v>Bedlam Veil</v>
      </c>
      <c r="S637" s="61" t="s">
        <v>3897</v>
      </c>
      <c r="T637" s="19" t="str">
        <f>IF(AND(S637&lt;&gt;"",NOT(ISERROR(S637))),S637,IF(Q637&lt;&gt;"",IF(NOT(ISERROR(VLOOKUP(Q637,'ESO Dungeon constants'!$D$3:$H$9999,5,FALSE))),VLOOKUP(Q637,'ESO Dungeon constants'!$D$3:$I$9999,6,FALSE),VLOOKUP(Q637,'ESO zone constants'!$H$3:$K$9989,4,FALSE)),""))</f>
        <v>DLC_SCIONS_OF_ITHELIA</v>
      </c>
      <c r="U637" s="3" t="str">
        <f>IF(T637&lt;&gt;"",VLOOKUP(T637,'LibSets constants'!$B$4:$C$1012,2,FALSE),"")</f>
        <v>Scions of Ithelia</v>
      </c>
      <c r="V637" s="89" t="s">
        <v>3285</v>
      </c>
      <c r="Y637" s="61"/>
      <c r="Z637" s="3" t="str">
        <f>IF(AND(G637&lt;&gt;"LIBSETS_SETTYPE_BATTLEGROUND",G637&lt;&gt;"LIBSETS_SETTYPE_SPECIAL"),
IF(AND(Y637&lt;&gt;"",ISNUMBER(Y637),NOT(ISNA(Y637))),Y637,
   IF(AND(L637&lt;&gt;"",ISNUMBER(L637),L637&gt;0,NOT(ISNA(L637))),VLOOKUP(L637,'ESO dumped WayshrineInfo'!$K$3:$L$9972,2,FALSE),"")
),"")</f>
        <v/>
      </c>
      <c r="AA637" t="str">
        <f>IF(AND(Z637&lt;&gt;"",ISNUMBER(Z637),NOT(ISNA(Z637))),VLOOKUP(Z637,'ESO zone constants'!$A$5:$D$10001,4,FALSE),"")</f>
        <v/>
      </c>
      <c r="AB637" s="89"/>
      <c r="AC637" s="39"/>
      <c r="AD637" s="39"/>
      <c r="AE637" s="39"/>
      <c r="AF637" s="3" t="str">
        <f>IF(AND(G637&lt;&gt;"LIBSETS_SETTYPE_BATTLEGROUND",G637&lt;&gt;"LIBSETS_SETTYPE_SPECIAL"),
IF(AND(AE637&lt;&gt;"",ISNUMBER(AE637),NOT(ISNA(AE637))),AE637,
   IF(AND(M637&lt;&gt;"",ISNUMBER(M637),M637&gt;0,NOT(ISNA(M637))),VLOOKUP(M637,'ESO dumped WayshrineInfo'!$K$3:$L$9972,2,FALSE),"")
),"")</f>
        <v/>
      </c>
      <c r="AG637" t="str">
        <f>IF(AND(AF637&lt;&gt;"",ISNUMBER(AF637),NOT(ISNA(AF637))),VLOOKUP(AF637,'ESO zone constants'!$A$5:$D$10001,4,FALSE),"")</f>
        <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8" t="s">
        <v>2653</v>
      </c>
      <c r="BA637" s="78"/>
      <c r="BB637" s="78"/>
      <c r="BC637"/>
      <c r="BD637"/>
      <c r="BE637" s="21" t="str">
        <f t="shared" si="59"/>
        <v>[735] = {wayshrines={-1,-1,-1,}, dlcId=DLC_SCIONS_OF_ITHELIA</v>
      </c>
      <c r="BF637" s="21" t="str">
        <f t="shared" si="60"/>
        <v>, zoneIds={1471}, veteran=false</v>
      </c>
      <c r="BG637" s="21" t="str">
        <f t="shared" si="61"/>
        <v>, setType=LIBSETS_SETTYPE_DUNGEON</v>
      </c>
      <c r="BH637" s="21" t="str">
        <f t="shared" si="62"/>
        <v>, dropMechanic={LIBSETS_DROP_MECHANIC_GROUP_DUNGEON_BOSS}</v>
      </c>
      <c r="BI637" s="21" t="str">
        <f t="shared" si="63"/>
        <v>}, --Blind Path Induction / Blind Path Induction   [Bedlam Veil]</v>
      </c>
    </row>
    <row r="638" spans="1:61" x14ac:dyDescent="0.25">
      <c r="A638" s="53">
        <v>736</v>
      </c>
      <c r="B638" s="53" t="s">
        <v>3900</v>
      </c>
      <c r="C638" s="53" t="s">
        <v>3900</v>
      </c>
      <c r="D638" s="3">
        <f t="shared" si="64"/>
        <v>736</v>
      </c>
      <c r="G638" s="8" t="s">
        <v>1473</v>
      </c>
      <c r="I638" t="s">
        <v>91</v>
      </c>
      <c r="J638" t="s">
        <v>91</v>
      </c>
      <c r="K638" s="53">
        <v>-1</v>
      </c>
      <c r="L638" s="53">
        <v>-1</v>
      </c>
      <c r="M638" s="53">
        <v>-1</v>
      </c>
      <c r="O638" s="61" t="s">
        <v>3896</v>
      </c>
      <c r="Q638" s="3">
        <f>IF(AND(P638&lt;&gt;"",ISNUMBER(P638),NOT(ISNA(P638))),P638,IF(R638&lt;&gt;"",VLOOKUP(R638,'ESO zone constants'!$D$5:$H$10003,5,FALSE),""))</f>
        <v>1471</v>
      </c>
      <c r="R638" t="str">
        <f>IF(AND(O638&lt;&gt;"",NOT(ISERROR(O638))),O638,
IF(AND(P638&lt;&gt;"",ISNUMBER(P638),P638&gt;0,NOT(ISNA(P638))),VLOOKUP(P638,'ESO zone constants'!$A$5:$D$10001,4,FALSE),
IF(AND(K638&lt;&gt;"",K638&gt;0,NOT(ISERROR(K638))),VLOOKUP(K638,'ESO dumped WayshrineInfo'!$K$3:$N$9972,4,FALSE),"")))</f>
        <v>Bedlam Veil</v>
      </c>
      <c r="S638" s="61" t="s">
        <v>3897</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constants'!$B$4:$C$1012,2,FALSE),"")</f>
        <v>Scions of Ithelia</v>
      </c>
      <c r="V638" s="89" t="s">
        <v>3285</v>
      </c>
      <c r="Y638" s="61"/>
      <c r="Z638" s="3" t="str">
        <f>IF(AND(G638&lt;&gt;"LIBSETS_SETTYPE_BATTLEGROUND",G638&lt;&gt;"LIBSETS_SETTYPE_SPECIAL"),
IF(AND(Y638&lt;&gt;"",ISNUMBER(Y638),NOT(ISNA(Y638))),Y638,
   IF(AND(L638&lt;&gt;"",ISNUMBER(L638),L638&gt;0,NOT(ISNA(L638))),VLOOKUP(L638,'ESO dumped WayshrineInfo'!$K$3:$L$9972,2,FALSE),"")
),"")</f>
        <v/>
      </c>
      <c r="AA638" t="str">
        <f>IF(AND(Z638&lt;&gt;"",ISNUMBER(Z638),NOT(ISNA(Z638))),VLOOKUP(Z638,'ESO zone constants'!$A$5:$D$10001,4,FALSE),"")</f>
        <v/>
      </c>
      <c r="AB638" s="89"/>
      <c r="AC638" s="39"/>
      <c r="AD638" s="39"/>
      <c r="AE638" s="39"/>
      <c r="AF638" s="3" t="str">
        <f>IF(AND(G638&lt;&gt;"LIBSETS_SETTYPE_BATTLEGROUND",G638&lt;&gt;"LIBSETS_SETTYPE_SPECIAL"),
IF(AND(AE638&lt;&gt;"",ISNUMBER(AE638),NOT(ISNA(AE638))),AE638,
   IF(AND(M638&lt;&gt;"",ISNUMBER(M638),M638&gt;0,NOT(ISNA(M638))),VLOOKUP(M638,'ESO dumped WayshrineInfo'!$K$3:$L$9972,2,FALSE),"")
),"")</f>
        <v/>
      </c>
      <c r="AG638" t="str">
        <f>IF(AND(AF638&lt;&gt;"",ISNUMBER(AF638),NOT(ISNA(AF638))),VLOOKUP(AF638,'ESO zone constants'!$A$5:$D$10001,4,FALSE),"")</f>
        <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8" t="s">
        <v>2653</v>
      </c>
      <c r="BA638" s="78"/>
      <c r="BB638" s="78"/>
      <c r="BC638"/>
      <c r="BD638"/>
      <c r="BE638" s="21" t="str">
        <f t="shared" si="59"/>
        <v>[736] = {wayshrines={-1,-1,-1,}, dlcId=DLC_SCIONS_OF_ITHELIA</v>
      </c>
      <c r="BF638" s="21" t="str">
        <f t="shared" si="60"/>
        <v>, zoneIds={1471}, veteran=false</v>
      </c>
      <c r="BG638" s="21" t="str">
        <f t="shared" si="61"/>
        <v>, setType=LIBSETS_SETTYPE_DUNGEON</v>
      </c>
      <c r="BH638" s="21" t="str">
        <f t="shared" si="62"/>
        <v>, dropMechanic={LIBSETS_DROP_MECHANIC_GROUP_DUNGEON_BOSS}</v>
      </c>
      <c r="BI638" s="21" t="str">
        <f t="shared" si="63"/>
        <v>}, --Tarnished Nightmare / Tarnished Nightmare   [Bedlam Veil]</v>
      </c>
    </row>
    <row r="639" spans="1:61" x14ac:dyDescent="0.25">
      <c r="A639" s="53">
        <v>737</v>
      </c>
      <c r="B639" s="53" t="s">
        <v>3901</v>
      </c>
      <c r="C639" s="53" t="s">
        <v>3901</v>
      </c>
      <c r="D639" s="3">
        <f t="shared" si="64"/>
        <v>737</v>
      </c>
      <c r="G639" s="8" t="s">
        <v>1473</v>
      </c>
      <c r="I639" t="s">
        <v>91</v>
      </c>
      <c r="J639" t="s">
        <v>91</v>
      </c>
      <c r="K639" s="53">
        <v>-1</v>
      </c>
      <c r="L639" s="53">
        <v>-1</v>
      </c>
      <c r="M639" s="53">
        <v>-1</v>
      </c>
      <c r="O639" s="61" t="s">
        <v>3896</v>
      </c>
      <c r="Q639" s="3">
        <f>IF(AND(P639&lt;&gt;"",ISNUMBER(P639),NOT(ISNA(P639))),P639,IF(R639&lt;&gt;"",VLOOKUP(R639,'ESO zone constants'!$D$5:$H$10003,5,FALSE),""))</f>
        <v>1471</v>
      </c>
      <c r="R639" t="str">
        <f>IF(AND(O639&lt;&gt;"",NOT(ISERROR(O639))),O639,
IF(AND(P639&lt;&gt;"",ISNUMBER(P639),P639&gt;0,NOT(ISNA(P639))),VLOOKUP(P639,'ESO zone constants'!$A$5:$D$10001,4,FALSE),
IF(AND(K639&lt;&gt;"",K639&gt;0,NOT(ISERROR(K639))),VLOOKUP(K639,'ESO dumped WayshrineInfo'!$K$3:$N$9972,4,FALSE),"")))</f>
        <v>Bedlam Veil</v>
      </c>
      <c r="S639" s="61" t="s">
        <v>3897</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constants'!$B$4:$C$1012,2,FALSE),"")</f>
        <v>Scions of Ithelia</v>
      </c>
      <c r="V639" s="89" t="s">
        <v>3285</v>
      </c>
      <c r="Y639" s="61"/>
      <c r="Z639" s="3" t="str">
        <f>IF(AND(G639&lt;&gt;"LIBSETS_SETTYPE_BATTLEGROUND",G639&lt;&gt;"LIBSETS_SETTYPE_SPECIAL"),
IF(AND(Y639&lt;&gt;"",ISNUMBER(Y639),NOT(ISNA(Y639))),Y639,
   IF(AND(L639&lt;&gt;"",ISNUMBER(L639),L639&gt;0,NOT(ISNA(L639))),VLOOKUP(L639,'ESO dumped WayshrineInfo'!$K$3:$L$9972,2,FALSE),"")
),"")</f>
        <v/>
      </c>
      <c r="AA639" t="str">
        <f>IF(AND(Z639&lt;&gt;"",ISNUMBER(Z639),NOT(ISNA(Z639))),VLOOKUP(Z639,'ESO zone constants'!$A$5:$D$10001,4,FALSE),"")</f>
        <v/>
      </c>
      <c r="AB639" s="89"/>
      <c r="AC639" s="39"/>
      <c r="AD639" s="39"/>
      <c r="AE639" s="39"/>
      <c r="AF639" s="3" t="str">
        <f>IF(AND(G639&lt;&gt;"LIBSETS_SETTYPE_BATTLEGROUND",G639&lt;&gt;"LIBSETS_SETTYPE_SPECIAL"),
IF(AND(AE639&lt;&gt;"",ISNUMBER(AE639),NOT(ISNA(AE639))),AE639,
   IF(AND(M639&lt;&gt;"",ISNUMBER(M639),M639&gt;0,NOT(ISNA(M639))),VLOOKUP(M639,'ESO dumped WayshrineInfo'!$K$3:$L$9972,2,FALSE),"")
),"")</f>
        <v/>
      </c>
      <c r="AG639" t="str">
        <f>IF(AND(AF639&lt;&gt;"",ISNUMBER(AF639),NOT(ISNA(AF639))),VLOOKUP(AF639,'ESO zone constants'!$A$5:$D$10001,4,FALSE),"")</f>
        <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8" t="s">
        <v>2653</v>
      </c>
      <c r="BA639" s="78"/>
      <c r="BB639" s="78"/>
      <c r="BC639"/>
      <c r="BD639"/>
      <c r="BE639" s="21" t="str">
        <f t="shared" si="59"/>
        <v>[737] = {wayshrines={-1,-1,-1,}, dlcId=DLC_SCIONS_OF_ITHELIA</v>
      </c>
      <c r="BF639" s="21" t="str">
        <f t="shared" si="60"/>
        <v>, zoneIds={1471}, veteran=false</v>
      </c>
      <c r="BG639" s="21" t="str">
        <f t="shared" si="61"/>
        <v>, setType=LIBSETS_SETTYPE_DUNGEON</v>
      </c>
      <c r="BH639" s="21" t="str">
        <f t="shared" si="62"/>
        <v>, dropMechanic={LIBSETS_DROP_MECHANIC_GROUP_DUNGEON_BOSS}</v>
      </c>
      <c r="BI639" s="21" t="str">
        <f t="shared" si="63"/>
        <v>}, --Reflected Fury / Reflected Fury   [Bedlam Veil]</v>
      </c>
    </row>
    <row r="640" spans="1:61" x14ac:dyDescent="0.25">
      <c r="A640" s="53">
        <v>730</v>
      </c>
      <c r="B640" s="53" t="s">
        <v>3902</v>
      </c>
      <c r="C640" s="53" t="s">
        <v>3902</v>
      </c>
      <c r="D640" s="3">
        <f t="shared" si="64"/>
        <v>730</v>
      </c>
      <c r="G640" s="8" t="s">
        <v>1473</v>
      </c>
      <c r="I640" t="s">
        <v>91</v>
      </c>
      <c r="J640" t="s">
        <v>91</v>
      </c>
      <c r="K640" s="53">
        <v>-1</v>
      </c>
      <c r="L640" s="53">
        <v>-1</v>
      </c>
      <c r="M640" s="53">
        <v>-1</v>
      </c>
      <c r="O640" s="61" t="s">
        <v>3895</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WayshrineInfo'!$K$3:$N$9972,4,FALSE),"")))</f>
        <v>Oathsworn Pit</v>
      </c>
      <c r="S640" s="61" t="s">
        <v>3897</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constants'!$B$4:$C$1012,2,FALSE),"")</f>
        <v>Scions of Ithelia</v>
      </c>
      <c r="V640" s="89" t="s">
        <v>3285</v>
      </c>
      <c r="Y640" s="61"/>
      <c r="Z640" s="3" t="str">
        <f>IF(AND(G640&lt;&gt;"LIBSETS_SETTYPE_BATTLEGROUND",G640&lt;&gt;"LIBSETS_SETTYPE_SPECIAL"),
IF(AND(Y640&lt;&gt;"",ISNUMBER(Y640),NOT(ISNA(Y640))),Y640,
   IF(AND(L640&lt;&gt;"",ISNUMBER(L640),L640&gt;0,NOT(ISNA(L640))),VLOOKUP(L640,'ESO dumped WayshrineInfo'!$K$3:$L$9972,2,FALSE),"")
),"")</f>
        <v/>
      </c>
      <c r="AA640" t="str">
        <f>IF(AND(Z640&lt;&gt;"",ISNUMBER(Z640),NOT(ISNA(Z640))),VLOOKUP(Z640,'ESO zone constants'!$A$5:$D$10001,4,FALSE),"")</f>
        <v/>
      </c>
      <c r="AB640" s="89"/>
      <c r="AC640" s="39"/>
      <c r="AD640" s="39"/>
      <c r="AE640" s="39"/>
      <c r="AF640" s="3" t="str">
        <f>IF(AND(G640&lt;&gt;"LIBSETS_SETTYPE_BATTLEGROUND",G640&lt;&gt;"LIBSETS_SETTYPE_SPECIAL"),
IF(AND(AE640&lt;&gt;"",ISNUMBER(AE640),NOT(ISNA(AE640))),AE640,
   IF(AND(M640&lt;&gt;"",ISNUMBER(M640),M640&gt;0,NOT(ISNA(M640))),VLOOKUP(M640,'ESO dumped WayshrineInfo'!$K$3:$L$9972,2,FALSE),"")
),"")</f>
        <v/>
      </c>
      <c r="AG640" t="str">
        <f>IF(AND(AF640&lt;&gt;"",ISNUMBER(AF640),NOT(ISNA(AF640))),VLOOKUP(AF640,'ESO zone constants'!$A$5:$D$10001,4,FALSE),"")</f>
        <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8" t="s">
        <v>2653</v>
      </c>
      <c r="BA640" s="78"/>
      <c r="BB640" s="78"/>
      <c r="BC640"/>
      <c r="BD640"/>
      <c r="BE640" s="21" t="str">
        <f t="shared" si="59"/>
        <v>[730] = {wayshrines={-1,-1,-1,}, dlcId=DLC_SCIONS_OF_ITHELIA</v>
      </c>
      <c r="BF640" s="21" t="str">
        <f t="shared" si="60"/>
        <v>, zoneIds={1470}, veteran=false</v>
      </c>
      <c r="BG640" s="21" t="str">
        <f t="shared" si="61"/>
        <v>, setType=LIBSETS_SETTYPE_DUNGEON</v>
      </c>
      <c r="BH640" s="21" t="str">
        <f t="shared" si="62"/>
        <v>, dropMechanic={LIBSETS_DROP_MECHANIC_GROUP_DUNGEON_BOSS}</v>
      </c>
      <c r="BI640" s="21" t="str">
        <f t="shared" si="63"/>
        <v>}, --Cinders of Anthelmir / Cinders of Anthelmir   [Oathsworn Pit]</v>
      </c>
    </row>
    <row r="641" spans="1:61" x14ac:dyDescent="0.25">
      <c r="A641" s="53">
        <v>731</v>
      </c>
      <c r="B641" s="53" t="s">
        <v>3904</v>
      </c>
      <c r="C641" s="53" t="s">
        <v>3904</v>
      </c>
      <c r="D641" s="3">
        <f t="shared" si="64"/>
        <v>731</v>
      </c>
      <c r="G641" s="8" t="s">
        <v>1473</v>
      </c>
      <c r="I641" t="s">
        <v>91</v>
      </c>
      <c r="J641" t="s">
        <v>91</v>
      </c>
      <c r="K641" s="53">
        <v>-1</v>
      </c>
      <c r="L641" s="53">
        <v>-1</v>
      </c>
      <c r="M641" s="53">
        <v>-1</v>
      </c>
      <c r="O641" s="61" t="s">
        <v>3895</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WayshrineInfo'!$K$3:$N$9972,4,FALSE),"")))</f>
        <v>Oathsworn Pit</v>
      </c>
      <c r="S641" s="61" t="s">
        <v>3897</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constants'!$B$4:$C$1012,2,FALSE),"")</f>
        <v>Scions of Ithelia</v>
      </c>
      <c r="V641" s="89" t="s">
        <v>3285</v>
      </c>
      <c r="Y641" s="61"/>
      <c r="Z641" s="3" t="str">
        <f>IF(AND(G641&lt;&gt;"LIBSETS_SETTYPE_BATTLEGROUND",G641&lt;&gt;"LIBSETS_SETTYPE_SPECIAL"),
IF(AND(Y641&lt;&gt;"",ISNUMBER(Y641),NOT(ISNA(Y641))),Y641,
   IF(AND(L641&lt;&gt;"",ISNUMBER(L641),L641&gt;0,NOT(ISNA(L641))),VLOOKUP(L641,'ESO dumped WayshrineInfo'!$K$3:$L$9972,2,FALSE),"")
),"")</f>
        <v/>
      </c>
      <c r="AA641" t="str">
        <f>IF(AND(Z641&lt;&gt;"",ISNUMBER(Z641),NOT(ISNA(Z641))),VLOOKUP(Z641,'ESO zone constants'!$A$5:$D$10001,4,FALSE),"")</f>
        <v/>
      </c>
      <c r="AB641" s="89"/>
      <c r="AC641" s="39"/>
      <c r="AD641" s="39"/>
      <c r="AE641" s="39"/>
      <c r="AF641" s="3" t="str">
        <f>IF(AND(G641&lt;&gt;"LIBSETS_SETTYPE_BATTLEGROUND",G641&lt;&gt;"LIBSETS_SETTYPE_SPECIAL"),
IF(AND(AE641&lt;&gt;"",ISNUMBER(AE641),NOT(ISNA(AE641))),AE641,
   IF(AND(M641&lt;&gt;"",ISNUMBER(M641),M641&gt;0,NOT(ISNA(M641))),VLOOKUP(M641,'ESO dumped WayshrineInfo'!$K$3:$L$9972,2,FALSE),"")
),"")</f>
        <v/>
      </c>
      <c r="AG641" t="str">
        <f>IF(AND(AF641&lt;&gt;"",ISNUMBER(AF641),NOT(ISNA(AF641))),VLOOKUP(AF641,'ESO zone constants'!$A$5:$D$10001,4,FALSE),"")</f>
        <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8" t="s">
        <v>2653</v>
      </c>
      <c r="BA641" s="78"/>
      <c r="BB641" s="78"/>
      <c r="BC641"/>
      <c r="BD641"/>
      <c r="BE641" s="21" t="str">
        <f t="shared" si="59"/>
        <v>[731] = {wayshrines={-1,-1,-1,}, dlcId=DLC_SCIONS_OF_ITHELIA</v>
      </c>
      <c r="BF641" s="21" t="str">
        <f t="shared" si="60"/>
        <v>, zoneIds={1470}, veteran=false</v>
      </c>
      <c r="BG641" s="21" t="str">
        <f t="shared" si="61"/>
        <v>, setType=LIBSETS_SETTYPE_DUNGEON</v>
      </c>
      <c r="BH641" s="21" t="str">
        <f t="shared" si="62"/>
        <v>, dropMechanic={LIBSETS_DROP_MECHANIC_GROUP_DUNGEON_BOSS}</v>
      </c>
      <c r="BI641" s="21" t="str">
        <f t="shared" si="63"/>
        <v>}, --Sluthrug\'s Hunger / Sluthrug\'s Hunger   [Oathsworn Pit]</v>
      </c>
    </row>
    <row r="642" spans="1:61" x14ac:dyDescent="0.25">
      <c r="A642" s="53">
        <v>732</v>
      </c>
      <c r="B642" s="53" t="s">
        <v>3903</v>
      </c>
      <c r="C642" s="53" t="s">
        <v>3903</v>
      </c>
      <c r="D642" s="3">
        <f t="shared" si="64"/>
        <v>732</v>
      </c>
      <c r="G642" s="8" t="s">
        <v>1473</v>
      </c>
      <c r="I642" t="s">
        <v>91</v>
      </c>
      <c r="J642" t="s">
        <v>91</v>
      </c>
      <c r="K642" s="53">
        <v>-1</v>
      </c>
      <c r="L642" s="53">
        <v>-1</v>
      </c>
      <c r="M642" s="53">
        <v>-1</v>
      </c>
      <c r="O642" s="61" t="s">
        <v>3895</v>
      </c>
      <c r="Q642" s="3">
        <f>IF(AND(P642&lt;&gt;"",ISNUMBER(P642),NOT(ISNA(P642))),P642,IF(R642&lt;&gt;"",VLOOKUP(R642,'ESO zone constants'!$D$5:$H$10003,5,FALSE),""))</f>
        <v>1470</v>
      </c>
      <c r="R642" t="str">
        <f>IF(AND(O642&lt;&gt;"",NOT(ISERROR(O642))),O642,
IF(AND(P642&lt;&gt;"",ISNUMBER(P642),P642&gt;0,NOT(ISNA(P642))),VLOOKUP(P642,'ESO zone constants'!$A$5:$D$10001,4,FALSE),
IF(AND(K642&lt;&gt;"",K642&gt;0,NOT(ISERROR(K642))),VLOOKUP(K642,'ESO dumped WayshrineInfo'!$K$3:$N$9972,4,FALSE),"")))</f>
        <v>Oathsworn Pit</v>
      </c>
      <c r="S642" s="61" t="s">
        <v>3897</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constants'!$B$4:$C$1012,2,FALSE),"")</f>
        <v>Scions of Ithelia</v>
      </c>
      <c r="V642" s="89" t="s">
        <v>3285</v>
      </c>
      <c r="Y642" s="61"/>
      <c r="Z642" s="3" t="str">
        <f>IF(AND(G642&lt;&gt;"LIBSETS_SETTYPE_BATTLEGROUND",G642&lt;&gt;"LIBSETS_SETTYPE_SPECIAL"),
IF(AND(Y642&lt;&gt;"",ISNUMBER(Y642),NOT(ISNA(Y642))),Y642,
   IF(AND(L642&lt;&gt;"",ISNUMBER(L642),L642&gt;0,NOT(ISNA(L642))),VLOOKUP(L642,'ESO dumped WayshrineInfo'!$K$3:$L$9972,2,FALSE),"")
),"")</f>
        <v/>
      </c>
      <c r="AA642" t="str">
        <f>IF(AND(Z642&lt;&gt;"",ISNUMBER(Z642),NOT(ISNA(Z642))),VLOOKUP(Z642,'ESO zone constants'!$A$5:$D$10001,4,FALSE),"")</f>
        <v/>
      </c>
      <c r="AB642" s="89"/>
      <c r="AC642" s="39"/>
      <c r="AD642" s="39"/>
      <c r="AE642" s="39"/>
      <c r="AF642" s="3" t="str">
        <f>IF(AND(G642&lt;&gt;"LIBSETS_SETTYPE_BATTLEGROUND",G642&lt;&gt;"LIBSETS_SETTYPE_SPECIAL"),
IF(AND(AE642&lt;&gt;"",ISNUMBER(AE642),NOT(ISNA(AE642))),AE642,
   IF(AND(M642&lt;&gt;"",ISNUMBER(M642),M642&gt;0,NOT(ISNA(M642))),VLOOKUP(M642,'ESO dumped WayshrineInfo'!$K$3:$L$9972,2,FALSE),"")
),"")</f>
        <v/>
      </c>
      <c r="AG642" t="str">
        <f>IF(AND(AF642&lt;&gt;"",ISNUMBER(AF642),NOT(ISNA(AF642))),VLOOKUP(AF642,'ESO zone constants'!$A$5:$D$10001,4,FALSE),"")</f>
        <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8" t="s">
        <v>2653</v>
      </c>
      <c r="BA642" s="78"/>
      <c r="BB642" s="78"/>
      <c r="BC642"/>
      <c r="BD642"/>
      <c r="BE642" s="21" t="str">
        <f t="shared" si="59"/>
        <v>[732] = {wayshrines={-1,-1,-1,}, dlcId=DLC_SCIONS_OF_ITHELIA</v>
      </c>
      <c r="BF642" s="21" t="str">
        <f t="shared" si="60"/>
        <v>, zoneIds={1470}, veteran=false</v>
      </c>
      <c r="BG642" s="21" t="str">
        <f t="shared" si="61"/>
        <v>, setType=LIBSETS_SETTYPE_DUNGEON</v>
      </c>
      <c r="BH642" s="21" t="str">
        <f t="shared" si="62"/>
        <v>, dropMechanic={LIBSETS_DROP_MECHANIC_GROUP_DUNGEON_BOSS}</v>
      </c>
      <c r="BI642" s="21" t="str">
        <f t="shared" si="63"/>
        <v>}, --Black-Grove Grounding / Black-Grove Grounding   [Oathsworn Pit]</v>
      </c>
    </row>
    <row r="643" spans="1:61" x14ac:dyDescent="0.25">
      <c r="A643" s="53">
        <v>738</v>
      </c>
      <c r="B643" s="53" t="s">
        <v>3906</v>
      </c>
      <c r="C643" s="53" t="s">
        <v>3905</v>
      </c>
      <c r="D643" s="3">
        <f t="shared" si="64"/>
        <v>738</v>
      </c>
      <c r="G643" s="8" t="s">
        <v>1475</v>
      </c>
      <c r="I643" t="s">
        <v>91</v>
      </c>
      <c r="J643" t="s">
        <v>91</v>
      </c>
      <c r="K643" s="53">
        <v>-1</v>
      </c>
      <c r="L643" s="53">
        <v>-1</v>
      </c>
      <c r="M643" s="53">
        <v>-1</v>
      </c>
      <c r="O643" s="61" t="s">
        <v>3896</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WayshrineInfo'!$K$3:$N$9972,4,FALSE),"")))</f>
        <v>Bedlam Veil</v>
      </c>
      <c r="S643" s="61" t="s">
        <v>3897</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constants'!$B$4:$C$1012,2,FALSE),"")</f>
        <v>Scions of Ithelia</v>
      </c>
      <c r="V643" s="33" t="s">
        <v>1538</v>
      </c>
      <c r="W643" s="3" t="s">
        <v>3905</v>
      </c>
      <c r="X643" s="3" t="s">
        <v>3906</v>
      </c>
      <c r="Y643" s="61"/>
      <c r="Z643" s="3" t="str">
        <f>IF(AND(G643&lt;&gt;"LIBSETS_SETTYPE_BATTLEGROUND",G643&lt;&gt;"LIBSETS_SETTYPE_SPECIAL"),
IF(AND(Y643&lt;&gt;"",ISNUMBER(Y643),NOT(ISNA(Y643))),Y643,
   IF(AND(L643&lt;&gt;"",ISNUMBER(L643),L643&gt;0,NOT(ISNA(L643))),VLOOKUP(L643,'ESO dumped WayshrineInfo'!$K$3:$L$9972,2,FALSE),"")
),"")</f>
        <v/>
      </c>
      <c r="AA643" t="str">
        <f>IF(AND(Z643&lt;&gt;"",ISNUMBER(Z643),NOT(ISNA(Z643))),VLOOKUP(Z643,'ESO zone constants'!$A$5:$D$10001,4,FALSE),"")</f>
        <v/>
      </c>
      <c r="AB643" s="89"/>
      <c r="AC643" s="39"/>
      <c r="AD643" s="39"/>
      <c r="AE643" s="39"/>
      <c r="AF643" s="3" t="str">
        <f>IF(AND(G643&lt;&gt;"LIBSETS_SETTYPE_BATTLEGROUND",G643&lt;&gt;"LIBSETS_SETTYPE_SPECIAL"),
IF(AND(AE643&lt;&gt;"",ISNUMBER(AE643),NOT(ISNA(AE643))),AE643,
   IF(AND(M643&lt;&gt;"",ISNUMBER(M643),M643&gt;0,NOT(ISNA(M643))),VLOOKUP(M643,'ESO dumped WayshrineInfo'!$K$3:$L$9972,2,FALSE),"")
),"")</f>
        <v/>
      </c>
      <c r="AG643" t="str">
        <f>IF(AND(AF643&lt;&gt;"",ISNUMBER(AF643),NOT(ISNA(AF643))),VLOOKUP(AF643,'ESO zone constants'!$A$5:$D$10001,4,FALSE),"")</f>
        <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8" t="s">
        <v>2653</v>
      </c>
      <c r="BA643" s="78"/>
      <c r="BB643" s="78"/>
      <c r="BC643"/>
      <c r="BD643"/>
      <c r="BE643" s="21" t="str">
        <f t="shared" si="59"/>
        <v>[738] = {wayshrines={-1,-1,-1,}, dlcId=DLC_SCIONS_OF_ITHELIA</v>
      </c>
      <c r="BF643" s="21" t="str">
        <f t="shared" si="60"/>
        <v>, zoneIds={1471}, veteran=false</v>
      </c>
      <c r="BG643" s="21" t="str">
        <f t="shared" si="61"/>
        <v>, setType=LIBSETS_SETTYPE_MONSTER</v>
      </c>
      <c r="BH643" s="21" t="str">
        <f t="shared" si="62"/>
        <v>, dropMechanic={LIBSETS_DROP_MECHANIC_MONSTER_NAME}, dropMechanicDropLocationNames={['en']={'The Blind','','','','','',},['de']={'Der Blinde','','','','','',},}</v>
      </c>
      <c r="BI643" s="21" t="str">
        <f t="shared" si="63"/>
        <v>}, --The Blind / Der Blinde   [Bedlam Veil]</v>
      </c>
    </row>
    <row r="644" spans="1:61" x14ac:dyDescent="0.25">
      <c r="A644" s="53">
        <v>734</v>
      </c>
      <c r="B644" s="53" t="s">
        <v>3907</v>
      </c>
      <c r="C644" s="53" t="s">
        <v>3908</v>
      </c>
      <c r="D644" s="3">
        <f t="shared" si="64"/>
        <v>734</v>
      </c>
      <c r="G644" s="8" t="s">
        <v>1475</v>
      </c>
      <c r="I644" t="s">
        <v>91</v>
      </c>
      <c r="J644" t="s">
        <v>91</v>
      </c>
      <c r="K644" s="53">
        <v>-1</v>
      </c>
      <c r="L644" s="53">
        <v>-1</v>
      </c>
      <c r="M644" s="53">
        <v>-1</v>
      </c>
      <c r="O644" s="61" t="s">
        <v>3895</v>
      </c>
      <c r="Q644" s="3">
        <f>IF(AND(P644&lt;&gt;"",ISNUMBER(P644),NOT(ISNA(P644))),P644,IF(R644&lt;&gt;"",VLOOKUP(R644,'ESO zone constants'!$D$5:$H$10003,5,FALSE),""))</f>
        <v>1470</v>
      </c>
      <c r="R644" t="str">
        <f>IF(AND(O644&lt;&gt;"",NOT(ISERROR(O644))),O644,
IF(AND(P644&lt;&gt;"",ISNUMBER(P644),P644&gt;0,NOT(ISNA(P644))),VLOOKUP(P644,'ESO zone constants'!$A$5:$D$10001,4,FALSE),
IF(AND(K644&lt;&gt;"",K644&gt;0,NOT(ISERROR(K644))),VLOOKUP(K644,'ESO dumped WayshrineInfo'!$K$3:$N$9972,4,FALSE),"")))</f>
        <v>Oathsworn Pit</v>
      </c>
      <c r="S644" s="61" t="s">
        <v>3897</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constants'!$B$4:$C$1012,2,FALSE),"")</f>
        <v>Scions of Ithelia</v>
      </c>
      <c r="V644" s="33" t="s">
        <v>1538</v>
      </c>
      <c r="W644" s="3" t="s">
        <v>3907</v>
      </c>
      <c r="X644" s="3" t="s">
        <v>3908</v>
      </c>
      <c r="Y644" s="61"/>
      <c r="Z644" s="3" t="str">
        <f>IF(AND(G644&lt;&gt;"LIBSETS_SETTYPE_BATTLEGROUND",G644&lt;&gt;"LIBSETS_SETTYPE_SPECIAL"),
IF(AND(Y644&lt;&gt;"",ISNUMBER(Y644),NOT(ISNA(Y644))),Y644,
   IF(AND(L644&lt;&gt;"",ISNUMBER(L644),L644&gt;0,NOT(ISNA(L644))),VLOOKUP(L644,'ESO dumped WayshrineInfo'!$K$3:$L$9972,2,FALSE),"")
),"")</f>
        <v/>
      </c>
      <c r="AA644" t="str">
        <f>IF(AND(Z644&lt;&gt;"",ISNUMBER(Z644),NOT(ISNA(Z644))),VLOOKUP(Z644,'ESO zone constants'!$A$5:$D$10001,4,FALSE),"")</f>
        <v/>
      </c>
      <c r="AB644" s="89"/>
      <c r="AC644" s="39"/>
      <c r="AD644" s="39"/>
      <c r="AE644" s="39"/>
      <c r="AF644" s="3" t="str">
        <f>IF(AND(G644&lt;&gt;"LIBSETS_SETTYPE_BATTLEGROUND",G644&lt;&gt;"LIBSETS_SETTYPE_SPECIAL"),
IF(AND(AE644&lt;&gt;"",ISNUMBER(AE644),NOT(ISNA(AE644))),AE644,
   IF(AND(M644&lt;&gt;"",ISNUMBER(M644),M644&gt;0,NOT(ISNA(M644))),VLOOKUP(M644,'ESO dumped WayshrineInfo'!$K$3:$L$9972,2,FALSE),"")
),"")</f>
        <v/>
      </c>
      <c r="AG644" t="str">
        <f>IF(AND(AF644&lt;&gt;"",ISNUMBER(AF644),NOT(ISNA(AF644))),VLOOKUP(AF644,'ESO zone constants'!$A$5:$D$10001,4,FALSE),"")</f>
        <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8" t="s">
        <v>2653</v>
      </c>
      <c r="BA644" s="78"/>
      <c r="BB644" s="78"/>
      <c r="BC644"/>
      <c r="BD644"/>
      <c r="BE644" s="21" t="str">
        <f t="shared" ref="BE644:BE648" si="65">IF(A644="???","--","")&amp;IF(F644&lt;&gt;"Not in the game (anymore)",IF(A644&lt;&gt;"",CONCATENATE("[",A644,"] = {wayshrines={")&amp;IF(K644&lt;&gt;"",CONCATENATE(K644,","),"")&amp;IF(L644&lt;&gt;"",CONCATENATE(L644,","),"")&amp;IF(M644&lt;&gt;"",CONCATENATE(M644,","),"")&amp;CONCATENATE("}")&amp;IF(VALUE(N644)&gt;0,CONCATENATE(", traitsNeeded=",N644),"")&amp;CONCATENATE(", dlcId=",IF(T644&lt;&gt;"",T644,"DLC_BASE_GAME")),""),"")</f>
        <v>[734] = {wayshrines={-1,-1,-1,}, dlcId=DLC_SCIONS_OF_ITHELIA</v>
      </c>
      <c r="BF644" s="21" t="str">
        <f t="shared" ref="BF644:BF648" si="66">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zoneIds={1470}, veteran=false</v>
      </c>
      <c r="BG644" s="21" t="str">
        <f t="shared" ref="BG644:BG648" si="67">IF(A644&lt;&gt;"",IF(F644&lt;&gt;"Not in the game (anymore)",IF(A644&lt;&gt;"",", setType="&amp;G644,"")&amp;IF(G644="LIBSETS_SETTYPE_CLASS",", classId="&amp;BC644,"")&amp;IF(J644="true",", multiTrialSet=true",""),"")
&amp; IF(AND(H644&lt;&gt;"",ISNUMBER(H644)),", undauntedChestId=" &amp; H644,""),"")</f>
        <v>, setType=LIBSETS_SETTYPE_MONSTER</v>
      </c>
      <c r="BH644" s="21" t="str">
        <f t="shared" ref="BH644:BH648" si="68">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dropMechanic={LIBSETS_DROP_MECHANIC_MONSTER_NAME}, dropMechanicDropLocationNames={['en']={'Anthelmirs Konstrukt','','','','','',},['de']={'Anthelmir\'s Construct','','','','','',},}</v>
      </c>
      <c r="BI644" s="21" t="str">
        <f t="shared" ref="BI644:BI648" si="69">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--Anthelmir\'s Construct / Anthelmirs Konstrukt   [Oathsworn Pit]</v>
      </c>
    </row>
    <row r="645" spans="1:61" x14ac:dyDescent="0.25">
      <c r="A645" s="53">
        <v>693</v>
      </c>
      <c r="B645" s="53" t="s">
        <v>3909</v>
      </c>
      <c r="C645" s="53" t="s">
        <v>3909</v>
      </c>
      <c r="D645" s="3">
        <f t="shared" si="64"/>
        <v>693</v>
      </c>
      <c r="G645" s="8" t="s">
        <v>1678</v>
      </c>
      <c r="I645" t="s">
        <v>91</v>
      </c>
      <c r="J645" t="s">
        <v>91</v>
      </c>
      <c r="K645" s="36">
        <v>546</v>
      </c>
      <c r="L645" s="36">
        <v>546</v>
      </c>
      <c r="M645" s="36">
        <v>546</v>
      </c>
      <c r="P645" s="61">
        <v>1413</v>
      </c>
      <c r="Q645" s="3">
        <f>IF(AND(P645&lt;&gt;"",ISNUMBER(P645),NOT(ISNA(P645))),P645,IF(R645&lt;&gt;"",VLOOKUP(R645,'ESO zone constants'!$D$5:$H$10003,5,FALSE),""))</f>
        <v>1413</v>
      </c>
      <c r="R645" t="str">
        <f>IF(AND(O645&lt;&gt;"",NOT(ISERROR(O645))),O645,
IF(AND(P645&lt;&gt;"",ISNUMBER(P645),P645&gt;0,NOT(ISNA(P645))),VLOOKUP(P645,'ESO zone constants'!$A$5:$D$10001,4,FALSE),
IF(AND(K645&lt;&gt;"",K645&gt;0,NOT(ISERROR(K645))),VLOOKUP(K645,'ESO dumped WayshrineInfo'!$K$3:$N$9972,4,FALSE),"")))</f>
        <v>Apocrypha</v>
      </c>
      <c r="S645" s="61" t="s">
        <v>3897</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constants'!$B$4:$C$1012,2,FALSE),"")</f>
        <v>Scions of Ithelia</v>
      </c>
      <c r="V645" s="33" t="s">
        <v>3754</v>
      </c>
      <c r="W645" s="3" t="s">
        <v>3960</v>
      </c>
      <c r="X645" s="3" t="s">
        <v>3961</v>
      </c>
      <c r="Y645" s="61"/>
      <c r="Z645" s="3">
        <f>IF(AND(G645&lt;&gt;"LIBSETS_SETTYPE_BATTLEGROUND",G645&lt;&gt;"LIBSETS_SETTYPE_SPECIAL"),
IF(AND(Y645&lt;&gt;"",ISNUMBER(Y645),NOT(ISNA(Y645))),Y645,
   IF(AND(L645&lt;&gt;"",ISNUMBER(L645),L645&gt;0,NOT(ISNA(L645))),VLOOKUP(L645,'ESO dumped WayshrineInfo'!$K$3:$L$9972,2,FALSE),"")
),"")</f>
        <v>1413</v>
      </c>
      <c r="AA645" t="str">
        <f>IF(AND(Z645&lt;&gt;"",ISNUMBER(Z645),NOT(ISNA(Z645))),VLOOKUP(Z645,'ESO zone constants'!$A$5:$D$10001,4,FALSE),"")</f>
        <v>Apocrypha</v>
      </c>
      <c r="AB645" s="33" t="s">
        <v>3754</v>
      </c>
      <c r="AC645" s="3" t="s">
        <v>3960</v>
      </c>
      <c r="AD645" s="3" t="s">
        <v>3961</v>
      </c>
      <c r="AE645" s="39"/>
      <c r="AF645" s="3">
        <f>IF(AND(G645&lt;&gt;"LIBSETS_SETTYPE_BATTLEGROUND",G645&lt;&gt;"LIBSETS_SETTYPE_SPECIAL"),
IF(AND(AE645&lt;&gt;"",ISNUMBER(AE645),NOT(ISNA(AE645))),AE645,
   IF(AND(M645&lt;&gt;"",ISNUMBER(M645),M645&gt;0,NOT(ISNA(M645))),VLOOKUP(M645,'ESO dumped WayshrineInfo'!$K$3:$L$9972,2,FALSE),"")
),"")</f>
        <v>1413</v>
      </c>
      <c r="AG645" t="str">
        <f>IF(AND(AF645&lt;&gt;"",ISNUMBER(AF645),NOT(ISNA(AF645))),VLOOKUP(AF645,'ESO zone constants'!$A$5:$D$10001,4,FALSE),"")</f>
        <v>Apocrypha</v>
      </c>
      <c r="AH645" s="33" t="s">
        <v>3754</v>
      </c>
      <c r="AI645" s="3" t="s">
        <v>3960</v>
      </c>
      <c r="AJ645" s="3" t="s">
        <v>3961</v>
      </c>
      <c r="AK645" s="3">
        <f>IF(AND(G645&lt;&gt;"LIBSETS_SETTYPE_BATTLEGROUND",G645&lt;&gt;"LIBSETS_SETTYPE_SPECIAL"),IF(AL645&lt;&gt;"",VLOOKUP(AL645,'ESO zone constants'!$D$5:$H$4955,5,FALSE),""),"")</f>
        <v>1413</v>
      </c>
      <c r="AL645" t="s">
        <v>3628</v>
      </c>
      <c r="AM645" s="33" t="s">
        <v>3754</v>
      </c>
      <c r="AN645" s="3" t="s">
        <v>3960</v>
      </c>
      <c r="AO645" s="3" t="s">
        <v>3961</v>
      </c>
      <c r="AP645" s="3">
        <f>IF(AND(G645&lt;&gt;"LIBSETS_SETTYPE_BATTLEGROUND",G645&lt;&gt;"LIBSETS_SETTYPE_SPECIAL"),IF(AQ645&lt;&gt;"",VLOOKUP(AQ645,'ESO zone constants'!$D$5:$H$4955,5,FALSE),""),"")</f>
        <v>1413</v>
      </c>
      <c r="AQ645" t="s">
        <v>3628</v>
      </c>
      <c r="AR645" s="33" t="s">
        <v>3754</v>
      </c>
      <c r="AS645" s="3" t="s">
        <v>3960</v>
      </c>
      <c r="AT645" s="3" t="s">
        <v>3961</v>
      </c>
      <c r="AU645" s="3" t="str">
        <f>IF(AND(G645&lt;&gt;"LIBSETS_SETTYPE_BATTLEGROUND",G645&lt;&gt;"LIBSETS_SETTYPE_SPECIAL"),IF(AV645&lt;&gt;"",VLOOKUP(AV645,'ESO zone constants'!$D$5:$H$4955,5,FALSE),""),"")</f>
        <v/>
      </c>
      <c r="AW645" s="42"/>
      <c r="AX645" s="39"/>
      <c r="AY645" s="39"/>
      <c r="AZ645" s="78" t="s">
        <v>2653</v>
      </c>
      <c r="BA645" s="78" t="s">
        <v>3959</v>
      </c>
      <c r="BB645" s="78" t="s">
        <v>3959</v>
      </c>
      <c r="BC645"/>
      <c r="BD645"/>
      <c r="BE645" s="21" t="str">
        <f t="shared" si="65"/>
        <v>[693] = {wayshrines={546,546,546,}, dlcId=DLC_SCIONS_OF_ITHELIA</v>
      </c>
      <c r="BF645" s="21" t="str">
        <f t="shared" si="66"/>
        <v>, zoneIds={1413,1413,1413,1413,1413}, veteran=false</v>
      </c>
      <c r="BG645" s="21" t="str">
        <f t="shared" si="67"/>
        <v>, setType=LIBSETS_SETTYPE_MYTHIC</v>
      </c>
      <c r="BH645" s="21" t="str">
        <f t="shared" si="6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45" s="21" t="str">
        <f t="shared" si="69"/>
        <v>, addTooltip={['en']='https://en.uesp.net/wiki/Online:Torc_of_the_Last_Ayleid_King',},}, --Torc of the Last Ayleid King / Torc of the Last Ayleid King   [Apocrypha, Apocrypha, Apocrypha, Apocrypha, Apocrypha]</v>
      </c>
    </row>
    <row r="646" spans="1:61" x14ac:dyDescent="0.25">
      <c r="A646" s="53">
        <v>754</v>
      </c>
      <c r="B646" s="53" t="s">
        <v>3910</v>
      </c>
      <c r="C646" s="53" t="s">
        <v>3910</v>
      </c>
      <c r="D646" s="3">
        <f t="shared" si="64"/>
        <v>754</v>
      </c>
      <c r="G646" s="3" t="s">
        <v>1471</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WayshrineInfo'!$K$3:$N$9972,4,FALSE),"")))</f>
        <v>Cyrodiil</v>
      </c>
      <c r="S646" s="61" t="s">
        <v>3897</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constants'!$B$4:$C$1012,2,FALSE),"")</f>
        <v>Scions of Ithelia</v>
      </c>
      <c r="V646" s="89" t="s">
        <v>1535</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constants'!$A$5:$D$10001,4,FALSE),"")</f>
        <v>Cyrodiil</v>
      </c>
      <c r="AB646" s="33" t="s">
        <v>3737</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constants'!$A$5:$D$10001,4,FALSE),"")</f>
        <v>Cyrodiil</v>
      </c>
      <c r="AH646" s="33" t="s">
        <v>2765</v>
      </c>
      <c r="AI646" s="39"/>
      <c r="AJ646" s="39"/>
      <c r="AK646" s="3">
        <f>IF(AND(G646&lt;&gt;"LIBSETS_SETTYPE_BATTLEGROUND",G646&lt;&gt;"LIBSETS_SETTYPE_SPECIAL"),IF(AL646&lt;&gt;"",VLOOKUP(AL646,'ESO zone constants'!$D$5:$H$4955,5,FALSE),""),"")</f>
        <v>181</v>
      </c>
      <c r="AL646" t="s">
        <v>125</v>
      </c>
      <c r="AM646" s="33" t="s">
        <v>3740</v>
      </c>
      <c r="AN646" s="39"/>
      <c r="AO646" s="39"/>
      <c r="AP646" s="3">
        <f>IF(AND(G646&lt;&gt;"LIBSETS_SETTYPE_BATTLEGROUND",G646&lt;&gt;"LIBSETS_SETTYPE_SPECIAL"),IF(AQ646&lt;&gt;"",VLOOKUP(AQ646,'ESO zone constants'!$D$5:$H$4955,5,FALSE),""),"")</f>
        <v>181</v>
      </c>
      <c r="AQ646" t="s">
        <v>125</v>
      </c>
      <c r="AR646" s="33" t="s">
        <v>1554</v>
      </c>
      <c r="AS646" s="39"/>
      <c r="AT646" s="39"/>
      <c r="AU646" s="3">
        <f>IF(AND(G646&lt;&gt;"LIBSETS_SETTYPE_BATTLEGROUND",G646&lt;&gt;"LIBSETS_SETTYPE_SPECIAL"),IF(AV646&lt;&gt;"",VLOOKUP(AV646,'ESO zone constants'!$D$5:$H$4955,5,FALSE),""),"")</f>
        <v>181</v>
      </c>
      <c r="AV646" t="s">
        <v>125</v>
      </c>
      <c r="AW646" s="33" t="s">
        <v>3236</v>
      </c>
      <c r="AX646" s="39"/>
      <c r="AY646" s="39"/>
      <c r="AZ646" s="78" t="s">
        <v>2653</v>
      </c>
      <c r="BA646" s="78"/>
      <c r="BB646" s="78"/>
      <c r="BC646"/>
      <c r="BD646"/>
      <c r="BE646" s="21" t="str">
        <f t="shared" si="65"/>
        <v>[754] = {wayshrines={-1,-1,-1,}, dlcId=DLC_SCIONS_OF_ITHELIA</v>
      </c>
      <c r="BF646" s="21" t="str">
        <f t="shared" si="66"/>
        <v>, zoneIds={181,181,181,181,181,181}, veteran=false</v>
      </c>
      <c r="BG646" s="21" t="str">
        <f t="shared" si="67"/>
        <v>, setType=LIBSETS_SETTYPE_CYRODIIL</v>
      </c>
      <c r="BH646"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 t="shared" si="69"/>
        <v>}, --Oakfather\'s Retribution / Oakfather\'s Retribution   [Cyrodiil, Cyrodiil, Cyrodiil, Cyrodiil, Cyrodiil, Cyrodiil]</v>
      </c>
    </row>
    <row r="647" spans="1:61" x14ac:dyDescent="0.25">
      <c r="A647" s="53">
        <v>755</v>
      </c>
      <c r="B647" s="53" t="s">
        <v>3911</v>
      </c>
      <c r="C647" s="53" t="s">
        <v>3911</v>
      </c>
      <c r="D647" s="3">
        <f t="shared" si="64"/>
        <v>755</v>
      </c>
      <c r="G647" s="3" t="s">
        <v>1471</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WayshrineInfo'!$K$3:$N$9972,4,FALSE),"")))</f>
        <v>Cyrodiil</v>
      </c>
      <c r="S647" s="61" t="s">
        <v>3897</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constants'!$B$4:$C$1012,2,FALSE),"")</f>
        <v>Scions of Ithelia</v>
      </c>
      <c r="V647" s="89" t="s">
        <v>1535</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constants'!$A$5:$D$10001,4,FALSE),"")</f>
        <v>Cyrodiil</v>
      </c>
      <c r="AB647" s="33" t="s">
        <v>3737</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constants'!$A$5:$D$10001,4,FALSE),"")</f>
        <v>Cyrodiil</v>
      </c>
      <c r="AH647" s="33" t="s">
        <v>2765</v>
      </c>
      <c r="AI647" s="39"/>
      <c r="AJ647" s="39"/>
      <c r="AK647" s="3">
        <f>IF(AND(G647&lt;&gt;"LIBSETS_SETTYPE_BATTLEGROUND",G647&lt;&gt;"LIBSETS_SETTYPE_SPECIAL"),IF(AL647&lt;&gt;"",VLOOKUP(AL647,'ESO zone constants'!$D$5:$H$4955,5,FALSE),""),"")</f>
        <v>181</v>
      </c>
      <c r="AL647" t="s">
        <v>125</v>
      </c>
      <c r="AM647" s="33" t="s">
        <v>3740</v>
      </c>
      <c r="AN647" s="39"/>
      <c r="AO647" s="39"/>
      <c r="AP647" s="3">
        <f>IF(AND(G647&lt;&gt;"LIBSETS_SETTYPE_BATTLEGROUND",G647&lt;&gt;"LIBSETS_SETTYPE_SPECIAL"),IF(AQ647&lt;&gt;"",VLOOKUP(AQ647,'ESO zone constants'!$D$5:$H$4955,5,FALSE),""),"")</f>
        <v>181</v>
      </c>
      <c r="AQ647" t="s">
        <v>125</v>
      </c>
      <c r="AR647" s="33" t="s">
        <v>1554</v>
      </c>
      <c r="AS647" s="39"/>
      <c r="AT647" s="39"/>
      <c r="AU647" s="3">
        <f>IF(AND(G647&lt;&gt;"LIBSETS_SETTYPE_BATTLEGROUND",G647&lt;&gt;"LIBSETS_SETTYPE_SPECIAL"),IF(AV647&lt;&gt;"",VLOOKUP(AV647,'ESO zone constants'!$D$5:$H$4955,5,FALSE),""),"")</f>
        <v>181</v>
      </c>
      <c r="AV647" t="s">
        <v>125</v>
      </c>
      <c r="AW647" s="33" t="s">
        <v>3236</v>
      </c>
      <c r="AX647" s="39"/>
      <c r="AY647" s="39"/>
      <c r="AZ647" s="78" t="s">
        <v>2653</v>
      </c>
      <c r="BA647" s="78"/>
      <c r="BB647" s="78"/>
      <c r="BC647"/>
      <c r="BD647"/>
      <c r="BE647" s="21" t="str">
        <f t="shared" si="65"/>
        <v>[755] = {wayshrines={-1,-1,-1,}, dlcId=DLC_SCIONS_OF_ITHELIA</v>
      </c>
      <c r="BF647" s="21" t="str">
        <f t="shared" si="66"/>
        <v>, zoneIds={181,181,181,181,181,181}, veteran=false</v>
      </c>
      <c r="BG647" s="21" t="str">
        <f t="shared" si="67"/>
        <v>, setType=LIBSETS_SETTYPE_CYRODIIL</v>
      </c>
      <c r="BH647"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 t="shared" si="69"/>
        <v>}, --Blunted Blades / Blunted Blades   [Cyrodiil, Cyrodiil, Cyrodiil, Cyrodiil, Cyrodiil, Cyrodiil]</v>
      </c>
    </row>
    <row r="648" spans="1:61" x14ac:dyDescent="0.25">
      <c r="A648" s="53">
        <v>756</v>
      </c>
      <c r="B648" s="53" t="s">
        <v>3912</v>
      </c>
      <c r="C648" s="53" t="s">
        <v>3912</v>
      </c>
      <c r="D648" s="3">
        <f t="shared" si="64"/>
        <v>756</v>
      </c>
      <c r="G648" s="3" t="s">
        <v>1471</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WayshrineInfo'!$K$3:$N$9972,4,FALSE),"")))</f>
        <v>Cyrodiil</v>
      </c>
      <c r="S648" s="61" t="s">
        <v>3897</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constants'!$B$4:$C$1012,2,FALSE),"")</f>
        <v>Scions of Ithelia</v>
      </c>
      <c r="V648" s="89" t="s">
        <v>1535</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constants'!$A$5:$D$10001,4,FALSE),"")</f>
        <v>Cyrodiil</v>
      </c>
      <c r="AB648" s="33" t="s">
        <v>3737</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constants'!$A$5:$D$10001,4,FALSE),"")</f>
        <v>Cyrodiil</v>
      </c>
      <c r="AH648" s="42"/>
      <c r="AI648" s="39"/>
      <c r="AJ648" s="39"/>
      <c r="AK648" s="3">
        <f>IF(AND(G648&lt;&gt;"LIBSETS_SETTYPE_BATTLEGROUND",G648&lt;&gt;"LIBSETS_SETTYPE_SPECIAL"),IF(AL648&lt;&gt;"",VLOOKUP(AL648,'ESO zone constants'!$D$5:$H$4955,5,FALSE),""),"")</f>
        <v>181</v>
      </c>
      <c r="AL648" t="s">
        <v>125</v>
      </c>
      <c r="AM648" s="33" t="s">
        <v>3740</v>
      </c>
      <c r="AN648" s="39"/>
      <c r="AO648" s="39"/>
      <c r="AP648" s="3">
        <f>IF(AND(G648&lt;&gt;"LIBSETS_SETTYPE_BATTLEGROUND",G648&lt;&gt;"LIBSETS_SETTYPE_SPECIAL"),IF(AQ648&lt;&gt;"",VLOOKUP(AQ648,'ESO zone constants'!$D$5:$H$4955,5,FALSE),""),"")</f>
        <v>181</v>
      </c>
      <c r="AQ648" t="s">
        <v>125</v>
      </c>
      <c r="AR648" s="33" t="s">
        <v>1554</v>
      </c>
      <c r="AS648" s="39"/>
      <c r="AT648" s="39"/>
      <c r="AU648" s="3">
        <f>IF(AND(G648&lt;&gt;"LIBSETS_SETTYPE_BATTLEGROUND",G648&lt;&gt;"LIBSETS_SETTYPE_SPECIAL"),IF(AV648&lt;&gt;"",VLOOKUP(AV648,'ESO zone constants'!$D$5:$H$4955,5,FALSE),""),"")</f>
        <v>181</v>
      </c>
      <c r="AV648" t="s">
        <v>125</v>
      </c>
      <c r="AW648" s="33" t="s">
        <v>3236</v>
      </c>
      <c r="AX648" s="39"/>
      <c r="AY648" s="39"/>
      <c r="AZ648" s="78" t="s">
        <v>2653</v>
      </c>
      <c r="BA648" s="78"/>
      <c r="BB648" s="78"/>
      <c r="BC648"/>
      <c r="BD648"/>
      <c r="BE648" s="21" t="str">
        <f t="shared" si="65"/>
        <v>[756] = {wayshrines={-1,-1,-1,}, dlcId=DLC_SCIONS_OF_ITHELIA</v>
      </c>
      <c r="BF648" s="21" t="str">
        <f t="shared" si="66"/>
        <v>, zoneIds={181,181,181,181,181,181}, veteran=false</v>
      </c>
      <c r="BG648" s="21" t="str">
        <f t="shared" si="67"/>
        <v>, setType=LIBSETS_SETTYPE_CYRODIIL</v>
      </c>
      <c r="BH648" s="21" t="str">
        <f t="shared" si="68"/>
        <v>, dropMechanic={LIBSETS_DROP_MECHANIC_MAIL_PVP_REWARDS_FOR_THE_WORTHY,LIBSETS_DROP_MECHANIC_CYRODIIL_BOARD_MISSIONS,LIBSETS_DROP_MECHANIC_CITY_CYRODIIL_CHEYDINHAL_CHORROL_WEYNON_PRIORY,LIBSETS_DROP_MECHANIC_OVERLAND_BOSS_DELVE,LIBSETS_DROP_MECHANIC_DOLMEN_HARROWSTORM_MAGICAL_ANOMALIES}</v>
      </c>
      <c r="BI648" s="21" t="str">
        <f t="shared" si="69"/>
        <v>}, --Baan Dar\'s Blessing / Baan Dar\'s Blessing   [Cyrodiil, Cyrodiil, Cyrodiil, Cyrodiil, Cyrodiil, Cyrodiil]</v>
      </c>
    </row>
  </sheetData>
  <autoFilter ref="A2:BI648" xr:uid="{00000000-0001-0000-0000-000000000000}"/>
  <mergeCells count="1">
    <mergeCell ref="A1:C1"/>
  </mergeCells>
  <phoneticPr fontId="28"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56"/>
  <sheetViews>
    <sheetView zoomScale="70" zoomScaleNormal="70" workbookViewId="0">
      <pane xSplit="3" ySplit="2" topLeftCell="D616" activePane="bottomRight" state="frozen"/>
      <selection pane="topRight" activeCell="D1" sqref="D1"/>
      <selection pane="bottomLeft" activeCell="A3" sqref="A3"/>
      <selection pane="bottomRight" activeCell="B644" sqref="B644:C656"/>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13" t="s">
        <v>1672</v>
      </c>
      <c r="B1" s="113"/>
      <c r="C1" s="113"/>
      <c r="D1" s="44" t="s">
        <v>1673</v>
      </c>
    </row>
    <row r="2" spans="1:4" x14ac:dyDescent="0.25">
      <c r="A2" s="6" t="s">
        <v>83</v>
      </c>
      <c r="B2" s="7" t="s">
        <v>1670</v>
      </c>
      <c r="C2" s="7" t="s">
        <v>1671</v>
      </c>
      <c r="D2" s="1" t="s">
        <v>1669</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694</v>
      </c>
      <c r="B620" s="8" t="str">
        <f>VLOOKUP(A620,'Sets data'!$A$3:$C$9918,3,FALSE)</f>
        <v xml:space="preserve"> Velothi Ur-Mage\'s Amulet</v>
      </c>
      <c r="C620" s="8" t="str">
        <f>VLOOKUP(A620,'Sets data'!$A$3:$C$9918,2,FALSE)</f>
        <v xml:space="preserve"> Velothi Ur-Mage\'s Amulet</v>
      </c>
    </row>
    <row r="621" spans="1:3" x14ac:dyDescent="0.25">
      <c r="A621" s="5">
        <v>695</v>
      </c>
      <c r="B621" s="8" t="str">
        <f>VLOOKUP(A621,'Sets data'!$A$3:$C$9918,3,FALSE)</f>
        <v xml:space="preserve"> Shattered Fate</v>
      </c>
      <c r="C621" s="8" t="str">
        <f>VLOOKUP(A621,'Sets data'!$A$3:$C$9918,2,FALSE)</f>
        <v xml:space="preserve"> Shattered Fate</v>
      </c>
    </row>
    <row r="622" spans="1:3" x14ac:dyDescent="0.25">
      <c r="A622" s="5">
        <v>696</v>
      </c>
      <c r="B622" s="8" t="str">
        <f>VLOOKUP(A622,'Sets data'!$A$3:$C$9918,3,FALSE)</f>
        <v xml:space="preserve"> Telvanni Efficiency</v>
      </c>
      <c r="C622" s="8" t="str">
        <f>VLOOKUP(A622,'Sets data'!$A$3:$C$9918,2,FALSE)</f>
        <v xml:space="preserve"> Telvanni Efficiency</v>
      </c>
    </row>
    <row r="623" spans="1:3" x14ac:dyDescent="0.25">
      <c r="A623" s="5">
        <v>697</v>
      </c>
      <c r="B623" s="8" t="str">
        <f>VLOOKUP(A623,'Sets data'!$A$3:$C$9918,3,FALSE)</f>
        <v xml:space="preserve"> Seeker Synthesis</v>
      </c>
      <c r="C623" s="8" t="str">
        <f>VLOOKUP(A623,'Sets data'!$A$3:$C$9918,2,FALSE)</f>
        <v xml:space="preserve"> Seeker Synthesis</v>
      </c>
    </row>
    <row r="624" spans="1:3" x14ac:dyDescent="0.25">
      <c r="A624" s="5">
        <v>698</v>
      </c>
      <c r="B624" s="8" t="str">
        <f>VLOOKUP(A624,'Sets data'!$A$3:$C$9918,3,FALSE)</f>
        <v xml:space="preserve"> Vivec\'s Duality</v>
      </c>
      <c r="C624" s="8" t="str">
        <f>VLOOKUP(A624,'Sets data'!$A$3:$C$9918,2,FALSE)</f>
        <v xml:space="preserve"> Vivec\'s Duality</v>
      </c>
    </row>
    <row r="625" spans="1:3" x14ac:dyDescent="0.25">
      <c r="A625" s="5">
        <v>699</v>
      </c>
      <c r="B625" s="8" t="str">
        <f>VLOOKUP(A625,'Sets data'!$A$3:$C$9918,3,FALSE)</f>
        <v xml:space="preserve"> Camonna Tong</v>
      </c>
      <c r="C625" s="8" t="str">
        <f>VLOOKUP(A625,'Sets data'!$A$3:$C$9918,2,FALSE)</f>
        <v xml:space="preserve"> Camonna Tong</v>
      </c>
    </row>
    <row r="626" spans="1:3" x14ac:dyDescent="0.25">
      <c r="A626" s="5">
        <v>700</v>
      </c>
      <c r="B626" s="8" t="str">
        <f>VLOOKUP(A626,'Sets data'!$A$3:$C$9918,3,FALSE)</f>
        <v xml:space="preserve"> Adamant Lurker</v>
      </c>
      <c r="C626" s="8" t="str">
        <f>VLOOKUP(A626,'Sets data'!$A$3:$C$9918,2,FALSE)</f>
        <v xml:space="preserve"> Adamant Lurker</v>
      </c>
    </row>
    <row r="627" spans="1:3" x14ac:dyDescent="0.25">
      <c r="A627" s="5">
        <v>701</v>
      </c>
      <c r="B627" s="8" t="str">
        <f>VLOOKUP(A627,'Sets data'!$A$3:$C$9918,3,FALSE)</f>
        <v xml:space="preserve"> Peace and Serenity</v>
      </c>
      <c r="C627" s="8" t="str">
        <f>VLOOKUP(A627,'Sets data'!$A$3:$C$9918,2,FALSE)</f>
        <v xml:space="preserve"> Peace and Serenity</v>
      </c>
    </row>
    <row r="628" spans="1:3" x14ac:dyDescent="0.25">
      <c r="A628" s="5">
        <v>702</v>
      </c>
      <c r="B628" s="8" t="str">
        <f>VLOOKUP(A628,'Sets data'!$A$3:$C$9918,3,FALSE)</f>
        <v xml:space="preserve"> Ansuul\'s Torment</v>
      </c>
      <c r="C628" s="8" t="str">
        <f>VLOOKUP(A628,'Sets data'!$A$3:$C$9918,2,FALSE)</f>
        <v xml:space="preserve"> Ansuul\'s Torment</v>
      </c>
    </row>
    <row r="629" spans="1:3" x14ac:dyDescent="0.25">
      <c r="A629" s="5">
        <v>703</v>
      </c>
      <c r="B629" s="8" t="str">
        <f>VLOOKUP(A629,'Sets data'!$A$3:$C$9918,3,FALSE)</f>
        <v xml:space="preserve"> Test of Resolve</v>
      </c>
      <c r="C629" s="8" t="str">
        <f>VLOOKUP(A629,'Sets data'!$A$3:$C$9918,2,FALSE)</f>
        <v xml:space="preserve"> Test of Resolve</v>
      </c>
    </row>
    <row r="630" spans="1:3" x14ac:dyDescent="0.25">
      <c r="A630" s="5">
        <v>704</v>
      </c>
      <c r="B630" s="8" t="str">
        <f>VLOOKUP(A630,'Sets data'!$A$3:$C$9918,3,FALSE)</f>
        <v xml:space="preserve"> Transformative Hope</v>
      </c>
      <c r="C630" s="8" t="str">
        <f>VLOOKUP(A630,'Sets data'!$A$3:$C$9918,2,FALSE)</f>
        <v xml:space="preserve"> Transformative Hope</v>
      </c>
    </row>
    <row r="631" spans="1:3" x14ac:dyDescent="0.25">
      <c r="A631" s="5">
        <v>705</v>
      </c>
      <c r="B631" s="8" t="str">
        <f>VLOOKUP(A631,'Sets data'!$A$3:$C$9918,3,FALSE)</f>
        <v xml:space="preserve"> Perfected Transformative Hope</v>
      </c>
      <c r="C631" s="8" t="str">
        <f>VLOOKUP(A631,'Sets data'!$A$3:$C$9918,2,FALSE)</f>
        <v xml:space="preserve"> Perfected Transformative Hope</v>
      </c>
    </row>
    <row r="632" spans="1:3" x14ac:dyDescent="0.25">
      <c r="A632" s="5">
        <v>706</v>
      </c>
      <c r="B632" s="8" t="str">
        <f>VLOOKUP(A632,'Sets data'!$A$3:$C$9918,3,FALSE)</f>
        <v xml:space="preserve"> Perfected Test of Resolve</v>
      </c>
      <c r="C632" s="8" t="str">
        <f>VLOOKUP(A632,'Sets data'!$A$3:$C$9918,2,FALSE)</f>
        <v xml:space="preserve"> Perfected Test of Resolve</v>
      </c>
    </row>
    <row r="633" spans="1:3" x14ac:dyDescent="0.25">
      <c r="A633" s="5">
        <v>707</v>
      </c>
      <c r="B633" s="8" t="str">
        <f>VLOOKUP(A633,'Sets data'!$A$3:$C$9918,3,FALSE)</f>
        <v xml:space="preserve"> Perfected Ansuul\'s Torment</v>
      </c>
      <c r="C633" s="8" t="str">
        <f>VLOOKUP(A633,'Sets data'!$A$3:$C$9918,2,FALSE)</f>
        <v xml:space="preserve"> Perfected Ansuul\'s Torment</v>
      </c>
    </row>
    <row r="634" spans="1:3" x14ac:dyDescent="0.25">
      <c r="A634" s="5">
        <v>708</v>
      </c>
      <c r="B634" s="8" t="str">
        <f>VLOOKUP(A634,'Sets data'!$A$3:$C$9918,3,FALSE)</f>
        <v xml:space="preserve"> Perfected Peace and Serenity</v>
      </c>
      <c r="C634" s="8" t="str">
        <f>VLOOKUP(A634,'Sets data'!$A$3:$C$9918,2,FALSE)</f>
        <v xml:space="preserve"> Perfected Peace and Serenity</v>
      </c>
    </row>
    <row r="635" spans="1:3" x14ac:dyDescent="0.25">
      <c r="A635" s="5">
        <v>711</v>
      </c>
      <c r="B635" s="8" t="str">
        <f>VLOOKUP(A635,'Sets data'!$A$3:$C$9918,3,FALSE)</f>
        <v>Jerall Mountains Warchief</v>
      </c>
      <c r="C635" s="8" t="str">
        <f>VLOOKUP(A635,'Sets data'!$A$3:$C$9918,2,FALSE)</f>
        <v>Jerall Mountains Warchief</v>
      </c>
    </row>
    <row r="636" spans="1:3" x14ac:dyDescent="0.25">
      <c r="A636" s="5">
        <v>712</v>
      </c>
      <c r="B636" s="8" t="str">
        <f>VLOOKUP(A636,'Sets data'!$A$3:$C$9918,3,FALSE)</f>
        <v>Nibenay Bay Battlereeve</v>
      </c>
      <c r="C636" s="8" t="str">
        <f>VLOOKUP(A636,'Sets data'!$A$3:$C$9918,2,FALSE)</f>
        <v>Nibenay Bay Battlereeve</v>
      </c>
    </row>
    <row r="637" spans="1:3" x14ac:dyDescent="0.25">
      <c r="A637" s="5">
        <v>713</v>
      </c>
      <c r="B637" s="8" t="str">
        <f>VLOOKUP(A637,'Sets data'!$A$3:$C$9918,3,FALSE)</f>
        <v>Colovian Highlands General</v>
      </c>
      <c r="C637" s="8" t="str">
        <f>VLOOKUP(A637,'Sets data'!$A$3:$C$9918,2,FALSE)</f>
        <v>Colovian Highlands General</v>
      </c>
    </row>
    <row r="638" spans="1:3" x14ac:dyDescent="0.25">
      <c r="A638" s="5">
        <v>722</v>
      </c>
      <c r="B638" s="8" t="str">
        <f>VLOOKUP(A638,'Sets data'!$A$3:$C$9918,3,FALSE)</f>
        <v>Reawakened Hierophant</v>
      </c>
      <c r="C638" s="8" t="str">
        <f>VLOOKUP(A638,'Sets data'!$A$3:$C$9918,2,FALSE)</f>
        <v>Reawakened Hierophant</v>
      </c>
    </row>
    <row r="639" spans="1:3" x14ac:dyDescent="0.25">
      <c r="A639" s="5">
        <v>723</v>
      </c>
      <c r="B639" s="8" t="str">
        <f>VLOOKUP(A639,'Sets data'!$A$3:$C$9918,3,FALSE)</f>
        <v>Basalt-Blooded Warrior</v>
      </c>
      <c r="C639" s="8" t="str">
        <f>VLOOKUP(A639,'Sets data'!$A$3:$C$9918,2,FALSE)</f>
        <v>Basalt-Blooded Warrior</v>
      </c>
    </row>
    <row r="640" spans="1:3" x14ac:dyDescent="0.25">
      <c r="A640" s="5">
        <v>724</v>
      </c>
      <c r="B640" s="8" t="str">
        <f>VLOOKUP(A640,'Sets data'!$A$3:$C$9918,3,FALSE)</f>
        <v>Nobility in Decay</v>
      </c>
      <c r="C640" s="8" t="str">
        <f>VLOOKUP(A640,'Sets data'!$A$3:$C$9918,2,FALSE)</f>
        <v>Adel im Verfall</v>
      </c>
    </row>
    <row r="641" spans="1:3" x14ac:dyDescent="0.25">
      <c r="A641" s="5">
        <v>726</v>
      </c>
      <c r="B641" s="8" t="str">
        <f>VLOOKUP(A641,'Sets data'!$A$3:$C$9918,3,FALSE)</f>
        <v>Soulcleaver</v>
      </c>
      <c r="C641" s="8" t="str">
        <f>VLOOKUP(A641,'Sets data'!$A$3:$C$9918,2,FALSE)</f>
        <v>Seelenspalter</v>
      </c>
    </row>
    <row r="642" spans="1:3" x14ac:dyDescent="0.25">
      <c r="A642" s="5">
        <v>727</v>
      </c>
      <c r="B642" s="8" t="str">
        <f>VLOOKUP(A642,'Sets data'!$A$3:$C$9918,3,FALSE)</f>
        <v>Monolith of Storms</v>
      </c>
      <c r="C642" s="8" t="str">
        <f>VLOOKUP(A642,'Sets data'!$A$3:$C$9918,2,FALSE)</f>
        <v>Monolith der Stürme</v>
      </c>
    </row>
    <row r="643" spans="1:3" x14ac:dyDescent="0.25">
      <c r="A643" s="5">
        <v>728</v>
      </c>
      <c r="B643" s="8" t="str">
        <f>VLOOKUP(A643,'Sets data'!$A$3:$C$9918,3,FALSE)</f>
        <v>Wrathsun</v>
      </c>
      <c r="C643" s="8" t="str">
        <f>VLOOKUP(A643,'Sets data'!$A$3:$C$9918,2,FALSE)</f>
        <v>Wutsonne</v>
      </c>
    </row>
    <row r="644" spans="1:3" x14ac:dyDescent="0.25">
      <c r="A644" s="5">
        <v>729</v>
      </c>
      <c r="B644" s="8" t="str">
        <f>VLOOKUP(A644,'Sets data'!$A$3:$C$9918,3,FALSE)</f>
        <v>Gardener of Seasons</v>
      </c>
      <c r="C644" s="8" t="str">
        <f>VLOOKUP(A644,'Sets data'!$A$3:$C$9918,2,FALSE)</f>
        <v>Gärtner der Jahreszeiten</v>
      </c>
    </row>
    <row r="645" spans="1:3" x14ac:dyDescent="0.25">
      <c r="A645" s="53">
        <v>693</v>
      </c>
      <c r="B645" s="8" t="str">
        <f>VLOOKUP(A645,'Sets data'!$A$3:$C$9918,3,FALSE)</f>
        <v>Torc of the Last Ayleid King</v>
      </c>
      <c r="C645" s="8" t="str">
        <f>VLOOKUP(A645,'Sets data'!$A$3:$C$9918,2,FALSE)</f>
        <v>Torc of the Last Ayleid King</v>
      </c>
    </row>
    <row r="646" spans="1:3" x14ac:dyDescent="0.25">
      <c r="A646" s="53">
        <v>730</v>
      </c>
      <c r="B646" s="8" t="str">
        <f>VLOOKUP(A646,'Sets data'!$A$3:$C$9918,3,FALSE)</f>
        <v>Cinders of Anthelmir</v>
      </c>
      <c r="C646" s="8" t="str">
        <f>VLOOKUP(A646,'Sets data'!$A$3:$C$9918,2,FALSE)</f>
        <v>Cinders of Anthelmir</v>
      </c>
    </row>
    <row r="647" spans="1:3" x14ac:dyDescent="0.25">
      <c r="A647" s="53">
        <v>731</v>
      </c>
      <c r="B647" s="8" t="str">
        <f>VLOOKUP(A647,'Sets data'!$A$3:$C$9918,3,FALSE)</f>
        <v>Sluthrug\'s Hunger</v>
      </c>
      <c r="C647" s="8" t="str">
        <f>VLOOKUP(A647,'Sets data'!$A$3:$C$9918,2,FALSE)</f>
        <v>Sluthrug\'s Hunger</v>
      </c>
    </row>
    <row r="648" spans="1:3" x14ac:dyDescent="0.25">
      <c r="A648" s="53">
        <v>732</v>
      </c>
      <c r="B648" s="8" t="str">
        <f>VLOOKUP(A648,'Sets data'!$A$3:$C$9918,3,FALSE)</f>
        <v>Black-Grove Grounding</v>
      </c>
      <c r="C648" s="8" t="str">
        <f>VLOOKUP(A648,'Sets data'!$A$3:$C$9918,2,FALSE)</f>
        <v>Black-Grove Grounding</v>
      </c>
    </row>
    <row r="649" spans="1:3" x14ac:dyDescent="0.25">
      <c r="A649" s="53">
        <v>734</v>
      </c>
      <c r="B649" s="8" t="str">
        <f>VLOOKUP(A649,'Sets data'!$A$3:$C$9918,3,FALSE)</f>
        <v>Anthelmir\'s Construct</v>
      </c>
      <c r="C649" s="8" t="str">
        <f>VLOOKUP(A649,'Sets data'!$A$3:$C$9918,2,FALSE)</f>
        <v>Anthelmirs Konstrukt</v>
      </c>
    </row>
    <row r="650" spans="1:3" x14ac:dyDescent="0.25">
      <c r="A650" s="53">
        <v>735</v>
      </c>
      <c r="B650" s="8" t="str">
        <f>VLOOKUP(A650,'Sets data'!$A$3:$C$9918,3,FALSE)</f>
        <v>Blind Path Induction</v>
      </c>
      <c r="C650" s="8" t="str">
        <f>VLOOKUP(A650,'Sets data'!$A$3:$C$9918,2,FALSE)</f>
        <v>Blind Path Induction</v>
      </c>
    </row>
    <row r="651" spans="1:3" x14ac:dyDescent="0.25">
      <c r="A651" s="53">
        <v>736</v>
      </c>
      <c r="B651" s="8" t="str">
        <f>VLOOKUP(A651,'Sets data'!$A$3:$C$9918,3,FALSE)</f>
        <v>Tarnished Nightmare</v>
      </c>
      <c r="C651" s="8" t="str">
        <f>VLOOKUP(A651,'Sets data'!$A$3:$C$9918,2,FALSE)</f>
        <v>Tarnished Nightmare</v>
      </c>
    </row>
    <row r="652" spans="1:3" x14ac:dyDescent="0.25">
      <c r="A652" s="53">
        <v>737</v>
      </c>
      <c r="B652" s="8" t="str">
        <f>VLOOKUP(A652,'Sets data'!$A$3:$C$9918,3,FALSE)</f>
        <v>Reflected Fury</v>
      </c>
      <c r="C652" s="8" t="str">
        <f>VLOOKUP(A652,'Sets data'!$A$3:$C$9918,2,FALSE)</f>
        <v>Reflected Fury</v>
      </c>
    </row>
    <row r="653" spans="1:3" x14ac:dyDescent="0.25">
      <c r="A653" s="53">
        <v>738</v>
      </c>
      <c r="B653" s="8" t="str">
        <f>VLOOKUP(A653,'Sets data'!$A$3:$C$9918,3,FALSE)</f>
        <v>The Blind</v>
      </c>
      <c r="C653" s="8" t="str">
        <f>VLOOKUP(A653,'Sets data'!$A$3:$C$9918,2,FALSE)</f>
        <v>Der Blinde</v>
      </c>
    </row>
    <row r="654" spans="1:3" x14ac:dyDescent="0.25">
      <c r="A654" s="53">
        <v>754</v>
      </c>
      <c r="B654" s="8" t="str">
        <f>VLOOKUP(A654,'Sets data'!$A$3:$C$9918,3,FALSE)</f>
        <v>Oakfather\'s Retribution</v>
      </c>
      <c r="C654" s="8" t="str">
        <f>VLOOKUP(A654,'Sets data'!$A$3:$C$9918,2,FALSE)</f>
        <v>Oakfather\'s Retribution</v>
      </c>
    </row>
    <row r="655" spans="1:3" x14ac:dyDescent="0.25">
      <c r="A655" s="53">
        <v>755</v>
      </c>
      <c r="B655" s="8" t="str">
        <f>VLOOKUP(A655,'Sets data'!$A$3:$C$9918,3,FALSE)</f>
        <v>Blunted Blades</v>
      </c>
      <c r="C655" s="8" t="str">
        <f>VLOOKUP(A655,'Sets data'!$A$3:$C$9918,2,FALSE)</f>
        <v>Blunted Blades</v>
      </c>
    </row>
    <row r="656" spans="1:3" x14ac:dyDescent="0.25">
      <c r="A656" s="53">
        <v>756</v>
      </c>
      <c r="B656" s="8" t="str">
        <f>VLOOKUP(A656,'Sets data'!$A$3:$C$9918,3,FALSE)</f>
        <v>Baan Dar\'s Blessing</v>
      </c>
      <c r="C656" s="8" t="str">
        <f>VLOOKUP(A656,'Sets data'!$A$3:$C$9918,2,FALSE)</f>
        <v>Baan Dar\'s Blessing</v>
      </c>
    </row>
  </sheetData>
  <autoFilter ref="A2:D2" xr:uid="{00000000-0009-0000-0000-000002000000}">
    <sortState xmlns:xlrd2="http://schemas.microsoft.com/office/spreadsheetml/2017/richdata2" ref="A3:D553">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0"/>
  <sheetViews>
    <sheetView workbookViewId="0">
      <pane xSplit="3" ySplit="2" topLeftCell="D39" activePane="bottomRight" state="frozen"/>
      <selection pane="topRight" activeCell="D1" sqref="D1"/>
      <selection pane="bottomLeft" activeCell="A3" sqref="A3"/>
      <selection pane="bottomRight" activeCell="A91" sqref="A91"/>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4" t="s">
        <v>3927</v>
      </c>
      <c r="B1" s="114"/>
      <c r="C1" s="114"/>
      <c r="D1" s="114"/>
      <c r="E1" s="114"/>
      <c r="F1" s="114"/>
      <c r="G1" s="114"/>
      <c r="H1" s="114"/>
      <c r="I1" s="114"/>
      <c r="J1" s="114"/>
      <c r="K1" s="114"/>
      <c r="L1" s="114"/>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5"/>
    </row>
    <row r="2" spans="1:52" ht="30" x14ac:dyDescent="0.25">
      <c r="A2" s="10" t="s">
        <v>95</v>
      </c>
      <c r="B2" s="1" t="s">
        <v>93</v>
      </c>
      <c r="C2" s="1" t="s">
        <v>1342</v>
      </c>
      <c r="D2" s="3" t="s">
        <v>94</v>
      </c>
      <c r="E2" s="3" t="s">
        <v>1611</v>
      </c>
      <c r="F2" s="3" t="s">
        <v>1487</v>
      </c>
      <c r="G2" s="3" t="s">
        <v>1612</v>
      </c>
      <c r="H2" s="15" t="s">
        <v>1341</v>
      </c>
      <c r="I2" s="18" t="s">
        <v>1507</v>
      </c>
      <c r="J2" s="17" t="s">
        <v>1340</v>
      </c>
      <c r="K2" s="102" t="s">
        <v>3872</v>
      </c>
    </row>
    <row r="3" spans="1:52" x14ac:dyDescent="0.25">
      <c r="A3" s="2" t="s">
        <v>442</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constants'!$A$4:$B$1012,2,FALSE)</f>
        <v>DLC_BASE_GAME</v>
      </c>
      <c r="J3" s="17" t="str">
        <f>VLOOKUP(H3,'LibSets constants'!$A$4:$C$1012,3,FALSE)</f>
        <v>Included in base game</v>
      </c>
      <c r="K3" s="21" t="str">
        <f t="shared" ref="K3:K34" si="0">IF(B3="false","["&amp;D3&amp;"]={parentZoneId="&amp;F3&amp;",isTrial="&amp;C3&amp;"},   --"&amp;E3,"")</f>
        <v>[638]={parentZoneId=888,isTrial=true},   --Aetherian Archive</v>
      </c>
    </row>
    <row r="4" spans="1:52" hidden="1" x14ac:dyDescent="0.25">
      <c r="A4" s="2" t="s">
        <v>442</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constants'!$A$4:$B$1012,2,FALSE)</f>
        <v>DLC_BASE_GAME</v>
      </c>
      <c r="J4" s="17" t="str">
        <f>VLOOKUP(H4,'LibSets constants'!$A$4:$C$1012,3,FALSE)</f>
        <v>Included in base game</v>
      </c>
      <c r="K4" s="21" t="str">
        <f t="shared" si="0"/>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constants'!$A$4:$B$1012,2,FALSE)</f>
        <v>DLC_BASE_GAME</v>
      </c>
      <c r="J5" s="17" t="str">
        <f>VLOOKUP(H5,'LibSets constants'!$A$4:$C$1012,3,FALSE)</f>
        <v>Included in base game</v>
      </c>
      <c r="K5" s="21" t="str">
        <f t="shared" si="0"/>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constants'!$A$4:$B$1012,2,FALSE)</f>
        <v>DLC_BASE_GAME</v>
      </c>
      <c r="J6" s="17" t="str">
        <f>VLOOKUP(H6,'LibSets constants'!$A$4:$C$1012,3,FALSE)</f>
        <v>Included in base game</v>
      </c>
      <c r="K6" s="21" t="str">
        <f t="shared" si="0"/>
        <v/>
      </c>
    </row>
    <row r="7" spans="1:52" x14ac:dyDescent="0.25">
      <c r="A7" s="2" t="s">
        <v>658</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constants'!$A$4:$B$1012,2,FALSE)</f>
        <v>DLC_CLOCKWORK_CITY</v>
      </c>
      <c r="J7" s="17" t="str">
        <f>VLOOKUP(H7,'LibSets constants'!$A$4:$C$1012,3,FALSE)</f>
        <v>Clockwork City</v>
      </c>
      <c r="K7" s="21" t="str">
        <f t="shared" si="0"/>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constants'!$A$4:$B$1012,2,FALSE)</f>
        <v>DLC_BASE_GAME</v>
      </c>
      <c r="J8" s="17" t="str">
        <f>VLOOKUP(H8,'LibSets constants'!$A$4:$C$1012,3,FALSE)</f>
        <v>Included in base game</v>
      </c>
      <c r="K8" s="21" t="str">
        <f t="shared" si="0"/>
        <v/>
      </c>
    </row>
    <row r="9" spans="1:52" x14ac:dyDescent="0.25">
      <c r="A9" s="81" t="s">
        <v>3555</v>
      </c>
      <c r="B9" s="9" t="s">
        <v>91</v>
      </c>
      <c r="C9" s="29" t="s">
        <v>92</v>
      </c>
      <c r="D9" s="103">
        <v>1389</v>
      </c>
      <c r="E9" s="3" t="str">
        <f>VLOOKUP(D9,'ESO zone constants'!$A$5:$D$9989,4,FALSE)</f>
        <v>Bal Sunnar</v>
      </c>
      <c r="F9" s="3">
        <f>VLOOKUP(D9,'ESO zone constants'!$A$5:$C$9954,3,FALSE)</f>
        <v>41</v>
      </c>
      <c r="G9" s="3" t="str">
        <f>VLOOKUP(F9,'ESO zone constants'!$A$5:$D$9989,4,FALSE)</f>
        <v>Stonefalls</v>
      </c>
      <c r="H9" s="4">
        <v>29</v>
      </c>
      <c r="I9" s="17" t="str">
        <f>VLOOKUP(H9,'LibSets constants'!$A$4:$B$1012,2,FALSE)</f>
        <v>DLC_SCRIBES_OF_FATE</v>
      </c>
      <c r="J9" s="17" t="str">
        <f>VLOOKUP(H9,'LibSets constants'!$A$4:$C$1012,3,FALSE)</f>
        <v>Scribes of Fate</v>
      </c>
      <c r="K9" s="21" t="str">
        <f t="shared" si="0"/>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constants'!$A$4:$B$1012,2,FALSE)</f>
        <v>DLC_BASE_GAME</v>
      </c>
      <c r="J10" s="17" t="str">
        <f>VLOOKUP(H10,'LibSets constants'!$A$4:$C$1012,3,FALSE)</f>
        <v>Included in base game</v>
      </c>
      <c r="K10" s="21" t="str">
        <f t="shared" si="0"/>
        <v/>
      </c>
    </row>
    <row r="11" spans="1:52" x14ac:dyDescent="0.25">
      <c r="A11" s="109" t="s">
        <v>3896</v>
      </c>
      <c r="B11" s="9" t="s">
        <v>91</v>
      </c>
      <c r="C11" s="29" t="s">
        <v>91</v>
      </c>
      <c r="D11" s="103">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constants'!$A$4:$B$1012,2,FALSE)</f>
        <v>DLC_SCIONS_OF_ITHELIA</v>
      </c>
      <c r="J11" s="17" t="str">
        <f>VLOOKUP(H11,'LibSets constants'!$A$4:$C$1012,3,FALSE)</f>
        <v>Scions of Ithelia</v>
      </c>
      <c r="K11" s="21" t="str">
        <f t="shared" si="0"/>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constants'!$A$4:$B$1012,2,FALSE)</f>
        <v>DLC_BASE_GAME</v>
      </c>
      <c r="J12" s="17" t="str">
        <f>VLOOKUP(H12,'LibSets constants'!$A$4:$C$1012,3,FALSE)</f>
        <v>Included in base game</v>
      </c>
      <c r="K12" s="21" t="str">
        <f t="shared" si="0"/>
        <v/>
      </c>
    </row>
    <row r="13" spans="1:52" x14ac:dyDescent="0.25">
      <c r="A13" s="2" t="s">
        <v>2391</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constants'!$A$4:$B$1012,2,FALSE)</f>
        <v>DLC_FLAMES_OF_AMBITION</v>
      </c>
      <c r="J13" s="17" t="str">
        <f>VLOOKUP(H13,'LibSets constants'!$A$4:$C$1012,3,FALSE)</f>
        <v>Flames of Ambition</v>
      </c>
      <c r="K13" s="21" t="str">
        <f t="shared" si="0"/>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constants'!$A$4:$B$1012,2,FALSE)</f>
        <v>DLC_BASE_GAME</v>
      </c>
      <c r="J14" s="17" t="str">
        <f>VLOOKUP(H14,'LibSets constants'!$A$4:$C$1012,3,FALSE)</f>
        <v>Included in base game</v>
      </c>
      <c r="K14" s="21" t="str">
        <f t="shared" si="0"/>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constants'!$A$4:$B$1012,2,FALSE)</f>
        <v>DLC_BASE_GAME</v>
      </c>
      <c r="J15" s="17" t="str">
        <f>VLOOKUP(H15,'LibSets constants'!$A$4:$C$1012,3,FALSE)</f>
        <v>Included in base game</v>
      </c>
      <c r="K15" s="21" t="str">
        <f t="shared" si="0"/>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constants'!$A$4:$B$1012,2,FALSE)</f>
        <v>DLC_BASE_GAME</v>
      </c>
      <c r="J16" s="17" t="str">
        <f>VLOOKUP(H16,'LibSets constants'!$A$4:$C$1012,3,FALSE)</f>
        <v>Included in base game</v>
      </c>
      <c r="K16" s="21" t="str">
        <f t="shared" si="0"/>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constants'!$A$4:$B$1012,2,FALSE)</f>
        <v>DLC_BASE_GAME</v>
      </c>
      <c r="J17" s="17" t="str">
        <f>VLOOKUP(H17,'LibSets constants'!$A$4:$C$1012,3,FALSE)</f>
        <v>Included in base game</v>
      </c>
      <c r="K17" s="21" t="str">
        <f t="shared" si="0"/>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constants'!$A$4:$B$1012,2,FALSE)</f>
        <v>DLC_BASE_GAME</v>
      </c>
      <c r="J18" s="17" t="str">
        <f>VLOOKUP(H18,'LibSets constants'!$A$4:$C$1012,3,FALSE)</f>
        <v>Included in base game</v>
      </c>
      <c r="K18" s="21" t="str">
        <f t="shared" si="0"/>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constants'!$A$4:$B$1012,2,FALSE)</f>
        <v>DLC_HORNS_OF_THE_REACH</v>
      </c>
      <c r="J19" s="17" t="str">
        <f>VLOOKUP(H19,'LibSets constants'!$A$4:$C$1012,3,FALSE)</f>
        <v>Horns of the Reach</v>
      </c>
      <c r="K19" s="21" t="str">
        <f t="shared" si="0"/>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constants'!$A$4:$B$1012,2,FALSE)</f>
        <v>DLC_BASE_GAME</v>
      </c>
      <c r="J20" s="17" t="str">
        <f>VLOOKUP(H20,'LibSets constants'!$A$4:$C$1012,3,FALSE)</f>
        <v>Included in base game</v>
      </c>
      <c r="K20" s="21" t="str">
        <f t="shared" si="0"/>
        <v/>
      </c>
    </row>
    <row r="21" spans="1:11" x14ac:dyDescent="0.25">
      <c r="A21" s="2" t="s">
        <v>1799</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constants'!$A$4:$B$1012,2,FALSE)</f>
        <v>DLC_STONETHORN</v>
      </c>
      <c r="J21" s="17" t="str">
        <f>VLOOKUP(H21,'LibSets constants'!$A$4:$C$1012,3,FALSE)</f>
        <v>Stonethorn</v>
      </c>
      <c r="K21" s="21" t="str">
        <f t="shared" si="0"/>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constants'!$A$4:$B$1012,2,FALSE)</f>
        <v>DLC_BASE_GAME</v>
      </c>
      <c r="J22" s="17" t="str">
        <f>VLOOKUP(H22,'LibSets constants'!$A$4:$C$1012,3,FALSE)</f>
        <v>Included in base game</v>
      </c>
      <c r="K22" s="21" t="str">
        <f t="shared" si="0"/>
        <v/>
      </c>
    </row>
    <row r="23" spans="1:11" x14ac:dyDescent="0.25">
      <c r="A23" s="2" t="s">
        <v>1799</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constants'!$A$4:$B$1012,2,FALSE)</f>
        <v>DLC_STONETHORN</v>
      </c>
      <c r="J23" s="17" t="str">
        <f>VLOOKUP(H23,'LibSets constants'!$A$4:$C$1012,3,FALSE)</f>
        <v>Stonethorn</v>
      </c>
      <c r="K23" s="21" t="str">
        <f t="shared" si="0"/>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constants'!$A$4:$B$1012,2,FALSE)</f>
        <v>DLC_BASE_GAME</v>
      </c>
      <c r="J24" s="17" t="str">
        <f>VLOOKUP(H24,'LibSets constants'!$A$4:$C$1012,3,FALSE)</f>
        <v>Included in base game</v>
      </c>
      <c r="K24" s="21" t="str">
        <f t="shared" si="0"/>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constants'!$A$4:$B$1012,2,FALSE)</f>
        <v>DLC_BASE_GAME</v>
      </c>
      <c r="J25" s="17" t="str">
        <f>VLOOKUP(H25,'LibSets constants'!$A$4:$C$1012,3,FALSE)</f>
        <v>Included in base game</v>
      </c>
      <c r="K25" s="21" t="str">
        <f t="shared" si="0"/>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constants'!$A$4:$B$1012,2,FALSE)</f>
        <v>DLC_BASE_GAME</v>
      </c>
      <c r="J26" s="17" t="str">
        <f>VLOOKUP(H26,'LibSets constants'!$A$4:$C$1012,3,FALSE)</f>
        <v>Included in base game</v>
      </c>
      <c r="K26" s="21" t="str">
        <f t="shared" si="0"/>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constants'!$A$4:$B$1012,2,FALSE)</f>
        <v>DLC_BASE_GAME</v>
      </c>
      <c r="J27" s="17" t="str">
        <f>VLOOKUP(H27,'LibSets constants'!$A$4:$C$1012,3,FALSE)</f>
        <v>Included in base game</v>
      </c>
      <c r="K27" s="21" t="str">
        <f t="shared" si="0"/>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constants'!$A$4:$B$1012,2,FALSE)</f>
        <v>DLC_BASE_GAME</v>
      </c>
      <c r="J28" s="17" t="str">
        <f>VLOOKUP(H28,'LibSets constants'!$A$4:$C$1012,3,FALSE)</f>
        <v>Included in base game</v>
      </c>
      <c r="K28" s="21" t="str">
        <f t="shared" si="0"/>
        <v/>
      </c>
    </row>
    <row r="29" spans="1:11" x14ac:dyDescent="0.25">
      <c r="A29" s="2" t="s">
        <v>698</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constants'!$A$4:$B$1012,2,FALSE)</f>
        <v>DLC_SUMMERSET</v>
      </c>
      <c r="J29" s="17" t="str">
        <f>VLOOKUP(H29,'LibSets constants'!$A$4:$C$1012,3,FALSE)</f>
        <v>Summerset</v>
      </c>
      <c r="K29" s="21" t="str">
        <f t="shared" si="0"/>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constants'!$A$4:$B$1012,2,FALSE)</f>
        <v>DLC_BASE_GAME</v>
      </c>
      <c r="J30" s="17" t="str">
        <f>VLOOKUP(H30,'LibSets constants'!$A$4:$C$1012,3,FALSE)</f>
        <v>Included in base game</v>
      </c>
      <c r="K30" s="21" t="str">
        <f t="shared" si="0"/>
        <v/>
      </c>
    </row>
    <row r="31" spans="1:11" x14ac:dyDescent="0.25">
      <c r="A31" s="81" t="s">
        <v>2712</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constants'!$A$4:$B$1012,2,FALSE)</f>
        <v>DLC_ASCENDING_TIDE</v>
      </c>
      <c r="J31" s="17" t="str">
        <f>VLOOKUP(H31,'LibSets constants'!$A$4:$C$1012,3,FALSE)</f>
        <v>Ascending Tide</v>
      </c>
      <c r="K31" s="21" t="str">
        <f t="shared" si="0"/>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constants'!$A$4:$B$1012,2,FALSE)</f>
        <v>DLC_BASE_GAME</v>
      </c>
      <c r="J32" s="17" t="str">
        <f>VLOOKUP(H32,'LibSets constants'!$A$4:$C$1012,3,FALSE)</f>
        <v>Included in base game</v>
      </c>
      <c r="K32" s="21" t="str">
        <f t="shared" si="0"/>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constants'!$A$4:$B$1012,2,FALSE)</f>
        <v>DLC_SHADOWS_OF_THE_HIST</v>
      </c>
      <c r="J33" s="17" t="str">
        <f>VLOOKUP(H33,'LibSets constants'!$A$4:$C$1012,3,FALSE)</f>
        <v>Shadows of the Hist</v>
      </c>
      <c r="K33" s="21" t="str">
        <f t="shared" si="0"/>
        <v>[848]={parentZoneId=117,isTrial=false},   --Cradle of Shadows</v>
      </c>
    </row>
    <row r="34" spans="1:11" hidden="1" x14ac:dyDescent="0.25">
      <c r="A34" s="2" t="s">
        <v>440</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constants'!$A$4:$B$1012,2,FALSE)</f>
        <v>DLC_BASE_GAME</v>
      </c>
      <c r="J34" s="17" t="str">
        <f>VLOOKUP(H34,'LibSets constants'!$A$4:$C$1012,3,FALSE)</f>
        <v>Included in base game</v>
      </c>
      <c r="K34" s="21" t="str">
        <f t="shared" si="0"/>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constants'!$A$4:$B$1012,2,FALSE)</f>
        <v>DLC_BASE_GAME</v>
      </c>
      <c r="J35" s="17" t="str">
        <f>VLOOKUP(H35,'LibSets constants'!$A$4:$C$1012,3,FALSE)</f>
        <v>Included in base game</v>
      </c>
      <c r="K35" s="21" t="str">
        <f t="shared" ref="K35:K66" si="1">IF(B35="false","["&amp;D35&amp;"]={parentZoneId="&amp;F35&amp;",isTrial="&amp;C35&amp;"},   --"&amp;E35,"")</f>
        <v>[130]={parentZoneId=20,isTrial=false},   --Crypt of Hearts I</v>
      </c>
    </row>
    <row r="36" spans="1:11" hidden="1" x14ac:dyDescent="0.25">
      <c r="A36" s="2" t="s">
        <v>443</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constants'!$A$4:$B$1012,2,FALSE)</f>
        <v>DLC_BASE_GAME</v>
      </c>
      <c r="J36" s="17" t="str">
        <f>VLOOKUP(H36,'LibSets constants'!$A$4:$C$1012,3,FALSE)</f>
        <v>Included in base game</v>
      </c>
      <c r="K36" s="21" t="str">
        <f t="shared" si="1"/>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constants'!$A$4:$B$1012,2,FALSE)</f>
        <v>DLC_BASE_GAME</v>
      </c>
      <c r="J37" s="17" t="str">
        <f>VLOOKUP(H37,'LibSets constants'!$A$4:$C$1012,3,FALSE)</f>
        <v>Included in base game</v>
      </c>
      <c r="K37" s="21" t="str">
        <f t="shared" si="1"/>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constants'!$A$4:$B$1012,2,FALSE)</f>
        <v>DLC_BASE_GAME</v>
      </c>
      <c r="J38" s="17" t="str">
        <f>VLOOKUP(H38,'LibSets constants'!$A$4:$C$1012,3,FALSE)</f>
        <v>Included in base game</v>
      </c>
      <c r="K38" s="21" t="str">
        <f t="shared" si="1"/>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constants'!$A$4:$B$1012,2,FALSE)</f>
        <v>DLC_BASE_GAME</v>
      </c>
      <c r="J39" s="17" t="str">
        <f>VLOOKUP(H39,'LibSets constants'!$A$4:$C$1012,3,FALSE)</f>
        <v>Included in base game</v>
      </c>
      <c r="K39" s="21" t="str">
        <f t="shared" si="1"/>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constants'!$A$4:$B$1012,2,FALSE)</f>
        <v>DLC_BASE_GAME</v>
      </c>
      <c r="J40" s="17" t="str">
        <f>VLOOKUP(H40,'LibSets constants'!$A$4:$C$1012,3,FALSE)</f>
        <v>Included in base game</v>
      </c>
      <c r="K40" s="21" t="str">
        <f t="shared" si="1"/>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constants'!$A$4:$B$1012,2,FALSE)</f>
        <v>DLC_BASE_GAME</v>
      </c>
      <c r="J41" s="17" t="str">
        <f>VLOOKUP(H41,'LibSets constants'!$A$4:$C$1012,3,FALSE)</f>
        <v>Included in base game</v>
      </c>
      <c r="K41" s="21" t="str">
        <f t="shared" si="1"/>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constants'!$A$4:$B$1012,2,FALSE)</f>
        <v>DLC_BASE_GAME</v>
      </c>
      <c r="J42" s="17" t="str">
        <f>VLOOKUP(H42,'LibSets constants'!$A$4:$C$1012,3,FALSE)</f>
        <v>Included in base game</v>
      </c>
      <c r="K42" s="21" t="str">
        <f t="shared" si="1"/>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constants'!$A$4:$B$1012,2,FALSE)</f>
        <v>DLC_WRATHSTONE</v>
      </c>
      <c r="J43" s="17" t="str">
        <f>VLOOKUP(H43,'LibSets constants'!$A$4:$C$1012,3,FALSE)</f>
        <v>Wrathstone</v>
      </c>
      <c r="K43" s="21" t="str">
        <f t="shared" si="1"/>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constants'!$A$4:$B$1012,2,FALSE)</f>
        <v>DLC_BASE_GAME</v>
      </c>
      <c r="J44" s="17" t="str">
        <f>VLOOKUP(H44,'LibSets constants'!$A$4:$C$1012,3,FALSE)</f>
        <v>Included in base game</v>
      </c>
      <c r="K44" s="21" t="str">
        <f t="shared" si="1"/>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constants'!$A$4:$B$1012,2,FALSE)</f>
        <v>DLC_BASE_GAME</v>
      </c>
      <c r="J45" s="17" t="str">
        <f>VLOOKUP(H45,'LibSets constants'!$A$4:$C$1012,3,FALSE)</f>
        <v>Included in base game</v>
      </c>
      <c r="K45" s="21" t="str">
        <f t="shared" si="1"/>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constants'!$A$4:$B$1012,2,FALSE)</f>
        <v>DLC_BASE_GAME</v>
      </c>
      <c r="J46" s="17" t="str">
        <f>VLOOKUP(H46,'LibSets constants'!$A$4:$C$1012,3,FALSE)</f>
        <v>Included in base game</v>
      </c>
      <c r="K46" s="21" t="str">
        <f t="shared" si="1"/>
        <v/>
      </c>
    </row>
    <row r="47" spans="1:11" x14ac:dyDescent="0.25">
      <c r="A47" s="2" t="s">
        <v>2491</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constants'!$A$4:$B$1012,2,FALSE)</f>
        <v>DLC_WAKING_FLAME</v>
      </c>
      <c r="J47" s="17" t="str">
        <f>VLOOKUP(H47,'LibSets constants'!$A$4:$C$1012,3,FALSE)</f>
        <v>Waking Flame</v>
      </c>
      <c r="K47" s="21" t="str">
        <f t="shared" si="1"/>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constants'!$A$4:$B$1012,2,FALSE)</f>
        <v>DLC_BASE_GAME</v>
      </c>
      <c r="J48" s="17" t="str">
        <f>VLOOKUP(H48,'LibSets constants'!$A$4:$C$1012,3,FALSE)</f>
        <v>Included in base game</v>
      </c>
      <c r="K48" s="21" t="str">
        <f t="shared" si="1"/>
        <v/>
      </c>
    </row>
    <row r="49" spans="1:11" x14ac:dyDescent="0.25">
      <c r="A49" t="s">
        <v>3349</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constants'!$A$4:$B$1012,2,FALSE)</f>
        <v>DLC_HIGH_ISLE</v>
      </c>
      <c r="J49" s="17" t="str">
        <f>VLOOKUP(H49,'LibSets constants'!$A$4:$C$1012,3,FALSE)</f>
        <v>High Isle</v>
      </c>
      <c r="K49" s="21" t="str">
        <f t="shared" si="1"/>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constants'!$A$4:$B$1012,2,FALSE)</f>
        <v>DLC_BASE_GAME</v>
      </c>
      <c r="J50" s="17" t="str">
        <f>VLOOKUP(H50,'LibSets constants'!$A$4:$C$1012,3,FALSE)</f>
        <v>Included in base game</v>
      </c>
      <c r="K50" s="21" t="str">
        <f t="shared" si="1"/>
        <v/>
      </c>
    </row>
    <row r="51" spans="1:11" x14ac:dyDescent="0.25">
      <c r="A51" s="81" t="s">
        <v>3386</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constants'!$A$4:$B$1012,2,FALSE)</f>
        <v>DLC_LOST_DEPTHS</v>
      </c>
      <c r="J51" s="17" t="str">
        <f>VLOOKUP(H51,'LibSets constants'!$A$4:$C$1012,3,FALSE)</f>
        <v>Lost Depths</v>
      </c>
      <c r="K51" s="21" t="str">
        <f t="shared" si="1"/>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constants'!$A$4:$B$1012,2,FALSE)</f>
        <v>DLC_BASE_GAME</v>
      </c>
      <c r="J52" s="17" t="str">
        <f>VLOOKUP(H52,'LibSets constants'!$A$4:$C$1012,3,FALSE)</f>
        <v>Included in base game</v>
      </c>
      <c r="K52" s="21" t="str">
        <f t="shared" si="1"/>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constants'!$A$4:$B$1012,2,FALSE)</f>
        <v>DLC_BASE_GAME</v>
      </c>
      <c r="J53" s="17" t="str">
        <f>VLOOKUP(H53,'LibSets constants'!$A$4:$C$1012,3,FALSE)</f>
        <v>Included in base game</v>
      </c>
      <c r="K53" s="21" t="str">
        <f t="shared" si="1"/>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constants'!$A$4:$B$1012,2,FALSE)</f>
        <v>DLC_BASE_GAME</v>
      </c>
      <c r="J54" s="17" t="str">
        <f>VLOOKUP(H54,'LibSets constants'!$A$4:$C$1012,3,FALSE)</f>
        <v>Included in base game</v>
      </c>
      <c r="K54" s="21" t="str">
        <f t="shared" si="1"/>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constants'!$A$4:$B$1012,2,FALSE)</f>
        <v>DLC_BASE_GAME</v>
      </c>
      <c r="J55" s="17" t="str">
        <f>VLOOKUP(H55,'LibSets constants'!$A$4:$C$1012,3,FALSE)</f>
        <v>Included in base game</v>
      </c>
      <c r="K55" s="21" t="str">
        <f t="shared" si="1"/>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constants'!$A$4:$B$1012,2,FALSE)</f>
        <v>DLC_BASE_GAME</v>
      </c>
      <c r="J56" s="17" t="str">
        <f>VLOOKUP(H56,'LibSets constants'!$A$4:$C$1012,3,FALSE)</f>
        <v>Included in base game</v>
      </c>
      <c r="K56" s="21" t="str">
        <f t="shared" si="1"/>
        <v/>
      </c>
    </row>
    <row r="57" spans="1:11" x14ac:dyDescent="0.25">
      <c r="A57" s="2" t="s">
        <v>3755</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constants'!$A$4:$B$1012,2,FALSE)</f>
        <v>DLC_SCRIBES_OF_FATE</v>
      </c>
      <c r="J57" s="17" t="str">
        <f>VLOOKUP(H57,'LibSets constants'!$A$4:$C$1012,3,FALSE)</f>
        <v>Scribes of Fate</v>
      </c>
      <c r="K57" s="21" t="str">
        <f t="shared" si="1"/>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constants'!$A$4:$B$1012,2,FALSE)</f>
        <v>DLC_IMPERIAL_CITY</v>
      </c>
      <c r="J58" s="17" t="str">
        <f>VLOOKUP(H58,'LibSets constants'!$A$4:$C$1012,3,FALSE)</f>
        <v>Imperial City</v>
      </c>
      <c r="K58" s="21" t="str">
        <f t="shared" si="1"/>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constants'!$A$4:$B$1012,2,FALSE)</f>
        <v>DLC_HORNS_OF_THE_REACH</v>
      </c>
      <c r="J59" s="17" t="str">
        <f>VLOOKUP(H59,'LibSets constants'!$A$4:$C$1012,3,FALSE)</f>
        <v>Horns of the Reach</v>
      </c>
      <c r="K59" s="21" t="str">
        <f t="shared" si="1"/>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constants'!$A$4:$B$1012,2,FALSE)</f>
        <v>DLC_IMPERIAL_CITY</v>
      </c>
      <c r="J60" s="17" t="str">
        <f>VLOOKUP(H60,'LibSets constants'!$A$4:$C$1012,3,FALSE)</f>
        <v>Imperial City</v>
      </c>
      <c r="K60" s="21" t="str">
        <f t="shared" si="1"/>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constants'!$A$4:$B$1012,2,FALSE)</f>
        <v>DLC_DRAGON_BONES</v>
      </c>
      <c r="J61" s="17" t="str">
        <f>VLOOKUP(H61,'LibSets constants'!$A$4:$C$1012,3,FALSE)</f>
        <v>Dragon Bones</v>
      </c>
      <c r="K61" s="21" t="str">
        <f t="shared" si="1"/>
        <v>[1009]={parentZoneId=92,isTrial=false},   --Fang Lair</v>
      </c>
    </row>
    <row r="62" spans="1:11" hidden="1" x14ac:dyDescent="0.25">
      <c r="A62" s="2" t="s">
        <v>475</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constants'!$A$4:$B$1012,2,FALSE)</f>
        <v>DLC_THIEVES_GUILD</v>
      </c>
      <c r="J62" s="17" t="str">
        <f>VLOOKUP(H62,'LibSets constants'!$A$4:$C$1012,3,FALSE)</f>
        <v>Thieves Guild</v>
      </c>
      <c r="K62" s="21" t="str">
        <f t="shared" si="1"/>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constants'!$A$4:$B$1012,2,FALSE)</f>
        <v>DLC_WRATHSTONE</v>
      </c>
      <c r="J63" s="17" t="str">
        <f>VLOOKUP(H63,'LibSets constants'!$A$4:$C$1012,3,FALSE)</f>
        <v>Wrathstone</v>
      </c>
      <c r="K63" s="21" t="str">
        <f t="shared" si="1"/>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constants'!$A$4:$B$1012,2,FALSE)</f>
        <v>DLC_SHADOWS_OF_THE_HIST</v>
      </c>
      <c r="J64" s="17" t="str">
        <f>VLOOKUP(H64,'LibSets constants'!$A$4:$C$1012,3,FALSE)</f>
        <v>Shadows of the Hist</v>
      </c>
      <c r="K64" s="21" t="str">
        <f t="shared" si="1"/>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constants'!$A$4:$B$1012,2,FALSE)</f>
        <v>DLC_BASE_GAME</v>
      </c>
      <c r="J65" s="17" t="str">
        <f>VLOOKUP(H65,'LibSets constants'!$A$4:$C$1012,3,FALSE)</f>
        <v>Included in base game</v>
      </c>
      <c r="K65" s="21" t="str">
        <f t="shared" si="1"/>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constants'!$A$4:$B$1012,2,FALSE)</f>
        <v>DLC_SHADOWS_OF_THE_HIST</v>
      </c>
      <c r="J66" s="17" t="str">
        <f>VLOOKUP(H66,'LibSets constants'!$A$4:$C$1012,3,FALSE)</f>
        <v>Shadows of the Hist</v>
      </c>
      <c r="K66" s="21" t="str">
        <f t="shared" si="1"/>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constants'!$A$4:$B$1012,2,FALSE)</f>
        <v>DLC_BASE_GAME</v>
      </c>
      <c r="J67" s="17" t="str">
        <f>VLOOKUP(H67,'LibSets constants'!$A$4:$C$1012,3,FALSE)</f>
        <v>Included in base game</v>
      </c>
      <c r="K67" s="21" t="str">
        <f t="shared" ref="K67:K98" si="2">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constants'!$A$4:$B$1012,2,FALSE)</f>
        <v>DLC_HORNS_OF_THE_REACH</v>
      </c>
      <c r="J68" s="17" t="str">
        <f>VLOOKUP(H68,'LibSets constants'!$A$4:$C$1012,3,FALSE)</f>
        <v>Horns of the Reach</v>
      </c>
      <c r="K68" s="21" t="str">
        <f t="shared" si="2"/>
        <v/>
      </c>
    </row>
    <row r="69" spans="1:11" x14ac:dyDescent="0.25">
      <c r="A69" s="81" t="s">
        <v>3387</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constants'!$A$4:$B$1012,2,FALSE)</f>
        <v>DLC_LOST_DEPTHS</v>
      </c>
      <c r="J69" s="17" t="str">
        <f>VLOOKUP(H69,'LibSets constants'!$A$4:$C$1012,3,FALSE)</f>
        <v>Lost Depths</v>
      </c>
      <c r="K69" s="21" t="str">
        <f t="shared" si="2"/>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constants'!$A$4:$B$1012,2,FALSE)</f>
        <v>DLC_HORNS_OF_THE_REACH</v>
      </c>
      <c r="J70" s="17" t="str">
        <f>VLOOKUP(H70,'LibSets constants'!$A$4:$C$1012,3,FALSE)</f>
        <v>Horns of the Reach</v>
      </c>
      <c r="K70" s="21" t="str">
        <f t="shared" si="2"/>
        <v/>
      </c>
    </row>
    <row r="71" spans="1:11" x14ac:dyDescent="0.25">
      <c r="A71" s="2" t="s">
        <v>638</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constants'!$A$4:$B$1012,2,FALSE)</f>
        <v>DLC_CLOCKWORK_CITY</v>
      </c>
      <c r="J71" s="17" t="str">
        <f>VLOOKUP(H71,'LibSets constants'!$A$4:$C$1012,3,FALSE)</f>
        <v>Clockwork City</v>
      </c>
      <c r="K71" s="21" t="str">
        <f t="shared" si="2"/>
        <v>[975]={parentZoneId=849,isTrial=true},   --Halls of Fabrication</v>
      </c>
    </row>
    <row r="72" spans="1:11" hidden="1" x14ac:dyDescent="0.25">
      <c r="A72" s="2" t="s">
        <v>658</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constants'!$A$4:$B$1012,2,FALSE)</f>
        <v>DLC_CLOCKWORK_CITY</v>
      </c>
      <c r="J72" s="17" t="str">
        <f>VLOOKUP(H72,'LibSets constants'!$A$4:$C$1012,3,FALSE)</f>
        <v>Clockwork City</v>
      </c>
      <c r="K72" s="21" t="str">
        <f t="shared" si="2"/>
        <v/>
      </c>
    </row>
    <row r="73" spans="1:11" x14ac:dyDescent="0.25">
      <c r="A73" s="2" t="s">
        <v>440</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constants'!$A$4:$B$1012,2,FALSE)</f>
        <v>DLC_BASE_GAME</v>
      </c>
      <c r="J73" s="17" t="str">
        <f>VLOOKUP(H73,'LibSets constants'!$A$4:$C$1012,3,FALSE)</f>
        <v>Included in base game</v>
      </c>
      <c r="K73" s="21" t="str">
        <f t="shared" si="2"/>
        <v>[636]={parentZoneId=888,isTrial=true},   --Hel Ra Citadel</v>
      </c>
    </row>
    <row r="74" spans="1:11" hidden="1" x14ac:dyDescent="0.25">
      <c r="A74" s="2" t="s">
        <v>638</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constants'!$A$4:$B$1012,2,FALSE)</f>
        <v>DLC_CLOCKWORK_CITY</v>
      </c>
      <c r="J74" s="17" t="str">
        <f>VLOOKUP(H74,'LibSets constants'!$A$4:$C$1012,3,FALSE)</f>
        <v>Clockwork City</v>
      </c>
      <c r="K74" s="21" t="str">
        <f t="shared" si="2"/>
        <v/>
      </c>
    </row>
    <row r="75" spans="1:11" x14ac:dyDescent="0.25">
      <c r="A75" s="2" t="s">
        <v>1643</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constants'!$A$4:$B$1012,2,FALSE)</f>
        <v>DLC_HARROWSTORM</v>
      </c>
      <c r="J75" s="17" t="str">
        <f>VLOOKUP(H75,'LibSets constants'!$A$4:$C$1012,3,FALSE)</f>
        <v>Harrowstorm</v>
      </c>
      <c r="K75" s="21" t="str">
        <f t="shared" si="2"/>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constants'!$A$4:$B$1012,2,FALSE)</f>
        <v>DLC_DRAGON_BONES</v>
      </c>
      <c r="J76" s="17" t="str">
        <f>VLOOKUP(H76,'LibSets constants'!$A$4:$C$1012,3,FALSE)</f>
        <v>Dragon Bones</v>
      </c>
      <c r="K76" s="21" t="str">
        <f t="shared" si="2"/>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constants'!$A$4:$B$1012,2,FALSE)</f>
        <v>DLC_IMPERIAL_CITY</v>
      </c>
      <c r="J77" s="17" t="str">
        <f>VLOOKUP(H77,'LibSets constants'!$A$4:$C$1012,3,FALSE)</f>
        <v>Imperial City</v>
      </c>
      <c r="K77" s="21" t="str">
        <f t="shared" si="2"/>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constants'!$A$4:$B$1012,2,FALSE)</f>
        <v>DLC_DRAGON_BONES</v>
      </c>
      <c r="J78" s="17" t="str">
        <f>VLOOKUP(H78,'LibSets constants'!$A$4:$C$1012,3,FALSE)</f>
        <v>Dragon Bones</v>
      </c>
      <c r="K78" s="21" t="str">
        <f t="shared" si="2"/>
        <v/>
      </c>
    </row>
    <row r="79" spans="1:11" x14ac:dyDescent="0.25">
      <c r="A79" s="2" t="s">
        <v>1703</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constants'!$A$4:$B$1012,2,FALSE)</f>
        <v>DLC_GREYMOOR</v>
      </c>
      <c r="J79" s="17" t="str">
        <f>VLOOKUP(H79,'LibSets constants'!$A$4:$C$1012,3,FALSE)</f>
        <v>Greymoor</v>
      </c>
      <c r="K79" s="21" t="str">
        <f t="shared" si="2"/>
        <v>[1196]={parentZoneId=1160,isTrial=false},   --Kyne's Aegis</v>
      </c>
    </row>
    <row r="80" spans="1:11" hidden="1" x14ac:dyDescent="0.25">
      <c r="A80" s="2" t="s">
        <v>698</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constants'!$A$4:$B$1012,2,FALSE)</f>
        <v>DLC_SUMMERSET</v>
      </c>
      <c r="J80" s="17" t="str">
        <f>VLOOKUP(H80,'LibSets constants'!$A$4:$C$1012,3,FALSE)</f>
        <v>Summerset</v>
      </c>
      <c r="K80" s="21" t="str">
        <f t="shared" si="2"/>
        <v/>
      </c>
    </row>
    <row r="81" spans="1:11" x14ac:dyDescent="0.25">
      <c r="A81" s="2" t="s">
        <v>1483</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constants'!$A$4:$B$1012,2,FALSE)</f>
        <v>DLC_SCALEBREAKER</v>
      </c>
      <c r="J81" s="17" t="str">
        <f>VLOOKUP(H81,'LibSets constants'!$A$4:$C$1012,3,FALSE)</f>
        <v>Scalebraker</v>
      </c>
      <c r="K81" s="21" t="str">
        <f t="shared" si="2"/>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constants'!$A$4:$B$1012,2,FALSE)</f>
        <v>DLC_WOLFHUNTER</v>
      </c>
      <c r="J82" s="17" t="str">
        <f>VLOOKUP(H82,'LibSets constants'!$A$4:$C$1012,3,FALSE)</f>
        <v>Wolfhunter</v>
      </c>
      <c r="K82" s="21" t="str">
        <f t="shared" si="2"/>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constants'!$A$4:$B$1012,2,FALSE)</f>
        <v>DLC_WOLFHUNTER</v>
      </c>
      <c r="J83" s="17" t="str">
        <f>VLOOKUP(H83,'LibSets constants'!$A$4:$C$1012,3,FALSE)</f>
        <v>Wolfhunter</v>
      </c>
      <c r="K83" s="21" t="str">
        <f t="shared" si="2"/>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constants'!$A$4:$B$1012,2,FALSE)</f>
        <v>DLC_WOLFHUNTER</v>
      </c>
      <c r="J84" s="17" t="str">
        <f>VLOOKUP(H84,'LibSets constants'!$A$4:$C$1012,3,FALSE)</f>
        <v>Wolfhunter</v>
      </c>
      <c r="K84" s="21" t="str">
        <f t="shared" si="2"/>
        <v/>
      </c>
    </row>
    <row r="85" spans="1:11" x14ac:dyDescent="0.25">
      <c r="A85" s="2" t="s">
        <v>475</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constants'!$A$4:$B$1012,2,FALSE)</f>
        <v>DLC_THIEVES_GUILD</v>
      </c>
      <c r="J85" s="17" t="str">
        <f>VLOOKUP(H85,'LibSets constants'!$A$4:$C$1012,3,FALSE)</f>
        <v>Thieves Guild</v>
      </c>
      <c r="K85" s="21" t="str">
        <f t="shared" si="2"/>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constants'!$A$4:$B$1012,2,FALSE)</f>
        <v>DLC_WRATHSTONE</v>
      </c>
      <c r="J86" s="17" t="str">
        <f>VLOOKUP(H86,'LibSets constants'!$A$4:$C$1012,3,FALSE)</f>
        <v>Wrathstone</v>
      </c>
      <c r="K86" s="21" t="str">
        <f t="shared" si="2"/>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constants'!$A$4:$B$1012,2,FALSE)</f>
        <v>DLC_WOLFHUNTER</v>
      </c>
      <c r="J87" s="17" t="str">
        <f>VLOOKUP(H87,'LibSets constants'!$A$4:$C$1012,3,FALSE)</f>
        <v>Wolfhunter</v>
      </c>
      <c r="K87" s="21" t="str">
        <f t="shared" si="2"/>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constants'!$A$4:$B$1012,2,FALSE)</f>
        <v>DLC_WRATHSTONE</v>
      </c>
      <c r="J88" s="17" t="str">
        <f>VLOOKUP(H88,'LibSets constants'!$A$4:$C$1012,3,FALSE)</f>
        <v>Wrathstone</v>
      </c>
      <c r="K88" s="21" t="str">
        <f t="shared" si="2"/>
        <v/>
      </c>
    </row>
    <row r="89" spans="1:11" x14ac:dyDescent="0.25">
      <c r="A89" s="2" t="s">
        <v>1482</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constants'!$A$4:$B$1012,2,FALSE)</f>
        <v>DLC_SCALEBREAKER</v>
      </c>
      <c r="J89" s="17" t="str">
        <f>VLOOKUP(H89,'LibSets constants'!$A$4:$C$1012,3,FALSE)</f>
        <v>Scalebraker</v>
      </c>
      <c r="K89" s="21" t="str">
        <f t="shared" si="2"/>
        <v>[1122]={parentZoneId=1086,isTrial=false},   --Moongrave Fane</v>
      </c>
    </row>
    <row r="90" spans="1:11" hidden="1" x14ac:dyDescent="0.25">
      <c r="A90" s="2" t="s">
        <v>1343</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constants'!$A$4:$B$1012,2,FALSE)</f>
        <v>DLC_ELSWEYR</v>
      </c>
      <c r="J90" s="17" t="str">
        <f>VLOOKUP(H90,'LibSets constants'!$A$4:$C$1012,3,FALSE)</f>
        <v>Elsweyr</v>
      </c>
      <c r="K90" s="21" t="str">
        <f t="shared" si="2"/>
        <v/>
      </c>
    </row>
    <row r="91" spans="1:11" x14ac:dyDescent="0.25">
      <c r="A91" s="53" t="s">
        <v>3895</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constants'!$A$4:$B$1012,2,FALSE)</f>
        <v>DLC_SCIONS_OF_ITHELIA</v>
      </c>
      <c r="J91" s="17" t="str">
        <f>VLOOKUP(H91,'LibSets constants'!$A$4:$C$1012,3,FALSE)</f>
        <v>Scions of Ithelia</v>
      </c>
      <c r="K91" s="21" t="str">
        <f t="shared" si="2"/>
        <v>[1470]={parentZoneId=1207,isTrial=false},   --Oathsworn Pit</v>
      </c>
    </row>
    <row r="92" spans="1:11" hidden="1" x14ac:dyDescent="0.25">
      <c r="A92" s="2" t="s">
        <v>1483</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constants'!$A$4:$B$1012,2,FALSE)</f>
        <v>DLC_SCALEBREAKER</v>
      </c>
      <c r="J92" s="17" t="str">
        <f>VLOOKUP(H92,'LibSets constants'!$A$4:$C$1012,3,FALSE)</f>
        <v>Scalebraker</v>
      </c>
      <c r="K92" s="21" t="str">
        <f t="shared" si="2"/>
        <v/>
      </c>
    </row>
    <row r="93" spans="1:11" x14ac:dyDescent="0.25">
      <c r="A93" s="2" t="s">
        <v>2494</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constants'!$A$4:$B$1012,2,FALSE)</f>
        <v>DLC_WAKING_FLAME</v>
      </c>
      <c r="J93" s="17" t="str">
        <f>VLOOKUP(H93,'LibSets constants'!$A$4:$C$1012,3,FALSE)</f>
        <v>Waking Flame</v>
      </c>
      <c r="K93" s="21" t="str">
        <f t="shared" si="2"/>
        <v>[1267]={parentZoneId=3,isTrial=false},   --Red Petal Bastion</v>
      </c>
    </row>
    <row r="94" spans="1:11" hidden="1" x14ac:dyDescent="0.25">
      <c r="A94" s="2" t="s">
        <v>1482</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constants'!$A$4:$B$1012,2,FALSE)</f>
        <v>DLC_SCALEBREAKER</v>
      </c>
      <c r="J94" s="17" t="str">
        <f>VLOOKUP(H94,'LibSets constants'!$A$4:$C$1012,3,FALSE)</f>
        <v>Scalebraker</v>
      </c>
      <c r="K94" s="21" t="str">
        <f t="shared" si="2"/>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constants'!$A$4:$B$1012,2,FALSE)</f>
        <v>DLC_SHADOWS_OF_THE_HIST</v>
      </c>
      <c r="J95" s="17" t="str">
        <f>VLOOKUP(H95,'LibSets constants'!$A$4:$C$1012,3,FALSE)</f>
        <v>Shadows of the Hist</v>
      </c>
      <c r="K95" s="21" t="str">
        <f t="shared" si="2"/>
        <v>[843]={parentZoneId=117,isTrial=false},   --Ruins of Mazzatun</v>
      </c>
    </row>
    <row r="96" spans="1:11" hidden="1" x14ac:dyDescent="0.25">
      <c r="A96" s="2" t="s">
        <v>1643</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constants'!$A$4:$B$1012,2,FALSE)</f>
        <v>DLC_HARROWSTORM</v>
      </c>
      <c r="J96" s="17" t="str">
        <f>VLOOKUP(H96,'LibSets constants'!$A$4:$C$1012,3,FALSE)</f>
        <v>Harrowstorm</v>
      </c>
      <c r="K96" s="21" t="str">
        <f t="shared" si="2"/>
        <v/>
      </c>
    </row>
    <row r="97" spans="1:11" x14ac:dyDescent="0.25">
      <c r="A97" s="2" t="s">
        <v>443</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constants'!$A$4:$B$1012,2,FALSE)</f>
        <v>DLC_BASE_GAME</v>
      </c>
      <c r="J97" s="17" t="str">
        <f>VLOOKUP(H97,'LibSets constants'!$A$4:$C$1012,3,FALSE)</f>
        <v>Included in base game</v>
      </c>
      <c r="K97" s="21" t="str">
        <f t="shared" si="2"/>
        <v>[639]={parentZoneId=888,isTrial=true},   --Sanctum Ophidia</v>
      </c>
    </row>
    <row r="98" spans="1:11" hidden="1" x14ac:dyDescent="0.25">
      <c r="A98" s="2" t="s">
        <v>1642</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constants'!$A$4:$B$1012,2,FALSE)</f>
        <v>DLC_HARROWSTORM</v>
      </c>
      <c r="J98" s="17" t="str">
        <f>VLOOKUP(H98,'LibSets constants'!$A$4:$C$1012,3,FALSE)</f>
        <v>Harrowstorm</v>
      </c>
      <c r="K98" s="21" t="str">
        <f t="shared" si="2"/>
        <v/>
      </c>
    </row>
    <row r="99" spans="1:11" x14ac:dyDescent="0.25">
      <c r="A99" s="2" t="s">
        <v>3691</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constants'!$A$4:$B$1012,2,FALSE)</f>
        <v>DLC_SCRIBES_OF_FATE</v>
      </c>
      <c r="J99" s="17" t="str">
        <f>VLOOKUP(H99,'LibSets constants'!$A$4:$C$1012,3,FALSE)</f>
        <v>Scribes of Fate</v>
      </c>
      <c r="K99" s="21" t="str">
        <f t="shared" ref="K99:K130" si="3">IF(B99="false","["&amp;D99&amp;"]={parentZoneId="&amp;F99&amp;",isTrial="&amp;C99&amp;"},   --"&amp;E99,"")</f>
        <v>[1427]={parentZoneId=1414,isTrial=true},   --Sanity's Edge</v>
      </c>
    </row>
    <row r="100" spans="1:11" hidden="1" x14ac:dyDescent="0.25">
      <c r="A100" s="2" t="s">
        <v>1703</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constants'!$A$4:$B$1012,2,FALSE)</f>
        <v>DLC_GREYMOOR</v>
      </c>
      <c r="J100" s="17" t="str">
        <f>VLOOKUP(H100,'LibSets constants'!$A$4:$C$1012,3,FALSE)</f>
        <v>Greymoor</v>
      </c>
      <c r="K100" s="21" t="str">
        <f t="shared" si="3"/>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constants'!$A$4:$B$1012,2,FALSE)</f>
        <v>DLC_DRAGON_BONES</v>
      </c>
      <c r="J101" s="17" t="str">
        <f>VLOOKUP(H101,'LibSets constants'!$A$4:$C$1012,3,FALSE)</f>
        <v>Dragon Bones</v>
      </c>
      <c r="K101" s="21" t="str">
        <f t="shared" si="3"/>
        <v>[1010]={parentZoneId=19,isTrial=false},   --Scalecaller Peak</v>
      </c>
    </row>
    <row r="102" spans="1:11" x14ac:dyDescent="0.25">
      <c r="A102" s="81" t="s">
        <v>3558</v>
      </c>
      <c r="B102" s="9" t="s">
        <v>91</v>
      </c>
      <c r="C102" t="s">
        <v>91</v>
      </c>
      <c r="D102" s="103">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constants'!$A$4:$B$1012,2,FALSE)</f>
        <v>DLC_SCRIBES_OF_FATE</v>
      </c>
      <c r="J102" s="17" t="str">
        <f>VLOOKUP(H102,'LibSets constants'!$A$4:$C$1012,3,FALSE)</f>
        <v>Scribes of Fate</v>
      </c>
      <c r="K102" s="21" t="str">
        <f t="shared" si="3"/>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constants'!$A$4:$B$1012,2,FALSE)</f>
        <v>DLC_BASE_GAME</v>
      </c>
      <c r="J103" s="17" t="str">
        <f>VLOOKUP(H103,'LibSets constants'!$A$4:$C$1012,3,FALSE)</f>
        <v>Included in base game</v>
      </c>
      <c r="K103" s="21" t="str">
        <f t="shared" si="3"/>
        <v>[31]={parentZoneId=382,isTrial=false},   --Selene's Web</v>
      </c>
    </row>
    <row r="104" spans="1:11" hidden="1" x14ac:dyDescent="0.25">
      <c r="A104" s="2" t="s">
        <v>1804</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constants'!$A$4:$B$1012,2,FALSE)</f>
        <v>DLC_STONETHORN</v>
      </c>
      <c r="J104" s="17" t="str">
        <f>VLOOKUP(H104,'LibSets constants'!$A$4:$C$1012,3,FALSE)</f>
        <v>Stonethorn</v>
      </c>
      <c r="K104" s="21" t="str">
        <f t="shared" si="3"/>
        <v/>
      </c>
    </row>
    <row r="105" spans="1:11" x14ac:dyDescent="0.25">
      <c r="A105" s="81" t="s">
        <v>2713</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constants'!$A$4:$B$1012,2,FALSE)</f>
        <v>DLC_ASCENDING_TIDE</v>
      </c>
      <c r="J105" s="17" t="str">
        <f>VLOOKUP(H105,'LibSets constants'!$A$4:$C$1012,3,FALSE)</f>
        <v>Ascending Tide</v>
      </c>
      <c r="K105" s="21" t="str">
        <f t="shared" si="3"/>
        <v>[1302]={parentZoneId=20,isTrial=false},   --Shipwright's Regret</v>
      </c>
    </row>
    <row r="106" spans="1:11" hidden="1" x14ac:dyDescent="0.25">
      <c r="A106" s="2" t="s">
        <v>2391</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constants'!$A$4:$B$1012,2,FALSE)</f>
        <v>DLC_FLAMES_OF_AMBITION</v>
      </c>
      <c r="J106" s="17" t="str">
        <f>VLOOKUP(H106,'LibSets constants'!$A$4:$C$1012,3,FALSE)</f>
        <v>Flames of Ambition</v>
      </c>
      <c r="K106" s="21" t="str">
        <f t="shared" si="3"/>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constants'!$A$4:$B$1012,2,FALSE)</f>
        <v>DLC_BASE_GAME</v>
      </c>
      <c r="J107" s="17" t="str">
        <f>VLOOKUP(H107,'LibSets constants'!$A$4:$C$1012,3,FALSE)</f>
        <v>Included in base game</v>
      </c>
      <c r="K107" s="21" t="str">
        <f t="shared" si="3"/>
        <v>[144]={parentZoneId=3,isTrial=false},   --Spindleclutch I</v>
      </c>
    </row>
    <row r="108" spans="1:11" hidden="1" x14ac:dyDescent="0.25">
      <c r="A108" s="2" t="s">
        <v>2392</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constants'!$A$4:$B$1012,2,FALSE)</f>
        <v>DLC_BLACKWOOD</v>
      </c>
      <c r="J108" s="17" t="str">
        <f>VLOOKUP(H108,'LibSets constants'!$A$4:$C$1012,3,FALSE)</f>
        <v>Blackwood</v>
      </c>
      <c r="K108" s="21" t="str">
        <f t="shared" si="3"/>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constants'!$A$4:$B$1012,2,FALSE)</f>
        <v>DLC_BASE_GAME</v>
      </c>
      <c r="J109" s="17" t="str">
        <f>VLOOKUP(H109,'LibSets constants'!$A$4:$C$1012,3,FALSE)</f>
        <v>Included in base game</v>
      </c>
      <c r="K109" s="21" t="str">
        <f t="shared" si="3"/>
        <v>[936]={parentZoneId=3,isTrial=false},   --Spindleclutch II</v>
      </c>
    </row>
    <row r="110" spans="1:11" hidden="1" x14ac:dyDescent="0.25">
      <c r="A110" s="2" t="s">
        <v>2491</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constants'!$A$4:$B$1012,2,FALSE)</f>
        <v>DLC_WAKING_FLAME</v>
      </c>
      <c r="J110" s="17" t="str">
        <f>VLOOKUP(H110,'LibSets constants'!$A$4:$C$1012,3,FALSE)</f>
        <v>Waking Flame</v>
      </c>
      <c r="K110" s="21" t="str">
        <f t="shared" si="3"/>
        <v/>
      </c>
    </row>
    <row r="111" spans="1:11" x14ac:dyDescent="0.25">
      <c r="A111" s="2" t="s">
        <v>1804</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constants'!$A$4:$B$1012,2,FALSE)</f>
        <v>DLC_STONETHORN</v>
      </c>
      <c r="J111" s="17" t="str">
        <f>VLOOKUP(H111,'LibSets constants'!$A$4:$C$1012,3,FALSE)</f>
        <v>Stonethorn</v>
      </c>
      <c r="K111" s="21" t="str">
        <f t="shared" si="3"/>
        <v>[1197]={parentZoneId=1161,isTrial=false},   --Stone Garden</v>
      </c>
    </row>
    <row r="112" spans="1:11" hidden="1" x14ac:dyDescent="0.25">
      <c r="A112" s="2" t="s">
        <v>2494</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constants'!$A$4:$B$1012,2,FALSE)</f>
        <v>DLC_WAKING_FLAME</v>
      </c>
      <c r="J112" s="17" t="str">
        <f>VLOOKUP(H112,'LibSets constants'!$A$4:$C$1012,3,FALSE)</f>
        <v>Waking Flame</v>
      </c>
      <c r="K112" s="21" t="str">
        <f t="shared" si="3"/>
        <v/>
      </c>
    </row>
    <row r="113" spans="1:11" x14ac:dyDescent="0.25">
      <c r="A113" s="2" t="s">
        <v>1343</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constants'!$A$4:$B$1012,2,FALSE)</f>
        <v>DLC_ELSWEYR</v>
      </c>
      <c r="J113" s="17" t="str">
        <f>VLOOKUP(H113,'LibSets constants'!$A$4:$C$1012,3,FALSE)</f>
        <v>Elsweyr</v>
      </c>
      <c r="K113" s="21" t="str">
        <f t="shared" si="3"/>
        <v>[1121]={parentZoneId=1086,isTrial=true},   --Sunspire</v>
      </c>
    </row>
    <row r="114" spans="1:11" hidden="1" x14ac:dyDescent="0.25">
      <c r="A114" s="81" t="s">
        <v>2712</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constants'!$A$4:$B$1012,2,FALSE)</f>
        <v>DLC_ASCENDING_TIDE</v>
      </c>
      <c r="J114" s="17" t="str">
        <f>VLOOKUP(H114,'LibSets constants'!$A$4:$C$1012,3,FALSE)</f>
        <v>Ascending Tide</v>
      </c>
      <c r="K114" s="21" t="str">
        <f t="shared" si="3"/>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constants'!$A$4:$B$1012,2,FALSE)</f>
        <v>DLC_BASE_GAME</v>
      </c>
      <c r="J115" s="17" t="str">
        <f>VLOOKUP(H115,'LibSets constants'!$A$4:$C$1012,3,FALSE)</f>
        <v>Included in base game</v>
      </c>
      <c r="K115" s="21" t="str">
        <f t="shared" si="3"/>
        <v>[131]={parentZoneId=58,isTrial=false},   --Tempest Island</v>
      </c>
    </row>
    <row r="116" spans="1:11" hidden="1" x14ac:dyDescent="0.25">
      <c r="A116" s="81" t="s">
        <v>2713</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constants'!$A$4:$B$1012,2,FALSE)</f>
        <v>DLC_ASCENDING_TIDE</v>
      </c>
      <c r="J116" s="17" t="str">
        <f>VLOOKUP(H116,'LibSets constants'!$A$4:$C$1012,3,FALSE)</f>
        <v>Ascending Tide</v>
      </c>
      <c r="K116" s="21" t="str">
        <f t="shared" si="3"/>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constants'!$A$4:$B$1012,2,FALSE)</f>
        <v>DLC_BASE_GAME</v>
      </c>
      <c r="J117" s="17" t="str">
        <f>VLOOKUP(H117,'LibSets constants'!$A$4:$C$1012,3,FALSE)</f>
        <v>Included in base game</v>
      </c>
      <c r="K117" s="21" t="str">
        <f t="shared" si="3"/>
        <v>[380]={parentZoneId=381,isTrial=false},   --The Banished Cells I</v>
      </c>
    </row>
    <row r="118" spans="1:11" hidden="1" x14ac:dyDescent="0.25">
      <c r="A118" t="s">
        <v>3349</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constants'!$A$4:$B$1012,2,FALSE)</f>
        <v>DLC_HIGH_ISLE</v>
      </c>
      <c r="J118" s="17" t="str">
        <f>VLOOKUP(H118,'LibSets constants'!$A$4:$C$1012,3,FALSE)</f>
        <v>High Isle</v>
      </c>
      <c r="K118" s="21" t="str">
        <f t="shared" si="3"/>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constants'!$A$4:$B$1012,2,FALSE)</f>
        <v>DLC_BASE_GAME</v>
      </c>
      <c r="J119" s="17" t="str">
        <f>VLOOKUP(H119,'LibSets constants'!$A$4:$C$1012,3,FALSE)</f>
        <v>Included in base game</v>
      </c>
      <c r="K119" s="21" t="str">
        <f t="shared" si="3"/>
        <v>[935]={parentZoneId=381,isTrial=false},   --The Banished Cells II</v>
      </c>
    </row>
    <row r="120" spans="1:11" hidden="1" x14ac:dyDescent="0.25">
      <c r="A120" s="81" t="s">
        <v>3386</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constants'!$A$4:$B$1012,2,FALSE)</f>
        <v>DLC_LOST_DEPTHS</v>
      </c>
      <c r="J120" s="17" t="str">
        <f>VLOOKUP(H120,'LibSets constants'!$A$4:$C$1012,3,FALSE)</f>
        <v>Lost Depths</v>
      </c>
      <c r="K120" s="21" t="str">
        <f t="shared" si="3"/>
        <v/>
      </c>
    </row>
    <row r="121" spans="1:11" x14ac:dyDescent="0.25">
      <c r="A121" s="2" t="s">
        <v>2392</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constants'!$A$4:$B$1012,2,FALSE)</f>
        <v>DLC_FLAMES_OF_AMBITION</v>
      </c>
      <c r="J121" s="17" t="str">
        <f>VLOOKUP(H121,'LibSets constants'!$A$4:$C$1012,3,FALSE)</f>
        <v>Flames of Ambition</v>
      </c>
      <c r="K121" s="21" t="str">
        <f t="shared" si="3"/>
        <v>[1229]={parentZoneId=57,isTrial=false},   --The Cauldron</v>
      </c>
    </row>
    <row r="122" spans="1:11" hidden="1" x14ac:dyDescent="0.25">
      <c r="A122" s="81" t="s">
        <v>3387</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constants'!$A$4:$B$1012,2,FALSE)</f>
        <v>DLC_LOST_DEPTHS</v>
      </c>
      <c r="J122" s="17" t="str">
        <f>VLOOKUP(H122,'LibSets constants'!$A$4:$C$1012,3,FALSE)</f>
        <v>Lost Depths</v>
      </c>
      <c r="K122" s="21" t="str">
        <f t="shared" si="3"/>
        <v/>
      </c>
    </row>
    <row r="123" spans="1:11" x14ac:dyDescent="0.25">
      <c r="A123" s="2" t="s">
        <v>1642</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constants'!$A$4:$B$1012,2,FALSE)</f>
        <v>DLC_HARROWSTORM</v>
      </c>
      <c r="J123" s="17" t="str">
        <f>VLOOKUP(H123,'LibSets constants'!$A$4:$C$1012,3,FALSE)</f>
        <v>Harrowstorm</v>
      </c>
      <c r="K123" s="21" t="str">
        <f t="shared" si="3"/>
        <v>[1153]={parentZoneId=92,isTrial=false},   --Unhallowed Grave</v>
      </c>
    </row>
    <row r="124" spans="1:11" hidden="1" x14ac:dyDescent="0.25">
      <c r="A124" s="81" t="s">
        <v>3555</v>
      </c>
      <c r="B124" s="9" t="s">
        <v>92</v>
      </c>
      <c r="C124" s="29" t="s">
        <v>92</v>
      </c>
      <c r="D124" s="92">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constants'!$A$4:$B$1012,2,FALSE)</f>
        <v>DLC_SCRIBES_OF_FATE</v>
      </c>
      <c r="J124" s="17" t="str">
        <f>VLOOKUP(H124,'LibSets constants'!$A$4:$C$1012,3,FALSE)</f>
        <v>Scribes of Fate</v>
      </c>
      <c r="K124" s="21" t="str">
        <f t="shared" si="3"/>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constants'!$A$4:$B$1012,2,FALSE)</f>
        <v>DLC_BASE_GAME</v>
      </c>
      <c r="J125" s="17" t="str">
        <f>VLOOKUP(H125,'LibSets constants'!$A$4:$C$1012,3,FALSE)</f>
        <v>Included in base game</v>
      </c>
      <c r="K125" s="21" t="str">
        <f t="shared" si="3"/>
        <v>[11]={parentZoneId=347,isTrial=false},   --Vaults of Madness</v>
      </c>
    </row>
    <row r="126" spans="1:11" hidden="1" x14ac:dyDescent="0.25">
      <c r="A126" s="81" t="s">
        <v>3558</v>
      </c>
      <c r="B126" s="9" t="s">
        <v>92</v>
      </c>
      <c r="C126" t="s">
        <v>91</v>
      </c>
      <c r="D126" s="92">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constants'!$A$4:$B$1012,2,FALSE)</f>
        <v>DLC_SCRIBES_OF_FATE</v>
      </c>
      <c r="J126" s="17" t="str">
        <f>VLOOKUP(H126,'LibSets constants'!$A$4:$C$1012,3,FALSE)</f>
        <v>Scribes of Fate</v>
      </c>
      <c r="K126" s="21" t="str">
        <f t="shared" si="3"/>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constants'!$A$4:$B$1012,2,FALSE)</f>
        <v>DLC_BASE_GAME</v>
      </c>
      <c r="J127" s="17" t="str">
        <f>VLOOKUP(H127,'LibSets constants'!$A$4:$C$1012,3,FALSE)</f>
        <v>Included in base game</v>
      </c>
      <c r="K127" s="21" t="str">
        <f t="shared" si="3"/>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constants'!$A$4:$B$1012,2,FALSE)</f>
        <v>DLC_BASE_GAME</v>
      </c>
      <c r="J128" s="17" t="str">
        <f>VLOOKUP(H128,'LibSets constants'!$A$4:$C$1012,3,FALSE)</f>
        <v>Included in base game</v>
      </c>
      <c r="K128" s="21" t="str">
        <f t="shared" si="3"/>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constants'!$A$4:$B$1012,2,FALSE)</f>
        <v>DLC_BASE_GAME</v>
      </c>
      <c r="J129" s="17" t="str">
        <f>VLOOKUP(H129,'LibSets constants'!$A$4:$C$1012,3,FALSE)</f>
        <v>Included in base game</v>
      </c>
      <c r="K129" s="21" t="str">
        <f t="shared" si="3"/>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constants'!$A$4:$B$1012,2,FALSE)</f>
        <v>DLC_IMPERIAL_CITY</v>
      </c>
      <c r="J130" s="17" t="str">
        <f>VLOOKUP(H130,'LibSets constants'!$A$4:$C$1012,3,FALSE)</f>
        <v>Imperial City</v>
      </c>
      <c r="K130" s="21" t="str">
        <f t="shared" si="3"/>
        <v>[688]={parentZoneId=584,isTrial=false},   --White-Gold Tower</v>
      </c>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987"/>
  <sheetViews>
    <sheetView zoomScale="85" zoomScaleNormal="85" workbookViewId="0">
      <pane xSplit="3" ySplit="2" topLeftCell="D38" activePane="bottomRight" state="frozen"/>
      <selection pane="topRight" activeCell="D1" sqref="D1"/>
      <selection pane="bottomLeft" activeCell="A2" sqref="A2"/>
      <selection pane="bottomRight" activeCell="D984" sqref="D984"/>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16" t="s">
        <v>3928</v>
      </c>
      <c r="B1" s="116"/>
      <c r="C1" s="116"/>
      <c r="D1" s="116"/>
      <c r="E1" s="116"/>
      <c r="F1" s="116"/>
      <c r="G1" s="116"/>
      <c r="H1" s="116"/>
      <c r="I1" s="116"/>
      <c r="J1" s="116"/>
      <c r="K1" s="116"/>
      <c r="L1" s="117"/>
    </row>
    <row r="2" spans="1:12" ht="90" x14ac:dyDescent="0.25">
      <c r="A2" s="5" t="s">
        <v>94</v>
      </c>
      <c r="B2" s="5" t="s">
        <v>101</v>
      </c>
      <c r="C2" s="5" t="s">
        <v>98</v>
      </c>
      <c r="D2" s="62" t="s">
        <v>99</v>
      </c>
      <c r="E2" s="7" t="s">
        <v>100</v>
      </c>
      <c r="F2" s="7" t="s">
        <v>1339</v>
      </c>
      <c r="G2" s="7" t="s">
        <v>725</v>
      </c>
      <c r="H2" s="63" t="s">
        <v>1372</v>
      </c>
      <c r="I2" s="64" t="s">
        <v>1371</v>
      </c>
      <c r="J2" s="1" t="s">
        <v>1417</v>
      </c>
      <c r="K2" s="7" t="s">
        <v>1506</v>
      </c>
      <c r="L2" s="7" t="s">
        <v>1418</v>
      </c>
    </row>
    <row r="3" spans="1:12" x14ac:dyDescent="0.25">
      <c r="A3" s="110">
        <v>-99</v>
      </c>
      <c r="B3" s="110" t="s">
        <v>3835</v>
      </c>
      <c r="C3" s="110"/>
      <c r="D3" s="104" t="s">
        <v>3834</v>
      </c>
      <c r="E3" s="104"/>
      <c r="F3" s="104" t="s">
        <v>3832</v>
      </c>
      <c r="G3" s="104" t="s">
        <v>3834</v>
      </c>
      <c r="H3" s="106">
        <v>-99</v>
      </c>
      <c r="I3" s="106">
        <v>-99</v>
      </c>
      <c r="J3" s="104"/>
      <c r="K3" s="104" t="str">
        <f>VLOOKUP(J3,'LibSets constants'!$A$4:$B$1012,2,FALSE)</f>
        <v>DLC_BASE_GAME</v>
      </c>
      <c r="L3" s="104" t="str">
        <f>VLOOKUP(J3,'LibSets constants'!$A$4:$C$1012,3,FALSE)</f>
        <v>Included in base game</v>
      </c>
    </row>
    <row r="4" spans="1:12" x14ac:dyDescent="0.25">
      <c r="A4" s="110">
        <v>-98</v>
      </c>
      <c r="B4" s="110" t="s">
        <v>3835</v>
      </c>
      <c r="C4" s="110"/>
      <c r="D4" s="105" t="s">
        <v>2372</v>
      </c>
      <c r="E4" s="104"/>
      <c r="F4" s="104" t="s">
        <v>3832</v>
      </c>
      <c r="G4" s="104" t="s">
        <v>3833</v>
      </c>
      <c r="H4" s="106">
        <v>-98</v>
      </c>
      <c r="I4" s="108">
        <v>-98</v>
      </c>
      <c r="J4" s="104"/>
      <c r="K4" s="104" t="str">
        <f>VLOOKUP(J4,'LibSets constants'!$A$4:$B$1012,2,FALSE)</f>
        <v>DLC_BASE_GAME</v>
      </c>
      <c r="L4" s="104" t="str">
        <f>VLOOKUP(J4,'LibSets constants'!$A$4:$C$1012,3,FALSE)</f>
        <v>Included in base game</v>
      </c>
    </row>
    <row r="5" spans="1:12" x14ac:dyDescent="0.25">
      <c r="A5" s="111">
        <v>0</v>
      </c>
      <c r="B5" s="111">
        <v>4294967296</v>
      </c>
      <c r="C5" s="111">
        <v>0</v>
      </c>
      <c r="D5" s="41" t="s">
        <v>2227</v>
      </c>
      <c r="E5" s="41" t="str">
        <f t="array" ref="E5">IF(OR(EXACT(A5,'ESO Dungeon constants'!$D$3:$D$987)),"X","")</f>
        <v/>
      </c>
      <c r="F5" s="41" t="str">
        <f t="shared" ref="F5:F68" si="0">IF(EXACT(A5,C5),"X","")</f>
        <v>X</v>
      </c>
      <c r="G5" s="41" t="str">
        <f t="shared" ref="G5:G68" si="1">IF(A5&lt;&gt;C5,VLOOKUP(C5,$A$5:$D$9954,4,FALSE),"")</f>
        <v/>
      </c>
      <c r="H5" s="107">
        <f t="shared" ref="H5:H68" si="2">A5</f>
        <v>0</v>
      </c>
      <c r="I5" s="107">
        <f t="shared" ref="I5:I68" si="3">C5</f>
        <v>0</v>
      </c>
      <c r="J5" s="40">
        <v>0</v>
      </c>
      <c r="K5" s="41" t="str">
        <f>VLOOKUP(J5,'LibSets constants'!$A$4:$B$1012,2,FALSE)</f>
        <v>DLC_BASE_GAME</v>
      </c>
      <c r="L5" s="41" t="str">
        <f>VLOOKUP(J5,'LibSets constants'!$A$4:$C$1012,3,FALSE)</f>
        <v>Included in base game</v>
      </c>
    </row>
    <row r="6" spans="1:12" x14ac:dyDescent="0.25">
      <c r="A6" s="5">
        <v>2</v>
      </c>
      <c r="B6" s="5">
        <v>1</v>
      </c>
      <c r="C6" s="5">
        <v>2</v>
      </c>
      <c r="D6" t="s">
        <v>102</v>
      </c>
      <c r="E6" s="3" t="str">
        <f t="array" ref="E6">IF(OR(EXACT(A6,'ESO Dungeon constants'!$D$3:$D$987)),"X","")</f>
        <v/>
      </c>
      <c r="F6" s="3" t="str">
        <f t="shared" si="0"/>
        <v>X</v>
      </c>
      <c r="G6" s="3" t="str">
        <f t="shared" si="1"/>
        <v/>
      </c>
      <c r="H6" s="17">
        <f t="shared" si="2"/>
        <v>2</v>
      </c>
      <c r="I6" s="17">
        <f t="shared" si="3"/>
        <v>2</v>
      </c>
      <c r="J6">
        <v>0</v>
      </c>
      <c r="K6" s="3" t="str">
        <f>VLOOKUP(J6,'LibSets constants'!$A$4:$B$1012,2,FALSE)</f>
        <v>DLC_BASE_GAME</v>
      </c>
      <c r="L6" s="3" t="str">
        <f>VLOOKUP(J6,'LibSets constants'!$A$4:$C$1012,3,FALSE)</f>
        <v>Included in base game</v>
      </c>
    </row>
    <row r="7" spans="1:12" x14ac:dyDescent="0.25">
      <c r="A7" s="5">
        <v>3</v>
      </c>
      <c r="B7" s="5">
        <v>2</v>
      </c>
      <c r="C7" s="5">
        <v>3</v>
      </c>
      <c r="D7" t="s">
        <v>103</v>
      </c>
      <c r="E7" s="3" t="str">
        <f t="array" ref="E7">IF(OR(EXACT(A7,'ESO Dungeon constants'!$D$3:$D$987)),"X","")</f>
        <v/>
      </c>
      <c r="F7" s="3" t="str">
        <f t="shared" si="0"/>
        <v>X</v>
      </c>
      <c r="G7" s="3" t="str">
        <f t="shared" si="1"/>
        <v/>
      </c>
      <c r="H7" s="17">
        <f t="shared" si="2"/>
        <v>3</v>
      </c>
      <c r="I7" s="17">
        <f t="shared" si="3"/>
        <v>3</v>
      </c>
      <c r="J7">
        <v>0</v>
      </c>
      <c r="K7" s="3" t="str">
        <f>VLOOKUP(J7,'LibSets constants'!$A$4:$B$1012,2,FALSE)</f>
        <v>DLC_BASE_GAME</v>
      </c>
      <c r="L7" s="3" t="str">
        <f>VLOOKUP(J7,'LibSets constants'!$A$4:$C$1012,3,FALSE)</f>
        <v>Included in base game</v>
      </c>
    </row>
    <row r="8" spans="1:12" x14ac:dyDescent="0.25">
      <c r="A8" s="5">
        <v>11</v>
      </c>
      <c r="B8" s="5">
        <v>3</v>
      </c>
      <c r="C8" s="5">
        <v>347</v>
      </c>
      <c r="D8" t="s">
        <v>47</v>
      </c>
      <c r="E8" s="3" t="str">
        <f t="array" ref="E8">IF(OR(EXACT(A8,'ESO Dungeon constants'!$D$3:$D$987)),"X","")</f>
        <v>X</v>
      </c>
      <c r="F8" s="3" t="str">
        <f t="shared" si="0"/>
        <v/>
      </c>
      <c r="G8" s="3" t="str">
        <f t="shared" si="1"/>
        <v>Coldharbour</v>
      </c>
      <c r="H8" s="17">
        <f t="shared" si="2"/>
        <v>11</v>
      </c>
      <c r="I8" s="17">
        <f t="shared" si="3"/>
        <v>347</v>
      </c>
      <c r="J8">
        <v>0</v>
      </c>
      <c r="K8" s="3" t="str">
        <f>VLOOKUP(J8,'LibSets constants'!$A$4:$B$1012,2,FALSE)</f>
        <v>DLC_BASE_GAME</v>
      </c>
      <c r="L8" s="3" t="str">
        <f>VLOOKUP(J8,'LibSets constants'!$A$4:$C$1012,3,FALSE)</f>
        <v>Included in base game</v>
      </c>
    </row>
    <row r="9" spans="1:12" x14ac:dyDescent="0.25">
      <c r="A9" s="5">
        <v>19</v>
      </c>
      <c r="B9" s="5">
        <v>4</v>
      </c>
      <c r="C9" s="5">
        <v>19</v>
      </c>
      <c r="D9" t="s">
        <v>104</v>
      </c>
      <c r="E9" s="3" t="str">
        <f t="array" ref="E9">IF(OR(EXACT(A9,'ESO Dungeon constants'!$D$3:$D$987)),"X","")</f>
        <v/>
      </c>
      <c r="F9" s="3" t="str">
        <f t="shared" si="0"/>
        <v>X</v>
      </c>
      <c r="G9" s="3" t="str">
        <f t="shared" si="1"/>
        <v/>
      </c>
      <c r="H9" s="17">
        <f t="shared" si="2"/>
        <v>19</v>
      </c>
      <c r="I9" s="17">
        <f t="shared" si="3"/>
        <v>19</v>
      </c>
      <c r="J9">
        <v>0</v>
      </c>
      <c r="K9" s="3" t="str">
        <f>VLOOKUP(J9,'LibSets constants'!$A$4:$B$1012,2,FALSE)</f>
        <v>DLC_BASE_GAME</v>
      </c>
      <c r="L9" s="3" t="str">
        <f>VLOOKUP(J9,'LibSets constants'!$A$4:$C$1012,3,FALSE)</f>
        <v>Included in base game</v>
      </c>
    </row>
    <row r="10" spans="1:12" x14ac:dyDescent="0.25">
      <c r="A10" s="5">
        <v>20</v>
      </c>
      <c r="B10" s="5">
        <v>5</v>
      </c>
      <c r="C10" s="5">
        <v>20</v>
      </c>
      <c r="D10" t="s">
        <v>105</v>
      </c>
      <c r="E10" s="3" t="str">
        <f t="array" ref="E10">IF(OR(EXACT(A10,'ESO Dungeon constants'!$D$3:$D$987)),"X","")</f>
        <v/>
      </c>
      <c r="F10" s="3" t="str">
        <f t="shared" si="0"/>
        <v>X</v>
      </c>
      <c r="G10" s="3" t="str">
        <f t="shared" si="1"/>
        <v/>
      </c>
      <c r="H10" s="17">
        <f t="shared" si="2"/>
        <v>20</v>
      </c>
      <c r="I10" s="17">
        <f t="shared" si="3"/>
        <v>20</v>
      </c>
      <c r="J10">
        <v>0</v>
      </c>
      <c r="K10" s="3" t="str">
        <f>VLOOKUP(J10,'LibSets constants'!$A$4:$B$1012,2,FALSE)</f>
        <v>DLC_BASE_GAME</v>
      </c>
      <c r="L10" s="3" t="str">
        <f>VLOOKUP(J10,'LibSets constants'!$A$4:$C$1012,3,FALSE)</f>
        <v>Included in base game</v>
      </c>
    </row>
    <row r="11" spans="1:12" x14ac:dyDescent="0.25">
      <c r="A11" s="5">
        <v>22</v>
      </c>
      <c r="B11" s="5">
        <v>6</v>
      </c>
      <c r="C11" s="5">
        <v>104</v>
      </c>
      <c r="D11" t="s">
        <v>68</v>
      </c>
      <c r="E11" s="3" t="str">
        <f t="array" ref="E11">IF(OR(EXACT(A11,'ESO Dungeon constants'!$D$3:$D$987)),"X","")</f>
        <v>X</v>
      </c>
      <c r="F11" s="3" t="str">
        <f t="shared" si="0"/>
        <v/>
      </c>
      <c r="G11" s="3" t="str">
        <f t="shared" si="1"/>
        <v>Alik'r Desert</v>
      </c>
      <c r="H11" s="17">
        <f t="shared" si="2"/>
        <v>22</v>
      </c>
      <c r="I11" s="17">
        <f t="shared" si="3"/>
        <v>104</v>
      </c>
      <c r="J11">
        <v>0</v>
      </c>
      <c r="K11" s="3" t="str">
        <f>VLOOKUP(J11,'LibSets constants'!$A$4:$B$1012,2,FALSE)</f>
        <v>DLC_BASE_GAME</v>
      </c>
      <c r="L11" s="3" t="str">
        <f>VLOOKUP(J11,'LibSets constants'!$A$4:$C$1012,3,FALSE)</f>
        <v>Included in base game</v>
      </c>
    </row>
    <row r="12" spans="1:12" x14ac:dyDescent="0.25">
      <c r="A12" s="5">
        <v>31</v>
      </c>
      <c r="B12" s="5">
        <v>7</v>
      </c>
      <c r="C12" s="5">
        <v>382</v>
      </c>
      <c r="D12" t="s">
        <v>59</v>
      </c>
      <c r="E12" s="3" t="str">
        <f t="array" ref="E12">IF(OR(EXACT(A12,'ESO Dungeon constants'!$D$3:$D$987)),"X","")</f>
        <v>X</v>
      </c>
      <c r="F12" s="3" t="str">
        <f t="shared" si="0"/>
        <v/>
      </c>
      <c r="G12" s="3" t="str">
        <f t="shared" si="1"/>
        <v>Reaper's March</v>
      </c>
      <c r="H12" s="17">
        <f t="shared" si="2"/>
        <v>31</v>
      </c>
      <c r="I12" s="17">
        <f t="shared" si="3"/>
        <v>382</v>
      </c>
      <c r="J12">
        <v>0</v>
      </c>
      <c r="K12" s="3" t="str">
        <f>VLOOKUP(J12,'LibSets constants'!$A$4:$B$1012,2,FALSE)</f>
        <v>DLC_BASE_GAME</v>
      </c>
      <c r="L12" s="3" t="str">
        <f>VLOOKUP(J12,'LibSets constants'!$A$4:$C$1012,3,FALSE)</f>
        <v>Included in base game</v>
      </c>
    </row>
    <row r="13" spans="1:12" x14ac:dyDescent="0.25">
      <c r="A13" s="5">
        <v>38</v>
      </c>
      <c r="B13" s="5">
        <v>8</v>
      </c>
      <c r="C13" s="5">
        <v>92</v>
      </c>
      <c r="D13" t="s">
        <v>57</v>
      </c>
      <c r="E13" s="3" t="str">
        <f t="array" ref="E13">IF(OR(EXACT(A13,'ESO Dungeon constants'!$D$3:$D$987)),"X","")</f>
        <v>X</v>
      </c>
      <c r="F13" s="3" t="str">
        <f t="shared" si="0"/>
        <v/>
      </c>
      <c r="G13" s="3" t="str">
        <f t="shared" si="1"/>
        <v>Bangkorai</v>
      </c>
      <c r="H13" s="17">
        <f t="shared" si="2"/>
        <v>38</v>
      </c>
      <c r="I13" s="17">
        <f t="shared" si="3"/>
        <v>92</v>
      </c>
      <c r="J13">
        <v>0</v>
      </c>
      <c r="K13" s="3" t="str">
        <f>VLOOKUP(J13,'LibSets constants'!$A$4:$B$1012,2,FALSE)</f>
        <v>DLC_BASE_GAME</v>
      </c>
      <c r="L13" s="3" t="str">
        <f>VLOOKUP(J13,'LibSets constants'!$A$4:$C$1012,3,FALSE)</f>
        <v>Included in base game</v>
      </c>
    </row>
    <row r="14" spans="1:12" x14ac:dyDescent="0.25">
      <c r="A14" s="5">
        <v>41</v>
      </c>
      <c r="B14" s="5">
        <v>9</v>
      </c>
      <c r="C14" s="5">
        <v>41</v>
      </c>
      <c r="D14" t="s">
        <v>106</v>
      </c>
      <c r="E14" s="3" t="str">
        <f t="array" ref="E14">IF(OR(EXACT(A14,'ESO Dungeon constants'!$D$3:$D$987)),"X","")</f>
        <v/>
      </c>
      <c r="F14" s="3" t="str">
        <f t="shared" si="0"/>
        <v>X</v>
      </c>
      <c r="G14" s="3" t="str">
        <f t="shared" si="1"/>
        <v/>
      </c>
      <c r="H14" s="17">
        <f t="shared" si="2"/>
        <v>41</v>
      </c>
      <c r="I14" s="17">
        <f t="shared" si="3"/>
        <v>41</v>
      </c>
      <c r="J14">
        <v>0</v>
      </c>
      <c r="K14" s="3" t="str">
        <f>VLOOKUP(J14,'LibSets constants'!$A$4:$B$1012,2,FALSE)</f>
        <v>DLC_BASE_GAME</v>
      </c>
      <c r="L14" s="3" t="str">
        <f>VLOOKUP(J14,'LibSets constants'!$A$4:$C$1012,3,FALSE)</f>
        <v>Included in base game</v>
      </c>
    </row>
    <row r="15" spans="1:12" x14ac:dyDescent="0.25">
      <c r="A15" s="5">
        <v>57</v>
      </c>
      <c r="B15" s="5">
        <v>10</v>
      </c>
      <c r="C15" s="5">
        <v>57</v>
      </c>
      <c r="D15" t="s">
        <v>107</v>
      </c>
      <c r="E15" s="3" t="str">
        <f t="array" ref="E15">IF(OR(EXACT(A15,'ESO Dungeon constants'!$D$3:$D$987)),"X","")</f>
        <v/>
      </c>
      <c r="F15" s="3" t="str">
        <f t="shared" si="0"/>
        <v>X</v>
      </c>
      <c r="G15" s="3" t="str">
        <f t="shared" si="1"/>
        <v/>
      </c>
      <c r="H15" s="17">
        <f t="shared" si="2"/>
        <v>57</v>
      </c>
      <c r="I15" s="17">
        <f t="shared" si="3"/>
        <v>57</v>
      </c>
      <c r="J15">
        <v>0</v>
      </c>
      <c r="K15" s="3" t="str">
        <f>VLOOKUP(J15,'LibSets constants'!$A$4:$B$1012,2,FALSE)</f>
        <v>DLC_BASE_GAME</v>
      </c>
      <c r="L15" s="3" t="str">
        <f>VLOOKUP(J15,'LibSets constants'!$A$4:$C$1012,3,FALSE)</f>
        <v>Included in base game</v>
      </c>
    </row>
    <row r="16" spans="1:12" x14ac:dyDescent="0.25">
      <c r="A16" s="5">
        <v>58</v>
      </c>
      <c r="B16" s="5">
        <v>11</v>
      </c>
      <c r="C16" s="5">
        <v>58</v>
      </c>
      <c r="D16" t="s">
        <v>108</v>
      </c>
      <c r="E16" s="3" t="str">
        <f t="array" ref="E16">IF(OR(EXACT(A16,'ESO Dungeon constants'!$D$3:$D$987)),"X","")</f>
        <v/>
      </c>
      <c r="F16" s="3" t="str">
        <f t="shared" si="0"/>
        <v>X</v>
      </c>
      <c r="G16" s="3" t="str">
        <f t="shared" si="1"/>
        <v/>
      </c>
      <c r="H16" s="17">
        <f t="shared" si="2"/>
        <v>58</v>
      </c>
      <c r="I16" s="17">
        <f t="shared" si="3"/>
        <v>58</v>
      </c>
      <c r="J16">
        <v>0</v>
      </c>
      <c r="K16" s="3" t="str">
        <f>VLOOKUP(J16,'LibSets constants'!$A$4:$B$1012,2,FALSE)</f>
        <v>DLC_BASE_GAME</v>
      </c>
      <c r="L16" s="3" t="str">
        <f>VLOOKUP(J16,'LibSets constants'!$A$4:$C$1012,3,FALSE)</f>
        <v>Included in base game</v>
      </c>
    </row>
    <row r="17" spans="1:12" x14ac:dyDescent="0.25">
      <c r="A17" s="5">
        <v>63</v>
      </c>
      <c r="B17" s="5">
        <v>12</v>
      </c>
      <c r="C17" s="5">
        <v>57</v>
      </c>
      <c r="D17" t="s">
        <v>61</v>
      </c>
      <c r="E17" s="3" t="str">
        <f t="array" ref="E17">IF(OR(EXACT(A17,'ESO Dungeon constants'!$D$3:$D$987)),"X","")</f>
        <v>X</v>
      </c>
      <c r="F17" s="3" t="str">
        <f t="shared" si="0"/>
        <v/>
      </c>
      <c r="G17" s="3" t="str">
        <f t="shared" si="1"/>
        <v>Deshaan</v>
      </c>
      <c r="H17" s="17">
        <f t="shared" si="2"/>
        <v>63</v>
      </c>
      <c r="I17" s="17">
        <f t="shared" si="3"/>
        <v>57</v>
      </c>
      <c r="J17">
        <v>0</v>
      </c>
      <c r="K17" s="3" t="str">
        <f>VLOOKUP(J17,'LibSets constants'!$A$4:$B$1012,2,FALSE)</f>
        <v>DLC_BASE_GAME</v>
      </c>
      <c r="L17" s="3" t="str">
        <f>VLOOKUP(J17,'LibSets constants'!$A$4:$C$1012,3,FALSE)</f>
        <v>Included in base game</v>
      </c>
    </row>
    <row r="18" spans="1:12" x14ac:dyDescent="0.25">
      <c r="A18" s="5">
        <v>64</v>
      </c>
      <c r="B18" s="5">
        <v>13</v>
      </c>
      <c r="C18" s="5">
        <v>103</v>
      </c>
      <c r="D18" t="s">
        <v>70</v>
      </c>
      <c r="E18" s="3" t="str">
        <f t="array" ref="E18">IF(OR(EXACT(A18,'ESO Dungeon constants'!$D$3:$D$987)),"X","")</f>
        <v>X</v>
      </c>
      <c r="F18" s="3" t="str">
        <f t="shared" si="0"/>
        <v/>
      </c>
      <c r="G18" s="3" t="str">
        <f t="shared" si="1"/>
        <v>The Rift</v>
      </c>
      <c r="H18" s="17">
        <f t="shared" si="2"/>
        <v>64</v>
      </c>
      <c r="I18" s="17">
        <f t="shared" si="3"/>
        <v>103</v>
      </c>
      <c r="J18">
        <v>0</v>
      </c>
      <c r="K18" s="3" t="str">
        <f>VLOOKUP(J18,'LibSets constants'!$A$4:$B$1012,2,FALSE)</f>
        <v>DLC_BASE_GAME</v>
      </c>
      <c r="L18" s="3" t="str">
        <f>VLOOKUP(J18,'LibSets constants'!$A$4:$C$1012,3,FALSE)</f>
        <v>Included in base game</v>
      </c>
    </row>
    <row r="19" spans="1:12" x14ac:dyDescent="0.25">
      <c r="A19" s="5">
        <v>92</v>
      </c>
      <c r="B19" s="5">
        <v>14</v>
      </c>
      <c r="C19" s="5">
        <v>92</v>
      </c>
      <c r="D19" t="s">
        <v>109</v>
      </c>
      <c r="E19" s="3" t="str">
        <f t="array" ref="E19">IF(OR(EXACT(A19,'ESO Dungeon constants'!$D$3:$D$987)),"X","")</f>
        <v/>
      </c>
      <c r="F19" s="3" t="str">
        <f t="shared" si="0"/>
        <v>X</v>
      </c>
      <c r="G19" s="3" t="str">
        <f t="shared" si="1"/>
        <v/>
      </c>
      <c r="H19" s="17">
        <f t="shared" si="2"/>
        <v>92</v>
      </c>
      <c r="I19" s="17">
        <f t="shared" si="3"/>
        <v>92</v>
      </c>
      <c r="J19">
        <v>0</v>
      </c>
      <c r="K19" s="3" t="str">
        <f>VLOOKUP(J19,'LibSets constants'!$A$4:$B$1012,2,FALSE)</f>
        <v>DLC_BASE_GAME</v>
      </c>
      <c r="L19" s="3" t="str">
        <f>VLOOKUP(J19,'LibSets constants'!$A$4:$C$1012,3,FALSE)</f>
        <v>Included in base game</v>
      </c>
    </row>
    <row r="20" spans="1:12" x14ac:dyDescent="0.25">
      <c r="A20" s="5">
        <v>101</v>
      </c>
      <c r="B20" s="5">
        <v>15</v>
      </c>
      <c r="C20" s="5">
        <v>101</v>
      </c>
      <c r="D20" t="s">
        <v>110</v>
      </c>
      <c r="E20" s="3" t="str">
        <f t="array" ref="E20">IF(OR(EXACT(A20,'ESO Dungeon constants'!$D$3:$D$987)),"X","")</f>
        <v/>
      </c>
      <c r="F20" s="3" t="str">
        <f t="shared" si="0"/>
        <v>X</v>
      </c>
      <c r="G20" s="3" t="str">
        <f t="shared" si="1"/>
        <v/>
      </c>
      <c r="H20" s="17">
        <f t="shared" si="2"/>
        <v>101</v>
      </c>
      <c r="I20" s="17">
        <f t="shared" si="3"/>
        <v>101</v>
      </c>
      <c r="J20">
        <v>0</v>
      </c>
      <c r="K20" s="3" t="str">
        <f>VLOOKUP(J20,'LibSets constants'!$A$4:$B$1012,2,FALSE)</f>
        <v>DLC_BASE_GAME</v>
      </c>
      <c r="L20" s="3" t="str">
        <f>VLOOKUP(J20,'LibSets constants'!$A$4:$C$1012,3,FALSE)</f>
        <v>Included in base game</v>
      </c>
    </row>
    <row r="21" spans="1:12" x14ac:dyDescent="0.25">
      <c r="A21" s="5">
        <v>103</v>
      </c>
      <c r="B21" s="5">
        <v>16</v>
      </c>
      <c r="C21" s="5">
        <v>103</v>
      </c>
      <c r="D21" t="s">
        <v>111</v>
      </c>
      <c r="E21" s="3" t="str">
        <f t="array" ref="E21">IF(OR(EXACT(A21,'ESO Dungeon constants'!$D$3:$D$987)),"X","")</f>
        <v/>
      </c>
      <c r="F21" s="3" t="str">
        <f t="shared" si="0"/>
        <v>X</v>
      </c>
      <c r="G21" s="3" t="str">
        <f t="shared" si="1"/>
        <v/>
      </c>
      <c r="H21" s="17">
        <f t="shared" si="2"/>
        <v>103</v>
      </c>
      <c r="I21" s="17">
        <f t="shared" si="3"/>
        <v>103</v>
      </c>
      <c r="J21">
        <v>0</v>
      </c>
      <c r="K21" s="3" t="str">
        <f>VLOOKUP(J21,'LibSets constants'!$A$4:$B$1012,2,FALSE)</f>
        <v>DLC_BASE_GAME</v>
      </c>
      <c r="L21" s="3" t="str">
        <f>VLOOKUP(J21,'LibSets constants'!$A$4:$C$1012,3,FALSE)</f>
        <v>Included in base game</v>
      </c>
    </row>
    <row r="22" spans="1:12" x14ac:dyDescent="0.25">
      <c r="A22" s="5">
        <v>104</v>
      </c>
      <c r="B22" s="5">
        <v>17</v>
      </c>
      <c r="C22" s="5">
        <v>104</v>
      </c>
      <c r="D22" t="s">
        <v>112</v>
      </c>
      <c r="E22" s="3" t="str">
        <f t="array" ref="E22">IF(OR(EXACT(A22,'ESO Dungeon constants'!$D$3:$D$987)),"X","")</f>
        <v/>
      </c>
      <c r="F22" s="3" t="str">
        <f t="shared" si="0"/>
        <v>X</v>
      </c>
      <c r="G22" s="3" t="str">
        <f t="shared" si="1"/>
        <v/>
      </c>
      <c r="H22" s="17">
        <f t="shared" si="2"/>
        <v>104</v>
      </c>
      <c r="I22" s="17">
        <f t="shared" si="3"/>
        <v>104</v>
      </c>
      <c r="J22">
        <v>0</v>
      </c>
      <c r="K22" s="3" t="str">
        <f>VLOOKUP(J22,'LibSets constants'!$A$4:$B$1012,2,FALSE)</f>
        <v>DLC_BASE_GAME</v>
      </c>
      <c r="L22" s="3" t="str">
        <f>VLOOKUP(J22,'LibSets constants'!$A$4:$C$1012,3,FALSE)</f>
        <v>Included in base game</v>
      </c>
    </row>
    <row r="23" spans="1:12" x14ac:dyDescent="0.25">
      <c r="A23" s="5">
        <v>108</v>
      </c>
      <c r="B23" s="5">
        <v>18</v>
      </c>
      <c r="C23" s="5">
        <v>108</v>
      </c>
      <c r="D23" t="s">
        <v>113</v>
      </c>
      <c r="E23" s="3" t="str">
        <f t="array" ref="E23">IF(OR(EXACT(A23,'ESO Dungeon constants'!$D$3:$D$987)),"X","")</f>
        <v/>
      </c>
      <c r="F23" s="3" t="str">
        <f t="shared" si="0"/>
        <v>X</v>
      </c>
      <c r="G23" s="3" t="str">
        <f t="shared" si="1"/>
        <v/>
      </c>
      <c r="H23" s="17">
        <f t="shared" si="2"/>
        <v>108</v>
      </c>
      <c r="I23" s="17">
        <f t="shared" si="3"/>
        <v>108</v>
      </c>
      <c r="J23">
        <v>0</v>
      </c>
      <c r="K23" s="3" t="str">
        <f>VLOOKUP(J23,'LibSets constants'!$A$4:$B$1012,2,FALSE)</f>
        <v>DLC_BASE_GAME</v>
      </c>
      <c r="L23" s="3" t="str">
        <f>VLOOKUP(J23,'LibSets constants'!$A$4:$C$1012,3,FALSE)</f>
        <v>Included in base game</v>
      </c>
    </row>
    <row r="24" spans="1:12" x14ac:dyDescent="0.25">
      <c r="A24" s="5">
        <v>117</v>
      </c>
      <c r="B24" s="5">
        <v>19</v>
      </c>
      <c r="C24" s="5">
        <v>117</v>
      </c>
      <c r="D24" t="s">
        <v>114</v>
      </c>
      <c r="E24" s="3" t="str">
        <f t="array" ref="E24">IF(OR(EXACT(A24,'ESO Dungeon constants'!$D$3:$D$987)),"X","")</f>
        <v/>
      </c>
      <c r="F24" s="3" t="str">
        <f t="shared" si="0"/>
        <v>X</v>
      </c>
      <c r="G24" s="3" t="str">
        <f t="shared" si="1"/>
        <v/>
      </c>
      <c r="H24" s="17">
        <f t="shared" si="2"/>
        <v>117</v>
      </c>
      <c r="I24" s="17">
        <f t="shared" si="3"/>
        <v>117</v>
      </c>
      <c r="J24">
        <v>0</v>
      </c>
      <c r="K24" s="3" t="str">
        <f>VLOOKUP(J24,'LibSets constants'!$A$4:$B$1012,2,FALSE)</f>
        <v>DLC_BASE_GAME</v>
      </c>
      <c r="L24" s="3" t="str">
        <f>VLOOKUP(J24,'LibSets constants'!$A$4:$C$1012,3,FALSE)</f>
        <v>Included in base game</v>
      </c>
    </row>
    <row r="25" spans="1:12" x14ac:dyDescent="0.25">
      <c r="A25" s="5">
        <v>124</v>
      </c>
      <c r="B25" s="5">
        <v>20</v>
      </c>
      <c r="C25" s="5">
        <v>383</v>
      </c>
      <c r="D25" t="s">
        <v>115</v>
      </c>
      <c r="E25" s="3" t="str">
        <f t="array" ref="E25">IF(OR(EXACT(A25,'ESO Dungeon constants'!$D$3:$D$987)),"X","")</f>
        <v/>
      </c>
      <c r="F25" s="3" t="str">
        <f t="shared" si="0"/>
        <v/>
      </c>
      <c r="G25" s="3" t="str">
        <f t="shared" si="1"/>
        <v>Grahtwood</v>
      </c>
      <c r="H25" s="17">
        <f t="shared" si="2"/>
        <v>124</v>
      </c>
      <c r="I25" s="17">
        <f t="shared" si="3"/>
        <v>383</v>
      </c>
      <c r="J25">
        <v>0</v>
      </c>
      <c r="K25" s="3" t="str">
        <f>VLOOKUP(J25,'LibSets constants'!$A$4:$B$1012,2,FALSE)</f>
        <v>DLC_BASE_GAME</v>
      </c>
      <c r="L25" s="3" t="str">
        <f>VLOOKUP(J25,'LibSets constants'!$A$4:$C$1012,3,FALSE)</f>
        <v>Included in base game</v>
      </c>
    </row>
    <row r="26" spans="1:12" x14ac:dyDescent="0.25">
      <c r="A26" s="5">
        <v>126</v>
      </c>
      <c r="B26" s="5">
        <v>21</v>
      </c>
      <c r="C26" s="5">
        <v>383</v>
      </c>
      <c r="D26" t="s">
        <v>43</v>
      </c>
      <c r="E26" s="3" t="str">
        <f t="array" ref="E26">IF(OR(EXACT(A26,'ESO Dungeon constants'!$D$3:$D$987)),"X","")</f>
        <v>X</v>
      </c>
      <c r="F26" s="3" t="str">
        <f t="shared" si="0"/>
        <v/>
      </c>
      <c r="G26" s="3" t="str">
        <f t="shared" si="1"/>
        <v>Grahtwood</v>
      </c>
      <c r="H26" s="17">
        <f t="shared" si="2"/>
        <v>126</v>
      </c>
      <c r="I26" s="17">
        <f t="shared" si="3"/>
        <v>383</v>
      </c>
      <c r="J26">
        <v>0</v>
      </c>
      <c r="K26" s="3" t="str">
        <f>VLOOKUP(J26,'LibSets constants'!$A$4:$B$1012,2,FALSE)</f>
        <v>DLC_BASE_GAME</v>
      </c>
      <c r="L26" s="3" t="str">
        <f>VLOOKUP(J26,'LibSets constants'!$A$4:$C$1012,3,FALSE)</f>
        <v>Included in base game</v>
      </c>
    </row>
    <row r="27" spans="1:12" x14ac:dyDescent="0.25">
      <c r="A27" s="5">
        <v>130</v>
      </c>
      <c r="B27" s="5">
        <v>22</v>
      </c>
      <c r="C27" s="5">
        <v>20</v>
      </c>
      <c r="D27" t="s">
        <v>49</v>
      </c>
      <c r="E27" s="3" t="str">
        <f t="array" ref="E27">IF(OR(EXACT(A27,'ESO Dungeon constants'!$D$3:$D$987)),"X","")</f>
        <v>X</v>
      </c>
      <c r="F27" s="3" t="str">
        <f t="shared" si="0"/>
        <v/>
      </c>
      <c r="G27" s="3" t="str">
        <f t="shared" si="1"/>
        <v>Rivenspire</v>
      </c>
      <c r="H27" s="17">
        <f t="shared" si="2"/>
        <v>130</v>
      </c>
      <c r="I27" s="17">
        <f t="shared" si="3"/>
        <v>20</v>
      </c>
      <c r="J27">
        <v>0</v>
      </c>
      <c r="K27" s="3" t="str">
        <f>VLOOKUP(J27,'LibSets constants'!$A$4:$B$1012,2,FALSE)</f>
        <v>DLC_BASE_GAME</v>
      </c>
      <c r="L27" s="3" t="str">
        <f>VLOOKUP(J27,'LibSets constants'!$A$4:$C$1012,3,FALSE)</f>
        <v>Included in base game</v>
      </c>
    </row>
    <row r="28" spans="1:12" x14ac:dyDescent="0.25">
      <c r="A28" s="5">
        <v>131</v>
      </c>
      <c r="B28" s="5">
        <v>23</v>
      </c>
      <c r="C28" s="5">
        <v>58</v>
      </c>
      <c r="D28" t="s">
        <v>65</v>
      </c>
      <c r="E28" s="3" t="str">
        <f t="array" ref="E28">IF(OR(EXACT(A28,'ESO Dungeon constants'!$D$3:$D$987)),"X","")</f>
        <v>X</v>
      </c>
      <c r="F28" s="3" t="str">
        <f t="shared" si="0"/>
        <v/>
      </c>
      <c r="G28" s="3" t="str">
        <f t="shared" si="1"/>
        <v>Malabal Tor</v>
      </c>
      <c r="H28" s="17">
        <f t="shared" si="2"/>
        <v>131</v>
      </c>
      <c r="I28" s="17">
        <f t="shared" si="3"/>
        <v>58</v>
      </c>
      <c r="J28">
        <v>0</v>
      </c>
      <c r="K28" s="3" t="str">
        <f>VLOOKUP(J28,'LibSets constants'!$A$4:$B$1012,2,FALSE)</f>
        <v>DLC_BASE_GAME</v>
      </c>
      <c r="L28" s="3" t="str">
        <f>VLOOKUP(J28,'LibSets constants'!$A$4:$C$1012,3,FALSE)</f>
        <v>Included in base game</v>
      </c>
    </row>
    <row r="29" spans="1:12" x14ac:dyDescent="0.25">
      <c r="A29" s="5">
        <v>134</v>
      </c>
      <c r="B29" s="5">
        <v>24</v>
      </c>
      <c r="C29" s="5">
        <v>117</v>
      </c>
      <c r="D29" t="s">
        <v>116</v>
      </c>
      <c r="E29" s="3" t="str">
        <f t="array" ref="E29">IF(OR(EXACT(A29,'ESO Dungeon constants'!$D$3:$D$987)),"X","")</f>
        <v/>
      </c>
      <c r="F29" s="3" t="str">
        <f t="shared" si="0"/>
        <v/>
      </c>
      <c r="G29" s="3" t="str">
        <f t="shared" si="1"/>
        <v>Shadowfen</v>
      </c>
      <c r="H29" s="17">
        <f t="shared" si="2"/>
        <v>134</v>
      </c>
      <c r="I29" s="17">
        <f t="shared" si="3"/>
        <v>117</v>
      </c>
      <c r="J29">
        <v>0</v>
      </c>
      <c r="K29" s="3" t="str">
        <f>VLOOKUP(J29,'LibSets constants'!$A$4:$B$1012,2,FALSE)</f>
        <v>DLC_BASE_GAME</v>
      </c>
      <c r="L29" s="3" t="str">
        <f>VLOOKUP(J29,'LibSets constants'!$A$4:$C$1012,3,FALSE)</f>
        <v>Included in base game</v>
      </c>
    </row>
    <row r="30" spans="1:12" x14ac:dyDescent="0.25">
      <c r="A30" s="5">
        <v>137</v>
      </c>
      <c r="B30" s="5">
        <v>25</v>
      </c>
      <c r="C30" s="5">
        <v>108</v>
      </c>
      <c r="D30" t="s">
        <v>117</v>
      </c>
      <c r="E30" s="3" t="str">
        <f t="array" ref="E30">IF(OR(EXACT(A30,'ESO Dungeon constants'!$D$3:$D$987)),"X","")</f>
        <v/>
      </c>
      <c r="F30" s="3" t="str">
        <f t="shared" si="0"/>
        <v/>
      </c>
      <c r="G30" s="3" t="str">
        <f t="shared" si="1"/>
        <v>Greenshade</v>
      </c>
      <c r="H30" s="17">
        <f t="shared" si="2"/>
        <v>137</v>
      </c>
      <c r="I30" s="17">
        <f t="shared" si="3"/>
        <v>108</v>
      </c>
      <c r="J30">
        <v>0</v>
      </c>
      <c r="K30" s="3" t="str">
        <f>VLOOKUP(J30,'LibSets constants'!$A$4:$B$1012,2,FALSE)</f>
        <v>DLC_BASE_GAME</v>
      </c>
      <c r="L30" s="3" t="str">
        <f>VLOOKUP(J30,'LibSets constants'!$A$4:$C$1012,3,FALSE)</f>
        <v>Included in base game</v>
      </c>
    </row>
    <row r="31" spans="1:12" x14ac:dyDescent="0.25">
      <c r="A31" s="5">
        <v>138</v>
      </c>
      <c r="B31" s="5">
        <v>26</v>
      </c>
      <c r="C31" s="5">
        <v>58</v>
      </c>
      <c r="D31" t="s">
        <v>118</v>
      </c>
      <c r="E31" s="3" t="str">
        <f t="array" ref="E31">IF(OR(EXACT(A31,'ESO Dungeon constants'!$D$3:$D$987)),"X","")</f>
        <v/>
      </c>
      <c r="F31" s="3" t="str">
        <f t="shared" si="0"/>
        <v/>
      </c>
      <c r="G31" s="3" t="str">
        <f t="shared" si="1"/>
        <v>Malabal Tor</v>
      </c>
      <c r="H31" s="17">
        <f t="shared" si="2"/>
        <v>138</v>
      </c>
      <c r="I31" s="17">
        <f t="shared" si="3"/>
        <v>58</v>
      </c>
      <c r="J31">
        <v>0</v>
      </c>
      <c r="K31" s="3" t="str">
        <f>VLOOKUP(J31,'LibSets constants'!$A$4:$B$1012,2,FALSE)</f>
        <v>DLC_BASE_GAME</v>
      </c>
      <c r="L31" s="3" t="str">
        <f>VLOOKUP(J31,'LibSets constants'!$A$4:$C$1012,3,FALSE)</f>
        <v>Included in base game</v>
      </c>
    </row>
    <row r="32" spans="1:12" x14ac:dyDescent="0.25">
      <c r="A32" s="5">
        <v>142</v>
      </c>
      <c r="B32" s="5">
        <v>27</v>
      </c>
      <c r="C32" s="5">
        <v>19</v>
      </c>
      <c r="D32" t="s">
        <v>119</v>
      </c>
      <c r="E32" s="3" t="str">
        <f t="array" ref="E32">IF(OR(EXACT(A32,'ESO Dungeon constants'!$D$3:$D$987)),"X","")</f>
        <v/>
      </c>
      <c r="F32" s="3" t="str">
        <f t="shared" si="0"/>
        <v/>
      </c>
      <c r="G32" s="3" t="str">
        <f t="shared" si="1"/>
        <v>Stormhaven</v>
      </c>
      <c r="H32" s="17">
        <f t="shared" si="2"/>
        <v>142</v>
      </c>
      <c r="I32" s="17">
        <f t="shared" si="3"/>
        <v>19</v>
      </c>
      <c r="J32">
        <v>0</v>
      </c>
      <c r="K32" s="3" t="str">
        <f>VLOOKUP(J32,'LibSets constants'!$A$4:$B$1012,2,FALSE)</f>
        <v>DLC_BASE_GAME</v>
      </c>
      <c r="L32" s="3" t="str">
        <f>VLOOKUP(J32,'LibSets constants'!$A$4:$C$1012,3,FALSE)</f>
        <v>Included in base game</v>
      </c>
    </row>
    <row r="33" spans="1:12" x14ac:dyDescent="0.25">
      <c r="A33" s="5">
        <v>144</v>
      </c>
      <c r="B33" s="5">
        <v>28</v>
      </c>
      <c r="C33" s="5">
        <v>3</v>
      </c>
      <c r="D33" t="s">
        <v>66</v>
      </c>
      <c r="E33" s="3" t="str">
        <f t="array" ref="E33">IF(OR(EXACT(A33,'ESO Dungeon constants'!$D$3:$D$987)),"X","")</f>
        <v>X</v>
      </c>
      <c r="F33" s="3" t="str">
        <f t="shared" si="0"/>
        <v/>
      </c>
      <c r="G33" s="3" t="str">
        <f t="shared" si="1"/>
        <v>Glenumbra</v>
      </c>
      <c r="H33" s="17">
        <f t="shared" si="2"/>
        <v>144</v>
      </c>
      <c r="I33" s="17">
        <f t="shared" si="3"/>
        <v>3</v>
      </c>
      <c r="J33">
        <v>0</v>
      </c>
      <c r="K33" s="3" t="str">
        <f>VLOOKUP(J33,'LibSets constants'!$A$4:$B$1012,2,FALSE)</f>
        <v>DLC_BASE_GAME</v>
      </c>
      <c r="L33" s="3" t="str">
        <f>VLOOKUP(J33,'LibSets constants'!$A$4:$C$1012,3,FALSE)</f>
        <v>Included in base game</v>
      </c>
    </row>
    <row r="34" spans="1:12" x14ac:dyDescent="0.25">
      <c r="A34" s="5">
        <v>146</v>
      </c>
      <c r="B34" s="5">
        <v>29</v>
      </c>
      <c r="C34" s="5">
        <v>19</v>
      </c>
      <c r="D34" t="s">
        <v>62</v>
      </c>
      <c r="E34" s="3" t="str">
        <f t="array" ref="E34">IF(OR(EXACT(A34,'ESO Dungeon constants'!$D$3:$D$987)),"X","")</f>
        <v>X</v>
      </c>
      <c r="F34" s="3" t="str">
        <f t="shared" si="0"/>
        <v/>
      </c>
      <c r="G34" s="3" t="str">
        <f t="shared" si="1"/>
        <v>Stormhaven</v>
      </c>
      <c r="H34" s="17">
        <f t="shared" si="2"/>
        <v>146</v>
      </c>
      <c r="I34" s="17">
        <f t="shared" si="3"/>
        <v>19</v>
      </c>
      <c r="J34">
        <v>0</v>
      </c>
      <c r="K34" s="3" t="str">
        <f>VLOOKUP(J34,'LibSets constants'!$A$4:$B$1012,2,FALSE)</f>
        <v>DLC_BASE_GAME</v>
      </c>
      <c r="L34" s="3" t="str">
        <f>VLOOKUP(J34,'LibSets constants'!$A$4:$C$1012,3,FALSE)</f>
        <v>Included in base game</v>
      </c>
    </row>
    <row r="35" spans="1:12" x14ac:dyDescent="0.25">
      <c r="A35" s="5">
        <v>148</v>
      </c>
      <c r="B35" s="5">
        <v>30</v>
      </c>
      <c r="C35" s="5">
        <v>117</v>
      </c>
      <c r="D35" t="s">
        <v>60</v>
      </c>
      <c r="E35" s="3" t="str">
        <f t="array" ref="E35">IF(OR(EXACT(A35,'ESO Dungeon constants'!$D$3:$D$987)),"X","")</f>
        <v>X</v>
      </c>
      <c r="F35" s="3" t="str">
        <f t="shared" si="0"/>
        <v/>
      </c>
      <c r="G35" s="3" t="str">
        <f t="shared" si="1"/>
        <v>Shadowfen</v>
      </c>
      <c r="H35" s="17">
        <f t="shared" si="2"/>
        <v>148</v>
      </c>
      <c r="I35" s="17">
        <f t="shared" si="3"/>
        <v>117</v>
      </c>
      <c r="J35">
        <v>0</v>
      </c>
      <c r="K35" s="3" t="str">
        <f>VLOOKUP(J35,'LibSets constants'!$A$4:$B$1012,2,FALSE)</f>
        <v>DLC_BASE_GAME</v>
      </c>
      <c r="L35" s="3" t="str">
        <f>VLOOKUP(J35,'LibSets constants'!$A$4:$C$1012,3,FALSE)</f>
        <v>Included in base game</v>
      </c>
    </row>
    <row r="36" spans="1:12" x14ac:dyDescent="0.25">
      <c r="A36" s="5">
        <v>159</v>
      </c>
      <c r="B36" s="5">
        <v>31</v>
      </c>
      <c r="C36" s="5">
        <v>19</v>
      </c>
      <c r="D36" t="s">
        <v>120</v>
      </c>
      <c r="E36" s="3" t="str">
        <f t="array" ref="E36">IF(OR(EXACT(A36,'ESO Dungeon constants'!$D$3:$D$987)),"X","")</f>
        <v/>
      </c>
      <c r="F36" s="3" t="str">
        <f t="shared" si="0"/>
        <v/>
      </c>
      <c r="G36" s="3" t="str">
        <f t="shared" si="1"/>
        <v>Stormhaven</v>
      </c>
      <c r="H36" s="17">
        <f t="shared" si="2"/>
        <v>159</v>
      </c>
      <c r="I36" s="17">
        <f t="shared" si="3"/>
        <v>19</v>
      </c>
      <c r="J36">
        <v>0</v>
      </c>
      <c r="K36" s="3" t="str">
        <f>VLOOKUP(J36,'LibSets constants'!$A$4:$B$1012,2,FALSE)</f>
        <v>DLC_BASE_GAME</v>
      </c>
      <c r="L36" s="3" t="str">
        <f>VLOOKUP(J36,'LibSets constants'!$A$4:$C$1012,3,FALSE)</f>
        <v>Included in base game</v>
      </c>
    </row>
    <row r="37" spans="1:12" x14ac:dyDescent="0.25">
      <c r="A37" s="5">
        <v>162</v>
      </c>
      <c r="B37" s="5">
        <v>32</v>
      </c>
      <c r="C37" s="5">
        <v>20</v>
      </c>
      <c r="D37" t="s">
        <v>121</v>
      </c>
      <c r="E37" s="3" t="str">
        <f t="array" ref="E37">IF(OR(EXACT(A37,'ESO Dungeon constants'!$D$3:$D$987)),"X","")</f>
        <v/>
      </c>
      <c r="F37" s="3" t="str">
        <f t="shared" si="0"/>
        <v/>
      </c>
      <c r="G37" s="3" t="str">
        <f t="shared" si="1"/>
        <v>Rivenspire</v>
      </c>
      <c r="H37" s="17">
        <f t="shared" si="2"/>
        <v>162</v>
      </c>
      <c r="I37" s="17">
        <f t="shared" si="3"/>
        <v>20</v>
      </c>
      <c r="J37">
        <v>0</v>
      </c>
      <c r="K37" s="3" t="str">
        <f>VLOOKUP(J37,'LibSets constants'!$A$4:$B$1012,2,FALSE)</f>
        <v>DLC_BASE_GAME</v>
      </c>
      <c r="L37" s="3" t="str">
        <f>VLOOKUP(J37,'LibSets constants'!$A$4:$C$1012,3,FALSE)</f>
        <v>Included in base game</v>
      </c>
    </row>
    <row r="38" spans="1:12" x14ac:dyDescent="0.25">
      <c r="A38" s="5">
        <v>166</v>
      </c>
      <c r="B38" s="5">
        <v>33</v>
      </c>
      <c r="C38" s="5">
        <v>3</v>
      </c>
      <c r="D38" t="s">
        <v>122</v>
      </c>
      <c r="E38" s="3" t="str">
        <f t="array" ref="E38">IF(OR(EXACT(A38,'ESO Dungeon constants'!$D$3:$D$987)),"X","")</f>
        <v/>
      </c>
      <c r="F38" s="3" t="str">
        <f t="shared" si="0"/>
        <v/>
      </c>
      <c r="G38" s="3" t="str">
        <f t="shared" si="1"/>
        <v>Glenumbra</v>
      </c>
      <c r="H38" s="17">
        <f t="shared" si="2"/>
        <v>166</v>
      </c>
      <c r="I38" s="17">
        <f t="shared" si="3"/>
        <v>3</v>
      </c>
      <c r="J38">
        <v>0</v>
      </c>
      <c r="K38" s="3" t="str">
        <f>VLOOKUP(J38,'LibSets constants'!$A$4:$B$1012,2,FALSE)</f>
        <v>DLC_BASE_GAME</v>
      </c>
      <c r="L38" s="3" t="str">
        <f>VLOOKUP(J38,'LibSets constants'!$A$4:$C$1012,3,FALSE)</f>
        <v>Included in base game</v>
      </c>
    </row>
    <row r="39" spans="1:12" x14ac:dyDescent="0.25">
      <c r="A39" s="5">
        <v>168</v>
      </c>
      <c r="B39" s="5">
        <v>34</v>
      </c>
      <c r="C39" s="5">
        <v>92</v>
      </c>
      <c r="D39" t="s">
        <v>123</v>
      </c>
      <c r="E39" s="3" t="str">
        <f t="array" ref="E39">IF(OR(EXACT(A39,'ESO Dungeon constants'!$D$3:$D$987)),"X","")</f>
        <v/>
      </c>
      <c r="F39" s="3" t="str">
        <f t="shared" si="0"/>
        <v/>
      </c>
      <c r="G39" s="3" t="str">
        <f t="shared" si="1"/>
        <v>Bangkorai</v>
      </c>
      <c r="H39" s="17">
        <f t="shared" si="2"/>
        <v>168</v>
      </c>
      <c r="I39" s="17">
        <f t="shared" si="3"/>
        <v>92</v>
      </c>
      <c r="J39">
        <v>0</v>
      </c>
      <c r="K39" s="3" t="str">
        <f>VLOOKUP(J39,'LibSets constants'!$A$4:$B$1012,2,FALSE)</f>
        <v>DLC_BASE_GAME</v>
      </c>
      <c r="L39" s="3" t="str">
        <f>VLOOKUP(J39,'LibSets constants'!$A$4:$C$1012,3,FALSE)</f>
        <v>Included in base game</v>
      </c>
    </row>
    <row r="40" spans="1:12" x14ac:dyDescent="0.25">
      <c r="A40" s="5">
        <v>169</v>
      </c>
      <c r="B40" s="5">
        <v>35</v>
      </c>
      <c r="C40" s="5">
        <v>92</v>
      </c>
      <c r="D40" t="s">
        <v>124</v>
      </c>
      <c r="E40" s="3" t="str">
        <f t="array" ref="E40">IF(OR(EXACT(A40,'ESO Dungeon constants'!$D$3:$D$987)),"X","")</f>
        <v/>
      </c>
      <c r="F40" s="3" t="str">
        <f t="shared" si="0"/>
        <v/>
      </c>
      <c r="G40" s="3" t="str">
        <f t="shared" si="1"/>
        <v>Bangkorai</v>
      </c>
      <c r="H40" s="17">
        <f t="shared" si="2"/>
        <v>169</v>
      </c>
      <c r="I40" s="17">
        <f t="shared" si="3"/>
        <v>92</v>
      </c>
      <c r="J40">
        <v>0</v>
      </c>
      <c r="K40" s="3" t="str">
        <f>VLOOKUP(J40,'LibSets constants'!$A$4:$B$1012,2,FALSE)</f>
        <v>DLC_BASE_GAME</v>
      </c>
      <c r="L40" s="3" t="str">
        <f>VLOOKUP(J40,'LibSets constants'!$A$4:$C$1012,3,FALSE)</f>
        <v>Included in base game</v>
      </c>
    </row>
    <row r="41" spans="1:12" x14ac:dyDescent="0.25">
      <c r="A41" s="5">
        <v>174</v>
      </c>
      <c r="B41" s="5">
        <v>36</v>
      </c>
      <c r="C41" s="5">
        <v>174</v>
      </c>
      <c r="D41" t="s">
        <v>3913</v>
      </c>
      <c r="E41" s="3" t="str">
        <f t="array" ref="E41">IF(OR(EXACT(A41,'ESO Dungeon constants'!$D$3:$D$987)),"X","")</f>
        <v/>
      </c>
      <c r="F41" s="3" t="str">
        <f t="shared" si="0"/>
        <v>X</v>
      </c>
      <c r="G41" s="3" t="str">
        <f t="shared" si="1"/>
        <v/>
      </c>
      <c r="H41" s="17">
        <f t="shared" si="2"/>
        <v>174</v>
      </c>
      <c r="I41" s="17">
        <f t="shared" si="3"/>
        <v>174</v>
      </c>
      <c r="J41">
        <v>0</v>
      </c>
      <c r="K41" s="3" t="str">
        <f>VLOOKUP(J41,'LibSets constants'!$A$4:$B$1012,2,FALSE)</f>
        <v>DLC_BASE_GAME</v>
      </c>
      <c r="L41" s="3" t="str">
        <f>VLOOKUP(J41,'LibSets constants'!$A$4:$C$1012,3,FALSE)</f>
        <v>Included in base game</v>
      </c>
    </row>
    <row r="42" spans="1:12" x14ac:dyDescent="0.25">
      <c r="A42" s="5">
        <v>176</v>
      </c>
      <c r="B42" s="5">
        <v>37</v>
      </c>
      <c r="C42" s="5">
        <v>108</v>
      </c>
      <c r="D42" t="s">
        <v>50</v>
      </c>
      <c r="E42" s="3" t="str">
        <f t="array" ref="E42">IF(OR(EXACT(A42,'ESO Dungeon constants'!$D$3:$D$987)),"X","")</f>
        <v>X</v>
      </c>
      <c r="F42" s="3" t="str">
        <f t="shared" si="0"/>
        <v/>
      </c>
      <c r="G42" s="3" t="str">
        <f t="shared" si="1"/>
        <v>Greenshade</v>
      </c>
      <c r="H42" s="17">
        <f t="shared" si="2"/>
        <v>176</v>
      </c>
      <c r="I42" s="17">
        <f t="shared" si="3"/>
        <v>108</v>
      </c>
      <c r="J42">
        <v>0</v>
      </c>
      <c r="K42" s="3" t="str">
        <f>VLOOKUP(J42,'LibSets constants'!$A$4:$B$1012,2,FALSE)</f>
        <v>DLC_BASE_GAME</v>
      </c>
      <c r="L42" s="3" t="str">
        <f>VLOOKUP(J42,'LibSets constants'!$A$4:$C$1012,3,FALSE)</f>
        <v>Included in base game</v>
      </c>
    </row>
    <row r="43" spans="1:12" x14ac:dyDescent="0.25">
      <c r="A43" s="5">
        <v>181</v>
      </c>
      <c r="B43" s="5">
        <v>38</v>
      </c>
      <c r="C43" s="5">
        <v>181</v>
      </c>
      <c r="D43" t="s">
        <v>125</v>
      </c>
      <c r="E43" s="3" t="str">
        <f t="array" ref="E43">IF(OR(EXACT(A43,'ESO Dungeon constants'!$D$3:$D$987)),"X","")</f>
        <v/>
      </c>
      <c r="F43" s="3" t="str">
        <f t="shared" si="0"/>
        <v>X</v>
      </c>
      <c r="G43" s="3" t="str">
        <f t="shared" si="1"/>
        <v/>
      </c>
      <c r="H43" s="17">
        <f t="shared" si="2"/>
        <v>181</v>
      </c>
      <c r="I43" s="17">
        <f t="shared" si="3"/>
        <v>181</v>
      </c>
      <c r="J43">
        <v>0</v>
      </c>
      <c r="K43" s="3" t="str">
        <f>VLOOKUP(J43,'LibSets constants'!$A$4:$B$1012,2,FALSE)</f>
        <v>DLC_BASE_GAME</v>
      </c>
      <c r="L43" s="3" t="str">
        <f>VLOOKUP(J43,'LibSets constants'!$A$4:$C$1012,3,FALSE)</f>
        <v>Included in base game</v>
      </c>
    </row>
    <row r="44" spans="1:12" x14ac:dyDescent="0.25">
      <c r="A44" s="5">
        <v>187</v>
      </c>
      <c r="B44" s="5">
        <v>39</v>
      </c>
      <c r="C44" s="5">
        <v>117</v>
      </c>
      <c r="D44" t="s">
        <v>126</v>
      </c>
      <c r="E44" s="3" t="str">
        <f t="array" ref="E44">IF(OR(EXACT(A44,'ESO Dungeon constants'!$D$3:$D$987)),"X","")</f>
        <v/>
      </c>
      <c r="F44" s="3" t="str">
        <f t="shared" si="0"/>
        <v/>
      </c>
      <c r="G44" s="3" t="str">
        <f t="shared" si="1"/>
        <v>Shadowfen</v>
      </c>
      <c r="H44" s="17">
        <f t="shared" si="2"/>
        <v>187</v>
      </c>
      <c r="I44" s="17">
        <f t="shared" si="3"/>
        <v>117</v>
      </c>
      <c r="J44">
        <v>0</v>
      </c>
      <c r="K44" s="3" t="str">
        <f>VLOOKUP(J44,'LibSets constants'!$A$4:$B$1012,2,FALSE)</f>
        <v>DLC_BASE_GAME</v>
      </c>
      <c r="L44" s="3" t="str">
        <f>VLOOKUP(J44,'LibSets constants'!$A$4:$C$1012,3,FALSE)</f>
        <v>Included in base game</v>
      </c>
    </row>
    <row r="45" spans="1:12" x14ac:dyDescent="0.25">
      <c r="A45" s="5">
        <v>188</v>
      </c>
      <c r="B45" s="5">
        <v>40</v>
      </c>
      <c r="C45" s="5">
        <v>57</v>
      </c>
      <c r="D45" t="s">
        <v>127</v>
      </c>
      <c r="E45" s="3" t="str">
        <f t="array" ref="E45">IF(OR(EXACT(A45,'ESO Dungeon constants'!$D$3:$D$987)),"X","")</f>
        <v/>
      </c>
      <c r="F45" s="3" t="str">
        <f t="shared" si="0"/>
        <v/>
      </c>
      <c r="G45" s="3" t="str">
        <f t="shared" si="1"/>
        <v>Deshaan</v>
      </c>
      <c r="H45" s="17">
        <f t="shared" si="2"/>
        <v>188</v>
      </c>
      <c r="I45" s="17">
        <f t="shared" si="3"/>
        <v>57</v>
      </c>
      <c r="J45">
        <v>0</v>
      </c>
      <c r="K45" s="3" t="str">
        <f>VLOOKUP(J45,'LibSets constants'!$A$4:$B$1012,2,FALSE)</f>
        <v>DLC_BASE_GAME</v>
      </c>
      <c r="L45" s="3" t="str">
        <f>VLOOKUP(J45,'LibSets constants'!$A$4:$C$1012,3,FALSE)</f>
        <v>Included in base game</v>
      </c>
    </row>
    <row r="46" spans="1:12" x14ac:dyDescent="0.25">
      <c r="A46" s="5">
        <v>189</v>
      </c>
      <c r="B46" s="5">
        <v>41</v>
      </c>
      <c r="C46" s="5">
        <v>57</v>
      </c>
      <c r="D46" t="s">
        <v>128</v>
      </c>
      <c r="E46" s="3" t="str">
        <f t="array" ref="E46">IF(OR(EXACT(A46,'ESO Dungeon constants'!$D$3:$D$987)),"X","")</f>
        <v/>
      </c>
      <c r="F46" s="3" t="str">
        <f t="shared" si="0"/>
        <v/>
      </c>
      <c r="G46" s="3" t="str">
        <f t="shared" si="1"/>
        <v>Deshaan</v>
      </c>
      <c r="H46" s="17">
        <f t="shared" si="2"/>
        <v>189</v>
      </c>
      <c r="I46" s="17">
        <f t="shared" si="3"/>
        <v>57</v>
      </c>
      <c r="J46">
        <v>0</v>
      </c>
      <c r="K46" s="3" t="str">
        <f>VLOOKUP(J46,'LibSets constants'!$A$4:$B$1012,2,FALSE)</f>
        <v>DLC_BASE_GAME</v>
      </c>
      <c r="L46" s="3" t="str">
        <f>VLOOKUP(J46,'LibSets constants'!$A$4:$C$1012,3,FALSE)</f>
        <v>Included in base game</v>
      </c>
    </row>
    <row r="47" spans="1:12" x14ac:dyDescent="0.25">
      <c r="A47" s="5">
        <v>190</v>
      </c>
      <c r="B47" s="5">
        <v>42</v>
      </c>
      <c r="C47" s="5">
        <v>57</v>
      </c>
      <c r="D47" t="s">
        <v>129</v>
      </c>
      <c r="E47" s="3" t="str">
        <f t="array" ref="E47">IF(OR(EXACT(A47,'ESO Dungeon constants'!$D$3:$D$987)),"X","")</f>
        <v/>
      </c>
      <c r="F47" s="3" t="str">
        <f t="shared" si="0"/>
        <v/>
      </c>
      <c r="G47" s="3" t="str">
        <f t="shared" si="1"/>
        <v>Deshaan</v>
      </c>
      <c r="H47" s="17">
        <f t="shared" si="2"/>
        <v>190</v>
      </c>
      <c r="I47" s="17">
        <f t="shared" si="3"/>
        <v>57</v>
      </c>
      <c r="J47">
        <v>0</v>
      </c>
      <c r="K47" s="3" t="str">
        <f>VLOOKUP(J47,'LibSets constants'!$A$4:$B$1012,2,FALSE)</f>
        <v>DLC_BASE_GAME</v>
      </c>
      <c r="L47" s="3" t="str">
        <f>VLOOKUP(J47,'LibSets constants'!$A$4:$C$1012,3,FALSE)</f>
        <v>Included in base game</v>
      </c>
    </row>
    <row r="48" spans="1:12" x14ac:dyDescent="0.25">
      <c r="A48" s="5">
        <v>191</v>
      </c>
      <c r="B48" s="5">
        <v>43</v>
      </c>
      <c r="C48" s="5">
        <v>41</v>
      </c>
      <c r="D48" t="s">
        <v>130</v>
      </c>
      <c r="E48" s="3" t="str">
        <f t="array" ref="E48">IF(OR(EXACT(A48,'ESO Dungeon constants'!$D$3:$D$987)),"X","")</f>
        <v/>
      </c>
      <c r="F48" s="3" t="str">
        <f t="shared" si="0"/>
        <v/>
      </c>
      <c r="G48" s="3" t="str">
        <f t="shared" si="1"/>
        <v>Stonefalls</v>
      </c>
      <c r="H48" s="17">
        <f t="shared" si="2"/>
        <v>191</v>
      </c>
      <c r="I48" s="17">
        <f t="shared" si="3"/>
        <v>41</v>
      </c>
      <c r="J48">
        <v>0</v>
      </c>
      <c r="K48" s="3" t="str">
        <f>VLOOKUP(J48,'LibSets constants'!$A$4:$B$1012,2,FALSE)</f>
        <v>DLC_BASE_GAME</v>
      </c>
      <c r="L48" s="3" t="str">
        <f>VLOOKUP(J48,'LibSets constants'!$A$4:$C$1012,3,FALSE)</f>
        <v>Included in base game</v>
      </c>
    </row>
    <row r="49" spans="1:12" x14ac:dyDescent="0.25">
      <c r="A49" s="5">
        <v>192</v>
      </c>
      <c r="B49" s="5">
        <v>44</v>
      </c>
      <c r="C49" s="5">
        <v>41</v>
      </c>
      <c r="D49" t="s">
        <v>131</v>
      </c>
      <c r="E49" s="3" t="str">
        <f t="array" ref="E49">IF(OR(EXACT(A49,'ESO Dungeon constants'!$D$3:$D$987)),"X","")</f>
        <v/>
      </c>
      <c r="F49" s="3" t="str">
        <f t="shared" si="0"/>
        <v/>
      </c>
      <c r="G49" s="3" t="str">
        <f t="shared" si="1"/>
        <v>Stonefalls</v>
      </c>
      <c r="H49" s="17">
        <f t="shared" si="2"/>
        <v>192</v>
      </c>
      <c r="I49" s="17">
        <f t="shared" si="3"/>
        <v>41</v>
      </c>
      <c r="J49">
        <v>0</v>
      </c>
      <c r="K49" s="3" t="str">
        <f>VLOOKUP(J49,'LibSets constants'!$A$4:$B$1012,2,FALSE)</f>
        <v>DLC_BASE_GAME</v>
      </c>
      <c r="L49" s="3" t="str">
        <f>VLOOKUP(J49,'LibSets constants'!$A$4:$C$1012,3,FALSE)</f>
        <v>Included in base game</v>
      </c>
    </row>
    <row r="50" spans="1:12" x14ac:dyDescent="0.25">
      <c r="A50" s="5">
        <v>193</v>
      </c>
      <c r="B50" s="5">
        <v>45</v>
      </c>
      <c r="C50" s="5">
        <v>41</v>
      </c>
      <c r="D50" t="s">
        <v>132</v>
      </c>
      <c r="E50" s="3" t="str">
        <f t="array" ref="E50">IF(OR(EXACT(A50,'ESO Dungeon constants'!$D$3:$D$987)),"X","")</f>
        <v/>
      </c>
      <c r="F50" s="3" t="str">
        <f t="shared" si="0"/>
        <v/>
      </c>
      <c r="G50" s="3" t="str">
        <f t="shared" si="1"/>
        <v>Stonefalls</v>
      </c>
      <c r="H50" s="17">
        <f t="shared" si="2"/>
        <v>193</v>
      </c>
      <c r="I50" s="17">
        <f t="shared" si="3"/>
        <v>41</v>
      </c>
      <c r="J50">
        <v>0</v>
      </c>
      <c r="K50" s="3" t="str">
        <f>VLOOKUP(J50,'LibSets constants'!$A$4:$B$1012,2,FALSE)</f>
        <v>DLC_BASE_GAME</v>
      </c>
      <c r="L50" s="3" t="str">
        <f>VLOOKUP(J50,'LibSets constants'!$A$4:$C$1012,3,FALSE)</f>
        <v>Included in base game</v>
      </c>
    </row>
    <row r="51" spans="1:12" x14ac:dyDescent="0.25">
      <c r="A51" s="5">
        <v>199</v>
      </c>
      <c r="B51" s="5">
        <v>46</v>
      </c>
      <c r="C51" s="5">
        <v>199</v>
      </c>
      <c r="D51" t="s">
        <v>133</v>
      </c>
      <c r="E51" s="3" t="str">
        <f t="array" ref="E51">IF(OR(EXACT(A51,'ESO Dungeon constants'!$D$3:$D$987)),"X","")</f>
        <v/>
      </c>
      <c r="F51" s="3" t="str">
        <f t="shared" si="0"/>
        <v>X</v>
      </c>
      <c r="G51" s="3" t="str">
        <f t="shared" si="1"/>
        <v/>
      </c>
      <c r="H51" s="17">
        <f t="shared" si="2"/>
        <v>199</v>
      </c>
      <c r="I51" s="17">
        <f t="shared" si="3"/>
        <v>199</v>
      </c>
      <c r="J51">
        <v>0</v>
      </c>
      <c r="K51" s="3" t="str">
        <f>VLOOKUP(J51,'LibSets constants'!$A$4:$B$1012,2,FALSE)</f>
        <v>DLC_BASE_GAME</v>
      </c>
      <c r="L51" s="3" t="str">
        <f>VLOOKUP(J51,'LibSets constants'!$A$4:$C$1012,3,FALSE)</f>
        <v>Included in base game</v>
      </c>
    </row>
    <row r="52" spans="1:12" x14ac:dyDescent="0.25">
      <c r="A52" s="5">
        <v>200</v>
      </c>
      <c r="B52" s="5">
        <v>47</v>
      </c>
      <c r="C52" s="5">
        <v>199</v>
      </c>
      <c r="D52" t="s">
        <v>134</v>
      </c>
      <c r="E52" s="3" t="str">
        <f t="array" ref="E52">IF(OR(EXACT(A52,'ESO Dungeon constants'!$D$3:$D$987)),"X","")</f>
        <v/>
      </c>
      <c r="F52" s="3" t="str">
        <f t="shared" si="0"/>
        <v/>
      </c>
      <c r="G52" s="3" t="str">
        <f t="shared" si="1"/>
        <v>The Harborage</v>
      </c>
      <c r="H52" s="17">
        <f t="shared" si="2"/>
        <v>200</v>
      </c>
      <c r="I52" s="17">
        <f t="shared" si="3"/>
        <v>199</v>
      </c>
      <c r="J52">
        <v>0</v>
      </c>
      <c r="K52" s="3" t="str">
        <f>VLOOKUP(J52,'LibSets constants'!$A$4:$B$1012,2,FALSE)</f>
        <v>DLC_BASE_GAME</v>
      </c>
      <c r="L52" s="3" t="str">
        <f>VLOOKUP(J52,'LibSets constants'!$A$4:$C$1012,3,FALSE)</f>
        <v>Included in base game</v>
      </c>
    </row>
    <row r="53" spans="1:12" x14ac:dyDescent="0.25">
      <c r="A53" s="5">
        <v>201</v>
      </c>
      <c r="B53" s="5">
        <v>48</v>
      </c>
      <c r="C53" s="5">
        <v>199</v>
      </c>
      <c r="D53" t="s">
        <v>135</v>
      </c>
      <c r="E53" s="3" t="str">
        <f t="array" ref="E53">IF(OR(EXACT(A53,'ESO Dungeon constants'!$D$3:$D$987)),"X","")</f>
        <v/>
      </c>
      <c r="F53" s="3" t="str">
        <f t="shared" si="0"/>
        <v/>
      </c>
      <c r="G53" s="3" t="str">
        <f t="shared" si="1"/>
        <v>The Harborage</v>
      </c>
      <c r="H53" s="17">
        <f t="shared" si="2"/>
        <v>201</v>
      </c>
      <c r="I53" s="17">
        <f t="shared" si="3"/>
        <v>199</v>
      </c>
      <c r="J53">
        <v>0</v>
      </c>
      <c r="K53" s="3" t="str">
        <f>VLOOKUP(J53,'LibSets constants'!$A$4:$B$1012,2,FALSE)</f>
        <v>DLC_BASE_GAME</v>
      </c>
      <c r="L53" s="3" t="str">
        <f>VLOOKUP(J53,'LibSets constants'!$A$4:$C$1012,3,FALSE)</f>
        <v>Included in base game</v>
      </c>
    </row>
    <row r="54" spans="1:12" x14ac:dyDescent="0.25">
      <c r="A54" s="5">
        <v>203</v>
      </c>
      <c r="B54" s="5">
        <v>49</v>
      </c>
      <c r="C54" s="5">
        <v>267</v>
      </c>
      <c r="D54" t="s">
        <v>136</v>
      </c>
      <c r="E54" s="3" t="str">
        <f t="array" ref="E54">IF(OR(EXACT(A54,'ESO Dungeon constants'!$D$3:$D$987)),"X","")</f>
        <v/>
      </c>
      <c r="F54" s="3" t="str">
        <f t="shared" si="0"/>
        <v/>
      </c>
      <c r="G54" s="3" t="str">
        <f t="shared" si="1"/>
        <v>Eyevea</v>
      </c>
      <c r="H54" s="17">
        <f t="shared" si="2"/>
        <v>203</v>
      </c>
      <c r="I54" s="17">
        <f t="shared" si="3"/>
        <v>267</v>
      </c>
      <c r="J54">
        <v>0</v>
      </c>
      <c r="K54" s="3" t="str">
        <f>VLOOKUP(J54,'LibSets constants'!$A$4:$B$1012,2,FALSE)</f>
        <v>DLC_BASE_GAME</v>
      </c>
      <c r="L54" s="3" t="str">
        <f>VLOOKUP(J54,'LibSets constants'!$A$4:$C$1012,3,FALSE)</f>
        <v>Included in base game</v>
      </c>
    </row>
    <row r="55" spans="1:12" x14ac:dyDescent="0.25">
      <c r="A55" s="5">
        <v>207</v>
      </c>
      <c r="B55" s="5">
        <v>50</v>
      </c>
      <c r="C55" s="5">
        <v>208</v>
      </c>
      <c r="D55" t="s">
        <v>137</v>
      </c>
      <c r="E55" s="3" t="str">
        <f t="array" ref="E55">IF(OR(EXACT(A55,'ESO Dungeon constants'!$D$3:$D$987)),"X","")</f>
        <v/>
      </c>
      <c r="F55" s="3" t="str">
        <f t="shared" si="0"/>
        <v/>
      </c>
      <c r="G55" s="3" t="str">
        <f t="shared" si="1"/>
        <v>The Earth Forge</v>
      </c>
      <c r="H55" s="17">
        <f t="shared" si="2"/>
        <v>207</v>
      </c>
      <c r="I55" s="17">
        <f t="shared" si="3"/>
        <v>208</v>
      </c>
      <c r="J55">
        <v>0</v>
      </c>
      <c r="K55" s="3" t="str">
        <f>VLOOKUP(J55,'LibSets constants'!$A$4:$B$1012,2,FALSE)</f>
        <v>DLC_BASE_GAME</v>
      </c>
      <c r="L55" s="3" t="str">
        <f>VLOOKUP(J55,'LibSets constants'!$A$4:$C$1012,3,FALSE)</f>
        <v>Included in base game</v>
      </c>
    </row>
    <row r="56" spans="1:12" x14ac:dyDescent="0.25">
      <c r="A56" s="5">
        <v>208</v>
      </c>
      <c r="B56" s="5">
        <v>51</v>
      </c>
      <c r="C56" s="5">
        <v>208</v>
      </c>
      <c r="D56" t="s">
        <v>138</v>
      </c>
      <c r="E56" s="3" t="str">
        <f t="array" ref="E56">IF(OR(EXACT(A56,'ESO Dungeon constants'!$D$3:$D$987)),"X","")</f>
        <v/>
      </c>
      <c r="F56" s="3" t="str">
        <f t="shared" si="0"/>
        <v>X</v>
      </c>
      <c r="G56" s="3" t="str">
        <f t="shared" si="1"/>
        <v/>
      </c>
      <c r="H56" s="17">
        <f t="shared" si="2"/>
        <v>208</v>
      </c>
      <c r="I56" s="17">
        <f t="shared" si="3"/>
        <v>208</v>
      </c>
      <c r="J56">
        <v>0</v>
      </c>
      <c r="K56" s="3" t="str">
        <f>VLOOKUP(J56,'LibSets constants'!$A$4:$B$1012,2,FALSE)</f>
        <v>DLC_BASE_GAME</v>
      </c>
      <c r="L56" s="3" t="str">
        <f>VLOOKUP(J56,'LibSets constants'!$A$4:$C$1012,3,FALSE)</f>
        <v>Included in base game</v>
      </c>
    </row>
    <row r="57" spans="1:12" x14ac:dyDescent="0.25">
      <c r="A57" s="5">
        <v>209</v>
      </c>
      <c r="B57" s="5">
        <v>52</v>
      </c>
      <c r="C57" s="5">
        <v>208</v>
      </c>
      <c r="D57" t="s">
        <v>139</v>
      </c>
      <c r="E57" s="3" t="str">
        <f t="array" ref="E57">IF(OR(EXACT(A57,'ESO Dungeon constants'!$D$3:$D$987)),"X","")</f>
        <v/>
      </c>
      <c r="F57" s="3" t="str">
        <f t="shared" si="0"/>
        <v/>
      </c>
      <c r="G57" s="3" t="str">
        <f t="shared" si="1"/>
        <v>The Earth Forge</v>
      </c>
      <c r="H57" s="17">
        <f t="shared" si="2"/>
        <v>209</v>
      </c>
      <c r="I57" s="17">
        <f t="shared" si="3"/>
        <v>208</v>
      </c>
      <c r="J57">
        <v>0</v>
      </c>
      <c r="K57" s="3" t="str">
        <f>VLOOKUP(J57,'LibSets constants'!$A$4:$B$1012,2,FALSE)</f>
        <v>DLC_BASE_GAME</v>
      </c>
      <c r="L57" s="3" t="str">
        <f>VLOOKUP(J57,'LibSets constants'!$A$4:$C$1012,3,FALSE)</f>
        <v>Included in base game</v>
      </c>
    </row>
    <row r="58" spans="1:12" x14ac:dyDescent="0.25">
      <c r="A58" s="5">
        <v>212</v>
      </c>
      <c r="B58" s="5">
        <v>53</v>
      </c>
      <c r="C58" s="5">
        <v>57</v>
      </c>
      <c r="D58" t="s">
        <v>140</v>
      </c>
      <c r="E58" s="3" t="str">
        <f t="array" ref="E58">IF(OR(EXACT(A58,'ESO Dungeon constants'!$D$3:$D$987)),"X","")</f>
        <v/>
      </c>
      <c r="F58" s="3" t="str">
        <f t="shared" si="0"/>
        <v/>
      </c>
      <c r="G58" s="3" t="str">
        <f t="shared" si="1"/>
        <v>Deshaan</v>
      </c>
      <c r="H58" s="17">
        <f t="shared" si="2"/>
        <v>212</v>
      </c>
      <c r="I58" s="17">
        <f t="shared" si="3"/>
        <v>57</v>
      </c>
      <c r="J58">
        <v>0</v>
      </c>
      <c r="K58" s="3" t="str">
        <f>VLOOKUP(J58,'LibSets constants'!$A$4:$B$1012,2,FALSE)</f>
        <v>DLC_BASE_GAME</v>
      </c>
      <c r="L58" s="3" t="str">
        <f>VLOOKUP(J58,'LibSets constants'!$A$4:$C$1012,3,FALSE)</f>
        <v>Included in base game</v>
      </c>
    </row>
    <row r="59" spans="1:12" x14ac:dyDescent="0.25">
      <c r="A59" s="5">
        <v>213</v>
      </c>
      <c r="B59" s="5">
        <v>54</v>
      </c>
      <c r="C59" s="5">
        <v>117</v>
      </c>
      <c r="D59" t="s">
        <v>141</v>
      </c>
      <c r="E59" s="3" t="str">
        <f t="array" ref="E59">IF(OR(EXACT(A59,'ESO Dungeon constants'!$D$3:$D$987)),"X","")</f>
        <v/>
      </c>
      <c r="F59" s="3" t="str">
        <f t="shared" si="0"/>
        <v/>
      </c>
      <c r="G59" s="3" t="str">
        <f t="shared" si="1"/>
        <v>Shadowfen</v>
      </c>
      <c r="H59" s="17">
        <f t="shared" si="2"/>
        <v>213</v>
      </c>
      <c r="I59" s="17">
        <f t="shared" si="3"/>
        <v>117</v>
      </c>
      <c r="J59">
        <v>0</v>
      </c>
      <c r="K59" s="3" t="str">
        <f>VLOOKUP(J59,'LibSets constants'!$A$4:$B$1012,2,FALSE)</f>
        <v>DLC_BASE_GAME</v>
      </c>
      <c r="L59" s="3" t="str">
        <f>VLOOKUP(J59,'LibSets constants'!$A$4:$C$1012,3,FALSE)</f>
        <v>Included in base game</v>
      </c>
    </row>
    <row r="60" spans="1:12" x14ac:dyDescent="0.25">
      <c r="A60" s="5">
        <v>214</v>
      </c>
      <c r="B60" s="5">
        <v>55</v>
      </c>
      <c r="C60" s="5">
        <v>117</v>
      </c>
      <c r="D60" t="s">
        <v>142</v>
      </c>
      <c r="E60" s="3" t="str">
        <f t="array" ref="E60">IF(OR(EXACT(A60,'ESO Dungeon constants'!$D$3:$D$987)),"X","")</f>
        <v/>
      </c>
      <c r="F60" s="3" t="str">
        <f t="shared" si="0"/>
        <v/>
      </c>
      <c r="G60" s="3" t="str">
        <f t="shared" si="1"/>
        <v>Shadowfen</v>
      </c>
      <c r="H60" s="17">
        <f t="shared" si="2"/>
        <v>214</v>
      </c>
      <c r="I60" s="17">
        <f t="shared" si="3"/>
        <v>117</v>
      </c>
      <c r="J60">
        <v>0</v>
      </c>
      <c r="K60" s="3" t="str">
        <f>VLOOKUP(J60,'LibSets constants'!$A$4:$B$1012,2,FALSE)</f>
        <v>DLC_BASE_GAME</v>
      </c>
      <c r="L60" s="3" t="str">
        <f>VLOOKUP(J60,'LibSets constants'!$A$4:$C$1012,3,FALSE)</f>
        <v>Included in base game</v>
      </c>
    </row>
    <row r="61" spans="1:12" x14ac:dyDescent="0.25">
      <c r="A61" s="5">
        <v>215</v>
      </c>
      <c r="B61" s="5">
        <v>56</v>
      </c>
      <c r="C61" s="5">
        <v>117</v>
      </c>
      <c r="D61" t="s">
        <v>143</v>
      </c>
      <c r="E61" s="3" t="str">
        <f t="array" ref="E61">IF(OR(EXACT(A61,'ESO Dungeon constants'!$D$3:$D$987)),"X","")</f>
        <v/>
      </c>
      <c r="F61" s="3" t="str">
        <f t="shared" si="0"/>
        <v/>
      </c>
      <c r="G61" s="3" t="str">
        <f t="shared" si="1"/>
        <v>Shadowfen</v>
      </c>
      <c r="H61" s="17">
        <f t="shared" si="2"/>
        <v>215</v>
      </c>
      <c r="I61" s="17">
        <f t="shared" si="3"/>
        <v>117</v>
      </c>
      <c r="J61">
        <v>0</v>
      </c>
      <c r="K61" s="3" t="str">
        <f>VLOOKUP(J61,'LibSets constants'!$A$4:$B$1012,2,FALSE)</f>
        <v>DLC_BASE_GAME</v>
      </c>
      <c r="L61" s="3" t="str">
        <f>VLOOKUP(J61,'LibSets constants'!$A$4:$C$1012,3,FALSE)</f>
        <v>Included in base game</v>
      </c>
    </row>
    <row r="62" spans="1:12" x14ac:dyDescent="0.25">
      <c r="A62" s="5">
        <v>216</v>
      </c>
      <c r="B62" s="5">
        <v>57</v>
      </c>
      <c r="C62" s="5">
        <v>41</v>
      </c>
      <c r="D62" t="s">
        <v>144</v>
      </c>
      <c r="E62" s="3" t="str">
        <f t="array" ref="E62">IF(OR(EXACT(A62,'ESO Dungeon constants'!$D$3:$D$987)),"X","")</f>
        <v/>
      </c>
      <c r="F62" s="3" t="str">
        <f t="shared" si="0"/>
        <v/>
      </c>
      <c r="G62" s="3" t="str">
        <f t="shared" si="1"/>
        <v>Stonefalls</v>
      </c>
      <c r="H62" s="17">
        <f t="shared" si="2"/>
        <v>216</v>
      </c>
      <c r="I62" s="17">
        <f t="shared" si="3"/>
        <v>41</v>
      </c>
      <c r="J62">
        <v>0</v>
      </c>
      <c r="K62" s="3" t="str">
        <f>VLOOKUP(J62,'LibSets constants'!$A$4:$B$1012,2,FALSE)</f>
        <v>DLC_BASE_GAME</v>
      </c>
      <c r="L62" s="3" t="str">
        <f>VLOOKUP(J62,'LibSets constants'!$A$4:$C$1012,3,FALSE)</f>
        <v>Included in base game</v>
      </c>
    </row>
    <row r="63" spans="1:12" x14ac:dyDescent="0.25">
      <c r="A63" s="5">
        <v>217</v>
      </c>
      <c r="B63" s="5">
        <v>58</v>
      </c>
      <c r="C63" s="5">
        <v>199</v>
      </c>
      <c r="D63" t="s">
        <v>145</v>
      </c>
      <c r="E63" s="3" t="str">
        <f t="array" ref="E63">IF(OR(EXACT(A63,'ESO Dungeon constants'!$D$3:$D$987)),"X","")</f>
        <v/>
      </c>
      <c r="F63" s="3" t="str">
        <f t="shared" si="0"/>
        <v/>
      </c>
      <c r="G63" s="3" t="str">
        <f t="shared" si="1"/>
        <v>The Harborage</v>
      </c>
      <c r="H63" s="17">
        <f t="shared" si="2"/>
        <v>217</v>
      </c>
      <c r="I63" s="17">
        <f t="shared" si="3"/>
        <v>199</v>
      </c>
      <c r="J63">
        <v>0</v>
      </c>
      <c r="K63" s="3" t="str">
        <f>VLOOKUP(J63,'LibSets constants'!$A$4:$B$1012,2,FALSE)</f>
        <v>DLC_BASE_GAME</v>
      </c>
      <c r="L63" s="3" t="str">
        <f>VLOOKUP(J63,'LibSets constants'!$A$4:$C$1012,3,FALSE)</f>
        <v>Included in base game</v>
      </c>
    </row>
    <row r="64" spans="1:12" x14ac:dyDescent="0.25">
      <c r="A64" s="5">
        <v>218</v>
      </c>
      <c r="B64" s="5">
        <v>59</v>
      </c>
      <c r="C64" s="5">
        <v>267</v>
      </c>
      <c r="D64" t="s">
        <v>146</v>
      </c>
      <c r="E64" s="3" t="str">
        <f t="array" ref="E64">IF(OR(EXACT(A64,'ESO Dungeon constants'!$D$3:$D$987)),"X","")</f>
        <v/>
      </c>
      <c r="F64" s="3" t="str">
        <f t="shared" si="0"/>
        <v/>
      </c>
      <c r="G64" s="3" t="str">
        <f t="shared" si="1"/>
        <v>Eyevea</v>
      </c>
      <c r="H64" s="17">
        <f t="shared" si="2"/>
        <v>218</v>
      </c>
      <c r="I64" s="17">
        <f t="shared" si="3"/>
        <v>267</v>
      </c>
      <c r="J64">
        <v>0</v>
      </c>
      <c r="K64" s="3" t="str">
        <f>VLOOKUP(J64,'LibSets constants'!$A$4:$B$1012,2,FALSE)</f>
        <v>DLC_BASE_GAME</v>
      </c>
      <c r="L64" s="3" t="str">
        <f>VLOOKUP(J64,'LibSets constants'!$A$4:$C$1012,3,FALSE)</f>
        <v>Included in base game</v>
      </c>
    </row>
    <row r="65" spans="1:12" x14ac:dyDescent="0.25">
      <c r="A65" s="5">
        <v>219</v>
      </c>
      <c r="B65" s="5">
        <v>60</v>
      </c>
      <c r="C65" s="5">
        <v>267</v>
      </c>
      <c r="D65" t="s">
        <v>147</v>
      </c>
      <c r="E65" s="3" t="str">
        <f t="array" ref="E65">IF(OR(EXACT(A65,'ESO Dungeon constants'!$D$3:$D$987)),"X","")</f>
        <v/>
      </c>
      <c r="F65" s="3" t="str">
        <f t="shared" si="0"/>
        <v/>
      </c>
      <c r="G65" s="3" t="str">
        <f t="shared" si="1"/>
        <v>Eyevea</v>
      </c>
      <c r="H65" s="17">
        <f t="shared" si="2"/>
        <v>219</v>
      </c>
      <c r="I65" s="17">
        <f t="shared" si="3"/>
        <v>267</v>
      </c>
      <c r="J65">
        <v>0</v>
      </c>
      <c r="K65" s="3" t="str">
        <f>VLOOKUP(J65,'LibSets constants'!$A$4:$B$1012,2,FALSE)</f>
        <v>DLC_BASE_GAME</v>
      </c>
      <c r="L65" s="3" t="str">
        <f>VLOOKUP(J65,'LibSets constants'!$A$4:$C$1012,3,FALSE)</f>
        <v>Included in base game</v>
      </c>
    </row>
    <row r="66" spans="1:12" x14ac:dyDescent="0.25">
      <c r="A66" s="5">
        <v>222</v>
      </c>
      <c r="B66" s="5">
        <v>61</v>
      </c>
      <c r="C66" s="5">
        <v>3</v>
      </c>
      <c r="D66" t="s">
        <v>148</v>
      </c>
      <c r="E66" s="3" t="str">
        <f t="array" ref="E66">IF(OR(EXACT(A66,'ESO Dungeon constants'!$D$3:$D$987)),"X","")</f>
        <v/>
      </c>
      <c r="F66" s="3" t="str">
        <f t="shared" si="0"/>
        <v/>
      </c>
      <c r="G66" s="3" t="str">
        <f t="shared" si="1"/>
        <v>Glenumbra</v>
      </c>
      <c r="H66" s="17">
        <f t="shared" si="2"/>
        <v>222</v>
      </c>
      <c r="I66" s="17">
        <f t="shared" si="3"/>
        <v>3</v>
      </c>
      <c r="J66">
        <v>0</v>
      </c>
      <c r="K66" s="3" t="str">
        <f>VLOOKUP(J66,'LibSets constants'!$A$4:$B$1012,2,FALSE)</f>
        <v>DLC_BASE_GAME</v>
      </c>
      <c r="L66" s="3" t="str">
        <f>VLOOKUP(J66,'LibSets constants'!$A$4:$C$1012,3,FALSE)</f>
        <v>Included in base game</v>
      </c>
    </row>
    <row r="67" spans="1:12" x14ac:dyDescent="0.25">
      <c r="A67" s="5">
        <v>223</v>
      </c>
      <c r="B67" s="5">
        <v>62</v>
      </c>
      <c r="C67" s="5">
        <v>3</v>
      </c>
      <c r="D67" t="s">
        <v>149</v>
      </c>
      <c r="E67" s="3" t="str">
        <f t="array" ref="E67">IF(OR(EXACT(A67,'ESO Dungeon constants'!$D$3:$D$987)),"X","")</f>
        <v/>
      </c>
      <c r="F67" s="3" t="str">
        <f t="shared" si="0"/>
        <v/>
      </c>
      <c r="G67" s="3" t="str">
        <f t="shared" si="1"/>
        <v>Glenumbra</v>
      </c>
      <c r="H67" s="17">
        <f t="shared" si="2"/>
        <v>223</v>
      </c>
      <c r="I67" s="17">
        <f t="shared" si="3"/>
        <v>3</v>
      </c>
      <c r="J67">
        <v>0</v>
      </c>
      <c r="K67" s="3" t="str">
        <f>VLOOKUP(J67,'LibSets constants'!$A$4:$B$1012,2,FALSE)</f>
        <v>DLC_BASE_GAME</v>
      </c>
      <c r="L67" s="3" t="str">
        <f>VLOOKUP(J67,'LibSets constants'!$A$4:$C$1012,3,FALSE)</f>
        <v>Included in base game</v>
      </c>
    </row>
    <row r="68" spans="1:12" x14ac:dyDescent="0.25">
      <c r="A68" s="5">
        <v>224</v>
      </c>
      <c r="B68" s="5">
        <v>63</v>
      </c>
      <c r="C68" s="5">
        <v>20</v>
      </c>
      <c r="D68" t="s">
        <v>150</v>
      </c>
      <c r="E68" s="3" t="str">
        <f t="array" ref="E68">IF(OR(EXACT(A68,'ESO Dungeon constants'!$D$3:$D$987)),"X","")</f>
        <v/>
      </c>
      <c r="F68" s="3" t="str">
        <f t="shared" si="0"/>
        <v/>
      </c>
      <c r="G68" s="3" t="str">
        <f t="shared" si="1"/>
        <v>Rivenspire</v>
      </c>
      <c r="H68" s="17">
        <f t="shared" si="2"/>
        <v>224</v>
      </c>
      <c r="I68" s="17">
        <f t="shared" si="3"/>
        <v>20</v>
      </c>
      <c r="J68">
        <v>0</v>
      </c>
      <c r="K68" s="3" t="str">
        <f>VLOOKUP(J68,'LibSets constants'!$A$4:$B$1012,2,FALSE)</f>
        <v>DLC_BASE_GAME</v>
      </c>
      <c r="L68" s="3" t="str">
        <f>VLOOKUP(J68,'LibSets constants'!$A$4:$C$1012,3,FALSE)</f>
        <v>Included in base game</v>
      </c>
    </row>
    <row r="69" spans="1:12" x14ac:dyDescent="0.25">
      <c r="A69" s="5">
        <v>227</v>
      </c>
      <c r="B69" s="5">
        <v>64</v>
      </c>
      <c r="C69" s="5">
        <v>92</v>
      </c>
      <c r="D69" t="s">
        <v>3914</v>
      </c>
      <c r="E69" s="3" t="str">
        <f t="array" ref="E69">IF(OR(EXACT(A69,'ESO Dungeon constants'!$D$3:$D$987)),"X","")</f>
        <v/>
      </c>
      <c r="F69" s="3" t="str">
        <f t="shared" ref="F69:F132" si="4">IF(EXACT(A69,C69),"X","")</f>
        <v/>
      </c>
      <c r="G69" s="3" t="str">
        <f t="shared" ref="G69:G132" si="5">IF(A69&lt;&gt;C69,VLOOKUP(C69,$A$5:$D$9954,4,FALSE),"")</f>
        <v>Bangkorai</v>
      </c>
      <c r="H69" s="17">
        <f t="shared" ref="H69:H132" si="6">A69</f>
        <v>227</v>
      </c>
      <c r="I69" s="17">
        <f t="shared" ref="I69:I132" si="7">C69</f>
        <v>92</v>
      </c>
      <c r="J69">
        <v>0</v>
      </c>
      <c r="K69" s="3" t="str">
        <f>VLOOKUP(J69,'LibSets constants'!$A$4:$B$1012,2,FALSE)</f>
        <v>DLC_BASE_GAME</v>
      </c>
      <c r="L69" s="3" t="str">
        <f>VLOOKUP(J69,'LibSets constants'!$A$4:$C$1012,3,FALSE)</f>
        <v>Included in base game</v>
      </c>
    </row>
    <row r="70" spans="1:12" x14ac:dyDescent="0.25">
      <c r="A70" s="5">
        <v>228</v>
      </c>
      <c r="B70" s="5">
        <v>65</v>
      </c>
      <c r="C70" s="5">
        <v>92</v>
      </c>
      <c r="D70" t="s">
        <v>151</v>
      </c>
      <c r="E70" s="3" t="str">
        <f t="array" ref="E70">IF(OR(EXACT(A70,'ESO Dungeon constants'!$D$3:$D$987)),"X","")</f>
        <v/>
      </c>
      <c r="F70" s="3" t="str">
        <f t="shared" si="4"/>
        <v/>
      </c>
      <c r="G70" s="3" t="str">
        <f t="shared" si="5"/>
        <v>Bangkorai</v>
      </c>
      <c r="H70" s="17">
        <f t="shared" si="6"/>
        <v>228</v>
      </c>
      <c r="I70" s="17">
        <f t="shared" si="7"/>
        <v>92</v>
      </c>
      <c r="J70">
        <v>0</v>
      </c>
      <c r="K70" s="3" t="str">
        <f>VLOOKUP(J70,'LibSets constants'!$A$4:$B$1012,2,FALSE)</f>
        <v>DLC_BASE_GAME</v>
      </c>
      <c r="L70" s="3" t="str">
        <f>VLOOKUP(J70,'LibSets constants'!$A$4:$C$1012,3,FALSE)</f>
        <v>Included in base game</v>
      </c>
    </row>
    <row r="71" spans="1:12" x14ac:dyDescent="0.25">
      <c r="A71" s="5">
        <v>229</v>
      </c>
      <c r="B71" s="5">
        <v>66</v>
      </c>
      <c r="C71" s="5">
        <v>92</v>
      </c>
      <c r="D71" t="s">
        <v>152</v>
      </c>
      <c r="E71" s="3" t="str">
        <f t="array" ref="E71">IF(OR(EXACT(A71,'ESO Dungeon constants'!$D$3:$D$987)),"X","")</f>
        <v/>
      </c>
      <c r="F71" s="3" t="str">
        <f t="shared" si="4"/>
        <v/>
      </c>
      <c r="G71" s="3" t="str">
        <f t="shared" si="5"/>
        <v>Bangkorai</v>
      </c>
      <c r="H71" s="17">
        <f t="shared" si="6"/>
        <v>229</v>
      </c>
      <c r="I71" s="17">
        <f t="shared" si="7"/>
        <v>92</v>
      </c>
      <c r="J71">
        <v>0</v>
      </c>
      <c r="K71" s="3" t="str">
        <f>VLOOKUP(J71,'LibSets constants'!$A$4:$B$1012,2,FALSE)</f>
        <v>DLC_BASE_GAME</v>
      </c>
      <c r="L71" s="3" t="str">
        <f>VLOOKUP(J71,'LibSets constants'!$A$4:$C$1012,3,FALSE)</f>
        <v>Included in base game</v>
      </c>
    </row>
    <row r="72" spans="1:12" x14ac:dyDescent="0.25">
      <c r="A72" s="5">
        <v>231</v>
      </c>
      <c r="B72" s="5">
        <v>67</v>
      </c>
      <c r="C72" s="5">
        <v>92</v>
      </c>
      <c r="D72" t="s">
        <v>153</v>
      </c>
      <c r="E72" s="3" t="str">
        <f t="array" ref="E72">IF(OR(EXACT(A72,'ESO Dungeon constants'!$D$3:$D$987)),"X","")</f>
        <v/>
      </c>
      <c r="F72" s="3" t="str">
        <f t="shared" si="4"/>
        <v/>
      </c>
      <c r="G72" s="3" t="str">
        <f t="shared" si="5"/>
        <v>Bangkorai</v>
      </c>
      <c r="H72" s="17">
        <f t="shared" si="6"/>
        <v>231</v>
      </c>
      <c r="I72" s="17">
        <f t="shared" si="7"/>
        <v>92</v>
      </c>
      <c r="J72">
        <v>0</v>
      </c>
      <c r="K72" s="3" t="str">
        <f>VLOOKUP(J72,'LibSets constants'!$A$4:$B$1012,2,FALSE)</f>
        <v>DLC_BASE_GAME</v>
      </c>
      <c r="L72" s="3" t="str">
        <f>VLOOKUP(J72,'LibSets constants'!$A$4:$C$1012,3,FALSE)</f>
        <v>Included in base game</v>
      </c>
    </row>
    <row r="73" spans="1:12" x14ac:dyDescent="0.25">
      <c r="A73" s="5">
        <v>232</v>
      </c>
      <c r="B73" s="5">
        <v>68</v>
      </c>
      <c r="C73" s="5">
        <v>117</v>
      </c>
      <c r="D73" t="s">
        <v>154</v>
      </c>
      <c r="E73" s="3" t="str">
        <f t="array" ref="E73">IF(OR(EXACT(A73,'ESO Dungeon constants'!$D$3:$D$987)),"X","")</f>
        <v/>
      </c>
      <c r="F73" s="3" t="str">
        <f t="shared" si="4"/>
        <v/>
      </c>
      <c r="G73" s="3" t="str">
        <f t="shared" si="5"/>
        <v>Shadowfen</v>
      </c>
      <c r="H73" s="17">
        <f t="shared" si="6"/>
        <v>232</v>
      </c>
      <c r="I73" s="17">
        <f t="shared" si="7"/>
        <v>117</v>
      </c>
      <c r="J73">
        <v>0</v>
      </c>
      <c r="K73" s="3" t="str">
        <f>VLOOKUP(J73,'LibSets constants'!$A$4:$B$1012,2,FALSE)</f>
        <v>DLC_BASE_GAME</v>
      </c>
      <c r="L73" s="3" t="str">
        <f>VLOOKUP(J73,'LibSets constants'!$A$4:$C$1012,3,FALSE)</f>
        <v>Included in base game</v>
      </c>
    </row>
    <row r="74" spans="1:12" x14ac:dyDescent="0.25">
      <c r="A74" s="5">
        <v>233</v>
      </c>
      <c r="B74" s="5">
        <v>69</v>
      </c>
      <c r="C74" s="5">
        <v>117</v>
      </c>
      <c r="D74" t="s">
        <v>155</v>
      </c>
      <c r="E74" s="3" t="str">
        <f t="array" ref="E74">IF(OR(EXACT(A74,'ESO Dungeon constants'!$D$3:$D$987)),"X","")</f>
        <v/>
      </c>
      <c r="F74" s="3" t="str">
        <f t="shared" si="4"/>
        <v/>
      </c>
      <c r="G74" s="3" t="str">
        <f t="shared" si="5"/>
        <v>Shadowfen</v>
      </c>
      <c r="H74" s="17">
        <f t="shared" si="6"/>
        <v>233</v>
      </c>
      <c r="I74" s="17">
        <f t="shared" si="7"/>
        <v>117</v>
      </c>
      <c r="J74">
        <v>0</v>
      </c>
      <c r="K74" s="3" t="str">
        <f>VLOOKUP(J74,'LibSets constants'!$A$4:$B$1012,2,FALSE)</f>
        <v>DLC_BASE_GAME</v>
      </c>
      <c r="L74" s="3" t="str">
        <f>VLOOKUP(J74,'LibSets constants'!$A$4:$C$1012,3,FALSE)</f>
        <v>Included in base game</v>
      </c>
    </row>
    <row r="75" spans="1:12" x14ac:dyDescent="0.25">
      <c r="A75" s="5">
        <v>234</v>
      </c>
      <c r="B75" s="5">
        <v>70</v>
      </c>
      <c r="C75" s="5">
        <v>117</v>
      </c>
      <c r="D75" t="s">
        <v>156</v>
      </c>
      <c r="E75" s="3" t="str">
        <f t="array" ref="E75">IF(OR(EXACT(A75,'ESO Dungeon constants'!$D$3:$D$987)),"X","")</f>
        <v/>
      </c>
      <c r="F75" s="3" t="str">
        <f t="shared" si="4"/>
        <v/>
      </c>
      <c r="G75" s="3" t="str">
        <f t="shared" si="5"/>
        <v>Shadowfen</v>
      </c>
      <c r="H75" s="17">
        <f t="shared" si="6"/>
        <v>234</v>
      </c>
      <c r="I75" s="17">
        <f t="shared" si="7"/>
        <v>117</v>
      </c>
      <c r="J75">
        <v>0</v>
      </c>
      <c r="K75" s="3" t="str">
        <f>VLOOKUP(J75,'LibSets constants'!$A$4:$B$1012,2,FALSE)</f>
        <v>DLC_BASE_GAME</v>
      </c>
      <c r="L75" s="3" t="str">
        <f>VLOOKUP(J75,'LibSets constants'!$A$4:$C$1012,3,FALSE)</f>
        <v>Included in base game</v>
      </c>
    </row>
    <row r="76" spans="1:12" x14ac:dyDescent="0.25">
      <c r="A76" s="5">
        <v>235</v>
      </c>
      <c r="B76" s="5">
        <v>71</v>
      </c>
      <c r="C76" s="5">
        <v>117</v>
      </c>
      <c r="D76" t="s">
        <v>157</v>
      </c>
      <c r="E76" s="3" t="str">
        <f t="array" ref="E76">IF(OR(EXACT(A76,'ESO Dungeon constants'!$D$3:$D$987)),"X","")</f>
        <v/>
      </c>
      <c r="F76" s="3" t="str">
        <f t="shared" si="4"/>
        <v/>
      </c>
      <c r="G76" s="3" t="str">
        <f t="shared" si="5"/>
        <v>Shadowfen</v>
      </c>
      <c r="H76" s="17">
        <f t="shared" si="6"/>
        <v>235</v>
      </c>
      <c r="I76" s="17">
        <f t="shared" si="7"/>
        <v>117</v>
      </c>
      <c r="J76">
        <v>0</v>
      </c>
      <c r="K76" s="3" t="str">
        <f>VLOOKUP(J76,'LibSets constants'!$A$4:$B$1012,2,FALSE)</f>
        <v>DLC_BASE_GAME</v>
      </c>
      <c r="L76" s="3" t="str">
        <f>VLOOKUP(J76,'LibSets constants'!$A$4:$C$1012,3,FALSE)</f>
        <v>Included in base game</v>
      </c>
    </row>
    <row r="77" spans="1:12" x14ac:dyDescent="0.25">
      <c r="A77" s="5">
        <v>236</v>
      </c>
      <c r="B77" s="5">
        <v>72</v>
      </c>
      <c r="C77" s="5">
        <v>117</v>
      </c>
      <c r="D77" t="s">
        <v>158</v>
      </c>
      <c r="E77" s="3" t="str">
        <f t="array" ref="E77">IF(OR(EXACT(A77,'ESO Dungeon constants'!$D$3:$D$987)),"X","")</f>
        <v/>
      </c>
      <c r="F77" s="3" t="str">
        <f t="shared" si="4"/>
        <v/>
      </c>
      <c r="G77" s="3" t="str">
        <f t="shared" si="5"/>
        <v>Shadowfen</v>
      </c>
      <c r="H77" s="17">
        <f t="shared" si="6"/>
        <v>236</v>
      </c>
      <c r="I77" s="17">
        <f t="shared" si="7"/>
        <v>117</v>
      </c>
      <c r="J77">
        <v>0</v>
      </c>
      <c r="K77" s="3" t="str">
        <f>VLOOKUP(J77,'LibSets constants'!$A$4:$B$1012,2,FALSE)</f>
        <v>DLC_BASE_GAME</v>
      </c>
      <c r="L77" s="3" t="str">
        <f>VLOOKUP(J77,'LibSets constants'!$A$4:$C$1012,3,FALSE)</f>
        <v>Included in base game</v>
      </c>
    </row>
    <row r="78" spans="1:12" x14ac:dyDescent="0.25">
      <c r="A78" s="5">
        <v>237</v>
      </c>
      <c r="B78" s="5">
        <v>73</v>
      </c>
      <c r="C78" s="5">
        <v>104</v>
      </c>
      <c r="D78" t="s">
        <v>159</v>
      </c>
      <c r="E78" s="3" t="str">
        <f t="array" ref="E78">IF(OR(EXACT(A78,'ESO Dungeon constants'!$D$3:$D$987)),"X","")</f>
        <v/>
      </c>
      <c r="F78" s="3" t="str">
        <f t="shared" si="4"/>
        <v/>
      </c>
      <c r="G78" s="3" t="str">
        <f t="shared" si="5"/>
        <v>Alik'r Desert</v>
      </c>
      <c r="H78" s="17">
        <f t="shared" si="6"/>
        <v>237</v>
      </c>
      <c r="I78" s="17">
        <f t="shared" si="7"/>
        <v>104</v>
      </c>
      <c r="J78">
        <v>0</v>
      </c>
      <c r="K78" s="3" t="str">
        <f>VLOOKUP(J78,'LibSets constants'!$A$4:$B$1012,2,FALSE)</f>
        <v>DLC_BASE_GAME</v>
      </c>
      <c r="L78" s="3" t="str">
        <f>VLOOKUP(J78,'LibSets constants'!$A$4:$C$1012,3,FALSE)</f>
        <v>Included in base game</v>
      </c>
    </row>
    <row r="79" spans="1:12" x14ac:dyDescent="0.25">
      <c r="A79" s="5">
        <v>238</v>
      </c>
      <c r="B79" s="5">
        <v>74</v>
      </c>
      <c r="C79" s="5">
        <v>104</v>
      </c>
      <c r="D79" t="s">
        <v>160</v>
      </c>
      <c r="E79" s="3" t="str">
        <f t="array" ref="E79">IF(OR(EXACT(A79,'ESO Dungeon constants'!$D$3:$D$987)),"X","")</f>
        <v/>
      </c>
      <c r="F79" s="3" t="str">
        <f t="shared" si="4"/>
        <v/>
      </c>
      <c r="G79" s="3" t="str">
        <f t="shared" si="5"/>
        <v>Alik'r Desert</v>
      </c>
      <c r="H79" s="17">
        <f t="shared" si="6"/>
        <v>238</v>
      </c>
      <c r="I79" s="17">
        <f t="shared" si="7"/>
        <v>104</v>
      </c>
      <c r="J79">
        <v>0</v>
      </c>
      <c r="K79" s="3" t="str">
        <f>VLOOKUP(J79,'LibSets constants'!$A$4:$B$1012,2,FALSE)</f>
        <v>DLC_BASE_GAME</v>
      </c>
      <c r="L79" s="3" t="str">
        <f>VLOOKUP(J79,'LibSets constants'!$A$4:$C$1012,3,FALSE)</f>
        <v>Included in base game</v>
      </c>
    </row>
    <row r="80" spans="1:12" x14ac:dyDescent="0.25">
      <c r="A80" s="5">
        <v>239</v>
      </c>
      <c r="B80" s="5">
        <v>75</v>
      </c>
      <c r="C80" s="5">
        <v>104</v>
      </c>
      <c r="D80" t="s">
        <v>161</v>
      </c>
      <c r="E80" s="3" t="str">
        <f t="array" ref="E80">IF(OR(EXACT(A80,'ESO Dungeon constants'!$D$3:$D$987)),"X","")</f>
        <v/>
      </c>
      <c r="F80" s="3" t="str">
        <f t="shared" si="4"/>
        <v/>
      </c>
      <c r="G80" s="3" t="str">
        <f t="shared" si="5"/>
        <v>Alik'r Desert</v>
      </c>
      <c r="H80" s="17">
        <f t="shared" si="6"/>
        <v>239</v>
      </c>
      <c r="I80" s="17">
        <f t="shared" si="7"/>
        <v>104</v>
      </c>
      <c r="J80">
        <v>0</v>
      </c>
      <c r="K80" s="3" t="str">
        <f>VLOOKUP(J80,'LibSets constants'!$A$4:$B$1012,2,FALSE)</f>
        <v>DLC_BASE_GAME</v>
      </c>
      <c r="L80" s="3" t="str">
        <f>VLOOKUP(J80,'LibSets constants'!$A$4:$C$1012,3,FALSE)</f>
        <v>Included in base game</v>
      </c>
    </row>
    <row r="81" spans="1:12" x14ac:dyDescent="0.25">
      <c r="A81" s="5">
        <v>241</v>
      </c>
      <c r="B81" s="5">
        <v>76</v>
      </c>
      <c r="C81" s="5">
        <v>41</v>
      </c>
      <c r="D81" t="s">
        <v>162</v>
      </c>
      <c r="E81" s="3" t="str">
        <f t="array" ref="E81">IF(OR(EXACT(A81,'ESO Dungeon constants'!$D$3:$D$987)),"X","")</f>
        <v/>
      </c>
      <c r="F81" s="3" t="str">
        <f t="shared" si="4"/>
        <v/>
      </c>
      <c r="G81" s="3" t="str">
        <f t="shared" si="5"/>
        <v>Stonefalls</v>
      </c>
      <c r="H81" s="17">
        <f t="shared" si="6"/>
        <v>241</v>
      </c>
      <c r="I81" s="17">
        <f t="shared" si="7"/>
        <v>41</v>
      </c>
      <c r="J81">
        <v>0</v>
      </c>
      <c r="K81" s="3" t="str">
        <f>VLOOKUP(J81,'LibSets constants'!$A$4:$B$1012,2,FALSE)</f>
        <v>DLC_BASE_GAME</v>
      </c>
      <c r="L81" s="3" t="str">
        <f>VLOOKUP(J81,'LibSets constants'!$A$4:$C$1012,3,FALSE)</f>
        <v>Included in base game</v>
      </c>
    </row>
    <row r="82" spans="1:12" x14ac:dyDescent="0.25">
      <c r="A82" s="5">
        <v>242</v>
      </c>
      <c r="B82" s="5">
        <v>77</v>
      </c>
      <c r="C82" s="5">
        <v>41</v>
      </c>
      <c r="D82" t="s">
        <v>163</v>
      </c>
      <c r="E82" s="3" t="str">
        <f t="array" ref="E82">IF(OR(EXACT(A82,'ESO Dungeon constants'!$D$3:$D$987)),"X","")</f>
        <v/>
      </c>
      <c r="F82" s="3" t="str">
        <f t="shared" si="4"/>
        <v/>
      </c>
      <c r="G82" s="3" t="str">
        <f t="shared" si="5"/>
        <v>Stonefalls</v>
      </c>
      <c r="H82" s="17">
        <f t="shared" si="6"/>
        <v>242</v>
      </c>
      <c r="I82" s="17">
        <f t="shared" si="7"/>
        <v>41</v>
      </c>
      <c r="J82">
        <v>0</v>
      </c>
      <c r="K82" s="3" t="str">
        <f>VLOOKUP(J82,'LibSets constants'!$A$4:$B$1012,2,FALSE)</f>
        <v>DLC_BASE_GAME</v>
      </c>
      <c r="L82" s="3" t="str">
        <f>VLOOKUP(J82,'LibSets constants'!$A$4:$C$1012,3,FALSE)</f>
        <v>Included in base game</v>
      </c>
    </row>
    <row r="83" spans="1:12" x14ac:dyDescent="0.25">
      <c r="A83" s="5">
        <v>243</v>
      </c>
      <c r="B83" s="5">
        <v>78</v>
      </c>
      <c r="C83" s="5">
        <v>41</v>
      </c>
      <c r="D83" t="s">
        <v>164</v>
      </c>
      <c r="E83" s="3" t="str">
        <f t="array" ref="E83">IF(OR(EXACT(A83,'ESO Dungeon constants'!$D$3:$D$987)),"X","")</f>
        <v/>
      </c>
      <c r="F83" s="3" t="str">
        <f t="shared" si="4"/>
        <v/>
      </c>
      <c r="G83" s="3" t="str">
        <f t="shared" si="5"/>
        <v>Stonefalls</v>
      </c>
      <c r="H83" s="17">
        <f t="shared" si="6"/>
        <v>243</v>
      </c>
      <c r="I83" s="17">
        <f t="shared" si="7"/>
        <v>41</v>
      </c>
      <c r="J83">
        <v>0</v>
      </c>
      <c r="K83" s="3" t="str">
        <f>VLOOKUP(J83,'LibSets constants'!$A$4:$B$1012,2,FALSE)</f>
        <v>DLC_BASE_GAME</v>
      </c>
      <c r="L83" s="3" t="str">
        <f>VLOOKUP(J83,'LibSets constants'!$A$4:$C$1012,3,FALSE)</f>
        <v>Included in base game</v>
      </c>
    </row>
    <row r="84" spans="1:12" x14ac:dyDescent="0.25">
      <c r="A84" s="5">
        <v>245</v>
      </c>
      <c r="B84" s="5">
        <v>79</v>
      </c>
      <c r="C84" s="5">
        <v>41</v>
      </c>
      <c r="D84" t="s">
        <v>165</v>
      </c>
      <c r="E84" s="3" t="str">
        <f t="array" ref="E84">IF(OR(EXACT(A84,'ESO Dungeon constants'!$D$3:$D$987)),"X","")</f>
        <v/>
      </c>
      <c r="F84" s="3" t="str">
        <f t="shared" si="4"/>
        <v/>
      </c>
      <c r="G84" s="3" t="str">
        <f t="shared" si="5"/>
        <v>Stonefalls</v>
      </c>
      <c r="H84" s="17">
        <f t="shared" si="6"/>
        <v>245</v>
      </c>
      <c r="I84" s="17">
        <f t="shared" si="7"/>
        <v>41</v>
      </c>
      <c r="J84">
        <v>0</v>
      </c>
      <c r="K84" s="3" t="str">
        <f>VLOOKUP(J84,'LibSets constants'!$A$4:$B$1012,2,FALSE)</f>
        <v>DLC_BASE_GAME</v>
      </c>
      <c r="L84" s="3" t="str">
        <f>VLOOKUP(J84,'LibSets constants'!$A$4:$C$1012,3,FALSE)</f>
        <v>Included in base game</v>
      </c>
    </row>
    <row r="85" spans="1:12" x14ac:dyDescent="0.25">
      <c r="A85" s="5">
        <v>246</v>
      </c>
      <c r="B85" s="5">
        <v>80</v>
      </c>
      <c r="C85" s="5">
        <v>41</v>
      </c>
      <c r="D85" t="s">
        <v>166</v>
      </c>
      <c r="E85" s="3" t="str">
        <f t="array" ref="E85">IF(OR(EXACT(A85,'ESO Dungeon constants'!$D$3:$D$987)),"X","")</f>
        <v/>
      </c>
      <c r="F85" s="3" t="str">
        <f t="shared" si="4"/>
        <v/>
      </c>
      <c r="G85" s="3" t="str">
        <f t="shared" si="5"/>
        <v>Stonefalls</v>
      </c>
      <c r="H85" s="17">
        <f t="shared" si="6"/>
        <v>246</v>
      </c>
      <c r="I85" s="17">
        <f t="shared" si="7"/>
        <v>41</v>
      </c>
      <c r="J85">
        <v>0</v>
      </c>
      <c r="K85" s="3" t="str">
        <f>VLOOKUP(J85,'LibSets constants'!$A$4:$B$1012,2,FALSE)</f>
        <v>DLC_BASE_GAME</v>
      </c>
      <c r="L85" s="3" t="str">
        <f>VLOOKUP(J85,'LibSets constants'!$A$4:$C$1012,3,FALSE)</f>
        <v>Included in base game</v>
      </c>
    </row>
    <row r="86" spans="1:12" x14ac:dyDescent="0.25">
      <c r="A86" s="5">
        <v>247</v>
      </c>
      <c r="B86" s="5">
        <v>81</v>
      </c>
      <c r="C86" s="5">
        <v>41</v>
      </c>
      <c r="D86" t="s">
        <v>167</v>
      </c>
      <c r="E86" s="3" t="str">
        <f t="array" ref="E86">IF(OR(EXACT(A86,'ESO Dungeon constants'!$D$3:$D$987)),"X","")</f>
        <v/>
      </c>
      <c r="F86" s="3" t="str">
        <f t="shared" si="4"/>
        <v/>
      </c>
      <c r="G86" s="3" t="str">
        <f t="shared" si="5"/>
        <v>Stonefalls</v>
      </c>
      <c r="H86" s="17">
        <f t="shared" si="6"/>
        <v>247</v>
      </c>
      <c r="I86" s="17">
        <f t="shared" si="7"/>
        <v>41</v>
      </c>
      <c r="J86">
        <v>0</v>
      </c>
      <c r="K86" s="3" t="str">
        <f>VLOOKUP(J86,'LibSets constants'!$A$4:$B$1012,2,FALSE)</f>
        <v>DLC_BASE_GAME</v>
      </c>
      <c r="L86" s="3" t="str">
        <f>VLOOKUP(J86,'LibSets constants'!$A$4:$C$1012,3,FALSE)</f>
        <v>Included in base game</v>
      </c>
    </row>
    <row r="87" spans="1:12" x14ac:dyDescent="0.25">
      <c r="A87" s="5">
        <v>248</v>
      </c>
      <c r="B87" s="5">
        <v>82</v>
      </c>
      <c r="C87" s="5">
        <v>57</v>
      </c>
      <c r="D87" t="s">
        <v>168</v>
      </c>
      <c r="E87" s="3" t="str">
        <f t="array" ref="E87">IF(OR(EXACT(A87,'ESO Dungeon constants'!$D$3:$D$987)),"X","")</f>
        <v/>
      </c>
      <c r="F87" s="3" t="str">
        <f t="shared" si="4"/>
        <v/>
      </c>
      <c r="G87" s="3" t="str">
        <f t="shared" si="5"/>
        <v>Deshaan</v>
      </c>
      <c r="H87" s="17">
        <f t="shared" si="6"/>
        <v>248</v>
      </c>
      <c r="I87" s="17">
        <f t="shared" si="7"/>
        <v>57</v>
      </c>
      <c r="J87">
        <v>0</v>
      </c>
      <c r="K87" s="3" t="str">
        <f>VLOOKUP(J87,'LibSets constants'!$A$4:$B$1012,2,FALSE)</f>
        <v>DLC_BASE_GAME</v>
      </c>
      <c r="L87" s="3" t="str">
        <f>VLOOKUP(J87,'LibSets constants'!$A$4:$C$1012,3,FALSE)</f>
        <v>Included in base game</v>
      </c>
    </row>
    <row r="88" spans="1:12" x14ac:dyDescent="0.25">
      <c r="A88" s="5">
        <v>249</v>
      </c>
      <c r="B88" s="5">
        <v>83</v>
      </c>
      <c r="C88" s="5">
        <v>57</v>
      </c>
      <c r="D88" t="s">
        <v>169</v>
      </c>
      <c r="E88" s="3" t="str">
        <f t="array" ref="E88">IF(OR(EXACT(A88,'ESO Dungeon constants'!$D$3:$D$987)),"X","")</f>
        <v/>
      </c>
      <c r="F88" s="3" t="str">
        <f t="shared" si="4"/>
        <v/>
      </c>
      <c r="G88" s="3" t="str">
        <f t="shared" si="5"/>
        <v>Deshaan</v>
      </c>
      <c r="H88" s="17">
        <f t="shared" si="6"/>
        <v>249</v>
      </c>
      <c r="I88" s="17">
        <f t="shared" si="7"/>
        <v>57</v>
      </c>
      <c r="J88">
        <v>0</v>
      </c>
      <c r="K88" s="3" t="str">
        <f>VLOOKUP(J88,'LibSets constants'!$A$4:$B$1012,2,FALSE)</f>
        <v>DLC_BASE_GAME</v>
      </c>
      <c r="L88" s="3" t="str">
        <f>VLOOKUP(J88,'LibSets constants'!$A$4:$C$1012,3,FALSE)</f>
        <v>Included in base game</v>
      </c>
    </row>
    <row r="89" spans="1:12" x14ac:dyDescent="0.25">
      <c r="A89" s="5">
        <v>250</v>
      </c>
      <c r="B89" s="5">
        <v>84</v>
      </c>
      <c r="C89" s="5">
        <v>57</v>
      </c>
      <c r="D89" t="s">
        <v>170</v>
      </c>
      <c r="E89" s="3" t="str">
        <f t="array" ref="E89">IF(OR(EXACT(A89,'ESO Dungeon constants'!$D$3:$D$987)),"X","")</f>
        <v/>
      </c>
      <c r="F89" s="3" t="str">
        <f t="shared" si="4"/>
        <v/>
      </c>
      <c r="G89" s="3" t="str">
        <f t="shared" si="5"/>
        <v>Deshaan</v>
      </c>
      <c r="H89" s="17">
        <f t="shared" si="6"/>
        <v>250</v>
      </c>
      <c r="I89" s="17">
        <f t="shared" si="7"/>
        <v>57</v>
      </c>
      <c r="J89">
        <v>0</v>
      </c>
      <c r="K89" s="3" t="str">
        <f>VLOOKUP(J89,'LibSets constants'!$A$4:$B$1012,2,FALSE)</f>
        <v>DLC_BASE_GAME</v>
      </c>
      <c r="L89" s="3" t="str">
        <f>VLOOKUP(J89,'LibSets constants'!$A$4:$C$1012,3,FALSE)</f>
        <v>Included in base game</v>
      </c>
    </row>
    <row r="90" spans="1:12" x14ac:dyDescent="0.25">
      <c r="A90" s="5">
        <v>252</v>
      </c>
      <c r="B90" s="5">
        <v>85</v>
      </c>
      <c r="C90" s="5">
        <v>57</v>
      </c>
      <c r="D90" t="s">
        <v>171</v>
      </c>
      <c r="E90" s="3" t="str">
        <f t="array" ref="E90">IF(OR(EXACT(A90,'ESO Dungeon constants'!$D$3:$D$987)),"X","")</f>
        <v/>
      </c>
      <c r="F90" s="3" t="str">
        <f t="shared" si="4"/>
        <v/>
      </c>
      <c r="G90" s="3" t="str">
        <f t="shared" si="5"/>
        <v>Deshaan</v>
      </c>
      <c r="H90" s="17">
        <f t="shared" si="6"/>
        <v>252</v>
      </c>
      <c r="I90" s="17">
        <f t="shared" si="7"/>
        <v>57</v>
      </c>
      <c r="J90">
        <v>0</v>
      </c>
      <c r="K90" s="3" t="str">
        <f>VLOOKUP(J90,'LibSets constants'!$A$4:$B$1012,2,FALSE)</f>
        <v>DLC_BASE_GAME</v>
      </c>
      <c r="L90" s="3" t="str">
        <f>VLOOKUP(J90,'LibSets constants'!$A$4:$C$1012,3,FALSE)</f>
        <v>Included in base game</v>
      </c>
    </row>
    <row r="91" spans="1:12" x14ac:dyDescent="0.25">
      <c r="A91" s="5">
        <v>253</v>
      </c>
      <c r="B91" s="5">
        <v>86</v>
      </c>
      <c r="C91" s="5">
        <v>57</v>
      </c>
      <c r="D91" t="s">
        <v>172</v>
      </c>
      <c r="E91" s="3" t="str">
        <f t="array" ref="E91">IF(OR(EXACT(A91,'ESO Dungeon constants'!$D$3:$D$987)),"X","")</f>
        <v/>
      </c>
      <c r="F91" s="3" t="str">
        <f t="shared" si="4"/>
        <v/>
      </c>
      <c r="G91" s="3" t="str">
        <f t="shared" si="5"/>
        <v>Deshaan</v>
      </c>
      <c r="H91" s="17">
        <f t="shared" si="6"/>
        <v>253</v>
      </c>
      <c r="I91" s="17">
        <f t="shared" si="7"/>
        <v>57</v>
      </c>
      <c r="J91">
        <v>0</v>
      </c>
      <c r="K91" s="3" t="str">
        <f>VLOOKUP(J91,'LibSets constants'!$A$4:$B$1012,2,FALSE)</f>
        <v>DLC_BASE_GAME</v>
      </c>
      <c r="L91" s="3" t="str">
        <f>VLOOKUP(J91,'LibSets constants'!$A$4:$C$1012,3,FALSE)</f>
        <v>Included in base game</v>
      </c>
    </row>
    <row r="92" spans="1:12" x14ac:dyDescent="0.25">
      <c r="A92" s="5">
        <v>254</v>
      </c>
      <c r="B92" s="5">
        <v>87</v>
      </c>
      <c r="C92" s="5">
        <v>57</v>
      </c>
      <c r="D92" t="s">
        <v>173</v>
      </c>
      <c r="E92" s="3" t="str">
        <f t="array" ref="E92">IF(OR(EXACT(A92,'ESO Dungeon constants'!$D$3:$D$987)),"X","")</f>
        <v/>
      </c>
      <c r="F92" s="3" t="str">
        <f t="shared" si="4"/>
        <v/>
      </c>
      <c r="G92" s="3" t="str">
        <f t="shared" si="5"/>
        <v>Deshaan</v>
      </c>
      <c r="H92" s="17">
        <f t="shared" si="6"/>
        <v>254</v>
      </c>
      <c r="I92" s="17">
        <f t="shared" si="7"/>
        <v>57</v>
      </c>
      <c r="J92">
        <v>0</v>
      </c>
      <c r="K92" s="3" t="str">
        <f>VLOOKUP(J92,'LibSets constants'!$A$4:$B$1012,2,FALSE)</f>
        <v>DLC_BASE_GAME</v>
      </c>
      <c r="L92" s="3" t="str">
        <f>VLOOKUP(J92,'LibSets constants'!$A$4:$C$1012,3,FALSE)</f>
        <v>Included in base game</v>
      </c>
    </row>
    <row r="93" spans="1:12" x14ac:dyDescent="0.25">
      <c r="A93" s="5">
        <v>255</v>
      </c>
      <c r="B93" s="5">
        <v>88</v>
      </c>
      <c r="C93" s="5">
        <v>57</v>
      </c>
      <c r="D93" t="s">
        <v>174</v>
      </c>
      <c r="E93" s="3" t="str">
        <f t="array" ref="E93">IF(OR(EXACT(A93,'ESO Dungeon constants'!$D$3:$D$987)),"X","")</f>
        <v/>
      </c>
      <c r="F93" s="3" t="str">
        <f t="shared" si="4"/>
        <v/>
      </c>
      <c r="G93" s="3" t="str">
        <f t="shared" si="5"/>
        <v>Deshaan</v>
      </c>
      <c r="H93" s="17">
        <f t="shared" si="6"/>
        <v>255</v>
      </c>
      <c r="I93" s="17">
        <f t="shared" si="7"/>
        <v>57</v>
      </c>
      <c r="J93">
        <v>0</v>
      </c>
      <c r="K93" s="3" t="str">
        <f>VLOOKUP(J93,'LibSets constants'!$A$4:$B$1012,2,FALSE)</f>
        <v>DLC_BASE_GAME</v>
      </c>
      <c r="L93" s="3" t="str">
        <f>VLOOKUP(J93,'LibSets constants'!$A$4:$C$1012,3,FALSE)</f>
        <v>Included in base game</v>
      </c>
    </row>
    <row r="94" spans="1:12" x14ac:dyDescent="0.25">
      <c r="A94" s="5">
        <v>256</v>
      </c>
      <c r="B94" s="5">
        <v>89</v>
      </c>
      <c r="C94" s="5">
        <v>3</v>
      </c>
      <c r="D94" t="s">
        <v>175</v>
      </c>
      <c r="E94" s="3" t="str">
        <f t="array" ref="E94">IF(OR(EXACT(A94,'ESO Dungeon constants'!$D$3:$D$987)),"X","")</f>
        <v/>
      </c>
      <c r="F94" s="3" t="str">
        <f t="shared" si="4"/>
        <v/>
      </c>
      <c r="G94" s="3" t="str">
        <f t="shared" si="5"/>
        <v>Glenumbra</v>
      </c>
      <c r="H94" s="17">
        <f t="shared" si="6"/>
        <v>256</v>
      </c>
      <c r="I94" s="17">
        <f t="shared" si="7"/>
        <v>3</v>
      </c>
      <c r="J94">
        <v>0</v>
      </c>
      <c r="K94" s="3" t="str">
        <f>VLOOKUP(J94,'LibSets constants'!$A$4:$B$1012,2,FALSE)</f>
        <v>DLC_BASE_GAME</v>
      </c>
      <c r="L94" s="3" t="str">
        <f>VLOOKUP(J94,'LibSets constants'!$A$4:$C$1012,3,FALSE)</f>
        <v>Included in base game</v>
      </c>
    </row>
    <row r="95" spans="1:12" x14ac:dyDescent="0.25">
      <c r="A95" s="5">
        <v>257</v>
      </c>
      <c r="B95" s="5">
        <v>90</v>
      </c>
      <c r="C95" s="5">
        <v>103</v>
      </c>
      <c r="D95" t="s">
        <v>176</v>
      </c>
      <c r="E95" s="3" t="str">
        <f t="array" ref="E95">IF(OR(EXACT(A95,'ESO Dungeon constants'!$D$3:$D$987)),"X","")</f>
        <v/>
      </c>
      <c r="F95" s="3" t="str">
        <f t="shared" si="4"/>
        <v/>
      </c>
      <c r="G95" s="3" t="str">
        <f t="shared" si="5"/>
        <v>The Rift</v>
      </c>
      <c r="H95" s="17">
        <f t="shared" si="6"/>
        <v>257</v>
      </c>
      <c r="I95" s="17">
        <f t="shared" si="7"/>
        <v>103</v>
      </c>
      <c r="J95">
        <v>0</v>
      </c>
      <c r="K95" s="3" t="str">
        <f>VLOOKUP(J95,'LibSets constants'!$A$4:$B$1012,2,FALSE)</f>
        <v>DLC_BASE_GAME</v>
      </c>
      <c r="L95" s="3" t="str">
        <f>VLOOKUP(J95,'LibSets constants'!$A$4:$C$1012,3,FALSE)</f>
        <v>Included in base game</v>
      </c>
    </row>
    <row r="96" spans="1:12" x14ac:dyDescent="0.25">
      <c r="A96" s="5">
        <v>258</v>
      </c>
      <c r="B96" s="5">
        <v>91</v>
      </c>
      <c r="C96" s="5">
        <v>103</v>
      </c>
      <c r="D96" t="s">
        <v>177</v>
      </c>
      <c r="E96" s="3" t="str">
        <f t="array" ref="E96">IF(OR(EXACT(A96,'ESO Dungeon constants'!$D$3:$D$987)),"X","")</f>
        <v/>
      </c>
      <c r="F96" s="3" t="str">
        <f t="shared" si="4"/>
        <v/>
      </c>
      <c r="G96" s="3" t="str">
        <f t="shared" si="5"/>
        <v>The Rift</v>
      </c>
      <c r="H96" s="17">
        <f t="shared" si="6"/>
        <v>258</v>
      </c>
      <c r="I96" s="17">
        <f t="shared" si="7"/>
        <v>103</v>
      </c>
      <c r="J96">
        <v>0</v>
      </c>
      <c r="K96" s="3" t="str">
        <f>VLOOKUP(J96,'LibSets constants'!$A$4:$B$1012,2,FALSE)</f>
        <v>DLC_BASE_GAME</v>
      </c>
      <c r="L96" s="3" t="str">
        <f>VLOOKUP(J96,'LibSets constants'!$A$4:$C$1012,3,FALSE)</f>
        <v>Included in base game</v>
      </c>
    </row>
    <row r="97" spans="1:12" x14ac:dyDescent="0.25">
      <c r="A97" s="5">
        <v>259</v>
      </c>
      <c r="B97" s="5">
        <v>92</v>
      </c>
      <c r="C97" s="5">
        <v>103</v>
      </c>
      <c r="D97" t="s">
        <v>178</v>
      </c>
      <c r="E97" s="3" t="str">
        <f t="array" ref="E97">IF(OR(EXACT(A97,'ESO Dungeon constants'!$D$3:$D$987)),"X","")</f>
        <v/>
      </c>
      <c r="F97" s="3" t="str">
        <f t="shared" si="4"/>
        <v/>
      </c>
      <c r="G97" s="3" t="str">
        <f t="shared" si="5"/>
        <v>The Rift</v>
      </c>
      <c r="H97" s="17">
        <f t="shared" si="6"/>
        <v>259</v>
      </c>
      <c r="I97" s="17">
        <f t="shared" si="7"/>
        <v>103</v>
      </c>
      <c r="J97">
        <v>0</v>
      </c>
      <c r="K97" s="3" t="str">
        <f>VLOOKUP(J97,'LibSets constants'!$A$4:$B$1012,2,FALSE)</f>
        <v>DLC_BASE_GAME</v>
      </c>
      <c r="L97" s="3" t="str">
        <f>VLOOKUP(J97,'LibSets constants'!$A$4:$C$1012,3,FALSE)</f>
        <v>Included in base game</v>
      </c>
    </row>
    <row r="98" spans="1:12" x14ac:dyDescent="0.25">
      <c r="A98" s="5">
        <v>260</v>
      </c>
      <c r="B98" s="5">
        <v>93</v>
      </c>
      <c r="C98" s="5">
        <v>101</v>
      </c>
      <c r="D98" t="s">
        <v>179</v>
      </c>
      <c r="E98" s="3" t="str">
        <f t="array" ref="E98">IF(OR(EXACT(A98,'ESO Dungeon constants'!$D$3:$D$987)),"X","")</f>
        <v/>
      </c>
      <c r="F98" s="3" t="str">
        <f t="shared" si="4"/>
        <v/>
      </c>
      <c r="G98" s="3" t="str">
        <f t="shared" si="5"/>
        <v>Eastmarch</v>
      </c>
      <c r="H98" s="17">
        <f t="shared" si="6"/>
        <v>260</v>
      </c>
      <c r="I98" s="17">
        <f t="shared" si="7"/>
        <v>101</v>
      </c>
      <c r="J98">
        <v>0</v>
      </c>
      <c r="K98" s="3" t="str">
        <f>VLOOKUP(J98,'LibSets constants'!$A$4:$B$1012,2,FALSE)</f>
        <v>DLC_BASE_GAME</v>
      </c>
      <c r="L98" s="3" t="str">
        <f>VLOOKUP(J98,'LibSets constants'!$A$4:$C$1012,3,FALSE)</f>
        <v>Included in base game</v>
      </c>
    </row>
    <row r="99" spans="1:12" x14ac:dyDescent="0.25">
      <c r="A99" s="5">
        <v>261</v>
      </c>
      <c r="B99" s="5">
        <v>94</v>
      </c>
      <c r="C99" s="5">
        <v>101</v>
      </c>
      <c r="D99" t="s">
        <v>180</v>
      </c>
      <c r="E99" s="3" t="str">
        <f t="array" ref="E99">IF(OR(EXACT(A99,'ESO Dungeon constants'!$D$3:$D$987)),"X","")</f>
        <v/>
      </c>
      <c r="F99" s="3" t="str">
        <f t="shared" si="4"/>
        <v/>
      </c>
      <c r="G99" s="3" t="str">
        <f t="shared" si="5"/>
        <v>Eastmarch</v>
      </c>
      <c r="H99" s="17">
        <f t="shared" si="6"/>
        <v>261</v>
      </c>
      <c r="I99" s="17">
        <f t="shared" si="7"/>
        <v>101</v>
      </c>
      <c r="J99">
        <v>0</v>
      </c>
      <c r="K99" s="3" t="str">
        <f>VLOOKUP(J99,'LibSets constants'!$A$4:$B$1012,2,FALSE)</f>
        <v>DLC_BASE_GAME</v>
      </c>
      <c r="L99" s="3" t="str">
        <f>VLOOKUP(J99,'LibSets constants'!$A$4:$C$1012,3,FALSE)</f>
        <v>Included in base game</v>
      </c>
    </row>
    <row r="100" spans="1:12" x14ac:dyDescent="0.25">
      <c r="A100" s="5">
        <v>262</v>
      </c>
      <c r="B100" s="5">
        <v>95</v>
      </c>
      <c r="C100" s="5">
        <v>101</v>
      </c>
      <c r="D100" t="s">
        <v>181</v>
      </c>
      <c r="E100" s="3" t="str">
        <f t="array" ref="E100">IF(OR(EXACT(A100,'ESO Dungeon constants'!$D$3:$D$987)),"X","")</f>
        <v/>
      </c>
      <c r="F100" s="3" t="str">
        <f t="shared" si="4"/>
        <v/>
      </c>
      <c r="G100" s="3" t="str">
        <f t="shared" si="5"/>
        <v>Eastmarch</v>
      </c>
      <c r="H100" s="17">
        <f t="shared" si="6"/>
        <v>262</v>
      </c>
      <c r="I100" s="17">
        <f t="shared" si="7"/>
        <v>101</v>
      </c>
      <c r="J100">
        <v>0</v>
      </c>
      <c r="K100" s="3" t="str">
        <f>VLOOKUP(J100,'LibSets constants'!$A$4:$B$1012,2,FALSE)</f>
        <v>DLC_BASE_GAME</v>
      </c>
      <c r="L100" s="3" t="str">
        <f>VLOOKUP(J100,'LibSets constants'!$A$4:$C$1012,3,FALSE)</f>
        <v>Included in base game</v>
      </c>
    </row>
    <row r="101" spans="1:12" x14ac:dyDescent="0.25">
      <c r="A101" s="5">
        <v>263</v>
      </c>
      <c r="B101" s="5">
        <v>96</v>
      </c>
      <c r="C101" s="5">
        <v>101</v>
      </c>
      <c r="D101" t="s">
        <v>182</v>
      </c>
      <c r="E101" s="3" t="str">
        <f t="array" ref="E101">IF(OR(EXACT(A101,'ESO Dungeon constants'!$D$3:$D$987)),"X","")</f>
        <v/>
      </c>
      <c r="F101" s="3" t="str">
        <f t="shared" si="4"/>
        <v/>
      </c>
      <c r="G101" s="3" t="str">
        <f t="shared" si="5"/>
        <v>Eastmarch</v>
      </c>
      <c r="H101" s="17">
        <f t="shared" si="6"/>
        <v>263</v>
      </c>
      <c r="I101" s="17">
        <f t="shared" si="7"/>
        <v>101</v>
      </c>
      <c r="J101">
        <v>0</v>
      </c>
      <c r="K101" s="3" t="str">
        <f>VLOOKUP(J101,'LibSets constants'!$A$4:$B$1012,2,FALSE)</f>
        <v>DLC_BASE_GAME</v>
      </c>
      <c r="L101" s="3" t="str">
        <f>VLOOKUP(J101,'LibSets constants'!$A$4:$C$1012,3,FALSE)</f>
        <v>Included in base game</v>
      </c>
    </row>
    <row r="102" spans="1:12" x14ac:dyDescent="0.25">
      <c r="A102" s="5">
        <v>264</v>
      </c>
      <c r="B102" s="5">
        <v>97</v>
      </c>
      <c r="C102" s="5">
        <v>101</v>
      </c>
      <c r="D102" t="s">
        <v>183</v>
      </c>
      <c r="E102" s="3" t="str">
        <f t="array" ref="E102">IF(OR(EXACT(A102,'ESO Dungeon constants'!$D$3:$D$987)),"X","")</f>
        <v/>
      </c>
      <c r="F102" s="3" t="str">
        <f t="shared" si="4"/>
        <v/>
      </c>
      <c r="G102" s="3" t="str">
        <f t="shared" si="5"/>
        <v>Eastmarch</v>
      </c>
      <c r="H102" s="17">
        <f t="shared" si="6"/>
        <v>264</v>
      </c>
      <c r="I102" s="17">
        <f t="shared" si="7"/>
        <v>101</v>
      </c>
      <c r="J102">
        <v>0</v>
      </c>
      <c r="K102" s="3" t="str">
        <f>VLOOKUP(J102,'LibSets constants'!$A$4:$B$1012,2,FALSE)</f>
        <v>DLC_BASE_GAME</v>
      </c>
      <c r="L102" s="3" t="str">
        <f>VLOOKUP(J102,'LibSets constants'!$A$4:$C$1012,3,FALSE)</f>
        <v>Included in base game</v>
      </c>
    </row>
    <row r="103" spans="1:12" x14ac:dyDescent="0.25">
      <c r="A103" s="5">
        <v>265</v>
      </c>
      <c r="B103" s="5">
        <v>98</v>
      </c>
      <c r="C103" s="5">
        <v>101</v>
      </c>
      <c r="D103" t="s">
        <v>184</v>
      </c>
      <c r="E103" s="3" t="str">
        <f t="array" ref="E103">IF(OR(EXACT(A103,'ESO Dungeon constants'!$D$3:$D$987)),"X","")</f>
        <v/>
      </c>
      <c r="F103" s="3" t="str">
        <f t="shared" si="4"/>
        <v/>
      </c>
      <c r="G103" s="3" t="str">
        <f t="shared" si="5"/>
        <v>Eastmarch</v>
      </c>
      <c r="H103" s="17">
        <f t="shared" si="6"/>
        <v>265</v>
      </c>
      <c r="I103" s="17">
        <f t="shared" si="7"/>
        <v>101</v>
      </c>
      <c r="J103">
        <v>0</v>
      </c>
      <c r="K103" s="3" t="str">
        <f>VLOOKUP(J103,'LibSets constants'!$A$4:$B$1012,2,FALSE)</f>
        <v>DLC_BASE_GAME</v>
      </c>
      <c r="L103" s="3" t="str">
        <f>VLOOKUP(J103,'LibSets constants'!$A$4:$C$1012,3,FALSE)</f>
        <v>Included in base game</v>
      </c>
    </row>
    <row r="104" spans="1:12" x14ac:dyDescent="0.25">
      <c r="A104" s="5">
        <v>266</v>
      </c>
      <c r="B104" s="5">
        <v>99</v>
      </c>
      <c r="C104" s="5">
        <v>101</v>
      </c>
      <c r="D104" t="s">
        <v>185</v>
      </c>
      <c r="E104" s="3" t="str">
        <f t="array" ref="E104">IF(OR(EXACT(A104,'ESO Dungeon constants'!$D$3:$D$987)),"X","")</f>
        <v/>
      </c>
      <c r="F104" s="3" t="str">
        <f t="shared" si="4"/>
        <v/>
      </c>
      <c r="G104" s="3" t="str">
        <f t="shared" si="5"/>
        <v>Eastmarch</v>
      </c>
      <c r="H104" s="17">
        <f t="shared" si="6"/>
        <v>266</v>
      </c>
      <c r="I104" s="17">
        <f t="shared" si="7"/>
        <v>101</v>
      </c>
      <c r="J104">
        <v>0</v>
      </c>
      <c r="K104" s="3" t="str">
        <f>VLOOKUP(J104,'LibSets constants'!$A$4:$B$1012,2,FALSE)</f>
        <v>DLC_BASE_GAME</v>
      </c>
      <c r="L104" s="3" t="str">
        <f>VLOOKUP(J104,'LibSets constants'!$A$4:$C$1012,3,FALSE)</f>
        <v>Included in base game</v>
      </c>
    </row>
    <row r="105" spans="1:12" x14ac:dyDescent="0.25">
      <c r="A105" s="5">
        <v>267</v>
      </c>
      <c r="B105" s="5">
        <v>100</v>
      </c>
      <c r="C105" s="5">
        <v>267</v>
      </c>
      <c r="D105" t="s">
        <v>186</v>
      </c>
      <c r="E105" s="3" t="str">
        <f t="array" ref="E105">IF(OR(EXACT(A105,'ESO Dungeon constants'!$D$3:$D$987)),"X","")</f>
        <v/>
      </c>
      <c r="F105" s="3" t="str">
        <f t="shared" si="4"/>
        <v>X</v>
      </c>
      <c r="G105" s="3" t="str">
        <f t="shared" si="5"/>
        <v/>
      </c>
      <c r="H105" s="17">
        <f t="shared" si="6"/>
        <v>267</v>
      </c>
      <c r="I105" s="17">
        <f t="shared" si="7"/>
        <v>267</v>
      </c>
      <c r="J105">
        <v>0</v>
      </c>
      <c r="K105" s="3" t="str">
        <f>VLOOKUP(J105,'LibSets constants'!$A$4:$B$1012,2,FALSE)</f>
        <v>DLC_BASE_GAME</v>
      </c>
      <c r="L105" s="3" t="str">
        <f>VLOOKUP(J105,'LibSets constants'!$A$4:$C$1012,3,FALSE)</f>
        <v>Included in base game</v>
      </c>
    </row>
    <row r="106" spans="1:12" x14ac:dyDescent="0.25">
      <c r="A106" s="5">
        <v>268</v>
      </c>
      <c r="B106" s="5">
        <v>101</v>
      </c>
      <c r="C106" s="5">
        <v>58</v>
      </c>
      <c r="D106" t="s">
        <v>187</v>
      </c>
      <c r="E106" s="3" t="str">
        <f t="array" ref="E106">IF(OR(EXACT(A106,'ESO Dungeon constants'!$D$3:$D$987)),"X","")</f>
        <v/>
      </c>
      <c r="F106" s="3" t="str">
        <f t="shared" si="4"/>
        <v/>
      </c>
      <c r="G106" s="3" t="str">
        <f t="shared" si="5"/>
        <v>Malabal Tor</v>
      </c>
      <c r="H106" s="17">
        <f t="shared" si="6"/>
        <v>268</v>
      </c>
      <c r="I106" s="17">
        <f t="shared" si="7"/>
        <v>58</v>
      </c>
      <c r="J106">
        <v>0</v>
      </c>
      <c r="K106" s="3" t="str">
        <f>VLOOKUP(J106,'LibSets constants'!$A$4:$B$1012,2,FALSE)</f>
        <v>DLC_BASE_GAME</v>
      </c>
      <c r="L106" s="3" t="str">
        <f>VLOOKUP(J106,'LibSets constants'!$A$4:$C$1012,3,FALSE)</f>
        <v>Included in base game</v>
      </c>
    </row>
    <row r="107" spans="1:12" x14ac:dyDescent="0.25">
      <c r="A107" s="5">
        <v>269</v>
      </c>
      <c r="B107" s="5">
        <v>102</v>
      </c>
      <c r="C107" s="5">
        <v>58</v>
      </c>
      <c r="D107" t="s">
        <v>188</v>
      </c>
      <c r="E107" s="3" t="str">
        <f t="array" ref="E107">IF(OR(EXACT(A107,'ESO Dungeon constants'!$D$3:$D$987)),"X","")</f>
        <v/>
      </c>
      <c r="F107" s="3" t="str">
        <f t="shared" si="4"/>
        <v/>
      </c>
      <c r="G107" s="3" t="str">
        <f t="shared" si="5"/>
        <v>Malabal Tor</v>
      </c>
      <c r="H107" s="17">
        <f t="shared" si="6"/>
        <v>269</v>
      </c>
      <c r="I107" s="17">
        <f t="shared" si="7"/>
        <v>58</v>
      </c>
      <c r="J107">
        <v>0</v>
      </c>
      <c r="K107" s="3" t="str">
        <f>VLOOKUP(J107,'LibSets constants'!$A$4:$B$1012,2,FALSE)</f>
        <v>DLC_BASE_GAME</v>
      </c>
      <c r="L107" s="3" t="str">
        <f>VLOOKUP(J107,'LibSets constants'!$A$4:$C$1012,3,FALSE)</f>
        <v>Included in base game</v>
      </c>
    </row>
    <row r="108" spans="1:12" x14ac:dyDescent="0.25">
      <c r="A108" s="5">
        <v>270</v>
      </c>
      <c r="B108" s="5">
        <v>103</v>
      </c>
      <c r="C108" s="5">
        <v>117</v>
      </c>
      <c r="D108" t="s">
        <v>189</v>
      </c>
      <c r="E108" s="3" t="str">
        <f t="array" ref="E108">IF(OR(EXACT(A108,'ESO Dungeon constants'!$D$3:$D$987)),"X","")</f>
        <v/>
      </c>
      <c r="F108" s="3" t="str">
        <f t="shared" si="4"/>
        <v/>
      </c>
      <c r="G108" s="3" t="str">
        <f t="shared" si="5"/>
        <v>Shadowfen</v>
      </c>
      <c r="H108" s="17">
        <f t="shared" si="6"/>
        <v>270</v>
      </c>
      <c r="I108" s="17">
        <f t="shared" si="7"/>
        <v>117</v>
      </c>
      <c r="J108">
        <v>0</v>
      </c>
      <c r="K108" s="3" t="str">
        <f>VLOOKUP(J108,'LibSets constants'!$A$4:$B$1012,2,FALSE)</f>
        <v>DLC_BASE_GAME</v>
      </c>
      <c r="L108" s="3" t="str">
        <f>VLOOKUP(J108,'LibSets constants'!$A$4:$C$1012,3,FALSE)</f>
        <v>Included in base game</v>
      </c>
    </row>
    <row r="109" spans="1:12" x14ac:dyDescent="0.25">
      <c r="A109" s="5">
        <v>271</v>
      </c>
      <c r="B109" s="5">
        <v>104</v>
      </c>
      <c r="C109" s="5">
        <v>117</v>
      </c>
      <c r="D109" t="s">
        <v>190</v>
      </c>
      <c r="E109" s="3" t="str">
        <f t="array" ref="E109">IF(OR(EXACT(A109,'ESO Dungeon constants'!$D$3:$D$987)),"X","")</f>
        <v/>
      </c>
      <c r="F109" s="3" t="str">
        <f t="shared" si="4"/>
        <v/>
      </c>
      <c r="G109" s="3" t="str">
        <f t="shared" si="5"/>
        <v>Shadowfen</v>
      </c>
      <c r="H109" s="17">
        <f t="shared" si="6"/>
        <v>271</v>
      </c>
      <c r="I109" s="17">
        <f t="shared" si="7"/>
        <v>117</v>
      </c>
      <c r="J109">
        <v>0</v>
      </c>
      <c r="K109" s="3" t="str">
        <f>VLOOKUP(J109,'LibSets constants'!$A$4:$B$1012,2,FALSE)</f>
        <v>DLC_BASE_GAME</v>
      </c>
      <c r="L109" s="3" t="str">
        <f>VLOOKUP(J109,'LibSets constants'!$A$4:$C$1012,3,FALSE)</f>
        <v>Included in base game</v>
      </c>
    </row>
    <row r="110" spans="1:12" x14ac:dyDescent="0.25">
      <c r="A110" s="5">
        <v>272</v>
      </c>
      <c r="B110" s="5">
        <v>105</v>
      </c>
      <c r="C110" s="5">
        <v>117</v>
      </c>
      <c r="D110" t="s">
        <v>191</v>
      </c>
      <c r="E110" s="3" t="str">
        <f t="array" ref="E110">IF(OR(EXACT(A110,'ESO Dungeon constants'!$D$3:$D$987)),"X","")</f>
        <v/>
      </c>
      <c r="F110" s="3" t="str">
        <f t="shared" si="4"/>
        <v/>
      </c>
      <c r="G110" s="3" t="str">
        <f t="shared" si="5"/>
        <v>Shadowfen</v>
      </c>
      <c r="H110" s="17">
        <f t="shared" si="6"/>
        <v>272</v>
      </c>
      <c r="I110" s="17">
        <f t="shared" si="7"/>
        <v>117</v>
      </c>
      <c r="J110">
        <v>0</v>
      </c>
      <c r="K110" s="3" t="str">
        <f>VLOOKUP(J110,'LibSets constants'!$A$4:$B$1012,2,FALSE)</f>
        <v>DLC_BASE_GAME</v>
      </c>
      <c r="L110" s="3" t="str">
        <f>VLOOKUP(J110,'LibSets constants'!$A$4:$C$1012,3,FALSE)</f>
        <v>Included in base game</v>
      </c>
    </row>
    <row r="111" spans="1:12" x14ac:dyDescent="0.25">
      <c r="A111" s="5">
        <v>273</v>
      </c>
      <c r="B111" s="5">
        <v>106</v>
      </c>
      <c r="C111" s="5">
        <v>117</v>
      </c>
      <c r="D111" t="s">
        <v>192</v>
      </c>
      <c r="E111" s="3" t="str">
        <f t="array" ref="E111">IF(OR(EXACT(A111,'ESO Dungeon constants'!$D$3:$D$987)),"X","")</f>
        <v/>
      </c>
      <c r="F111" s="3" t="str">
        <f t="shared" si="4"/>
        <v/>
      </c>
      <c r="G111" s="3" t="str">
        <f t="shared" si="5"/>
        <v>Shadowfen</v>
      </c>
      <c r="H111" s="17">
        <f t="shared" si="6"/>
        <v>273</v>
      </c>
      <c r="I111" s="17">
        <f t="shared" si="7"/>
        <v>117</v>
      </c>
      <c r="J111">
        <v>0</v>
      </c>
      <c r="K111" s="3" t="str">
        <f>VLOOKUP(J111,'LibSets constants'!$A$4:$B$1012,2,FALSE)</f>
        <v>DLC_BASE_GAME</v>
      </c>
      <c r="L111" s="3" t="str">
        <f>VLOOKUP(J111,'LibSets constants'!$A$4:$C$1012,3,FALSE)</f>
        <v>Included in base game</v>
      </c>
    </row>
    <row r="112" spans="1:12" x14ac:dyDescent="0.25">
      <c r="A112" s="5">
        <v>274</v>
      </c>
      <c r="B112" s="5">
        <v>107</v>
      </c>
      <c r="C112" s="5">
        <v>117</v>
      </c>
      <c r="D112" t="s">
        <v>193</v>
      </c>
      <c r="E112" s="3" t="str">
        <f t="array" ref="E112">IF(OR(EXACT(A112,'ESO Dungeon constants'!$D$3:$D$987)),"X","")</f>
        <v/>
      </c>
      <c r="F112" s="3" t="str">
        <f t="shared" si="4"/>
        <v/>
      </c>
      <c r="G112" s="3" t="str">
        <f t="shared" si="5"/>
        <v>Shadowfen</v>
      </c>
      <c r="H112" s="17">
        <f t="shared" si="6"/>
        <v>274</v>
      </c>
      <c r="I112" s="17">
        <f t="shared" si="7"/>
        <v>117</v>
      </c>
      <c r="J112">
        <v>0</v>
      </c>
      <c r="K112" s="3" t="str">
        <f>VLOOKUP(J112,'LibSets constants'!$A$4:$B$1012,2,FALSE)</f>
        <v>DLC_BASE_GAME</v>
      </c>
      <c r="L112" s="3" t="str">
        <f>VLOOKUP(J112,'LibSets constants'!$A$4:$C$1012,3,FALSE)</f>
        <v>Included in base game</v>
      </c>
    </row>
    <row r="113" spans="1:12" x14ac:dyDescent="0.25">
      <c r="A113" s="5">
        <v>275</v>
      </c>
      <c r="B113" s="5">
        <v>108</v>
      </c>
      <c r="C113" s="5">
        <v>117</v>
      </c>
      <c r="D113" t="s">
        <v>194</v>
      </c>
      <c r="E113" s="3" t="str">
        <f t="array" ref="E113">IF(OR(EXACT(A113,'ESO Dungeon constants'!$D$3:$D$987)),"X","")</f>
        <v/>
      </c>
      <c r="F113" s="3" t="str">
        <f t="shared" si="4"/>
        <v/>
      </c>
      <c r="G113" s="3" t="str">
        <f t="shared" si="5"/>
        <v>Shadowfen</v>
      </c>
      <c r="H113" s="17">
        <f t="shared" si="6"/>
        <v>275</v>
      </c>
      <c r="I113" s="17">
        <f t="shared" si="7"/>
        <v>117</v>
      </c>
      <c r="J113">
        <v>0</v>
      </c>
      <c r="K113" s="3" t="str">
        <f>VLOOKUP(J113,'LibSets constants'!$A$4:$B$1012,2,FALSE)</f>
        <v>DLC_BASE_GAME</v>
      </c>
      <c r="L113" s="3" t="str">
        <f>VLOOKUP(J113,'LibSets constants'!$A$4:$C$1012,3,FALSE)</f>
        <v>Included in base game</v>
      </c>
    </row>
    <row r="114" spans="1:12" x14ac:dyDescent="0.25">
      <c r="A114" s="5">
        <v>279</v>
      </c>
      <c r="B114" s="5">
        <v>109</v>
      </c>
      <c r="C114" s="5">
        <v>279</v>
      </c>
      <c r="D114" t="s">
        <v>195</v>
      </c>
      <c r="E114" s="3" t="str">
        <f t="array" ref="E114">IF(OR(EXACT(A114,'ESO Dungeon constants'!$D$3:$D$987)),"X","")</f>
        <v/>
      </c>
      <c r="F114" s="3" t="str">
        <f t="shared" si="4"/>
        <v>X</v>
      </c>
      <c r="G114" s="3" t="str">
        <f t="shared" si="5"/>
        <v/>
      </c>
      <c r="H114" s="17">
        <f t="shared" si="6"/>
        <v>279</v>
      </c>
      <c r="I114" s="17">
        <f t="shared" si="7"/>
        <v>279</v>
      </c>
      <c r="J114">
        <v>0</v>
      </c>
      <c r="K114" s="3" t="str">
        <f>VLOOKUP(J114,'LibSets constants'!$A$4:$B$1012,2,FALSE)</f>
        <v>DLC_BASE_GAME</v>
      </c>
      <c r="L114" s="3" t="str">
        <f>VLOOKUP(J114,'LibSets constants'!$A$4:$C$1012,3,FALSE)</f>
        <v>Included in base game</v>
      </c>
    </row>
    <row r="115" spans="1:12" x14ac:dyDescent="0.25">
      <c r="A115" s="5">
        <v>280</v>
      </c>
      <c r="B115" s="5">
        <v>110</v>
      </c>
      <c r="C115" s="5">
        <v>280</v>
      </c>
      <c r="D115" t="s">
        <v>196</v>
      </c>
      <c r="E115" s="3" t="str">
        <f t="array" ref="E115">IF(OR(EXACT(A115,'ESO Dungeon constants'!$D$3:$D$987)),"X","")</f>
        <v/>
      </c>
      <c r="F115" s="3" t="str">
        <f t="shared" si="4"/>
        <v>X</v>
      </c>
      <c r="G115" s="3" t="str">
        <f t="shared" si="5"/>
        <v/>
      </c>
      <c r="H115" s="17">
        <f t="shared" si="6"/>
        <v>280</v>
      </c>
      <c r="I115" s="17">
        <f t="shared" si="7"/>
        <v>280</v>
      </c>
      <c r="J115">
        <v>0</v>
      </c>
      <c r="K115" s="3" t="str">
        <f>VLOOKUP(J115,'LibSets constants'!$A$4:$B$1012,2,FALSE)</f>
        <v>DLC_BASE_GAME</v>
      </c>
      <c r="L115" s="3" t="str">
        <f>VLOOKUP(J115,'LibSets constants'!$A$4:$C$1012,3,FALSE)</f>
        <v>Included in base game</v>
      </c>
    </row>
    <row r="116" spans="1:12" x14ac:dyDescent="0.25">
      <c r="A116" s="5">
        <v>281</v>
      </c>
      <c r="B116" s="5">
        <v>111</v>
      </c>
      <c r="C116" s="5">
        <v>281</v>
      </c>
      <c r="D116" t="s">
        <v>197</v>
      </c>
      <c r="E116" s="3" t="str">
        <f t="array" ref="E116">IF(OR(EXACT(A116,'ESO Dungeon constants'!$D$3:$D$987)),"X","")</f>
        <v/>
      </c>
      <c r="F116" s="3" t="str">
        <f t="shared" si="4"/>
        <v>X</v>
      </c>
      <c r="G116" s="3" t="str">
        <f t="shared" si="5"/>
        <v/>
      </c>
      <c r="H116" s="17">
        <f t="shared" si="6"/>
        <v>281</v>
      </c>
      <c r="I116" s="17">
        <f t="shared" si="7"/>
        <v>281</v>
      </c>
      <c r="J116">
        <v>0</v>
      </c>
      <c r="K116" s="3" t="str">
        <f>VLOOKUP(J116,'LibSets constants'!$A$4:$B$1012,2,FALSE)</f>
        <v>DLC_BASE_GAME</v>
      </c>
      <c r="L116" s="3" t="str">
        <f>VLOOKUP(J116,'LibSets constants'!$A$4:$C$1012,3,FALSE)</f>
        <v>Included in base game</v>
      </c>
    </row>
    <row r="117" spans="1:12" x14ac:dyDescent="0.25">
      <c r="A117" s="5">
        <v>283</v>
      </c>
      <c r="B117" s="5">
        <v>112</v>
      </c>
      <c r="C117" s="5">
        <v>41</v>
      </c>
      <c r="D117" t="s">
        <v>51</v>
      </c>
      <c r="E117" s="3" t="str">
        <f t="array" ref="E117">IF(OR(EXACT(A117,'ESO Dungeon constants'!$D$3:$D$987)),"X","")</f>
        <v>X</v>
      </c>
      <c r="F117" s="3" t="str">
        <f t="shared" si="4"/>
        <v/>
      </c>
      <c r="G117" s="3" t="str">
        <f t="shared" si="5"/>
        <v>Stonefalls</v>
      </c>
      <c r="H117" s="17">
        <f t="shared" si="6"/>
        <v>283</v>
      </c>
      <c r="I117" s="17">
        <f t="shared" si="7"/>
        <v>41</v>
      </c>
      <c r="J117">
        <v>0</v>
      </c>
      <c r="K117" s="3" t="str">
        <f>VLOOKUP(J117,'LibSets constants'!$A$4:$B$1012,2,FALSE)</f>
        <v>DLC_BASE_GAME</v>
      </c>
      <c r="L117" s="3" t="str">
        <f>VLOOKUP(J117,'LibSets constants'!$A$4:$C$1012,3,FALSE)</f>
        <v>Included in base game</v>
      </c>
    </row>
    <row r="118" spans="1:12" x14ac:dyDescent="0.25">
      <c r="A118" s="5">
        <v>284</v>
      </c>
      <c r="B118" s="5">
        <v>113</v>
      </c>
      <c r="C118" s="5">
        <v>3</v>
      </c>
      <c r="D118" t="s">
        <v>198</v>
      </c>
      <c r="E118" s="3" t="str">
        <f t="array" ref="E118">IF(OR(EXACT(A118,'ESO Dungeon constants'!$D$3:$D$987)),"X","")</f>
        <v/>
      </c>
      <c r="F118" s="3" t="str">
        <f t="shared" si="4"/>
        <v/>
      </c>
      <c r="G118" s="3" t="str">
        <f t="shared" si="5"/>
        <v>Glenumbra</v>
      </c>
      <c r="H118" s="17">
        <f t="shared" si="6"/>
        <v>284</v>
      </c>
      <c r="I118" s="17">
        <f t="shared" si="7"/>
        <v>3</v>
      </c>
      <c r="J118">
        <v>0</v>
      </c>
      <c r="K118" s="3" t="str">
        <f>VLOOKUP(J118,'LibSets constants'!$A$4:$B$1012,2,FALSE)</f>
        <v>DLC_BASE_GAME</v>
      </c>
      <c r="L118" s="3" t="str">
        <f>VLOOKUP(J118,'LibSets constants'!$A$4:$C$1012,3,FALSE)</f>
        <v>Included in base game</v>
      </c>
    </row>
    <row r="119" spans="1:12" x14ac:dyDescent="0.25">
      <c r="A119" s="5">
        <v>287</v>
      </c>
      <c r="B119" s="5">
        <v>114</v>
      </c>
      <c r="C119" s="5">
        <v>41</v>
      </c>
      <c r="D119" t="s">
        <v>199</v>
      </c>
      <c r="E119" s="3" t="str">
        <f t="array" ref="E119">IF(OR(EXACT(A119,'ESO Dungeon constants'!$D$3:$D$987)),"X","")</f>
        <v/>
      </c>
      <c r="F119" s="3" t="str">
        <f t="shared" si="4"/>
        <v/>
      </c>
      <c r="G119" s="3" t="str">
        <f t="shared" si="5"/>
        <v>Stonefalls</v>
      </c>
      <c r="H119" s="17">
        <f t="shared" si="6"/>
        <v>287</v>
      </c>
      <c r="I119" s="17">
        <f t="shared" si="7"/>
        <v>41</v>
      </c>
      <c r="J119">
        <v>0</v>
      </c>
      <c r="K119" s="3" t="str">
        <f>VLOOKUP(J119,'LibSets constants'!$A$4:$B$1012,2,FALSE)</f>
        <v>DLC_BASE_GAME</v>
      </c>
      <c r="L119" s="3" t="str">
        <f>VLOOKUP(J119,'LibSets constants'!$A$4:$C$1012,3,FALSE)</f>
        <v>Included in base game</v>
      </c>
    </row>
    <row r="120" spans="1:12" x14ac:dyDescent="0.25">
      <c r="A120" s="5">
        <v>288</v>
      </c>
      <c r="B120" s="5">
        <v>115</v>
      </c>
      <c r="C120" s="5">
        <v>41</v>
      </c>
      <c r="D120" t="s">
        <v>200</v>
      </c>
      <c r="E120" s="3" t="str">
        <f t="array" ref="E120">IF(OR(EXACT(A120,'ESO Dungeon constants'!$D$3:$D$987)),"X","")</f>
        <v/>
      </c>
      <c r="F120" s="3" t="str">
        <f t="shared" si="4"/>
        <v/>
      </c>
      <c r="G120" s="3" t="str">
        <f t="shared" si="5"/>
        <v>Stonefalls</v>
      </c>
      <c r="H120" s="17">
        <f t="shared" si="6"/>
        <v>288</v>
      </c>
      <c r="I120" s="17">
        <f t="shared" si="7"/>
        <v>41</v>
      </c>
      <c r="J120">
        <v>0</v>
      </c>
      <c r="K120" s="3" t="str">
        <f>VLOOKUP(J120,'LibSets constants'!$A$4:$B$1012,2,FALSE)</f>
        <v>DLC_BASE_GAME</v>
      </c>
      <c r="L120" s="3" t="str">
        <f>VLOOKUP(J120,'LibSets constants'!$A$4:$C$1012,3,FALSE)</f>
        <v>Included in base game</v>
      </c>
    </row>
    <row r="121" spans="1:12" x14ac:dyDescent="0.25">
      <c r="A121" s="5">
        <v>289</v>
      </c>
      <c r="B121" s="5">
        <v>116</v>
      </c>
      <c r="C121" s="5">
        <v>41</v>
      </c>
      <c r="D121" t="s">
        <v>201</v>
      </c>
      <c r="E121" s="3" t="str">
        <f t="array" ref="E121">IF(OR(EXACT(A121,'ESO Dungeon constants'!$D$3:$D$987)),"X","")</f>
        <v/>
      </c>
      <c r="F121" s="3" t="str">
        <f t="shared" si="4"/>
        <v/>
      </c>
      <c r="G121" s="3" t="str">
        <f t="shared" si="5"/>
        <v>Stonefalls</v>
      </c>
      <c r="H121" s="17">
        <f t="shared" si="6"/>
        <v>289</v>
      </c>
      <c r="I121" s="17">
        <f t="shared" si="7"/>
        <v>41</v>
      </c>
      <c r="J121">
        <v>0</v>
      </c>
      <c r="K121" s="3" t="str">
        <f>VLOOKUP(J121,'LibSets constants'!$A$4:$B$1012,2,FALSE)</f>
        <v>DLC_BASE_GAME</v>
      </c>
      <c r="L121" s="3" t="str">
        <f>VLOOKUP(J121,'LibSets constants'!$A$4:$C$1012,3,FALSE)</f>
        <v>Included in base game</v>
      </c>
    </row>
    <row r="122" spans="1:12" x14ac:dyDescent="0.25">
      <c r="A122" s="5">
        <v>290</v>
      </c>
      <c r="B122" s="5">
        <v>117</v>
      </c>
      <c r="C122" s="5">
        <v>41</v>
      </c>
      <c r="D122" t="s">
        <v>202</v>
      </c>
      <c r="E122" s="3" t="str">
        <f t="array" ref="E122">IF(OR(EXACT(A122,'ESO Dungeon constants'!$D$3:$D$987)),"X","")</f>
        <v/>
      </c>
      <c r="F122" s="3" t="str">
        <f t="shared" si="4"/>
        <v/>
      </c>
      <c r="G122" s="3" t="str">
        <f t="shared" si="5"/>
        <v>Stonefalls</v>
      </c>
      <c r="H122" s="17">
        <f t="shared" si="6"/>
        <v>290</v>
      </c>
      <c r="I122" s="17">
        <f t="shared" si="7"/>
        <v>41</v>
      </c>
      <c r="J122">
        <v>0</v>
      </c>
      <c r="K122" s="3" t="str">
        <f>VLOOKUP(J122,'LibSets constants'!$A$4:$B$1012,2,FALSE)</f>
        <v>DLC_BASE_GAME</v>
      </c>
      <c r="L122" s="3" t="str">
        <f>VLOOKUP(J122,'LibSets constants'!$A$4:$C$1012,3,FALSE)</f>
        <v>Included in base game</v>
      </c>
    </row>
    <row r="123" spans="1:12" x14ac:dyDescent="0.25">
      <c r="A123" s="5">
        <v>291</v>
      </c>
      <c r="B123" s="5">
        <v>118</v>
      </c>
      <c r="C123" s="5">
        <v>41</v>
      </c>
      <c r="D123" t="s">
        <v>203</v>
      </c>
      <c r="E123" s="3" t="str">
        <f t="array" ref="E123">IF(OR(EXACT(A123,'ESO Dungeon constants'!$D$3:$D$987)),"X","")</f>
        <v/>
      </c>
      <c r="F123" s="3" t="str">
        <f t="shared" si="4"/>
        <v/>
      </c>
      <c r="G123" s="3" t="str">
        <f t="shared" si="5"/>
        <v>Stonefalls</v>
      </c>
      <c r="H123" s="17">
        <f t="shared" si="6"/>
        <v>291</v>
      </c>
      <c r="I123" s="17">
        <f t="shared" si="7"/>
        <v>41</v>
      </c>
      <c r="J123">
        <v>0</v>
      </c>
      <c r="K123" s="3" t="str">
        <f>VLOOKUP(J123,'LibSets constants'!$A$4:$B$1012,2,FALSE)</f>
        <v>DLC_BASE_GAME</v>
      </c>
      <c r="L123" s="3" t="str">
        <f>VLOOKUP(J123,'LibSets constants'!$A$4:$C$1012,3,FALSE)</f>
        <v>Included in base game</v>
      </c>
    </row>
    <row r="124" spans="1:12" x14ac:dyDescent="0.25">
      <c r="A124" s="5">
        <v>296</v>
      </c>
      <c r="B124" s="5">
        <v>119</v>
      </c>
      <c r="C124" s="5">
        <v>41</v>
      </c>
      <c r="D124" t="s">
        <v>204</v>
      </c>
      <c r="E124" s="3" t="str">
        <f t="array" ref="E124">IF(OR(EXACT(A124,'ESO Dungeon constants'!$D$3:$D$987)),"X","")</f>
        <v/>
      </c>
      <c r="F124" s="3" t="str">
        <f t="shared" si="4"/>
        <v/>
      </c>
      <c r="G124" s="3" t="str">
        <f t="shared" si="5"/>
        <v>Stonefalls</v>
      </c>
      <c r="H124" s="17">
        <f t="shared" si="6"/>
        <v>296</v>
      </c>
      <c r="I124" s="17">
        <f t="shared" si="7"/>
        <v>41</v>
      </c>
      <c r="J124">
        <v>0</v>
      </c>
      <c r="K124" s="3" t="str">
        <f>VLOOKUP(J124,'LibSets constants'!$A$4:$B$1012,2,FALSE)</f>
        <v>DLC_BASE_GAME</v>
      </c>
      <c r="L124" s="3" t="str">
        <f>VLOOKUP(J124,'LibSets constants'!$A$4:$C$1012,3,FALSE)</f>
        <v>Included in base game</v>
      </c>
    </row>
    <row r="125" spans="1:12" x14ac:dyDescent="0.25">
      <c r="A125" s="5">
        <v>306</v>
      </c>
      <c r="B125" s="5">
        <v>120</v>
      </c>
      <c r="C125" s="5">
        <v>57</v>
      </c>
      <c r="D125" t="s">
        <v>205</v>
      </c>
      <c r="E125" s="3" t="str">
        <f t="array" ref="E125">IF(OR(EXACT(A125,'ESO Dungeon constants'!$D$3:$D$987)),"X","")</f>
        <v/>
      </c>
      <c r="F125" s="3" t="str">
        <f t="shared" si="4"/>
        <v/>
      </c>
      <c r="G125" s="3" t="str">
        <f t="shared" si="5"/>
        <v>Deshaan</v>
      </c>
      <c r="H125" s="17">
        <f t="shared" si="6"/>
        <v>306</v>
      </c>
      <c r="I125" s="17">
        <f t="shared" si="7"/>
        <v>57</v>
      </c>
      <c r="J125">
        <v>0</v>
      </c>
      <c r="K125" s="3" t="str">
        <f>VLOOKUP(J125,'LibSets constants'!$A$4:$B$1012,2,FALSE)</f>
        <v>DLC_BASE_GAME</v>
      </c>
      <c r="L125" s="3" t="str">
        <f>VLOOKUP(J125,'LibSets constants'!$A$4:$C$1012,3,FALSE)</f>
        <v>Included in base game</v>
      </c>
    </row>
    <row r="126" spans="1:12" x14ac:dyDescent="0.25">
      <c r="A126" s="5">
        <v>308</v>
      </c>
      <c r="B126" s="5">
        <v>121</v>
      </c>
      <c r="C126" s="5">
        <v>104</v>
      </c>
      <c r="D126" t="s">
        <v>206</v>
      </c>
      <c r="E126" s="3" t="str">
        <f t="array" ref="E126">IF(OR(EXACT(A126,'ESO Dungeon constants'!$D$3:$D$987)),"X","")</f>
        <v/>
      </c>
      <c r="F126" s="3" t="str">
        <f t="shared" si="4"/>
        <v/>
      </c>
      <c r="G126" s="3" t="str">
        <f t="shared" si="5"/>
        <v>Alik'r Desert</v>
      </c>
      <c r="H126" s="17">
        <f t="shared" si="6"/>
        <v>308</v>
      </c>
      <c r="I126" s="17">
        <f t="shared" si="7"/>
        <v>104</v>
      </c>
      <c r="J126">
        <v>0</v>
      </c>
      <c r="K126" s="3" t="str">
        <f>VLOOKUP(J126,'LibSets constants'!$A$4:$B$1012,2,FALSE)</f>
        <v>DLC_BASE_GAME</v>
      </c>
      <c r="L126" s="3" t="str">
        <f>VLOOKUP(J126,'LibSets constants'!$A$4:$C$1012,3,FALSE)</f>
        <v>Included in base game</v>
      </c>
    </row>
    <row r="127" spans="1:12" x14ac:dyDescent="0.25">
      <c r="A127" s="5">
        <v>309</v>
      </c>
      <c r="B127" s="5">
        <v>122</v>
      </c>
      <c r="C127" s="5">
        <v>3</v>
      </c>
      <c r="D127" t="s">
        <v>207</v>
      </c>
      <c r="E127" s="3" t="str">
        <f t="array" ref="E127">IF(OR(EXACT(A127,'ESO Dungeon constants'!$D$3:$D$987)),"X","")</f>
        <v/>
      </c>
      <c r="F127" s="3" t="str">
        <f t="shared" si="4"/>
        <v/>
      </c>
      <c r="G127" s="3" t="str">
        <f t="shared" si="5"/>
        <v>Glenumbra</v>
      </c>
      <c r="H127" s="17">
        <f t="shared" si="6"/>
        <v>309</v>
      </c>
      <c r="I127" s="17">
        <f t="shared" si="7"/>
        <v>3</v>
      </c>
      <c r="J127">
        <v>0</v>
      </c>
      <c r="K127" s="3" t="str">
        <f>VLOOKUP(J127,'LibSets constants'!$A$4:$B$1012,2,FALSE)</f>
        <v>DLC_BASE_GAME</v>
      </c>
      <c r="L127" s="3" t="str">
        <f>VLOOKUP(J127,'LibSets constants'!$A$4:$C$1012,3,FALSE)</f>
        <v>Included in base game</v>
      </c>
    </row>
    <row r="128" spans="1:12" x14ac:dyDescent="0.25">
      <c r="A128" s="5">
        <v>310</v>
      </c>
      <c r="B128" s="5">
        <v>123</v>
      </c>
      <c r="C128" s="5">
        <v>3</v>
      </c>
      <c r="D128" t="s">
        <v>208</v>
      </c>
      <c r="E128" s="3" t="str">
        <f t="array" ref="E128">IF(OR(EXACT(A128,'ESO Dungeon constants'!$D$3:$D$987)),"X","")</f>
        <v/>
      </c>
      <c r="F128" s="3" t="str">
        <f t="shared" si="4"/>
        <v/>
      </c>
      <c r="G128" s="3" t="str">
        <f t="shared" si="5"/>
        <v>Glenumbra</v>
      </c>
      <c r="H128" s="17">
        <f t="shared" si="6"/>
        <v>310</v>
      </c>
      <c r="I128" s="17">
        <f t="shared" si="7"/>
        <v>3</v>
      </c>
      <c r="J128">
        <v>6</v>
      </c>
      <c r="K128" s="3" t="str">
        <f>VLOOKUP(J128,'LibSets constants'!$A$4:$B$1012,2,FALSE)</f>
        <v>DLC_MORROWIND</v>
      </c>
      <c r="L128" s="3" t="str">
        <f>VLOOKUP(J128,'LibSets constants'!$A$4:$C$1012,3,FALSE)</f>
        <v>Morrowind</v>
      </c>
    </row>
    <row r="129" spans="1:12" x14ac:dyDescent="0.25">
      <c r="A129" s="5">
        <v>311</v>
      </c>
      <c r="B129" s="5">
        <v>124</v>
      </c>
      <c r="C129" s="5">
        <v>3</v>
      </c>
      <c r="D129" t="s">
        <v>3916</v>
      </c>
      <c r="E129" s="3" t="str">
        <f t="array" ref="E129">IF(OR(EXACT(A129,'ESO Dungeon constants'!$D$3:$D$987)),"X","")</f>
        <v/>
      </c>
      <c r="F129" s="3" t="str">
        <f t="shared" si="4"/>
        <v/>
      </c>
      <c r="G129" s="3" t="str">
        <f t="shared" si="5"/>
        <v>Glenumbra</v>
      </c>
      <c r="H129" s="17">
        <f t="shared" si="6"/>
        <v>311</v>
      </c>
      <c r="I129" s="17">
        <f t="shared" si="7"/>
        <v>3</v>
      </c>
      <c r="J129">
        <v>6</v>
      </c>
      <c r="K129" s="3" t="str">
        <f>VLOOKUP(J129,'LibSets constants'!$A$4:$B$1012,2,FALSE)</f>
        <v>DLC_MORROWIND</v>
      </c>
      <c r="L129" s="3" t="str">
        <f>VLOOKUP(J129,'LibSets constants'!$A$4:$C$1012,3,FALSE)</f>
        <v>Morrowind</v>
      </c>
    </row>
    <row r="130" spans="1:12" x14ac:dyDescent="0.25">
      <c r="A130" s="5">
        <v>312</v>
      </c>
      <c r="B130" s="5">
        <v>125</v>
      </c>
      <c r="C130" s="5">
        <v>3</v>
      </c>
      <c r="D130" t="s">
        <v>209</v>
      </c>
      <c r="E130" s="3" t="str">
        <f t="array" ref="E130">IF(OR(EXACT(A130,'ESO Dungeon constants'!$D$3:$D$987)),"X","")</f>
        <v/>
      </c>
      <c r="F130" s="3" t="str">
        <f t="shared" si="4"/>
        <v/>
      </c>
      <c r="G130" s="3" t="str">
        <f t="shared" si="5"/>
        <v>Glenumbra</v>
      </c>
      <c r="H130" s="17">
        <f t="shared" si="6"/>
        <v>312</v>
      </c>
      <c r="I130" s="17">
        <f t="shared" si="7"/>
        <v>3</v>
      </c>
      <c r="J130">
        <v>6</v>
      </c>
      <c r="K130" s="3" t="str">
        <f>VLOOKUP(J130,'LibSets constants'!$A$4:$B$1012,2,FALSE)</f>
        <v>DLC_MORROWIND</v>
      </c>
      <c r="L130" s="3" t="str">
        <f>VLOOKUP(J130,'LibSets constants'!$A$4:$C$1012,3,FALSE)</f>
        <v>Morrowind</v>
      </c>
    </row>
    <row r="131" spans="1:12" x14ac:dyDescent="0.25">
      <c r="A131" s="5">
        <v>313</v>
      </c>
      <c r="B131" s="5">
        <v>126</v>
      </c>
      <c r="C131" s="5">
        <v>3</v>
      </c>
      <c r="D131" t="s">
        <v>210</v>
      </c>
      <c r="E131" s="3" t="str">
        <f t="array" ref="E131">IF(OR(EXACT(A131,'ESO Dungeon constants'!$D$3:$D$987)),"X","")</f>
        <v/>
      </c>
      <c r="F131" s="3" t="str">
        <f t="shared" si="4"/>
        <v/>
      </c>
      <c r="G131" s="3" t="str">
        <f t="shared" si="5"/>
        <v>Glenumbra</v>
      </c>
      <c r="H131" s="17">
        <f t="shared" si="6"/>
        <v>313</v>
      </c>
      <c r="I131" s="17">
        <f t="shared" si="7"/>
        <v>3</v>
      </c>
      <c r="J131">
        <v>2</v>
      </c>
      <c r="K131" s="3" t="str">
        <f>VLOOKUP(J131,'LibSets constants'!$A$4:$B$1012,2,FALSE)</f>
        <v>DLC_ORSINIUM</v>
      </c>
      <c r="L131" s="3" t="str">
        <f>VLOOKUP(J131,'LibSets constants'!$A$4:$C$1012,3,FALSE)</f>
        <v>Orsinium</v>
      </c>
    </row>
    <row r="132" spans="1:12" x14ac:dyDescent="0.25">
      <c r="A132" s="5">
        <v>314</v>
      </c>
      <c r="B132" s="5">
        <v>127</v>
      </c>
      <c r="C132" s="5">
        <v>3</v>
      </c>
      <c r="D132" t="s">
        <v>211</v>
      </c>
      <c r="E132" s="3" t="str">
        <f t="array" ref="E132">IF(OR(EXACT(A132,'ESO Dungeon constants'!$D$3:$D$987)),"X","")</f>
        <v/>
      </c>
      <c r="F132" s="3" t="str">
        <f t="shared" si="4"/>
        <v/>
      </c>
      <c r="G132" s="3" t="str">
        <f t="shared" si="5"/>
        <v>Glenumbra</v>
      </c>
      <c r="H132" s="17">
        <f t="shared" si="6"/>
        <v>314</v>
      </c>
      <c r="I132" s="17">
        <f t="shared" si="7"/>
        <v>3</v>
      </c>
      <c r="J132">
        <v>2</v>
      </c>
      <c r="K132" s="3" t="str">
        <f>VLOOKUP(J132,'LibSets constants'!$A$4:$B$1012,2,FALSE)</f>
        <v>DLC_ORSINIUM</v>
      </c>
      <c r="L132" s="3" t="str">
        <f>VLOOKUP(J132,'LibSets constants'!$A$4:$C$1012,3,FALSE)</f>
        <v>Orsinium</v>
      </c>
    </row>
    <row r="133" spans="1:12" x14ac:dyDescent="0.25">
      <c r="A133" s="5">
        <v>315</v>
      </c>
      <c r="B133" s="5">
        <v>128</v>
      </c>
      <c r="C133" s="5">
        <v>19</v>
      </c>
      <c r="D133" t="s">
        <v>212</v>
      </c>
      <c r="E133" s="3" t="str">
        <f t="array" ref="E133">IF(OR(EXACT(A133,'ESO Dungeon constants'!$D$3:$D$987)),"X","")</f>
        <v/>
      </c>
      <c r="F133" s="3" t="str">
        <f t="shared" ref="F133:F196" si="8">IF(EXACT(A133,C133),"X","")</f>
        <v/>
      </c>
      <c r="G133" s="3" t="str">
        <f t="shared" ref="G133:G196" si="9">IF(A133&lt;&gt;C133,VLOOKUP(C133,$A$5:$D$9954,4,FALSE),"")</f>
        <v>Stormhaven</v>
      </c>
      <c r="H133" s="17">
        <f t="shared" ref="H133:H196" si="10">A133</f>
        <v>315</v>
      </c>
      <c r="I133" s="17">
        <f t="shared" ref="I133:I196" si="11">C133</f>
        <v>19</v>
      </c>
      <c r="J133">
        <v>18</v>
      </c>
      <c r="K133" s="3" t="str">
        <f>VLOOKUP(J133,'LibSets constants'!$A$4:$B$1012,2,FALSE)</f>
        <v>DLC_GREYMOOR</v>
      </c>
      <c r="L133" s="3" t="str">
        <f>VLOOKUP(J133,'LibSets constants'!$A$4:$C$1012,3,FALSE)</f>
        <v>Greymoor</v>
      </c>
    </row>
    <row r="134" spans="1:12" x14ac:dyDescent="0.25">
      <c r="A134" s="5">
        <v>316</v>
      </c>
      <c r="B134" s="5">
        <v>129</v>
      </c>
      <c r="C134" s="5">
        <v>19</v>
      </c>
      <c r="D134" t="s">
        <v>213</v>
      </c>
      <c r="E134" s="3" t="str">
        <f t="array" ref="E134">IF(OR(EXACT(A134,'ESO Dungeon constants'!$D$3:$D$987)),"X","")</f>
        <v/>
      </c>
      <c r="F134" s="3" t="str">
        <f t="shared" si="8"/>
        <v/>
      </c>
      <c r="G134" s="3" t="str">
        <f t="shared" si="9"/>
        <v>Stormhaven</v>
      </c>
      <c r="H134" s="17">
        <f t="shared" si="10"/>
        <v>316</v>
      </c>
      <c r="I134" s="17">
        <f t="shared" si="11"/>
        <v>19</v>
      </c>
      <c r="J134">
        <v>11</v>
      </c>
      <c r="K134" s="3" t="str">
        <f>VLOOKUP(J134,'LibSets constants'!$A$4:$B$1012,2,FALSE)</f>
        <v>DLC_WOLFHUNTER</v>
      </c>
      <c r="L134" s="3" t="str">
        <f>VLOOKUP(J134,'LibSets constants'!$A$4:$C$1012,3,FALSE)</f>
        <v>Wolfhunter</v>
      </c>
    </row>
    <row r="135" spans="1:12" x14ac:dyDescent="0.25">
      <c r="A135" s="5">
        <v>317</v>
      </c>
      <c r="B135" s="5">
        <v>130</v>
      </c>
      <c r="C135" s="5">
        <v>19</v>
      </c>
      <c r="D135" t="s">
        <v>214</v>
      </c>
      <c r="E135" s="3" t="str">
        <f t="array" ref="E135">IF(OR(EXACT(A135,'ESO Dungeon constants'!$D$3:$D$987)),"X","")</f>
        <v/>
      </c>
      <c r="F135" s="3" t="str">
        <f t="shared" si="8"/>
        <v/>
      </c>
      <c r="G135" s="3" t="str">
        <f t="shared" si="9"/>
        <v>Stormhaven</v>
      </c>
      <c r="H135" s="17">
        <f t="shared" si="10"/>
        <v>317</v>
      </c>
      <c r="I135" s="17">
        <f t="shared" si="11"/>
        <v>19</v>
      </c>
      <c r="J135">
        <v>11</v>
      </c>
      <c r="K135" s="3" t="str">
        <f>VLOOKUP(J135,'LibSets constants'!$A$4:$B$1012,2,FALSE)</f>
        <v>DLC_WOLFHUNTER</v>
      </c>
      <c r="L135" s="3" t="str">
        <f>VLOOKUP(J135,'LibSets constants'!$A$4:$C$1012,3,FALSE)</f>
        <v>Wolfhunter</v>
      </c>
    </row>
    <row r="136" spans="1:12" x14ac:dyDescent="0.25">
      <c r="A136" s="5">
        <v>318</v>
      </c>
      <c r="B136" s="5">
        <v>131</v>
      </c>
      <c r="C136" s="5">
        <v>19</v>
      </c>
      <c r="D136" t="s">
        <v>215</v>
      </c>
      <c r="E136" s="3" t="str">
        <f t="array" ref="E136">IF(OR(EXACT(A136,'ESO Dungeon constants'!$D$3:$D$987)),"X","")</f>
        <v/>
      </c>
      <c r="F136" s="3" t="str">
        <f t="shared" si="8"/>
        <v/>
      </c>
      <c r="G136" s="3" t="str">
        <f t="shared" si="9"/>
        <v>Stormhaven</v>
      </c>
      <c r="H136" s="17">
        <f t="shared" si="10"/>
        <v>318</v>
      </c>
      <c r="I136" s="17">
        <f t="shared" si="11"/>
        <v>19</v>
      </c>
      <c r="J136">
        <v>6</v>
      </c>
      <c r="K136" s="3" t="str">
        <f>VLOOKUP(J136,'LibSets constants'!$A$4:$B$1012,2,FALSE)</f>
        <v>DLC_MORROWIND</v>
      </c>
      <c r="L136" s="3" t="str">
        <f>VLOOKUP(J136,'LibSets constants'!$A$4:$C$1012,3,FALSE)</f>
        <v>Morrowind</v>
      </c>
    </row>
    <row r="137" spans="1:12" x14ac:dyDescent="0.25">
      <c r="A137" s="5">
        <v>319</v>
      </c>
      <c r="B137" s="5">
        <v>132</v>
      </c>
      <c r="C137" s="5">
        <v>19</v>
      </c>
      <c r="D137" t="s">
        <v>216</v>
      </c>
      <c r="E137" s="3" t="str">
        <f t="array" ref="E137">IF(OR(EXACT(A137,'ESO Dungeon constants'!$D$3:$D$987)),"X","")</f>
        <v/>
      </c>
      <c r="F137" s="3" t="str">
        <f t="shared" si="8"/>
        <v/>
      </c>
      <c r="G137" s="3" t="str">
        <f t="shared" si="9"/>
        <v>Stormhaven</v>
      </c>
      <c r="H137" s="17">
        <f t="shared" si="10"/>
        <v>319</v>
      </c>
      <c r="I137" s="17">
        <f t="shared" si="11"/>
        <v>19</v>
      </c>
      <c r="J137">
        <v>13</v>
      </c>
      <c r="K137" s="3" t="str">
        <f>VLOOKUP(J137,'LibSets constants'!$A$4:$B$1012,2,FALSE)</f>
        <v>DLC_WRATHSTONE</v>
      </c>
      <c r="L137" s="3" t="str">
        <f>VLOOKUP(J137,'LibSets constants'!$A$4:$C$1012,3,FALSE)</f>
        <v>Wrathstone</v>
      </c>
    </row>
    <row r="138" spans="1:12" x14ac:dyDescent="0.25">
      <c r="A138" s="5">
        <v>320</v>
      </c>
      <c r="B138" s="5">
        <v>133</v>
      </c>
      <c r="C138" s="5">
        <v>19</v>
      </c>
      <c r="D138" t="s">
        <v>217</v>
      </c>
      <c r="E138" s="3" t="str">
        <f t="array" ref="E138">IF(OR(EXACT(A138,'ESO Dungeon constants'!$D$3:$D$987)),"X","")</f>
        <v/>
      </c>
      <c r="F138" s="3" t="str">
        <f t="shared" si="8"/>
        <v/>
      </c>
      <c r="G138" s="3" t="str">
        <f t="shared" si="9"/>
        <v>Stormhaven</v>
      </c>
      <c r="H138" s="17">
        <f t="shared" si="10"/>
        <v>320</v>
      </c>
      <c r="I138" s="17">
        <f t="shared" si="11"/>
        <v>19</v>
      </c>
      <c r="J138">
        <v>13</v>
      </c>
      <c r="K138" s="3" t="str">
        <f>VLOOKUP(J138,'LibSets constants'!$A$4:$B$1012,2,FALSE)</f>
        <v>DLC_WRATHSTONE</v>
      </c>
      <c r="L138" s="3" t="str">
        <f>VLOOKUP(J138,'LibSets constants'!$A$4:$C$1012,3,FALSE)</f>
        <v>Wrathstone</v>
      </c>
    </row>
    <row r="139" spans="1:12" x14ac:dyDescent="0.25">
      <c r="A139" s="5">
        <v>321</v>
      </c>
      <c r="B139" s="5">
        <v>134</v>
      </c>
      <c r="C139" s="5">
        <v>20</v>
      </c>
      <c r="D139" t="s">
        <v>218</v>
      </c>
      <c r="E139" s="3" t="str">
        <f t="array" ref="E139">IF(OR(EXACT(A139,'ESO Dungeon constants'!$D$3:$D$987)),"X","")</f>
        <v/>
      </c>
      <c r="F139" s="3" t="str">
        <f t="shared" si="8"/>
        <v/>
      </c>
      <c r="G139" s="3" t="str">
        <f t="shared" si="9"/>
        <v>Rivenspire</v>
      </c>
      <c r="H139" s="17">
        <f t="shared" si="10"/>
        <v>321</v>
      </c>
      <c r="I139" s="17">
        <f t="shared" si="11"/>
        <v>20</v>
      </c>
      <c r="J139">
        <v>0</v>
      </c>
      <c r="K139" s="3" t="str">
        <f>VLOOKUP(J139,'LibSets constants'!$A$4:$B$1012,2,FALSE)</f>
        <v>DLC_BASE_GAME</v>
      </c>
      <c r="L139" s="3" t="str">
        <f>VLOOKUP(J139,'LibSets constants'!$A$4:$C$1012,3,FALSE)</f>
        <v>Included in base game</v>
      </c>
    </row>
    <row r="140" spans="1:12" x14ac:dyDescent="0.25">
      <c r="A140" s="5">
        <v>322</v>
      </c>
      <c r="B140" s="5">
        <v>135</v>
      </c>
      <c r="C140" s="5">
        <v>20</v>
      </c>
      <c r="D140" t="s">
        <v>219</v>
      </c>
      <c r="E140" s="3" t="str">
        <f t="array" ref="E140">IF(OR(EXACT(A140,'ESO Dungeon constants'!$D$3:$D$987)),"X","")</f>
        <v/>
      </c>
      <c r="F140" s="3" t="str">
        <f t="shared" si="8"/>
        <v/>
      </c>
      <c r="G140" s="3" t="str">
        <f t="shared" si="9"/>
        <v>Rivenspire</v>
      </c>
      <c r="H140" s="17">
        <f t="shared" si="10"/>
        <v>322</v>
      </c>
      <c r="I140" s="17">
        <f t="shared" si="11"/>
        <v>20</v>
      </c>
      <c r="J140">
        <v>0</v>
      </c>
      <c r="K140" s="3" t="str">
        <f>VLOOKUP(J140,'LibSets constants'!$A$4:$B$1012,2,FALSE)</f>
        <v>DLC_BASE_GAME</v>
      </c>
      <c r="L140" s="3" t="str">
        <f>VLOOKUP(J140,'LibSets constants'!$A$4:$C$1012,3,FALSE)</f>
        <v>Included in base game</v>
      </c>
    </row>
    <row r="141" spans="1:12" x14ac:dyDescent="0.25">
      <c r="A141" s="5">
        <v>323</v>
      </c>
      <c r="B141" s="5">
        <v>136</v>
      </c>
      <c r="C141" s="5">
        <v>20</v>
      </c>
      <c r="D141" t="s">
        <v>220</v>
      </c>
      <c r="E141" s="3" t="str">
        <f t="array" ref="E141">IF(OR(EXACT(A141,'ESO Dungeon constants'!$D$3:$D$987)),"X","")</f>
        <v/>
      </c>
      <c r="F141" s="3" t="str">
        <f t="shared" si="8"/>
        <v/>
      </c>
      <c r="G141" s="3" t="str">
        <f t="shared" si="9"/>
        <v>Rivenspire</v>
      </c>
      <c r="H141" s="17">
        <f t="shared" si="10"/>
        <v>323</v>
      </c>
      <c r="I141" s="17">
        <f t="shared" si="11"/>
        <v>20</v>
      </c>
      <c r="J141">
        <v>0</v>
      </c>
      <c r="K141" s="3" t="str">
        <f>VLOOKUP(J141,'LibSets constants'!$A$4:$B$1012,2,FALSE)</f>
        <v>DLC_BASE_GAME</v>
      </c>
      <c r="L141" s="3" t="str">
        <f>VLOOKUP(J141,'LibSets constants'!$A$4:$C$1012,3,FALSE)</f>
        <v>Included in base game</v>
      </c>
    </row>
    <row r="142" spans="1:12" x14ac:dyDescent="0.25">
      <c r="A142" s="5">
        <v>324</v>
      </c>
      <c r="B142" s="5">
        <v>137</v>
      </c>
      <c r="C142" s="5">
        <v>20</v>
      </c>
      <c r="D142" t="s">
        <v>221</v>
      </c>
      <c r="E142" s="3" t="str">
        <f t="array" ref="E142">IF(OR(EXACT(A142,'ESO Dungeon constants'!$D$3:$D$987)),"X","")</f>
        <v/>
      </c>
      <c r="F142" s="3" t="str">
        <f t="shared" si="8"/>
        <v/>
      </c>
      <c r="G142" s="3" t="str">
        <f t="shared" si="9"/>
        <v>Rivenspire</v>
      </c>
      <c r="H142" s="17">
        <f t="shared" si="10"/>
        <v>324</v>
      </c>
      <c r="I142" s="17">
        <f t="shared" si="11"/>
        <v>20</v>
      </c>
      <c r="J142">
        <v>0</v>
      </c>
      <c r="K142" s="3" t="str">
        <f>VLOOKUP(J142,'LibSets constants'!$A$4:$B$1012,2,FALSE)</f>
        <v>DLC_BASE_GAME</v>
      </c>
      <c r="L142" s="3" t="str">
        <f>VLOOKUP(J142,'LibSets constants'!$A$4:$C$1012,3,FALSE)</f>
        <v>Included in base game</v>
      </c>
    </row>
    <row r="143" spans="1:12" x14ac:dyDescent="0.25">
      <c r="A143" s="5">
        <v>325</v>
      </c>
      <c r="B143" s="5">
        <v>138</v>
      </c>
      <c r="C143" s="5">
        <v>20</v>
      </c>
      <c r="D143" t="s">
        <v>222</v>
      </c>
      <c r="E143" s="3" t="str">
        <f t="array" ref="E143">IF(OR(EXACT(A143,'ESO Dungeon constants'!$D$3:$D$987)),"X","")</f>
        <v/>
      </c>
      <c r="F143" s="3" t="str">
        <f t="shared" si="8"/>
        <v/>
      </c>
      <c r="G143" s="3" t="str">
        <f t="shared" si="9"/>
        <v>Rivenspire</v>
      </c>
      <c r="H143" s="17">
        <f t="shared" si="10"/>
        <v>325</v>
      </c>
      <c r="I143" s="17">
        <f t="shared" si="11"/>
        <v>20</v>
      </c>
      <c r="J143">
        <v>0</v>
      </c>
      <c r="K143" s="3" t="str">
        <f>VLOOKUP(J143,'LibSets constants'!$A$4:$B$1012,2,FALSE)</f>
        <v>DLC_BASE_GAME</v>
      </c>
      <c r="L143" s="3" t="str">
        <f>VLOOKUP(J143,'LibSets constants'!$A$4:$C$1012,3,FALSE)</f>
        <v>Included in base game</v>
      </c>
    </row>
    <row r="144" spans="1:12" x14ac:dyDescent="0.25">
      <c r="A144" s="5">
        <v>326</v>
      </c>
      <c r="B144" s="5">
        <v>139</v>
      </c>
      <c r="C144" s="5">
        <v>20</v>
      </c>
      <c r="D144" t="s">
        <v>223</v>
      </c>
      <c r="E144" s="3" t="str">
        <f t="array" ref="E144">IF(OR(EXACT(A144,'ESO Dungeon constants'!$D$3:$D$987)),"X","")</f>
        <v/>
      </c>
      <c r="F144" s="3" t="str">
        <f t="shared" si="8"/>
        <v/>
      </c>
      <c r="G144" s="3" t="str">
        <f t="shared" si="9"/>
        <v>Rivenspire</v>
      </c>
      <c r="H144" s="17">
        <f t="shared" si="10"/>
        <v>326</v>
      </c>
      <c r="I144" s="17">
        <f t="shared" si="11"/>
        <v>20</v>
      </c>
      <c r="J144">
        <v>0</v>
      </c>
      <c r="K144" s="3" t="str">
        <f>VLOOKUP(J144,'LibSets constants'!$A$4:$B$1012,2,FALSE)</f>
        <v>DLC_BASE_GAME</v>
      </c>
      <c r="L144" s="3" t="str">
        <f>VLOOKUP(J144,'LibSets constants'!$A$4:$C$1012,3,FALSE)</f>
        <v>Included in base game</v>
      </c>
    </row>
    <row r="145" spans="1:12" x14ac:dyDescent="0.25">
      <c r="A145" s="5">
        <v>327</v>
      </c>
      <c r="B145" s="5">
        <v>140</v>
      </c>
      <c r="C145" s="5">
        <v>104</v>
      </c>
      <c r="D145" t="s">
        <v>224</v>
      </c>
      <c r="E145" s="3" t="str">
        <f t="array" ref="E145">IF(OR(EXACT(A145,'ESO Dungeon constants'!$D$3:$D$987)),"X","")</f>
        <v/>
      </c>
      <c r="F145" s="3" t="str">
        <f t="shared" si="8"/>
        <v/>
      </c>
      <c r="G145" s="3" t="str">
        <f t="shared" si="9"/>
        <v>Alik'r Desert</v>
      </c>
      <c r="H145" s="17">
        <f t="shared" si="10"/>
        <v>327</v>
      </c>
      <c r="I145" s="17">
        <f t="shared" si="11"/>
        <v>104</v>
      </c>
      <c r="J145">
        <v>0</v>
      </c>
      <c r="K145" s="3" t="str">
        <f>VLOOKUP(J145,'LibSets constants'!$A$4:$B$1012,2,FALSE)</f>
        <v>DLC_BASE_GAME</v>
      </c>
      <c r="L145" s="3" t="str">
        <f>VLOOKUP(J145,'LibSets constants'!$A$4:$C$1012,3,FALSE)</f>
        <v>Included in base game</v>
      </c>
    </row>
    <row r="146" spans="1:12" x14ac:dyDescent="0.25">
      <c r="A146" s="5">
        <v>328</v>
      </c>
      <c r="B146" s="5">
        <v>141</v>
      </c>
      <c r="C146" s="5">
        <v>104</v>
      </c>
      <c r="D146" t="s">
        <v>225</v>
      </c>
      <c r="E146" s="3" t="str">
        <f t="array" ref="E146">IF(OR(EXACT(A146,'ESO Dungeon constants'!$D$3:$D$987)),"X","")</f>
        <v/>
      </c>
      <c r="F146" s="3" t="str">
        <f t="shared" si="8"/>
        <v/>
      </c>
      <c r="G146" s="3" t="str">
        <f t="shared" si="9"/>
        <v>Alik'r Desert</v>
      </c>
      <c r="H146" s="17">
        <f t="shared" si="10"/>
        <v>328</v>
      </c>
      <c r="I146" s="17">
        <f t="shared" si="11"/>
        <v>104</v>
      </c>
      <c r="J146">
        <v>0</v>
      </c>
      <c r="K146" s="3" t="str">
        <f>VLOOKUP(J146,'LibSets constants'!$A$4:$B$1012,2,FALSE)</f>
        <v>DLC_BASE_GAME</v>
      </c>
      <c r="L146" s="3" t="str">
        <f>VLOOKUP(J146,'LibSets constants'!$A$4:$C$1012,3,FALSE)</f>
        <v>Included in base game</v>
      </c>
    </row>
    <row r="147" spans="1:12" x14ac:dyDescent="0.25">
      <c r="A147" s="5">
        <v>329</v>
      </c>
      <c r="B147" s="5">
        <v>142</v>
      </c>
      <c r="C147" s="5">
        <v>104</v>
      </c>
      <c r="D147" t="s">
        <v>226</v>
      </c>
      <c r="E147" s="3" t="str">
        <f t="array" ref="E147">IF(OR(EXACT(A147,'ESO Dungeon constants'!$D$3:$D$987)),"X","")</f>
        <v/>
      </c>
      <c r="F147" s="3" t="str">
        <f t="shared" si="8"/>
        <v/>
      </c>
      <c r="G147" s="3" t="str">
        <f t="shared" si="9"/>
        <v>Alik'r Desert</v>
      </c>
      <c r="H147" s="17">
        <f t="shared" si="10"/>
        <v>329</v>
      </c>
      <c r="I147" s="17">
        <f t="shared" si="11"/>
        <v>104</v>
      </c>
      <c r="J147">
        <v>0</v>
      </c>
      <c r="K147" s="3" t="str">
        <f>VLOOKUP(J147,'LibSets constants'!$A$4:$B$1012,2,FALSE)</f>
        <v>DLC_BASE_GAME</v>
      </c>
      <c r="L147" s="3" t="str">
        <f>VLOOKUP(J147,'LibSets constants'!$A$4:$C$1012,3,FALSE)</f>
        <v>Included in base game</v>
      </c>
    </row>
    <row r="148" spans="1:12" x14ac:dyDescent="0.25">
      <c r="A148" s="5">
        <v>330</v>
      </c>
      <c r="B148" s="5">
        <v>143</v>
      </c>
      <c r="C148" s="5">
        <v>104</v>
      </c>
      <c r="D148" t="s">
        <v>227</v>
      </c>
      <c r="E148" s="3" t="str">
        <f t="array" ref="E148">IF(OR(EXACT(A148,'ESO Dungeon constants'!$D$3:$D$987)),"X","")</f>
        <v/>
      </c>
      <c r="F148" s="3" t="str">
        <f t="shared" si="8"/>
        <v/>
      </c>
      <c r="G148" s="3" t="str">
        <f t="shared" si="9"/>
        <v>Alik'r Desert</v>
      </c>
      <c r="H148" s="17">
        <f t="shared" si="10"/>
        <v>330</v>
      </c>
      <c r="I148" s="17">
        <f t="shared" si="11"/>
        <v>104</v>
      </c>
      <c r="J148">
        <v>0</v>
      </c>
      <c r="K148" s="3" t="str">
        <f>VLOOKUP(J148,'LibSets constants'!$A$4:$B$1012,2,FALSE)</f>
        <v>DLC_BASE_GAME</v>
      </c>
      <c r="L148" s="3" t="str">
        <f>VLOOKUP(J148,'LibSets constants'!$A$4:$C$1012,3,FALSE)</f>
        <v>Included in base game</v>
      </c>
    </row>
    <row r="149" spans="1:12" x14ac:dyDescent="0.25">
      <c r="A149" s="5">
        <v>331</v>
      </c>
      <c r="B149" s="5">
        <v>144</v>
      </c>
      <c r="C149" s="5">
        <v>104</v>
      </c>
      <c r="D149" t="s">
        <v>228</v>
      </c>
      <c r="E149" s="3" t="str">
        <f t="array" ref="E149">IF(OR(EXACT(A149,'ESO Dungeon constants'!$D$3:$D$987)),"X","")</f>
        <v/>
      </c>
      <c r="F149" s="3" t="str">
        <f t="shared" si="8"/>
        <v/>
      </c>
      <c r="G149" s="3" t="str">
        <f t="shared" si="9"/>
        <v>Alik'r Desert</v>
      </c>
      <c r="H149" s="17">
        <f t="shared" si="10"/>
        <v>331</v>
      </c>
      <c r="I149" s="17">
        <f t="shared" si="11"/>
        <v>104</v>
      </c>
      <c r="J149">
        <v>0</v>
      </c>
      <c r="K149" s="3" t="str">
        <f>VLOOKUP(J149,'LibSets constants'!$A$4:$B$1012,2,FALSE)</f>
        <v>DLC_BASE_GAME</v>
      </c>
      <c r="L149" s="3" t="str">
        <f>VLOOKUP(J149,'LibSets constants'!$A$4:$C$1012,3,FALSE)</f>
        <v>Included in base game</v>
      </c>
    </row>
    <row r="150" spans="1:12" x14ac:dyDescent="0.25">
      <c r="A150" s="5">
        <v>332</v>
      </c>
      <c r="B150" s="5">
        <v>145</v>
      </c>
      <c r="C150" s="5">
        <v>104</v>
      </c>
      <c r="D150" t="s">
        <v>229</v>
      </c>
      <c r="E150" s="3" t="str">
        <f t="array" ref="E150">IF(OR(EXACT(A150,'ESO Dungeon constants'!$D$3:$D$987)),"X","")</f>
        <v/>
      </c>
      <c r="F150" s="3" t="str">
        <f t="shared" si="8"/>
        <v/>
      </c>
      <c r="G150" s="3" t="str">
        <f t="shared" si="9"/>
        <v>Alik'r Desert</v>
      </c>
      <c r="H150" s="17">
        <f t="shared" si="10"/>
        <v>332</v>
      </c>
      <c r="I150" s="17">
        <f t="shared" si="11"/>
        <v>104</v>
      </c>
      <c r="J150">
        <v>0</v>
      </c>
      <c r="K150" s="3" t="str">
        <f>VLOOKUP(J150,'LibSets constants'!$A$4:$B$1012,2,FALSE)</f>
        <v>DLC_BASE_GAME</v>
      </c>
      <c r="L150" s="3" t="str">
        <f>VLOOKUP(J150,'LibSets constants'!$A$4:$C$1012,3,FALSE)</f>
        <v>Included in base game</v>
      </c>
    </row>
    <row r="151" spans="1:12" x14ac:dyDescent="0.25">
      <c r="A151" s="5">
        <v>333</v>
      </c>
      <c r="B151" s="5">
        <v>146</v>
      </c>
      <c r="C151" s="5">
        <v>92</v>
      </c>
      <c r="D151" t="s">
        <v>230</v>
      </c>
      <c r="E151" s="3" t="str">
        <f t="array" ref="E151">IF(OR(EXACT(A151,'ESO Dungeon constants'!$D$3:$D$987)),"X","")</f>
        <v/>
      </c>
      <c r="F151" s="3" t="str">
        <f t="shared" si="8"/>
        <v/>
      </c>
      <c r="G151" s="3" t="str">
        <f t="shared" si="9"/>
        <v>Bangkorai</v>
      </c>
      <c r="H151" s="17">
        <f t="shared" si="10"/>
        <v>333</v>
      </c>
      <c r="I151" s="17">
        <f t="shared" si="11"/>
        <v>92</v>
      </c>
      <c r="J151">
        <v>0</v>
      </c>
      <c r="K151" s="3" t="str">
        <f>VLOOKUP(J151,'LibSets constants'!$A$4:$B$1012,2,FALSE)</f>
        <v>DLC_BASE_GAME</v>
      </c>
      <c r="L151" s="3" t="str">
        <f>VLOOKUP(J151,'LibSets constants'!$A$4:$C$1012,3,FALSE)</f>
        <v>Included in base game</v>
      </c>
    </row>
    <row r="152" spans="1:12" x14ac:dyDescent="0.25">
      <c r="A152" s="5">
        <v>334</v>
      </c>
      <c r="B152" s="5">
        <v>147</v>
      </c>
      <c r="C152" s="5">
        <v>92</v>
      </c>
      <c r="D152" t="s">
        <v>231</v>
      </c>
      <c r="E152" s="3" t="str">
        <f t="array" ref="E152">IF(OR(EXACT(A152,'ESO Dungeon constants'!$D$3:$D$987)),"X","")</f>
        <v/>
      </c>
      <c r="F152" s="3" t="str">
        <f t="shared" si="8"/>
        <v/>
      </c>
      <c r="G152" s="3" t="str">
        <f t="shared" si="9"/>
        <v>Bangkorai</v>
      </c>
      <c r="H152" s="17">
        <f t="shared" si="10"/>
        <v>334</v>
      </c>
      <c r="I152" s="17">
        <f t="shared" si="11"/>
        <v>92</v>
      </c>
      <c r="J152">
        <v>0</v>
      </c>
      <c r="K152" s="3" t="str">
        <f>VLOOKUP(J152,'LibSets constants'!$A$4:$B$1012,2,FALSE)</f>
        <v>DLC_BASE_GAME</v>
      </c>
      <c r="L152" s="3" t="str">
        <f>VLOOKUP(J152,'LibSets constants'!$A$4:$C$1012,3,FALSE)</f>
        <v>Included in base game</v>
      </c>
    </row>
    <row r="153" spans="1:12" x14ac:dyDescent="0.25">
      <c r="A153" s="5">
        <v>335</v>
      </c>
      <c r="B153" s="5">
        <v>148</v>
      </c>
      <c r="C153" s="5">
        <v>92</v>
      </c>
      <c r="D153" t="s">
        <v>232</v>
      </c>
      <c r="E153" s="3" t="str">
        <f t="array" ref="E153">IF(OR(EXACT(A153,'ESO Dungeon constants'!$D$3:$D$987)),"X","")</f>
        <v/>
      </c>
      <c r="F153" s="3" t="str">
        <f t="shared" si="8"/>
        <v/>
      </c>
      <c r="G153" s="3" t="str">
        <f t="shared" si="9"/>
        <v>Bangkorai</v>
      </c>
      <c r="H153" s="17">
        <f t="shared" si="10"/>
        <v>335</v>
      </c>
      <c r="I153" s="17">
        <f t="shared" si="11"/>
        <v>92</v>
      </c>
      <c r="J153">
        <v>0</v>
      </c>
      <c r="K153" s="3" t="str">
        <f>VLOOKUP(J153,'LibSets constants'!$A$4:$B$1012,2,FALSE)</f>
        <v>DLC_BASE_GAME</v>
      </c>
      <c r="L153" s="3" t="str">
        <f>VLOOKUP(J153,'LibSets constants'!$A$4:$C$1012,3,FALSE)</f>
        <v>Included in base game</v>
      </c>
    </row>
    <row r="154" spans="1:12" x14ac:dyDescent="0.25">
      <c r="A154" s="5">
        <v>336</v>
      </c>
      <c r="B154" s="5">
        <v>149</v>
      </c>
      <c r="C154" s="5">
        <v>92</v>
      </c>
      <c r="D154" t="s">
        <v>233</v>
      </c>
      <c r="E154" s="3" t="str">
        <f t="array" ref="E154">IF(OR(EXACT(A154,'ESO Dungeon constants'!$D$3:$D$987)),"X","")</f>
        <v/>
      </c>
      <c r="F154" s="3" t="str">
        <f t="shared" si="8"/>
        <v/>
      </c>
      <c r="G154" s="3" t="str">
        <f t="shared" si="9"/>
        <v>Bangkorai</v>
      </c>
      <c r="H154" s="17">
        <f t="shared" si="10"/>
        <v>336</v>
      </c>
      <c r="I154" s="17">
        <f t="shared" si="11"/>
        <v>92</v>
      </c>
      <c r="J154">
        <v>0</v>
      </c>
      <c r="K154" s="3" t="str">
        <f>VLOOKUP(J154,'LibSets constants'!$A$4:$B$1012,2,FALSE)</f>
        <v>DLC_BASE_GAME</v>
      </c>
      <c r="L154" s="3" t="str">
        <f>VLOOKUP(J154,'LibSets constants'!$A$4:$C$1012,3,FALSE)</f>
        <v>Included in base game</v>
      </c>
    </row>
    <row r="155" spans="1:12" x14ac:dyDescent="0.25">
      <c r="A155" s="5">
        <v>337</v>
      </c>
      <c r="B155" s="5">
        <v>150</v>
      </c>
      <c r="C155" s="5">
        <v>92</v>
      </c>
      <c r="D155" t="s">
        <v>234</v>
      </c>
      <c r="E155" s="3" t="str">
        <f t="array" ref="E155">IF(OR(EXACT(A155,'ESO Dungeon constants'!$D$3:$D$987)),"X","")</f>
        <v/>
      </c>
      <c r="F155" s="3" t="str">
        <f t="shared" si="8"/>
        <v/>
      </c>
      <c r="G155" s="3" t="str">
        <f t="shared" si="9"/>
        <v>Bangkorai</v>
      </c>
      <c r="H155" s="17">
        <f t="shared" si="10"/>
        <v>337</v>
      </c>
      <c r="I155" s="17">
        <f t="shared" si="11"/>
        <v>92</v>
      </c>
      <c r="J155">
        <v>0</v>
      </c>
      <c r="K155" s="3" t="str">
        <f>VLOOKUP(J155,'LibSets constants'!$A$4:$B$1012,2,FALSE)</f>
        <v>DLC_BASE_GAME</v>
      </c>
      <c r="L155" s="3" t="str">
        <f>VLOOKUP(J155,'LibSets constants'!$A$4:$C$1012,3,FALSE)</f>
        <v>Included in base game</v>
      </c>
    </row>
    <row r="156" spans="1:12" x14ac:dyDescent="0.25">
      <c r="A156" s="5">
        <v>338</v>
      </c>
      <c r="B156" s="5">
        <v>151</v>
      </c>
      <c r="C156" s="5">
        <v>92</v>
      </c>
      <c r="D156" t="s">
        <v>235</v>
      </c>
      <c r="E156" s="3" t="str">
        <f t="array" ref="E156">IF(OR(EXACT(A156,'ESO Dungeon constants'!$D$3:$D$987)),"X","")</f>
        <v/>
      </c>
      <c r="F156" s="3" t="str">
        <f t="shared" si="8"/>
        <v/>
      </c>
      <c r="G156" s="3" t="str">
        <f t="shared" si="9"/>
        <v>Bangkorai</v>
      </c>
      <c r="H156" s="17">
        <f t="shared" si="10"/>
        <v>338</v>
      </c>
      <c r="I156" s="17">
        <f t="shared" si="11"/>
        <v>92</v>
      </c>
      <c r="J156">
        <v>0</v>
      </c>
      <c r="K156" s="3" t="str">
        <f>VLOOKUP(J156,'LibSets constants'!$A$4:$B$1012,2,FALSE)</f>
        <v>DLC_BASE_GAME</v>
      </c>
      <c r="L156" s="3" t="str">
        <f>VLOOKUP(J156,'LibSets constants'!$A$4:$C$1012,3,FALSE)</f>
        <v>Included in base game</v>
      </c>
    </row>
    <row r="157" spans="1:12" x14ac:dyDescent="0.25">
      <c r="A157" s="5">
        <v>339</v>
      </c>
      <c r="B157" s="5">
        <v>152</v>
      </c>
      <c r="C157" s="5">
        <v>101</v>
      </c>
      <c r="D157" t="s">
        <v>236</v>
      </c>
      <c r="E157" s="3" t="str">
        <f t="array" ref="E157">IF(OR(EXACT(A157,'ESO Dungeon constants'!$D$3:$D$987)),"X","")</f>
        <v/>
      </c>
      <c r="F157" s="3" t="str">
        <f t="shared" si="8"/>
        <v/>
      </c>
      <c r="G157" s="3" t="str">
        <f t="shared" si="9"/>
        <v>Eastmarch</v>
      </c>
      <c r="H157" s="17">
        <f t="shared" si="10"/>
        <v>339</v>
      </c>
      <c r="I157" s="17">
        <f t="shared" si="11"/>
        <v>101</v>
      </c>
      <c r="J157">
        <v>0</v>
      </c>
      <c r="K157" s="3" t="str">
        <f>VLOOKUP(J157,'LibSets constants'!$A$4:$B$1012,2,FALSE)</f>
        <v>DLC_BASE_GAME</v>
      </c>
      <c r="L157" s="3" t="str">
        <f>VLOOKUP(J157,'LibSets constants'!$A$4:$C$1012,3,FALSE)</f>
        <v>Included in base game</v>
      </c>
    </row>
    <row r="158" spans="1:12" x14ac:dyDescent="0.25">
      <c r="A158" s="5">
        <v>341</v>
      </c>
      <c r="B158" s="5">
        <v>153</v>
      </c>
      <c r="C158" s="5">
        <v>103</v>
      </c>
      <c r="D158" t="s">
        <v>237</v>
      </c>
      <c r="E158" s="3" t="str">
        <f t="array" ref="E158">IF(OR(EXACT(A158,'ESO Dungeon constants'!$D$3:$D$987)),"X","")</f>
        <v/>
      </c>
      <c r="F158" s="3" t="str">
        <f t="shared" si="8"/>
        <v/>
      </c>
      <c r="G158" s="3" t="str">
        <f t="shared" si="9"/>
        <v>The Rift</v>
      </c>
      <c r="H158" s="17">
        <f t="shared" si="10"/>
        <v>341</v>
      </c>
      <c r="I158" s="17">
        <f t="shared" si="11"/>
        <v>103</v>
      </c>
      <c r="J158">
        <v>0</v>
      </c>
      <c r="K158" s="3" t="str">
        <f>VLOOKUP(J158,'LibSets constants'!$A$4:$B$1012,2,FALSE)</f>
        <v>DLC_BASE_GAME</v>
      </c>
      <c r="L158" s="3" t="str">
        <f>VLOOKUP(J158,'LibSets constants'!$A$4:$C$1012,3,FALSE)</f>
        <v>Included in base game</v>
      </c>
    </row>
    <row r="159" spans="1:12" x14ac:dyDescent="0.25">
      <c r="A159" s="5">
        <v>346</v>
      </c>
      <c r="B159" s="5">
        <v>154</v>
      </c>
      <c r="C159" s="5">
        <v>101</v>
      </c>
      <c r="D159" t="s">
        <v>238</v>
      </c>
      <c r="E159" s="3" t="str">
        <f t="array" ref="E159">IF(OR(EXACT(A159,'ESO Dungeon constants'!$D$3:$D$987)),"X","")</f>
        <v/>
      </c>
      <c r="F159" s="3" t="str">
        <f t="shared" si="8"/>
        <v/>
      </c>
      <c r="G159" s="3" t="str">
        <f t="shared" si="9"/>
        <v>Eastmarch</v>
      </c>
      <c r="H159" s="17">
        <f t="shared" si="10"/>
        <v>346</v>
      </c>
      <c r="I159" s="17">
        <f t="shared" si="11"/>
        <v>101</v>
      </c>
      <c r="J159">
        <v>0</v>
      </c>
      <c r="K159" s="3" t="str">
        <f>VLOOKUP(J159,'LibSets constants'!$A$4:$B$1012,2,FALSE)</f>
        <v>DLC_BASE_GAME</v>
      </c>
      <c r="L159" s="3" t="str">
        <f>VLOOKUP(J159,'LibSets constants'!$A$4:$C$1012,3,FALSE)</f>
        <v>Included in base game</v>
      </c>
    </row>
    <row r="160" spans="1:12" x14ac:dyDescent="0.25">
      <c r="A160" s="5">
        <v>347</v>
      </c>
      <c r="B160" s="5">
        <v>155</v>
      </c>
      <c r="C160" s="5">
        <v>347</v>
      </c>
      <c r="D160" t="s">
        <v>239</v>
      </c>
      <c r="E160" s="3" t="str">
        <f t="array" ref="E160">IF(OR(EXACT(A160,'ESO Dungeon constants'!$D$3:$D$987)),"X","")</f>
        <v/>
      </c>
      <c r="F160" s="3" t="str">
        <f t="shared" si="8"/>
        <v>X</v>
      </c>
      <c r="G160" s="3" t="str">
        <f t="shared" si="9"/>
        <v/>
      </c>
      <c r="H160" s="17">
        <f t="shared" si="10"/>
        <v>347</v>
      </c>
      <c r="I160" s="17">
        <f t="shared" si="11"/>
        <v>347</v>
      </c>
      <c r="J160">
        <v>0</v>
      </c>
      <c r="K160" s="3" t="str">
        <f>VLOOKUP(J160,'LibSets constants'!$A$4:$B$1012,2,FALSE)</f>
        <v>DLC_BASE_GAME</v>
      </c>
      <c r="L160" s="3" t="str">
        <f>VLOOKUP(J160,'LibSets constants'!$A$4:$C$1012,3,FALSE)</f>
        <v>Included in base game</v>
      </c>
    </row>
    <row r="161" spans="1:12" x14ac:dyDescent="0.25">
      <c r="A161" s="5">
        <v>353</v>
      </c>
      <c r="B161" s="5">
        <v>156</v>
      </c>
      <c r="C161" s="5">
        <v>101</v>
      </c>
      <c r="D161" t="s">
        <v>240</v>
      </c>
      <c r="E161" s="3" t="str">
        <f t="array" ref="E161">IF(OR(EXACT(A161,'ESO Dungeon constants'!$D$3:$D$987)),"X","")</f>
        <v/>
      </c>
      <c r="F161" s="3" t="str">
        <f t="shared" si="8"/>
        <v/>
      </c>
      <c r="G161" s="3" t="str">
        <f t="shared" si="9"/>
        <v>Eastmarch</v>
      </c>
      <c r="H161" s="17">
        <f t="shared" si="10"/>
        <v>353</v>
      </c>
      <c r="I161" s="17">
        <f t="shared" si="11"/>
        <v>101</v>
      </c>
      <c r="J161">
        <v>0</v>
      </c>
      <c r="K161" s="3" t="str">
        <f>VLOOKUP(J161,'LibSets constants'!$A$4:$B$1012,2,FALSE)</f>
        <v>DLC_BASE_GAME</v>
      </c>
      <c r="L161" s="3" t="str">
        <f>VLOOKUP(J161,'LibSets constants'!$A$4:$C$1012,3,FALSE)</f>
        <v>Included in base game</v>
      </c>
    </row>
    <row r="162" spans="1:12" x14ac:dyDescent="0.25">
      <c r="A162" s="5">
        <v>354</v>
      </c>
      <c r="B162" s="5">
        <v>157</v>
      </c>
      <c r="C162" s="5">
        <v>101</v>
      </c>
      <c r="D162" t="s">
        <v>241</v>
      </c>
      <c r="E162" s="3" t="str">
        <f t="array" ref="E162">IF(OR(EXACT(A162,'ESO Dungeon constants'!$D$3:$D$987)),"X","")</f>
        <v/>
      </c>
      <c r="F162" s="3" t="str">
        <f t="shared" si="8"/>
        <v/>
      </c>
      <c r="G162" s="3" t="str">
        <f t="shared" si="9"/>
        <v>Eastmarch</v>
      </c>
      <c r="H162" s="17">
        <f t="shared" si="10"/>
        <v>354</v>
      </c>
      <c r="I162" s="17">
        <f t="shared" si="11"/>
        <v>101</v>
      </c>
      <c r="J162">
        <v>0</v>
      </c>
      <c r="K162" s="3" t="str">
        <f>VLOOKUP(J162,'LibSets constants'!$A$4:$B$1012,2,FALSE)</f>
        <v>DLC_BASE_GAME</v>
      </c>
      <c r="L162" s="3" t="str">
        <f>VLOOKUP(J162,'LibSets constants'!$A$4:$C$1012,3,FALSE)</f>
        <v>Included in base game</v>
      </c>
    </row>
    <row r="163" spans="1:12" x14ac:dyDescent="0.25">
      <c r="A163" s="5">
        <v>359</v>
      </c>
      <c r="B163" s="5">
        <v>158</v>
      </c>
      <c r="C163" s="5">
        <v>101</v>
      </c>
      <c r="D163" t="s">
        <v>242</v>
      </c>
      <c r="E163" s="3" t="str">
        <f t="array" ref="E163">IF(OR(EXACT(A163,'ESO Dungeon constants'!$D$3:$D$987)),"X","")</f>
        <v/>
      </c>
      <c r="F163" s="3" t="str">
        <f t="shared" si="8"/>
        <v/>
      </c>
      <c r="G163" s="3" t="str">
        <f t="shared" si="9"/>
        <v>Eastmarch</v>
      </c>
      <c r="H163" s="17">
        <f t="shared" si="10"/>
        <v>359</v>
      </c>
      <c r="I163" s="17">
        <f t="shared" si="11"/>
        <v>101</v>
      </c>
      <c r="J163">
        <v>0</v>
      </c>
      <c r="K163" s="3" t="str">
        <f>VLOOKUP(J163,'LibSets constants'!$A$4:$B$1012,2,FALSE)</f>
        <v>DLC_BASE_GAME</v>
      </c>
      <c r="L163" s="3" t="str">
        <f>VLOOKUP(J163,'LibSets constants'!$A$4:$C$1012,3,FALSE)</f>
        <v>Included in base game</v>
      </c>
    </row>
    <row r="164" spans="1:12" x14ac:dyDescent="0.25">
      <c r="A164" s="5">
        <v>360</v>
      </c>
      <c r="B164" s="5">
        <v>159</v>
      </c>
      <c r="C164" s="5">
        <v>101</v>
      </c>
      <c r="D164" t="s">
        <v>243</v>
      </c>
      <c r="E164" s="3" t="str">
        <f t="array" ref="E164">IF(OR(EXACT(A164,'ESO Dungeon constants'!$D$3:$D$987)),"X","")</f>
        <v/>
      </c>
      <c r="F164" s="3" t="str">
        <f t="shared" si="8"/>
        <v/>
      </c>
      <c r="G164" s="3" t="str">
        <f t="shared" si="9"/>
        <v>Eastmarch</v>
      </c>
      <c r="H164" s="17">
        <f t="shared" si="10"/>
        <v>360</v>
      </c>
      <c r="I164" s="17">
        <f t="shared" si="11"/>
        <v>101</v>
      </c>
      <c r="J164">
        <v>0</v>
      </c>
      <c r="K164" s="3" t="str">
        <f>VLOOKUP(J164,'LibSets constants'!$A$4:$B$1012,2,FALSE)</f>
        <v>DLC_BASE_GAME</v>
      </c>
      <c r="L164" s="3" t="str">
        <f>VLOOKUP(J164,'LibSets constants'!$A$4:$C$1012,3,FALSE)</f>
        <v>Included in base game</v>
      </c>
    </row>
    <row r="165" spans="1:12" x14ac:dyDescent="0.25">
      <c r="A165" s="5">
        <v>361</v>
      </c>
      <c r="B165" s="5">
        <v>160</v>
      </c>
      <c r="C165" s="5">
        <v>101</v>
      </c>
      <c r="D165" t="s">
        <v>244</v>
      </c>
      <c r="E165" s="3" t="str">
        <f t="array" ref="E165">IF(OR(EXACT(A165,'ESO Dungeon constants'!$D$3:$D$987)),"X","")</f>
        <v/>
      </c>
      <c r="F165" s="3" t="str">
        <f t="shared" si="8"/>
        <v/>
      </c>
      <c r="G165" s="3" t="str">
        <f t="shared" si="9"/>
        <v>Eastmarch</v>
      </c>
      <c r="H165" s="17">
        <f t="shared" si="10"/>
        <v>361</v>
      </c>
      <c r="I165" s="17">
        <f t="shared" si="11"/>
        <v>101</v>
      </c>
      <c r="J165">
        <v>0</v>
      </c>
      <c r="K165" s="3" t="str">
        <f>VLOOKUP(J165,'LibSets constants'!$A$4:$B$1012,2,FALSE)</f>
        <v>DLC_BASE_GAME</v>
      </c>
      <c r="L165" s="3" t="str">
        <f>VLOOKUP(J165,'LibSets constants'!$A$4:$C$1012,3,FALSE)</f>
        <v>Included in base game</v>
      </c>
    </row>
    <row r="166" spans="1:12" x14ac:dyDescent="0.25">
      <c r="A166" s="5">
        <v>362</v>
      </c>
      <c r="B166" s="5">
        <v>161</v>
      </c>
      <c r="C166" s="5">
        <v>101</v>
      </c>
      <c r="D166" t="s">
        <v>245</v>
      </c>
      <c r="E166" s="3" t="str">
        <f t="array" ref="E166">IF(OR(EXACT(A166,'ESO Dungeon constants'!$D$3:$D$987)),"X","")</f>
        <v/>
      </c>
      <c r="F166" s="3" t="str">
        <f t="shared" si="8"/>
        <v/>
      </c>
      <c r="G166" s="3" t="str">
        <f t="shared" si="9"/>
        <v>Eastmarch</v>
      </c>
      <c r="H166" s="17">
        <f t="shared" si="10"/>
        <v>362</v>
      </c>
      <c r="I166" s="17">
        <f t="shared" si="11"/>
        <v>101</v>
      </c>
      <c r="J166">
        <v>0</v>
      </c>
      <c r="K166" s="3" t="str">
        <f>VLOOKUP(J166,'LibSets constants'!$A$4:$B$1012,2,FALSE)</f>
        <v>DLC_BASE_GAME</v>
      </c>
      <c r="L166" s="3" t="str">
        <f>VLOOKUP(J166,'LibSets constants'!$A$4:$C$1012,3,FALSE)</f>
        <v>Included in base game</v>
      </c>
    </row>
    <row r="167" spans="1:12" x14ac:dyDescent="0.25">
      <c r="A167" s="5">
        <v>363</v>
      </c>
      <c r="B167" s="5">
        <v>162</v>
      </c>
      <c r="C167" s="5">
        <v>101</v>
      </c>
      <c r="D167" t="s">
        <v>246</v>
      </c>
      <c r="E167" s="3" t="str">
        <f t="array" ref="E167">IF(OR(EXACT(A167,'ESO Dungeon constants'!$D$3:$D$987)),"X","")</f>
        <v/>
      </c>
      <c r="F167" s="3" t="str">
        <f t="shared" si="8"/>
        <v/>
      </c>
      <c r="G167" s="3" t="str">
        <f t="shared" si="9"/>
        <v>Eastmarch</v>
      </c>
      <c r="H167" s="17">
        <f t="shared" si="10"/>
        <v>363</v>
      </c>
      <c r="I167" s="17">
        <f t="shared" si="11"/>
        <v>101</v>
      </c>
      <c r="J167">
        <v>0</v>
      </c>
      <c r="K167" s="3" t="str">
        <f>VLOOKUP(J167,'LibSets constants'!$A$4:$B$1012,2,FALSE)</f>
        <v>DLC_BASE_GAME</v>
      </c>
      <c r="L167" s="3" t="str">
        <f>VLOOKUP(J167,'LibSets constants'!$A$4:$C$1012,3,FALSE)</f>
        <v>Included in base game</v>
      </c>
    </row>
    <row r="168" spans="1:12" x14ac:dyDescent="0.25">
      <c r="A168" s="5">
        <v>364</v>
      </c>
      <c r="B168" s="5">
        <v>163</v>
      </c>
      <c r="C168" s="5">
        <v>101</v>
      </c>
      <c r="D168" t="s">
        <v>247</v>
      </c>
      <c r="E168" s="3" t="str">
        <f t="array" ref="E168">IF(OR(EXACT(A168,'ESO Dungeon constants'!$D$3:$D$987)),"X","")</f>
        <v/>
      </c>
      <c r="F168" s="3" t="str">
        <f t="shared" si="8"/>
        <v/>
      </c>
      <c r="G168" s="3" t="str">
        <f t="shared" si="9"/>
        <v>Eastmarch</v>
      </c>
      <c r="H168" s="17">
        <f t="shared" si="10"/>
        <v>364</v>
      </c>
      <c r="I168" s="17">
        <f t="shared" si="11"/>
        <v>101</v>
      </c>
      <c r="J168">
        <v>0</v>
      </c>
      <c r="K168" s="3" t="str">
        <f>VLOOKUP(J168,'LibSets constants'!$A$4:$B$1012,2,FALSE)</f>
        <v>DLC_BASE_GAME</v>
      </c>
      <c r="L168" s="3" t="str">
        <f>VLOOKUP(J168,'LibSets constants'!$A$4:$C$1012,3,FALSE)</f>
        <v>Included in base game</v>
      </c>
    </row>
    <row r="169" spans="1:12" x14ac:dyDescent="0.25">
      <c r="A169" s="5">
        <v>365</v>
      </c>
      <c r="B169" s="5">
        <v>164</v>
      </c>
      <c r="C169" s="5">
        <v>347</v>
      </c>
      <c r="D169" t="s">
        <v>248</v>
      </c>
      <c r="E169" s="3" t="str">
        <f t="array" ref="E169">IF(OR(EXACT(A169,'ESO Dungeon constants'!$D$3:$D$987)),"X","")</f>
        <v/>
      </c>
      <c r="F169" s="3" t="str">
        <f t="shared" si="8"/>
        <v/>
      </c>
      <c r="G169" s="3" t="str">
        <f t="shared" si="9"/>
        <v>Coldharbour</v>
      </c>
      <c r="H169" s="17">
        <f t="shared" si="10"/>
        <v>365</v>
      </c>
      <c r="I169" s="17">
        <f t="shared" si="11"/>
        <v>347</v>
      </c>
      <c r="J169">
        <v>0</v>
      </c>
      <c r="K169" s="3" t="str">
        <f>VLOOKUP(J169,'LibSets constants'!$A$4:$B$1012,2,FALSE)</f>
        <v>DLC_BASE_GAME</v>
      </c>
      <c r="L169" s="3" t="str">
        <f>VLOOKUP(J169,'LibSets constants'!$A$4:$C$1012,3,FALSE)</f>
        <v>Included in base game</v>
      </c>
    </row>
    <row r="170" spans="1:12" x14ac:dyDescent="0.25">
      <c r="A170" s="5">
        <v>366</v>
      </c>
      <c r="B170" s="5">
        <v>165</v>
      </c>
      <c r="C170" s="5">
        <v>347</v>
      </c>
      <c r="D170" t="s">
        <v>249</v>
      </c>
      <c r="E170" s="3" t="str">
        <f t="array" ref="E170">IF(OR(EXACT(A170,'ESO Dungeon constants'!$D$3:$D$987)),"X","")</f>
        <v/>
      </c>
      <c r="F170" s="3" t="str">
        <f t="shared" si="8"/>
        <v/>
      </c>
      <c r="G170" s="3" t="str">
        <f t="shared" si="9"/>
        <v>Coldharbour</v>
      </c>
      <c r="H170" s="17">
        <f t="shared" si="10"/>
        <v>366</v>
      </c>
      <c r="I170" s="17">
        <f t="shared" si="11"/>
        <v>347</v>
      </c>
      <c r="J170">
        <v>0</v>
      </c>
      <c r="K170" s="3" t="str">
        <f>VLOOKUP(J170,'LibSets constants'!$A$4:$B$1012,2,FALSE)</f>
        <v>DLC_BASE_GAME</v>
      </c>
      <c r="L170" s="3" t="str">
        <f>VLOOKUP(J170,'LibSets constants'!$A$4:$C$1012,3,FALSE)</f>
        <v>Included in base game</v>
      </c>
    </row>
    <row r="171" spans="1:12" x14ac:dyDescent="0.25">
      <c r="A171" s="5">
        <v>367</v>
      </c>
      <c r="B171" s="5">
        <v>166</v>
      </c>
      <c r="C171" s="5">
        <v>347</v>
      </c>
      <c r="D171" t="s">
        <v>250</v>
      </c>
      <c r="E171" s="3" t="str">
        <f t="array" ref="E171">IF(OR(EXACT(A171,'ESO Dungeon constants'!$D$3:$D$987)),"X","")</f>
        <v/>
      </c>
      <c r="F171" s="3" t="str">
        <f t="shared" si="8"/>
        <v/>
      </c>
      <c r="G171" s="3" t="str">
        <f t="shared" si="9"/>
        <v>Coldharbour</v>
      </c>
      <c r="H171" s="17">
        <f t="shared" si="10"/>
        <v>367</v>
      </c>
      <c r="I171" s="17">
        <f t="shared" si="11"/>
        <v>347</v>
      </c>
      <c r="J171">
        <v>0</v>
      </c>
      <c r="K171" s="3" t="str">
        <f>VLOOKUP(J171,'LibSets constants'!$A$4:$B$1012,2,FALSE)</f>
        <v>DLC_BASE_GAME</v>
      </c>
      <c r="L171" s="3" t="str">
        <f>VLOOKUP(J171,'LibSets constants'!$A$4:$C$1012,3,FALSE)</f>
        <v>Included in base game</v>
      </c>
    </row>
    <row r="172" spans="1:12" x14ac:dyDescent="0.25">
      <c r="A172" s="5">
        <v>368</v>
      </c>
      <c r="B172" s="5">
        <v>167</v>
      </c>
      <c r="C172" s="5">
        <v>347</v>
      </c>
      <c r="D172" t="s">
        <v>251</v>
      </c>
      <c r="E172" s="3" t="str">
        <f t="array" ref="E172">IF(OR(EXACT(A172,'ESO Dungeon constants'!$D$3:$D$987)),"X","")</f>
        <v/>
      </c>
      <c r="F172" s="3" t="str">
        <f t="shared" si="8"/>
        <v/>
      </c>
      <c r="G172" s="3" t="str">
        <f t="shared" si="9"/>
        <v>Coldharbour</v>
      </c>
      <c r="H172" s="17">
        <f t="shared" si="10"/>
        <v>368</v>
      </c>
      <c r="I172" s="17">
        <f t="shared" si="11"/>
        <v>347</v>
      </c>
      <c r="J172">
        <v>0</v>
      </c>
      <c r="K172" s="3" t="str">
        <f>VLOOKUP(J172,'LibSets constants'!$A$4:$B$1012,2,FALSE)</f>
        <v>DLC_BASE_GAME</v>
      </c>
      <c r="L172" s="3" t="str">
        <f>VLOOKUP(J172,'LibSets constants'!$A$4:$C$1012,3,FALSE)</f>
        <v>Included in base game</v>
      </c>
    </row>
    <row r="173" spans="1:12" x14ac:dyDescent="0.25">
      <c r="A173" s="5">
        <v>369</v>
      </c>
      <c r="B173" s="5">
        <v>168</v>
      </c>
      <c r="C173" s="5">
        <v>347</v>
      </c>
      <c r="D173" t="s">
        <v>252</v>
      </c>
      <c r="E173" s="3" t="str">
        <f t="array" ref="E173">IF(OR(EXACT(A173,'ESO Dungeon constants'!$D$3:$D$987)),"X","")</f>
        <v/>
      </c>
      <c r="F173" s="3" t="str">
        <f t="shared" si="8"/>
        <v/>
      </c>
      <c r="G173" s="3" t="str">
        <f t="shared" si="9"/>
        <v>Coldharbour</v>
      </c>
      <c r="H173" s="17">
        <f t="shared" si="10"/>
        <v>369</v>
      </c>
      <c r="I173" s="17">
        <f t="shared" si="11"/>
        <v>347</v>
      </c>
      <c r="J173">
        <v>0</v>
      </c>
      <c r="K173" s="3" t="str">
        <f>VLOOKUP(J173,'LibSets constants'!$A$4:$B$1012,2,FALSE)</f>
        <v>DLC_BASE_GAME</v>
      </c>
      <c r="L173" s="3" t="str">
        <f>VLOOKUP(J173,'LibSets constants'!$A$4:$C$1012,3,FALSE)</f>
        <v>Included in base game</v>
      </c>
    </row>
    <row r="174" spans="1:12" x14ac:dyDescent="0.25">
      <c r="A174" s="5">
        <v>370</v>
      </c>
      <c r="B174" s="5">
        <v>169</v>
      </c>
      <c r="C174" s="5">
        <v>347</v>
      </c>
      <c r="D174" t="s">
        <v>253</v>
      </c>
      <c r="E174" s="3" t="str">
        <f t="array" ref="E174">IF(OR(EXACT(A174,'ESO Dungeon constants'!$D$3:$D$987)),"X","")</f>
        <v/>
      </c>
      <c r="F174" s="3" t="str">
        <f t="shared" si="8"/>
        <v/>
      </c>
      <c r="G174" s="3" t="str">
        <f t="shared" si="9"/>
        <v>Coldharbour</v>
      </c>
      <c r="H174" s="17">
        <f t="shared" si="10"/>
        <v>370</v>
      </c>
      <c r="I174" s="17">
        <f t="shared" si="11"/>
        <v>347</v>
      </c>
      <c r="J174">
        <v>0</v>
      </c>
      <c r="K174" s="3" t="str">
        <f>VLOOKUP(J174,'LibSets constants'!$A$4:$B$1012,2,FALSE)</f>
        <v>DLC_BASE_GAME</v>
      </c>
      <c r="L174" s="3" t="str">
        <f>VLOOKUP(J174,'LibSets constants'!$A$4:$C$1012,3,FALSE)</f>
        <v>Included in base game</v>
      </c>
    </row>
    <row r="175" spans="1:12" x14ac:dyDescent="0.25">
      <c r="A175" s="5">
        <v>371</v>
      </c>
      <c r="B175" s="5">
        <v>170</v>
      </c>
      <c r="C175" s="5">
        <v>347</v>
      </c>
      <c r="D175" t="s">
        <v>254</v>
      </c>
      <c r="E175" s="3" t="str">
        <f t="array" ref="E175">IF(OR(EXACT(A175,'ESO Dungeon constants'!$D$3:$D$987)),"X","")</f>
        <v/>
      </c>
      <c r="F175" s="3" t="str">
        <f t="shared" si="8"/>
        <v/>
      </c>
      <c r="G175" s="3" t="str">
        <f t="shared" si="9"/>
        <v>Coldharbour</v>
      </c>
      <c r="H175" s="17">
        <f t="shared" si="10"/>
        <v>371</v>
      </c>
      <c r="I175" s="17">
        <f t="shared" si="11"/>
        <v>347</v>
      </c>
      <c r="J175">
        <v>0</v>
      </c>
      <c r="K175" s="3" t="str">
        <f>VLOOKUP(J175,'LibSets constants'!$A$4:$B$1012,2,FALSE)</f>
        <v>DLC_BASE_GAME</v>
      </c>
      <c r="L175" s="3" t="str">
        <f>VLOOKUP(J175,'LibSets constants'!$A$4:$C$1012,3,FALSE)</f>
        <v>Included in base game</v>
      </c>
    </row>
    <row r="176" spans="1:12" x14ac:dyDescent="0.25">
      <c r="A176" s="5">
        <v>372</v>
      </c>
      <c r="B176" s="5">
        <v>171</v>
      </c>
      <c r="C176" s="5">
        <v>347</v>
      </c>
      <c r="D176" t="s">
        <v>255</v>
      </c>
      <c r="E176" s="3" t="str">
        <f t="array" ref="E176">IF(OR(EXACT(A176,'ESO Dungeon constants'!$D$3:$D$987)),"X","")</f>
        <v/>
      </c>
      <c r="F176" s="3" t="str">
        <f t="shared" si="8"/>
        <v/>
      </c>
      <c r="G176" s="3" t="str">
        <f t="shared" si="9"/>
        <v>Coldharbour</v>
      </c>
      <c r="H176" s="17">
        <f t="shared" si="10"/>
        <v>372</v>
      </c>
      <c r="I176" s="17">
        <f t="shared" si="11"/>
        <v>347</v>
      </c>
      <c r="J176">
        <v>0</v>
      </c>
      <c r="K176" s="3" t="str">
        <f>VLOOKUP(J176,'LibSets constants'!$A$4:$B$1012,2,FALSE)</f>
        <v>DLC_BASE_GAME</v>
      </c>
      <c r="L176" s="3" t="str">
        <f>VLOOKUP(J176,'LibSets constants'!$A$4:$C$1012,3,FALSE)</f>
        <v>Included in base game</v>
      </c>
    </row>
    <row r="177" spans="1:12" x14ac:dyDescent="0.25">
      <c r="A177" s="5">
        <v>374</v>
      </c>
      <c r="B177" s="5">
        <v>172</v>
      </c>
      <c r="C177" s="5">
        <v>347</v>
      </c>
      <c r="D177" t="s">
        <v>256</v>
      </c>
      <c r="E177" s="3" t="str">
        <f t="array" ref="E177">IF(OR(EXACT(A177,'ESO Dungeon constants'!$D$3:$D$987)),"X","")</f>
        <v/>
      </c>
      <c r="F177" s="3" t="str">
        <f t="shared" si="8"/>
        <v/>
      </c>
      <c r="G177" s="3" t="str">
        <f t="shared" si="9"/>
        <v>Coldharbour</v>
      </c>
      <c r="H177" s="17">
        <f t="shared" si="10"/>
        <v>374</v>
      </c>
      <c r="I177" s="17">
        <f t="shared" si="11"/>
        <v>347</v>
      </c>
      <c r="J177">
        <v>0</v>
      </c>
      <c r="K177" s="3" t="str">
        <f>VLOOKUP(J177,'LibSets constants'!$A$4:$B$1012,2,FALSE)</f>
        <v>DLC_BASE_GAME</v>
      </c>
      <c r="L177" s="3" t="str">
        <f>VLOOKUP(J177,'LibSets constants'!$A$4:$C$1012,3,FALSE)</f>
        <v>Included in base game</v>
      </c>
    </row>
    <row r="178" spans="1:12" x14ac:dyDescent="0.25">
      <c r="A178" s="5">
        <v>375</v>
      </c>
      <c r="B178" s="5">
        <v>173</v>
      </c>
      <c r="C178" s="5">
        <v>347</v>
      </c>
      <c r="D178" t="s">
        <v>257</v>
      </c>
      <c r="E178" s="3" t="str">
        <f t="array" ref="E178">IF(OR(EXACT(A178,'ESO Dungeon constants'!$D$3:$D$987)),"X","")</f>
        <v/>
      </c>
      <c r="F178" s="3" t="str">
        <f t="shared" si="8"/>
        <v/>
      </c>
      <c r="G178" s="3" t="str">
        <f t="shared" si="9"/>
        <v>Coldharbour</v>
      </c>
      <c r="H178" s="17">
        <f t="shared" si="10"/>
        <v>375</v>
      </c>
      <c r="I178" s="17">
        <f t="shared" si="11"/>
        <v>347</v>
      </c>
      <c r="J178">
        <v>0</v>
      </c>
      <c r="K178" s="3" t="str">
        <f>VLOOKUP(J178,'LibSets constants'!$A$4:$B$1012,2,FALSE)</f>
        <v>DLC_BASE_GAME</v>
      </c>
      <c r="L178" s="3" t="str">
        <f>VLOOKUP(J178,'LibSets constants'!$A$4:$C$1012,3,FALSE)</f>
        <v>Included in base game</v>
      </c>
    </row>
    <row r="179" spans="1:12" x14ac:dyDescent="0.25">
      <c r="A179" s="5">
        <v>376</v>
      </c>
      <c r="B179" s="5">
        <v>174</v>
      </c>
      <c r="C179" s="5">
        <v>347</v>
      </c>
      <c r="D179" t="s">
        <v>258</v>
      </c>
      <c r="E179" s="3" t="str">
        <f t="array" ref="E179">IF(OR(EXACT(A179,'ESO Dungeon constants'!$D$3:$D$987)),"X","")</f>
        <v/>
      </c>
      <c r="F179" s="3" t="str">
        <f t="shared" si="8"/>
        <v/>
      </c>
      <c r="G179" s="3" t="str">
        <f t="shared" si="9"/>
        <v>Coldharbour</v>
      </c>
      <c r="H179" s="17">
        <f t="shared" si="10"/>
        <v>376</v>
      </c>
      <c r="I179" s="17">
        <f t="shared" si="11"/>
        <v>347</v>
      </c>
      <c r="J179">
        <v>0</v>
      </c>
      <c r="K179" s="3" t="str">
        <f>VLOOKUP(J179,'LibSets constants'!$A$4:$B$1012,2,FALSE)</f>
        <v>DLC_BASE_GAME</v>
      </c>
      <c r="L179" s="3" t="str">
        <f>VLOOKUP(J179,'LibSets constants'!$A$4:$C$1012,3,FALSE)</f>
        <v>Included in base game</v>
      </c>
    </row>
    <row r="180" spans="1:12" x14ac:dyDescent="0.25">
      <c r="A180" s="5">
        <v>377</v>
      </c>
      <c r="B180" s="5">
        <v>175</v>
      </c>
      <c r="C180" s="5">
        <v>58</v>
      </c>
      <c r="D180" t="s">
        <v>259</v>
      </c>
      <c r="E180" s="3" t="str">
        <f t="array" ref="E180">IF(OR(EXACT(A180,'ESO Dungeon constants'!$D$3:$D$987)),"X","")</f>
        <v/>
      </c>
      <c r="F180" s="3" t="str">
        <f t="shared" si="8"/>
        <v/>
      </c>
      <c r="G180" s="3" t="str">
        <f t="shared" si="9"/>
        <v>Malabal Tor</v>
      </c>
      <c r="H180" s="17">
        <f t="shared" si="10"/>
        <v>377</v>
      </c>
      <c r="I180" s="17">
        <f t="shared" si="11"/>
        <v>58</v>
      </c>
      <c r="J180">
        <v>0</v>
      </c>
      <c r="K180" s="3" t="str">
        <f>VLOOKUP(J180,'LibSets constants'!$A$4:$B$1012,2,FALSE)</f>
        <v>DLC_BASE_GAME</v>
      </c>
      <c r="L180" s="3" t="str">
        <f>VLOOKUP(J180,'LibSets constants'!$A$4:$C$1012,3,FALSE)</f>
        <v>Included in base game</v>
      </c>
    </row>
    <row r="181" spans="1:12" x14ac:dyDescent="0.25">
      <c r="A181" s="5">
        <v>378</v>
      </c>
      <c r="B181" s="5">
        <v>176</v>
      </c>
      <c r="C181" s="5">
        <v>58</v>
      </c>
      <c r="D181" t="s">
        <v>260</v>
      </c>
      <c r="E181" s="3" t="str">
        <f t="array" ref="E181">IF(OR(EXACT(A181,'ESO Dungeon constants'!$D$3:$D$987)),"X","")</f>
        <v/>
      </c>
      <c r="F181" s="3" t="str">
        <f t="shared" si="8"/>
        <v/>
      </c>
      <c r="G181" s="3" t="str">
        <f t="shared" si="9"/>
        <v>Malabal Tor</v>
      </c>
      <c r="H181" s="17">
        <f t="shared" si="10"/>
        <v>378</v>
      </c>
      <c r="I181" s="17">
        <f t="shared" si="11"/>
        <v>58</v>
      </c>
      <c r="J181">
        <v>0</v>
      </c>
      <c r="K181" s="3" t="str">
        <f>VLOOKUP(J181,'LibSets constants'!$A$4:$B$1012,2,FALSE)</f>
        <v>DLC_BASE_GAME</v>
      </c>
      <c r="L181" s="3" t="str">
        <f>VLOOKUP(J181,'LibSets constants'!$A$4:$C$1012,3,FALSE)</f>
        <v>Included in base game</v>
      </c>
    </row>
    <row r="182" spans="1:12" x14ac:dyDescent="0.25">
      <c r="A182" s="5">
        <v>379</v>
      </c>
      <c r="B182" s="5">
        <v>177</v>
      </c>
      <c r="C182" s="5">
        <v>58</v>
      </c>
      <c r="D182" t="s">
        <v>261</v>
      </c>
      <c r="E182" s="3" t="str">
        <f t="array" ref="E182">IF(OR(EXACT(A182,'ESO Dungeon constants'!$D$3:$D$987)),"X","")</f>
        <v/>
      </c>
      <c r="F182" s="3" t="str">
        <f t="shared" si="8"/>
        <v/>
      </c>
      <c r="G182" s="3" t="str">
        <f t="shared" si="9"/>
        <v>Malabal Tor</v>
      </c>
      <c r="H182" s="17">
        <f t="shared" si="10"/>
        <v>379</v>
      </c>
      <c r="I182" s="17">
        <f t="shared" si="11"/>
        <v>58</v>
      </c>
      <c r="J182">
        <v>0</v>
      </c>
      <c r="K182" s="3" t="str">
        <f>VLOOKUP(J182,'LibSets constants'!$A$4:$B$1012,2,FALSE)</f>
        <v>DLC_BASE_GAME</v>
      </c>
      <c r="L182" s="3" t="str">
        <f>VLOOKUP(J182,'LibSets constants'!$A$4:$C$1012,3,FALSE)</f>
        <v>Included in base game</v>
      </c>
    </row>
    <row r="183" spans="1:12" x14ac:dyDescent="0.25">
      <c r="A183" s="5">
        <v>380</v>
      </c>
      <c r="B183" s="5">
        <v>178</v>
      </c>
      <c r="C183" s="5">
        <v>381</v>
      </c>
      <c r="D183" t="s">
        <v>96</v>
      </c>
      <c r="E183" s="3" t="str">
        <f t="array" ref="E183">IF(OR(EXACT(A183,'ESO Dungeon constants'!$D$3:$D$987)),"X","")</f>
        <v>X</v>
      </c>
      <c r="F183" s="3" t="str">
        <f t="shared" si="8"/>
        <v/>
      </c>
      <c r="G183" s="3" t="str">
        <f t="shared" si="9"/>
        <v>Auridon</v>
      </c>
      <c r="H183" s="17">
        <f t="shared" si="10"/>
        <v>380</v>
      </c>
      <c r="I183" s="17">
        <f t="shared" si="11"/>
        <v>381</v>
      </c>
      <c r="J183">
        <v>0</v>
      </c>
      <c r="K183" s="3" t="str">
        <f>VLOOKUP(J183,'LibSets constants'!$A$4:$B$1012,2,FALSE)</f>
        <v>DLC_BASE_GAME</v>
      </c>
      <c r="L183" s="3" t="str">
        <f>VLOOKUP(J183,'LibSets constants'!$A$4:$C$1012,3,FALSE)</f>
        <v>Included in base game</v>
      </c>
    </row>
    <row r="184" spans="1:12" x14ac:dyDescent="0.25">
      <c r="A184" s="5">
        <v>381</v>
      </c>
      <c r="B184" s="5">
        <v>179</v>
      </c>
      <c r="C184" s="5">
        <v>381</v>
      </c>
      <c r="D184" t="s">
        <v>262</v>
      </c>
      <c r="E184" s="3" t="str">
        <f t="array" ref="E184">IF(OR(EXACT(A184,'ESO Dungeon constants'!$D$3:$D$987)),"X","")</f>
        <v/>
      </c>
      <c r="F184" s="3" t="str">
        <f t="shared" si="8"/>
        <v>X</v>
      </c>
      <c r="G184" s="3" t="str">
        <f t="shared" si="9"/>
        <v/>
      </c>
      <c r="H184" s="17">
        <f t="shared" si="10"/>
        <v>381</v>
      </c>
      <c r="I184" s="17">
        <f t="shared" si="11"/>
        <v>381</v>
      </c>
      <c r="J184">
        <v>0</v>
      </c>
      <c r="K184" s="3" t="str">
        <f>VLOOKUP(J184,'LibSets constants'!$A$4:$B$1012,2,FALSE)</f>
        <v>DLC_BASE_GAME</v>
      </c>
      <c r="L184" s="3" t="str">
        <f>VLOOKUP(J184,'LibSets constants'!$A$4:$C$1012,3,FALSE)</f>
        <v>Included in base game</v>
      </c>
    </row>
    <row r="185" spans="1:12" x14ac:dyDescent="0.25">
      <c r="A185" s="5">
        <v>382</v>
      </c>
      <c r="B185" s="5">
        <v>180</v>
      </c>
      <c r="C185" s="5">
        <v>382</v>
      </c>
      <c r="D185" t="s">
        <v>263</v>
      </c>
      <c r="E185" s="3" t="str">
        <f t="array" ref="E185">IF(OR(EXACT(A185,'ESO Dungeon constants'!$D$3:$D$987)),"X","")</f>
        <v/>
      </c>
      <c r="F185" s="3" t="str">
        <f t="shared" si="8"/>
        <v>X</v>
      </c>
      <c r="G185" s="3" t="str">
        <f t="shared" si="9"/>
        <v/>
      </c>
      <c r="H185" s="17">
        <f t="shared" si="10"/>
        <v>382</v>
      </c>
      <c r="I185" s="17">
        <f t="shared" si="11"/>
        <v>382</v>
      </c>
      <c r="J185">
        <v>0</v>
      </c>
      <c r="K185" s="3" t="str">
        <f>VLOOKUP(J185,'LibSets constants'!$A$4:$B$1012,2,FALSE)</f>
        <v>DLC_BASE_GAME</v>
      </c>
      <c r="L185" s="3" t="str">
        <f>VLOOKUP(J185,'LibSets constants'!$A$4:$C$1012,3,FALSE)</f>
        <v>Included in base game</v>
      </c>
    </row>
    <row r="186" spans="1:12" x14ac:dyDescent="0.25">
      <c r="A186" s="5">
        <v>383</v>
      </c>
      <c r="B186" s="5">
        <v>181</v>
      </c>
      <c r="C186" s="5">
        <v>383</v>
      </c>
      <c r="D186" t="s">
        <v>264</v>
      </c>
      <c r="E186" s="3" t="str">
        <f t="array" ref="E186">IF(OR(EXACT(A186,'ESO Dungeon constants'!$D$3:$D$987)),"X","")</f>
        <v/>
      </c>
      <c r="F186" s="3" t="str">
        <f t="shared" si="8"/>
        <v>X</v>
      </c>
      <c r="G186" s="3" t="str">
        <f t="shared" si="9"/>
        <v/>
      </c>
      <c r="H186" s="17">
        <f t="shared" si="10"/>
        <v>383</v>
      </c>
      <c r="I186" s="17">
        <f t="shared" si="11"/>
        <v>383</v>
      </c>
      <c r="J186">
        <v>0</v>
      </c>
      <c r="K186" s="3" t="str">
        <f>VLOOKUP(J186,'LibSets constants'!$A$4:$B$1012,2,FALSE)</f>
        <v>DLC_BASE_GAME</v>
      </c>
      <c r="L186" s="3" t="str">
        <f>VLOOKUP(J186,'LibSets constants'!$A$4:$C$1012,3,FALSE)</f>
        <v>Included in base game</v>
      </c>
    </row>
    <row r="187" spans="1:12" x14ac:dyDescent="0.25">
      <c r="A187" s="5">
        <v>385</v>
      </c>
      <c r="B187" s="5">
        <v>182</v>
      </c>
      <c r="C187" s="5">
        <v>208</v>
      </c>
      <c r="D187" t="s">
        <v>265</v>
      </c>
      <c r="E187" s="3" t="str">
        <f t="array" ref="E187">IF(OR(EXACT(A187,'ESO Dungeon constants'!$D$3:$D$987)),"X","")</f>
        <v/>
      </c>
      <c r="F187" s="3" t="str">
        <f t="shared" si="8"/>
        <v/>
      </c>
      <c r="G187" s="3" t="str">
        <f t="shared" si="9"/>
        <v>The Earth Forge</v>
      </c>
      <c r="H187" s="17">
        <f t="shared" si="10"/>
        <v>385</v>
      </c>
      <c r="I187" s="17">
        <f t="shared" si="11"/>
        <v>208</v>
      </c>
      <c r="J187">
        <v>0</v>
      </c>
      <c r="K187" s="3" t="str">
        <f>VLOOKUP(J187,'LibSets constants'!$A$4:$B$1012,2,FALSE)</f>
        <v>DLC_BASE_GAME</v>
      </c>
      <c r="L187" s="3" t="str">
        <f>VLOOKUP(J187,'LibSets constants'!$A$4:$C$1012,3,FALSE)</f>
        <v>Included in base game</v>
      </c>
    </row>
    <row r="188" spans="1:12" x14ac:dyDescent="0.25">
      <c r="A188" s="5">
        <v>386</v>
      </c>
      <c r="B188" s="5">
        <v>183</v>
      </c>
      <c r="C188" s="5">
        <v>41</v>
      </c>
      <c r="D188" t="s">
        <v>266</v>
      </c>
      <c r="E188" s="3" t="str">
        <f t="array" ref="E188">IF(OR(EXACT(A188,'ESO Dungeon constants'!$D$3:$D$987)),"X","")</f>
        <v/>
      </c>
      <c r="F188" s="3" t="str">
        <f t="shared" si="8"/>
        <v/>
      </c>
      <c r="G188" s="3" t="str">
        <f t="shared" si="9"/>
        <v>Stonefalls</v>
      </c>
      <c r="H188" s="17">
        <f t="shared" si="10"/>
        <v>386</v>
      </c>
      <c r="I188" s="17">
        <f t="shared" si="11"/>
        <v>41</v>
      </c>
      <c r="J188">
        <v>0</v>
      </c>
      <c r="K188" s="3" t="str">
        <f>VLOOKUP(J188,'LibSets constants'!$A$4:$B$1012,2,FALSE)</f>
        <v>DLC_BASE_GAME</v>
      </c>
      <c r="L188" s="3" t="str">
        <f>VLOOKUP(J188,'LibSets constants'!$A$4:$C$1012,3,FALSE)</f>
        <v>Included in base game</v>
      </c>
    </row>
    <row r="189" spans="1:12" x14ac:dyDescent="0.25">
      <c r="A189" s="5">
        <v>387</v>
      </c>
      <c r="B189" s="5">
        <v>184</v>
      </c>
      <c r="C189" s="5">
        <v>381</v>
      </c>
      <c r="D189" t="s">
        <v>267</v>
      </c>
      <c r="E189" s="3" t="str">
        <f t="array" ref="E189">IF(OR(EXACT(A189,'ESO Dungeon constants'!$D$3:$D$987)),"X","")</f>
        <v/>
      </c>
      <c r="F189" s="3" t="str">
        <f t="shared" si="8"/>
        <v/>
      </c>
      <c r="G189" s="3" t="str">
        <f t="shared" si="9"/>
        <v>Auridon</v>
      </c>
      <c r="H189" s="17">
        <f t="shared" si="10"/>
        <v>387</v>
      </c>
      <c r="I189" s="17">
        <f t="shared" si="11"/>
        <v>381</v>
      </c>
      <c r="J189">
        <v>0</v>
      </c>
      <c r="K189" s="3" t="str">
        <f>VLOOKUP(J189,'LibSets constants'!$A$4:$B$1012,2,FALSE)</f>
        <v>DLC_BASE_GAME</v>
      </c>
      <c r="L189" s="3" t="str">
        <f>VLOOKUP(J189,'LibSets constants'!$A$4:$C$1012,3,FALSE)</f>
        <v>Included in base game</v>
      </c>
    </row>
    <row r="190" spans="1:12" x14ac:dyDescent="0.25">
      <c r="A190" s="5">
        <v>388</v>
      </c>
      <c r="B190" s="5">
        <v>185</v>
      </c>
      <c r="C190" s="5">
        <v>381</v>
      </c>
      <c r="D190" t="s">
        <v>268</v>
      </c>
      <c r="E190" s="3" t="str">
        <f t="array" ref="E190">IF(OR(EXACT(A190,'ESO Dungeon constants'!$D$3:$D$987)),"X","")</f>
        <v/>
      </c>
      <c r="F190" s="3" t="str">
        <f t="shared" si="8"/>
        <v/>
      </c>
      <c r="G190" s="3" t="str">
        <f t="shared" si="9"/>
        <v>Auridon</v>
      </c>
      <c r="H190" s="17">
        <f t="shared" si="10"/>
        <v>388</v>
      </c>
      <c r="I190" s="17">
        <f t="shared" si="11"/>
        <v>381</v>
      </c>
      <c r="J190">
        <v>0</v>
      </c>
      <c r="K190" s="3" t="str">
        <f>VLOOKUP(J190,'LibSets constants'!$A$4:$B$1012,2,FALSE)</f>
        <v>DLC_BASE_GAME</v>
      </c>
      <c r="L190" s="3" t="str">
        <f>VLOOKUP(J190,'LibSets constants'!$A$4:$C$1012,3,FALSE)</f>
        <v>Included in base game</v>
      </c>
    </row>
    <row r="191" spans="1:12" x14ac:dyDescent="0.25">
      <c r="A191" s="5">
        <v>389</v>
      </c>
      <c r="B191" s="5">
        <v>186</v>
      </c>
      <c r="C191" s="5">
        <v>383</v>
      </c>
      <c r="D191" t="s">
        <v>269</v>
      </c>
      <c r="E191" s="3" t="str">
        <f t="array" ref="E191">IF(OR(EXACT(A191,'ESO Dungeon constants'!$D$3:$D$987)),"X","")</f>
        <v/>
      </c>
      <c r="F191" s="3" t="str">
        <f t="shared" si="8"/>
        <v/>
      </c>
      <c r="G191" s="3" t="str">
        <f t="shared" si="9"/>
        <v>Grahtwood</v>
      </c>
      <c r="H191" s="17">
        <f t="shared" si="10"/>
        <v>389</v>
      </c>
      <c r="I191" s="17">
        <f t="shared" si="11"/>
        <v>383</v>
      </c>
      <c r="J191">
        <v>0</v>
      </c>
      <c r="K191" s="3" t="str">
        <f>VLOOKUP(J191,'LibSets constants'!$A$4:$B$1012,2,FALSE)</f>
        <v>DLC_BASE_GAME</v>
      </c>
      <c r="L191" s="3" t="str">
        <f>VLOOKUP(J191,'LibSets constants'!$A$4:$C$1012,3,FALSE)</f>
        <v>Included in base game</v>
      </c>
    </row>
    <row r="192" spans="1:12" x14ac:dyDescent="0.25">
      <c r="A192" s="5">
        <v>390</v>
      </c>
      <c r="B192" s="5">
        <v>187</v>
      </c>
      <c r="C192" s="5">
        <v>381</v>
      </c>
      <c r="D192" t="s">
        <v>270</v>
      </c>
      <c r="E192" s="3" t="str">
        <f t="array" ref="E192">IF(OR(EXACT(A192,'ESO Dungeon constants'!$D$3:$D$987)),"X","")</f>
        <v/>
      </c>
      <c r="F192" s="3" t="str">
        <f t="shared" si="8"/>
        <v/>
      </c>
      <c r="G192" s="3" t="str">
        <f t="shared" si="9"/>
        <v>Auridon</v>
      </c>
      <c r="H192" s="17">
        <f t="shared" si="10"/>
        <v>390</v>
      </c>
      <c r="I192" s="17">
        <f t="shared" si="11"/>
        <v>381</v>
      </c>
      <c r="J192">
        <v>0</v>
      </c>
      <c r="K192" s="3" t="str">
        <f>VLOOKUP(J192,'LibSets constants'!$A$4:$B$1012,2,FALSE)</f>
        <v>DLC_BASE_GAME</v>
      </c>
      <c r="L192" s="3" t="str">
        <f>VLOOKUP(J192,'LibSets constants'!$A$4:$C$1012,3,FALSE)</f>
        <v>Included in base game</v>
      </c>
    </row>
    <row r="193" spans="1:12" x14ac:dyDescent="0.25">
      <c r="A193" s="5">
        <v>392</v>
      </c>
      <c r="B193" s="5">
        <v>188</v>
      </c>
      <c r="C193" s="5">
        <v>381</v>
      </c>
      <c r="D193" t="s">
        <v>271</v>
      </c>
      <c r="E193" s="3" t="str">
        <f t="array" ref="E193">IF(OR(EXACT(A193,'ESO Dungeon constants'!$D$3:$D$987)),"X","")</f>
        <v/>
      </c>
      <c r="F193" s="3" t="str">
        <f t="shared" si="8"/>
        <v/>
      </c>
      <c r="G193" s="3" t="str">
        <f t="shared" si="9"/>
        <v>Auridon</v>
      </c>
      <c r="H193" s="17">
        <f t="shared" si="10"/>
        <v>392</v>
      </c>
      <c r="I193" s="17">
        <f t="shared" si="11"/>
        <v>381</v>
      </c>
      <c r="J193">
        <v>0</v>
      </c>
      <c r="K193" s="3" t="str">
        <f>VLOOKUP(J193,'LibSets constants'!$A$4:$B$1012,2,FALSE)</f>
        <v>DLC_BASE_GAME</v>
      </c>
      <c r="L193" s="3" t="str">
        <f>VLOOKUP(J193,'LibSets constants'!$A$4:$C$1012,3,FALSE)</f>
        <v>Included in base game</v>
      </c>
    </row>
    <row r="194" spans="1:12" x14ac:dyDescent="0.25">
      <c r="A194" s="5">
        <v>393</v>
      </c>
      <c r="B194" s="5">
        <v>189</v>
      </c>
      <c r="C194" s="5">
        <v>381</v>
      </c>
      <c r="D194" t="s">
        <v>272</v>
      </c>
      <c r="E194" s="3" t="str">
        <f t="array" ref="E194">IF(OR(EXACT(A194,'ESO Dungeon constants'!$D$3:$D$987)),"X","")</f>
        <v/>
      </c>
      <c r="F194" s="3" t="str">
        <f t="shared" si="8"/>
        <v/>
      </c>
      <c r="G194" s="3" t="str">
        <f t="shared" si="9"/>
        <v>Auridon</v>
      </c>
      <c r="H194" s="17">
        <f t="shared" si="10"/>
        <v>393</v>
      </c>
      <c r="I194" s="17">
        <f t="shared" si="11"/>
        <v>381</v>
      </c>
      <c r="J194">
        <v>0</v>
      </c>
      <c r="K194" s="3" t="str">
        <f>VLOOKUP(J194,'LibSets constants'!$A$4:$B$1012,2,FALSE)</f>
        <v>DLC_BASE_GAME</v>
      </c>
      <c r="L194" s="3" t="str">
        <f>VLOOKUP(J194,'LibSets constants'!$A$4:$C$1012,3,FALSE)</f>
        <v>Included in base game</v>
      </c>
    </row>
    <row r="195" spans="1:12" x14ac:dyDescent="0.25">
      <c r="A195" s="5">
        <v>394</v>
      </c>
      <c r="B195" s="5">
        <v>190</v>
      </c>
      <c r="C195" s="5">
        <v>381</v>
      </c>
      <c r="D195" t="s">
        <v>273</v>
      </c>
      <c r="E195" s="3" t="str">
        <f t="array" ref="E195">IF(OR(EXACT(A195,'ESO Dungeon constants'!$D$3:$D$987)),"X","")</f>
        <v/>
      </c>
      <c r="F195" s="3" t="str">
        <f t="shared" si="8"/>
        <v/>
      </c>
      <c r="G195" s="3" t="str">
        <f t="shared" si="9"/>
        <v>Auridon</v>
      </c>
      <c r="H195" s="17">
        <f t="shared" si="10"/>
        <v>394</v>
      </c>
      <c r="I195" s="17">
        <f t="shared" si="11"/>
        <v>381</v>
      </c>
      <c r="J195">
        <v>0</v>
      </c>
      <c r="K195" s="3" t="str">
        <f>VLOOKUP(J195,'LibSets constants'!$A$4:$B$1012,2,FALSE)</f>
        <v>DLC_BASE_GAME</v>
      </c>
      <c r="L195" s="3" t="str">
        <f>VLOOKUP(J195,'LibSets constants'!$A$4:$C$1012,3,FALSE)</f>
        <v>Included in base game</v>
      </c>
    </row>
    <row r="196" spans="1:12" x14ac:dyDescent="0.25">
      <c r="A196" s="5">
        <v>395</v>
      </c>
      <c r="B196" s="5">
        <v>191</v>
      </c>
      <c r="C196" s="5">
        <v>381</v>
      </c>
      <c r="D196" t="s">
        <v>274</v>
      </c>
      <c r="E196" s="3" t="str">
        <f t="array" ref="E196">IF(OR(EXACT(A196,'ESO Dungeon constants'!$D$3:$D$987)),"X","")</f>
        <v/>
      </c>
      <c r="F196" s="3" t="str">
        <f t="shared" si="8"/>
        <v/>
      </c>
      <c r="G196" s="3" t="str">
        <f t="shared" si="9"/>
        <v>Auridon</v>
      </c>
      <c r="H196" s="17">
        <f t="shared" si="10"/>
        <v>395</v>
      </c>
      <c r="I196" s="17">
        <f t="shared" si="11"/>
        <v>381</v>
      </c>
      <c r="J196">
        <v>0</v>
      </c>
      <c r="K196" s="3" t="str">
        <f>VLOOKUP(J196,'LibSets constants'!$A$4:$B$1012,2,FALSE)</f>
        <v>DLC_BASE_GAME</v>
      </c>
      <c r="L196" s="3" t="str">
        <f>VLOOKUP(J196,'LibSets constants'!$A$4:$C$1012,3,FALSE)</f>
        <v>Included in base game</v>
      </c>
    </row>
    <row r="197" spans="1:12" x14ac:dyDescent="0.25">
      <c r="A197" s="5">
        <v>396</v>
      </c>
      <c r="B197" s="5">
        <v>192</v>
      </c>
      <c r="C197" s="5">
        <v>381</v>
      </c>
      <c r="D197" t="s">
        <v>275</v>
      </c>
      <c r="E197" s="3" t="str">
        <f t="array" ref="E197">IF(OR(EXACT(A197,'ESO Dungeon constants'!$D$3:$D$987)),"X","")</f>
        <v/>
      </c>
      <c r="F197" s="3" t="str">
        <f t="shared" ref="F197:F260" si="12">IF(EXACT(A197,C197),"X","")</f>
        <v/>
      </c>
      <c r="G197" s="3" t="str">
        <f t="shared" ref="G197:G260" si="13">IF(A197&lt;&gt;C197,VLOOKUP(C197,$A$5:$D$9954,4,FALSE),"")</f>
        <v>Auridon</v>
      </c>
      <c r="H197" s="17">
        <f t="shared" ref="H197:H260" si="14">A197</f>
        <v>396</v>
      </c>
      <c r="I197" s="17">
        <f t="shared" ref="I197:I260" si="15">C197</f>
        <v>381</v>
      </c>
      <c r="J197">
        <v>0</v>
      </c>
      <c r="K197" s="3" t="str">
        <f>VLOOKUP(J197,'LibSets constants'!$A$4:$B$1012,2,FALSE)</f>
        <v>DLC_BASE_GAME</v>
      </c>
      <c r="L197" s="3" t="str">
        <f>VLOOKUP(J197,'LibSets constants'!$A$4:$C$1012,3,FALSE)</f>
        <v>Included in base game</v>
      </c>
    </row>
    <row r="198" spans="1:12" x14ac:dyDescent="0.25">
      <c r="A198" s="5">
        <v>397</v>
      </c>
      <c r="B198" s="5">
        <v>193</v>
      </c>
      <c r="C198" s="5">
        <v>381</v>
      </c>
      <c r="D198" t="s">
        <v>276</v>
      </c>
      <c r="E198" s="3" t="str">
        <f t="array" ref="E198">IF(OR(EXACT(A198,'ESO Dungeon constants'!$D$3:$D$987)),"X","")</f>
        <v/>
      </c>
      <c r="F198" s="3" t="str">
        <f t="shared" si="12"/>
        <v/>
      </c>
      <c r="G198" s="3" t="str">
        <f t="shared" si="13"/>
        <v>Auridon</v>
      </c>
      <c r="H198" s="17">
        <f t="shared" si="14"/>
        <v>397</v>
      </c>
      <c r="I198" s="17">
        <f t="shared" si="15"/>
        <v>381</v>
      </c>
      <c r="J198">
        <v>0</v>
      </c>
      <c r="K198" s="3" t="str">
        <f>VLOOKUP(J198,'LibSets constants'!$A$4:$B$1012,2,FALSE)</f>
        <v>DLC_BASE_GAME</v>
      </c>
      <c r="L198" s="3" t="str">
        <f>VLOOKUP(J198,'LibSets constants'!$A$4:$C$1012,3,FALSE)</f>
        <v>Included in base game</v>
      </c>
    </row>
    <row r="199" spans="1:12" x14ac:dyDescent="0.25">
      <c r="A199" s="5">
        <v>398</v>
      </c>
      <c r="B199" s="5">
        <v>194</v>
      </c>
      <c r="C199" s="5">
        <v>381</v>
      </c>
      <c r="D199" t="s">
        <v>277</v>
      </c>
      <c r="E199" s="3" t="str">
        <f t="array" ref="E199">IF(OR(EXACT(A199,'ESO Dungeon constants'!$D$3:$D$987)),"X","")</f>
        <v/>
      </c>
      <c r="F199" s="3" t="str">
        <f t="shared" si="12"/>
        <v/>
      </c>
      <c r="G199" s="3" t="str">
        <f t="shared" si="13"/>
        <v>Auridon</v>
      </c>
      <c r="H199" s="17">
        <f t="shared" si="14"/>
        <v>398</v>
      </c>
      <c r="I199" s="17">
        <f t="shared" si="15"/>
        <v>381</v>
      </c>
      <c r="J199">
        <v>1</v>
      </c>
      <c r="K199" s="3" t="str">
        <f>VLOOKUP(J199,'LibSets constants'!$A$4:$B$1012,2,FALSE)</f>
        <v>DLC_IMPERIAL_CITY</v>
      </c>
      <c r="L199" s="3" t="str">
        <f>VLOOKUP(J199,'LibSets constants'!$A$4:$C$1012,3,FALSE)</f>
        <v>Imperial City</v>
      </c>
    </row>
    <row r="200" spans="1:12" x14ac:dyDescent="0.25">
      <c r="A200" s="5">
        <v>399</v>
      </c>
      <c r="B200" s="5">
        <v>195</v>
      </c>
      <c r="C200" s="5">
        <v>381</v>
      </c>
      <c r="D200" t="s">
        <v>278</v>
      </c>
      <c r="E200" s="3" t="str">
        <f t="array" ref="E200">IF(OR(EXACT(A200,'ESO Dungeon constants'!$D$3:$D$987)),"X","")</f>
        <v/>
      </c>
      <c r="F200" s="3" t="str">
        <f t="shared" si="12"/>
        <v/>
      </c>
      <c r="G200" s="3" t="str">
        <f t="shared" si="13"/>
        <v>Auridon</v>
      </c>
      <c r="H200" s="17">
        <f t="shared" si="14"/>
        <v>399</v>
      </c>
      <c r="I200" s="17">
        <f t="shared" si="15"/>
        <v>381</v>
      </c>
      <c r="J200">
        <v>1</v>
      </c>
      <c r="K200" s="3" t="str">
        <f>VLOOKUP(J200,'LibSets constants'!$A$4:$B$1012,2,FALSE)</f>
        <v>DLC_IMPERIAL_CITY</v>
      </c>
      <c r="L200" s="3" t="str">
        <f>VLOOKUP(J200,'LibSets constants'!$A$4:$C$1012,3,FALSE)</f>
        <v>Imperial City</v>
      </c>
    </row>
    <row r="201" spans="1:12" x14ac:dyDescent="0.25">
      <c r="A201" s="5">
        <v>400</v>
      </c>
      <c r="B201" s="5">
        <v>196</v>
      </c>
      <c r="C201" s="5">
        <v>381</v>
      </c>
      <c r="D201" t="s">
        <v>279</v>
      </c>
      <c r="E201" s="3" t="str">
        <f t="array" ref="E201">IF(OR(EXACT(A201,'ESO Dungeon constants'!$D$3:$D$987)),"X","")</f>
        <v/>
      </c>
      <c r="F201" s="3" t="str">
        <f t="shared" si="12"/>
        <v/>
      </c>
      <c r="G201" s="3" t="str">
        <f t="shared" si="13"/>
        <v>Auridon</v>
      </c>
      <c r="H201" s="17">
        <f t="shared" si="14"/>
        <v>400</v>
      </c>
      <c r="I201" s="17">
        <f t="shared" si="15"/>
        <v>381</v>
      </c>
      <c r="J201">
        <v>3</v>
      </c>
      <c r="K201" s="3" t="str">
        <f>VLOOKUP(J201,'LibSets constants'!$A$4:$B$1012,2,FALSE)</f>
        <v>DLC_THIEVES_GUILD</v>
      </c>
      <c r="L201" s="3" t="str">
        <f>VLOOKUP(J201,'LibSets constants'!$A$4:$C$1012,3,FALSE)</f>
        <v>Thieves Guild</v>
      </c>
    </row>
    <row r="202" spans="1:12" x14ac:dyDescent="0.25">
      <c r="A202" s="5">
        <v>401</v>
      </c>
      <c r="B202" s="5">
        <v>197</v>
      </c>
      <c r="C202" s="5">
        <v>381</v>
      </c>
      <c r="D202" t="s">
        <v>280</v>
      </c>
      <c r="E202" s="3" t="str">
        <f t="array" ref="E202">IF(OR(EXACT(A202,'ESO Dungeon constants'!$D$3:$D$987)),"X","")</f>
        <v/>
      </c>
      <c r="F202" s="3" t="str">
        <f t="shared" si="12"/>
        <v/>
      </c>
      <c r="G202" s="3" t="str">
        <f t="shared" si="13"/>
        <v>Auridon</v>
      </c>
      <c r="H202" s="17">
        <f t="shared" si="14"/>
        <v>401</v>
      </c>
      <c r="I202" s="17">
        <f t="shared" si="15"/>
        <v>381</v>
      </c>
      <c r="J202">
        <v>2</v>
      </c>
      <c r="K202" s="3" t="str">
        <f>VLOOKUP(J202,'LibSets constants'!$A$4:$B$1012,2,FALSE)</f>
        <v>DLC_ORSINIUM</v>
      </c>
      <c r="L202" s="3" t="str">
        <f>VLOOKUP(J202,'LibSets constants'!$A$4:$C$1012,3,FALSE)</f>
        <v>Orsinium</v>
      </c>
    </row>
    <row r="203" spans="1:12" x14ac:dyDescent="0.25">
      <c r="A203" s="5">
        <v>402</v>
      </c>
      <c r="B203" s="5">
        <v>198</v>
      </c>
      <c r="C203" s="5">
        <v>103</v>
      </c>
      <c r="D203" t="s">
        <v>281</v>
      </c>
      <c r="E203" s="3" t="str">
        <f t="array" ref="E203">IF(OR(EXACT(A203,'ESO Dungeon constants'!$D$3:$D$987)),"X","")</f>
        <v/>
      </c>
      <c r="F203" s="3" t="str">
        <f t="shared" si="12"/>
        <v/>
      </c>
      <c r="G203" s="3" t="str">
        <f t="shared" si="13"/>
        <v>The Rift</v>
      </c>
      <c r="H203" s="17">
        <f t="shared" si="14"/>
        <v>402</v>
      </c>
      <c r="I203" s="17">
        <f t="shared" si="15"/>
        <v>103</v>
      </c>
      <c r="J203">
        <v>1</v>
      </c>
      <c r="K203" s="3" t="str">
        <f>VLOOKUP(J203,'LibSets constants'!$A$4:$B$1012,2,FALSE)</f>
        <v>DLC_IMPERIAL_CITY</v>
      </c>
      <c r="L203" s="3" t="str">
        <f>VLOOKUP(J203,'LibSets constants'!$A$4:$C$1012,3,FALSE)</f>
        <v>Imperial City</v>
      </c>
    </row>
    <row r="204" spans="1:12" x14ac:dyDescent="0.25">
      <c r="A204" s="5">
        <v>403</v>
      </c>
      <c r="B204" s="5">
        <v>199</v>
      </c>
      <c r="C204" s="5">
        <v>103</v>
      </c>
      <c r="D204" t="s">
        <v>282</v>
      </c>
      <c r="E204" s="3" t="str">
        <f t="array" ref="E204">IF(OR(EXACT(A204,'ESO Dungeon constants'!$D$3:$D$987)),"X","")</f>
        <v/>
      </c>
      <c r="F204" s="3" t="str">
        <f t="shared" si="12"/>
        <v/>
      </c>
      <c r="G204" s="3" t="str">
        <f t="shared" si="13"/>
        <v>The Rift</v>
      </c>
      <c r="H204" s="17">
        <f t="shared" si="14"/>
        <v>403</v>
      </c>
      <c r="I204" s="17">
        <f t="shared" si="15"/>
        <v>103</v>
      </c>
      <c r="J204">
        <v>0</v>
      </c>
      <c r="K204" s="3" t="str">
        <f>VLOOKUP(J204,'LibSets constants'!$A$4:$B$1012,2,FALSE)</f>
        <v>DLC_BASE_GAME</v>
      </c>
      <c r="L204" s="3" t="str">
        <f>VLOOKUP(J204,'LibSets constants'!$A$4:$C$1012,3,FALSE)</f>
        <v>Included in base game</v>
      </c>
    </row>
    <row r="205" spans="1:12" x14ac:dyDescent="0.25">
      <c r="A205" s="5">
        <v>404</v>
      </c>
      <c r="B205" s="5">
        <v>200</v>
      </c>
      <c r="C205" s="5">
        <v>103</v>
      </c>
      <c r="D205" t="s">
        <v>283</v>
      </c>
      <c r="E205" s="3" t="str">
        <f t="array" ref="E205">IF(OR(EXACT(A205,'ESO Dungeon constants'!$D$3:$D$987)),"X","")</f>
        <v/>
      </c>
      <c r="F205" s="3" t="str">
        <f t="shared" si="12"/>
        <v/>
      </c>
      <c r="G205" s="3" t="str">
        <f t="shared" si="13"/>
        <v>The Rift</v>
      </c>
      <c r="H205" s="17">
        <f t="shared" si="14"/>
        <v>404</v>
      </c>
      <c r="I205" s="17">
        <f t="shared" si="15"/>
        <v>103</v>
      </c>
      <c r="J205">
        <v>2</v>
      </c>
      <c r="K205" s="3" t="str">
        <f>VLOOKUP(J205,'LibSets constants'!$A$4:$B$1012,2,FALSE)</f>
        <v>DLC_ORSINIUM</v>
      </c>
      <c r="L205" s="3" t="str">
        <f>VLOOKUP(J205,'LibSets constants'!$A$4:$C$1012,3,FALSE)</f>
        <v>Orsinium</v>
      </c>
    </row>
    <row r="206" spans="1:12" x14ac:dyDescent="0.25">
      <c r="A206" s="5">
        <v>405</v>
      </c>
      <c r="B206" s="5">
        <v>201</v>
      </c>
      <c r="C206" s="5">
        <v>57</v>
      </c>
      <c r="D206" t="s">
        <v>284</v>
      </c>
      <c r="E206" s="3" t="str">
        <f t="array" ref="E206">IF(OR(EXACT(A206,'ESO Dungeon constants'!$D$3:$D$987)),"X","")</f>
        <v/>
      </c>
      <c r="F206" s="3" t="str">
        <f t="shared" si="12"/>
        <v/>
      </c>
      <c r="G206" s="3" t="str">
        <f t="shared" si="13"/>
        <v>Deshaan</v>
      </c>
      <c r="H206" s="17">
        <f t="shared" si="14"/>
        <v>405</v>
      </c>
      <c r="I206" s="17">
        <f t="shared" si="15"/>
        <v>57</v>
      </c>
      <c r="J206">
        <v>1</v>
      </c>
      <c r="K206" s="3" t="str">
        <f>VLOOKUP(J206,'LibSets constants'!$A$4:$B$1012,2,FALSE)</f>
        <v>DLC_IMPERIAL_CITY</v>
      </c>
      <c r="L206" s="3" t="str">
        <f>VLOOKUP(J206,'LibSets constants'!$A$4:$C$1012,3,FALSE)</f>
        <v>Imperial City</v>
      </c>
    </row>
    <row r="207" spans="1:12" x14ac:dyDescent="0.25">
      <c r="A207" s="5">
        <v>406</v>
      </c>
      <c r="B207" s="5">
        <v>202</v>
      </c>
      <c r="C207" s="5">
        <v>57</v>
      </c>
      <c r="D207" t="s">
        <v>285</v>
      </c>
      <c r="E207" s="3" t="str">
        <f t="array" ref="E207">IF(OR(EXACT(A207,'ESO Dungeon constants'!$D$3:$D$987)),"X","")</f>
        <v/>
      </c>
      <c r="F207" s="3" t="str">
        <f t="shared" si="12"/>
        <v/>
      </c>
      <c r="G207" s="3" t="str">
        <f t="shared" si="13"/>
        <v>Deshaan</v>
      </c>
      <c r="H207" s="17">
        <f t="shared" si="14"/>
        <v>406</v>
      </c>
      <c r="I207" s="17">
        <f t="shared" si="15"/>
        <v>57</v>
      </c>
      <c r="J207">
        <v>2</v>
      </c>
      <c r="K207" s="3" t="str">
        <f>VLOOKUP(J207,'LibSets constants'!$A$4:$B$1012,2,FALSE)</f>
        <v>DLC_ORSINIUM</v>
      </c>
      <c r="L207" s="3" t="str">
        <f>VLOOKUP(J207,'LibSets constants'!$A$4:$C$1012,3,FALSE)</f>
        <v>Orsinium</v>
      </c>
    </row>
    <row r="208" spans="1:12" x14ac:dyDescent="0.25">
      <c r="A208" s="5">
        <v>407</v>
      </c>
      <c r="B208" s="5">
        <v>203</v>
      </c>
      <c r="C208" s="5">
        <v>57</v>
      </c>
      <c r="D208" t="s">
        <v>286</v>
      </c>
      <c r="E208" s="3" t="str">
        <f t="array" ref="E208">IF(OR(EXACT(A208,'ESO Dungeon constants'!$D$3:$D$987)),"X","")</f>
        <v/>
      </c>
      <c r="F208" s="3" t="str">
        <f t="shared" si="12"/>
        <v/>
      </c>
      <c r="G208" s="3" t="str">
        <f t="shared" si="13"/>
        <v>Deshaan</v>
      </c>
      <c r="H208" s="17">
        <f t="shared" si="14"/>
        <v>407</v>
      </c>
      <c r="I208" s="17">
        <f t="shared" si="15"/>
        <v>57</v>
      </c>
      <c r="J208">
        <v>2</v>
      </c>
      <c r="K208" s="3" t="str">
        <f>VLOOKUP(J208,'LibSets constants'!$A$4:$B$1012,2,FALSE)</f>
        <v>DLC_ORSINIUM</v>
      </c>
      <c r="L208" s="3" t="str">
        <f>VLOOKUP(J208,'LibSets constants'!$A$4:$C$1012,3,FALSE)</f>
        <v>Orsinium</v>
      </c>
    </row>
    <row r="209" spans="1:12" x14ac:dyDescent="0.25">
      <c r="A209" s="5">
        <v>408</v>
      </c>
      <c r="B209" s="5">
        <v>204</v>
      </c>
      <c r="C209" s="5">
        <v>57</v>
      </c>
      <c r="D209" t="s">
        <v>287</v>
      </c>
      <c r="E209" s="3" t="str">
        <f t="array" ref="E209">IF(OR(EXACT(A209,'ESO Dungeon constants'!$D$3:$D$987)),"X","")</f>
        <v/>
      </c>
      <c r="F209" s="3" t="str">
        <f t="shared" si="12"/>
        <v/>
      </c>
      <c r="G209" s="3" t="str">
        <f t="shared" si="13"/>
        <v>Deshaan</v>
      </c>
      <c r="H209" s="3">
        <f t="shared" si="14"/>
        <v>408</v>
      </c>
      <c r="I209" s="3">
        <f t="shared" si="15"/>
        <v>57</v>
      </c>
      <c r="J209">
        <v>2</v>
      </c>
      <c r="K209" s="3" t="str">
        <f>VLOOKUP(J209,'LibSets constants'!$A$4:$B$1012,2,FALSE)</f>
        <v>DLC_ORSINIUM</v>
      </c>
      <c r="L209" s="3" t="str">
        <f>VLOOKUP(J209,'LibSets constants'!$A$4:$C$1012,3,FALSE)</f>
        <v>Orsinium</v>
      </c>
    </row>
    <row r="210" spans="1:12" x14ac:dyDescent="0.25">
      <c r="A210" s="5">
        <v>409</v>
      </c>
      <c r="B210" s="5">
        <v>205</v>
      </c>
      <c r="C210" s="5">
        <v>57</v>
      </c>
      <c r="D210" t="s">
        <v>288</v>
      </c>
      <c r="E210" s="3" t="str">
        <f t="array" ref="E210">IF(OR(EXACT(A210,'ESO Dungeon constants'!$D$3:$D$987)),"X","")</f>
        <v/>
      </c>
      <c r="F210" s="3" t="str">
        <f t="shared" si="12"/>
        <v/>
      </c>
      <c r="G210" s="3" t="str">
        <f t="shared" si="13"/>
        <v>Deshaan</v>
      </c>
      <c r="H210" s="17">
        <f t="shared" si="14"/>
        <v>409</v>
      </c>
      <c r="I210" s="17">
        <f t="shared" si="15"/>
        <v>57</v>
      </c>
      <c r="J210">
        <v>2</v>
      </c>
      <c r="K210" s="3" t="str">
        <f>VLOOKUP(J210,'LibSets constants'!$A$4:$B$1012,2,FALSE)</f>
        <v>DLC_ORSINIUM</v>
      </c>
      <c r="L210" s="3" t="str">
        <f>VLOOKUP(J210,'LibSets constants'!$A$4:$C$1012,3,FALSE)</f>
        <v>Orsinium</v>
      </c>
    </row>
    <row r="211" spans="1:12" x14ac:dyDescent="0.25">
      <c r="A211" s="5">
        <v>410</v>
      </c>
      <c r="B211" s="5">
        <v>206</v>
      </c>
      <c r="C211" s="5">
        <v>57</v>
      </c>
      <c r="D211" t="s">
        <v>289</v>
      </c>
      <c r="E211" s="3" t="str">
        <f t="array" ref="E211">IF(OR(EXACT(A211,'ESO Dungeon constants'!$D$3:$D$987)),"X","")</f>
        <v/>
      </c>
      <c r="F211" s="3" t="str">
        <f t="shared" si="12"/>
        <v/>
      </c>
      <c r="G211" s="3" t="str">
        <f t="shared" si="13"/>
        <v>Deshaan</v>
      </c>
      <c r="H211" s="17">
        <f t="shared" si="14"/>
        <v>410</v>
      </c>
      <c r="I211" s="17">
        <f t="shared" si="15"/>
        <v>57</v>
      </c>
      <c r="J211">
        <v>2</v>
      </c>
      <c r="K211" s="3" t="str">
        <f>VLOOKUP(J211,'LibSets constants'!$A$4:$B$1012,2,FALSE)</f>
        <v>DLC_ORSINIUM</v>
      </c>
      <c r="L211" s="3" t="str">
        <f>VLOOKUP(J211,'LibSets constants'!$A$4:$C$1012,3,FALSE)</f>
        <v>Orsinium</v>
      </c>
    </row>
    <row r="212" spans="1:12" x14ac:dyDescent="0.25">
      <c r="A212" s="5">
        <v>411</v>
      </c>
      <c r="B212" s="5">
        <v>207</v>
      </c>
      <c r="C212" s="5">
        <v>58</v>
      </c>
      <c r="D212" t="s">
        <v>290</v>
      </c>
      <c r="E212" s="3" t="str">
        <f t="array" ref="E212">IF(OR(EXACT(A212,'ESO Dungeon constants'!$D$3:$D$987)),"X","")</f>
        <v/>
      </c>
      <c r="F212" s="3" t="str">
        <f t="shared" si="12"/>
        <v/>
      </c>
      <c r="G212" s="3" t="str">
        <f t="shared" si="13"/>
        <v>Malabal Tor</v>
      </c>
      <c r="H212" s="17">
        <f t="shared" si="14"/>
        <v>411</v>
      </c>
      <c r="I212" s="17">
        <f t="shared" si="15"/>
        <v>58</v>
      </c>
      <c r="J212">
        <v>2</v>
      </c>
      <c r="K212" s="3" t="str">
        <f>VLOOKUP(J212,'LibSets constants'!$A$4:$B$1012,2,FALSE)</f>
        <v>DLC_ORSINIUM</v>
      </c>
      <c r="L212" s="3" t="str">
        <f>VLOOKUP(J212,'LibSets constants'!$A$4:$C$1012,3,FALSE)</f>
        <v>Orsinium</v>
      </c>
    </row>
    <row r="213" spans="1:12" x14ac:dyDescent="0.25">
      <c r="A213" s="5">
        <v>412</v>
      </c>
      <c r="B213" s="5">
        <v>208</v>
      </c>
      <c r="C213" s="5">
        <v>103</v>
      </c>
      <c r="D213" t="s">
        <v>291</v>
      </c>
      <c r="E213" s="3" t="str">
        <f t="array" ref="E213">IF(OR(EXACT(A213,'ESO Dungeon constants'!$D$3:$D$987)),"X","")</f>
        <v/>
      </c>
      <c r="F213" s="3" t="str">
        <f t="shared" si="12"/>
        <v/>
      </c>
      <c r="G213" s="3" t="str">
        <f t="shared" si="13"/>
        <v>The Rift</v>
      </c>
      <c r="H213" s="17">
        <f t="shared" si="14"/>
        <v>412</v>
      </c>
      <c r="I213" s="17">
        <f t="shared" si="15"/>
        <v>103</v>
      </c>
      <c r="J213">
        <v>2</v>
      </c>
      <c r="K213" s="3" t="str">
        <f>VLOOKUP(J213,'LibSets constants'!$A$4:$B$1012,2,FALSE)</f>
        <v>DLC_ORSINIUM</v>
      </c>
      <c r="L213" s="3" t="str">
        <f>VLOOKUP(J213,'LibSets constants'!$A$4:$C$1012,3,FALSE)</f>
        <v>Orsinium</v>
      </c>
    </row>
    <row r="214" spans="1:12" x14ac:dyDescent="0.25">
      <c r="A214" s="5">
        <v>413</v>
      </c>
      <c r="B214" s="5">
        <v>209</v>
      </c>
      <c r="C214" s="5">
        <v>103</v>
      </c>
      <c r="D214" t="s">
        <v>292</v>
      </c>
      <c r="E214" s="3" t="str">
        <f t="array" ref="E214">IF(OR(EXACT(A214,'ESO Dungeon constants'!$D$3:$D$987)),"X","")</f>
        <v/>
      </c>
      <c r="F214" s="3" t="str">
        <f t="shared" si="12"/>
        <v/>
      </c>
      <c r="G214" s="3" t="str">
        <f t="shared" si="13"/>
        <v>The Rift</v>
      </c>
      <c r="H214" s="17">
        <f t="shared" si="14"/>
        <v>413</v>
      </c>
      <c r="I214" s="17">
        <f t="shared" si="15"/>
        <v>103</v>
      </c>
      <c r="J214">
        <v>2</v>
      </c>
      <c r="K214" s="3" t="str">
        <f>VLOOKUP(J214,'LibSets constants'!$A$4:$B$1012,2,FALSE)</f>
        <v>DLC_ORSINIUM</v>
      </c>
      <c r="L214" s="3" t="str">
        <f>VLOOKUP(J214,'LibSets constants'!$A$4:$C$1012,3,FALSE)</f>
        <v>Orsinium</v>
      </c>
    </row>
    <row r="215" spans="1:12" x14ac:dyDescent="0.25">
      <c r="A215" s="5">
        <v>414</v>
      </c>
      <c r="B215" s="5">
        <v>210</v>
      </c>
      <c r="C215" s="5">
        <v>103</v>
      </c>
      <c r="D215" t="s">
        <v>293</v>
      </c>
      <c r="E215" s="3" t="str">
        <f t="array" ref="E215">IF(OR(EXACT(A215,'ESO Dungeon constants'!$D$3:$D$987)),"X","")</f>
        <v/>
      </c>
      <c r="F215" s="3" t="str">
        <f t="shared" si="12"/>
        <v/>
      </c>
      <c r="G215" s="3" t="str">
        <f t="shared" si="13"/>
        <v>The Rift</v>
      </c>
      <c r="H215" s="17">
        <f t="shared" si="14"/>
        <v>414</v>
      </c>
      <c r="I215" s="17">
        <f t="shared" si="15"/>
        <v>103</v>
      </c>
      <c r="J215">
        <v>2</v>
      </c>
      <c r="K215" s="3" t="str">
        <f>VLOOKUP(J215,'LibSets constants'!$A$4:$B$1012,2,FALSE)</f>
        <v>DLC_ORSINIUM</v>
      </c>
      <c r="L215" s="3" t="str">
        <f>VLOOKUP(J215,'LibSets constants'!$A$4:$C$1012,3,FALSE)</f>
        <v>Orsinium</v>
      </c>
    </row>
    <row r="216" spans="1:12" x14ac:dyDescent="0.25">
      <c r="A216" s="5">
        <v>415</v>
      </c>
      <c r="B216" s="5">
        <v>211</v>
      </c>
      <c r="C216" s="5">
        <v>103</v>
      </c>
      <c r="D216" t="s">
        <v>294</v>
      </c>
      <c r="E216" s="3" t="str">
        <f t="array" ref="E216">IF(OR(EXACT(A216,'ESO Dungeon constants'!$D$3:$D$987)),"X","")</f>
        <v/>
      </c>
      <c r="F216" s="3" t="str">
        <f t="shared" si="12"/>
        <v/>
      </c>
      <c r="G216" s="3" t="str">
        <f t="shared" si="13"/>
        <v>The Rift</v>
      </c>
      <c r="H216" s="17">
        <f t="shared" si="14"/>
        <v>415</v>
      </c>
      <c r="I216" s="17">
        <f t="shared" si="15"/>
        <v>103</v>
      </c>
      <c r="J216">
        <v>2</v>
      </c>
      <c r="K216" s="3" t="str">
        <f>VLOOKUP(J216,'LibSets constants'!$A$4:$B$1012,2,FALSE)</f>
        <v>DLC_ORSINIUM</v>
      </c>
      <c r="L216" s="3" t="str">
        <f>VLOOKUP(J216,'LibSets constants'!$A$4:$C$1012,3,FALSE)</f>
        <v>Orsinium</v>
      </c>
    </row>
    <row r="217" spans="1:12" x14ac:dyDescent="0.25">
      <c r="A217" s="5">
        <v>416</v>
      </c>
      <c r="B217" s="5">
        <v>212</v>
      </c>
      <c r="C217" s="5">
        <v>381</v>
      </c>
      <c r="D217" t="s">
        <v>295</v>
      </c>
      <c r="E217" s="3" t="str">
        <f t="array" ref="E217">IF(OR(EXACT(A217,'ESO Dungeon constants'!$D$3:$D$987)),"X","")</f>
        <v/>
      </c>
      <c r="F217" s="3" t="str">
        <f t="shared" si="12"/>
        <v/>
      </c>
      <c r="G217" s="3" t="str">
        <f t="shared" si="13"/>
        <v>Auridon</v>
      </c>
      <c r="H217" s="17">
        <f t="shared" si="14"/>
        <v>416</v>
      </c>
      <c r="I217" s="17">
        <f t="shared" si="15"/>
        <v>381</v>
      </c>
      <c r="J217">
        <v>2</v>
      </c>
      <c r="K217" s="3" t="str">
        <f>VLOOKUP(J217,'LibSets constants'!$A$4:$B$1012,2,FALSE)</f>
        <v>DLC_ORSINIUM</v>
      </c>
      <c r="L217" s="3" t="str">
        <f>VLOOKUP(J217,'LibSets constants'!$A$4:$C$1012,3,FALSE)</f>
        <v>Orsinium</v>
      </c>
    </row>
    <row r="218" spans="1:12" x14ac:dyDescent="0.25">
      <c r="A218" s="5">
        <v>417</v>
      </c>
      <c r="B218" s="5">
        <v>213</v>
      </c>
      <c r="C218" s="5">
        <v>347</v>
      </c>
      <c r="D218" t="s">
        <v>296</v>
      </c>
      <c r="E218" s="3" t="str">
        <f t="array" ref="E218">IF(OR(EXACT(A218,'ESO Dungeon constants'!$D$3:$D$987)),"X","")</f>
        <v/>
      </c>
      <c r="F218" s="3" t="str">
        <f t="shared" si="12"/>
        <v/>
      </c>
      <c r="G218" s="3" t="str">
        <f t="shared" si="13"/>
        <v>Coldharbour</v>
      </c>
      <c r="H218" s="17">
        <f t="shared" si="14"/>
        <v>417</v>
      </c>
      <c r="I218" s="17">
        <f t="shared" si="15"/>
        <v>347</v>
      </c>
      <c r="J218">
        <v>2</v>
      </c>
      <c r="K218" s="3" t="str">
        <f>VLOOKUP(J218,'LibSets constants'!$A$4:$B$1012,2,FALSE)</f>
        <v>DLC_ORSINIUM</v>
      </c>
      <c r="L218" s="3" t="str">
        <f>VLOOKUP(J218,'LibSets constants'!$A$4:$C$1012,3,FALSE)</f>
        <v>Orsinium</v>
      </c>
    </row>
    <row r="219" spans="1:12" x14ac:dyDescent="0.25">
      <c r="A219" s="5">
        <v>418</v>
      </c>
      <c r="B219" s="5">
        <v>214</v>
      </c>
      <c r="C219" s="5">
        <v>347</v>
      </c>
      <c r="D219" t="s">
        <v>297</v>
      </c>
      <c r="E219" s="3" t="str">
        <f t="array" ref="E219">IF(OR(EXACT(A219,'ESO Dungeon constants'!$D$3:$D$987)),"X","")</f>
        <v/>
      </c>
      <c r="F219" s="3" t="str">
        <f t="shared" si="12"/>
        <v/>
      </c>
      <c r="G219" s="3" t="str">
        <f t="shared" si="13"/>
        <v>Coldharbour</v>
      </c>
      <c r="H219" s="17">
        <f t="shared" si="14"/>
        <v>418</v>
      </c>
      <c r="I219" s="17">
        <f t="shared" si="15"/>
        <v>347</v>
      </c>
      <c r="J219">
        <v>2</v>
      </c>
      <c r="K219" s="3" t="str">
        <f>VLOOKUP(J219,'LibSets constants'!$A$4:$B$1012,2,FALSE)</f>
        <v>DLC_ORSINIUM</v>
      </c>
      <c r="L219" s="3" t="str">
        <f>VLOOKUP(J219,'LibSets constants'!$A$4:$C$1012,3,FALSE)</f>
        <v>Orsinium</v>
      </c>
    </row>
    <row r="220" spans="1:12" x14ac:dyDescent="0.25">
      <c r="A220" s="5">
        <v>419</v>
      </c>
      <c r="B220" s="5">
        <v>215</v>
      </c>
      <c r="C220" s="5">
        <v>347</v>
      </c>
      <c r="D220" t="s">
        <v>298</v>
      </c>
      <c r="E220" s="3" t="str">
        <f t="array" ref="E220">IF(OR(EXACT(A220,'ESO Dungeon constants'!$D$3:$D$987)),"X","")</f>
        <v/>
      </c>
      <c r="F220" s="3" t="str">
        <f t="shared" si="12"/>
        <v/>
      </c>
      <c r="G220" s="3" t="str">
        <f t="shared" si="13"/>
        <v>Coldharbour</v>
      </c>
      <c r="H220" s="17">
        <f t="shared" si="14"/>
        <v>419</v>
      </c>
      <c r="I220" s="17">
        <f t="shared" si="15"/>
        <v>347</v>
      </c>
      <c r="J220">
        <v>2</v>
      </c>
      <c r="K220" s="3" t="str">
        <f>VLOOKUP(J220,'LibSets constants'!$A$4:$B$1012,2,FALSE)</f>
        <v>DLC_ORSINIUM</v>
      </c>
      <c r="L220" s="3" t="str">
        <f>VLOOKUP(J220,'LibSets constants'!$A$4:$C$1012,3,FALSE)</f>
        <v>Orsinium</v>
      </c>
    </row>
    <row r="221" spans="1:12" x14ac:dyDescent="0.25">
      <c r="A221" s="5">
        <v>420</v>
      </c>
      <c r="B221" s="5">
        <v>216</v>
      </c>
      <c r="C221" s="5">
        <v>347</v>
      </c>
      <c r="D221" t="s">
        <v>299</v>
      </c>
      <c r="E221" s="3" t="str">
        <f t="array" ref="E221">IF(OR(EXACT(A221,'ESO Dungeon constants'!$D$3:$D$987)),"X","")</f>
        <v/>
      </c>
      <c r="F221" s="3" t="str">
        <f t="shared" si="12"/>
        <v/>
      </c>
      <c r="G221" s="3" t="str">
        <f t="shared" si="13"/>
        <v>Coldharbour</v>
      </c>
      <c r="H221" s="17">
        <f t="shared" si="14"/>
        <v>420</v>
      </c>
      <c r="I221" s="17">
        <f t="shared" si="15"/>
        <v>347</v>
      </c>
      <c r="J221">
        <v>2</v>
      </c>
      <c r="K221" s="3" t="str">
        <f>VLOOKUP(J221,'LibSets constants'!$A$4:$B$1012,2,FALSE)</f>
        <v>DLC_ORSINIUM</v>
      </c>
      <c r="L221" s="3" t="str">
        <f>VLOOKUP(J221,'LibSets constants'!$A$4:$C$1012,3,FALSE)</f>
        <v>Orsinium</v>
      </c>
    </row>
    <row r="222" spans="1:12" x14ac:dyDescent="0.25">
      <c r="A222" s="5">
        <v>421</v>
      </c>
      <c r="B222" s="5">
        <v>217</v>
      </c>
      <c r="C222" s="5">
        <v>347</v>
      </c>
      <c r="D222" t="s">
        <v>300</v>
      </c>
      <c r="E222" s="3" t="str">
        <f t="array" ref="E222">IF(OR(EXACT(A222,'ESO Dungeon constants'!$D$3:$D$987)),"X","")</f>
        <v/>
      </c>
      <c r="F222" s="3" t="str">
        <f t="shared" si="12"/>
        <v/>
      </c>
      <c r="G222" s="3" t="str">
        <f t="shared" si="13"/>
        <v>Coldharbour</v>
      </c>
      <c r="H222" s="17">
        <f t="shared" si="14"/>
        <v>421</v>
      </c>
      <c r="I222" s="17">
        <f t="shared" si="15"/>
        <v>347</v>
      </c>
      <c r="J222">
        <v>2</v>
      </c>
      <c r="K222" s="3" t="str">
        <f>VLOOKUP(J222,'LibSets constants'!$A$4:$B$1012,2,FALSE)</f>
        <v>DLC_ORSINIUM</v>
      </c>
      <c r="L222" s="3" t="str">
        <f>VLOOKUP(J222,'LibSets constants'!$A$4:$C$1012,3,FALSE)</f>
        <v>Orsinium</v>
      </c>
    </row>
    <row r="223" spans="1:12" x14ac:dyDescent="0.25">
      <c r="A223" s="5">
        <v>422</v>
      </c>
      <c r="B223" s="5">
        <v>218</v>
      </c>
      <c r="C223" s="5">
        <v>347</v>
      </c>
      <c r="D223" t="s">
        <v>301</v>
      </c>
      <c r="E223" s="3" t="str">
        <f t="array" ref="E223">IF(OR(EXACT(A223,'ESO Dungeon constants'!$D$3:$D$987)),"X","")</f>
        <v/>
      </c>
      <c r="F223" s="3" t="str">
        <f t="shared" si="12"/>
        <v/>
      </c>
      <c r="G223" s="3" t="str">
        <f t="shared" si="13"/>
        <v>Coldharbour</v>
      </c>
      <c r="H223" s="17">
        <f t="shared" si="14"/>
        <v>422</v>
      </c>
      <c r="I223" s="17">
        <f t="shared" si="15"/>
        <v>347</v>
      </c>
      <c r="J223">
        <v>2</v>
      </c>
      <c r="K223" s="3" t="str">
        <f>VLOOKUP(J223,'LibSets constants'!$A$4:$B$1012,2,FALSE)</f>
        <v>DLC_ORSINIUM</v>
      </c>
      <c r="L223" s="3" t="str">
        <f>VLOOKUP(J223,'LibSets constants'!$A$4:$C$1012,3,FALSE)</f>
        <v>Orsinium</v>
      </c>
    </row>
    <row r="224" spans="1:12" x14ac:dyDescent="0.25">
      <c r="A224" s="5">
        <v>424</v>
      </c>
      <c r="B224" s="5">
        <v>219</v>
      </c>
      <c r="C224" s="5">
        <v>3</v>
      </c>
      <c r="D224" t="s">
        <v>302</v>
      </c>
      <c r="E224" s="3" t="str">
        <f t="array" ref="E224">IF(OR(EXACT(A224,'ESO Dungeon constants'!$D$3:$D$987)),"X","")</f>
        <v/>
      </c>
      <c r="F224" s="3" t="str">
        <f t="shared" si="12"/>
        <v/>
      </c>
      <c r="G224" s="3" t="str">
        <f t="shared" si="13"/>
        <v>Glenumbra</v>
      </c>
      <c r="H224" s="17">
        <f t="shared" si="14"/>
        <v>424</v>
      </c>
      <c r="I224" s="17">
        <f t="shared" si="15"/>
        <v>3</v>
      </c>
      <c r="J224">
        <v>2</v>
      </c>
      <c r="K224" s="3" t="str">
        <f>VLOOKUP(J224,'LibSets constants'!$A$4:$B$1012,2,FALSE)</f>
        <v>DLC_ORSINIUM</v>
      </c>
      <c r="L224" s="3" t="str">
        <f>VLOOKUP(J224,'LibSets constants'!$A$4:$C$1012,3,FALSE)</f>
        <v>Orsinium</v>
      </c>
    </row>
    <row r="225" spans="1:12" x14ac:dyDescent="0.25">
      <c r="A225" s="5">
        <v>425</v>
      </c>
      <c r="B225" s="5">
        <v>220</v>
      </c>
      <c r="C225" s="5">
        <v>3</v>
      </c>
      <c r="D225" t="s">
        <v>303</v>
      </c>
      <c r="E225" s="3" t="str">
        <f t="array" ref="E225">IF(OR(EXACT(A225,'ESO Dungeon constants'!$D$3:$D$987)),"X","")</f>
        <v/>
      </c>
      <c r="F225" s="3" t="str">
        <f t="shared" si="12"/>
        <v/>
      </c>
      <c r="G225" s="3" t="str">
        <f t="shared" si="13"/>
        <v>Glenumbra</v>
      </c>
      <c r="H225" s="17">
        <f t="shared" si="14"/>
        <v>425</v>
      </c>
      <c r="I225" s="17">
        <f t="shared" si="15"/>
        <v>3</v>
      </c>
      <c r="J225">
        <v>2</v>
      </c>
      <c r="K225" s="3" t="str">
        <f>VLOOKUP(J225,'LibSets constants'!$A$4:$B$1012,2,FALSE)</f>
        <v>DLC_ORSINIUM</v>
      </c>
      <c r="L225" s="3" t="str">
        <f>VLOOKUP(J225,'LibSets constants'!$A$4:$C$1012,3,FALSE)</f>
        <v>Orsinium</v>
      </c>
    </row>
    <row r="226" spans="1:12" x14ac:dyDescent="0.25">
      <c r="A226" s="5">
        <v>426</v>
      </c>
      <c r="B226" s="5">
        <v>221</v>
      </c>
      <c r="C226" s="5">
        <v>3</v>
      </c>
      <c r="D226" t="s">
        <v>304</v>
      </c>
      <c r="E226" s="3" t="str">
        <f t="array" ref="E226">IF(OR(EXACT(A226,'ESO Dungeon constants'!$D$3:$D$987)),"X","")</f>
        <v/>
      </c>
      <c r="F226" s="3" t="str">
        <f t="shared" si="12"/>
        <v/>
      </c>
      <c r="G226" s="3" t="str">
        <f t="shared" si="13"/>
        <v>Glenumbra</v>
      </c>
      <c r="H226" s="17">
        <f t="shared" si="14"/>
        <v>426</v>
      </c>
      <c r="I226" s="17">
        <f t="shared" si="15"/>
        <v>3</v>
      </c>
      <c r="J226">
        <v>2</v>
      </c>
      <c r="K226" s="3" t="str">
        <f>VLOOKUP(J226,'LibSets constants'!$A$4:$B$1012,2,FALSE)</f>
        <v>DLC_ORSINIUM</v>
      </c>
      <c r="L226" s="3" t="str">
        <f>VLOOKUP(J226,'LibSets constants'!$A$4:$C$1012,3,FALSE)</f>
        <v>Orsinium</v>
      </c>
    </row>
    <row r="227" spans="1:12" x14ac:dyDescent="0.25">
      <c r="A227" s="5">
        <v>429</v>
      </c>
      <c r="B227" s="5">
        <v>222</v>
      </c>
      <c r="C227" s="5">
        <v>3</v>
      </c>
      <c r="D227" t="s">
        <v>305</v>
      </c>
      <c r="E227" s="3" t="str">
        <f t="array" ref="E227">IF(OR(EXACT(A227,'ESO Dungeon constants'!$D$3:$D$987)),"X","")</f>
        <v/>
      </c>
      <c r="F227" s="3" t="str">
        <f t="shared" si="12"/>
        <v/>
      </c>
      <c r="G227" s="3" t="str">
        <f t="shared" si="13"/>
        <v>Glenumbra</v>
      </c>
      <c r="H227" s="17">
        <f t="shared" si="14"/>
        <v>429</v>
      </c>
      <c r="I227" s="17">
        <f t="shared" si="15"/>
        <v>3</v>
      </c>
      <c r="J227">
        <v>2</v>
      </c>
      <c r="K227" s="3" t="str">
        <f>VLOOKUP(J227,'LibSets constants'!$A$4:$B$1012,2,FALSE)</f>
        <v>DLC_ORSINIUM</v>
      </c>
      <c r="L227" s="3" t="str">
        <f>VLOOKUP(J227,'LibSets constants'!$A$4:$C$1012,3,FALSE)</f>
        <v>Orsinium</v>
      </c>
    </row>
    <row r="228" spans="1:12" x14ac:dyDescent="0.25">
      <c r="A228" s="5">
        <v>430</v>
      </c>
      <c r="B228" s="5">
        <v>223</v>
      </c>
      <c r="C228" s="5">
        <v>19</v>
      </c>
      <c r="D228" t="s">
        <v>306</v>
      </c>
      <c r="E228" s="3" t="str">
        <f t="array" ref="E228">IF(OR(EXACT(A228,'ESO Dungeon constants'!$D$3:$D$987)),"X","")</f>
        <v/>
      </c>
      <c r="F228" s="3" t="str">
        <f t="shared" si="12"/>
        <v/>
      </c>
      <c r="G228" s="3" t="str">
        <f t="shared" si="13"/>
        <v>Stormhaven</v>
      </c>
      <c r="H228" s="17">
        <f t="shared" si="14"/>
        <v>430</v>
      </c>
      <c r="I228" s="17">
        <f t="shared" si="15"/>
        <v>19</v>
      </c>
      <c r="J228">
        <v>2</v>
      </c>
      <c r="K228" s="3" t="str">
        <f>VLOOKUP(J228,'LibSets constants'!$A$4:$B$1012,2,FALSE)</f>
        <v>DLC_ORSINIUM</v>
      </c>
      <c r="L228" s="3" t="str">
        <f>VLOOKUP(J228,'LibSets constants'!$A$4:$C$1012,3,FALSE)</f>
        <v>Orsinium</v>
      </c>
    </row>
    <row r="229" spans="1:12" x14ac:dyDescent="0.25">
      <c r="A229" s="5">
        <v>431</v>
      </c>
      <c r="B229" s="5">
        <v>224</v>
      </c>
      <c r="C229" s="5">
        <v>103</v>
      </c>
      <c r="D229" t="s">
        <v>307</v>
      </c>
      <c r="E229" s="3" t="str">
        <f t="array" ref="E229">IF(OR(EXACT(A229,'ESO Dungeon constants'!$D$3:$D$987)),"X","")</f>
        <v/>
      </c>
      <c r="F229" s="3" t="str">
        <f t="shared" si="12"/>
        <v/>
      </c>
      <c r="G229" s="3" t="str">
        <f t="shared" si="13"/>
        <v>The Rift</v>
      </c>
      <c r="H229" s="17">
        <f t="shared" si="14"/>
        <v>431</v>
      </c>
      <c r="I229" s="17">
        <f t="shared" si="15"/>
        <v>103</v>
      </c>
      <c r="J229">
        <v>10</v>
      </c>
      <c r="K229" s="3" t="str">
        <f>VLOOKUP(J229,'LibSets constants'!$A$4:$B$1012,2,FALSE)</f>
        <v>DLC_SUMMERSET</v>
      </c>
      <c r="L229" s="3" t="str">
        <f>VLOOKUP(J229,'LibSets constants'!$A$4:$C$1012,3,FALSE)</f>
        <v>Summerset</v>
      </c>
    </row>
    <row r="230" spans="1:12" x14ac:dyDescent="0.25">
      <c r="A230" s="5">
        <v>433</v>
      </c>
      <c r="B230" s="5">
        <v>225</v>
      </c>
      <c r="C230" s="5">
        <v>383</v>
      </c>
      <c r="D230" t="s">
        <v>308</v>
      </c>
      <c r="E230" s="3" t="str">
        <f t="array" ref="E230">IF(OR(EXACT(A230,'ESO Dungeon constants'!$D$3:$D$987)),"X","")</f>
        <v/>
      </c>
      <c r="F230" s="3" t="str">
        <f t="shared" si="12"/>
        <v/>
      </c>
      <c r="G230" s="3" t="str">
        <f t="shared" si="13"/>
        <v>Grahtwood</v>
      </c>
      <c r="H230" s="17">
        <f t="shared" si="14"/>
        <v>433</v>
      </c>
      <c r="I230" s="17">
        <f t="shared" si="15"/>
        <v>383</v>
      </c>
      <c r="J230">
        <v>0</v>
      </c>
      <c r="K230" s="3" t="str">
        <f>VLOOKUP(J230,'LibSets constants'!$A$4:$B$1012,2,FALSE)</f>
        <v>DLC_BASE_GAME</v>
      </c>
      <c r="L230" s="3" t="str">
        <f>VLOOKUP(J230,'LibSets constants'!$A$4:$C$1012,3,FALSE)</f>
        <v>Included in base game</v>
      </c>
    </row>
    <row r="231" spans="1:12" x14ac:dyDescent="0.25">
      <c r="A231" s="5">
        <v>434</v>
      </c>
      <c r="B231" s="5">
        <v>226</v>
      </c>
      <c r="C231" s="5">
        <v>383</v>
      </c>
      <c r="D231" t="s">
        <v>309</v>
      </c>
      <c r="E231" s="3" t="str">
        <f t="array" ref="E231">IF(OR(EXACT(A231,'ESO Dungeon constants'!$D$3:$D$987)),"X","")</f>
        <v/>
      </c>
      <c r="F231" s="3" t="str">
        <f t="shared" si="12"/>
        <v/>
      </c>
      <c r="G231" s="3" t="str">
        <f t="shared" si="13"/>
        <v>Grahtwood</v>
      </c>
      <c r="H231" s="17">
        <f t="shared" si="14"/>
        <v>434</v>
      </c>
      <c r="I231" s="17">
        <f t="shared" si="15"/>
        <v>383</v>
      </c>
      <c r="J231">
        <v>2</v>
      </c>
      <c r="K231" s="3" t="str">
        <f>VLOOKUP(J231,'LibSets constants'!$A$4:$B$1012,2,FALSE)</f>
        <v>DLC_ORSINIUM</v>
      </c>
      <c r="L231" s="3" t="str">
        <f>VLOOKUP(J231,'LibSets constants'!$A$4:$C$1012,3,FALSE)</f>
        <v>Orsinium</v>
      </c>
    </row>
    <row r="232" spans="1:12" x14ac:dyDescent="0.25">
      <c r="A232" s="5">
        <v>435</v>
      </c>
      <c r="B232" s="5">
        <v>227</v>
      </c>
      <c r="C232" s="5">
        <v>383</v>
      </c>
      <c r="D232" t="s">
        <v>310</v>
      </c>
      <c r="E232" s="3" t="str">
        <f t="array" ref="E232">IF(OR(EXACT(A232,'ESO Dungeon constants'!$D$3:$D$987)),"X","")</f>
        <v/>
      </c>
      <c r="F232" s="3" t="str">
        <f t="shared" si="12"/>
        <v/>
      </c>
      <c r="G232" s="3" t="str">
        <f t="shared" si="13"/>
        <v>Grahtwood</v>
      </c>
      <c r="H232" s="17">
        <f t="shared" si="14"/>
        <v>435</v>
      </c>
      <c r="I232" s="17">
        <f t="shared" si="15"/>
        <v>383</v>
      </c>
      <c r="J232">
        <v>3</v>
      </c>
      <c r="K232" s="3" t="str">
        <f>VLOOKUP(J232,'LibSets constants'!$A$4:$B$1012,2,FALSE)</f>
        <v>DLC_THIEVES_GUILD</v>
      </c>
      <c r="L232" s="3" t="str">
        <f>VLOOKUP(J232,'LibSets constants'!$A$4:$C$1012,3,FALSE)</f>
        <v>Thieves Guild</v>
      </c>
    </row>
    <row r="233" spans="1:12" x14ac:dyDescent="0.25">
      <c r="A233" s="5">
        <v>436</v>
      </c>
      <c r="B233" s="5">
        <v>228</v>
      </c>
      <c r="C233" s="5">
        <v>383</v>
      </c>
      <c r="D233" t="s">
        <v>311</v>
      </c>
      <c r="E233" s="3" t="str">
        <f t="array" ref="E233">IF(OR(EXACT(A233,'ESO Dungeon constants'!$D$3:$D$987)),"X","")</f>
        <v/>
      </c>
      <c r="F233" s="3" t="str">
        <f t="shared" si="12"/>
        <v/>
      </c>
      <c r="G233" s="3" t="str">
        <f t="shared" si="13"/>
        <v>Grahtwood</v>
      </c>
      <c r="H233" s="17">
        <f t="shared" si="14"/>
        <v>436</v>
      </c>
      <c r="I233" s="17">
        <f t="shared" si="15"/>
        <v>383</v>
      </c>
      <c r="J233">
        <v>12</v>
      </c>
      <c r="K233" s="3" t="str">
        <f>VLOOKUP(J233,'LibSets constants'!$A$4:$B$1012,2,FALSE)</f>
        <v>DLC_MURKMIRE</v>
      </c>
      <c r="L233" s="3" t="str">
        <f>VLOOKUP(J233,'LibSets constants'!$A$4:$C$1012,3,FALSE)</f>
        <v>Murkmire</v>
      </c>
    </row>
    <row r="234" spans="1:12" x14ac:dyDescent="0.25">
      <c r="A234" s="5">
        <v>437</v>
      </c>
      <c r="B234" s="5">
        <v>229</v>
      </c>
      <c r="C234" s="5">
        <v>383</v>
      </c>
      <c r="D234" t="s">
        <v>312</v>
      </c>
      <c r="E234" s="3" t="str">
        <f t="array" ref="E234">IF(OR(EXACT(A234,'ESO Dungeon constants'!$D$3:$D$987)),"X","")</f>
        <v/>
      </c>
      <c r="F234" s="3" t="str">
        <f t="shared" si="12"/>
        <v/>
      </c>
      <c r="G234" s="3" t="str">
        <f t="shared" si="13"/>
        <v>Grahtwood</v>
      </c>
      <c r="H234" s="17">
        <f t="shared" si="14"/>
        <v>437</v>
      </c>
      <c r="I234" s="17">
        <f t="shared" si="15"/>
        <v>383</v>
      </c>
      <c r="J234">
        <v>0</v>
      </c>
      <c r="K234" s="3" t="str">
        <f>VLOOKUP(J234,'LibSets constants'!$A$4:$B$1012,2,FALSE)</f>
        <v>DLC_BASE_GAME</v>
      </c>
      <c r="L234" s="3" t="str">
        <f>VLOOKUP(J234,'LibSets constants'!$A$4:$C$1012,3,FALSE)</f>
        <v>Included in base game</v>
      </c>
    </row>
    <row r="235" spans="1:12" x14ac:dyDescent="0.25">
      <c r="A235" s="5">
        <v>438</v>
      </c>
      <c r="B235" s="5">
        <v>230</v>
      </c>
      <c r="C235" s="5">
        <v>383</v>
      </c>
      <c r="D235" t="s">
        <v>313</v>
      </c>
      <c r="E235" s="3" t="str">
        <f t="array" ref="E235">IF(OR(EXACT(A235,'ESO Dungeon constants'!$D$3:$D$987)),"X","")</f>
        <v/>
      </c>
      <c r="F235" s="3" t="str">
        <f t="shared" si="12"/>
        <v/>
      </c>
      <c r="G235" s="3" t="str">
        <f t="shared" si="13"/>
        <v>Grahtwood</v>
      </c>
      <c r="H235" s="17">
        <f t="shared" si="14"/>
        <v>438</v>
      </c>
      <c r="I235" s="17">
        <f t="shared" si="15"/>
        <v>383</v>
      </c>
      <c r="J235">
        <v>0</v>
      </c>
      <c r="K235" s="3" t="str">
        <f>VLOOKUP(J235,'LibSets constants'!$A$4:$B$1012,2,FALSE)</f>
        <v>DLC_BASE_GAME</v>
      </c>
      <c r="L235" s="3" t="str">
        <f>VLOOKUP(J235,'LibSets constants'!$A$4:$C$1012,3,FALSE)</f>
        <v>Included in base game</v>
      </c>
    </row>
    <row r="236" spans="1:12" x14ac:dyDescent="0.25">
      <c r="A236" s="5">
        <v>439</v>
      </c>
      <c r="B236" s="5">
        <v>231</v>
      </c>
      <c r="C236" s="5">
        <v>383</v>
      </c>
      <c r="D236" t="s">
        <v>314</v>
      </c>
      <c r="E236" s="3" t="str">
        <f t="array" ref="E236">IF(OR(EXACT(A236,'ESO Dungeon constants'!$D$3:$D$987)),"X","")</f>
        <v/>
      </c>
      <c r="F236" s="3" t="str">
        <f t="shared" si="12"/>
        <v/>
      </c>
      <c r="G236" s="3" t="str">
        <f t="shared" si="13"/>
        <v>Grahtwood</v>
      </c>
      <c r="H236" s="17">
        <f t="shared" si="14"/>
        <v>439</v>
      </c>
      <c r="I236" s="17">
        <f t="shared" si="15"/>
        <v>383</v>
      </c>
      <c r="J236">
        <v>0</v>
      </c>
      <c r="K236" s="3" t="str">
        <f>VLOOKUP(J236,'LibSets constants'!$A$4:$B$1012,2,FALSE)</f>
        <v>DLC_BASE_GAME</v>
      </c>
      <c r="L236" s="3" t="str">
        <f>VLOOKUP(J236,'LibSets constants'!$A$4:$C$1012,3,FALSE)</f>
        <v>Included in base game</v>
      </c>
    </row>
    <row r="237" spans="1:12" x14ac:dyDescent="0.25">
      <c r="A237" s="5">
        <v>440</v>
      </c>
      <c r="B237" s="5">
        <v>232</v>
      </c>
      <c r="C237" s="5">
        <v>383</v>
      </c>
      <c r="D237" t="s">
        <v>315</v>
      </c>
      <c r="E237" s="3" t="str">
        <f t="array" ref="E237">IF(OR(EXACT(A237,'ESO Dungeon constants'!$D$3:$D$987)),"X","")</f>
        <v/>
      </c>
      <c r="F237" s="3" t="str">
        <f t="shared" si="12"/>
        <v/>
      </c>
      <c r="G237" s="3" t="str">
        <f t="shared" si="13"/>
        <v>Grahtwood</v>
      </c>
      <c r="H237" s="17">
        <f t="shared" si="14"/>
        <v>440</v>
      </c>
      <c r="I237" s="17">
        <f t="shared" si="15"/>
        <v>383</v>
      </c>
      <c r="J237">
        <v>0</v>
      </c>
      <c r="K237" s="3" t="str">
        <f>VLOOKUP(J237,'LibSets constants'!$A$4:$B$1012,2,FALSE)</f>
        <v>DLC_BASE_GAME</v>
      </c>
      <c r="L237" s="3" t="str">
        <f>VLOOKUP(J237,'LibSets constants'!$A$4:$C$1012,3,FALSE)</f>
        <v>Included in base game</v>
      </c>
    </row>
    <row r="238" spans="1:12" x14ac:dyDescent="0.25">
      <c r="A238" s="5">
        <v>442</v>
      </c>
      <c r="B238" s="5">
        <v>233</v>
      </c>
      <c r="C238" s="5">
        <v>383</v>
      </c>
      <c r="D238" t="s">
        <v>316</v>
      </c>
      <c r="E238" s="3" t="str">
        <f t="array" ref="E238">IF(OR(EXACT(A238,'ESO Dungeon constants'!$D$3:$D$987)),"X","")</f>
        <v/>
      </c>
      <c r="F238" s="3" t="str">
        <f t="shared" si="12"/>
        <v/>
      </c>
      <c r="G238" s="3" t="str">
        <f t="shared" si="13"/>
        <v>Grahtwood</v>
      </c>
      <c r="H238" s="17">
        <f t="shared" si="14"/>
        <v>442</v>
      </c>
      <c r="I238" s="17">
        <f t="shared" si="15"/>
        <v>383</v>
      </c>
      <c r="J238">
        <v>0</v>
      </c>
      <c r="K238" s="3" t="str">
        <f>VLOOKUP(J238,'LibSets constants'!$A$4:$B$1012,2,FALSE)</f>
        <v>DLC_BASE_GAME</v>
      </c>
      <c r="L238" s="3" t="str">
        <f>VLOOKUP(J238,'LibSets constants'!$A$4:$C$1012,3,FALSE)</f>
        <v>Included in base game</v>
      </c>
    </row>
    <row r="239" spans="1:12" x14ac:dyDescent="0.25">
      <c r="A239" s="5">
        <v>444</v>
      </c>
      <c r="B239" s="5">
        <v>234</v>
      </c>
      <c r="C239" s="5">
        <v>383</v>
      </c>
      <c r="D239" t="s">
        <v>317</v>
      </c>
      <c r="E239" s="3" t="str">
        <f t="array" ref="E239">IF(OR(EXACT(A239,'ESO Dungeon constants'!$D$3:$D$987)),"X","")</f>
        <v/>
      </c>
      <c r="F239" s="3" t="str">
        <f t="shared" si="12"/>
        <v/>
      </c>
      <c r="G239" s="3" t="str">
        <f t="shared" si="13"/>
        <v>Grahtwood</v>
      </c>
      <c r="H239" s="17">
        <f t="shared" si="14"/>
        <v>444</v>
      </c>
      <c r="I239" s="17">
        <f t="shared" si="15"/>
        <v>383</v>
      </c>
      <c r="J239">
        <v>0</v>
      </c>
      <c r="K239" s="3" t="str">
        <f>VLOOKUP(J239,'LibSets constants'!$A$4:$B$1012,2,FALSE)</f>
        <v>DLC_BASE_GAME</v>
      </c>
      <c r="L239" s="3" t="str">
        <f>VLOOKUP(J239,'LibSets constants'!$A$4:$C$1012,3,FALSE)</f>
        <v>Included in base game</v>
      </c>
    </row>
    <row r="240" spans="1:12" x14ac:dyDescent="0.25">
      <c r="A240" s="5">
        <v>447</v>
      </c>
      <c r="B240" s="5">
        <v>235</v>
      </c>
      <c r="C240" s="5">
        <v>383</v>
      </c>
      <c r="D240" t="s">
        <v>318</v>
      </c>
      <c r="E240" s="3" t="str">
        <f t="array" ref="E240">IF(OR(EXACT(A240,'ESO Dungeon constants'!$D$3:$D$987)),"X","")</f>
        <v/>
      </c>
      <c r="F240" s="3" t="str">
        <f t="shared" si="12"/>
        <v/>
      </c>
      <c r="G240" s="3" t="str">
        <f t="shared" si="13"/>
        <v>Grahtwood</v>
      </c>
      <c r="H240" s="17">
        <f t="shared" si="14"/>
        <v>447</v>
      </c>
      <c r="I240" s="17">
        <f t="shared" si="15"/>
        <v>383</v>
      </c>
      <c r="J240">
        <v>0</v>
      </c>
      <c r="K240" s="3" t="str">
        <f>VLOOKUP(J240,'LibSets constants'!$A$4:$B$1012,2,FALSE)</f>
        <v>DLC_BASE_GAME</v>
      </c>
      <c r="L240" s="3" t="str">
        <f>VLOOKUP(J240,'LibSets constants'!$A$4:$C$1012,3,FALSE)</f>
        <v>Included in base game</v>
      </c>
    </row>
    <row r="241" spans="1:12" x14ac:dyDescent="0.25">
      <c r="A241" s="5">
        <v>449</v>
      </c>
      <c r="B241" s="5">
        <v>236</v>
      </c>
      <c r="C241" s="5">
        <v>101</v>
      </c>
      <c r="D241" t="s">
        <v>48</v>
      </c>
      <c r="E241" s="3" t="str">
        <f t="array" ref="E241">IF(OR(EXACT(A241,'ESO Dungeon constants'!$D$3:$D$987)),"X","")</f>
        <v>X</v>
      </c>
      <c r="F241" s="3" t="str">
        <f t="shared" si="12"/>
        <v/>
      </c>
      <c r="G241" s="3" t="str">
        <f t="shared" si="13"/>
        <v>Eastmarch</v>
      </c>
      <c r="H241" s="17">
        <f t="shared" si="14"/>
        <v>449</v>
      </c>
      <c r="I241" s="17">
        <f t="shared" si="15"/>
        <v>101</v>
      </c>
      <c r="J241">
        <v>0</v>
      </c>
      <c r="K241" s="3" t="str">
        <f>VLOOKUP(J241,'LibSets constants'!$A$4:$B$1012,2,FALSE)</f>
        <v>DLC_BASE_GAME</v>
      </c>
      <c r="L241" s="3" t="str">
        <f>VLOOKUP(J241,'LibSets constants'!$A$4:$C$1012,3,FALSE)</f>
        <v>Included in base game</v>
      </c>
    </row>
    <row r="242" spans="1:12" x14ac:dyDescent="0.25">
      <c r="A242" s="5">
        <v>451</v>
      </c>
      <c r="B242" s="5">
        <v>237</v>
      </c>
      <c r="C242" s="5">
        <v>382</v>
      </c>
      <c r="D242" t="s">
        <v>319</v>
      </c>
      <c r="E242" s="3" t="str">
        <f t="array" ref="E242">IF(OR(EXACT(A242,'ESO Dungeon constants'!$D$3:$D$987)),"X","")</f>
        <v/>
      </c>
      <c r="F242" s="3" t="str">
        <f t="shared" si="12"/>
        <v/>
      </c>
      <c r="G242" s="3" t="str">
        <f t="shared" si="13"/>
        <v>Reaper's March</v>
      </c>
      <c r="H242" s="17">
        <f t="shared" si="14"/>
        <v>451</v>
      </c>
      <c r="I242" s="17">
        <f t="shared" si="15"/>
        <v>382</v>
      </c>
      <c r="J242">
        <v>0</v>
      </c>
      <c r="K242" s="3" t="str">
        <f>VLOOKUP(J242,'LibSets constants'!$A$4:$B$1012,2,FALSE)</f>
        <v>DLC_BASE_GAME</v>
      </c>
      <c r="L242" s="3" t="str">
        <f>VLOOKUP(J242,'LibSets constants'!$A$4:$C$1012,3,FALSE)</f>
        <v>Included in base game</v>
      </c>
    </row>
    <row r="243" spans="1:12" x14ac:dyDescent="0.25">
      <c r="A243" s="5">
        <v>452</v>
      </c>
      <c r="B243" s="5">
        <v>238</v>
      </c>
      <c r="C243" s="5">
        <v>382</v>
      </c>
      <c r="D243" t="s">
        <v>320</v>
      </c>
      <c r="E243" s="3" t="str">
        <f t="array" ref="E243">IF(OR(EXACT(A243,'ESO Dungeon constants'!$D$3:$D$987)),"X","")</f>
        <v/>
      </c>
      <c r="F243" s="3" t="str">
        <f t="shared" si="12"/>
        <v/>
      </c>
      <c r="G243" s="3" t="str">
        <f t="shared" si="13"/>
        <v>Reaper's March</v>
      </c>
      <c r="H243" s="17">
        <f t="shared" si="14"/>
        <v>452</v>
      </c>
      <c r="I243" s="17">
        <f t="shared" si="15"/>
        <v>382</v>
      </c>
      <c r="J243">
        <v>0</v>
      </c>
      <c r="K243" s="3" t="str">
        <f>VLOOKUP(J243,'LibSets constants'!$A$4:$B$1012,2,FALSE)</f>
        <v>DLC_BASE_GAME</v>
      </c>
      <c r="L243" s="3" t="str">
        <f>VLOOKUP(J243,'LibSets constants'!$A$4:$C$1012,3,FALSE)</f>
        <v>Included in base game</v>
      </c>
    </row>
    <row r="244" spans="1:12" x14ac:dyDescent="0.25">
      <c r="A244" s="5">
        <v>453</v>
      </c>
      <c r="B244" s="5">
        <v>239</v>
      </c>
      <c r="C244" s="5">
        <v>382</v>
      </c>
      <c r="D244" t="s">
        <v>321</v>
      </c>
      <c r="E244" s="3" t="str">
        <f t="array" ref="E244">IF(OR(EXACT(A244,'ESO Dungeon constants'!$D$3:$D$987)),"X","")</f>
        <v/>
      </c>
      <c r="F244" s="3" t="str">
        <f t="shared" si="12"/>
        <v/>
      </c>
      <c r="G244" s="3" t="str">
        <f t="shared" si="13"/>
        <v>Reaper's March</v>
      </c>
      <c r="H244" s="17">
        <f t="shared" si="14"/>
        <v>453</v>
      </c>
      <c r="I244" s="17">
        <f t="shared" si="15"/>
        <v>382</v>
      </c>
      <c r="J244">
        <v>0</v>
      </c>
      <c r="K244" s="3" t="str">
        <f>VLOOKUP(J244,'LibSets constants'!$A$4:$B$1012,2,FALSE)</f>
        <v>DLC_BASE_GAME</v>
      </c>
      <c r="L244" s="3" t="str">
        <f>VLOOKUP(J244,'LibSets constants'!$A$4:$C$1012,3,FALSE)</f>
        <v>Included in base game</v>
      </c>
    </row>
    <row r="245" spans="1:12" x14ac:dyDescent="0.25">
      <c r="A245" s="5">
        <v>454</v>
      </c>
      <c r="B245" s="5">
        <v>240</v>
      </c>
      <c r="C245" s="5">
        <v>382</v>
      </c>
      <c r="D245" t="s">
        <v>322</v>
      </c>
      <c r="E245" s="3" t="str">
        <f t="array" ref="E245">IF(OR(EXACT(A245,'ESO Dungeon constants'!$D$3:$D$987)),"X","")</f>
        <v/>
      </c>
      <c r="F245" s="3" t="str">
        <f t="shared" si="12"/>
        <v/>
      </c>
      <c r="G245" s="3" t="str">
        <f t="shared" si="13"/>
        <v>Reaper's March</v>
      </c>
      <c r="H245" s="17">
        <f t="shared" si="14"/>
        <v>454</v>
      </c>
      <c r="I245" s="17">
        <f t="shared" si="15"/>
        <v>382</v>
      </c>
      <c r="J245">
        <v>0</v>
      </c>
      <c r="K245" s="3" t="str">
        <f>VLOOKUP(J245,'LibSets constants'!$A$4:$B$1012,2,FALSE)</f>
        <v>DLC_BASE_GAME</v>
      </c>
      <c r="L245" s="3" t="str">
        <f>VLOOKUP(J245,'LibSets constants'!$A$4:$C$1012,3,FALSE)</f>
        <v>Included in base game</v>
      </c>
    </row>
    <row r="246" spans="1:12" x14ac:dyDescent="0.25">
      <c r="A246" s="5">
        <v>455</v>
      </c>
      <c r="B246" s="5">
        <v>241</v>
      </c>
      <c r="C246" s="5">
        <v>382</v>
      </c>
      <c r="D246" t="s">
        <v>323</v>
      </c>
      <c r="E246" s="3" t="str">
        <f t="array" ref="E246">IF(OR(EXACT(A246,'ESO Dungeon constants'!$D$3:$D$987)),"X","")</f>
        <v/>
      </c>
      <c r="F246" s="3" t="str">
        <f t="shared" si="12"/>
        <v/>
      </c>
      <c r="G246" s="3" t="str">
        <f t="shared" si="13"/>
        <v>Reaper's March</v>
      </c>
      <c r="H246" s="17">
        <f t="shared" si="14"/>
        <v>455</v>
      </c>
      <c r="I246" s="17">
        <f t="shared" si="15"/>
        <v>382</v>
      </c>
      <c r="J246">
        <v>0</v>
      </c>
      <c r="K246" s="3" t="str">
        <f>VLOOKUP(J246,'LibSets constants'!$A$4:$B$1012,2,FALSE)</f>
        <v>DLC_BASE_GAME</v>
      </c>
      <c r="L246" s="3" t="str">
        <f>VLOOKUP(J246,'LibSets constants'!$A$4:$C$1012,3,FALSE)</f>
        <v>Included in base game</v>
      </c>
    </row>
    <row r="247" spans="1:12" x14ac:dyDescent="0.25">
      <c r="A247" s="5">
        <v>456</v>
      </c>
      <c r="B247" s="5">
        <v>242</v>
      </c>
      <c r="C247" s="5">
        <v>382</v>
      </c>
      <c r="D247" t="s">
        <v>324</v>
      </c>
      <c r="E247" s="3" t="str">
        <f t="array" ref="E247">IF(OR(EXACT(A247,'ESO Dungeon constants'!$D$3:$D$987)),"X","")</f>
        <v/>
      </c>
      <c r="F247" s="3" t="str">
        <f t="shared" si="12"/>
        <v/>
      </c>
      <c r="G247" s="3" t="str">
        <f t="shared" si="13"/>
        <v>Reaper's March</v>
      </c>
      <c r="H247" s="17">
        <f t="shared" si="14"/>
        <v>456</v>
      </c>
      <c r="I247" s="17">
        <f t="shared" si="15"/>
        <v>382</v>
      </c>
      <c r="J247">
        <v>0</v>
      </c>
      <c r="K247" s="3" t="str">
        <f>VLOOKUP(J247,'LibSets constants'!$A$4:$B$1012,2,FALSE)</f>
        <v>DLC_BASE_GAME</v>
      </c>
      <c r="L247" s="3" t="str">
        <f>VLOOKUP(J247,'LibSets constants'!$A$4:$C$1012,3,FALSE)</f>
        <v>Included in base game</v>
      </c>
    </row>
    <row r="248" spans="1:12" x14ac:dyDescent="0.25">
      <c r="A248" s="5">
        <v>457</v>
      </c>
      <c r="B248" s="5">
        <v>243</v>
      </c>
      <c r="C248" s="5">
        <v>382</v>
      </c>
      <c r="D248" t="s">
        <v>325</v>
      </c>
      <c r="E248" s="3" t="str">
        <f t="array" ref="E248">IF(OR(EXACT(A248,'ESO Dungeon constants'!$D$3:$D$987)),"X","")</f>
        <v/>
      </c>
      <c r="F248" s="3" t="str">
        <f t="shared" si="12"/>
        <v/>
      </c>
      <c r="G248" s="3" t="str">
        <f t="shared" si="13"/>
        <v>Reaper's March</v>
      </c>
      <c r="H248" s="17">
        <f t="shared" si="14"/>
        <v>457</v>
      </c>
      <c r="I248" s="17">
        <f t="shared" si="15"/>
        <v>382</v>
      </c>
      <c r="J248">
        <v>0</v>
      </c>
      <c r="K248" s="3" t="str">
        <f>VLOOKUP(J248,'LibSets constants'!$A$4:$B$1012,2,FALSE)</f>
        <v>DLC_BASE_GAME</v>
      </c>
      <c r="L248" s="3" t="str">
        <f>VLOOKUP(J248,'LibSets constants'!$A$4:$C$1012,3,FALSE)</f>
        <v>Included in base game</v>
      </c>
    </row>
    <row r="249" spans="1:12" x14ac:dyDescent="0.25">
      <c r="A249" s="5">
        <v>458</v>
      </c>
      <c r="B249" s="5">
        <v>244</v>
      </c>
      <c r="C249" s="5">
        <v>382</v>
      </c>
      <c r="D249" t="s">
        <v>326</v>
      </c>
      <c r="E249" s="3" t="str">
        <f t="array" ref="E249">IF(OR(EXACT(A249,'ESO Dungeon constants'!$D$3:$D$987)),"X","")</f>
        <v/>
      </c>
      <c r="F249" s="3" t="str">
        <f t="shared" si="12"/>
        <v/>
      </c>
      <c r="G249" s="3" t="str">
        <f t="shared" si="13"/>
        <v>Reaper's March</v>
      </c>
      <c r="H249" s="17">
        <f t="shared" si="14"/>
        <v>458</v>
      </c>
      <c r="I249" s="17">
        <f t="shared" si="15"/>
        <v>382</v>
      </c>
      <c r="J249">
        <v>3</v>
      </c>
      <c r="K249" s="3" t="str">
        <f>VLOOKUP(J249,'LibSets constants'!$A$4:$B$1012,2,FALSE)</f>
        <v>DLC_THIEVES_GUILD</v>
      </c>
      <c r="L249" s="3" t="str">
        <f>VLOOKUP(J249,'LibSets constants'!$A$4:$C$1012,3,FALSE)</f>
        <v>Thieves Guild</v>
      </c>
    </row>
    <row r="250" spans="1:12" x14ac:dyDescent="0.25">
      <c r="A250" s="5">
        <v>459</v>
      </c>
      <c r="B250" s="5">
        <v>245</v>
      </c>
      <c r="C250" s="5">
        <v>382</v>
      </c>
      <c r="D250" t="s">
        <v>327</v>
      </c>
      <c r="E250" s="3" t="str">
        <f t="array" ref="E250">IF(OR(EXACT(A250,'ESO Dungeon constants'!$D$3:$D$987)),"X","")</f>
        <v/>
      </c>
      <c r="F250" s="3" t="str">
        <f t="shared" si="12"/>
        <v/>
      </c>
      <c r="G250" s="3" t="str">
        <f t="shared" si="13"/>
        <v>Reaper's March</v>
      </c>
      <c r="H250" s="17">
        <f t="shared" si="14"/>
        <v>459</v>
      </c>
      <c r="I250" s="17">
        <f t="shared" si="15"/>
        <v>382</v>
      </c>
      <c r="J250">
        <v>3</v>
      </c>
      <c r="K250" s="3" t="str">
        <f>VLOOKUP(J250,'LibSets constants'!$A$4:$B$1012,2,FALSE)</f>
        <v>DLC_THIEVES_GUILD</v>
      </c>
      <c r="L250" s="3" t="str">
        <f>VLOOKUP(J250,'LibSets constants'!$A$4:$C$1012,3,FALSE)</f>
        <v>Thieves Guild</v>
      </c>
    </row>
    <row r="251" spans="1:12" x14ac:dyDescent="0.25">
      <c r="A251" s="5">
        <v>460</v>
      </c>
      <c r="B251" s="5">
        <v>246</v>
      </c>
      <c r="C251" s="5">
        <v>382</v>
      </c>
      <c r="D251" t="s">
        <v>328</v>
      </c>
      <c r="E251" s="3" t="str">
        <f t="array" ref="E251">IF(OR(EXACT(A251,'ESO Dungeon constants'!$D$3:$D$987)),"X","")</f>
        <v/>
      </c>
      <c r="F251" s="3" t="str">
        <f t="shared" si="12"/>
        <v/>
      </c>
      <c r="G251" s="3" t="str">
        <f t="shared" si="13"/>
        <v>Reaper's March</v>
      </c>
      <c r="H251" s="17">
        <f t="shared" si="14"/>
        <v>460</v>
      </c>
      <c r="I251" s="17">
        <f t="shared" si="15"/>
        <v>382</v>
      </c>
      <c r="J251">
        <v>4</v>
      </c>
      <c r="K251" s="3" t="str">
        <f>VLOOKUP(J251,'LibSets constants'!$A$4:$B$1012,2,FALSE)</f>
        <v>DLC_DARK_BROTHERHOOD</v>
      </c>
      <c r="L251" s="3" t="str">
        <f>VLOOKUP(J251,'LibSets constants'!$A$4:$C$1012,3,FALSE)</f>
        <v>Dark Brotherhood</v>
      </c>
    </row>
    <row r="252" spans="1:12" x14ac:dyDescent="0.25">
      <c r="A252" s="5">
        <v>461</v>
      </c>
      <c r="B252" s="5">
        <v>247</v>
      </c>
      <c r="C252" s="5">
        <v>382</v>
      </c>
      <c r="D252" t="s">
        <v>329</v>
      </c>
      <c r="E252" s="3" t="str">
        <f t="array" ref="E252">IF(OR(EXACT(A252,'ESO Dungeon constants'!$D$3:$D$987)),"X","")</f>
        <v/>
      </c>
      <c r="F252" s="3" t="str">
        <f t="shared" si="12"/>
        <v/>
      </c>
      <c r="G252" s="3" t="str">
        <f t="shared" si="13"/>
        <v>Reaper's March</v>
      </c>
      <c r="H252" s="17">
        <f t="shared" si="14"/>
        <v>461</v>
      </c>
      <c r="I252" s="17">
        <f t="shared" si="15"/>
        <v>382</v>
      </c>
      <c r="J252">
        <v>4</v>
      </c>
      <c r="K252" s="3" t="str">
        <f>VLOOKUP(J252,'LibSets constants'!$A$4:$B$1012,2,FALSE)</f>
        <v>DLC_DARK_BROTHERHOOD</v>
      </c>
      <c r="L252" s="3" t="str">
        <f>VLOOKUP(J252,'LibSets constants'!$A$4:$C$1012,3,FALSE)</f>
        <v>Dark Brotherhood</v>
      </c>
    </row>
    <row r="253" spans="1:12" x14ac:dyDescent="0.25">
      <c r="A253" s="5">
        <v>462</v>
      </c>
      <c r="B253" s="5">
        <v>248</v>
      </c>
      <c r="C253" s="5">
        <v>382</v>
      </c>
      <c r="D253" t="s">
        <v>330</v>
      </c>
      <c r="E253" s="3" t="str">
        <f t="array" ref="E253">IF(OR(EXACT(A253,'ESO Dungeon constants'!$D$3:$D$987)),"X","")</f>
        <v/>
      </c>
      <c r="F253" s="3" t="str">
        <f t="shared" si="12"/>
        <v/>
      </c>
      <c r="G253" s="3" t="str">
        <f t="shared" si="13"/>
        <v>Reaper's March</v>
      </c>
      <c r="H253" s="17">
        <f t="shared" si="14"/>
        <v>462</v>
      </c>
      <c r="I253" s="17">
        <f t="shared" si="15"/>
        <v>382</v>
      </c>
      <c r="J253">
        <v>3</v>
      </c>
      <c r="K253" s="3" t="str">
        <f>VLOOKUP(J253,'LibSets constants'!$A$4:$B$1012,2,FALSE)</f>
        <v>DLC_THIEVES_GUILD</v>
      </c>
      <c r="L253" s="3" t="str">
        <f>VLOOKUP(J253,'LibSets constants'!$A$4:$C$1012,3,FALSE)</f>
        <v>Thieves Guild</v>
      </c>
    </row>
    <row r="254" spans="1:12" x14ac:dyDescent="0.25">
      <c r="A254" s="5">
        <v>463</v>
      </c>
      <c r="B254" s="5">
        <v>249</v>
      </c>
      <c r="C254" s="5">
        <v>382</v>
      </c>
      <c r="D254" t="s">
        <v>331</v>
      </c>
      <c r="E254" s="3" t="str">
        <f t="array" ref="E254">IF(OR(EXACT(A254,'ESO Dungeon constants'!$D$3:$D$987)),"X","")</f>
        <v/>
      </c>
      <c r="F254" s="3" t="str">
        <f t="shared" si="12"/>
        <v/>
      </c>
      <c r="G254" s="3" t="str">
        <f t="shared" si="13"/>
        <v>Reaper's March</v>
      </c>
      <c r="H254" s="17">
        <f t="shared" si="14"/>
        <v>463</v>
      </c>
      <c r="I254" s="17">
        <f t="shared" si="15"/>
        <v>382</v>
      </c>
      <c r="J254">
        <v>4</v>
      </c>
      <c r="K254" s="3" t="str">
        <f>VLOOKUP(J254,'LibSets constants'!$A$4:$B$1012,2,FALSE)</f>
        <v>DLC_DARK_BROTHERHOOD</v>
      </c>
      <c r="L254" s="3" t="str">
        <f>VLOOKUP(J254,'LibSets constants'!$A$4:$C$1012,3,FALSE)</f>
        <v>Dark Brotherhood</v>
      </c>
    </row>
    <row r="255" spans="1:12" x14ac:dyDescent="0.25">
      <c r="A255" s="5">
        <v>464</v>
      </c>
      <c r="B255" s="5">
        <v>250</v>
      </c>
      <c r="C255" s="5">
        <v>382</v>
      </c>
      <c r="D255" t="s">
        <v>332</v>
      </c>
      <c r="E255" s="3" t="str">
        <f t="array" ref="E255">IF(OR(EXACT(A255,'ESO Dungeon constants'!$D$3:$D$987)),"X","")</f>
        <v/>
      </c>
      <c r="F255" s="3" t="str">
        <f t="shared" si="12"/>
        <v/>
      </c>
      <c r="G255" s="3" t="str">
        <f t="shared" si="13"/>
        <v>Reaper's March</v>
      </c>
      <c r="H255" s="17">
        <f t="shared" si="14"/>
        <v>464</v>
      </c>
      <c r="I255" s="17">
        <f t="shared" si="15"/>
        <v>382</v>
      </c>
      <c r="J255">
        <v>3</v>
      </c>
      <c r="K255" s="3" t="str">
        <f>VLOOKUP(J255,'LibSets constants'!$A$4:$B$1012,2,FALSE)</f>
        <v>DLC_THIEVES_GUILD</v>
      </c>
      <c r="L255" s="3" t="str">
        <f>VLOOKUP(J255,'LibSets constants'!$A$4:$C$1012,3,FALSE)</f>
        <v>Thieves Guild</v>
      </c>
    </row>
    <row r="256" spans="1:12" x14ac:dyDescent="0.25">
      <c r="A256" s="5">
        <v>465</v>
      </c>
      <c r="B256" s="5">
        <v>251</v>
      </c>
      <c r="C256" s="5">
        <v>382</v>
      </c>
      <c r="D256" t="s">
        <v>333</v>
      </c>
      <c r="E256" s="3" t="str">
        <f t="array" ref="E256">IF(OR(EXACT(A256,'ESO Dungeon constants'!$D$3:$D$987)),"X","")</f>
        <v/>
      </c>
      <c r="F256" s="3" t="str">
        <f t="shared" si="12"/>
        <v/>
      </c>
      <c r="G256" s="3" t="str">
        <f t="shared" si="13"/>
        <v>Reaper's March</v>
      </c>
      <c r="H256" s="17">
        <f t="shared" si="14"/>
        <v>465</v>
      </c>
      <c r="I256" s="17">
        <f t="shared" si="15"/>
        <v>382</v>
      </c>
      <c r="J256">
        <v>3</v>
      </c>
      <c r="K256" s="3" t="str">
        <f>VLOOKUP(J256,'LibSets constants'!$A$4:$B$1012,2,FALSE)</f>
        <v>DLC_THIEVES_GUILD</v>
      </c>
      <c r="L256" s="3" t="str">
        <f>VLOOKUP(J256,'LibSets constants'!$A$4:$C$1012,3,FALSE)</f>
        <v>Thieves Guild</v>
      </c>
    </row>
    <row r="257" spans="1:12" x14ac:dyDescent="0.25">
      <c r="A257" s="5">
        <v>466</v>
      </c>
      <c r="B257" s="5">
        <v>252</v>
      </c>
      <c r="C257" s="5">
        <v>382</v>
      </c>
      <c r="D257" t="s">
        <v>334</v>
      </c>
      <c r="E257" s="3" t="str">
        <f t="array" ref="E257">IF(OR(EXACT(A257,'ESO Dungeon constants'!$D$3:$D$987)),"X","")</f>
        <v/>
      </c>
      <c r="F257" s="3" t="str">
        <f t="shared" si="12"/>
        <v/>
      </c>
      <c r="G257" s="3" t="str">
        <f t="shared" si="13"/>
        <v>Reaper's March</v>
      </c>
      <c r="H257" s="17">
        <f t="shared" si="14"/>
        <v>466</v>
      </c>
      <c r="I257" s="17">
        <f t="shared" si="15"/>
        <v>382</v>
      </c>
      <c r="J257">
        <v>0</v>
      </c>
      <c r="K257" s="3" t="str">
        <f>VLOOKUP(J257,'LibSets constants'!$A$4:$B$1012,2,FALSE)</f>
        <v>DLC_BASE_GAME</v>
      </c>
      <c r="L257" s="3" t="str">
        <f>VLOOKUP(J257,'LibSets constants'!$A$4:$C$1012,3,FALSE)</f>
        <v>Included in base game</v>
      </c>
    </row>
    <row r="258" spans="1:12" x14ac:dyDescent="0.25">
      <c r="A258" s="5">
        <v>467</v>
      </c>
      <c r="B258" s="5">
        <v>253</v>
      </c>
      <c r="C258" s="5">
        <v>382</v>
      </c>
      <c r="D258" t="s">
        <v>335</v>
      </c>
      <c r="E258" s="3" t="str">
        <f t="array" ref="E258">IF(OR(EXACT(A258,'ESO Dungeon constants'!$D$3:$D$987)),"X","")</f>
        <v/>
      </c>
      <c r="F258" s="3" t="str">
        <f t="shared" si="12"/>
        <v/>
      </c>
      <c r="G258" s="3" t="str">
        <f t="shared" si="13"/>
        <v>Reaper's March</v>
      </c>
      <c r="H258" s="17">
        <f t="shared" si="14"/>
        <v>467</v>
      </c>
      <c r="I258" s="17">
        <f t="shared" si="15"/>
        <v>382</v>
      </c>
      <c r="J258">
        <v>14</v>
      </c>
      <c r="K258" s="3" t="str">
        <f>VLOOKUP(J258,'LibSets constants'!$A$4:$B$1012,2,FALSE)</f>
        <v>DLC_ELSWEYR</v>
      </c>
      <c r="L258" s="3" t="str">
        <f>VLOOKUP(J258,'LibSets constants'!$A$4:$C$1012,3,FALSE)</f>
        <v>Elsweyr</v>
      </c>
    </row>
    <row r="259" spans="1:12" x14ac:dyDescent="0.25">
      <c r="A259" s="5">
        <v>468</v>
      </c>
      <c r="B259" s="5">
        <v>254</v>
      </c>
      <c r="C259" s="5">
        <v>58</v>
      </c>
      <c r="D259" t="s">
        <v>336</v>
      </c>
      <c r="E259" s="3" t="str">
        <f t="array" ref="E259">IF(OR(EXACT(A259,'ESO Dungeon constants'!$D$3:$D$987)),"X","")</f>
        <v/>
      </c>
      <c r="F259" s="3" t="str">
        <f t="shared" si="12"/>
        <v/>
      </c>
      <c r="G259" s="3" t="str">
        <f t="shared" si="13"/>
        <v>Malabal Tor</v>
      </c>
      <c r="H259" s="17">
        <f t="shared" si="14"/>
        <v>468</v>
      </c>
      <c r="I259" s="17">
        <f t="shared" si="15"/>
        <v>58</v>
      </c>
      <c r="J259">
        <v>2</v>
      </c>
      <c r="K259" s="3" t="str">
        <f>VLOOKUP(J259,'LibSets constants'!$A$4:$B$1012,2,FALSE)</f>
        <v>DLC_ORSINIUM</v>
      </c>
      <c r="L259" s="3" t="str">
        <f>VLOOKUP(J259,'LibSets constants'!$A$4:$C$1012,3,FALSE)</f>
        <v>Orsinium</v>
      </c>
    </row>
    <row r="260" spans="1:12" x14ac:dyDescent="0.25">
      <c r="A260" s="5">
        <v>469</v>
      </c>
      <c r="B260" s="5">
        <v>255</v>
      </c>
      <c r="C260" s="5">
        <v>58</v>
      </c>
      <c r="D260" t="s">
        <v>337</v>
      </c>
      <c r="E260" s="3" t="str">
        <f t="array" ref="E260">IF(OR(EXACT(A260,'ESO Dungeon constants'!$D$3:$D$987)),"X","")</f>
        <v/>
      </c>
      <c r="F260" s="3" t="str">
        <f t="shared" si="12"/>
        <v/>
      </c>
      <c r="G260" s="3" t="str">
        <f t="shared" si="13"/>
        <v>Malabal Tor</v>
      </c>
      <c r="H260" s="17">
        <f t="shared" si="14"/>
        <v>469</v>
      </c>
      <c r="I260" s="17">
        <f t="shared" si="15"/>
        <v>58</v>
      </c>
      <c r="J260">
        <v>18</v>
      </c>
      <c r="K260" s="3" t="str">
        <f>VLOOKUP(J260,'LibSets constants'!$A$4:$B$1012,2,FALSE)</f>
        <v>DLC_GREYMOOR</v>
      </c>
      <c r="L260" s="3" t="str">
        <f>VLOOKUP(J260,'LibSets constants'!$A$4:$C$1012,3,FALSE)</f>
        <v>Greymoor</v>
      </c>
    </row>
    <row r="261" spans="1:12" x14ac:dyDescent="0.25">
      <c r="A261" s="5">
        <v>470</v>
      </c>
      <c r="B261" s="5">
        <v>256</v>
      </c>
      <c r="C261" s="5">
        <v>58</v>
      </c>
      <c r="D261" t="s">
        <v>338</v>
      </c>
      <c r="E261" s="3" t="str">
        <f t="array" ref="E261">IF(OR(EXACT(A261,'ESO Dungeon constants'!$D$3:$D$987)),"X","")</f>
        <v/>
      </c>
      <c r="F261" s="3" t="str">
        <f t="shared" ref="F261:F324" si="16">IF(EXACT(A261,C261),"X","")</f>
        <v/>
      </c>
      <c r="G261" s="3" t="str">
        <f t="shared" ref="G261:G324" si="17">IF(A261&lt;&gt;C261,VLOOKUP(C261,$A$5:$D$9954,4,FALSE),"")</f>
        <v>Malabal Tor</v>
      </c>
      <c r="H261" s="17">
        <f t="shared" ref="H261:H324" si="18">A261</f>
        <v>470</v>
      </c>
      <c r="I261" s="17">
        <f t="shared" ref="I261:I324" si="19">C261</f>
        <v>58</v>
      </c>
      <c r="J261">
        <v>0</v>
      </c>
      <c r="K261" s="3" t="str">
        <f>VLOOKUP(J261,'LibSets constants'!$A$4:$B$1012,2,FALSE)</f>
        <v>DLC_BASE_GAME</v>
      </c>
      <c r="L261" s="3" t="str">
        <f>VLOOKUP(J261,'LibSets constants'!$A$4:$C$1012,3,FALSE)</f>
        <v>Included in base game</v>
      </c>
    </row>
    <row r="262" spans="1:12" x14ac:dyDescent="0.25">
      <c r="A262" s="5">
        <v>471</v>
      </c>
      <c r="B262" s="5">
        <v>257</v>
      </c>
      <c r="C262" s="5">
        <v>58</v>
      </c>
      <c r="D262" t="s">
        <v>339</v>
      </c>
      <c r="E262" s="3" t="str">
        <f t="array" ref="E262">IF(OR(EXACT(A262,'ESO Dungeon constants'!$D$3:$D$987)),"X","")</f>
        <v/>
      </c>
      <c r="F262" s="3" t="str">
        <f t="shared" si="16"/>
        <v/>
      </c>
      <c r="G262" s="3" t="str">
        <f t="shared" si="17"/>
        <v>Malabal Tor</v>
      </c>
      <c r="H262" s="17">
        <f t="shared" si="18"/>
        <v>471</v>
      </c>
      <c r="I262" s="17">
        <f t="shared" si="19"/>
        <v>58</v>
      </c>
      <c r="J262">
        <v>0</v>
      </c>
      <c r="K262" s="3" t="str">
        <f>VLOOKUP(J262,'LibSets constants'!$A$4:$B$1012,2,FALSE)</f>
        <v>DLC_BASE_GAME</v>
      </c>
      <c r="L262" s="3" t="str">
        <f>VLOOKUP(J262,'LibSets constants'!$A$4:$C$1012,3,FALSE)</f>
        <v>Included in base game</v>
      </c>
    </row>
    <row r="263" spans="1:12" x14ac:dyDescent="0.25">
      <c r="A263" s="5">
        <v>472</v>
      </c>
      <c r="B263" s="5">
        <v>258</v>
      </c>
      <c r="C263" s="5">
        <v>58</v>
      </c>
      <c r="D263" t="s">
        <v>340</v>
      </c>
      <c r="E263" s="3" t="str">
        <f t="array" ref="E263">IF(OR(EXACT(A263,'ESO Dungeon constants'!$D$3:$D$987)),"X","")</f>
        <v/>
      </c>
      <c r="F263" s="3" t="str">
        <f t="shared" si="16"/>
        <v/>
      </c>
      <c r="G263" s="3" t="str">
        <f t="shared" si="17"/>
        <v>Malabal Tor</v>
      </c>
      <c r="H263" s="17">
        <f t="shared" si="18"/>
        <v>472</v>
      </c>
      <c r="I263" s="17">
        <f t="shared" si="19"/>
        <v>58</v>
      </c>
      <c r="J263">
        <v>0</v>
      </c>
      <c r="K263" s="3" t="str">
        <f>VLOOKUP(J263,'LibSets constants'!$A$4:$B$1012,2,FALSE)</f>
        <v>DLC_BASE_GAME</v>
      </c>
      <c r="L263" s="3" t="str">
        <f>VLOOKUP(J263,'LibSets constants'!$A$4:$C$1012,3,FALSE)</f>
        <v>Included in base game</v>
      </c>
    </row>
    <row r="264" spans="1:12" x14ac:dyDescent="0.25">
      <c r="A264" s="5">
        <v>473</v>
      </c>
      <c r="B264" s="5">
        <v>259</v>
      </c>
      <c r="C264" s="5">
        <v>58</v>
      </c>
      <c r="D264" t="s">
        <v>341</v>
      </c>
      <c r="E264" s="3" t="str">
        <f t="array" ref="E264">IF(OR(EXACT(A264,'ESO Dungeon constants'!$D$3:$D$987)),"X","")</f>
        <v/>
      </c>
      <c r="F264" s="3" t="str">
        <f t="shared" si="16"/>
        <v/>
      </c>
      <c r="G264" s="3" t="str">
        <f t="shared" si="17"/>
        <v>Malabal Tor</v>
      </c>
      <c r="H264" s="17">
        <f t="shared" si="18"/>
        <v>473</v>
      </c>
      <c r="I264" s="17">
        <f t="shared" si="19"/>
        <v>58</v>
      </c>
      <c r="J264">
        <v>2</v>
      </c>
      <c r="K264" s="3" t="str">
        <f>VLOOKUP(J264,'LibSets constants'!$A$4:$B$1012,2,FALSE)</f>
        <v>DLC_ORSINIUM</v>
      </c>
      <c r="L264" s="3" t="str">
        <f>VLOOKUP(J264,'LibSets constants'!$A$4:$C$1012,3,FALSE)</f>
        <v>Orsinium</v>
      </c>
    </row>
    <row r="265" spans="1:12" x14ac:dyDescent="0.25">
      <c r="A265" s="5">
        <v>475</v>
      </c>
      <c r="B265" s="5">
        <v>260</v>
      </c>
      <c r="C265" s="5">
        <v>383</v>
      </c>
      <c r="D265" t="s">
        <v>342</v>
      </c>
      <c r="E265" s="3" t="str">
        <f t="array" ref="E265">IF(OR(EXACT(A265,'ESO Dungeon constants'!$D$3:$D$987)),"X","")</f>
        <v/>
      </c>
      <c r="F265" s="3" t="str">
        <f t="shared" si="16"/>
        <v/>
      </c>
      <c r="G265" s="3" t="str">
        <f t="shared" si="17"/>
        <v>Grahtwood</v>
      </c>
      <c r="H265" s="17">
        <f t="shared" si="18"/>
        <v>475</v>
      </c>
      <c r="I265" s="17">
        <f t="shared" si="19"/>
        <v>383</v>
      </c>
      <c r="J265">
        <v>2</v>
      </c>
      <c r="K265" s="3" t="str">
        <f>VLOOKUP(J265,'LibSets constants'!$A$4:$B$1012,2,FALSE)</f>
        <v>DLC_ORSINIUM</v>
      </c>
      <c r="L265" s="3" t="str">
        <f>VLOOKUP(J265,'LibSets constants'!$A$4:$C$1012,3,FALSE)</f>
        <v>Orsinium</v>
      </c>
    </row>
    <row r="266" spans="1:12" x14ac:dyDescent="0.25">
      <c r="A266" s="5">
        <v>477</v>
      </c>
      <c r="B266" s="5">
        <v>261</v>
      </c>
      <c r="C266" s="5">
        <v>383</v>
      </c>
      <c r="D266" t="s">
        <v>343</v>
      </c>
      <c r="E266" s="3" t="str">
        <f t="array" ref="E266">IF(OR(EXACT(A266,'ESO Dungeon constants'!$D$3:$D$987)),"X","")</f>
        <v/>
      </c>
      <c r="F266" s="3" t="str">
        <f t="shared" si="16"/>
        <v/>
      </c>
      <c r="G266" s="3" t="str">
        <f t="shared" si="17"/>
        <v>Grahtwood</v>
      </c>
      <c r="H266" s="17">
        <f t="shared" si="18"/>
        <v>477</v>
      </c>
      <c r="I266" s="17">
        <f t="shared" si="19"/>
        <v>383</v>
      </c>
      <c r="J266">
        <v>3</v>
      </c>
      <c r="K266" s="3" t="str">
        <f>VLOOKUP(J266,'LibSets constants'!$A$4:$B$1012,2,FALSE)</f>
        <v>DLC_THIEVES_GUILD</v>
      </c>
      <c r="L266" s="3" t="str">
        <f>VLOOKUP(J266,'LibSets constants'!$A$4:$C$1012,3,FALSE)</f>
        <v>Thieves Guild</v>
      </c>
    </row>
    <row r="267" spans="1:12" x14ac:dyDescent="0.25">
      <c r="A267" s="5">
        <v>478</v>
      </c>
      <c r="B267" s="5">
        <v>262</v>
      </c>
      <c r="C267" s="5">
        <v>383</v>
      </c>
      <c r="D267" t="s">
        <v>344</v>
      </c>
      <c r="E267" s="3" t="str">
        <f t="array" ref="E267">IF(OR(EXACT(A267,'ESO Dungeon constants'!$D$3:$D$987)),"X","")</f>
        <v/>
      </c>
      <c r="F267" s="3" t="str">
        <f t="shared" si="16"/>
        <v/>
      </c>
      <c r="G267" s="3" t="str">
        <f t="shared" si="17"/>
        <v>Grahtwood</v>
      </c>
      <c r="H267" s="17">
        <f t="shared" si="18"/>
        <v>478</v>
      </c>
      <c r="I267" s="17">
        <f t="shared" si="19"/>
        <v>383</v>
      </c>
      <c r="J267">
        <v>3</v>
      </c>
      <c r="K267" s="3" t="str">
        <f>VLOOKUP(J267,'LibSets constants'!$A$4:$B$1012,2,FALSE)</f>
        <v>DLC_THIEVES_GUILD</v>
      </c>
      <c r="L267" s="3" t="str">
        <f>VLOOKUP(J267,'LibSets constants'!$A$4:$C$1012,3,FALSE)</f>
        <v>Thieves Guild</v>
      </c>
    </row>
    <row r="268" spans="1:12" x14ac:dyDescent="0.25">
      <c r="A268" s="5">
        <v>480</v>
      </c>
      <c r="B268" s="5">
        <v>263</v>
      </c>
      <c r="C268" s="5">
        <v>103</v>
      </c>
      <c r="D268" t="s">
        <v>345</v>
      </c>
      <c r="E268" s="3" t="str">
        <f t="array" ref="E268">IF(OR(EXACT(A268,'ESO Dungeon constants'!$D$3:$D$987)),"X","")</f>
        <v/>
      </c>
      <c r="F268" s="3" t="str">
        <f t="shared" si="16"/>
        <v/>
      </c>
      <c r="G268" s="3" t="str">
        <f t="shared" si="17"/>
        <v>The Rift</v>
      </c>
      <c r="H268" s="17">
        <f t="shared" si="18"/>
        <v>480</v>
      </c>
      <c r="I268" s="17">
        <f t="shared" si="19"/>
        <v>103</v>
      </c>
      <c r="J268">
        <v>3</v>
      </c>
      <c r="K268" s="3" t="str">
        <f>VLOOKUP(J268,'LibSets constants'!$A$4:$B$1012,2,FALSE)</f>
        <v>DLC_THIEVES_GUILD</v>
      </c>
      <c r="L268" s="3" t="str">
        <f>VLOOKUP(J268,'LibSets constants'!$A$4:$C$1012,3,FALSE)</f>
        <v>Thieves Guild</v>
      </c>
    </row>
    <row r="269" spans="1:12" x14ac:dyDescent="0.25">
      <c r="A269" s="5">
        <v>481</v>
      </c>
      <c r="B269" s="5">
        <v>264</v>
      </c>
      <c r="C269" s="5">
        <v>103</v>
      </c>
      <c r="D269" t="s">
        <v>346</v>
      </c>
      <c r="E269" s="3" t="str">
        <f t="array" ref="E269">IF(OR(EXACT(A269,'ESO Dungeon constants'!$D$3:$D$987)),"X","")</f>
        <v/>
      </c>
      <c r="F269" s="3" t="str">
        <f t="shared" si="16"/>
        <v/>
      </c>
      <c r="G269" s="3" t="str">
        <f t="shared" si="17"/>
        <v>The Rift</v>
      </c>
      <c r="H269" s="17">
        <f t="shared" si="18"/>
        <v>481</v>
      </c>
      <c r="I269" s="17">
        <f t="shared" si="19"/>
        <v>103</v>
      </c>
      <c r="J269">
        <v>3</v>
      </c>
      <c r="K269" s="3" t="str">
        <f>VLOOKUP(J269,'LibSets constants'!$A$4:$B$1012,2,FALSE)</f>
        <v>DLC_THIEVES_GUILD</v>
      </c>
      <c r="L269" s="3" t="str">
        <f>VLOOKUP(J269,'LibSets constants'!$A$4:$C$1012,3,FALSE)</f>
        <v>Thieves Guild</v>
      </c>
    </row>
    <row r="270" spans="1:12" x14ac:dyDescent="0.25">
      <c r="A270" s="5">
        <v>482</v>
      </c>
      <c r="B270" s="5">
        <v>265</v>
      </c>
      <c r="C270" s="5">
        <v>103</v>
      </c>
      <c r="D270" t="s">
        <v>347</v>
      </c>
      <c r="E270" s="3" t="str">
        <f t="array" ref="E270">IF(OR(EXACT(A270,'ESO Dungeon constants'!$D$3:$D$987)),"X","")</f>
        <v/>
      </c>
      <c r="F270" s="3" t="str">
        <f t="shared" si="16"/>
        <v/>
      </c>
      <c r="G270" s="3" t="str">
        <f t="shared" si="17"/>
        <v>The Rift</v>
      </c>
      <c r="H270" s="17">
        <f t="shared" si="18"/>
        <v>482</v>
      </c>
      <c r="I270" s="17">
        <f t="shared" si="19"/>
        <v>103</v>
      </c>
      <c r="J270">
        <v>3</v>
      </c>
      <c r="K270" s="3" t="str">
        <f>VLOOKUP(J270,'LibSets constants'!$A$4:$B$1012,2,FALSE)</f>
        <v>DLC_THIEVES_GUILD</v>
      </c>
      <c r="L270" s="3" t="str">
        <f>VLOOKUP(J270,'LibSets constants'!$A$4:$C$1012,3,FALSE)</f>
        <v>Thieves Guild</v>
      </c>
    </row>
    <row r="271" spans="1:12" x14ac:dyDescent="0.25">
      <c r="A271" s="5">
        <v>484</v>
      </c>
      <c r="B271" s="5">
        <v>266</v>
      </c>
      <c r="C271" s="5">
        <v>103</v>
      </c>
      <c r="D271" t="s">
        <v>348</v>
      </c>
      <c r="E271" s="3" t="str">
        <f t="array" ref="E271">IF(OR(EXACT(A271,'ESO Dungeon constants'!$D$3:$D$987)),"X","")</f>
        <v/>
      </c>
      <c r="F271" s="3" t="str">
        <f t="shared" si="16"/>
        <v/>
      </c>
      <c r="G271" s="3" t="str">
        <f t="shared" si="17"/>
        <v>The Rift</v>
      </c>
      <c r="H271" s="17">
        <f t="shared" si="18"/>
        <v>484</v>
      </c>
      <c r="I271" s="17">
        <f t="shared" si="19"/>
        <v>103</v>
      </c>
      <c r="J271">
        <v>3</v>
      </c>
      <c r="K271" s="3" t="str">
        <f>VLOOKUP(J271,'LibSets constants'!$A$4:$B$1012,2,FALSE)</f>
        <v>DLC_THIEVES_GUILD</v>
      </c>
      <c r="L271" s="3" t="str">
        <f>VLOOKUP(J271,'LibSets constants'!$A$4:$C$1012,3,FALSE)</f>
        <v>Thieves Guild</v>
      </c>
    </row>
    <row r="272" spans="1:12" x14ac:dyDescent="0.25">
      <c r="A272" s="5">
        <v>485</v>
      </c>
      <c r="B272" s="5">
        <v>267</v>
      </c>
      <c r="C272" s="5">
        <v>103</v>
      </c>
      <c r="D272" t="s">
        <v>349</v>
      </c>
      <c r="E272" s="3" t="str">
        <f t="array" ref="E272">IF(OR(EXACT(A272,'ESO Dungeon constants'!$D$3:$D$987)),"X","")</f>
        <v/>
      </c>
      <c r="F272" s="3" t="str">
        <f t="shared" si="16"/>
        <v/>
      </c>
      <c r="G272" s="3" t="str">
        <f t="shared" si="17"/>
        <v>The Rift</v>
      </c>
      <c r="H272" s="17">
        <f t="shared" si="18"/>
        <v>485</v>
      </c>
      <c r="I272" s="17">
        <f t="shared" si="19"/>
        <v>103</v>
      </c>
      <c r="J272">
        <v>4</v>
      </c>
      <c r="K272" s="3" t="str">
        <f>VLOOKUP(J272,'LibSets constants'!$A$4:$B$1012,2,FALSE)</f>
        <v>DLC_DARK_BROTHERHOOD</v>
      </c>
      <c r="L272" s="3" t="str">
        <f>VLOOKUP(J272,'LibSets constants'!$A$4:$C$1012,3,FALSE)</f>
        <v>Dark Brotherhood</v>
      </c>
    </row>
    <row r="273" spans="1:12" x14ac:dyDescent="0.25">
      <c r="A273" s="5">
        <v>486</v>
      </c>
      <c r="B273" s="5">
        <v>268</v>
      </c>
      <c r="C273" s="5">
        <v>381</v>
      </c>
      <c r="D273" t="s">
        <v>350</v>
      </c>
      <c r="E273" s="3" t="str">
        <f t="array" ref="E273">IF(OR(EXACT(A273,'ESO Dungeon constants'!$D$3:$D$987)),"X","")</f>
        <v/>
      </c>
      <c r="F273" s="3" t="str">
        <f t="shared" si="16"/>
        <v/>
      </c>
      <c r="G273" s="3" t="str">
        <f t="shared" si="17"/>
        <v>Auridon</v>
      </c>
      <c r="H273" s="17">
        <f t="shared" si="18"/>
        <v>486</v>
      </c>
      <c r="I273" s="17">
        <f t="shared" si="19"/>
        <v>381</v>
      </c>
      <c r="J273">
        <v>4</v>
      </c>
      <c r="K273" s="3" t="str">
        <f>VLOOKUP(J273,'LibSets constants'!$A$4:$B$1012,2,FALSE)</f>
        <v>DLC_DARK_BROTHERHOOD</v>
      </c>
      <c r="L273" s="3" t="str">
        <f>VLOOKUP(J273,'LibSets constants'!$A$4:$C$1012,3,FALSE)</f>
        <v>Dark Brotherhood</v>
      </c>
    </row>
    <row r="274" spans="1:12" x14ac:dyDescent="0.25">
      <c r="A274" s="5">
        <v>487</v>
      </c>
      <c r="B274" s="5">
        <v>269</v>
      </c>
      <c r="C274" s="5">
        <v>382</v>
      </c>
      <c r="D274" t="s">
        <v>351</v>
      </c>
      <c r="E274" s="3" t="str">
        <f t="array" ref="E274">IF(OR(EXACT(A274,'ESO Dungeon constants'!$D$3:$D$987)),"X","")</f>
        <v/>
      </c>
      <c r="F274" s="3" t="str">
        <f t="shared" si="16"/>
        <v/>
      </c>
      <c r="G274" s="3" t="str">
        <f t="shared" si="17"/>
        <v>Reaper's March</v>
      </c>
      <c r="H274" s="17">
        <f t="shared" si="18"/>
        <v>487</v>
      </c>
      <c r="I274" s="17">
        <f t="shared" si="19"/>
        <v>382</v>
      </c>
      <c r="J274">
        <v>4</v>
      </c>
      <c r="K274" s="3" t="str">
        <f>VLOOKUP(J274,'LibSets constants'!$A$4:$B$1012,2,FALSE)</f>
        <v>DLC_DARK_BROTHERHOOD</v>
      </c>
      <c r="L274" s="3" t="str">
        <f>VLOOKUP(J274,'LibSets constants'!$A$4:$C$1012,3,FALSE)</f>
        <v>Dark Brotherhood</v>
      </c>
    </row>
    <row r="275" spans="1:12" x14ac:dyDescent="0.25">
      <c r="A275" s="5">
        <v>492</v>
      </c>
      <c r="B275" s="5">
        <v>270</v>
      </c>
      <c r="C275" s="5">
        <v>41</v>
      </c>
      <c r="D275" t="s">
        <v>352</v>
      </c>
      <c r="E275" s="3" t="str">
        <f t="array" ref="E275">IF(OR(EXACT(A275,'ESO Dungeon constants'!$D$3:$D$987)),"X","")</f>
        <v/>
      </c>
      <c r="F275" s="3" t="str">
        <f t="shared" si="16"/>
        <v/>
      </c>
      <c r="G275" s="3" t="str">
        <f t="shared" si="17"/>
        <v>Stonefalls</v>
      </c>
      <c r="H275" s="17">
        <f t="shared" si="18"/>
        <v>492</v>
      </c>
      <c r="I275" s="17">
        <f t="shared" si="19"/>
        <v>41</v>
      </c>
      <c r="J275">
        <v>4</v>
      </c>
      <c r="K275" s="3" t="str">
        <f>VLOOKUP(J275,'LibSets constants'!$A$4:$B$1012,2,FALSE)</f>
        <v>DLC_DARK_BROTHERHOOD</v>
      </c>
      <c r="L275" s="3" t="str">
        <f>VLOOKUP(J275,'LibSets constants'!$A$4:$C$1012,3,FALSE)</f>
        <v>Dark Brotherhood</v>
      </c>
    </row>
    <row r="276" spans="1:12" x14ac:dyDescent="0.25">
      <c r="A276" s="5">
        <v>493</v>
      </c>
      <c r="B276" s="5">
        <v>271</v>
      </c>
      <c r="C276" s="5">
        <v>181</v>
      </c>
      <c r="D276" t="s">
        <v>353</v>
      </c>
      <c r="E276" s="3" t="str">
        <f t="array" ref="E276">IF(OR(EXACT(A276,'ESO Dungeon constants'!$D$3:$D$987)),"X","")</f>
        <v/>
      </c>
      <c r="F276" s="3" t="str">
        <f t="shared" si="16"/>
        <v/>
      </c>
      <c r="G276" s="3" t="str">
        <f t="shared" si="17"/>
        <v>Cyrodiil</v>
      </c>
      <c r="H276" s="17">
        <f t="shared" si="18"/>
        <v>493</v>
      </c>
      <c r="I276" s="17">
        <f t="shared" si="19"/>
        <v>181</v>
      </c>
      <c r="J276">
        <v>4</v>
      </c>
      <c r="K276" s="3" t="str">
        <f>VLOOKUP(J276,'LibSets constants'!$A$4:$B$1012,2,FALSE)</f>
        <v>DLC_DARK_BROTHERHOOD</v>
      </c>
      <c r="L276" s="3" t="str">
        <f>VLOOKUP(J276,'LibSets constants'!$A$4:$C$1012,3,FALSE)</f>
        <v>Dark Brotherhood</v>
      </c>
    </row>
    <row r="277" spans="1:12" x14ac:dyDescent="0.25">
      <c r="A277" s="5">
        <v>494</v>
      </c>
      <c r="B277" s="5">
        <v>272</v>
      </c>
      <c r="C277" s="5">
        <v>181</v>
      </c>
      <c r="D277" t="s">
        <v>354</v>
      </c>
      <c r="E277" s="3" t="str">
        <f t="array" ref="E277">IF(OR(EXACT(A277,'ESO Dungeon constants'!$D$3:$D$987)),"X","")</f>
        <v/>
      </c>
      <c r="F277" s="3" t="str">
        <f t="shared" si="16"/>
        <v/>
      </c>
      <c r="G277" s="3" t="str">
        <f t="shared" si="17"/>
        <v>Cyrodiil</v>
      </c>
      <c r="H277" s="17">
        <f t="shared" si="18"/>
        <v>494</v>
      </c>
      <c r="I277" s="17">
        <f t="shared" si="19"/>
        <v>181</v>
      </c>
      <c r="J277">
        <v>4</v>
      </c>
      <c r="K277" s="3" t="str">
        <f>VLOOKUP(J277,'LibSets constants'!$A$4:$B$1012,2,FALSE)</f>
        <v>DLC_DARK_BROTHERHOOD</v>
      </c>
      <c r="L277" s="3" t="str">
        <f>VLOOKUP(J277,'LibSets constants'!$A$4:$C$1012,3,FALSE)</f>
        <v>Dark Brotherhood</v>
      </c>
    </row>
    <row r="278" spans="1:12" x14ac:dyDescent="0.25">
      <c r="A278" s="5">
        <v>495</v>
      </c>
      <c r="B278" s="5">
        <v>273</v>
      </c>
      <c r="C278" s="5">
        <v>181</v>
      </c>
      <c r="D278" t="s">
        <v>355</v>
      </c>
      <c r="E278" s="3" t="str">
        <f t="array" ref="E278">IF(OR(EXACT(A278,'ESO Dungeon constants'!$D$3:$D$987)),"X","")</f>
        <v/>
      </c>
      <c r="F278" s="3" t="str">
        <f t="shared" si="16"/>
        <v/>
      </c>
      <c r="G278" s="3" t="str">
        <f t="shared" si="17"/>
        <v>Cyrodiil</v>
      </c>
      <c r="H278" s="17">
        <f t="shared" si="18"/>
        <v>495</v>
      </c>
      <c r="I278" s="17">
        <f t="shared" si="19"/>
        <v>181</v>
      </c>
      <c r="J278">
        <v>4</v>
      </c>
      <c r="K278" s="3" t="str">
        <f>VLOOKUP(J278,'LibSets constants'!$A$4:$B$1012,2,FALSE)</f>
        <v>DLC_DARK_BROTHERHOOD</v>
      </c>
      <c r="L278" s="3" t="str">
        <f>VLOOKUP(J278,'LibSets constants'!$A$4:$C$1012,3,FALSE)</f>
        <v>Dark Brotherhood</v>
      </c>
    </row>
    <row r="279" spans="1:12" x14ac:dyDescent="0.25">
      <c r="A279" s="5">
        <v>496</v>
      </c>
      <c r="B279" s="5">
        <v>274</v>
      </c>
      <c r="C279" s="5">
        <v>181</v>
      </c>
      <c r="D279" t="s">
        <v>356</v>
      </c>
      <c r="E279" s="3" t="str">
        <f t="array" ref="E279">IF(OR(EXACT(A279,'ESO Dungeon constants'!$D$3:$D$987)),"X","")</f>
        <v/>
      </c>
      <c r="F279" s="3" t="str">
        <f t="shared" si="16"/>
        <v/>
      </c>
      <c r="G279" s="3" t="str">
        <f t="shared" si="17"/>
        <v>Cyrodiil</v>
      </c>
      <c r="H279" s="17">
        <f t="shared" si="18"/>
        <v>496</v>
      </c>
      <c r="I279" s="17">
        <f t="shared" si="19"/>
        <v>181</v>
      </c>
      <c r="J279">
        <v>4</v>
      </c>
      <c r="K279" s="3" t="str">
        <f>VLOOKUP(J279,'LibSets constants'!$A$4:$B$1012,2,FALSE)</f>
        <v>DLC_DARK_BROTHERHOOD</v>
      </c>
      <c r="L279" s="3" t="str">
        <f>VLOOKUP(J279,'LibSets constants'!$A$4:$C$1012,3,FALSE)</f>
        <v>Dark Brotherhood</v>
      </c>
    </row>
    <row r="280" spans="1:12" x14ac:dyDescent="0.25">
      <c r="A280" s="5">
        <v>497</v>
      </c>
      <c r="B280" s="5">
        <v>275</v>
      </c>
      <c r="C280" s="5">
        <v>181</v>
      </c>
      <c r="D280" t="s">
        <v>357</v>
      </c>
      <c r="E280" s="3" t="str">
        <f t="array" ref="E280">IF(OR(EXACT(A280,'ESO Dungeon constants'!$D$3:$D$987)),"X","")</f>
        <v/>
      </c>
      <c r="F280" s="3" t="str">
        <f t="shared" si="16"/>
        <v/>
      </c>
      <c r="G280" s="3" t="str">
        <f t="shared" si="17"/>
        <v>Cyrodiil</v>
      </c>
      <c r="H280" s="17">
        <f t="shared" si="18"/>
        <v>497</v>
      </c>
      <c r="I280" s="17">
        <f t="shared" si="19"/>
        <v>181</v>
      </c>
      <c r="J280">
        <v>4</v>
      </c>
      <c r="K280" s="3" t="str">
        <f>VLOOKUP(J280,'LibSets constants'!$A$4:$B$1012,2,FALSE)</f>
        <v>DLC_DARK_BROTHERHOOD</v>
      </c>
      <c r="L280" s="3" t="str">
        <f>VLOOKUP(J280,'LibSets constants'!$A$4:$C$1012,3,FALSE)</f>
        <v>Dark Brotherhood</v>
      </c>
    </row>
    <row r="281" spans="1:12" x14ac:dyDescent="0.25">
      <c r="A281" s="5">
        <v>498</v>
      </c>
      <c r="B281" s="5">
        <v>276</v>
      </c>
      <c r="C281" s="5">
        <v>181</v>
      </c>
      <c r="D281" t="s">
        <v>358</v>
      </c>
      <c r="E281" s="3" t="str">
        <f t="array" ref="E281">IF(OR(EXACT(A281,'ESO Dungeon constants'!$D$3:$D$987)),"X","")</f>
        <v/>
      </c>
      <c r="F281" s="3" t="str">
        <f t="shared" si="16"/>
        <v/>
      </c>
      <c r="G281" s="3" t="str">
        <f t="shared" si="17"/>
        <v>Cyrodiil</v>
      </c>
      <c r="H281" s="17">
        <f t="shared" si="18"/>
        <v>498</v>
      </c>
      <c r="I281" s="17">
        <f t="shared" si="19"/>
        <v>181</v>
      </c>
      <c r="J281">
        <v>4</v>
      </c>
      <c r="K281" s="3" t="str">
        <f>VLOOKUP(J281,'LibSets constants'!$A$4:$B$1012,2,FALSE)</f>
        <v>DLC_DARK_BROTHERHOOD</v>
      </c>
      <c r="L281" s="3" t="str">
        <f>VLOOKUP(J281,'LibSets constants'!$A$4:$C$1012,3,FALSE)</f>
        <v>Dark Brotherhood</v>
      </c>
    </row>
    <row r="282" spans="1:12" x14ac:dyDescent="0.25">
      <c r="A282" s="5">
        <v>499</v>
      </c>
      <c r="B282" s="5">
        <v>277</v>
      </c>
      <c r="C282" s="5">
        <v>181</v>
      </c>
      <c r="D282" t="s">
        <v>359</v>
      </c>
      <c r="E282" s="3" t="str">
        <f t="array" ref="E282">IF(OR(EXACT(A282,'ESO Dungeon constants'!$D$3:$D$987)),"X","")</f>
        <v/>
      </c>
      <c r="F282" s="3" t="str">
        <f t="shared" si="16"/>
        <v/>
      </c>
      <c r="G282" s="3" t="str">
        <f t="shared" si="17"/>
        <v>Cyrodiil</v>
      </c>
      <c r="H282" s="17">
        <f t="shared" si="18"/>
        <v>499</v>
      </c>
      <c r="I282" s="17">
        <f t="shared" si="19"/>
        <v>181</v>
      </c>
      <c r="J282">
        <v>3</v>
      </c>
      <c r="K282" s="3" t="str">
        <f>VLOOKUP(J282,'LibSets constants'!$A$4:$B$1012,2,FALSE)</f>
        <v>DLC_THIEVES_GUILD</v>
      </c>
      <c r="L282" s="3" t="str">
        <f>VLOOKUP(J282,'LibSets constants'!$A$4:$C$1012,3,FALSE)</f>
        <v>Thieves Guild</v>
      </c>
    </row>
    <row r="283" spans="1:12" x14ac:dyDescent="0.25">
      <c r="A283" s="5">
        <v>500</v>
      </c>
      <c r="B283" s="5">
        <v>278</v>
      </c>
      <c r="C283" s="5">
        <v>181</v>
      </c>
      <c r="D283" t="s">
        <v>360</v>
      </c>
      <c r="E283" s="3" t="str">
        <f t="array" ref="E283">IF(OR(EXACT(A283,'ESO Dungeon constants'!$D$3:$D$987)),"X","")</f>
        <v/>
      </c>
      <c r="F283" s="3" t="str">
        <f t="shared" si="16"/>
        <v/>
      </c>
      <c r="G283" s="3" t="str">
        <f t="shared" si="17"/>
        <v>Cyrodiil</v>
      </c>
      <c r="H283" s="17">
        <f t="shared" si="18"/>
        <v>500</v>
      </c>
      <c r="I283" s="17">
        <f t="shared" si="19"/>
        <v>181</v>
      </c>
      <c r="J283">
        <v>4</v>
      </c>
      <c r="K283" s="3" t="str">
        <f>VLOOKUP(J283,'LibSets constants'!$A$4:$B$1012,2,FALSE)</f>
        <v>DLC_DARK_BROTHERHOOD</v>
      </c>
      <c r="L283" s="3" t="str">
        <f>VLOOKUP(J283,'LibSets constants'!$A$4:$C$1012,3,FALSE)</f>
        <v>Dark Brotherhood</v>
      </c>
    </row>
    <row r="284" spans="1:12" x14ac:dyDescent="0.25">
      <c r="A284" s="5">
        <v>501</v>
      </c>
      <c r="B284" s="5">
        <v>279</v>
      </c>
      <c r="C284" s="5">
        <v>181</v>
      </c>
      <c r="D284" t="s">
        <v>361</v>
      </c>
      <c r="E284" s="3" t="str">
        <f t="array" ref="E284">IF(OR(EXACT(A284,'ESO Dungeon constants'!$D$3:$D$987)),"X","")</f>
        <v/>
      </c>
      <c r="F284" s="3" t="str">
        <f t="shared" si="16"/>
        <v/>
      </c>
      <c r="G284" s="3" t="str">
        <f t="shared" si="17"/>
        <v>Cyrodiil</v>
      </c>
      <c r="H284" s="17">
        <f t="shared" si="18"/>
        <v>501</v>
      </c>
      <c r="I284" s="17">
        <f t="shared" si="19"/>
        <v>181</v>
      </c>
      <c r="J284">
        <v>4</v>
      </c>
      <c r="K284" s="3" t="str">
        <f>VLOOKUP(J284,'LibSets constants'!$A$4:$B$1012,2,FALSE)</f>
        <v>DLC_DARK_BROTHERHOOD</v>
      </c>
      <c r="L284" s="3" t="str">
        <f>VLOOKUP(J284,'LibSets constants'!$A$4:$C$1012,3,FALSE)</f>
        <v>Dark Brotherhood</v>
      </c>
    </row>
    <row r="285" spans="1:12" x14ac:dyDescent="0.25">
      <c r="A285" s="5">
        <v>502</v>
      </c>
      <c r="B285" s="5">
        <v>280</v>
      </c>
      <c r="C285" s="5">
        <v>181</v>
      </c>
      <c r="D285" t="s">
        <v>362</v>
      </c>
      <c r="E285" s="3" t="str">
        <f t="array" ref="E285">IF(OR(EXACT(A285,'ESO Dungeon constants'!$D$3:$D$987)),"X","")</f>
        <v/>
      </c>
      <c r="F285" s="3" t="str">
        <f t="shared" si="16"/>
        <v/>
      </c>
      <c r="G285" s="3" t="str">
        <f t="shared" si="17"/>
        <v>Cyrodiil</v>
      </c>
      <c r="H285" s="17">
        <f t="shared" si="18"/>
        <v>502</v>
      </c>
      <c r="I285" s="17">
        <f t="shared" si="19"/>
        <v>181</v>
      </c>
      <c r="J285">
        <v>4</v>
      </c>
      <c r="K285" s="3" t="str">
        <f>VLOOKUP(J285,'LibSets constants'!$A$4:$B$1012,2,FALSE)</f>
        <v>DLC_DARK_BROTHERHOOD</v>
      </c>
      <c r="L285" s="3" t="str">
        <f>VLOOKUP(J285,'LibSets constants'!$A$4:$C$1012,3,FALSE)</f>
        <v>Dark Brotherhood</v>
      </c>
    </row>
    <row r="286" spans="1:12" x14ac:dyDescent="0.25">
      <c r="A286" s="5">
        <v>503</v>
      </c>
      <c r="B286" s="5">
        <v>281</v>
      </c>
      <c r="C286" s="5">
        <v>181</v>
      </c>
      <c r="D286" t="s">
        <v>363</v>
      </c>
      <c r="E286" s="3" t="str">
        <f t="array" ref="E286">IF(OR(EXACT(A286,'ESO Dungeon constants'!$D$3:$D$987)),"X","")</f>
        <v/>
      </c>
      <c r="F286" s="3" t="str">
        <f t="shared" si="16"/>
        <v/>
      </c>
      <c r="G286" s="3" t="str">
        <f t="shared" si="17"/>
        <v>Cyrodiil</v>
      </c>
      <c r="H286" s="17">
        <f t="shared" si="18"/>
        <v>503</v>
      </c>
      <c r="I286" s="17">
        <f t="shared" si="19"/>
        <v>181</v>
      </c>
      <c r="J286">
        <v>4</v>
      </c>
      <c r="K286" s="3" t="str">
        <f>VLOOKUP(J286,'LibSets constants'!$A$4:$B$1012,2,FALSE)</f>
        <v>DLC_DARK_BROTHERHOOD</v>
      </c>
      <c r="L286" s="3" t="str">
        <f>VLOOKUP(J286,'LibSets constants'!$A$4:$C$1012,3,FALSE)</f>
        <v>Dark Brotherhood</v>
      </c>
    </row>
    <row r="287" spans="1:12" x14ac:dyDescent="0.25">
      <c r="A287" s="5">
        <v>504</v>
      </c>
      <c r="B287" s="5">
        <v>282</v>
      </c>
      <c r="C287" s="5">
        <v>181</v>
      </c>
      <c r="D287" t="s">
        <v>364</v>
      </c>
      <c r="E287" s="3" t="str">
        <f t="array" ref="E287">IF(OR(EXACT(A287,'ESO Dungeon constants'!$D$3:$D$987)),"X","")</f>
        <v/>
      </c>
      <c r="F287" s="3" t="str">
        <f t="shared" si="16"/>
        <v/>
      </c>
      <c r="G287" s="3" t="str">
        <f t="shared" si="17"/>
        <v>Cyrodiil</v>
      </c>
      <c r="H287" s="17">
        <f t="shared" si="18"/>
        <v>504</v>
      </c>
      <c r="I287" s="17">
        <f t="shared" si="19"/>
        <v>181</v>
      </c>
      <c r="J287">
        <v>5</v>
      </c>
      <c r="K287" s="3" t="str">
        <f>VLOOKUP(J287,'LibSets constants'!$A$4:$B$1012,2,FALSE)</f>
        <v>DLC_SHADOWS_OF_THE_HIST</v>
      </c>
      <c r="L287" s="3" t="str">
        <f>VLOOKUP(J287,'LibSets constants'!$A$4:$C$1012,3,FALSE)</f>
        <v>Shadows of the Hist</v>
      </c>
    </row>
    <row r="288" spans="1:12" x14ac:dyDescent="0.25">
      <c r="A288" s="5">
        <v>505</v>
      </c>
      <c r="B288" s="5">
        <v>283</v>
      </c>
      <c r="C288" s="5">
        <v>181</v>
      </c>
      <c r="D288" t="s">
        <v>365</v>
      </c>
      <c r="E288" s="3" t="str">
        <f t="array" ref="E288">IF(OR(EXACT(A288,'ESO Dungeon constants'!$D$3:$D$987)),"X","")</f>
        <v/>
      </c>
      <c r="F288" s="3" t="str">
        <f t="shared" si="16"/>
        <v/>
      </c>
      <c r="G288" s="3" t="str">
        <f t="shared" si="17"/>
        <v>Cyrodiil</v>
      </c>
      <c r="H288" s="17">
        <f t="shared" si="18"/>
        <v>505</v>
      </c>
      <c r="I288" s="17">
        <f t="shared" si="19"/>
        <v>181</v>
      </c>
      <c r="J288">
        <v>3</v>
      </c>
      <c r="K288" s="3" t="str">
        <f>VLOOKUP(J288,'LibSets constants'!$A$4:$B$1012,2,FALSE)</f>
        <v>DLC_THIEVES_GUILD</v>
      </c>
      <c r="L288" s="3" t="str">
        <f>VLOOKUP(J288,'LibSets constants'!$A$4:$C$1012,3,FALSE)</f>
        <v>Thieves Guild</v>
      </c>
    </row>
    <row r="289" spans="1:12" x14ac:dyDescent="0.25">
      <c r="A289" s="5">
        <v>506</v>
      </c>
      <c r="B289" s="5">
        <v>284</v>
      </c>
      <c r="C289" s="5">
        <v>181</v>
      </c>
      <c r="D289" t="s">
        <v>366</v>
      </c>
      <c r="E289" s="3" t="str">
        <f t="array" ref="E289">IF(OR(EXACT(A289,'ESO Dungeon constants'!$D$3:$D$987)),"X","")</f>
        <v/>
      </c>
      <c r="F289" s="3" t="str">
        <f t="shared" si="16"/>
        <v/>
      </c>
      <c r="G289" s="3" t="str">
        <f t="shared" si="17"/>
        <v>Cyrodiil</v>
      </c>
      <c r="H289" s="17">
        <f t="shared" si="18"/>
        <v>506</v>
      </c>
      <c r="I289" s="17">
        <f t="shared" si="19"/>
        <v>181</v>
      </c>
      <c r="J289">
        <v>3</v>
      </c>
      <c r="K289" s="3" t="str">
        <f>VLOOKUP(J289,'LibSets constants'!$A$4:$B$1012,2,FALSE)</f>
        <v>DLC_THIEVES_GUILD</v>
      </c>
      <c r="L289" s="3" t="str">
        <f>VLOOKUP(J289,'LibSets constants'!$A$4:$C$1012,3,FALSE)</f>
        <v>Thieves Guild</v>
      </c>
    </row>
    <row r="290" spans="1:12" x14ac:dyDescent="0.25">
      <c r="A290" s="5">
        <v>507</v>
      </c>
      <c r="B290" s="5">
        <v>285</v>
      </c>
      <c r="C290" s="5">
        <v>181</v>
      </c>
      <c r="D290" t="s">
        <v>367</v>
      </c>
      <c r="E290" s="3" t="str">
        <f t="array" ref="E290">IF(OR(EXACT(A290,'ESO Dungeon constants'!$D$3:$D$987)),"X","")</f>
        <v/>
      </c>
      <c r="F290" s="3" t="str">
        <f t="shared" si="16"/>
        <v/>
      </c>
      <c r="G290" s="3" t="str">
        <f t="shared" si="17"/>
        <v>Cyrodiil</v>
      </c>
      <c r="H290" s="17">
        <f t="shared" si="18"/>
        <v>507</v>
      </c>
      <c r="I290" s="17">
        <f t="shared" si="19"/>
        <v>181</v>
      </c>
      <c r="J290">
        <v>5</v>
      </c>
      <c r="K290" s="3" t="str">
        <f>VLOOKUP(J290,'LibSets constants'!$A$4:$B$1012,2,FALSE)</f>
        <v>DLC_SHADOWS_OF_THE_HIST</v>
      </c>
      <c r="L290" s="3" t="str">
        <f>VLOOKUP(J290,'LibSets constants'!$A$4:$C$1012,3,FALSE)</f>
        <v>Shadows of the Hist</v>
      </c>
    </row>
    <row r="291" spans="1:12" x14ac:dyDescent="0.25">
      <c r="A291" s="5">
        <v>508</v>
      </c>
      <c r="B291" s="5">
        <v>286</v>
      </c>
      <c r="C291" s="5">
        <v>849</v>
      </c>
      <c r="D291" t="s">
        <v>368</v>
      </c>
      <c r="E291" s="3" t="str">
        <f t="array" ref="E291">IF(OR(EXACT(A291,'ESO Dungeon constants'!$D$3:$D$987)),"X","")</f>
        <v/>
      </c>
      <c r="F291" s="3" t="str">
        <f t="shared" si="16"/>
        <v/>
      </c>
      <c r="G291" s="3" t="str">
        <f t="shared" si="17"/>
        <v>Vvardenfell</v>
      </c>
      <c r="H291" s="17">
        <f t="shared" si="18"/>
        <v>508</v>
      </c>
      <c r="I291" s="17">
        <f t="shared" si="19"/>
        <v>849</v>
      </c>
      <c r="J291">
        <v>6</v>
      </c>
      <c r="K291" s="3" t="str">
        <f>VLOOKUP(J291,'LibSets constants'!$A$4:$B$1012,2,FALSE)</f>
        <v>DLC_MORROWIND</v>
      </c>
      <c r="L291" s="3" t="str">
        <f>VLOOKUP(J291,'LibSets constants'!$A$4:$C$1012,3,FALSE)</f>
        <v>Morrowind</v>
      </c>
    </row>
    <row r="292" spans="1:12" x14ac:dyDescent="0.25">
      <c r="A292" s="5">
        <v>509</v>
      </c>
      <c r="B292" s="5">
        <v>287</v>
      </c>
      <c r="C292" s="5">
        <v>849</v>
      </c>
      <c r="D292" t="s">
        <v>369</v>
      </c>
      <c r="E292" s="3" t="str">
        <f t="array" ref="E292">IF(OR(EXACT(A292,'ESO Dungeon constants'!$D$3:$D$987)),"X","")</f>
        <v/>
      </c>
      <c r="F292" s="3" t="str">
        <f t="shared" si="16"/>
        <v/>
      </c>
      <c r="G292" s="3" t="str">
        <f t="shared" si="17"/>
        <v>Vvardenfell</v>
      </c>
      <c r="H292" s="17">
        <f t="shared" si="18"/>
        <v>509</v>
      </c>
      <c r="I292" s="17">
        <f t="shared" si="19"/>
        <v>849</v>
      </c>
      <c r="J292">
        <v>0</v>
      </c>
      <c r="K292" s="3" t="str">
        <f>VLOOKUP(J292,'LibSets constants'!$A$4:$B$1012,2,FALSE)</f>
        <v>DLC_BASE_GAME</v>
      </c>
      <c r="L292" s="3" t="str">
        <f>VLOOKUP(J292,'LibSets constants'!$A$4:$C$1012,3,FALSE)</f>
        <v>Included in base game</v>
      </c>
    </row>
    <row r="293" spans="1:12" x14ac:dyDescent="0.25">
      <c r="A293" s="5">
        <v>510</v>
      </c>
      <c r="B293" s="5">
        <v>288</v>
      </c>
      <c r="C293" s="5">
        <v>849</v>
      </c>
      <c r="D293" t="s">
        <v>370</v>
      </c>
      <c r="E293" s="3" t="str">
        <f t="array" ref="E293">IF(OR(EXACT(A293,'ESO Dungeon constants'!$D$3:$D$987)),"X","")</f>
        <v/>
      </c>
      <c r="F293" s="3" t="str">
        <f t="shared" si="16"/>
        <v/>
      </c>
      <c r="G293" s="3" t="str">
        <f t="shared" si="17"/>
        <v>Vvardenfell</v>
      </c>
      <c r="H293" s="17">
        <f t="shared" si="18"/>
        <v>510</v>
      </c>
      <c r="I293" s="17">
        <f t="shared" si="19"/>
        <v>849</v>
      </c>
      <c r="J293">
        <v>0</v>
      </c>
      <c r="K293" s="3" t="str">
        <f>VLOOKUP(J293,'LibSets constants'!$A$4:$B$1012,2,FALSE)</f>
        <v>DLC_BASE_GAME</v>
      </c>
      <c r="L293" s="3" t="str">
        <f>VLOOKUP(J293,'LibSets constants'!$A$4:$C$1012,3,FALSE)</f>
        <v>Included in base game</v>
      </c>
    </row>
    <row r="294" spans="1:12" x14ac:dyDescent="0.25">
      <c r="A294" s="5">
        <v>511</v>
      </c>
      <c r="B294" s="5">
        <v>289</v>
      </c>
      <c r="C294" s="5">
        <v>511</v>
      </c>
      <c r="D294" t="s">
        <v>371</v>
      </c>
      <c r="E294" s="3" t="str">
        <f t="array" ref="E294">IF(OR(EXACT(A294,'ESO Dungeon constants'!$D$3:$D$987)),"X","")</f>
        <v/>
      </c>
      <c r="F294" s="3" t="str">
        <f t="shared" si="16"/>
        <v>X</v>
      </c>
      <c r="G294" s="3" t="str">
        <f t="shared" si="17"/>
        <v/>
      </c>
      <c r="H294" s="17">
        <f t="shared" si="18"/>
        <v>511</v>
      </c>
      <c r="I294" s="17">
        <f t="shared" si="19"/>
        <v>511</v>
      </c>
      <c r="J294">
        <v>0</v>
      </c>
      <c r="K294" s="3" t="str">
        <f>VLOOKUP(J294,'LibSets constants'!$A$4:$B$1012,2,FALSE)</f>
        <v>DLC_BASE_GAME</v>
      </c>
      <c r="L294" s="3" t="str">
        <f>VLOOKUP(J294,'LibSets constants'!$A$4:$C$1012,3,FALSE)</f>
        <v>Included in base game</v>
      </c>
    </row>
    <row r="295" spans="1:12" x14ac:dyDescent="0.25">
      <c r="A295" s="5">
        <v>512</v>
      </c>
      <c r="B295" s="5">
        <v>290</v>
      </c>
      <c r="C295" s="5">
        <v>512</v>
      </c>
      <c r="D295" t="s">
        <v>372</v>
      </c>
      <c r="E295" s="3" t="str">
        <f t="array" ref="E295">IF(OR(EXACT(A295,'ESO Dungeon constants'!$D$3:$D$987)),"X","")</f>
        <v/>
      </c>
      <c r="F295" s="3" t="str">
        <f t="shared" si="16"/>
        <v>X</v>
      </c>
      <c r="G295" s="3" t="str">
        <f t="shared" si="17"/>
        <v/>
      </c>
      <c r="H295" s="17">
        <f t="shared" si="18"/>
        <v>512</v>
      </c>
      <c r="I295" s="17">
        <f t="shared" si="19"/>
        <v>512</v>
      </c>
      <c r="J295">
        <v>0</v>
      </c>
      <c r="K295" s="3" t="str">
        <f>VLOOKUP(J295,'LibSets constants'!$A$4:$B$1012,2,FALSE)</f>
        <v>DLC_BASE_GAME</v>
      </c>
      <c r="L295" s="3" t="str">
        <f>VLOOKUP(J295,'LibSets constants'!$A$4:$C$1012,3,FALSE)</f>
        <v>Included in base game</v>
      </c>
    </row>
    <row r="296" spans="1:12" x14ac:dyDescent="0.25">
      <c r="A296" s="5">
        <v>513</v>
      </c>
      <c r="B296" s="5">
        <v>291</v>
      </c>
      <c r="C296" s="5">
        <v>513</v>
      </c>
      <c r="D296" t="s">
        <v>373</v>
      </c>
      <c r="E296" s="3" t="str">
        <f t="array" ref="E296">IF(OR(EXACT(A296,'ESO Dungeon constants'!$D$3:$D$987)),"X","")</f>
        <v/>
      </c>
      <c r="F296" s="3" t="str">
        <f t="shared" si="16"/>
        <v>X</v>
      </c>
      <c r="G296" s="3" t="str">
        <f t="shared" si="17"/>
        <v/>
      </c>
      <c r="H296" s="17">
        <f t="shared" si="18"/>
        <v>513</v>
      </c>
      <c r="I296" s="17">
        <f t="shared" si="19"/>
        <v>513</v>
      </c>
      <c r="J296">
        <v>0</v>
      </c>
      <c r="K296" s="3" t="str">
        <f>VLOOKUP(J296,'LibSets constants'!$A$4:$B$1012,2,FALSE)</f>
        <v>DLC_BASE_GAME</v>
      </c>
      <c r="L296" s="3" t="str">
        <f>VLOOKUP(J296,'LibSets constants'!$A$4:$C$1012,3,FALSE)</f>
        <v>Included in base game</v>
      </c>
    </row>
    <row r="297" spans="1:12" x14ac:dyDescent="0.25">
      <c r="A297" s="5">
        <v>514</v>
      </c>
      <c r="B297" s="5">
        <v>292</v>
      </c>
      <c r="C297" s="5">
        <v>514</v>
      </c>
      <c r="D297" t="s">
        <v>374</v>
      </c>
      <c r="E297" s="3" t="str">
        <f t="array" ref="E297">IF(OR(EXACT(A297,'ESO Dungeon constants'!$D$3:$D$987)),"X","")</f>
        <v/>
      </c>
      <c r="F297" s="3" t="str">
        <f t="shared" si="16"/>
        <v>X</v>
      </c>
      <c r="G297" s="3" t="str">
        <f t="shared" si="17"/>
        <v/>
      </c>
      <c r="H297" s="17">
        <f t="shared" si="18"/>
        <v>514</v>
      </c>
      <c r="I297" s="17">
        <f t="shared" si="19"/>
        <v>514</v>
      </c>
      <c r="J297">
        <v>0</v>
      </c>
      <c r="K297" s="3" t="str">
        <f>VLOOKUP(J297,'LibSets constants'!$A$4:$B$1012,2,FALSE)</f>
        <v>DLC_BASE_GAME</v>
      </c>
      <c r="L297" s="3" t="str">
        <f>VLOOKUP(J297,'LibSets constants'!$A$4:$C$1012,3,FALSE)</f>
        <v>Included in base game</v>
      </c>
    </row>
    <row r="298" spans="1:12" x14ac:dyDescent="0.25">
      <c r="A298" s="5">
        <v>515</v>
      </c>
      <c r="B298" s="5">
        <v>293</v>
      </c>
      <c r="C298" s="5">
        <v>515</v>
      </c>
      <c r="D298" t="s">
        <v>1491</v>
      </c>
      <c r="E298" s="3" t="str">
        <f t="array" ref="E298">IF(OR(EXACT(A298,'ESO Dungeon constants'!$D$3:$D$987)),"X","")</f>
        <v/>
      </c>
      <c r="F298" s="3" t="str">
        <f t="shared" si="16"/>
        <v>X</v>
      </c>
      <c r="G298" s="3" t="str">
        <f t="shared" si="17"/>
        <v/>
      </c>
      <c r="H298" s="17">
        <f t="shared" si="18"/>
        <v>515</v>
      </c>
      <c r="I298" s="17">
        <f t="shared" si="19"/>
        <v>515</v>
      </c>
      <c r="J298">
        <v>0</v>
      </c>
      <c r="K298" s="3" t="str">
        <f>VLOOKUP(J298,'LibSets constants'!$A$4:$B$1012,2,FALSE)</f>
        <v>DLC_BASE_GAME</v>
      </c>
      <c r="L298" s="3" t="str">
        <f>VLOOKUP(J298,'LibSets constants'!$A$4:$C$1012,3,FALSE)</f>
        <v>Included in base game</v>
      </c>
    </row>
    <row r="299" spans="1:12" x14ac:dyDescent="0.25">
      <c r="A299" s="5">
        <v>516</v>
      </c>
      <c r="B299" s="5">
        <v>294</v>
      </c>
      <c r="C299" s="5">
        <v>516</v>
      </c>
      <c r="D299" t="s">
        <v>369</v>
      </c>
      <c r="E299" s="3" t="str">
        <f t="array" ref="E299">IF(OR(EXACT(A299,'ESO Dungeon constants'!$D$3:$D$987)),"X","")</f>
        <v/>
      </c>
      <c r="F299" s="3" t="str">
        <f t="shared" si="16"/>
        <v>X</v>
      </c>
      <c r="G299" s="3" t="str">
        <f t="shared" si="17"/>
        <v/>
      </c>
      <c r="H299" s="17">
        <f t="shared" si="18"/>
        <v>516</v>
      </c>
      <c r="I299" s="17">
        <f t="shared" si="19"/>
        <v>516</v>
      </c>
      <c r="J299">
        <v>0</v>
      </c>
      <c r="K299" s="3" t="str">
        <f>VLOOKUP(J299,'LibSets constants'!$A$4:$B$1012,2,FALSE)</f>
        <v>DLC_BASE_GAME</v>
      </c>
      <c r="L299" s="3" t="str">
        <f>VLOOKUP(J299,'LibSets constants'!$A$4:$C$1012,3,FALSE)</f>
        <v>Included in base game</v>
      </c>
    </row>
    <row r="300" spans="1:12" x14ac:dyDescent="0.25">
      <c r="A300" s="5">
        <v>517</v>
      </c>
      <c r="B300" s="5">
        <v>295</v>
      </c>
      <c r="C300" s="5">
        <v>517</v>
      </c>
      <c r="D300" t="s">
        <v>375</v>
      </c>
      <c r="E300" s="3" t="str">
        <f t="array" ref="E300">IF(OR(EXACT(A300,'ESO Dungeon constants'!$D$3:$D$987)),"X","")</f>
        <v/>
      </c>
      <c r="F300" s="3" t="str">
        <f t="shared" si="16"/>
        <v>X</v>
      </c>
      <c r="G300" s="3" t="str">
        <f t="shared" si="17"/>
        <v/>
      </c>
      <c r="H300" s="17">
        <f t="shared" si="18"/>
        <v>517</v>
      </c>
      <c r="I300" s="17">
        <f t="shared" si="19"/>
        <v>517</v>
      </c>
      <c r="J300">
        <v>0</v>
      </c>
      <c r="K300" s="3" t="str">
        <f>VLOOKUP(J300,'LibSets constants'!$A$4:$B$1012,2,FALSE)</f>
        <v>DLC_BASE_GAME</v>
      </c>
      <c r="L300" s="3" t="str">
        <f>VLOOKUP(J300,'LibSets constants'!$A$4:$C$1012,3,FALSE)</f>
        <v>Included in base game</v>
      </c>
    </row>
    <row r="301" spans="1:12" x14ac:dyDescent="0.25">
      <c r="A301" s="5">
        <v>518</v>
      </c>
      <c r="B301" s="5">
        <v>296</v>
      </c>
      <c r="C301" s="5">
        <v>518</v>
      </c>
      <c r="D301" t="s">
        <v>375</v>
      </c>
      <c r="E301" s="3" t="str">
        <f t="array" ref="E301">IF(OR(EXACT(A301,'ESO Dungeon constants'!$D$3:$D$987)),"X","")</f>
        <v/>
      </c>
      <c r="F301" s="3" t="str">
        <f t="shared" si="16"/>
        <v>X</v>
      </c>
      <c r="G301" s="3" t="str">
        <f t="shared" si="17"/>
        <v/>
      </c>
      <c r="H301" s="17">
        <f t="shared" si="18"/>
        <v>518</v>
      </c>
      <c r="I301" s="17">
        <f t="shared" si="19"/>
        <v>518</v>
      </c>
      <c r="J301">
        <v>0</v>
      </c>
      <c r="K301" s="3" t="str">
        <f>VLOOKUP(J301,'LibSets constants'!$A$4:$B$1012,2,FALSE)</f>
        <v>DLC_BASE_GAME</v>
      </c>
      <c r="L301" s="3" t="str">
        <f>VLOOKUP(J301,'LibSets constants'!$A$4:$C$1012,3,FALSE)</f>
        <v>Included in base game</v>
      </c>
    </row>
    <row r="302" spans="1:12" x14ac:dyDescent="0.25">
      <c r="A302" s="5">
        <v>525</v>
      </c>
      <c r="B302" s="5">
        <v>297</v>
      </c>
      <c r="C302" s="5">
        <v>181</v>
      </c>
      <c r="D302" t="s">
        <v>1412</v>
      </c>
      <c r="E302" s="3" t="str">
        <f t="array" ref="E302">IF(OR(EXACT(A302,'ESO Dungeon constants'!$D$3:$D$987)),"X","")</f>
        <v/>
      </c>
      <c r="F302" s="3" t="str">
        <f t="shared" si="16"/>
        <v/>
      </c>
      <c r="G302" s="3" t="str">
        <f t="shared" si="17"/>
        <v>Cyrodiil</v>
      </c>
      <c r="H302" s="17">
        <f t="shared" si="18"/>
        <v>525</v>
      </c>
      <c r="I302" s="17">
        <f t="shared" si="19"/>
        <v>181</v>
      </c>
      <c r="J302">
        <v>0</v>
      </c>
      <c r="K302" s="3" t="str">
        <f>VLOOKUP(J302,'LibSets constants'!$A$4:$B$1012,2,FALSE)</f>
        <v>DLC_BASE_GAME</v>
      </c>
      <c r="L302" s="3" t="str">
        <f>VLOOKUP(J302,'LibSets constants'!$A$4:$C$1012,3,FALSE)</f>
        <v>Included in base game</v>
      </c>
    </row>
    <row r="303" spans="1:12" x14ac:dyDescent="0.25">
      <c r="A303" s="5">
        <v>526</v>
      </c>
      <c r="B303" s="5">
        <v>298</v>
      </c>
      <c r="C303" s="5">
        <v>382</v>
      </c>
      <c r="D303" t="s">
        <v>376</v>
      </c>
      <c r="E303" s="3" t="str">
        <f t="array" ref="E303">IF(OR(EXACT(A303,'ESO Dungeon constants'!$D$3:$D$987)),"X","")</f>
        <v/>
      </c>
      <c r="F303" s="3" t="str">
        <f t="shared" si="16"/>
        <v/>
      </c>
      <c r="G303" s="3" t="str">
        <f t="shared" si="17"/>
        <v>Reaper's March</v>
      </c>
      <c r="H303" s="17">
        <f t="shared" si="18"/>
        <v>526</v>
      </c>
      <c r="I303" s="17">
        <f t="shared" si="19"/>
        <v>382</v>
      </c>
      <c r="J303">
        <v>0</v>
      </c>
      <c r="K303" s="3" t="str">
        <f>VLOOKUP(J303,'LibSets constants'!$A$4:$B$1012,2,FALSE)</f>
        <v>DLC_BASE_GAME</v>
      </c>
      <c r="L303" s="3" t="str">
        <f>VLOOKUP(J303,'LibSets constants'!$A$4:$C$1012,3,FALSE)</f>
        <v>Included in base game</v>
      </c>
    </row>
    <row r="304" spans="1:12" x14ac:dyDescent="0.25">
      <c r="A304" s="5">
        <v>527</v>
      </c>
      <c r="B304" s="5">
        <v>299</v>
      </c>
      <c r="C304" s="5">
        <v>199</v>
      </c>
      <c r="D304" t="s">
        <v>377</v>
      </c>
      <c r="E304" s="3" t="str">
        <f t="array" ref="E304">IF(OR(EXACT(A304,'ESO Dungeon constants'!$D$3:$D$987)),"X","")</f>
        <v/>
      </c>
      <c r="F304" s="3" t="str">
        <f t="shared" si="16"/>
        <v/>
      </c>
      <c r="G304" s="3" t="str">
        <f t="shared" si="17"/>
        <v>The Harborage</v>
      </c>
      <c r="H304" s="17">
        <f t="shared" si="18"/>
        <v>527</v>
      </c>
      <c r="I304" s="17">
        <f t="shared" si="19"/>
        <v>199</v>
      </c>
      <c r="J304">
        <v>0</v>
      </c>
      <c r="K304" s="3" t="str">
        <f>VLOOKUP(J304,'LibSets constants'!$A$4:$B$1012,2,FALSE)</f>
        <v>DLC_BASE_GAME</v>
      </c>
      <c r="L304" s="3" t="str">
        <f>VLOOKUP(J304,'LibSets constants'!$A$4:$C$1012,3,FALSE)</f>
        <v>Included in base game</v>
      </c>
    </row>
    <row r="305" spans="1:12" x14ac:dyDescent="0.25">
      <c r="A305" s="5">
        <v>529</v>
      </c>
      <c r="B305" s="5">
        <v>300</v>
      </c>
      <c r="C305" s="5">
        <v>267</v>
      </c>
      <c r="D305" t="s">
        <v>378</v>
      </c>
      <c r="E305" s="3" t="str">
        <f t="array" ref="E305">IF(OR(EXACT(A305,'ESO Dungeon constants'!$D$3:$D$987)),"X","")</f>
        <v/>
      </c>
      <c r="F305" s="3" t="str">
        <f t="shared" si="16"/>
        <v/>
      </c>
      <c r="G305" s="3" t="str">
        <f t="shared" si="17"/>
        <v>Eyevea</v>
      </c>
      <c r="H305" s="17">
        <f t="shared" si="18"/>
        <v>529</v>
      </c>
      <c r="I305" s="17">
        <f t="shared" si="19"/>
        <v>267</v>
      </c>
      <c r="J305">
        <v>0</v>
      </c>
      <c r="K305" s="3" t="str">
        <f>VLOOKUP(J305,'LibSets constants'!$A$4:$B$1012,2,FALSE)</f>
        <v>DLC_BASE_GAME</v>
      </c>
      <c r="L305" s="3" t="str">
        <f>VLOOKUP(J305,'LibSets constants'!$A$4:$C$1012,3,FALSE)</f>
        <v>Included in base game</v>
      </c>
    </row>
    <row r="306" spans="1:12" x14ac:dyDescent="0.25">
      <c r="A306" s="5">
        <v>530</v>
      </c>
      <c r="B306" s="5">
        <v>301</v>
      </c>
      <c r="C306" s="5">
        <v>347</v>
      </c>
      <c r="D306" t="s">
        <v>379</v>
      </c>
      <c r="E306" s="3" t="str">
        <f t="array" ref="E306">IF(OR(EXACT(A306,'ESO Dungeon constants'!$D$3:$D$987)),"X","")</f>
        <v/>
      </c>
      <c r="F306" s="3" t="str">
        <f t="shared" si="16"/>
        <v/>
      </c>
      <c r="G306" s="3" t="str">
        <f t="shared" si="17"/>
        <v>Coldharbour</v>
      </c>
      <c r="H306" s="17">
        <f t="shared" si="18"/>
        <v>530</v>
      </c>
      <c r="I306" s="17">
        <f t="shared" si="19"/>
        <v>347</v>
      </c>
      <c r="J306">
        <v>0</v>
      </c>
      <c r="K306" s="3" t="str">
        <f>VLOOKUP(J306,'LibSets constants'!$A$4:$B$1012,2,FALSE)</f>
        <v>DLC_BASE_GAME</v>
      </c>
      <c r="L306" s="3" t="str">
        <f>VLOOKUP(J306,'LibSets constants'!$A$4:$C$1012,3,FALSE)</f>
        <v>Included in base game</v>
      </c>
    </row>
    <row r="307" spans="1:12" x14ac:dyDescent="0.25">
      <c r="A307" s="5">
        <v>531</v>
      </c>
      <c r="B307" s="5">
        <v>302</v>
      </c>
      <c r="C307" s="5">
        <v>181</v>
      </c>
      <c r="D307" t="s">
        <v>380</v>
      </c>
      <c r="E307" s="3" t="str">
        <f t="array" ref="E307">IF(OR(EXACT(A307,'ESO Dungeon constants'!$D$3:$D$987)),"X","")</f>
        <v/>
      </c>
      <c r="F307" s="3" t="str">
        <f t="shared" si="16"/>
        <v/>
      </c>
      <c r="G307" s="3" t="str">
        <f t="shared" si="17"/>
        <v>Cyrodiil</v>
      </c>
      <c r="H307" s="17">
        <f t="shared" si="18"/>
        <v>531</v>
      </c>
      <c r="I307" s="17">
        <f t="shared" si="19"/>
        <v>181</v>
      </c>
      <c r="J307">
        <v>0</v>
      </c>
      <c r="K307" s="3" t="str">
        <f>VLOOKUP(J307,'LibSets constants'!$A$4:$B$1012,2,FALSE)</f>
        <v>DLC_BASE_GAME</v>
      </c>
      <c r="L307" s="3" t="str">
        <f>VLOOKUP(J307,'LibSets constants'!$A$4:$C$1012,3,FALSE)</f>
        <v>Included in base game</v>
      </c>
    </row>
    <row r="308" spans="1:12" x14ac:dyDescent="0.25">
      <c r="A308" s="5">
        <v>532</v>
      </c>
      <c r="B308" s="5">
        <v>303</v>
      </c>
      <c r="C308" s="5">
        <v>181</v>
      </c>
      <c r="D308" t="s">
        <v>381</v>
      </c>
      <c r="E308" s="3" t="str">
        <f t="array" ref="E308">IF(OR(EXACT(A308,'ESO Dungeon constants'!$D$3:$D$987)),"X","")</f>
        <v/>
      </c>
      <c r="F308" s="3" t="str">
        <f t="shared" si="16"/>
        <v/>
      </c>
      <c r="G308" s="3" t="str">
        <f t="shared" si="17"/>
        <v>Cyrodiil</v>
      </c>
      <c r="H308" s="17">
        <f t="shared" si="18"/>
        <v>532</v>
      </c>
      <c r="I308" s="17">
        <f t="shared" si="19"/>
        <v>181</v>
      </c>
      <c r="J308">
        <v>0</v>
      </c>
      <c r="K308" s="3" t="str">
        <f>VLOOKUP(J308,'LibSets constants'!$A$4:$B$1012,2,FALSE)</f>
        <v>DLC_BASE_GAME</v>
      </c>
      <c r="L308" s="3" t="str">
        <f>VLOOKUP(J308,'LibSets constants'!$A$4:$C$1012,3,FALSE)</f>
        <v>Included in base game</v>
      </c>
    </row>
    <row r="309" spans="1:12" x14ac:dyDescent="0.25">
      <c r="A309" s="5">
        <v>533</v>
      </c>
      <c r="B309" s="5">
        <v>304</v>
      </c>
      <c r="C309" s="5">
        <v>181</v>
      </c>
      <c r="D309" t="s">
        <v>382</v>
      </c>
      <c r="E309" s="3" t="str">
        <f t="array" ref="E309">IF(OR(EXACT(A309,'ESO Dungeon constants'!$D$3:$D$987)),"X","")</f>
        <v/>
      </c>
      <c r="F309" s="3" t="str">
        <f t="shared" si="16"/>
        <v/>
      </c>
      <c r="G309" s="3" t="str">
        <f t="shared" si="17"/>
        <v>Cyrodiil</v>
      </c>
      <c r="H309" s="17">
        <f t="shared" si="18"/>
        <v>533</v>
      </c>
      <c r="I309" s="17">
        <f t="shared" si="19"/>
        <v>181</v>
      </c>
      <c r="J309">
        <v>0</v>
      </c>
      <c r="K309" s="3" t="str">
        <f>VLOOKUP(J309,'LibSets constants'!$A$4:$B$1012,2,FALSE)</f>
        <v>DLC_BASE_GAME</v>
      </c>
      <c r="L309" s="3" t="str">
        <f>VLOOKUP(J309,'LibSets constants'!$A$4:$C$1012,3,FALSE)</f>
        <v>Included in base game</v>
      </c>
    </row>
    <row r="310" spans="1:12" x14ac:dyDescent="0.25">
      <c r="A310" s="5">
        <v>534</v>
      </c>
      <c r="B310" s="5">
        <v>305</v>
      </c>
      <c r="C310" s="5">
        <v>534</v>
      </c>
      <c r="D310" t="s">
        <v>383</v>
      </c>
      <c r="E310" s="3" t="str">
        <f t="array" ref="E310">IF(OR(EXACT(A310,'ESO Dungeon constants'!$D$3:$D$987)),"X","")</f>
        <v/>
      </c>
      <c r="F310" s="3" t="str">
        <f t="shared" si="16"/>
        <v>X</v>
      </c>
      <c r="G310" s="3" t="str">
        <f t="shared" si="17"/>
        <v/>
      </c>
      <c r="H310" s="17">
        <f t="shared" si="18"/>
        <v>534</v>
      </c>
      <c r="I310" s="17">
        <f t="shared" si="19"/>
        <v>534</v>
      </c>
      <c r="J310">
        <v>0</v>
      </c>
      <c r="K310" s="3" t="str">
        <f>VLOOKUP(J310,'LibSets constants'!$A$4:$B$1012,2,FALSE)</f>
        <v>DLC_BASE_GAME</v>
      </c>
      <c r="L310" s="3" t="str">
        <f>VLOOKUP(J310,'LibSets constants'!$A$4:$C$1012,3,FALSE)</f>
        <v>Included in base game</v>
      </c>
    </row>
    <row r="311" spans="1:12" x14ac:dyDescent="0.25">
      <c r="A311" s="5">
        <v>535</v>
      </c>
      <c r="B311" s="5">
        <v>306</v>
      </c>
      <c r="C311" s="5">
        <v>535</v>
      </c>
      <c r="D311" t="s">
        <v>384</v>
      </c>
      <c r="E311" s="3" t="str">
        <f t="array" ref="E311">IF(OR(EXACT(A311,'ESO Dungeon constants'!$D$3:$D$987)),"X","")</f>
        <v/>
      </c>
      <c r="F311" s="3" t="str">
        <f t="shared" si="16"/>
        <v>X</v>
      </c>
      <c r="G311" s="3" t="str">
        <f t="shared" si="17"/>
        <v/>
      </c>
      <c r="H311" s="17">
        <f t="shared" si="18"/>
        <v>535</v>
      </c>
      <c r="I311" s="17">
        <f t="shared" si="19"/>
        <v>535</v>
      </c>
      <c r="J311">
        <v>0</v>
      </c>
      <c r="K311" s="3" t="str">
        <f>VLOOKUP(J311,'LibSets constants'!$A$4:$B$1012,2,FALSE)</f>
        <v>DLC_BASE_GAME</v>
      </c>
      <c r="L311" s="3" t="str">
        <f>VLOOKUP(J311,'LibSets constants'!$A$4:$C$1012,3,FALSE)</f>
        <v>Included in base game</v>
      </c>
    </row>
    <row r="312" spans="1:12" x14ac:dyDescent="0.25">
      <c r="A312" s="5">
        <v>537</v>
      </c>
      <c r="B312" s="5">
        <v>307</v>
      </c>
      <c r="C312" s="5">
        <v>537</v>
      </c>
      <c r="D312" t="s">
        <v>385</v>
      </c>
      <c r="E312" s="3" t="str">
        <f t="array" ref="E312">IF(OR(EXACT(A312,'ESO Dungeon constants'!$D$3:$D$987)),"X","")</f>
        <v/>
      </c>
      <c r="F312" s="3" t="str">
        <f t="shared" si="16"/>
        <v>X</v>
      </c>
      <c r="G312" s="3" t="str">
        <f t="shared" si="17"/>
        <v/>
      </c>
      <c r="H312" s="17">
        <f t="shared" si="18"/>
        <v>537</v>
      </c>
      <c r="I312" s="17">
        <f t="shared" si="19"/>
        <v>537</v>
      </c>
      <c r="J312">
        <v>0</v>
      </c>
      <c r="K312" s="3" t="str">
        <f>VLOOKUP(J312,'LibSets constants'!$A$4:$B$1012,2,FALSE)</f>
        <v>DLC_BASE_GAME</v>
      </c>
      <c r="L312" s="3" t="str">
        <f>VLOOKUP(J312,'LibSets constants'!$A$4:$C$1012,3,FALSE)</f>
        <v>Included in base game</v>
      </c>
    </row>
    <row r="313" spans="1:12" x14ac:dyDescent="0.25">
      <c r="A313" s="5">
        <v>539</v>
      </c>
      <c r="B313" s="5">
        <v>308</v>
      </c>
      <c r="C313" s="5">
        <v>535</v>
      </c>
      <c r="D313" t="s">
        <v>386</v>
      </c>
      <c r="E313" s="3" t="str">
        <f t="array" ref="E313">IF(OR(EXACT(A313,'ESO Dungeon constants'!$D$3:$D$987)),"X","")</f>
        <v/>
      </c>
      <c r="F313" s="3" t="str">
        <f t="shared" si="16"/>
        <v/>
      </c>
      <c r="G313" s="3" t="str">
        <f t="shared" si="17"/>
        <v>Betnikh</v>
      </c>
      <c r="H313" s="17">
        <f t="shared" si="18"/>
        <v>539</v>
      </c>
      <c r="I313" s="17">
        <f t="shared" si="19"/>
        <v>535</v>
      </c>
      <c r="J313">
        <v>0</v>
      </c>
      <c r="K313" s="3" t="str">
        <f>VLOOKUP(J313,'LibSets constants'!$A$4:$B$1012,2,FALSE)</f>
        <v>DLC_BASE_GAME</v>
      </c>
      <c r="L313" s="3" t="str">
        <f>VLOOKUP(J313,'LibSets constants'!$A$4:$C$1012,3,FALSE)</f>
        <v>Included in base game</v>
      </c>
    </row>
    <row r="314" spans="1:12" x14ac:dyDescent="0.25">
      <c r="A314" s="5">
        <v>541</v>
      </c>
      <c r="B314" s="5">
        <v>309</v>
      </c>
      <c r="C314" s="5">
        <v>267</v>
      </c>
      <c r="D314" t="s">
        <v>387</v>
      </c>
      <c r="E314" s="3" t="str">
        <f t="array" ref="E314">IF(OR(EXACT(A314,'ESO Dungeon constants'!$D$3:$D$987)),"X","")</f>
        <v/>
      </c>
      <c r="F314" s="3" t="str">
        <f t="shared" si="16"/>
        <v/>
      </c>
      <c r="G314" s="3" t="str">
        <f t="shared" si="17"/>
        <v>Eyevea</v>
      </c>
      <c r="H314" s="17">
        <f t="shared" si="18"/>
        <v>541</v>
      </c>
      <c r="I314" s="17">
        <f t="shared" si="19"/>
        <v>267</v>
      </c>
      <c r="J314">
        <v>0</v>
      </c>
      <c r="K314" s="3" t="str">
        <f>VLOOKUP(J314,'LibSets constants'!$A$4:$B$1012,2,FALSE)</f>
        <v>DLC_BASE_GAME</v>
      </c>
      <c r="L314" s="3" t="str">
        <f>VLOOKUP(J314,'LibSets constants'!$A$4:$C$1012,3,FALSE)</f>
        <v>Included in base game</v>
      </c>
    </row>
    <row r="315" spans="1:12" x14ac:dyDescent="0.25">
      <c r="A315" s="5">
        <v>542</v>
      </c>
      <c r="B315" s="5">
        <v>310</v>
      </c>
      <c r="C315" s="5">
        <v>208</v>
      </c>
      <c r="D315" t="s">
        <v>388</v>
      </c>
      <c r="E315" s="3" t="str">
        <f t="array" ref="E315">IF(OR(EXACT(A315,'ESO Dungeon constants'!$D$3:$D$987)),"X","")</f>
        <v/>
      </c>
      <c r="F315" s="3" t="str">
        <f t="shared" si="16"/>
        <v/>
      </c>
      <c r="G315" s="3" t="str">
        <f t="shared" si="17"/>
        <v>The Earth Forge</v>
      </c>
      <c r="H315" s="17">
        <f t="shared" si="18"/>
        <v>542</v>
      </c>
      <c r="I315" s="17">
        <f t="shared" si="19"/>
        <v>208</v>
      </c>
      <c r="J315">
        <v>0</v>
      </c>
      <c r="K315" s="3" t="str">
        <f>VLOOKUP(J315,'LibSets constants'!$A$4:$B$1012,2,FALSE)</f>
        <v>DLC_BASE_GAME</v>
      </c>
      <c r="L315" s="3" t="str">
        <f>VLOOKUP(J315,'LibSets constants'!$A$4:$C$1012,3,FALSE)</f>
        <v>Included in base game</v>
      </c>
    </row>
    <row r="316" spans="1:12" x14ac:dyDescent="0.25">
      <c r="A316" s="5">
        <v>543</v>
      </c>
      <c r="B316" s="5">
        <v>311</v>
      </c>
      <c r="C316" s="5">
        <v>208</v>
      </c>
      <c r="D316" t="s">
        <v>389</v>
      </c>
      <c r="E316" s="3" t="str">
        <f t="array" ref="E316">IF(OR(EXACT(A316,'ESO Dungeon constants'!$D$3:$D$987)),"X","")</f>
        <v/>
      </c>
      <c r="F316" s="3" t="str">
        <f t="shared" si="16"/>
        <v/>
      </c>
      <c r="G316" s="3" t="str">
        <f t="shared" si="17"/>
        <v>The Earth Forge</v>
      </c>
      <c r="H316" s="17">
        <f t="shared" si="18"/>
        <v>543</v>
      </c>
      <c r="I316" s="17">
        <f t="shared" si="19"/>
        <v>208</v>
      </c>
      <c r="J316">
        <v>0</v>
      </c>
      <c r="K316" s="3" t="str">
        <f>VLOOKUP(J316,'LibSets constants'!$A$4:$B$1012,2,FALSE)</f>
        <v>DLC_BASE_GAME</v>
      </c>
      <c r="L316" s="3" t="str">
        <f>VLOOKUP(J316,'LibSets constants'!$A$4:$C$1012,3,FALSE)</f>
        <v>Included in base game</v>
      </c>
    </row>
    <row r="317" spans="1:12" x14ac:dyDescent="0.25">
      <c r="A317" s="5">
        <v>544</v>
      </c>
      <c r="B317" s="5">
        <v>312</v>
      </c>
      <c r="C317" s="5">
        <v>208</v>
      </c>
      <c r="D317" t="s">
        <v>390</v>
      </c>
      <c r="E317" s="3" t="str">
        <f t="array" ref="E317">IF(OR(EXACT(A317,'ESO Dungeon constants'!$D$3:$D$987)),"X","")</f>
        <v/>
      </c>
      <c r="F317" s="3" t="str">
        <f t="shared" si="16"/>
        <v/>
      </c>
      <c r="G317" s="3" t="str">
        <f t="shared" si="17"/>
        <v>The Earth Forge</v>
      </c>
      <c r="H317" s="17">
        <f t="shared" si="18"/>
        <v>544</v>
      </c>
      <c r="I317" s="17">
        <f t="shared" si="19"/>
        <v>208</v>
      </c>
      <c r="J317">
        <v>0</v>
      </c>
      <c r="K317" s="3" t="str">
        <f>VLOOKUP(J317,'LibSets constants'!$A$4:$B$1012,2,FALSE)</f>
        <v>DLC_BASE_GAME</v>
      </c>
      <c r="L317" s="3" t="str">
        <f>VLOOKUP(J317,'LibSets constants'!$A$4:$C$1012,3,FALSE)</f>
        <v>Included in base game</v>
      </c>
    </row>
    <row r="318" spans="1:12" x14ac:dyDescent="0.25">
      <c r="A318" s="5">
        <v>545</v>
      </c>
      <c r="B318" s="5">
        <v>313</v>
      </c>
      <c r="C318" s="5">
        <v>19</v>
      </c>
      <c r="D318" t="s">
        <v>391</v>
      </c>
      <c r="E318" s="3" t="str">
        <f t="array" ref="E318">IF(OR(EXACT(A318,'ESO Dungeon constants'!$D$3:$D$987)),"X","")</f>
        <v/>
      </c>
      <c r="F318" s="3" t="str">
        <f t="shared" si="16"/>
        <v/>
      </c>
      <c r="G318" s="3" t="str">
        <f t="shared" si="17"/>
        <v>Stormhaven</v>
      </c>
      <c r="H318" s="17">
        <f t="shared" si="18"/>
        <v>545</v>
      </c>
      <c r="I318" s="17">
        <f t="shared" si="19"/>
        <v>19</v>
      </c>
      <c r="J318">
        <v>0</v>
      </c>
      <c r="K318" s="3" t="str">
        <f>VLOOKUP(J318,'LibSets constants'!$A$4:$B$1012,2,FALSE)</f>
        <v>DLC_BASE_GAME</v>
      </c>
      <c r="L318" s="3" t="str">
        <f>VLOOKUP(J318,'LibSets constants'!$A$4:$C$1012,3,FALSE)</f>
        <v>Included in base game</v>
      </c>
    </row>
    <row r="319" spans="1:12" x14ac:dyDescent="0.25">
      <c r="A319" s="5">
        <v>546</v>
      </c>
      <c r="B319" s="5">
        <v>314</v>
      </c>
      <c r="C319" s="5">
        <v>19</v>
      </c>
      <c r="D319" t="s">
        <v>392</v>
      </c>
      <c r="E319" s="3" t="str">
        <f t="array" ref="E319">IF(OR(EXACT(A319,'ESO Dungeon constants'!$D$3:$D$987)),"X","")</f>
        <v/>
      </c>
      <c r="F319" s="3" t="str">
        <f t="shared" si="16"/>
        <v/>
      </c>
      <c r="G319" s="3" t="str">
        <f t="shared" si="17"/>
        <v>Stormhaven</v>
      </c>
      <c r="H319" s="17">
        <f t="shared" si="18"/>
        <v>546</v>
      </c>
      <c r="I319" s="17">
        <f t="shared" si="19"/>
        <v>19</v>
      </c>
      <c r="J319">
        <v>0</v>
      </c>
      <c r="K319" s="3" t="str">
        <f>VLOOKUP(J319,'LibSets constants'!$A$4:$B$1012,2,FALSE)</f>
        <v>DLC_BASE_GAME</v>
      </c>
      <c r="L319" s="3" t="str">
        <f>VLOOKUP(J319,'LibSets constants'!$A$4:$C$1012,3,FALSE)</f>
        <v>Included in base game</v>
      </c>
    </row>
    <row r="320" spans="1:12" x14ac:dyDescent="0.25">
      <c r="A320" s="5">
        <v>547</v>
      </c>
      <c r="B320" s="5">
        <v>315</v>
      </c>
      <c r="C320" s="5">
        <v>108</v>
      </c>
      <c r="D320" t="s">
        <v>393</v>
      </c>
      <c r="E320" s="3" t="str">
        <f t="array" ref="E320">IF(OR(EXACT(A320,'ESO Dungeon constants'!$D$3:$D$987)),"X","")</f>
        <v/>
      </c>
      <c r="F320" s="3" t="str">
        <f t="shared" si="16"/>
        <v/>
      </c>
      <c r="G320" s="3" t="str">
        <f t="shared" si="17"/>
        <v>Greenshade</v>
      </c>
      <c r="H320" s="17">
        <f t="shared" si="18"/>
        <v>547</v>
      </c>
      <c r="I320" s="17">
        <f t="shared" si="19"/>
        <v>108</v>
      </c>
      <c r="J320">
        <v>0</v>
      </c>
      <c r="K320" s="3" t="str">
        <f>VLOOKUP(J320,'LibSets constants'!$A$4:$B$1012,2,FALSE)</f>
        <v>DLC_BASE_GAME</v>
      </c>
      <c r="L320" s="3" t="str">
        <f>VLOOKUP(J320,'LibSets constants'!$A$4:$C$1012,3,FALSE)</f>
        <v>Included in base game</v>
      </c>
    </row>
    <row r="321" spans="1:12" x14ac:dyDescent="0.25">
      <c r="A321" s="5">
        <v>548</v>
      </c>
      <c r="B321" s="5">
        <v>316</v>
      </c>
      <c r="C321" s="5">
        <v>108</v>
      </c>
      <c r="D321" t="s">
        <v>394</v>
      </c>
      <c r="E321" s="3" t="str">
        <f t="array" ref="E321">IF(OR(EXACT(A321,'ESO Dungeon constants'!$D$3:$D$987)),"X","")</f>
        <v/>
      </c>
      <c r="F321" s="3" t="str">
        <f t="shared" si="16"/>
        <v/>
      </c>
      <c r="G321" s="3" t="str">
        <f t="shared" si="17"/>
        <v>Greenshade</v>
      </c>
      <c r="H321" s="17">
        <f t="shared" si="18"/>
        <v>548</v>
      </c>
      <c r="I321" s="17">
        <f t="shared" si="19"/>
        <v>108</v>
      </c>
      <c r="J321">
        <v>0</v>
      </c>
      <c r="K321" s="3" t="str">
        <f>VLOOKUP(J321,'LibSets constants'!$A$4:$B$1012,2,FALSE)</f>
        <v>DLC_BASE_GAME</v>
      </c>
      <c r="L321" s="3" t="str">
        <f>VLOOKUP(J321,'LibSets constants'!$A$4:$C$1012,3,FALSE)</f>
        <v>Included in base game</v>
      </c>
    </row>
    <row r="322" spans="1:12" x14ac:dyDescent="0.25">
      <c r="A322" s="5">
        <v>549</v>
      </c>
      <c r="B322" s="5">
        <v>317</v>
      </c>
      <c r="C322" s="5">
        <v>383</v>
      </c>
      <c r="D322" t="s">
        <v>395</v>
      </c>
      <c r="E322" s="3" t="str">
        <f t="array" ref="E322">IF(OR(EXACT(A322,'ESO Dungeon constants'!$D$3:$D$987)),"X","")</f>
        <v/>
      </c>
      <c r="F322" s="3" t="str">
        <f t="shared" si="16"/>
        <v/>
      </c>
      <c r="G322" s="3" t="str">
        <f t="shared" si="17"/>
        <v>Grahtwood</v>
      </c>
      <c r="H322" s="17">
        <f t="shared" si="18"/>
        <v>549</v>
      </c>
      <c r="I322" s="17">
        <f t="shared" si="19"/>
        <v>383</v>
      </c>
      <c r="J322">
        <v>0</v>
      </c>
      <c r="K322" s="3" t="str">
        <f>VLOOKUP(J322,'LibSets constants'!$A$4:$B$1012,2,FALSE)</f>
        <v>DLC_BASE_GAME</v>
      </c>
      <c r="L322" s="3" t="str">
        <f>VLOOKUP(J322,'LibSets constants'!$A$4:$C$1012,3,FALSE)</f>
        <v>Included in base game</v>
      </c>
    </row>
    <row r="323" spans="1:12" x14ac:dyDescent="0.25">
      <c r="A323" s="5">
        <v>551</v>
      </c>
      <c r="B323" s="5">
        <v>318</v>
      </c>
      <c r="C323" s="5">
        <v>108</v>
      </c>
      <c r="D323" t="s">
        <v>396</v>
      </c>
      <c r="E323" s="3" t="str">
        <f t="array" ref="E323">IF(OR(EXACT(A323,'ESO Dungeon constants'!$D$3:$D$987)),"X","")</f>
        <v/>
      </c>
      <c r="F323" s="3" t="str">
        <f t="shared" si="16"/>
        <v/>
      </c>
      <c r="G323" s="3" t="str">
        <f t="shared" si="17"/>
        <v>Greenshade</v>
      </c>
      <c r="H323" s="17">
        <f t="shared" si="18"/>
        <v>551</v>
      </c>
      <c r="I323" s="17">
        <f t="shared" si="19"/>
        <v>108</v>
      </c>
      <c r="J323">
        <v>0</v>
      </c>
      <c r="K323" s="3" t="str">
        <f>VLOOKUP(J323,'LibSets constants'!$A$4:$B$1012,2,FALSE)</f>
        <v>DLC_BASE_GAME</v>
      </c>
      <c r="L323" s="3" t="str">
        <f>VLOOKUP(J323,'LibSets constants'!$A$4:$C$1012,3,FALSE)</f>
        <v>Included in base game</v>
      </c>
    </row>
    <row r="324" spans="1:12" x14ac:dyDescent="0.25">
      <c r="A324" s="5">
        <v>552</v>
      </c>
      <c r="B324" s="5">
        <v>319</v>
      </c>
      <c r="C324" s="5">
        <v>108</v>
      </c>
      <c r="D324" t="s">
        <v>397</v>
      </c>
      <c r="E324" s="3" t="str">
        <f t="array" ref="E324">IF(OR(EXACT(A324,'ESO Dungeon constants'!$D$3:$D$987)),"X","")</f>
        <v/>
      </c>
      <c r="F324" s="3" t="str">
        <f t="shared" si="16"/>
        <v/>
      </c>
      <c r="G324" s="3" t="str">
        <f t="shared" si="17"/>
        <v>Greenshade</v>
      </c>
      <c r="H324" s="17">
        <f t="shared" si="18"/>
        <v>552</v>
      </c>
      <c r="I324" s="17">
        <f t="shared" si="19"/>
        <v>108</v>
      </c>
      <c r="J324">
        <v>0</v>
      </c>
      <c r="K324" s="3" t="str">
        <f>VLOOKUP(J324,'LibSets constants'!$A$4:$B$1012,2,FALSE)</f>
        <v>DLC_BASE_GAME</v>
      </c>
      <c r="L324" s="3" t="str">
        <f>VLOOKUP(J324,'LibSets constants'!$A$4:$C$1012,3,FALSE)</f>
        <v>Included in base game</v>
      </c>
    </row>
    <row r="325" spans="1:12" x14ac:dyDescent="0.25">
      <c r="A325" s="5">
        <v>553</v>
      </c>
      <c r="B325" s="5">
        <v>320</v>
      </c>
      <c r="C325" s="5">
        <v>108</v>
      </c>
      <c r="D325" t="s">
        <v>398</v>
      </c>
      <c r="E325" s="3" t="str">
        <f t="array" ref="E325">IF(OR(EXACT(A325,'ESO Dungeon constants'!$D$3:$D$987)),"X","")</f>
        <v/>
      </c>
      <c r="F325" s="3" t="str">
        <f t="shared" ref="F325:F388" si="20">IF(EXACT(A325,C325),"X","")</f>
        <v/>
      </c>
      <c r="G325" s="3" t="str">
        <f t="shared" ref="G325:G388" si="21">IF(A325&lt;&gt;C325,VLOOKUP(C325,$A$5:$D$9954,4,FALSE),"")</f>
        <v>Greenshade</v>
      </c>
      <c r="H325" s="17">
        <f t="shared" ref="H325:H388" si="22">A325</f>
        <v>553</v>
      </c>
      <c r="I325" s="17">
        <f t="shared" ref="I325:I388" si="23">C325</f>
        <v>108</v>
      </c>
      <c r="J325">
        <v>0</v>
      </c>
      <c r="K325" s="3" t="str">
        <f>VLOOKUP(J325,'LibSets constants'!$A$4:$B$1012,2,FALSE)</f>
        <v>DLC_BASE_GAME</v>
      </c>
      <c r="L325" s="3" t="str">
        <f>VLOOKUP(J325,'LibSets constants'!$A$4:$C$1012,3,FALSE)</f>
        <v>Included in base game</v>
      </c>
    </row>
    <row r="326" spans="1:12" x14ac:dyDescent="0.25">
      <c r="A326" s="5">
        <v>554</v>
      </c>
      <c r="B326" s="5">
        <v>321</v>
      </c>
      <c r="C326" s="5">
        <v>108</v>
      </c>
      <c r="D326" t="s">
        <v>399</v>
      </c>
      <c r="E326" s="3" t="str">
        <f t="array" ref="E326">IF(OR(EXACT(A326,'ESO Dungeon constants'!$D$3:$D$987)),"X","")</f>
        <v/>
      </c>
      <c r="F326" s="3" t="str">
        <f t="shared" si="20"/>
        <v/>
      </c>
      <c r="G326" s="3" t="str">
        <f t="shared" si="21"/>
        <v>Greenshade</v>
      </c>
      <c r="H326" s="17">
        <f t="shared" si="22"/>
        <v>554</v>
      </c>
      <c r="I326" s="17">
        <f t="shared" si="23"/>
        <v>108</v>
      </c>
      <c r="J326">
        <v>0</v>
      </c>
      <c r="K326" s="3" t="str">
        <f>VLOOKUP(J326,'LibSets constants'!$A$4:$B$1012,2,FALSE)</f>
        <v>DLC_BASE_GAME</v>
      </c>
      <c r="L326" s="3" t="str">
        <f>VLOOKUP(J326,'LibSets constants'!$A$4:$C$1012,3,FALSE)</f>
        <v>Included in base game</v>
      </c>
    </row>
    <row r="327" spans="1:12" x14ac:dyDescent="0.25">
      <c r="A327" s="5">
        <v>555</v>
      </c>
      <c r="B327" s="5">
        <v>322</v>
      </c>
      <c r="C327" s="5">
        <v>108</v>
      </c>
      <c r="D327" t="s">
        <v>400</v>
      </c>
      <c r="E327" s="3" t="str">
        <f t="array" ref="E327">IF(OR(EXACT(A327,'ESO Dungeon constants'!$D$3:$D$987)),"X","")</f>
        <v/>
      </c>
      <c r="F327" s="3" t="str">
        <f t="shared" si="20"/>
        <v/>
      </c>
      <c r="G327" s="3" t="str">
        <f t="shared" si="21"/>
        <v>Greenshade</v>
      </c>
      <c r="H327" s="17">
        <f t="shared" si="22"/>
        <v>555</v>
      </c>
      <c r="I327" s="17">
        <f t="shared" si="23"/>
        <v>108</v>
      </c>
      <c r="J327">
        <v>0</v>
      </c>
      <c r="K327" s="3" t="str">
        <f>VLOOKUP(J327,'LibSets constants'!$A$4:$B$1012,2,FALSE)</f>
        <v>DLC_BASE_GAME</v>
      </c>
      <c r="L327" s="3" t="str">
        <f>VLOOKUP(J327,'LibSets constants'!$A$4:$C$1012,3,FALSE)</f>
        <v>Included in base game</v>
      </c>
    </row>
    <row r="328" spans="1:12" x14ac:dyDescent="0.25">
      <c r="A328" s="5">
        <v>556</v>
      </c>
      <c r="B328" s="5">
        <v>323</v>
      </c>
      <c r="C328" s="5">
        <v>108</v>
      </c>
      <c r="D328" t="s">
        <v>401</v>
      </c>
      <c r="E328" s="3" t="str">
        <f t="array" ref="E328">IF(OR(EXACT(A328,'ESO Dungeon constants'!$D$3:$D$987)),"X","")</f>
        <v/>
      </c>
      <c r="F328" s="3" t="str">
        <f t="shared" si="20"/>
        <v/>
      </c>
      <c r="G328" s="3" t="str">
        <f t="shared" si="21"/>
        <v>Greenshade</v>
      </c>
      <c r="H328" s="17">
        <f t="shared" si="22"/>
        <v>556</v>
      </c>
      <c r="I328" s="17">
        <f t="shared" si="23"/>
        <v>108</v>
      </c>
      <c r="J328">
        <v>0</v>
      </c>
      <c r="K328" s="3" t="str">
        <f>VLOOKUP(J328,'LibSets constants'!$A$4:$B$1012,2,FALSE)</f>
        <v>DLC_BASE_GAME</v>
      </c>
      <c r="L328" s="3" t="str">
        <f>VLOOKUP(J328,'LibSets constants'!$A$4:$C$1012,3,FALSE)</f>
        <v>Included in base game</v>
      </c>
    </row>
    <row r="329" spans="1:12" x14ac:dyDescent="0.25">
      <c r="A329" s="5">
        <v>557</v>
      </c>
      <c r="B329" s="5">
        <v>324</v>
      </c>
      <c r="C329" s="5">
        <v>347</v>
      </c>
      <c r="D329" t="s">
        <v>402</v>
      </c>
      <c r="E329" s="3" t="str">
        <f t="array" ref="E329">IF(OR(EXACT(A329,'ESO Dungeon constants'!$D$3:$D$987)),"X","")</f>
        <v/>
      </c>
      <c r="F329" s="3" t="str">
        <f t="shared" si="20"/>
        <v/>
      </c>
      <c r="G329" s="3" t="str">
        <f t="shared" si="21"/>
        <v>Coldharbour</v>
      </c>
      <c r="H329" s="17">
        <f t="shared" si="22"/>
        <v>557</v>
      </c>
      <c r="I329" s="17">
        <f t="shared" si="23"/>
        <v>347</v>
      </c>
      <c r="J329">
        <v>0</v>
      </c>
      <c r="K329" s="3" t="str">
        <f>VLOOKUP(J329,'LibSets constants'!$A$4:$B$1012,2,FALSE)</f>
        <v>DLC_BASE_GAME</v>
      </c>
      <c r="L329" s="3" t="str">
        <f>VLOOKUP(J329,'LibSets constants'!$A$4:$C$1012,3,FALSE)</f>
        <v>Included in base game</v>
      </c>
    </row>
    <row r="330" spans="1:12" x14ac:dyDescent="0.25">
      <c r="A330" s="5">
        <v>558</v>
      </c>
      <c r="B330" s="5">
        <v>325</v>
      </c>
      <c r="C330" s="5">
        <v>108</v>
      </c>
      <c r="D330" t="s">
        <v>403</v>
      </c>
      <c r="E330" s="3" t="str">
        <f t="array" ref="E330">IF(OR(EXACT(A330,'ESO Dungeon constants'!$D$3:$D$987)),"X","")</f>
        <v/>
      </c>
      <c r="F330" s="3" t="str">
        <f t="shared" si="20"/>
        <v/>
      </c>
      <c r="G330" s="3" t="str">
        <f t="shared" si="21"/>
        <v>Greenshade</v>
      </c>
      <c r="H330" s="17">
        <f t="shared" si="22"/>
        <v>558</v>
      </c>
      <c r="I330" s="17">
        <f t="shared" si="23"/>
        <v>108</v>
      </c>
      <c r="J330">
        <v>0</v>
      </c>
      <c r="K330" s="3" t="str">
        <f>VLOOKUP(J330,'LibSets constants'!$A$4:$B$1012,2,FALSE)</f>
        <v>DLC_BASE_GAME</v>
      </c>
      <c r="L330" s="3" t="str">
        <f>VLOOKUP(J330,'LibSets constants'!$A$4:$C$1012,3,FALSE)</f>
        <v>Included in base game</v>
      </c>
    </row>
    <row r="331" spans="1:12" x14ac:dyDescent="0.25">
      <c r="A331" s="5">
        <v>559</v>
      </c>
      <c r="B331" s="5">
        <v>326</v>
      </c>
      <c r="C331" s="5">
        <v>108</v>
      </c>
      <c r="D331" t="s">
        <v>404</v>
      </c>
      <c r="E331" s="3" t="str">
        <f t="array" ref="E331">IF(OR(EXACT(A331,'ESO Dungeon constants'!$D$3:$D$987)),"X","")</f>
        <v/>
      </c>
      <c r="F331" s="3" t="str">
        <f t="shared" si="20"/>
        <v/>
      </c>
      <c r="G331" s="3" t="str">
        <f t="shared" si="21"/>
        <v>Greenshade</v>
      </c>
      <c r="H331" s="17">
        <f t="shared" si="22"/>
        <v>559</v>
      </c>
      <c r="I331" s="17">
        <f t="shared" si="23"/>
        <v>108</v>
      </c>
      <c r="J331">
        <v>0</v>
      </c>
      <c r="K331" s="3" t="str">
        <f>VLOOKUP(J331,'LibSets constants'!$A$4:$B$1012,2,FALSE)</f>
        <v>DLC_BASE_GAME</v>
      </c>
      <c r="L331" s="3" t="str">
        <f>VLOOKUP(J331,'LibSets constants'!$A$4:$C$1012,3,FALSE)</f>
        <v>Included in base game</v>
      </c>
    </row>
    <row r="332" spans="1:12" x14ac:dyDescent="0.25">
      <c r="A332" s="5">
        <v>560</v>
      </c>
      <c r="B332" s="5">
        <v>327</v>
      </c>
      <c r="C332" s="5">
        <v>103</v>
      </c>
      <c r="D332" t="s">
        <v>291</v>
      </c>
      <c r="E332" s="3" t="str">
        <f t="array" ref="E332">IF(OR(EXACT(A332,'ESO Dungeon constants'!$D$3:$D$987)),"X","")</f>
        <v/>
      </c>
      <c r="F332" s="3" t="str">
        <f t="shared" si="20"/>
        <v/>
      </c>
      <c r="G332" s="3" t="str">
        <f t="shared" si="21"/>
        <v>The Rift</v>
      </c>
      <c r="H332" s="17">
        <f t="shared" si="22"/>
        <v>560</v>
      </c>
      <c r="I332" s="17">
        <f t="shared" si="23"/>
        <v>103</v>
      </c>
      <c r="J332">
        <v>0</v>
      </c>
      <c r="K332" s="3" t="str">
        <f>VLOOKUP(J332,'LibSets constants'!$A$4:$B$1012,2,FALSE)</f>
        <v>DLC_BASE_GAME</v>
      </c>
      <c r="L332" s="3" t="str">
        <f>VLOOKUP(J332,'LibSets constants'!$A$4:$C$1012,3,FALSE)</f>
        <v>Included in base game</v>
      </c>
    </row>
    <row r="333" spans="1:12" x14ac:dyDescent="0.25">
      <c r="A333" s="5">
        <v>561</v>
      </c>
      <c r="B333" s="5">
        <v>328</v>
      </c>
      <c r="C333" s="5">
        <v>108</v>
      </c>
      <c r="D333" t="s">
        <v>405</v>
      </c>
      <c r="E333" s="3" t="str">
        <f t="array" ref="E333">IF(OR(EXACT(A333,'ESO Dungeon constants'!$D$3:$D$987)),"X","")</f>
        <v/>
      </c>
      <c r="F333" s="3" t="str">
        <f t="shared" si="20"/>
        <v/>
      </c>
      <c r="G333" s="3" t="str">
        <f t="shared" si="21"/>
        <v>Greenshade</v>
      </c>
      <c r="H333" s="17">
        <f t="shared" si="22"/>
        <v>561</v>
      </c>
      <c r="I333" s="17">
        <f t="shared" si="23"/>
        <v>108</v>
      </c>
      <c r="J333">
        <v>0</v>
      </c>
      <c r="K333" s="3" t="str">
        <f>VLOOKUP(J333,'LibSets constants'!$A$4:$B$1012,2,FALSE)</f>
        <v>DLC_BASE_GAME</v>
      </c>
      <c r="L333" s="3" t="str">
        <f>VLOOKUP(J333,'LibSets constants'!$A$4:$C$1012,3,FALSE)</f>
        <v>Included in base game</v>
      </c>
    </row>
    <row r="334" spans="1:12" x14ac:dyDescent="0.25">
      <c r="A334" s="5">
        <v>562</v>
      </c>
      <c r="B334" s="5">
        <v>329</v>
      </c>
      <c r="C334" s="5">
        <v>382</v>
      </c>
      <c r="D334" t="s">
        <v>406</v>
      </c>
      <c r="E334" s="3" t="str">
        <f t="array" ref="E334">IF(OR(EXACT(A334,'ESO Dungeon constants'!$D$3:$D$987)),"X","")</f>
        <v/>
      </c>
      <c r="F334" s="3" t="str">
        <f t="shared" si="20"/>
        <v/>
      </c>
      <c r="G334" s="3" t="str">
        <f t="shared" si="21"/>
        <v>Reaper's March</v>
      </c>
      <c r="H334" s="17">
        <f t="shared" si="22"/>
        <v>562</v>
      </c>
      <c r="I334" s="17">
        <f t="shared" si="23"/>
        <v>382</v>
      </c>
      <c r="J334">
        <v>0</v>
      </c>
      <c r="K334" s="3" t="str">
        <f>VLOOKUP(J334,'LibSets constants'!$A$4:$B$1012,2,FALSE)</f>
        <v>DLC_BASE_GAME</v>
      </c>
      <c r="L334" s="3" t="str">
        <f>VLOOKUP(J334,'LibSets constants'!$A$4:$C$1012,3,FALSE)</f>
        <v>Included in base game</v>
      </c>
    </row>
    <row r="335" spans="1:12" x14ac:dyDescent="0.25">
      <c r="A335" s="5">
        <v>565</v>
      </c>
      <c r="B335" s="5">
        <v>330</v>
      </c>
      <c r="C335" s="5">
        <v>382</v>
      </c>
      <c r="D335" t="s">
        <v>407</v>
      </c>
      <c r="E335" s="3" t="str">
        <f t="array" ref="E335">IF(OR(EXACT(A335,'ESO Dungeon constants'!$D$3:$D$987)),"X","")</f>
        <v/>
      </c>
      <c r="F335" s="3" t="str">
        <f t="shared" si="20"/>
        <v/>
      </c>
      <c r="G335" s="3" t="str">
        <f t="shared" si="21"/>
        <v>Reaper's March</v>
      </c>
      <c r="H335" s="17">
        <f t="shared" si="22"/>
        <v>565</v>
      </c>
      <c r="I335" s="17">
        <f t="shared" si="23"/>
        <v>382</v>
      </c>
      <c r="J335">
        <v>0</v>
      </c>
      <c r="K335" s="3" t="str">
        <f>VLOOKUP(J335,'LibSets constants'!$A$4:$B$1012,2,FALSE)</f>
        <v>DLC_BASE_GAME</v>
      </c>
      <c r="L335" s="3" t="str">
        <f>VLOOKUP(J335,'LibSets constants'!$A$4:$C$1012,3,FALSE)</f>
        <v>Included in base game</v>
      </c>
    </row>
    <row r="336" spans="1:12" x14ac:dyDescent="0.25">
      <c r="A336" s="5">
        <v>566</v>
      </c>
      <c r="B336" s="5">
        <v>331</v>
      </c>
      <c r="C336" s="5">
        <v>3</v>
      </c>
      <c r="D336" t="s">
        <v>408</v>
      </c>
      <c r="E336" s="3" t="str">
        <f t="array" ref="E336">IF(OR(EXACT(A336,'ESO Dungeon constants'!$D$3:$D$987)),"X","")</f>
        <v/>
      </c>
      <c r="F336" s="3" t="str">
        <f t="shared" si="20"/>
        <v/>
      </c>
      <c r="G336" s="3" t="str">
        <f t="shared" si="21"/>
        <v>Glenumbra</v>
      </c>
      <c r="H336" s="17">
        <f t="shared" si="22"/>
        <v>566</v>
      </c>
      <c r="I336" s="17">
        <f t="shared" si="23"/>
        <v>3</v>
      </c>
      <c r="J336">
        <v>0</v>
      </c>
      <c r="K336" s="3" t="str">
        <f>VLOOKUP(J336,'LibSets constants'!$A$4:$B$1012,2,FALSE)</f>
        <v>DLC_BASE_GAME</v>
      </c>
      <c r="L336" s="3" t="str">
        <f>VLOOKUP(J336,'LibSets constants'!$A$4:$C$1012,3,FALSE)</f>
        <v>Included in base game</v>
      </c>
    </row>
    <row r="337" spans="1:12" x14ac:dyDescent="0.25">
      <c r="A337" s="5">
        <v>567</v>
      </c>
      <c r="B337" s="5">
        <v>332</v>
      </c>
      <c r="C337" s="5">
        <v>103</v>
      </c>
      <c r="D337" t="s">
        <v>290</v>
      </c>
      <c r="E337" s="3" t="str">
        <f t="array" ref="E337">IF(OR(EXACT(A337,'ESO Dungeon constants'!$D$3:$D$987)),"X","")</f>
        <v/>
      </c>
      <c r="F337" s="3" t="str">
        <f t="shared" si="20"/>
        <v/>
      </c>
      <c r="G337" s="3" t="str">
        <f t="shared" si="21"/>
        <v>The Rift</v>
      </c>
      <c r="H337" s="17">
        <f t="shared" si="22"/>
        <v>567</v>
      </c>
      <c r="I337" s="17">
        <f t="shared" si="23"/>
        <v>103</v>
      </c>
      <c r="J337">
        <v>0</v>
      </c>
      <c r="K337" s="3" t="str">
        <f>VLOOKUP(J337,'LibSets constants'!$A$4:$B$1012,2,FALSE)</f>
        <v>DLC_BASE_GAME</v>
      </c>
      <c r="L337" s="3" t="str">
        <f>VLOOKUP(J337,'LibSets constants'!$A$4:$C$1012,3,FALSE)</f>
        <v>Included in base game</v>
      </c>
    </row>
    <row r="338" spans="1:12" x14ac:dyDescent="0.25">
      <c r="A338" s="5">
        <v>569</v>
      </c>
      <c r="B338" s="5">
        <v>333</v>
      </c>
      <c r="C338" s="5">
        <v>104</v>
      </c>
      <c r="D338" t="s">
        <v>409</v>
      </c>
      <c r="E338" s="3" t="str">
        <f t="array" ref="E338">IF(OR(EXACT(A338,'ESO Dungeon constants'!$D$3:$D$987)),"X","")</f>
        <v/>
      </c>
      <c r="F338" s="3" t="str">
        <f t="shared" si="20"/>
        <v/>
      </c>
      <c r="G338" s="3" t="str">
        <f t="shared" si="21"/>
        <v>Alik'r Desert</v>
      </c>
      <c r="H338" s="17">
        <f t="shared" si="22"/>
        <v>569</v>
      </c>
      <c r="I338" s="17">
        <f t="shared" si="23"/>
        <v>104</v>
      </c>
      <c r="J338">
        <v>0</v>
      </c>
      <c r="K338" s="3" t="str">
        <f>VLOOKUP(J338,'LibSets constants'!$A$4:$B$1012,2,FALSE)</f>
        <v>DLC_BASE_GAME</v>
      </c>
      <c r="L338" s="3" t="str">
        <f>VLOOKUP(J338,'LibSets constants'!$A$4:$C$1012,3,FALSE)</f>
        <v>Included in base game</v>
      </c>
    </row>
    <row r="339" spans="1:12" x14ac:dyDescent="0.25">
      <c r="A339" s="5">
        <v>570</v>
      </c>
      <c r="B339" s="5">
        <v>334</v>
      </c>
      <c r="C339" s="5">
        <v>104</v>
      </c>
      <c r="D339" t="s">
        <v>410</v>
      </c>
      <c r="E339" s="3" t="str">
        <f t="array" ref="E339">IF(OR(EXACT(A339,'ESO Dungeon constants'!$D$3:$D$987)),"X","")</f>
        <v/>
      </c>
      <c r="F339" s="3" t="str">
        <f t="shared" si="20"/>
        <v/>
      </c>
      <c r="G339" s="3" t="str">
        <f t="shared" si="21"/>
        <v>Alik'r Desert</v>
      </c>
      <c r="H339" s="17">
        <f t="shared" si="22"/>
        <v>570</v>
      </c>
      <c r="I339" s="17">
        <f t="shared" si="23"/>
        <v>104</v>
      </c>
      <c r="J339">
        <v>6</v>
      </c>
      <c r="K339" s="3" t="str">
        <f>VLOOKUP(J339,'LibSets constants'!$A$4:$B$1012,2,FALSE)</f>
        <v>DLC_MORROWIND</v>
      </c>
      <c r="L339" s="3" t="str">
        <f>VLOOKUP(J339,'LibSets constants'!$A$4:$C$1012,3,FALSE)</f>
        <v>Morrowind</v>
      </c>
    </row>
    <row r="340" spans="1:12" x14ac:dyDescent="0.25">
      <c r="A340" s="5">
        <v>571</v>
      </c>
      <c r="B340" s="5">
        <v>335</v>
      </c>
      <c r="C340" s="5">
        <v>104</v>
      </c>
      <c r="D340" t="s">
        <v>411</v>
      </c>
      <c r="E340" s="3" t="str">
        <f t="array" ref="E340">IF(OR(EXACT(A340,'ESO Dungeon constants'!$D$3:$D$987)),"X","")</f>
        <v/>
      </c>
      <c r="F340" s="3" t="str">
        <f t="shared" si="20"/>
        <v/>
      </c>
      <c r="G340" s="3" t="str">
        <f t="shared" si="21"/>
        <v>Alik'r Desert</v>
      </c>
      <c r="H340" s="17">
        <f t="shared" si="22"/>
        <v>571</v>
      </c>
      <c r="I340" s="17">
        <f t="shared" si="23"/>
        <v>104</v>
      </c>
      <c r="J340">
        <v>6</v>
      </c>
      <c r="K340" s="3" t="str">
        <f>VLOOKUP(J340,'LibSets constants'!$A$4:$B$1012,2,FALSE)</f>
        <v>DLC_MORROWIND</v>
      </c>
      <c r="L340" s="3" t="str">
        <f>VLOOKUP(J340,'LibSets constants'!$A$4:$C$1012,3,FALSE)</f>
        <v>Morrowind</v>
      </c>
    </row>
    <row r="341" spans="1:12" x14ac:dyDescent="0.25">
      <c r="A341" s="5">
        <v>572</v>
      </c>
      <c r="B341" s="5">
        <v>336</v>
      </c>
      <c r="C341" s="5">
        <v>572</v>
      </c>
      <c r="D341" t="s">
        <v>412</v>
      </c>
      <c r="E341" s="3" t="str">
        <f t="array" ref="E341">IF(OR(EXACT(A341,'ESO Dungeon constants'!$D$3:$D$987)),"X","")</f>
        <v/>
      </c>
      <c r="F341" s="3" t="str">
        <f t="shared" si="20"/>
        <v>X</v>
      </c>
      <c r="G341" s="3" t="str">
        <f t="shared" si="21"/>
        <v/>
      </c>
      <c r="H341" s="17">
        <f t="shared" si="22"/>
        <v>572</v>
      </c>
      <c r="I341" s="17">
        <f t="shared" si="23"/>
        <v>572</v>
      </c>
      <c r="J341">
        <v>6</v>
      </c>
      <c r="K341" s="3" t="str">
        <f>VLOOKUP(J341,'LibSets constants'!$A$4:$B$1012,2,FALSE)</f>
        <v>DLC_MORROWIND</v>
      </c>
      <c r="L341" s="3" t="str">
        <f>VLOOKUP(J341,'LibSets constants'!$A$4:$C$1012,3,FALSE)</f>
        <v>Morrowind</v>
      </c>
    </row>
    <row r="342" spans="1:12" x14ac:dyDescent="0.25">
      <c r="A342" s="5">
        <v>573</v>
      </c>
      <c r="B342" s="5">
        <v>337</v>
      </c>
      <c r="C342" s="5">
        <v>199</v>
      </c>
      <c r="D342" t="s">
        <v>413</v>
      </c>
      <c r="E342" s="3" t="str">
        <f t="array" ref="E342">IF(OR(EXACT(A342,'ESO Dungeon constants'!$D$3:$D$987)),"X","")</f>
        <v/>
      </c>
      <c r="F342" s="3" t="str">
        <f t="shared" si="20"/>
        <v/>
      </c>
      <c r="G342" s="3" t="str">
        <f t="shared" si="21"/>
        <v>The Harborage</v>
      </c>
      <c r="H342" s="17">
        <f t="shared" si="22"/>
        <v>573</v>
      </c>
      <c r="I342" s="17">
        <f t="shared" si="23"/>
        <v>199</v>
      </c>
      <c r="J342">
        <v>6</v>
      </c>
      <c r="K342" s="3" t="str">
        <f>VLOOKUP(J342,'LibSets constants'!$A$4:$B$1012,2,FALSE)</f>
        <v>DLC_MORROWIND</v>
      </c>
      <c r="L342" s="3" t="str">
        <f>VLOOKUP(J342,'LibSets constants'!$A$4:$C$1012,3,FALSE)</f>
        <v>Morrowind</v>
      </c>
    </row>
    <row r="343" spans="1:12" x14ac:dyDescent="0.25">
      <c r="A343" s="5">
        <v>574</v>
      </c>
      <c r="B343" s="5">
        <v>338</v>
      </c>
      <c r="C343" s="5">
        <v>199</v>
      </c>
      <c r="D343" t="s">
        <v>414</v>
      </c>
      <c r="E343" s="3" t="str">
        <f t="array" ref="E343">IF(OR(EXACT(A343,'ESO Dungeon constants'!$D$3:$D$987)),"X","")</f>
        <v/>
      </c>
      <c r="F343" s="3" t="str">
        <f t="shared" si="20"/>
        <v/>
      </c>
      <c r="G343" s="3" t="str">
        <f t="shared" si="21"/>
        <v>The Harborage</v>
      </c>
      <c r="H343" s="17">
        <f t="shared" si="22"/>
        <v>574</v>
      </c>
      <c r="I343" s="17">
        <f t="shared" si="23"/>
        <v>199</v>
      </c>
      <c r="J343">
        <v>6</v>
      </c>
      <c r="K343" s="3" t="str">
        <f>VLOOKUP(J343,'LibSets constants'!$A$4:$B$1012,2,FALSE)</f>
        <v>DLC_MORROWIND</v>
      </c>
      <c r="L343" s="3" t="str">
        <f>VLOOKUP(J343,'LibSets constants'!$A$4:$C$1012,3,FALSE)</f>
        <v>Morrowind</v>
      </c>
    </row>
    <row r="344" spans="1:12" x14ac:dyDescent="0.25">
      <c r="A344" s="5">
        <v>575</v>
      </c>
      <c r="B344" s="5">
        <v>339</v>
      </c>
      <c r="C344" s="5">
        <v>108</v>
      </c>
      <c r="D344" t="s">
        <v>415</v>
      </c>
      <c r="E344" s="3" t="str">
        <f t="array" ref="E344">IF(OR(EXACT(A344,'ESO Dungeon constants'!$D$3:$D$987)),"X","")</f>
        <v/>
      </c>
      <c r="F344" s="3" t="str">
        <f t="shared" si="20"/>
        <v/>
      </c>
      <c r="G344" s="3" t="str">
        <f t="shared" si="21"/>
        <v>Greenshade</v>
      </c>
      <c r="H344" s="17">
        <f t="shared" si="22"/>
        <v>575</v>
      </c>
      <c r="I344" s="17">
        <f t="shared" si="23"/>
        <v>108</v>
      </c>
      <c r="J344">
        <v>6</v>
      </c>
      <c r="K344" s="3" t="str">
        <f>VLOOKUP(J344,'LibSets constants'!$A$4:$B$1012,2,FALSE)</f>
        <v>DLC_MORROWIND</v>
      </c>
      <c r="L344" s="3" t="str">
        <f>VLOOKUP(J344,'LibSets constants'!$A$4:$C$1012,3,FALSE)</f>
        <v>Morrowind</v>
      </c>
    </row>
    <row r="345" spans="1:12" x14ac:dyDescent="0.25">
      <c r="A345" s="5">
        <v>576</v>
      </c>
      <c r="B345" s="5">
        <v>340</v>
      </c>
      <c r="C345" s="5">
        <v>108</v>
      </c>
      <c r="D345" t="s">
        <v>416</v>
      </c>
      <c r="E345" s="3" t="str">
        <f t="array" ref="E345">IF(OR(EXACT(A345,'ESO Dungeon constants'!$D$3:$D$987)),"X","")</f>
        <v/>
      </c>
      <c r="F345" s="3" t="str">
        <f t="shared" si="20"/>
        <v/>
      </c>
      <c r="G345" s="3" t="str">
        <f t="shared" si="21"/>
        <v>Greenshade</v>
      </c>
      <c r="H345" s="17">
        <f t="shared" si="22"/>
        <v>576</v>
      </c>
      <c r="I345" s="17">
        <f t="shared" si="23"/>
        <v>108</v>
      </c>
      <c r="J345">
        <v>6</v>
      </c>
      <c r="K345" s="3" t="str">
        <f>VLOOKUP(J345,'LibSets constants'!$A$4:$B$1012,2,FALSE)</f>
        <v>DLC_MORROWIND</v>
      </c>
      <c r="L345" s="3" t="str">
        <f>VLOOKUP(J345,'LibSets constants'!$A$4:$C$1012,3,FALSE)</f>
        <v>Morrowind</v>
      </c>
    </row>
    <row r="346" spans="1:12" x14ac:dyDescent="0.25">
      <c r="A346" s="5">
        <v>577</v>
      </c>
      <c r="B346" s="5">
        <v>341</v>
      </c>
      <c r="C346" s="5">
        <v>108</v>
      </c>
      <c r="D346" t="s">
        <v>417</v>
      </c>
      <c r="E346" s="3" t="str">
        <f t="array" ref="E346">IF(OR(EXACT(A346,'ESO Dungeon constants'!$D$3:$D$987)),"X","")</f>
        <v/>
      </c>
      <c r="F346" s="3" t="str">
        <f t="shared" si="20"/>
        <v/>
      </c>
      <c r="G346" s="3" t="str">
        <f t="shared" si="21"/>
        <v>Greenshade</v>
      </c>
      <c r="H346" s="17">
        <f t="shared" si="22"/>
        <v>577</v>
      </c>
      <c r="I346" s="17">
        <f t="shared" si="23"/>
        <v>108</v>
      </c>
      <c r="J346">
        <v>6</v>
      </c>
      <c r="K346" s="3" t="str">
        <f>VLOOKUP(J346,'LibSets constants'!$A$4:$B$1012,2,FALSE)</f>
        <v>DLC_MORROWIND</v>
      </c>
      <c r="L346" s="3" t="str">
        <f>VLOOKUP(J346,'LibSets constants'!$A$4:$C$1012,3,FALSE)</f>
        <v>Morrowind</v>
      </c>
    </row>
    <row r="347" spans="1:12" x14ac:dyDescent="0.25">
      <c r="A347" s="5">
        <v>578</v>
      </c>
      <c r="B347" s="5">
        <v>342</v>
      </c>
      <c r="C347" s="5">
        <v>108</v>
      </c>
      <c r="D347" t="s">
        <v>418</v>
      </c>
      <c r="E347" s="3" t="str">
        <f t="array" ref="E347">IF(OR(EXACT(A347,'ESO Dungeon constants'!$D$3:$D$987)),"X","")</f>
        <v/>
      </c>
      <c r="F347" s="3" t="str">
        <f t="shared" si="20"/>
        <v/>
      </c>
      <c r="G347" s="3" t="str">
        <f t="shared" si="21"/>
        <v>Greenshade</v>
      </c>
      <c r="H347" s="17">
        <f t="shared" si="22"/>
        <v>578</v>
      </c>
      <c r="I347" s="17">
        <f t="shared" si="23"/>
        <v>108</v>
      </c>
      <c r="J347">
        <v>6</v>
      </c>
      <c r="K347" s="3" t="str">
        <f>VLOOKUP(J347,'LibSets constants'!$A$4:$B$1012,2,FALSE)</f>
        <v>DLC_MORROWIND</v>
      </c>
      <c r="L347" s="3" t="str">
        <f>VLOOKUP(J347,'LibSets constants'!$A$4:$C$1012,3,FALSE)</f>
        <v>Morrowind</v>
      </c>
    </row>
    <row r="348" spans="1:12" x14ac:dyDescent="0.25">
      <c r="A348" s="5">
        <v>579</v>
      </c>
      <c r="B348" s="5">
        <v>343</v>
      </c>
      <c r="C348" s="5">
        <v>108</v>
      </c>
      <c r="D348" t="s">
        <v>419</v>
      </c>
      <c r="E348" s="3" t="str">
        <f t="array" ref="E348">IF(OR(EXACT(A348,'ESO Dungeon constants'!$D$3:$D$987)),"X","")</f>
        <v/>
      </c>
      <c r="F348" s="3" t="str">
        <f t="shared" si="20"/>
        <v/>
      </c>
      <c r="G348" s="3" t="str">
        <f t="shared" si="21"/>
        <v>Greenshade</v>
      </c>
      <c r="H348" s="17">
        <f t="shared" si="22"/>
        <v>579</v>
      </c>
      <c r="I348" s="17">
        <f t="shared" si="23"/>
        <v>108</v>
      </c>
      <c r="J348">
        <v>6</v>
      </c>
      <c r="K348" s="3" t="str">
        <f>VLOOKUP(J348,'LibSets constants'!$A$4:$B$1012,2,FALSE)</f>
        <v>DLC_MORROWIND</v>
      </c>
      <c r="L348" s="3" t="str">
        <f>VLOOKUP(J348,'LibSets constants'!$A$4:$C$1012,3,FALSE)</f>
        <v>Morrowind</v>
      </c>
    </row>
    <row r="349" spans="1:12" x14ac:dyDescent="0.25">
      <c r="A349" s="5">
        <v>580</v>
      </c>
      <c r="B349" s="5">
        <v>344</v>
      </c>
      <c r="C349" s="5">
        <v>108</v>
      </c>
      <c r="D349" t="s">
        <v>420</v>
      </c>
      <c r="E349" s="3" t="str">
        <f t="array" ref="E349">IF(OR(EXACT(A349,'ESO Dungeon constants'!$D$3:$D$987)),"X","")</f>
        <v/>
      </c>
      <c r="F349" s="3" t="str">
        <f t="shared" si="20"/>
        <v/>
      </c>
      <c r="G349" s="3" t="str">
        <f t="shared" si="21"/>
        <v>Greenshade</v>
      </c>
      <c r="H349" s="17">
        <f t="shared" si="22"/>
        <v>580</v>
      </c>
      <c r="I349" s="17">
        <f t="shared" si="23"/>
        <v>108</v>
      </c>
      <c r="J349">
        <v>6</v>
      </c>
      <c r="K349" s="3" t="str">
        <f>VLOOKUP(J349,'LibSets constants'!$A$4:$B$1012,2,FALSE)</f>
        <v>DLC_MORROWIND</v>
      </c>
      <c r="L349" s="3" t="str">
        <f>VLOOKUP(J349,'LibSets constants'!$A$4:$C$1012,3,FALSE)</f>
        <v>Morrowind</v>
      </c>
    </row>
    <row r="350" spans="1:12" x14ac:dyDescent="0.25">
      <c r="A350" s="5">
        <v>581</v>
      </c>
      <c r="B350" s="5">
        <v>345</v>
      </c>
      <c r="C350" s="5">
        <v>199</v>
      </c>
      <c r="D350" t="s">
        <v>421</v>
      </c>
      <c r="E350" s="3" t="str">
        <f t="array" ref="E350">IF(OR(EXACT(A350,'ESO Dungeon constants'!$D$3:$D$987)),"X","")</f>
        <v/>
      </c>
      <c r="F350" s="3" t="str">
        <f t="shared" si="20"/>
        <v/>
      </c>
      <c r="G350" s="3" t="str">
        <f t="shared" si="21"/>
        <v>The Harborage</v>
      </c>
      <c r="H350" s="17">
        <f t="shared" si="22"/>
        <v>581</v>
      </c>
      <c r="I350" s="17">
        <f t="shared" si="23"/>
        <v>199</v>
      </c>
      <c r="J350">
        <v>6</v>
      </c>
      <c r="K350" s="3" t="str">
        <f>VLOOKUP(J350,'LibSets constants'!$A$4:$B$1012,2,FALSE)</f>
        <v>DLC_MORROWIND</v>
      </c>
      <c r="L350" s="3" t="str">
        <f>VLOOKUP(J350,'LibSets constants'!$A$4:$C$1012,3,FALSE)</f>
        <v>Morrowind</v>
      </c>
    </row>
    <row r="351" spans="1:12" x14ac:dyDescent="0.25">
      <c r="A351" s="5">
        <v>582</v>
      </c>
      <c r="B351" s="5">
        <v>346</v>
      </c>
      <c r="C351" s="5">
        <v>381</v>
      </c>
      <c r="D351" t="s">
        <v>422</v>
      </c>
      <c r="E351" s="3" t="str">
        <f t="array" ref="E351">IF(OR(EXACT(A351,'ESO Dungeon constants'!$D$3:$D$987)),"X","")</f>
        <v/>
      </c>
      <c r="F351" s="3" t="str">
        <f t="shared" si="20"/>
        <v/>
      </c>
      <c r="G351" s="3" t="str">
        <f t="shared" si="21"/>
        <v>Auridon</v>
      </c>
      <c r="H351" s="17">
        <f t="shared" si="22"/>
        <v>582</v>
      </c>
      <c r="I351" s="17">
        <f t="shared" si="23"/>
        <v>381</v>
      </c>
      <c r="J351">
        <v>0</v>
      </c>
      <c r="K351" s="3" t="str">
        <f>VLOOKUP(J351,'LibSets constants'!$A$4:$B$1012,2,FALSE)</f>
        <v>DLC_BASE_GAME</v>
      </c>
      <c r="L351" s="3" t="str">
        <f>VLOOKUP(J351,'LibSets constants'!$A$4:$C$1012,3,FALSE)</f>
        <v>Included in base game</v>
      </c>
    </row>
    <row r="352" spans="1:12" x14ac:dyDescent="0.25">
      <c r="A352" s="5">
        <v>584</v>
      </c>
      <c r="B352" s="5">
        <v>347</v>
      </c>
      <c r="C352" s="5">
        <v>584</v>
      </c>
      <c r="D352" t="s">
        <v>39</v>
      </c>
      <c r="E352" s="3" t="str">
        <f t="array" ref="E352">IF(OR(EXACT(A352,'ESO Dungeon constants'!$D$3:$D$987)),"X","")</f>
        <v/>
      </c>
      <c r="F352" s="3" t="str">
        <f t="shared" si="20"/>
        <v>X</v>
      </c>
      <c r="G352" s="3" t="str">
        <f t="shared" si="21"/>
        <v/>
      </c>
      <c r="H352" s="17">
        <f t="shared" si="22"/>
        <v>584</v>
      </c>
      <c r="I352" s="17">
        <f t="shared" si="23"/>
        <v>584</v>
      </c>
      <c r="J352">
        <v>0</v>
      </c>
      <c r="K352" s="3" t="str">
        <f>VLOOKUP(J352,'LibSets constants'!$A$4:$B$1012,2,FALSE)</f>
        <v>DLC_BASE_GAME</v>
      </c>
      <c r="L352" s="3" t="str">
        <f>VLOOKUP(J352,'LibSets constants'!$A$4:$C$1012,3,FALSE)</f>
        <v>Included in base game</v>
      </c>
    </row>
    <row r="353" spans="1:12" x14ac:dyDescent="0.25">
      <c r="A353" s="5">
        <v>585</v>
      </c>
      <c r="B353" s="5">
        <v>348</v>
      </c>
      <c r="C353" s="5">
        <v>92</v>
      </c>
      <c r="D353" t="s">
        <v>423</v>
      </c>
      <c r="E353" s="3" t="str">
        <f t="array" ref="E353">IF(OR(EXACT(A353,'ESO Dungeon constants'!$D$3:$D$987)),"X","")</f>
        <v/>
      </c>
      <c r="F353" s="3" t="str">
        <f t="shared" si="20"/>
        <v/>
      </c>
      <c r="G353" s="3" t="str">
        <f t="shared" si="21"/>
        <v>Bangkorai</v>
      </c>
      <c r="H353" s="17">
        <f t="shared" si="22"/>
        <v>585</v>
      </c>
      <c r="I353" s="17">
        <f t="shared" si="23"/>
        <v>92</v>
      </c>
      <c r="J353">
        <v>0</v>
      </c>
      <c r="K353" s="3" t="str">
        <f>VLOOKUP(J353,'LibSets constants'!$A$4:$B$1012,2,FALSE)</f>
        <v>DLC_BASE_GAME</v>
      </c>
      <c r="L353" s="3" t="str">
        <f>VLOOKUP(J353,'LibSets constants'!$A$4:$C$1012,3,FALSE)</f>
        <v>Included in base game</v>
      </c>
    </row>
    <row r="354" spans="1:12" x14ac:dyDescent="0.25">
      <c r="A354" s="5">
        <v>586</v>
      </c>
      <c r="B354" s="5">
        <v>349</v>
      </c>
      <c r="C354" s="5">
        <v>586</v>
      </c>
      <c r="D354" t="s">
        <v>424</v>
      </c>
      <c r="E354" s="3" t="str">
        <f t="array" ref="E354">IF(OR(EXACT(A354,'ESO Dungeon constants'!$D$3:$D$987)),"X","")</f>
        <v/>
      </c>
      <c r="F354" s="3" t="str">
        <f t="shared" si="20"/>
        <v>X</v>
      </c>
      <c r="G354" s="3" t="str">
        <f t="shared" si="21"/>
        <v/>
      </c>
      <c r="H354" s="17">
        <f t="shared" si="22"/>
        <v>586</v>
      </c>
      <c r="I354" s="17">
        <f t="shared" si="23"/>
        <v>586</v>
      </c>
      <c r="J354">
        <v>0</v>
      </c>
      <c r="K354" s="3" t="str">
        <f>VLOOKUP(J354,'LibSets constants'!$A$4:$B$1012,2,FALSE)</f>
        <v>DLC_BASE_GAME</v>
      </c>
      <c r="L354" s="3" t="str">
        <f>VLOOKUP(J354,'LibSets constants'!$A$4:$C$1012,3,FALSE)</f>
        <v>Included in base game</v>
      </c>
    </row>
    <row r="355" spans="1:12" x14ac:dyDescent="0.25">
      <c r="A355" s="5">
        <v>587</v>
      </c>
      <c r="B355" s="5">
        <v>350</v>
      </c>
      <c r="C355" s="5">
        <v>20</v>
      </c>
      <c r="D355" t="s">
        <v>425</v>
      </c>
      <c r="E355" s="3" t="str">
        <f t="array" ref="E355">IF(OR(EXACT(A355,'ESO Dungeon constants'!$D$3:$D$987)),"X","")</f>
        <v/>
      </c>
      <c r="F355" s="3" t="str">
        <f t="shared" si="20"/>
        <v/>
      </c>
      <c r="G355" s="3" t="str">
        <f t="shared" si="21"/>
        <v>Rivenspire</v>
      </c>
      <c r="H355" s="17">
        <f t="shared" si="22"/>
        <v>587</v>
      </c>
      <c r="I355" s="17">
        <f t="shared" si="23"/>
        <v>20</v>
      </c>
      <c r="J355">
        <v>0</v>
      </c>
      <c r="K355" s="3" t="str">
        <f>VLOOKUP(J355,'LibSets constants'!$A$4:$B$1012,2,FALSE)</f>
        <v>DLC_BASE_GAME</v>
      </c>
      <c r="L355" s="3" t="str">
        <f>VLOOKUP(J355,'LibSets constants'!$A$4:$C$1012,3,FALSE)</f>
        <v>Included in base game</v>
      </c>
    </row>
    <row r="356" spans="1:12" x14ac:dyDescent="0.25">
      <c r="A356" s="5">
        <v>588</v>
      </c>
      <c r="B356" s="5">
        <v>351</v>
      </c>
      <c r="C356" s="5">
        <v>20</v>
      </c>
      <c r="D356" t="s">
        <v>426</v>
      </c>
      <c r="E356" s="3" t="str">
        <f t="array" ref="E356">IF(OR(EXACT(A356,'ESO Dungeon constants'!$D$3:$D$987)),"X","")</f>
        <v/>
      </c>
      <c r="F356" s="3" t="str">
        <f t="shared" si="20"/>
        <v/>
      </c>
      <c r="G356" s="3" t="str">
        <f t="shared" si="21"/>
        <v>Rivenspire</v>
      </c>
      <c r="H356" s="17">
        <f t="shared" si="22"/>
        <v>588</v>
      </c>
      <c r="I356" s="17">
        <f t="shared" si="23"/>
        <v>20</v>
      </c>
      <c r="J356">
        <v>0</v>
      </c>
      <c r="K356" s="3" t="str">
        <f>VLOOKUP(J356,'LibSets constants'!$A$4:$B$1012,2,FALSE)</f>
        <v>DLC_BASE_GAME</v>
      </c>
      <c r="L356" s="3" t="str">
        <f>VLOOKUP(J356,'LibSets constants'!$A$4:$C$1012,3,FALSE)</f>
        <v>Included in base game</v>
      </c>
    </row>
    <row r="357" spans="1:12" x14ac:dyDescent="0.25">
      <c r="A357" s="5">
        <v>589</v>
      </c>
      <c r="B357" s="5">
        <v>352</v>
      </c>
      <c r="C357" s="5">
        <v>20</v>
      </c>
      <c r="D357" t="s">
        <v>427</v>
      </c>
      <c r="E357" s="3" t="str">
        <f t="array" ref="E357">IF(OR(EXACT(A357,'ESO Dungeon constants'!$D$3:$D$987)),"X","")</f>
        <v/>
      </c>
      <c r="F357" s="3" t="str">
        <f t="shared" si="20"/>
        <v/>
      </c>
      <c r="G357" s="3" t="str">
        <f t="shared" si="21"/>
        <v>Rivenspire</v>
      </c>
      <c r="H357" s="17">
        <f t="shared" si="22"/>
        <v>589</v>
      </c>
      <c r="I357" s="17">
        <f t="shared" si="23"/>
        <v>20</v>
      </c>
      <c r="J357">
        <v>0</v>
      </c>
      <c r="K357" s="3" t="str">
        <f>VLOOKUP(J357,'LibSets constants'!$A$4:$B$1012,2,FALSE)</f>
        <v>DLC_BASE_GAME</v>
      </c>
      <c r="L357" s="3" t="str">
        <f>VLOOKUP(J357,'LibSets constants'!$A$4:$C$1012,3,FALSE)</f>
        <v>Included in base game</v>
      </c>
    </row>
    <row r="358" spans="1:12" x14ac:dyDescent="0.25">
      <c r="A358" s="5">
        <v>590</v>
      </c>
      <c r="B358" s="5">
        <v>353</v>
      </c>
      <c r="C358" s="5">
        <v>20</v>
      </c>
      <c r="D358" t="s">
        <v>428</v>
      </c>
      <c r="E358" s="3" t="str">
        <f t="array" ref="E358">IF(OR(EXACT(A358,'ESO Dungeon constants'!$D$3:$D$987)),"X","")</f>
        <v/>
      </c>
      <c r="F358" s="3" t="str">
        <f t="shared" si="20"/>
        <v/>
      </c>
      <c r="G358" s="3" t="str">
        <f t="shared" si="21"/>
        <v>Rivenspire</v>
      </c>
      <c r="H358" s="17">
        <f t="shared" si="22"/>
        <v>590</v>
      </c>
      <c r="I358" s="17">
        <f t="shared" si="23"/>
        <v>20</v>
      </c>
      <c r="J358">
        <v>0</v>
      </c>
      <c r="K358" s="3" t="str">
        <f>VLOOKUP(J358,'LibSets constants'!$A$4:$B$1012,2,FALSE)</f>
        <v>DLC_BASE_GAME</v>
      </c>
      <c r="L358" s="3" t="str">
        <f>VLOOKUP(J358,'LibSets constants'!$A$4:$C$1012,3,FALSE)</f>
        <v>Included in base game</v>
      </c>
    </row>
    <row r="359" spans="1:12" x14ac:dyDescent="0.25">
      <c r="A359" s="5">
        <v>591</v>
      </c>
      <c r="B359" s="5">
        <v>354</v>
      </c>
      <c r="C359" s="5">
        <v>20</v>
      </c>
      <c r="D359" t="s">
        <v>429</v>
      </c>
      <c r="E359" s="3" t="str">
        <f t="array" ref="E359">IF(OR(EXACT(A359,'ESO Dungeon constants'!$D$3:$D$987)),"X","")</f>
        <v/>
      </c>
      <c r="F359" s="3" t="str">
        <f t="shared" si="20"/>
        <v/>
      </c>
      <c r="G359" s="3" t="str">
        <f t="shared" si="21"/>
        <v>Rivenspire</v>
      </c>
      <c r="H359" s="17">
        <f t="shared" si="22"/>
        <v>591</v>
      </c>
      <c r="I359" s="17">
        <f t="shared" si="23"/>
        <v>20</v>
      </c>
      <c r="J359">
        <v>0</v>
      </c>
      <c r="K359" s="3" t="str">
        <f>VLOOKUP(J359,'LibSets constants'!$A$4:$B$1012,2,FALSE)</f>
        <v>DLC_BASE_GAME</v>
      </c>
      <c r="L359" s="3" t="str">
        <f>VLOOKUP(J359,'LibSets constants'!$A$4:$C$1012,3,FALSE)</f>
        <v>Included in base game</v>
      </c>
    </row>
    <row r="360" spans="1:12" x14ac:dyDescent="0.25">
      <c r="A360" s="5">
        <v>592</v>
      </c>
      <c r="B360" s="5">
        <v>355</v>
      </c>
      <c r="C360" s="5">
        <v>20</v>
      </c>
      <c r="D360" t="s">
        <v>430</v>
      </c>
      <c r="E360" s="3" t="str">
        <f t="array" ref="E360">IF(OR(EXACT(A360,'ESO Dungeon constants'!$D$3:$D$987)),"X","")</f>
        <v/>
      </c>
      <c r="F360" s="3" t="str">
        <f t="shared" si="20"/>
        <v/>
      </c>
      <c r="G360" s="3" t="str">
        <f t="shared" si="21"/>
        <v>Rivenspire</v>
      </c>
      <c r="H360" s="17">
        <f t="shared" si="22"/>
        <v>592</v>
      </c>
      <c r="I360" s="17">
        <f t="shared" si="23"/>
        <v>20</v>
      </c>
      <c r="J360">
        <v>0</v>
      </c>
      <c r="K360" s="3" t="str">
        <f>VLOOKUP(J360,'LibSets constants'!$A$4:$B$1012,2,FALSE)</f>
        <v>DLC_BASE_GAME</v>
      </c>
      <c r="L360" s="3" t="str">
        <f>VLOOKUP(J360,'LibSets constants'!$A$4:$C$1012,3,FALSE)</f>
        <v>Included in base game</v>
      </c>
    </row>
    <row r="361" spans="1:12" x14ac:dyDescent="0.25">
      <c r="A361" s="5">
        <v>593</v>
      </c>
      <c r="B361" s="5">
        <v>356</v>
      </c>
      <c r="C361" s="5">
        <v>92</v>
      </c>
      <c r="D361" t="s">
        <v>151</v>
      </c>
      <c r="E361" s="3" t="str">
        <f t="array" ref="E361">IF(OR(EXACT(A361,'ESO Dungeon constants'!$D$3:$D$987)),"X","")</f>
        <v/>
      </c>
      <c r="F361" s="3" t="str">
        <f t="shared" si="20"/>
        <v/>
      </c>
      <c r="G361" s="3" t="str">
        <f t="shared" si="21"/>
        <v>Bangkorai</v>
      </c>
      <c r="H361" s="17">
        <f t="shared" si="22"/>
        <v>593</v>
      </c>
      <c r="I361" s="17">
        <f t="shared" si="23"/>
        <v>92</v>
      </c>
      <c r="J361">
        <v>0</v>
      </c>
      <c r="K361" s="3" t="str">
        <f>VLOOKUP(J361,'LibSets constants'!$A$4:$B$1012,2,FALSE)</f>
        <v>DLC_BASE_GAME</v>
      </c>
      <c r="L361" s="3" t="str">
        <f>VLOOKUP(J361,'LibSets constants'!$A$4:$C$1012,3,FALSE)</f>
        <v>Included in base game</v>
      </c>
    </row>
    <row r="362" spans="1:12" x14ac:dyDescent="0.25">
      <c r="A362" s="5">
        <v>594</v>
      </c>
      <c r="B362" s="5">
        <v>357</v>
      </c>
      <c r="C362" s="5">
        <v>92</v>
      </c>
      <c r="D362" t="s">
        <v>431</v>
      </c>
      <c r="E362" s="3" t="str">
        <f t="array" ref="E362">IF(OR(EXACT(A362,'ESO Dungeon constants'!$D$3:$D$987)),"X","")</f>
        <v/>
      </c>
      <c r="F362" s="3" t="str">
        <f t="shared" si="20"/>
        <v/>
      </c>
      <c r="G362" s="3" t="str">
        <f t="shared" si="21"/>
        <v>Bangkorai</v>
      </c>
      <c r="H362" s="17">
        <f t="shared" si="22"/>
        <v>594</v>
      </c>
      <c r="I362" s="17">
        <f t="shared" si="23"/>
        <v>92</v>
      </c>
      <c r="J362">
        <v>0</v>
      </c>
      <c r="K362" s="3" t="str">
        <f>VLOOKUP(J362,'LibSets constants'!$A$4:$B$1012,2,FALSE)</f>
        <v>DLC_BASE_GAME</v>
      </c>
      <c r="L362" s="3" t="str">
        <f>VLOOKUP(J362,'LibSets constants'!$A$4:$C$1012,3,FALSE)</f>
        <v>Included in base game</v>
      </c>
    </row>
    <row r="363" spans="1:12" x14ac:dyDescent="0.25">
      <c r="A363" s="5">
        <v>595</v>
      </c>
      <c r="B363" s="5">
        <v>358</v>
      </c>
      <c r="C363" s="5">
        <v>208</v>
      </c>
      <c r="D363" t="s">
        <v>432</v>
      </c>
      <c r="E363" s="3" t="str">
        <f t="array" ref="E363">IF(OR(EXACT(A363,'ESO Dungeon constants'!$D$3:$D$987)),"X","")</f>
        <v/>
      </c>
      <c r="F363" s="3" t="str">
        <f t="shared" si="20"/>
        <v/>
      </c>
      <c r="G363" s="3" t="str">
        <f t="shared" si="21"/>
        <v>The Earth Forge</v>
      </c>
      <c r="H363" s="17">
        <f t="shared" si="22"/>
        <v>595</v>
      </c>
      <c r="I363" s="17">
        <f t="shared" si="23"/>
        <v>208</v>
      </c>
      <c r="J363">
        <v>0</v>
      </c>
      <c r="K363" s="3" t="str">
        <f>VLOOKUP(J363,'LibSets constants'!$A$4:$B$1012,2,FALSE)</f>
        <v>DLC_BASE_GAME</v>
      </c>
      <c r="L363" s="3" t="str">
        <f>VLOOKUP(J363,'LibSets constants'!$A$4:$C$1012,3,FALSE)</f>
        <v>Included in base game</v>
      </c>
    </row>
    <row r="364" spans="1:12" x14ac:dyDescent="0.25">
      <c r="A364" s="5">
        <v>596</v>
      </c>
      <c r="B364" s="5">
        <v>359</v>
      </c>
      <c r="C364" s="5">
        <v>103</v>
      </c>
      <c r="D364" t="s">
        <v>433</v>
      </c>
      <c r="E364" s="3" t="str">
        <f t="array" ref="E364">IF(OR(EXACT(A364,'ESO Dungeon constants'!$D$3:$D$987)),"X","")</f>
        <v/>
      </c>
      <c r="F364" s="3" t="str">
        <f t="shared" si="20"/>
        <v/>
      </c>
      <c r="G364" s="3" t="str">
        <f t="shared" si="21"/>
        <v>The Rift</v>
      </c>
      <c r="H364" s="17">
        <f t="shared" si="22"/>
        <v>596</v>
      </c>
      <c r="I364" s="17">
        <f t="shared" si="23"/>
        <v>103</v>
      </c>
      <c r="J364">
        <v>0</v>
      </c>
      <c r="K364" s="3" t="str">
        <f>VLOOKUP(J364,'LibSets constants'!$A$4:$B$1012,2,FALSE)</f>
        <v>DLC_BASE_GAME</v>
      </c>
      <c r="L364" s="3" t="str">
        <f>VLOOKUP(J364,'LibSets constants'!$A$4:$C$1012,3,FALSE)</f>
        <v>Included in base game</v>
      </c>
    </row>
    <row r="365" spans="1:12" x14ac:dyDescent="0.25">
      <c r="A365" s="5">
        <v>598</v>
      </c>
      <c r="B365" s="5">
        <v>360</v>
      </c>
      <c r="C365" s="5">
        <v>199</v>
      </c>
      <c r="D365" t="s">
        <v>434</v>
      </c>
      <c r="E365" s="3" t="str">
        <f t="array" ref="E365">IF(OR(EXACT(A365,'ESO Dungeon constants'!$D$3:$D$987)),"X","")</f>
        <v/>
      </c>
      <c r="F365" s="3" t="str">
        <f t="shared" si="20"/>
        <v/>
      </c>
      <c r="G365" s="3" t="str">
        <f t="shared" si="21"/>
        <v>The Harborage</v>
      </c>
      <c r="H365" s="17">
        <f t="shared" si="22"/>
        <v>598</v>
      </c>
      <c r="I365" s="17">
        <f t="shared" si="23"/>
        <v>199</v>
      </c>
      <c r="J365">
        <v>6</v>
      </c>
      <c r="K365" s="3" t="str">
        <f>VLOOKUP(J365,'LibSets constants'!$A$4:$B$1012,2,FALSE)</f>
        <v>DLC_MORROWIND</v>
      </c>
      <c r="L365" s="3" t="str">
        <f>VLOOKUP(J365,'LibSets constants'!$A$4:$C$1012,3,FALSE)</f>
        <v>Morrowind</v>
      </c>
    </row>
    <row r="366" spans="1:12" x14ac:dyDescent="0.25">
      <c r="A366" s="5">
        <v>599</v>
      </c>
      <c r="B366" s="5">
        <v>361</v>
      </c>
      <c r="C366" s="5">
        <v>572</v>
      </c>
      <c r="D366" t="s">
        <v>435</v>
      </c>
      <c r="E366" s="3" t="str">
        <f t="array" ref="E366">IF(OR(EXACT(A366,'ESO Dungeon constants'!$D$3:$D$987)),"X","")</f>
        <v/>
      </c>
      <c r="F366" s="3" t="str">
        <f t="shared" si="20"/>
        <v/>
      </c>
      <c r="G366" s="3" t="str">
        <f t="shared" si="21"/>
        <v>Stirk</v>
      </c>
      <c r="H366" s="17">
        <f t="shared" si="22"/>
        <v>599</v>
      </c>
      <c r="I366" s="17">
        <f t="shared" si="23"/>
        <v>572</v>
      </c>
      <c r="J366">
        <v>6</v>
      </c>
      <c r="K366" s="3" t="str">
        <f>VLOOKUP(J366,'LibSets constants'!$A$4:$B$1012,2,FALSE)</f>
        <v>DLC_MORROWIND</v>
      </c>
      <c r="L366" s="3" t="str">
        <f>VLOOKUP(J366,'LibSets constants'!$A$4:$C$1012,3,FALSE)</f>
        <v>Morrowind</v>
      </c>
    </row>
    <row r="367" spans="1:12" x14ac:dyDescent="0.25">
      <c r="A367" s="5">
        <v>600</v>
      </c>
      <c r="B367" s="5">
        <v>362</v>
      </c>
      <c r="C367" s="5">
        <v>572</v>
      </c>
      <c r="D367" t="s">
        <v>436</v>
      </c>
      <c r="E367" s="3" t="str">
        <f t="array" ref="E367">IF(OR(EXACT(A367,'ESO Dungeon constants'!$D$3:$D$987)),"X","")</f>
        <v/>
      </c>
      <c r="F367" s="3" t="str">
        <f t="shared" si="20"/>
        <v/>
      </c>
      <c r="G367" s="3" t="str">
        <f t="shared" si="21"/>
        <v>Stirk</v>
      </c>
      <c r="H367" s="17">
        <f t="shared" si="22"/>
        <v>600</v>
      </c>
      <c r="I367" s="17">
        <f t="shared" si="23"/>
        <v>572</v>
      </c>
      <c r="J367">
        <v>6</v>
      </c>
      <c r="K367" s="3" t="str">
        <f>VLOOKUP(J367,'LibSets constants'!$A$4:$B$1012,2,FALSE)</f>
        <v>DLC_MORROWIND</v>
      </c>
      <c r="L367" s="3" t="str">
        <f>VLOOKUP(J367,'LibSets constants'!$A$4:$C$1012,3,FALSE)</f>
        <v>Morrowind</v>
      </c>
    </row>
    <row r="368" spans="1:12" x14ac:dyDescent="0.25">
      <c r="A368" s="5">
        <v>601</v>
      </c>
      <c r="B368" s="5">
        <v>363</v>
      </c>
      <c r="C368" s="5">
        <v>572</v>
      </c>
      <c r="D368" t="s">
        <v>437</v>
      </c>
      <c r="E368" s="3" t="str">
        <f t="array" ref="E368">IF(OR(EXACT(A368,'ESO Dungeon constants'!$D$3:$D$987)),"X","")</f>
        <v/>
      </c>
      <c r="F368" s="3" t="str">
        <f t="shared" si="20"/>
        <v/>
      </c>
      <c r="G368" s="3" t="str">
        <f t="shared" si="21"/>
        <v>Stirk</v>
      </c>
      <c r="H368" s="17">
        <f t="shared" si="22"/>
        <v>601</v>
      </c>
      <c r="I368" s="17">
        <f t="shared" si="23"/>
        <v>572</v>
      </c>
      <c r="J368">
        <v>6</v>
      </c>
      <c r="K368" s="3" t="str">
        <f>VLOOKUP(J368,'LibSets constants'!$A$4:$B$1012,2,FALSE)</f>
        <v>DLC_MORROWIND</v>
      </c>
      <c r="L368" s="3" t="str">
        <f>VLOOKUP(J368,'LibSets constants'!$A$4:$C$1012,3,FALSE)</f>
        <v>Morrowind</v>
      </c>
    </row>
    <row r="369" spans="1:12" x14ac:dyDescent="0.25">
      <c r="A369" s="5">
        <v>628</v>
      </c>
      <c r="B369" s="5">
        <v>364</v>
      </c>
      <c r="C369" s="5">
        <v>20</v>
      </c>
      <c r="D369" t="s">
        <v>426</v>
      </c>
      <c r="E369" s="3" t="str">
        <f t="array" ref="E369">IF(OR(EXACT(A369,'ESO Dungeon constants'!$D$3:$D$987)),"X","")</f>
        <v/>
      </c>
      <c r="F369" s="3" t="str">
        <f t="shared" si="20"/>
        <v/>
      </c>
      <c r="G369" s="3" t="str">
        <f t="shared" si="21"/>
        <v>Rivenspire</v>
      </c>
      <c r="H369" s="17">
        <f t="shared" si="22"/>
        <v>628</v>
      </c>
      <c r="I369" s="17">
        <f t="shared" si="23"/>
        <v>20</v>
      </c>
      <c r="J369">
        <v>6</v>
      </c>
      <c r="K369" s="3" t="str">
        <f>VLOOKUP(J369,'LibSets constants'!$A$4:$B$1012,2,FALSE)</f>
        <v>DLC_MORROWIND</v>
      </c>
      <c r="L369" s="3" t="str">
        <f>VLOOKUP(J369,'LibSets constants'!$A$4:$C$1012,3,FALSE)</f>
        <v>Morrowind</v>
      </c>
    </row>
    <row r="370" spans="1:12" x14ac:dyDescent="0.25">
      <c r="A370" s="5">
        <v>632</v>
      </c>
      <c r="B370" s="5">
        <v>365</v>
      </c>
      <c r="C370" s="5">
        <v>888</v>
      </c>
      <c r="D370" t="s">
        <v>438</v>
      </c>
      <c r="E370" s="3" t="str">
        <f t="array" ref="E370">IF(OR(EXACT(A370,'ESO Dungeon constants'!$D$3:$D$987)),"X","")</f>
        <v/>
      </c>
      <c r="F370" s="3" t="str">
        <f t="shared" si="20"/>
        <v/>
      </c>
      <c r="G370" s="3" t="str">
        <f t="shared" si="21"/>
        <v>Craglorn</v>
      </c>
      <c r="H370" s="17">
        <f t="shared" si="22"/>
        <v>632</v>
      </c>
      <c r="I370" s="17">
        <f t="shared" si="23"/>
        <v>888</v>
      </c>
      <c r="J370">
        <v>8</v>
      </c>
      <c r="K370" s="3" t="str">
        <f>VLOOKUP(J370,'LibSets constants'!$A$4:$B$1012,2,FALSE)</f>
        <v>DLC_CLOCKWORK_CITY</v>
      </c>
      <c r="L370" s="3" t="str">
        <f>VLOOKUP(J370,'LibSets constants'!$A$4:$C$1012,3,FALSE)</f>
        <v>Clockwork City</v>
      </c>
    </row>
    <row r="371" spans="1:12" x14ac:dyDescent="0.25">
      <c r="A371" s="5">
        <v>635</v>
      </c>
      <c r="B371" s="5">
        <v>366</v>
      </c>
      <c r="C371" s="5">
        <v>888</v>
      </c>
      <c r="D371" t="s">
        <v>439</v>
      </c>
      <c r="E371" s="3" t="str">
        <f t="array" ref="E371">IF(OR(EXACT(A371,'ESO Dungeon constants'!$D$3:$D$987)),"X","")</f>
        <v/>
      </c>
      <c r="F371" s="3" t="str">
        <f t="shared" si="20"/>
        <v/>
      </c>
      <c r="G371" s="3" t="str">
        <f t="shared" si="21"/>
        <v>Craglorn</v>
      </c>
      <c r="H371" s="17">
        <f t="shared" si="22"/>
        <v>635</v>
      </c>
      <c r="I371" s="17">
        <f t="shared" si="23"/>
        <v>888</v>
      </c>
      <c r="J371">
        <v>8</v>
      </c>
      <c r="K371" s="3" t="str">
        <f>VLOOKUP(J371,'LibSets constants'!$A$4:$B$1012,2,FALSE)</f>
        <v>DLC_CLOCKWORK_CITY</v>
      </c>
      <c r="L371" s="3" t="str">
        <f>VLOOKUP(J371,'LibSets constants'!$A$4:$C$1012,3,FALSE)</f>
        <v>Clockwork City</v>
      </c>
    </row>
    <row r="372" spans="1:12" x14ac:dyDescent="0.25">
      <c r="A372" s="5">
        <v>636</v>
      </c>
      <c r="B372" s="5">
        <v>367</v>
      </c>
      <c r="C372" s="5">
        <v>888</v>
      </c>
      <c r="D372" t="s">
        <v>440</v>
      </c>
      <c r="E372" s="3" t="str">
        <f t="array" ref="E372">IF(OR(EXACT(A372,'ESO Dungeon constants'!$D$3:$D$987)),"X","")</f>
        <v>X</v>
      </c>
      <c r="F372" s="3" t="str">
        <f t="shared" si="20"/>
        <v/>
      </c>
      <c r="G372" s="3" t="str">
        <f t="shared" si="21"/>
        <v>Craglorn</v>
      </c>
      <c r="H372" s="17">
        <f t="shared" si="22"/>
        <v>636</v>
      </c>
      <c r="I372" s="17">
        <f t="shared" si="23"/>
        <v>888</v>
      </c>
      <c r="J372">
        <v>8</v>
      </c>
      <c r="K372" s="3" t="str">
        <f>VLOOKUP(J372,'LibSets constants'!$A$4:$B$1012,2,FALSE)</f>
        <v>DLC_CLOCKWORK_CITY</v>
      </c>
      <c r="L372" s="3" t="str">
        <f>VLOOKUP(J372,'LibSets constants'!$A$4:$C$1012,3,FALSE)</f>
        <v>Clockwork City</v>
      </c>
    </row>
    <row r="373" spans="1:12" x14ac:dyDescent="0.25">
      <c r="A373" s="5">
        <v>637</v>
      </c>
      <c r="B373" s="5">
        <v>368</v>
      </c>
      <c r="C373" s="5">
        <v>57</v>
      </c>
      <c r="D373" t="s">
        <v>441</v>
      </c>
      <c r="E373" s="3" t="str">
        <f t="array" ref="E373">IF(OR(EXACT(A373,'ESO Dungeon constants'!$D$3:$D$987)),"X","")</f>
        <v/>
      </c>
      <c r="F373" s="3" t="str">
        <f t="shared" si="20"/>
        <v/>
      </c>
      <c r="G373" s="3" t="str">
        <f t="shared" si="21"/>
        <v>Deshaan</v>
      </c>
      <c r="H373" s="17">
        <f t="shared" si="22"/>
        <v>637</v>
      </c>
      <c r="I373" s="17">
        <f t="shared" si="23"/>
        <v>57</v>
      </c>
      <c r="J373">
        <v>8</v>
      </c>
      <c r="K373" s="3" t="str">
        <f>VLOOKUP(J373,'LibSets constants'!$A$4:$B$1012,2,FALSE)</f>
        <v>DLC_CLOCKWORK_CITY</v>
      </c>
      <c r="L373" s="3" t="str">
        <f>VLOOKUP(J373,'LibSets constants'!$A$4:$C$1012,3,FALSE)</f>
        <v>Clockwork City</v>
      </c>
    </row>
    <row r="374" spans="1:12" x14ac:dyDescent="0.25">
      <c r="A374" s="5">
        <v>638</v>
      </c>
      <c r="B374" s="5">
        <v>369</v>
      </c>
      <c r="C374" s="5">
        <v>888</v>
      </c>
      <c r="D374" t="s">
        <v>442</v>
      </c>
      <c r="E374" s="3" t="str">
        <f t="array" ref="E374">IF(OR(EXACT(A374,'ESO Dungeon constants'!$D$3:$D$987)),"X","")</f>
        <v>X</v>
      </c>
      <c r="F374" s="3" t="str">
        <f t="shared" si="20"/>
        <v/>
      </c>
      <c r="G374" s="3" t="str">
        <f t="shared" si="21"/>
        <v>Craglorn</v>
      </c>
      <c r="H374" s="17">
        <f t="shared" si="22"/>
        <v>638</v>
      </c>
      <c r="I374" s="17">
        <f t="shared" si="23"/>
        <v>888</v>
      </c>
      <c r="J374">
        <v>8</v>
      </c>
      <c r="K374" s="3" t="str">
        <f>VLOOKUP(J374,'LibSets constants'!$A$4:$B$1012,2,FALSE)</f>
        <v>DLC_CLOCKWORK_CITY</v>
      </c>
      <c r="L374" s="3" t="str">
        <f>VLOOKUP(J374,'LibSets constants'!$A$4:$C$1012,3,FALSE)</f>
        <v>Clockwork City</v>
      </c>
    </row>
    <row r="375" spans="1:12" x14ac:dyDescent="0.25">
      <c r="A375" s="5">
        <v>639</v>
      </c>
      <c r="B375" s="5">
        <v>370</v>
      </c>
      <c r="C375" s="5">
        <v>888</v>
      </c>
      <c r="D375" t="s">
        <v>443</v>
      </c>
      <c r="E375" s="3" t="str">
        <f t="array" ref="E375">IF(OR(EXACT(A375,'ESO Dungeon constants'!$D$3:$D$987)),"X","")</f>
        <v>X</v>
      </c>
      <c r="F375" s="3" t="str">
        <f t="shared" si="20"/>
        <v/>
      </c>
      <c r="G375" s="3" t="str">
        <f t="shared" si="21"/>
        <v>Craglorn</v>
      </c>
      <c r="H375" s="17">
        <f t="shared" si="22"/>
        <v>639</v>
      </c>
      <c r="I375" s="17">
        <f t="shared" si="23"/>
        <v>888</v>
      </c>
      <c r="J375">
        <v>8</v>
      </c>
      <c r="K375" s="3" t="str">
        <f>VLOOKUP(J375,'LibSets constants'!$A$4:$B$1012,2,FALSE)</f>
        <v>DLC_CLOCKWORK_CITY</v>
      </c>
      <c r="L375" s="3" t="str">
        <f>VLOOKUP(J375,'LibSets constants'!$A$4:$C$1012,3,FALSE)</f>
        <v>Clockwork City</v>
      </c>
    </row>
    <row r="376" spans="1:12" x14ac:dyDescent="0.25">
      <c r="A376" s="5">
        <v>640</v>
      </c>
      <c r="B376" s="5">
        <v>371</v>
      </c>
      <c r="C376" s="5">
        <v>19</v>
      </c>
      <c r="D376" t="s">
        <v>444</v>
      </c>
      <c r="E376" s="3" t="str">
        <f t="array" ref="E376">IF(OR(EXACT(A376,'ESO Dungeon constants'!$D$3:$D$987)),"X","")</f>
        <v/>
      </c>
      <c r="F376" s="3" t="str">
        <f t="shared" si="20"/>
        <v/>
      </c>
      <c r="G376" s="3" t="str">
        <f t="shared" si="21"/>
        <v>Stormhaven</v>
      </c>
      <c r="H376" s="17">
        <f t="shared" si="22"/>
        <v>640</v>
      </c>
      <c r="I376" s="17">
        <f t="shared" si="23"/>
        <v>19</v>
      </c>
      <c r="J376">
        <v>8</v>
      </c>
      <c r="K376" s="3" t="str">
        <f>VLOOKUP(J376,'LibSets constants'!$A$4:$B$1012,2,FALSE)</f>
        <v>DLC_CLOCKWORK_CITY</v>
      </c>
      <c r="L376" s="3" t="str">
        <f>VLOOKUP(J376,'LibSets constants'!$A$4:$C$1012,3,FALSE)</f>
        <v>Clockwork City</v>
      </c>
    </row>
    <row r="377" spans="1:12" x14ac:dyDescent="0.25">
      <c r="A377" s="5">
        <v>641</v>
      </c>
      <c r="B377" s="5">
        <v>372</v>
      </c>
      <c r="C377" s="5">
        <v>3</v>
      </c>
      <c r="D377" t="s">
        <v>445</v>
      </c>
      <c r="E377" s="3" t="str">
        <f t="array" ref="E377">IF(OR(EXACT(A377,'ESO Dungeon constants'!$D$3:$D$987)),"X","")</f>
        <v/>
      </c>
      <c r="F377" s="3" t="str">
        <f t="shared" si="20"/>
        <v/>
      </c>
      <c r="G377" s="3" t="str">
        <f t="shared" si="21"/>
        <v>Glenumbra</v>
      </c>
      <c r="H377" s="17">
        <f t="shared" si="22"/>
        <v>641</v>
      </c>
      <c r="I377" s="17">
        <f t="shared" si="23"/>
        <v>3</v>
      </c>
      <c r="J377">
        <v>8</v>
      </c>
      <c r="K377" s="3" t="str">
        <f>VLOOKUP(J377,'LibSets constants'!$A$4:$B$1012,2,FALSE)</f>
        <v>DLC_CLOCKWORK_CITY</v>
      </c>
      <c r="L377" s="3" t="str">
        <f>VLOOKUP(J377,'LibSets constants'!$A$4:$C$1012,3,FALSE)</f>
        <v>Clockwork City</v>
      </c>
    </row>
    <row r="378" spans="1:12" x14ac:dyDescent="0.25">
      <c r="A378" s="5">
        <v>642</v>
      </c>
      <c r="B378" s="5">
        <v>373</v>
      </c>
      <c r="C378" s="5">
        <v>642</v>
      </c>
      <c r="D378" t="s">
        <v>138</v>
      </c>
      <c r="E378" s="3" t="str">
        <f t="array" ref="E378">IF(OR(EXACT(A378,'ESO Dungeon constants'!$D$3:$D$987)),"X","")</f>
        <v/>
      </c>
      <c r="F378" s="3" t="str">
        <f t="shared" si="20"/>
        <v>X</v>
      </c>
      <c r="G378" s="3" t="str">
        <f t="shared" si="21"/>
        <v/>
      </c>
      <c r="H378" s="17">
        <f t="shared" si="22"/>
        <v>642</v>
      </c>
      <c r="I378" s="17">
        <f t="shared" si="23"/>
        <v>642</v>
      </c>
      <c r="J378">
        <v>8</v>
      </c>
      <c r="K378" s="3" t="str">
        <f>VLOOKUP(J378,'LibSets constants'!$A$4:$B$1012,2,FALSE)</f>
        <v>DLC_CLOCKWORK_CITY</v>
      </c>
      <c r="L378" s="3" t="str">
        <f>VLOOKUP(J378,'LibSets constants'!$A$4:$C$1012,3,FALSE)</f>
        <v>Clockwork City</v>
      </c>
    </row>
    <row r="379" spans="1:12" x14ac:dyDescent="0.25">
      <c r="A379" s="5">
        <v>643</v>
      </c>
      <c r="B379" s="5">
        <v>374</v>
      </c>
      <c r="C379" s="5">
        <v>584</v>
      </c>
      <c r="D379" t="s">
        <v>446</v>
      </c>
      <c r="E379" s="3" t="str">
        <f t="array" ref="E379">IF(OR(EXACT(A379,'ESO Dungeon constants'!$D$3:$D$987)),"X","")</f>
        <v/>
      </c>
      <c r="F379" s="3" t="str">
        <f t="shared" si="20"/>
        <v/>
      </c>
      <c r="G379" s="3" t="str">
        <f t="shared" si="21"/>
        <v>Imperial City</v>
      </c>
      <c r="H379" s="17">
        <f t="shared" si="22"/>
        <v>643</v>
      </c>
      <c r="I379" s="17">
        <f t="shared" si="23"/>
        <v>584</v>
      </c>
      <c r="J379">
        <v>6</v>
      </c>
      <c r="K379" s="3" t="str">
        <f>VLOOKUP(J379,'LibSets constants'!$A$4:$B$1012,2,FALSE)</f>
        <v>DLC_MORROWIND</v>
      </c>
      <c r="L379" s="3" t="str">
        <f>VLOOKUP(J379,'LibSets constants'!$A$4:$C$1012,3,FALSE)</f>
        <v>Morrowind</v>
      </c>
    </row>
    <row r="380" spans="1:12" x14ac:dyDescent="0.25">
      <c r="A380" s="5">
        <v>649</v>
      </c>
      <c r="B380" s="5">
        <v>375</v>
      </c>
      <c r="C380" s="5">
        <v>584</v>
      </c>
      <c r="D380" t="s">
        <v>447</v>
      </c>
      <c r="E380" s="3" t="str">
        <f t="array" ref="E380">IF(OR(EXACT(A380,'ESO Dungeon constants'!$D$3:$D$987)),"X","")</f>
        <v/>
      </c>
      <c r="F380" s="3" t="str">
        <f t="shared" si="20"/>
        <v/>
      </c>
      <c r="G380" s="3" t="str">
        <f t="shared" si="21"/>
        <v>Imperial City</v>
      </c>
      <c r="H380" s="17">
        <f t="shared" si="22"/>
        <v>649</v>
      </c>
      <c r="I380" s="17">
        <f t="shared" si="23"/>
        <v>584</v>
      </c>
      <c r="J380">
        <v>8</v>
      </c>
      <c r="K380" s="3" t="str">
        <f>VLOOKUP(J380,'LibSets constants'!$A$4:$B$1012,2,FALSE)</f>
        <v>DLC_CLOCKWORK_CITY</v>
      </c>
      <c r="L380" s="3" t="str">
        <f>VLOOKUP(J380,'LibSets constants'!$A$4:$C$1012,3,FALSE)</f>
        <v>Clockwork City</v>
      </c>
    </row>
    <row r="381" spans="1:12" x14ac:dyDescent="0.25">
      <c r="A381" s="5">
        <v>676</v>
      </c>
      <c r="B381" s="5">
        <v>376</v>
      </c>
      <c r="C381" s="5">
        <v>816</v>
      </c>
      <c r="D381" t="s">
        <v>448</v>
      </c>
      <c r="E381" s="3" t="str">
        <f t="array" ref="E381">IF(OR(EXACT(A381,'ESO Dungeon constants'!$D$3:$D$987)),"X","")</f>
        <v/>
      </c>
      <c r="F381" s="3" t="str">
        <f t="shared" si="20"/>
        <v/>
      </c>
      <c r="G381" s="3" t="str">
        <f t="shared" si="21"/>
        <v>Hew's Bane</v>
      </c>
      <c r="H381" s="17">
        <f t="shared" si="22"/>
        <v>676</v>
      </c>
      <c r="I381" s="17">
        <f t="shared" si="23"/>
        <v>816</v>
      </c>
      <c r="J381">
        <v>10</v>
      </c>
      <c r="K381" s="3" t="str">
        <f>VLOOKUP(J381,'LibSets constants'!$A$4:$B$1012,2,FALSE)</f>
        <v>DLC_SUMMERSET</v>
      </c>
      <c r="L381" s="3" t="str">
        <f>VLOOKUP(J381,'LibSets constants'!$A$4:$C$1012,3,FALSE)</f>
        <v>Summerset</v>
      </c>
    </row>
    <row r="382" spans="1:12" x14ac:dyDescent="0.25">
      <c r="A382" s="5">
        <v>677</v>
      </c>
      <c r="B382" s="5">
        <v>377</v>
      </c>
      <c r="C382" s="5">
        <v>684</v>
      </c>
      <c r="D382" t="s">
        <v>449</v>
      </c>
      <c r="E382" s="3" t="str">
        <f t="array" ref="E382">IF(OR(EXACT(A382,'ESO Dungeon constants'!$D$3:$D$987)),"X","")</f>
        <v/>
      </c>
      <c r="F382" s="3" t="str">
        <f t="shared" si="20"/>
        <v/>
      </c>
      <c r="G382" s="3" t="str">
        <f t="shared" si="21"/>
        <v>Wrothgar</v>
      </c>
      <c r="H382" s="17">
        <f t="shared" si="22"/>
        <v>677</v>
      </c>
      <c r="I382" s="17">
        <f t="shared" si="23"/>
        <v>684</v>
      </c>
      <c r="J382">
        <v>10</v>
      </c>
      <c r="K382" s="3" t="str">
        <f>VLOOKUP(J382,'LibSets constants'!$A$4:$B$1012,2,FALSE)</f>
        <v>DLC_SUMMERSET</v>
      </c>
      <c r="L382" s="3" t="str">
        <f>VLOOKUP(J382,'LibSets constants'!$A$4:$C$1012,3,FALSE)</f>
        <v>Summerset</v>
      </c>
    </row>
    <row r="383" spans="1:12" x14ac:dyDescent="0.25">
      <c r="A383" s="5">
        <v>678</v>
      </c>
      <c r="B383" s="5">
        <v>378</v>
      </c>
      <c r="C383" s="5">
        <v>584</v>
      </c>
      <c r="D383" t="s">
        <v>52</v>
      </c>
      <c r="E383" s="3" t="str">
        <f t="array" ref="E383">IF(OR(EXACT(A383,'ESO Dungeon constants'!$D$3:$D$987)),"X","")</f>
        <v>X</v>
      </c>
      <c r="F383" s="3" t="str">
        <f t="shared" si="20"/>
        <v/>
      </c>
      <c r="G383" s="3" t="str">
        <f t="shared" si="21"/>
        <v>Imperial City</v>
      </c>
      <c r="H383" s="17">
        <f t="shared" si="22"/>
        <v>678</v>
      </c>
      <c r="I383" s="17">
        <f t="shared" si="23"/>
        <v>584</v>
      </c>
      <c r="J383">
        <v>10</v>
      </c>
      <c r="K383" s="3" t="str">
        <f>VLOOKUP(J383,'LibSets constants'!$A$4:$B$1012,2,FALSE)</f>
        <v>DLC_SUMMERSET</v>
      </c>
      <c r="L383" s="3" t="str">
        <f>VLOOKUP(J383,'LibSets constants'!$A$4:$C$1012,3,FALSE)</f>
        <v>Summerset</v>
      </c>
    </row>
    <row r="384" spans="1:12" x14ac:dyDescent="0.25">
      <c r="A384" s="5">
        <v>681</v>
      </c>
      <c r="B384" s="5">
        <v>379</v>
      </c>
      <c r="C384" s="5">
        <v>108</v>
      </c>
      <c r="D384" t="s">
        <v>71</v>
      </c>
      <c r="E384" s="3" t="str">
        <f t="array" ref="E384">IF(OR(EXACT(A384,'ESO Dungeon constants'!$D$3:$D$987)),"X","")</f>
        <v>X</v>
      </c>
      <c r="F384" s="3" t="str">
        <f t="shared" si="20"/>
        <v/>
      </c>
      <c r="G384" s="3" t="str">
        <f t="shared" si="21"/>
        <v>Greenshade</v>
      </c>
      <c r="H384" s="17">
        <f t="shared" si="22"/>
        <v>681</v>
      </c>
      <c r="I384" s="17">
        <f t="shared" si="23"/>
        <v>108</v>
      </c>
      <c r="J384">
        <v>10</v>
      </c>
      <c r="K384" s="3" t="str">
        <f>VLOOKUP(J384,'LibSets constants'!$A$4:$B$1012,2,FALSE)</f>
        <v>DLC_SUMMERSET</v>
      </c>
      <c r="L384" s="3" t="str">
        <f>VLOOKUP(J384,'LibSets constants'!$A$4:$C$1012,3,FALSE)</f>
        <v>Summerset</v>
      </c>
    </row>
    <row r="385" spans="1:12" x14ac:dyDescent="0.25">
      <c r="A385" s="5">
        <v>684</v>
      </c>
      <c r="B385" s="5">
        <v>380</v>
      </c>
      <c r="C385" s="5">
        <v>684</v>
      </c>
      <c r="D385" t="s">
        <v>450</v>
      </c>
      <c r="E385" s="3" t="str">
        <f t="array" ref="E385">IF(OR(EXACT(A385,'ESO Dungeon constants'!$D$3:$D$987)),"X","")</f>
        <v/>
      </c>
      <c r="F385" s="3" t="str">
        <f t="shared" si="20"/>
        <v>X</v>
      </c>
      <c r="G385" s="3" t="str">
        <f t="shared" si="21"/>
        <v/>
      </c>
      <c r="H385" s="17">
        <f t="shared" si="22"/>
        <v>684</v>
      </c>
      <c r="I385" s="17">
        <f t="shared" si="23"/>
        <v>684</v>
      </c>
      <c r="J385">
        <v>10</v>
      </c>
      <c r="K385" s="3" t="str">
        <f>VLOOKUP(J385,'LibSets constants'!$A$4:$B$1012,2,FALSE)</f>
        <v>DLC_SUMMERSET</v>
      </c>
      <c r="L385" s="3" t="str">
        <f>VLOOKUP(J385,'LibSets constants'!$A$4:$C$1012,3,FALSE)</f>
        <v>Summerset</v>
      </c>
    </row>
    <row r="386" spans="1:12" x14ac:dyDescent="0.25">
      <c r="A386" s="5">
        <v>688</v>
      </c>
      <c r="B386" s="5">
        <v>381</v>
      </c>
      <c r="C386" s="5">
        <v>584</v>
      </c>
      <c r="D386" t="s">
        <v>54</v>
      </c>
      <c r="E386" s="3" t="str">
        <f t="array" ref="E386">IF(OR(EXACT(A386,'ESO Dungeon constants'!$D$3:$D$987)),"X","")</f>
        <v>X</v>
      </c>
      <c r="F386" s="3" t="str">
        <f t="shared" si="20"/>
        <v/>
      </c>
      <c r="G386" s="3" t="str">
        <f t="shared" si="21"/>
        <v>Imperial City</v>
      </c>
      <c r="H386" s="17">
        <f t="shared" si="22"/>
        <v>688</v>
      </c>
      <c r="I386" s="17">
        <f t="shared" si="23"/>
        <v>584</v>
      </c>
      <c r="J386">
        <v>8</v>
      </c>
      <c r="K386" s="3" t="str">
        <f>VLOOKUP(J386,'LibSets constants'!$A$4:$B$1012,2,FALSE)</f>
        <v>DLC_CLOCKWORK_CITY</v>
      </c>
      <c r="L386" s="3" t="str">
        <f>VLOOKUP(J386,'LibSets constants'!$A$4:$C$1012,3,FALSE)</f>
        <v>Clockwork City</v>
      </c>
    </row>
    <row r="387" spans="1:12" x14ac:dyDescent="0.25">
      <c r="A387" s="5">
        <v>689</v>
      </c>
      <c r="B387" s="5">
        <v>382</v>
      </c>
      <c r="C387" s="5">
        <v>684</v>
      </c>
      <c r="D387" t="s">
        <v>451</v>
      </c>
      <c r="E387" s="3" t="str">
        <f t="array" ref="E387">IF(OR(EXACT(A387,'ESO Dungeon constants'!$D$3:$D$987)),"X","")</f>
        <v/>
      </c>
      <c r="F387" s="3" t="str">
        <f t="shared" si="20"/>
        <v/>
      </c>
      <c r="G387" s="3" t="str">
        <f t="shared" si="21"/>
        <v>Wrothgar</v>
      </c>
      <c r="H387" s="17">
        <f t="shared" si="22"/>
        <v>689</v>
      </c>
      <c r="I387" s="17">
        <f t="shared" si="23"/>
        <v>684</v>
      </c>
      <c r="J387">
        <v>4</v>
      </c>
      <c r="K387" s="3" t="str">
        <f>VLOOKUP(J387,'LibSets constants'!$A$4:$B$1012,2,FALSE)</f>
        <v>DLC_DARK_BROTHERHOOD</v>
      </c>
      <c r="L387" s="3" t="str">
        <f>VLOOKUP(J387,'LibSets constants'!$A$4:$C$1012,3,FALSE)</f>
        <v>Dark Brotherhood</v>
      </c>
    </row>
    <row r="388" spans="1:12" x14ac:dyDescent="0.25">
      <c r="A388" s="5">
        <v>691</v>
      </c>
      <c r="B388" s="5">
        <v>383</v>
      </c>
      <c r="C388" s="5">
        <v>684</v>
      </c>
      <c r="D388" t="s">
        <v>452</v>
      </c>
      <c r="E388" s="3" t="str">
        <f t="array" ref="E388">IF(OR(EXACT(A388,'ESO Dungeon constants'!$D$3:$D$987)),"X","")</f>
        <v/>
      </c>
      <c r="F388" s="3" t="str">
        <f t="shared" si="20"/>
        <v/>
      </c>
      <c r="G388" s="3" t="str">
        <f t="shared" si="21"/>
        <v>Wrothgar</v>
      </c>
      <c r="H388" s="17">
        <f t="shared" si="22"/>
        <v>691</v>
      </c>
      <c r="I388" s="17">
        <f t="shared" si="23"/>
        <v>684</v>
      </c>
      <c r="J388">
        <v>10</v>
      </c>
      <c r="K388" s="3" t="str">
        <f>VLOOKUP(J388,'LibSets constants'!$A$4:$B$1012,2,FALSE)</f>
        <v>DLC_SUMMERSET</v>
      </c>
      <c r="L388" s="3" t="str">
        <f>VLOOKUP(J388,'LibSets constants'!$A$4:$C$1012,3,FALSE)</f>
        <v>Summerset</v>
      </c>
    </row>
    <row r="389" spans="1:12" x14ac:dyDescent="0.25">
      <c r="A389" s="5">
        <v>692</v>
      </c>
      <c r="B389" s="5">
        <v>384</v>
      </c>
      <c r="C389" s="5">
        <v>684</v>
      </c>
      <c r="D389" t="s">
        <v>453</v>
      </c>
      <c r="E389" s="3" t="str">
        <f t="array" ref="E389">IF(OR(EXACT(A389,'ESO Dungeon constants'!$D$3:$D$987)),"X","")</f>
        <v/>
      </c>
      <c r="F389" s="3" t="str">
        <f t="shared" ref="F389:F452" si="24">IF(EXACT(A389,C389),"X","")</f>
        <v/>
      </c>
      <c r="G389" s="3" t="str">
        <f t="shared" ref="G389:G452" si="25">IF(A389&lt;&gt;C389,VLOOKUP(C389,$A$5:$D$9954,4,FALSE),"")</f>
        <v>Wrothgar</v>
      </c>
      <c r="H389" s="17">
        <f t="shared" ref="H389:H452" si="26">A389</f>
        <v>692</v>
      </c>
      <c r="I389" s="17">
        <f t="shared" ref="I389:I452" si="27">C389</f>
        <v>684</v>
      </c>
      <c r="J389">
        <v>10</v>
      </c>
      <c r="K389" s="3" t="str">
        <f>VLOOKUP(J389,'LibSets constants'!$A$4:$B$1012,2,FALSE)</f>
        <v>DLC_SUMMERSET</v>
      </c>
      <c r="L389" s="3" t="str">
        <f>VLOOKUP(J389,'LibSets constants'!$A$4:$C$1012,3,FALSE)</f>
        <v>Summerset</v>
      </c>
    </row>
    <row r="390" spans="1:12" x14ac:dyDescent="0.25">
      <c r="A390" s="5">
        <v>693</v>
      </c>
      <c r="B390" s="5">
        <v>385</v>
      </c>
      <c r="C390" s="5">
        <v>684</v>
      </c>
      <c r="D390" t="s">
        <v>454</v>
      </c>
      <c r="E390" s="3" t="str">
        <f t="array" ref="E390">IF(OR(EXACT(A390,'ESO Dungeon constants'!$D$3:$D$987)),"X","")</f>
        <v/>
      </c>
      <c r="F390" s="3" t="str">
        <f t="shared" si="24"/>
        <v/>
      </c>
      <c r="G390" s="3" t="str">
        <f t="shared" si="25"/>
        <v>Wrothgar</v>
      </c>
      <c r="H390" s="17">
        <f t="shared" si="26"/>
        <v>693</v>
      </c>
      <c r="I390" s="17">
        <f t="shared" si="27"/>
        <v>684</v>
      </c>
      <c r="J390">
        <v>10</v>
      </c>
      <c r="K390" s="3" t="str">
        <f>VLOOKUP(J390,'LibSets constants'!$A$4:$B$1012,2,FALSE)</f>
        <v>DLC_SUMMERSET</v>
      </c>
      <c r="L390" s="3" t="str">
        <f>VLOOKUP(J390,'LibSets constants'!$A$4:$C$1012,3,FALSE)</f>
        <v>Summerset</v>
      </c>
    </row>
    <row r="391" spans="1:12" x14ac:dyDescent="0.25">
      <c r="A391" s="5">
        <v>694</v>
      </c>
      <c r="B391" s="5">
        <v>386</v>
      </c>
      <c r="C391" s="5">
        <v>684</v>
      </c>
      <c r="D391" t="s">
        <v>455</v>
      </c>
      <c r="E391" s="3" t="str">
        <f t="array" ref="E391">IF(OR(EXACT(A391,'ESO Dungeon constants'!$D$3:$D$987)),"X","")</f>
        <v/>
      </c>
      <c r="F391" s="3" t="str">
        <f t="shared" si="24"/>
        <v/>
      </c>
      <c r="G391" s="3" t="str">
        <f t="shared" si="25"/>
        <v>Wrothgar</v>
      </c>
      <c r="H391" s="17">
        <f t="shared" si="26"/>
        <v>694</v>
      </c>
      <c r="I391" s="17">
        <f t="shared" si="27"/>
        <v>684</v>
      </c>
      <c r="J391">
        <v>10</v>
      </c>
      <c r="K391" s="3" t="str">
        <f>VLOOKUP(J391,'LibSets constants'!$A$4:$B$1012,2,FALSE)</f>
        <v>DLC_SUMMERSET</v>
      </c>
      <c r="L391" s="3" t="str">
        <f>VLOOKUP(J391,'LibSets constants'!$A$4:$C$1012,3,FALSE)</f>
        <v>Summerset</v>
      </c>
    </row>
    <row r="392" spans="1:12" x14ac:dyDescent="0.25">
      <c r="A392" s="5">
        <v>695</v>
      </c>
      <c r="B392" s="5">
        <v>387</v>
      </c>
      <c r="C392" s="5">
        <v>684</v>
      </c>
      <c r="D392" t="s">
        <v>456</v>
      </c>
      <c r="E392" s="3" t="str">
        <f t="array" ref="E392">IF(OR(EXACT(A392,'ESO Dungeon constants'!$D$3:$D$987)),"X","")</f>
        <v/>
      </c>
      <c r="F392" s="3" t="str">
        <f t="shared" si="24"/>
        <v/>
      </c>
      <c r="G392" s="3" t="str">
        <f t="shared" si="25"/>
        <v>Wrothgar</v>
      </c>
      <c r="H392" s="17">
        <f t="shared" si="26"/>
        <v>695</v>
      </c>
      <c r="I392" s="17">
        <f t="shared" si="27"/>
        <v>684</v>
      </c>
      <c r="J392">
        <v>11</v>
      </c>
      <c r="K392" s="3" t="str">
        <f>VLOOKUP(J392,'LibSets constants'!$A$4:$B$1012,2,FALSE)</f>
        <v>DLC_WOLFHUNTER</v>
      </c>
      <c r="L392" s="3" t="str">
        <f>VLOOKUP(J392,'LibSets constants'!$A$4:$C$1012,3,FALSE)</f>
        <v>Wolfhunter</v>
      </c>
    </row>
    <row r="393" spans="1:12" x14ac:dyDescent="0.25">
      <c r="A393" s="5">
        <v>697</v>
      </c>
      <c r="B393" s="5">
        <v>388</v>
      </c>
      <c r="C393" s="5">
        <v>684</v>
      </c>
      <c r="D393" t="s">
        <v>457</v>
      </c>
      <c r="E393" s="3" t="str">
        <f t="array" ref="E393">IF(OR(EXACT(A393,'ESO Dungeon constants'!$D$3:$D$987)),"X","")</f>
        <v/>
      </c>
      <c r="F393" s="3" t="str">
        <f t="shared" si="24"/>
        <v/>
      </c>
      <c r="G393" s="3" t="str">
        <f t="shared" si="25"/>
        <v>Wrothgar</v>
      </c>
      <c r="H393" s="17">
        <f t="shared" si="26"/>
        <v>697</v>
      </c>
      <c r="I393" s="17">
        <f t="shared" si="27"/>
        <v>684</v>
      </c>
      <c r="J393">
        <v>10</v>
      </c>
      <c r="K393" s="3" t="str">
        <f>VLOOKUP(J393,'LibSets constants'!$A$4:$B$1012,2,FALSE)</f>
        <v>DLC_SUMMERSET</v>
      </c>
      <c r="L393" s="3" t="str">
        <f>VLOOKUP(J393,'LibSets constants'!$A$4:$C$1012,3,FALSE)</f>
        <v>Summerset</v>
      </c>
    </row>
    <row r="394" spans="1:12" x14ac:dyDescent="0.25">
      <c r="A394" s="5">
        <v>698</v>
      </c>
      <c r="B394" s="5">
        <v>389</v>
      </c>
      <c r="C394" s="5">
        <v>684</v>
      </c>
      <c r="D394" t="s">
        <v>458</v>
      </c>
      <c r="E394" s="3" t="str">
        <f t="array" ref="E394">IF(OR(EXACT(A394,'ESO Dungeon constants'!$D$3:$D$987)),"X","")</f>
        <v/>
      </c>
      <c r="F394" s="3" t="str">
        <f t="shared" si="24"/>
        <v/>
      </c>
      <c r="G394" s="3" t="str">
        <f t="shared" si="25"/>
        <v>Wrothgar</v>
      </c>
      <c r="H394" s="17">
        <f t="shared" si="26"/>
        <v>698</v>
      </c>
      <c r="I394" s="17">
        <f t="shared" si="27"/>
        <v>684</v>
      </c>
      <c r="J394">
        <v>10</v>
      </c>
      <c r="K394" s="3" t="str">
        <f>VLOOKUP(J394,'LibSets constants'!$A$4:$B$1012,2,FALSE)</f>
        <v>DLC_SUMMERSET</v>
      </c>
      <c r="L394" s="3" t="str">
        <f>VLOOKUP(J394,'LibSets constants'!$A$4:$C$1012,3,FALSE)</f>
        <v>Summerset</v>
      </c>
    </row>
    <row r="395" spans="1:12" x14ac:dyDescent="0.25">
      <c r="A395" s="5">
        <v>699</v>
      </c>
      <c r="B395" s="5">
        <v>390</v>
      </c>
      <c r="C395" s="5">
        <v>684</v>
      </c>
      <c r="D395" t="s">
        <v>459</v>
      </c>
      <c r="E395" s="3" t="str">
        <f t="array" ref="E395">IF(OR(EXACT(A395,'ESO Dungeon constants'!$D$3:$D$987)),"X","")</f>
        <v/>
      </c>
      <c r="F395" s="3" t="str">
        <f t="shared" si="24"/>
        <v/>
      </c>
      <c r="G395" s="3" t="str">
        <f t="shared" si="25"/>
        <v>Wrothgar</v>
      </c>
      <c r="H395" s="17">
        <f t="shared" si="26"/>
        <v>699</v>
      </c>
      <c r="I395" s="17">
        <f t="shared" si="27"/>
        <v>684</v>
      </c>
      <c r="J395">
        <v>10</v>
      </c>
      <c r="K395" s="3" t="str">
        <f>VLOOKUP(J395,'LibSets constants'!$A$4:$B$1012,2,FALSE)</f>
        <v>DLC_SUMMERSET</v>
      </c>
      <c r="L395" s="3" t="str">
        <f>VLOOKUP(J395,'LibSets constants'!$A$4:$C$1012,3,FALSE)</f>
        <v>Summerset</v>
      </c>
    </row>
    <row r="396" spans="1:12" x14ac:dyDescent="0.25">
      <c r="A396" s="5">
        <v>700</v>
      </c>
      <c r="B396" s="5">
        <v>391</v>
      </c>
      <c r="C396" s="5">
        <v>684</v>
      </c>
      <c r="D396" t="s">
        <v>460</v>
      </c>
      <c r="E396" s="3" t="str">
        <f t="array" ref="E396">IF(OR(EXACT(A396,'ESO Dungeon constants'!$D$3:$D$987)),"X","")</f>
        <v/>
      </c>
      <c r="F396" s="3" t="str">
        <f t="shared" si="24"/>
        <v/>
      </c>
      <c r="G396" s="3" t="str">
        <f t="shared" si="25"/>
        <v>Wrothgar</v>
      </c>
      <c r="H396" s="17">
        <f t="shared" si="26"/>
        <v>700</v>
      </c>
      <c r="I396" s="17">
        <f t="shared" si="27"/>
        <v>684</v>
      </c>
      <c r="J396">
        <v>10</v>
      </c>
      <c r="K396" s="3" t="str">
        <f>VLOOKUP(J396,'LibSets constants'!$A$4:$B$1012,2,FALSE)</f>
        <v>DLC_SUMMERSET</v>
      </c>
      <c r="L396" s="3" t="str">
        <f>VLOOKUP(J396,'LibSets constants'!$A$4:$C$1012,3,FALSE)</f>
        <v>Summerset</v>
      </c>
    </row>
    <row r="397" spans="1:12" x14ac:dyDescent="0.25">
      <c r="A397" s="5">
        <v>701</v>
      </c>
      <c r="B397" s="5">
        <v>392</v>
      </c>
      <c r="C397" s="5">
        <v>684</v>
      </c>
      <c r="D397" t="s">
        <v>461</v>
      </c>
      <c r="E397" s="3" t="str">
        <f t="array" ref="E397">IF(OR(EXACT(A397,'ESO Dungeon constants'!$D$3:$D$987)),"X","")</f>
        <v/>
      </c>
      <c r="F397" s="3" t="str">
        <f t="shared" si="24"/>
        <v/>
      </c>
      <c r="G397" s="3" t="str">
        <f t="shared" si="25"/>
        <v>Wrothgar</v>
      </c>
      <c r="H397" s="17">
        <f t="shared" si="26"/>
        <v>701</v>
      </c>
      <c r="I397" s="17">
        <f t="shared" si="27"/>
        <v>684</v>
      </c>
      <c r="J397">
        <v>0</v>
      </c>
      <c r="K397" s="3" t="str">
        <f>VLOOKUP(J397,'LibSets constants'!$A$4:$B$1012,2,FALSE)</f>
        <v>DLC_BASE_GAME</v>
      </c>
      <c r="L397" s="3" t="str">
        <f>VLOOKUP(J397,'LibSets constants'!$A$4:$C$1012,3,FALSE)</f>
        <v>Included in base game</v>
      </c>
    </row>
    <row r="398" spans="1:12" x14ac:dyDescent="0.25">
      <c r="A398" s="5">
        <v>702</v>
      </c>
      <c r="B398" s="5">
        <v>393</v>
      </c>
      <c r="C398" s="5">
        <v>684</v>
      </c>
      <c r="D398" t="s">
        <v>462</v>
      </c>
      <c r="E398" s="3" t="str">
        <f t="array" ref="E398">IF(OR(EXACT(A398,'ESO Dungeon constants'!$D$3:$D$987)),"X","")</f>
        <v/>
      </c>
      <c r="F398" s="3" t="str">
        <f t="shared" si="24"/>
        <v/>
      </c>
      <c r="G398" s="3" t="str">
        <f t="shared" si="25"/>
        <v>Wrothgar</v>
      </c>
      <c r="H398" s="17">
        <f t="shared" si="26"/>
        <v>702</v>
      </c>
      <c r="I398" s="17">
        <f t="shared" si="27"/>
        <v>684</v>
      </c>
      <c r="J398">
        <v>14</v>
      </c>
      <c r="K398" s="3" t="str">
        <f>VLOOKUP(J398,'LibSets constants'!$A$4:$B$1012,2,FALSE)</f>
        <v>DLC_ELSWEYR</v>
      </c>
      <c r="L398" s="3" t="str">
        <f>VLOOKUP(J398,'LibSets constants'!$A$4:$C$1012,3,FALSE)</f>
        <v>Elsweyr</v>
      </c>
    </row>
    <row r="399" spans="1:12" x14ac:dyDescent="0.25">
      <c r="A399" s="5">
        <v>703</v>
      </c>
      <c r="B399" s="5">
        <v>394</v>
      </c>
      <c r="C399" s="5">
        <v>684</v>
      </c>
      <c r="D399" t="s">
        <v>463</v>
      </c>
      <c r="E399" s="3" t="str">
        <f t="array" ref="E399">IF(OR(EXACT(A399,'ESO Dungeon constants'!$D$3:$D$987)),"X","")</f>
        <v/>
      </c>
      <c r="F399" s="3" t="str">
        <f t="shared" si="24"/>
        <v/>
      </c>
      <c r="G399" s="3" t="str">
        <f t="shared" si="25"/>
        <v>Wrothgar</v>
      </c>
      <c r="H399" s="17">
        <f t="shared" si="26"/>
        <v>703</v>
      </c>
      <c r="I399" s="17">
        <f t="shared" si="27"/>
        <v>684</v>
      </c>
      <c r="J399">
        <v>0</v>
      </c>
      <c r="K399" s="3" t="str">
        <f>VLOOKUP(J399,'LibSets constants'!$A$4:$B$1012,2,FALSE)</f>
        <v>DLC_BASE_GAME</v>
      </c>
      <c r="L399" s="3" t="str">
        <f>VLOOKUP(J399,'LibSets constants'!$A$4:$C$1012,3,FALSE)</f>
        <v>Included in base game</v>
      </c>
    </row>
    <row r="400" spans="1:12" x14ac:dyDescent="0.25">
      <c r="A400" s="5">
        <v>704</v>
      </c>
      <c r="B400" s="5">
        <v>395</v>
      </c>
      <c r="C400" s="5">
        <v>684</v>
      </c>
      <c r="D400" t="s">
        <v>464</v>
      </c>
      <c r="E400" s="3" t="str">
        <f t="array" ref="E400">IF(OR(EXACT(A400,'ESO Dungeon constants'!$D$3:$D$987)),"X","")</f>
        <v/>
      </c>
      <c r="F400" s="3" t="str">
        <f t="shared" si="24"/>
        <v/>
      </c>
      <c r="G400" s="3" t="str">
        <f t="shared" si="25"/>
        <v>Wrothgar</v>
      </c>
      <c r="H400" s="17">
        <f t="shared" si="26"/>
        <v>704</v>
      </c>
      <c r="I400" s="17">
        <f t="shared" si="27"/>
        <v>684</v>
      </c>
      <c r="J400">
        <v>0</v>
      </c>
      <c r="K400" s="3" t="str">
        <f>VLOOKUP(J400,'LibSets constants'!$A$4:$B$1012,2,FALSE)</f>
        <v>DLC_BASE_GAME</v>
      </c>
      <c r="L400" s="3" t="str">
        <f>VLOOKUP(J400,'LibSets constants'!$A$4:$C$1012,3,FALSE)</f>
        <v>Included in base game</v>
      </c>
    </row>
    <row r="401" spans="1:12" x14ac:dyDescent="0.25">
      <c r="A401" s="5">
        <v>705</v>
      </c>
      <c r="B401" s="5">
        <v>396</v>
      </c>
      <c r="C401" s="5">
        <v>684</v>
      </c>
      <c r="D401" t="s">
        <v>465</v>
      </c>
      <c r="E401" s="3" t="str">
        <f t="array" ref="E401">IF(OR(EXACT(A401,'ESO Dungeon constants'!$D$3:$D$987)),"X","")</f>
        <v/>
      </c>
      <c r="F401" s="3" t="str">
        <f t="shared" si="24"/>
        <v/>
      </c>
      <c r="G401" s="3" t="str">
        <f t="shared" si="25"/>
        <v>Wrothgar</v>
      </c>
      <c r="H401" s="17">
        <f t="shared" si="26"/>
        <v>705</v>
      </c>
      <c r="I401" s="17">
        <f t="shared" si="27"/>
        <v>684</v>
      </c>
      <c r="J401">
        <v>0</v>
      </c>
      <c r="K401" s="3" t="str">
        <f>VLOOKUP(J401,'LibSets constants'!$A$4:$B$1012,2,FALSE)</f>
        <v>DLC_BASE_GAME</v>
      </c>
      <c r="L401" s="3" t="str">
        <f>VLOOKUP(J401,'LibSets constants'!$A$4:$C$1012,3,FALSE)</f>
        <v>Included in base game</v>
      </c>
    </row>
    <row r="402" spans="1:12" x14ac:dyDescent="0.25">
      <c r="A402" s="5">
        <v>706</v>
      </c>
      <c r="B402" s="5">
        <v>397</v>
      </c>
      <c r="C402" s="5">
        <v>684</v>
      </c>
      <c r="D402" t="s">
        <v>466</v>
      </c>
      <c r="E402" s="3" t="str">
        <f t="array" ref="E402">IF(OR(EXACT(A402,'ESO Dungeon constants'!$D$3:$D$987)),"X","")</f>
        <v/>
      </c>
      <c r="F402" s="3" t="str">
        <f t="shared" si="24"/>
        <v/>
      </c>
      <c r="G402" s="3" t="str">
        <f t="shared" si="25"/>
        <v>Wrothgar</v>
      </c>
      <c r="H402" s="17">
        <f t="shared" si="26"/>
        <v>706</v>
      </c>
      <c r="I402" s="17">
        <f t="shared" si="27"/>
        <v>684</v>
      </c>
      <c r="J402">
        <v>0</v>
      </c>
      <c r="K402" s="3" t="str">
        <f>VLOOKUP(J402,'LibSets constants'!$A$4:$B$1012,2,FALSE)</f>
        <v>DLC_BASE_GAME</v>
      </c>
      <c r="L402" s="3" t="str">
        <f>VLOOKUP(J402,'LibSets constants'!$A$4:$C$1012,3,FALSE)</f>
        <v>Included in base game</v>
      </c>
    </row>
    <row r="403" spans="1:12" x14ac:dyDescent="0.25">
      <c r="A403" s="5">
        <v>707</v>
      </c>
      <c r="B403" s="5">
        <v>398</v>
      </c>
      <c r="C403" s="5">
        <v>684</v>
      </c>
      <c r="D403" t="s">
        <v>467</v>
      </c>
      <c r="E403" s="3" t="str">
        <f t="array" ref="E403">IF(OR(EXACT(A403,'ESO Dungeon constants'!$D$3:$D$987)),"X","")</f>
        <v/>
      </c>
      <c r="F403" s="3" t="str">
        <f t="shared" si="24"/>
        <v/>
      </c>
      <c r="G403" s="3" t="str">
        <f t="shared" si="25"/>
        <v>Wrothgar</v>
      </c>
      <c r="H403" s="17">
        <f t="shared" si="26"/>
        <v>707</v>
      </c>
      <c r="I403" s="17">
        <f t="shared" si="27"/>
        <v>684</v>
      </c>
      <c r="J403">
        <v>0</v>
      </c>
      <c r="K403" s="3" t="str">
        <f>VLOOKUP(J403,'LibSets constants'!$A$4:$B$1012,2,FALSE)</f>
        <v>DLC_BASE_GAME</v>
      </c>
      <c r="L403" s="3" t="str">
        <f>VLOOKUP(J403,'LibSets constants'!$A$4:$C$1012,3,FALSE)</f>
        <v>Included in base game</v>
      </c>
    </row>
    <row r="404" spans="1:12" x14ac:dyDescent="0.25">
      <c r="A404" s="5">
        <v>708</v>
      </c>
      <c r="B404" s="5">
        <v>399</v>
      </c>
      <c r="C404" s="5">
        <v>684</v>
      </c>
      <c r="D404" t="s">
        <v>468</v>
      </c>
      <c r="E404" s="3" t="str">
        <f t="array" ref="E404">IF(OR(EXACT(A404,'ESO Dungeon constants'!$D$3:$D$987)),"X","")</f>
        <v/>
      </c>
      <c r="F404" s="3" t="str">
        <f t="shared" si="24"/>
        <v/>
      </c>
      <c r="G404" s="3" t="str">
        <f t="shared" si="25"/>
        <v>Wrothgar</v>
      </c>
      <c r="H404" s="17">
        <f t="shared" si="26"/>
        <v>708</v>
      </c>
      <c r="I404" s="17">
        <f t="shared" si="27"/>
        <v>684</v>
      </c>
      <c r="J404">
        <v>0</v>
      </c>
      <c r="K404" s="3" t="str">
        <f>VLOOKUP(J404,'LibSets constants'!$A$4:$B$1012,2,FALSE)</f>
        <v>DLC_BASE_GAME</v>
      </c>
      <c r="L404" s="3" t="str">
        <f>VLOOKUP(J404,'LibSets constants'!$A$4:$C$1012,3,FALSE)</f>
        <v>Included in base game</v>
      </c>
    </row>
    <row r="405" spans="1:12" x14ac:dyDescent="0.25">
      <c r="A405" s="5">
        <v>710</v>
      </c>
      <c r="B405" s="5">
        <v>400</v>
      </c>
      <c r="C405" s="5">
        <v>684</v>
      </c>
      <c r="D405" t="s">
        <v>469</v>
      </c>
      <c r="E405" s="3" t="str">
        <f t="array" ref="E405">IF(OR(EXACT(A405,'ESO Dungeon constants'!$D$3:$D$987)),"X","")</f>
        <v/>
      </c>
      <c r="F405" s="3" t="str">
        <f t="shared" si="24"/>
        <v/>
      </c>
      <c r="G405" s="3" t="str">
        <f t="shared" si="25"/>
        <v>Wrothgar</v>
      </c>
      <c r="H405" s="17">
        <f t="shared" si="26"/>
        <v>710</v>
      </c>
      <c r="I405" s="17">
        <f t="shared" si="27"/>
        <v>684</v>
      </c>
      <c r="J405">
        <v>0</v>
      </c>
      <c r="K405" s="3" t="str">
        <f>VLOOKUP(J405,'LibSets constants'!$A$4:$B$1012,2,FALSE)</f>
        <v>DLC_BASE_GAME</v>
      </c>
      <c r="L405" s="3" t="str">
        <f>VLOOKUP(J405,'LibSets constants'!$A$4:$C$1012,3,FALSE)</f>
        <v>Included in base game</v>
      </c>
    </row>
    <row r="406" spans="1:12" x14ac:dyDescent="0.25">
      <c r="A406" s="5">
        <v>711</v>
      </c>
      <c r="B406" s="5">
        <v>401</v>
      </c>
      <c r="C406" s="5">
        <v>684</v>
      </c>
      <c r="D406" t="s">
        <v>470</v>
      </c>
      <c r="E406" s="3" t="str">
        <f t="array" ref="E406">IF(OR(EXACT(A406,'ESO Dungeon constants'!$D$3:$D$987)),"X","")</f>
        <v/>
      </c>
      <c r="F406" s="3" t="str">
        <f t="shared" si="24"/>
        <v/>
      </c>
      <c r="G406" s="3" t="str">
        <f t="shared" si="25"/>
        <v>Wrothgar</v>
      </c>
      <c r="H406" s="17">
        <f t="shared" si="26"/>
        <v>711</v>
      </c>
      <c r="I406" s="17">
        <f t="shared" si="27"/>
        <v>684</v>
      </c>
      <c r="J406">
        <v>0</v>
      </c>
      <c r="K406" s="3" t="str">
        <f>VLOOKUP(J406,'LibSets constants'!$A$4:$B$1012,2,FALSE)</f>
        <v>DLC_BASE_GAME</v>
      </c>
      <c r="L406" s="3" t="str">
        <f>VLOOKUP(J406,'LibSets constants'!$A$4:$C$1012,3,FALSE)</f>
        <v>Included in base game</v>
      </c>
    </row>
    <row r="407" spans="1:12" x14ac:dyDescent="0.25">
      <c r="A407" s="5">
        <v>712</v>
      </c>
      <c r="B407" s="5">
        <v>402</v>
      </c>
      <c r="C407" s="5">
        <v>684</v>
      </c>
      <c r="D407" t="s">
        <v>471</v>
      </c>
      <c r="E407" s="3" t="str">
        <f t="array" ref="E407">IF(OR(EXACT(A407,'ESO Dungeon constants'!$D$3:$D$987)),"X","")</f>
        <v/>
      </c>
      <c r="F407" s="3" t="str">
        <f t="shared" si="24"/>
        <v/>
      </c>
      <c r="G407" s="3" t="str">
        <f t="shared" si="25"/>
        <v>Wrothgar</v>
      </c>
      <c r="H407" s="17">
        <f t="shared" si="26"/>
        <v>712</v>
      </c>
      <c r="I407" s="17">
        <f t="shared" si="27"/>
        <v>684</v>
      </c>
      <c r="J407">
        <v>0</v>
      </c>
      <c r="K407" s="3" t="str">
        <f>VLOOKUP(J407,'LibSets constants'!$A$4:$B$1012,2,FALSE)</f>
        <v>DLC_BASE_GAME</v>
      </c>
      <c r="L407" s="3" t="str">
        <f>VLOOKUP(J407,'LibSets constants'!$A$4:$C$1012,3,FALSE)</f>
        <v>Included in base game</v>
      </c>
    </row>
    <row r="408" spans="1:12" x14ac:dyDescent="0.25">
      <c r="A408" s="5">
        <v>715</v>
      </c>
      <c r="B408" s="5">
        <v>403</v>
      </c>
      <c r="C408" s="5">
        <v>684</v>
      </c>
      <c r="D408" t="s">
        <v>472</v>
      </c>
      <c r="E408" s="3" t="str">
        <f t="array" ref="E408">IF(OR(EXACT(A408,'ESO Dungeon constants'!$D$3:$D$987)),"X","")</f>
        <v/>
      </c>
      <c r="F408" s="3" t="str">
        <f t="shared" si="24"/>
        <v/>
      </c>
      <c r="G408" s="3" t="str">
        <f t="shared" si="25"/>
        <v>Wrothgar</v>
      </c>
      <c r="H408" s="17">
        <f t="shared" si="26"/>
        <v>715</v>
      </c>
      <c r="I408" s="17">
        <f t="shared" si="27"/>
        <v>684</v>
      </c>
      <c r="J408">
        <v>0</v>
      </c>
      <c r="K408" s="3" t="str">
        <f>VLOOKUP(J408,'LibSets constants'!$A$4:$B$1012,2,FALSE)</f>
        <v>DLC_BASE_GAME</v>
      </c>
      <c r="L408" s="3" t="str">
        <f>VLOOKUP(J408,'LibSets constants'!$A$4:$C$1012,3,FALSE)</f>
        <v>Included in base game</v>
      </c>
    </row>
    <row r="409" spans="1:12" x14ac:dyDescent="0.25">
      <c r="A409" s="5">
        <v>719</v>
      </c>
      <c r="B409" s="5">
        <v>404</v>
      </c>
      <c r="C409" s="5">
        <v>1011</v>
      </c>
      <c r="D409" t="s">
        <v>473</v>
      </c>
      <c r="E409" s="3" t="str">
        <f t="array" ref="E409">IF(OR(EXACT(A409,'ESO Dungeon constants'!$D$3:$D$987)),"X","")</f>
        <v/>
      </c>
      <c r="F409" s="3" t="str">
        <f t="shared" si="24"/>
        <v/>
      </c>
      <c r="G409" s="3" t="str">
        <f t="shared" si="25"/>
        <v>Summerset</v>
      </c>
      <c r="H409" s="17">
        <f t="shared" si="26"/>
        <v>719</v>
      </c>
      <c r="I409" s="17">
        <f t="shared" si="27"/>
        <v>1011</v>
      </c>
      <c r="J409">
        <v>0</v>
      </c>
      <c r="K409" s="3" t="str">
        <f>VLOOKUP(J409,'LibSets constants'!$A$4:$B$1012,2,FALSE)</f>
        <v>DLC_BASE_GAME</v>
      </c>
      <c r="L409" s="3" t="str">
        <f>VLOOKUP(J409,'LibSets constants'!$A$4:$C$1012,3,FALSE)</f>
        <v>Included in base game</v>
      </c>
    </row>
    <row r="410" spans="1:12" x14ac:dyDescent="0.25">
      <c r="A410" s="5">
        <v>723</v>
      </c>
      <c r="B410" s="5">
        <v>405</v>
      </c>
      <c r="C410" s="5">
        <v>199</v>
      </c>
      <c r="D410" t="s">
        <v>421</v>
      </c>
      <c r="E410" s="3" t="str">
        <f t="array" ref="E410">IF(OR(EXACT(A410,'ESO Dungeon constants'!$D$3:$D$987)),"X","")</f>
        <v/>
      </c>
      <c r="F410" s="3" t="str">
        <f t="shared" si="24"/>
        <v/>
      </c>
      <c r="G410" s="3" t="str">
        <f t="shared" si="25"/>
        <v>The Harborage</v>
      </c>
      <c r="H410" s="17">
        <f t="shared" si="26"/>
        <v>723</v>
      </c>
      <c r="I410" s="17">
        <f t="shared" si="27"/>
        <v>199</v>
      </c>
      <c r="J410">
        <v>14</v>
      </c>
      <c r="K410" s="3" t="str">
        <f>VLOOKUP(J410,'LibSets constants'!$A$4:$B$1012,2,FALSE)</f>
        <v>DLC_ELSWEYR</v>
      </c>
      <c r="L410" s="3" t="str">
        <f>VLOOKUP(J410,'LibSets constants'!$A$4:$C$1012,3,FALSE)</f>
        <v>Elsweyr</v>
      </c>
    </row>
    <row r="411" spans="1:12" x14ac:dyDescent="0.25">
      <c r="A411" s="5">
        <v>724</v>
      </c>
      <c r="B411" s="5">
        <v>406</v>
      </c>
      <c r="C411" s="5">
        <v>684</v>
      </c>
      <c r="D411" t="s">
        <v>474</v>
      </c>
      <c r="E411" s="3" t="str">
        <f t="array" ref="E411">IF(OR(EXACT(A411,'ESO Dungeon constants'!$D$3:$D$987)),"X","")</f>
        <v/>
      </c>
      <c r="F411" s="3" t="str">
        <f t="shared" si="24"/>
        <v/>
      </c>
      <c r="G411" s="3" t="str">
        <f t="shared" si="25"/>
        <v>Wrothgar</v>
      </c>
      <c r="H411" s="17">
        <f t="shared" si="26"/>
        <v>724</v>
      </c>
      <c r="I411" s="17">
        <f t="shared" si="27"/>
        <v>684</v>
      </c>
      <c r="J411">
        <v>14</v>
      </c>
      <c r="K411" s="3" t="str">
        <f>VLOOKUP(J411,'LibSets constants'!$A$4:$B$1012,2,FALSE)</f>
        <v>DLC_ELSWEYR</v>
      </c>
      <c r="L411" s="3" t="str">
        <f>VLOOKUP(J411,'LibSets constants'!$A$4:$C$1012,3,FALSE)</f>
        <v>Elsweyr</v>
      </c>
    </row>
    <row r="412" spans="1:12" x14ac:dyDescent="0.25">
      <c r="A412" s="5">
        <v>725</v>
      </c>
      <c r="B412" s="5">
        <v>407</v>
      </c>
      <c r="C412" s="5">
        <v>816</v>
      </c>
      <c r="D412" t="s">
        <v>475</v>
      </c>
      <c r="E412" s="3" t="str">
        <f t="array" ref="E412">IF(OR(EXACT(A412,'ESO Dungeon constants'!$D$3:$D$987)),"X","")</f>
        <v>X</v>
      </c>
      <c r="F412" s="3" t="str">
        <f t="shared" si="24"/>
        <v/>
      </c>
      <c r="G412" s="3" t="str">
        <f t="shared" si="25"/>
        <v>Hew's Bane</v>
      </c>
      <c r="H412" s="17">
        <f t="shared" si="26"/>
        <v>725</v>
      </c>
      <c r="I412" s="17">
        <f t="shared" si="27"/>
        <v>816</v>
      </c>
      <c r="J412">
        <v>14</v>
      </c>
      <c r="K412" s="3" t="str">
        <f>VLOOKUP(J412,'LibSets constants'!$A$4:$B$1012,2,FALSE)</f>
        <v>DLC_ELSWEYR</v>
      </c>
      <c r="L412" s="3" t="str">
        <f>VLOOKUP(J412,'LibSets constants'!$A$4:$C$1012,3,FALSE)</f>
        <v>Elsweyr</v>
      </c>
    </row>
    <row r="413" spans="1:12" x14ac:dyDescent="0.25">
      <c r="A413" s="5">
        <v>726</v>
      </c>
      <c r="B413" s="5">
        <v>408</v>
      </c>
      <c r="C413" s="5">
        <v>726</v>
      </c>
      <c r="D413" t="s">
        <v>80</v>
      </c>
      <c r="E413" s="3" t="str">
        <f t="array" ref="E413">IF(OR(EXACT(A413,'ESO Dungeon constants'!$D$3:$D$987)),"X","")</f>
        <v/>
      </c>
      <c r="F413" s="3" t="str">
        <f t="shared" si="24"/>
        <v>X</v>
      </c>
      <c r="G413" s="3" t="str">
        <f t="shared" si="25"/>
        <v/>
      </c>
      <c r="H413" s="17">
        <f t="shared" si="26"/>
        <v>726</v>
      </c>
      <c r="I413" s="17">
        <f t="shared" si="27"/>
        <v>726</v>
      </c>
      <c r="J413">
        <v>14</v>
      </c>
      <c r="K413" s="3" t="str">
        <f>VLOOKUP(J413,'LibSets constants'!$A$4:$B$1012,2,FALSE)</f>
        <v>DLC_ELSWEYR</v>
      </c>
      <c r="L413" s="3" t="str">
        <f>VLOOKUP(J413,'LibSets constants'!$A$4:$C$1012,3,FALSE)</f>
        <v>Elsweyr</v>
      </c>
    </row>
    <row r="414" spans="1:12" x14ac:dyDescent="0.25">
      <c r="A414" s="5">
        <v>745</v>
      </c>
      <c r="B414" s="5">
        <v>409</v>
      </c>
      <c r="C414" s="5">
        <v>41</v>
      </c>
      <c r="D414" t="s">
        <v>476</v>
      </c>
      <c r="E414" s="3" t="str">
        <f t="array" ref="E414">IF(OR(EXACT(A414,'ESO Dungeon constants'!$D$3:$D$987)),"X","")</f>
        <v/>
      </c>
      <c r="F414" s="3" t="str">
        <f t="shared" si="24"/>
        <v/>
      </c>
      <c r="G414" s="3" t="str">
        <f t="shared" si="25"/>
        <v>Stonefalls</v>
      </c>
      <c r="H414" s="17">
        <f t="shared" si="26"/>
        <v>745</v>
      </c>
      <c r="I414" s="17">
        <f t="shared" si="27"/>
        <v>41</v>
      </c>
      <c r="J414">
        <v>14</v>
      </c>
      <c r="K414" s="3" t="str">
        <f>VLOOKUP(J414,'LibSets constants'!$A$4:$B$1012,2,FALSE)</f>
        <v>DLC_ELSWEYR</v>
      </c>
      <c r="L414" s="3" t="str">
        <f>VLOOKUP(J414,'LibSets constants'!$A$4:$C$1012,3,FALSE)</f>
        <v>Elsweyr</v>
      </c>
    </row>
    <row r="415" spans="1:12" x14ac:dyDescent="0.25">
      <c r="A415" s="5">
        <v>746</v>
      </c>
      <c r="B415" s="5">
        <v>410</v>
      </c>
      <c r="C415" s="5">
        <v>381</v>
      </c>
      <c r="D415" t="s">
        <v>477</v>
      </c>
      <c r="E415" s="3" t="str">
        <f t="array" ref="E415">IF(OR(EXACT(A415,'ESO Dungeon constants'!$D$3:$D$987)),"X","")</f>
        <v/>
      </c>
      <c r="F415" s="3" t="str">
        <f t="shared" si="24"/>
        <v/>
      </c>
      <c r="G415" s="3" t="str">
        <f t="shared" si="25"/>
        <v>Auridon</v>
      </c>
      <c r="H415" s="17">
        <f t="shared" si="26"/>
        <v>746</v>
      </c>
      <c r="I415" s="17">
        <f t="shared" si="27"/>
        <v>381</v>
      </c>
      <c r="J415">
        <v>14</v>
      </c>
      <c r="K415" s="3" t="str">
        <f>VLOOKUP(J415,'LibSets constants'!$A$4:$B$1012,2,FALSE)</f>
        <v>DLC_ELSWEYR</v>
      </c>
      <c r="L415" s="3" t="str">
        <f>VLOOKUP(J415,'LibSets constants'!$A$4:$C$1012,3,FALSE)</f>
        <v>Elsweyr</v>
      </c>
    </row>
    <row r="416" spans="1:12" x14ac:dyDescent="0.25">
      <c r="A416" s="5">
        <v>747</v>
      </c>
      <c r="B416" s="5">
        <v>411</v>
      </c>
      <c r="C416" s="5">
        <v>383</v>
      </c>
      <c r="D416" t="s">
        <v>478</v>
      </c>
      <c r="E416" s="3" t="str">
        <f t="array" ref="E416">IF(OR(EXACT(A416,'ESO Dungeon constants'!$D$3:$D$987)),"X","")</f>
        <v/>
      </c>
      <c r="F416" s="3" t="str">
        <f t="shared" si="24"/>
        <v/>
      </c>
      <c r="G416" s="3" t="str">
        <f t="shared" si="25"/>
        <v>Grahtwood</v>
      </c>
      <c r="H416" s="17">
        <f t="shared" si="26"/>
        <v>747</v>
      </c>
      <c r="I416" s="17">
        <f t="shared" si="27"/>
        <v>383</v>
      </c>
      <c r="J416">
        <v>14</v>
      </c>
      <c r="K416" s="3" t="str">
        <f>VLOOKUP(J416,'LibSets constants'!$A$4:$B$1012,2,FALSE)</f>
        <v>DLC_ELSWEYR</v>
      </c>
      <c r="L416" s="3" t="str">
        <f>VLOOKUP(J416,'LibSets constants'!$A$4:$C$1012,3,FALSE)</f>
        <v>Elsweyr</v>
      </c>
    </row>
    <row r="417" spans="1:12" x14ac:dyDescent="0.25">
      <c r="A417" s="5">
        <v>748</v>
      </c>
      <c r="B417" s="5">
        <v>412</v>
      </c>
      <c r="C417" s="5">
        <v>108</v>
      </c>
      <c r="D417" t="s">
        <v>479</v>
      </c>
      <c r="E417" s="3" t="str">
        <f t="array" ref="E417">IF(OR(EXACT(A417,'ESO Dungeon constants'!$D$3:$D$987)),"X","")</f>
        <v/>
      </c>
      <c r="F417" s="3" t="str">
        <f t="shared" si="24"/>
        <v/>
      </c>
      <c r="G417" s="3" t="str">
        <f t="shared" si="25"/>
        <v>Greenshade</v>
      </c>
      <c r="H417" s="17">
        <f t="shared" si="26"/>
        <v>748</v>
      </c>
      <c r="I417" s="17">
        <f t="shared" si="27"/>
        <v>108</v>
      </c>
      <c r="J417">
        <v>14</v>
      </c>
      <c r="K417" s="3" t="str">
        <f>VLOOKUP(J417,'LibSets constants'!$A$4:$B$1012,2,FALSE)</f>
        <v>DLC_ELSWEYR</v>
      </c>
      <c r="L417" s="3" t="str">
        <f>VLOOKUP(J417,'LibSets constants'!$A$4:$C$1012,3,FALSE)</f>
        <v>Elsweyr</v>
      </c>
    </row>
    <row r="418" spans="1:12" x14ac:dyDescent="0.25">
      <c r="A418" s="5">
        <v>749</v>
      </c>
      <c r="B418" s="5">
        <v>413</v>
      </c>
      <c r="C418" s="5">
        <v>58</v>
      </c>
      <c r="D418" t="s">
        <v>480</v>
      </c>
      <c r="E418" s="3" t="str">
        <f t="array" ref="E418">IF(OR(EXACT(A418,'ESO Dungeon constants'!$D$3:$D$987)),"X","")</f>
        <v/>
      </c>
      <c r="F418" s="3" t="str">
        <f t="shared" si="24"/>
        <v/>
      </c>
      <c r="G418" s="3" t="str">
        <f t="shared" si="25"/>
        <v>Malabal Tor</v>
      </c>
      <c r="H418" s="17">
        <f t="shared" si="26"/>
        <v>749</v>
      </c>
      <c r="I418" s="17">
        <f t="shared" si="27"/>
        <v>58</v>
      </c>
      <c r="J418">
        <v>14</v>
      </c>
      <c r="K418" s="3" t="str">
        <f>VLOOKUP(J418,'LibSets constants'!$A$4:$B$1012,2,FALSE)</f>
        <v>DLC_ELSWEYR</v>
      </c>
      <c r="L418" s="3" t="str">
        <f>VLOOKUP(J418,'LibSets constants'!$A$4:$C$1012,3,FALSE)</f>
        <v>Elsweyr</v>
      </c>
    </row>
    <row r="419" spans="1:12" x14ac:dyDescent="0.25">
      <c r="A419" s="5">
        <v>750</v>
      </c>
      <c r="B419" s="5">
        <v>414</v>
      </c>
      <c r="C419" s="5">
        <v>382</v>
      </c>
      <c r="D419" t="s">
        <v>481</v>
      </c>
      <c r="E419" s="3" t="str">
        <f t="array" ref="E419">IF(OR(EXACT(A419,'ESO Dungeon constants'!$D$3:$D$987)),"X","")</f>
        <v/>
      </c>
      <c r="F419" s="3" t="str">
        <f t="shared" si="24"/>
        <v/>
      </c>
      <c r="G419" s="3" t="str">
        <f t="shared" si="25"/>
        <v>Reaper's March</v>
      </c>
      <c r="H419" s="17">
        <f t="shared" si="26"/>
        <v>750</v>
      </c>
      <c r="I419" s="17">
        <f t="shared" si="27"/>
        <v>382</v>
      </c>
      <c r="J419">
        <v>14</v>
      </c>
      <c r="K419" s="3" t="str">
        <f>VLOOKUP(J419,'LibSets constants'!$A$4:$B$1012,2,FALSE)</f>
        <v>DLC_ELSWEYR</v>
      </c>
      <c r="L419" s="3" t="str">
        <f>VLOOKUP(J419,'LibSets constants'!$A$4:$C$1012,3,FALSE)</f>
        <v>Elsweyr</v>
      </c>
    </row>
    <row r="420" spans="1:12" x14ac:dyDescent="0.25">
      <c r="A420" s="5">
        <v>751</v>
      </c>
      <c r="B420" s="5">
        <v>415</v>
      </c>
      <c r="C420" s="5">
        <v>888</v>
      </c>
      <c r="D420" t="s">
        <v>482</v>
      </c>
      <c r="E420" s="3" t="str">
        <f t="array" ref="E420">IF(OR(EXACT(A420,'ESO Dungeon constants'!$D$3:$D$987)),"X","")</f>
        <v/>
      </c>
      <c r="F420" s="3" t="str">
        <f t="shared" si="24"/>
        <v/>
      </c>
      <c r="G420" s="3" t="str">
        <f t="shared" si="25"/>
        <v>Craglorn</v>
      </c>
      <c r="H420" s="17">
        <f t="shared" si="26"/>
        <v>751</v>
      </c>
      <c r="I420" s="17">
        <f t="shared" si="27"/>
        <v>888</v>
      </c>
      <c r="J420">
        <v>14</v>
      </c>
      <c r="K420" s="3" t="str">
        <f>VLOOKUP(J420,'LibSets constants'!$A$4:$B$1012,2,FALSE)</f>
        <v>DLC_ELSWEYR</v>
      </c>
      <c r="L420" s="3" t="str">
        <f>VLOOKUP(J420,'LibSets constants'!$A$4:$C$1012,3,FALSE)</f>
        <v>Elsweyr</v>
      </c>
    </row>
    <row r="421" spans="1:12" x14ac:dyDescent="0.25">
      <c r="A421" s="5">
        <v>752</v>
      </c>
      <c r="B421" s="5">
        <v>416</v>
      </c>
      <c r="C421" s="5">
        <v>19</v>
      </c>
      <c r="D421" t="s">
        <v>483</v>
      </c>
      <c r="E421" s="3" t="str">
        <f t="array" ref="E421">IF(OR(EXACT(A421,'ESO Dungeon constants'!$D$3:$D$987)),"X","")</f>
        <v/>
      </c>
      <c r="F421" s="3" t="str">
        <f t="shared" si="24"/>
        <v/>
      </c>
      <c r="G421" s="3" t="str">
        <f t="shared" si="25"/>
        <v>Stormhaven</v>
      </c>
      <c r="H421" s="17">
        <f t="shared" si="26"/>
        <v>752</v>
      </c>
      <c r="I421" s="17">
        <f t="shared" si="27"/>
        <v>19</v>
      </c>
      <c r="J421">
        <v>14</v>
      </c>
      <c r="K421" s="3" t="str">
        <f>VLOOKUP(J421,'LibSets constants'!$A$4:$B$1012,2,FALSE)</f>
        <v>DLC_ELSWEYR</v>
      </c>
      <c r="L421" s="3" t="str">
        <f>VLOOKUP(J421,'LibSets constants'!$A$4:$C$1012,3,FALSE)</f>
        <v>Elsweyr</v>
      </c>
    </row>
    <row r="422" spans="1:12" x14ac:dyDescent="0.25">
      <c r="A422" s="5">
        <v>753</v>
      </c>
      <c r="B422" s="5">
        <v>417</v>
      </c>
      <c r="C422" s="5">
        <v>3</v>
      </c>
      <c r="D422" t="s">
        <v>484</v>
      </c>
      <c r="E422" s="3" t="str">
        <f t="array" ref="E422">IF(OR(EXACT(A422,'ESO Dungeon constants'!$D$3:$D$987)),"X","")</f>
        <v/>
      </c>
      <c r="F422" s="3" t="str">
        <f t="shared" si="24"/>
        <v/>
      </c>
      <c r="G422" s="3" t="str">
        <f t="shared" si="25"/>
        <v>Glenumbra</v>
      </c>
      <c r="H422" s="17">
        <f t="shared" si="26"/>
        <v>753</v>
      </c>
      <c r="I422" s="17">
        <f t="shared" si="27"/>
        <v>3</v>
      </c>
      <c r="J422">
        <v>14</v>
      </c>
      <c r="K422" s="3" t="str">
        <f>VLOOKUP(J422,'LibSets constants'!$A$4:$B$1012,2,FALSE)</f>
        <v>DLC_ELSWEYR</v>
      </c>
      <c r="L422" s="3" t="str">
        <f>VLOOKUP(J422,'LibSets constants'!$A$4:$C$1012,3,FALSE)</f>
        <v>Elsweyr</v>
      </c>
    </row>
    <row r="423" spans="1:12" x14ac:dyDescent="0.25">
      <c r="A423" s="5">
        <v>754</v>
      </c>
      <c r="B423" s="5">
        <v>418</v>
      </c>
      <c r="C423" s="5">
        <v>92</v>
      </c>
      <c r="D423" t="s">
        <v>485</v>
      </c>
      <c r="E423" s="3" t="str">
        <f t="array" ref="E423">IF(OR(EXACT(A423,'ESO Dungeon constants'!$D$3:$D$987)),"X","")</f>
        <v/>
      </c>
      <c r="F423" s="3" t="str">
        <f t="shared" si="24"/>
        <v/>
      </c>
      <c r="G423" s="3" t="str">
        <f t="shared" si="25"/>
        <v>Bangkorai</v>
      </c>
      <c r="H423" s="17">
        <f t="shared" si="26"/>
        <v>754</v>
      </c>
      <c r="I423" s="17">
        <f t="shared" si="27"/>
        <v>92</v>
      </c>
      <c r="J423">
        <v>15</v>
      </c>
      <c r="K423" s="3" t="str">
        <f>VLOOKUP(J423,'LibSets constants'!$A$4:$B$1012,2,FALSE)</f>
        <v>DLC_SCALEBREAKER</v>
      </c>
      <c r="L423" s="3" t="str">
        <f>VLOOKUP(J423,'LibSets constants'!$A$4:$C$1012,3,FALSE)</f>
        <v>Scalebraker</v>
      </c>
    </row>
    <row r="424" spans="1:12" x14ac:dyDescent="0.25">
      <c r="A424" s="5">
        <v>755</v>
      </c>
      <c r="B424" s="5">
        <v>419</v>
      </c>
      <c r="C424" s="5">
        <v>20</v>
      </c>
      <c r="D424" t="s">
        <v>486</v>
      </c>
      <c r="E424" s="3" t="str">
        <f t="array" ref="E424">IF(OR(EXACT(A424,'ESO Dungeon constants'!$D$3:$D$987)),"X","")</f>
        <v/>
      </c>
      <c r="F424" s="3" t="str">
        <f t="shared" si="24"/>
        <v/>
      </c>
      <c r="G424" s="3" t="str">
        <f t="shared" si="25"/>
        <v>Rivenspire</v>
      </c>
      <c r="H424" s="17">
        <f t="shared" si="26"/>
        <v>755</v>
      </c>
      <c r="I424" s="17">
        <f t="shared" si="27"/>
        <v>20</v>
      </c>
      <c r="J424">
        <v>15</v>
      </c>
      <c r="K424" s="3" t="str">
        <f>VLOOKUP(J424,'LibSets constants'!$A$4:$B$1012,2,FALSE)</f>
        <v>DLC_SCALEBREAKER</v>
      </c>
      <c r="L424" s="3" t="str">
        <f>VLOOKUP(J424,'LibSets constants'!$A$4:$C$1012,3,FALSE)</f>
        <v>Scalebraker</v>
      </c>
    </row>
    <row r="425" spans="1:12" x14ac:dyDescent="0.25">
      <c r="A425" s="5">
        <v>756</v>
      </c>
      <c r="B425" s="5">
        <v>420</v>
      </c>
      <c r="C425" s="5">
        <v>104</v>
      </c>
      <c r="D425" t="s">
        <v>487</v>
      </c>
      <c r="E425" s="3" t="str">
        <f t="array" ref="E425">IF(OR(EXACT(A425,'ESO Dungeon constants'!$D$3:$D$987)),"X","")</f>
        <v/>
      </c>
      <c r="F425" s="3" t="str">
        <f t="shared" si="24"/>
        <v/>
      </c>
      <c r="G425" s="3" t="str">
        <f t="shared" si="25"/>
        <v>Alik'r Desert</v>
      </c>
      <c r="H425" s="17">
        <f t="shared" si="26"/>
        <v>756</v>
      </c>
      <c r="I425" s="17">
        <f t="shared" si="27"/>
        <v>104</v>
      </c>
      <c r="J425">
        <v>0</v>
      </c>
      <c r="K425" s="3" t="str">
        <f>VLOOKUP(J425,'LibSets constants'!$A$4:$B$1012,2,FALSE)</f>
        <v>DLC_BASE_GAME</v>
      </c>
      <c r="L425" s="3" t="str">
        <f>VLOOKUP(J425,'LibSets constants'!$A$4:$C$1012,3,FALSE)</f>
        <v>Included in base game</v>
      </c>
    </row>
    <row r="426" spans="1:12" x14ac:dyDescent="0.25">
      <c r="A426" s="5">
        <v>757</v>
      </c>
      <c r="B426" s="5">
        <v>421</v>
      </c>
      <c r="C426" s="5">
        <v>41</v>
      </c>
      <c r="D426" t="s">
        <v>488</v>
      </c>
      <c r="E426" s="3" t="str">
        <f t="array" ref="E426">IF(OR(EXACT(A426,'ESO Dungeon constants'!$D$3:$D$987)),"X","")</f>
        <v/>
      </c>
      <c r="F426" s="3" t="str">
        <f t="shared" si="24"/>
        <v/>
      </c>
      <c r="G426" s="3" t="str">
        <f t="shared" si="25"/>
        <v>Stonefalls</v>
      </c>
      <c r="H426" s="17">
        <f t="shared" si="26"/>
        <v>757</v>
      </c>
      <c r="I426" s="17">
        <f t="shared" si="27"/>
        <v>41</v>
      </c>
      <c r="J426">
        <v>0</v>
      </c>
      <c r="K426" s="3" t="str">
        <f>VLOOKUP(J426,'LibSets constants'!$A$4:$B$1012,2,FALSE)</f>
        <v>DLC_BASE_GAME</v>
      </c>
      <c r="L426" s="3" t="str">
        <f>VLOOKUP(J426,'LibSets constants'!$A$4:$C$1012,3,FALSE)</f>
        <v>Included in base game</v>
      </c>
    </row>
    <row r="427" spans="1:12" x14ac:dyDescent="0.25">
      <c r="A427" s="5">
        <v>758</v>
      </c>
      <c r="B427" s="5">
        <v>422</v>
      </c>
      <c r="C427" s="5">
        <v>101</v>
      </c>
      <c r="D427" t="s">
        <v>489</v>
      </c>
      <c r="E427" s="3" t="str">
        <f t="array" ref="E427">IF(OR(EXACT(A427,'ESO Dungeon constants'!$D$3:$D$987)),"X","")</f>
        <v/>
      </c>
      <c r="F427" s="3" t="str">
        <f t="shared" si="24"/>
        <v/>
      </c>
      <c r="G427" s="3" t="str">
        <f t="shared" si="25"/>
        <v>Eastmarch</v>
      </c>
      <c r="H427" s="17">
        <f t="shared" si="26"/>
        <v>758</v>
      </c>
      <c r="I427" s="17">
        <f t="shared" si="27"/>
        <v>101</v>
      </c>
      <c r="J427">
        <v>14</v>
      </c>
      <c r="K427" s="3" t="str">
        <f>VLOOKUP(J427,'LibSets constants'!$A$4:$B$1012,2,FALSE)</f>
        <v>DLC_ELSWEYR</v>
      </c>
      <c r="L427" s="3" t="str">
        <f>VLOOKUP(J427,'LibSets constants'!$A$4:$C$1012,3,FALSE)</f>
        <v>Elsweyr</v>
      </c>
    </row>
    <row r="428" spans="1:12" x14ac:dyDescent="0.25">
      <c r="A428" s="5">
        <v>759</v>
      </c>
      <c r="B428" s="5">
        <v>423</v>
      </c>
      <c r="C428" s="5">
        <v>117</v>
      </c>
      <c r="D428" t="s">
        <v>490</v>
      </c>
      <c r="E428" s="3" t="str">
        <f t="array" ref="E428">IF(OR(EXACT(A428,'ESO Dungeon constants'!$D$3:$D$987)),"X","")</f>
        <v/>
      </c>
      <c r="F428" s="3" t="str">
        <f t="shared" si="24"/>
        <v/>
      </c>
      <c r="G428" s="3" t="str">
        <f t="shared" si="25"/>
        <v>Shadowfen</v>
      </c>
      <c r="H428" s="17">
        <f t="shared" si="26"/>
        <v>759</v>
      </c>
      <c r="I428" s="17">
        <f t="shared" si="27"/>
        <v>117</v>
      </c>
      <c r="J428">
        <v>14</v>
      </c>
      <c r="K428" s="3" t="str">
        <f>VLOOKUP(J428,'LibSets constants'!$A$4:$B$1012,2,FALSE)</f>
        <v>DLC_ELSWEYR</v>
      </c>
      <c r="L428" s="3" t="str">
        <f>VLOOKUP(J428,'LibSets constants'!$A$4:$C$1012,3,FALSE)</f>
        <v>Elsweyr</v>
      </c>
    </row>
    <row r="429" spans="1:12" x14ac:dyDescent="0.25">
      <c r="A429" s="5">
        <v>760</v>
      </c>
      <c r="B429" s="5">
        <v>424</v>
      </c>
      <c r="C429" s="5">
        <v>57</v>
      </c>
      <c r="D429" t="s">
        <v>491</v>
      </c>
      <c r="E429" s="3" t="str">
        <f t="array" ref="E429">IF(OR(EXACT(A429,'ESO Dungeon constants'!$D$3:$D$987)),"X","")</f>
        <v/>
      </c>
      <c r="F429" s="3" t="str">
        <f t="shared" si="24"/>
        <v/>
      </c>
      <c r="G429" s="3" t="str">
        <f t="shared" si="25"/>
        <v>Deshaan</v>
      </c>
      <c r="H429" s="17">
        <f t="shared" si="26"/>
        <v>760</v>
      </c>
      <c r="I429" s="17">
        <f t="shared" si="27"/>
        <v>57</v>
      </c>
      <c r="J429">
        <v>14</v>
      </c>
      <c r="K429" s="3" t="str">
        <f>VLOOKUP(J429,'LibSets constants'!$A$4:$B$1012,2,FALSE)</f>
        <v>DLC_ELSWEYR</v>
      </c>
      <c r="L429" s="3" t="str">
        <f>VLOOKUP(J429,'LibSets constants'!$A$4:$C$1012,3,FALSE)</f>
        <v>Elsweyr</v>
      </c>
    </row>
    <row r="430" spans="1:12" x14ac:dyDescent="0.25">
      <c r="A430" s="5">
        <v>761</v>
      </c>
      <c r="B430" s="5">
        <v>425</v>
      </c>
      <c r="C430" s="5">
        <v>103</v>
      </c>
      <c r="D430" t="s">
        <v>492</v>
      </c>
      <c r="E430" s="3" t="str">
        <f t="array" ref="E430">IF(OR(EXACT(A430,'ESO Dungeon constants'!$D$3:$D$987)),"X","")</f>
        <v/>
      </c>
      <c r="F430" s="3" t="str">
        <f t="shared" si="24"/>
        <v/>
      </c>
      <c r="G430" s="3" t="str">
        <f t="shared" si="25"/>
        <v>The Rift</v>
      </c>
      <c r="H430" s="17">
        <f t="shared" si="26"/>
        <v>761</v>
      </c>
      <c r="I430" s="17">
        <f t="shared" si="27"/>
        <v>103</v>
      </c>
      <c r="J430">
        <v>16</v>
      </c>
      <c r="K430" s="3" t="str">
        <f>VLOOKUP(J430,'LibSets constants'!$A$4:$B$1012,2,FALSE)</f>
        <v>DLC_DRAGONHOLD</v>
      </c>
      <c r="L430" s="3" t="str">
        <f>VLOOKUP(J430,'LibSets constants'!$A$4:$C$1012,3,FALSE)</f>
        <v>Dragonhold</v>
      </c>
    </row>
    <row r="431" spans="1:12" x14ac:dyDescent="0.25">
      <c r="A431" s="5">
        <v>763</v>
      </c>
      <c r="B431" s="5">
        <v>426</v>
      </c>
      <c r="C431" s="5">
        <v>816</v>
      </c>
      <c r="D431" t="s">
        <v>493</v>
      </c>
      <c r="E431" s="3" t="str">
        <f t="array" ref="E431">IF(OR(EXACT(A431,'ESO Dungeon constants'!$D$3:$D$987)),"X","")</f>
        <v/>
      </c>
      <c r="F431" s="3" t="str">
        <f t="shared" si="24"/>
        <v/>
      </c>
      <c r="G431" s="3" t="str">
        <f t="shared" si="25"/>
        <v>Hew's Bane</v>
      </c>
      <c r="H431" s="17">
        <f t="shared" si="26"/>
        <v>763</v>
      </c>
      <c r="I431" s="17">
        <f t="shared" si="27"/>
        <v>816</v>
      </c>
      <c r="J431">
        <v>16</v>
      </c>
      <c r="K431" s="3" t="str">
        <f>VLOOKUP(J431,'LibSets constants'!$A$4:$B$1012,2,FALSE)</f>
        <v>DLC_DRAGONHOLD</v>
      </c>
      <c r="L431" s="3" t="str">
        <f>VLOOKUP(J431,'LibSets constants'!$A$4:$C$1012,3,FALSE)</f>
        <v>Dragonhold</v>
      </c>
    </row>
    <row r="432" spans="1:12" x14ac:dyDescent="0.25">
      <c r="A432" s="5">
        <v>764</v>
      </c>
      <c r="B432" s="5">
        <v>427</v>
      </c>
      <c r="C432" s="5">
        <v>816</v>
      </c>
      <c r="D432" t="s">
        <v>494</v>
      </c>
      <c r="E432" s="3" t="str">
        <f t="array" ref="E432">IF(OR(EXACT(A432,'ESO Dungeon constants'!$D$3:$D$987)),"X","")</f>
        <v/>
      </c>
      <c r="F432" s="3" t="str">
        <f t="shared" si="24"/>
        <v/>
      </c>
      <c r="G432" s="3" t="str">
        <f t="shared" si="25"/>
        <v>Hew's Bane</v>
      </c>
      <c r="H432" s="17">
        <f t="shared" si="26"/>
        <v>764</v>
      </c>
      <c r="I432" s="17">
        <f t="shared" si="27"/>
        <v>816</v>
      </c>
      <c r="J432">
        <v>16</v>
      </c>
      <c r="K432" s="3" t="str">
        <f>VLOOKUP(J432,'LibSets constants'!$A$4:$B$1012,2,FALSE)</f>
        <v>DLC_DRAGONHOLD</v>
      </c>
      <c r="L432" s="3" t="str">
        <f>VLOOKUP(J432,'LibSets constants'!$A$4:$C$1012,3,FALSE)</f>
        <v>Dragonhold</v>
      </c>
    </row>
    <row r="433" spans="1:12" x14ac:dyDescent="0.25">
      <c r="A433" s="5">
        <v>765</v>
      </c>
      <c r="B433" s="5">
        <v>428</v>
      </c>
      <c r="C433" s="5">
        <v>823</v>
      </c>
      <c r="D433" t="s">
        <v>495</v>
      </c>
      <c r="E433" s="3" t="str">
        <f t="array" ref="E433">IF(OR(EXACT(A433,'ESO Dungeon constants'!$D$3:$D$987)),"X","")</f>
        <v/>
      </c>
      <c r="F433" s="3" t="str">
        <f t="shared" si="24"/>
        <v/>
      </c>
      <c r="G433" s="3" t="str">
        <f t="shared" si="25"/>
        <v>Gold Coast</v>
      </c>
      <c r="H433" s="17">
        <f t="shared" si="26"/>
        <v>765</v>
      </c>
      <c r="I433" s="17">
        <f t="shared" si="27"/>
        <v>823</v>
      </c>
      <c r="J433">
        <v>16</v>
      </c>
      <c r="K433" s="3" t="str">
        <f>VLOOKUP(J433,'LibSets constants'!$A$4:$B$1012,2,FALSE)</f>
        <v>DLC_DRAGONHOLD</v>
      </c>
      <c r="L433" s="3" t="str">
        <f>VLOOKUP(J433,'LibSets constants'!$A$4:$C$1012,3,FALSE)</f>
        <v>Dragonhold</v>
      </c>
    </row>
    <row r="434" spans="1:12" x14ac:dyDescent="0.25">
      <c r="A434" s="5">
        <v>766</v>
      </c>
      <c r="B434" s="5">
        <v>429</v>
      </c>
      <c r="C434" s="5">
        <v>823</v>
      </c>
      <c r="D434" t="s">
        <v>496</v>
      </c>
      <c r="E434" s="3" t="str">
        <f t="array" ref="E434">IF(OR(EXACT(A434,'ESO Dungeon constants'!$D$3:$D$987)),"X","")</f>
        <v/>
      </c>
      <c r="F434" s="3" t="str">
        <f t="shared" si="24"/>
        <v/>
      </c>
      <c r="G434" s="3" t="str">
        <f t="shared" si="25"/>
        <v>Gold Coast</v>
      </c>
      <c r="H434" s="17">
        <f t="shared" si="26"/>
        <v>766</v>
      </c>
      <c r="I434" s="17">
        <f t="shared" si="27"/>
        <v>823</v>
      </c>
      <c r="J434">
        <v>16</v>
      </c>
      <c r="K434" s="3" t="str">
        <f>VLOOKUP(J434,'LibSets constants'!$A$4:$B$1012,2,FALSE)</f>
        <v>DLC_DRAGONHOLD</v>
      </c>
      <c r="L434" s="3" t="str">
        <f>VLOOKUP(J434,'LibSets constants'!$A$4:$C$1012,3,FALSE)</f>
        <v>Dragonhold</v>
      </c>
    </row>
    <row r="435" spans="1:12" x14ac:dyDescent="0.25">
      <c r="A435" s="5">
        <v>767</v>
      </c>
      <c r="B435" s="5">
        <v>430</v>
      </c>
      <c r="C435" s="5">
        <v>816</v>
      </c>
      <c r="D435" t="s">
        <v>497</v>
      </c>
      <c r="E435" s="3" t="str">
        <f t="array" ref="E435">IF(OR(EXACT(A435,'ESO Dungeon constants'!$D$3:$D$987)),"X","")</f>
        <v/>
      </c>
      <c r="F435" s="3" t="str">
        <f t="shared" si="24"/>
        <v/>
      </c>
      <c r="G435" s="3" t="str">
        <f t="shared" si="25"/>
        <v>Hew's Bane</v>
      </c>
      <c r="H435" s="17">
        <f t="shared" si="26"/>
        <v>767</v>
      </c>
      <c r="I435" s="17">
        <f t="shared" si="27"/>
        <v>816</v>
      </c>
      <c r="J435">
        <v>16</v>
      </c>
      <c r="K435" s="3" t="str">
        <f>VLOOKUP(J435,'LibSets constants'!$A$4:$B$1012,2,FALSE)</f>
        <v>DLC_DRAGONHOLD</v>
      </c>
      <c r="L435" s="3" t="str">
        <f>VLOOKUP(J435,'LibSets constants'!$A$4:$C$1012,3,FALSE)</f>
        <v>Dragonhold</v>
      </c>
    </row>
    <row r="436" spans="1:12" x14ac:dyDescent="0.25">
      <c r="A436" s="5">
        <v>769</v>
      </c>
      <c r="B436" s="5">
        <v>431</v>
      </c>
      <c r="C436" s="5">
        <v>823</v>
      </c>
      <c r="D436" t="s">
        <v>498</v>
      </c>
      <c r="E436" s="3" t="str">
        <f t="array" ref="E436">IF(OR(EXACT(A436,'ESO Dungeon constants'!$D$3:$D$987)),"X","")</f>
        <v/>
      </c>
      <c r="F436" s="3" t="str">
        <f t="shared" si="24"/>
        <v/>
      </c>
      <c r="G436" s="3" t="str">
        <f t="shared" si="25"/>
        <v>Gold Coast</v>
      </c>
      <c r="H436" s="17">
        <f t="shared" si="26"/>
        <v>769</v>
      </c>
      <c r="I436" s="17">
        <f t="shared" si="27"/>
        <v>823</v>
      </c>
      <c r="J436">
        <v>0</v>
      </c>
      <c r="K436" s="3" t="str">
        <f>VLOOKUP(J436,'LibSets constants'!$A$4:$B$1012,2,FALSE)</f>
        <v>DLC_BASE_GAME</v>
      </c>
      <c r="L436" s="3" t="str">
        <f>VLOOKUP(J436,'LibSets constants'!$A$4:$C$1012,3,FALSE)</f>
        <v>Included in base game</v>
      </c>
    </row>
    <row r="437" spans="1:12" x14ac:dyDescent="0.25">
      <c r="A437" s="5">
        <v>770</v>
      </c>
      <c r="B437" s="5">
        <v>432</v>
      </c>
      <c r="C437" s="5">
        <v>816</v>
      </c>
      <c r="D437" t="s">
        <v>499</v>
      </c>
      <c r="E437" s="3" t="str">
        <f t="array" ref="E437">IF(OR(EXACT(A437,'ESO Dungeon constants'!$D$3:$D$987)),"X","")</f>
        <v/>
      </c>
      <c r="F437" s="3" t="str">
        <f t="shared" si="24"/>
        <v/>
      </c>
      <c r="G437" s="3" t="str">
        <f t="shared" si="25"/>
        <v>Hew's Bane</v>
      </c>
      <c r="H437" s="17">
        <f t="shared" si="26"/>
        <v>770</v>
      </c>
      <c r="I437" s="17">
        <f t="shared" si="27"/>
        <v>816</v>
      </c>
      <c r="J437">
        <v>0</v>
      </c>
      <c r="K437" s="3" t="str">
        <f>VLOOKUP(J437,'LibSets constants'!$A$4:$B$1012,2,FALSE)</f>
        <v>DLC_BASE_GAME</v>
      </c>
      <c r="L437" s="3" t="str">
        <f>VLOOKUP(J437,'LibSets constants'!$A$4:$C$1012,3,FALSE)</f>
        <v>Included in base game</v>
      </c>
    </row>
    <row r="438" spans="1:12" x14ac:dyDescent="0.25">
      <c r="A438" s="5">
        <v>771</v>
      </c>
      <c r="B438" s="5">
        <v>433</v>
      </c>
      <c r="C438" s="5">
        <v>816</v>
      </c>
      <c r="D438" t="s">
        <v>500</v>
      </c>
      <c r="E438" s="3" t="str">
        <f t="array" ref="E438">IF(OR(EXACT(A438,'ESO Dungeon constants'!$D$3:$D$987)),"X","")</f>
        <v/>
      </c>
      <c r="F438" s="3" t="str">
        <f t="shared" si="24"/>
        <v/>
      </c>
      <c r="G438" s="3" t="str">
        <f t="shared" si="25"/>
        <v>Hew's Bane</v>
      </c>
      <c r="H438" s="17">
        <f t="shared" si="26"/>
        <v>771</v>
      </c>
      <c r="I438" s="17">
        <f t="shared" si="27"/>
        <v>816</v>
      </c>
      <c r="J438">
        <v>0</v>
      </c>
      <c r="K438" s="3" t="str">
        <f>VLOOKUP(J438,'LibSets constants'!$A$4:$B$1012,2,FALSE)</f>
        <v>DLC_BASE_GAME</v>
      </c>
      <c r="L438" s="3" t="str">
        <f>VLOOKUP(J438,'LibSets constants'!$A$4:$C$1012,3,FALSE)</f>
        <v>Included in base game</v>
      </c>
    </row>
    <row r="439" spans="1:12" x14ac:dyDescent="0.25">
      <c r="A439" s="5">
        <v>773</v>
      </c>
      <c r="B439" s="5">
        <v>434</v>
      </c>
      <c r="C439" s="5">
        <v>117</v>
      </c>
      <c r="D439" t="s">
        <v>501</v>
      </c>
      <c r="E439" s="3" t="str">
        <f t="array" ref="E439">IF(OR(EXACT(A439,'ESO Dungeon constants'!$D$3:$D$987)),"X","")</f>
        <v/>
      </c>
      <c r="F439" s="3" t="str">
        <f t="shared" si="24"/>
        <v/>
      </c>
      <c r="G439" s="3" t="str">
        <f t="shared" si="25"/>
        <v>Shadowfen</v>
      </c>
      <c r="H439" s="17">
        <f t="shared" si="26"/>
        <v>773</v>
      </c>
      <c r="I439" s="17">
        <f t="shared" si="27"/>
        <v>117</v>
      </c>
      <c r="J439">
        <v>16</v>
      </c>
      <c r="K439" s="3" t="str">
        <f>VLOOKUP(J439,'LibSets constants'!$A$4:$B$1012,2,FALSE)</f>
        <v>DLC_DRAGONHOLD</v>
      </c>
      <c r="L439" s="3" t="str">
        <f>VLOOKUP(J439,'LibSets constants'!$A$4:$C$1012,3,FALSE)</f>
        <v>Dragonhold</v>
      </c>
    </row>
    <row r="440" spans="1:12" x14ac:dyDescent="0.25">
      <c r="A440" s="5">
        <v>774</v>
      </c>
      <c r="B440" s="5">
        <v>435</v>
      </c>
      <c r="C440" s="5">
        <v>1086</v>
      </c>
      <c r="D440" t="s">
        <v>1413</v>
      </c>
      <c r="E440" s="3" t="str">
        <f t="array" ref="E440">IF(OR(EXACT(A440,'ESO Dungeon constants'!$D$3:$D$987)),"X","")</f>
        <v/>
      </c>
      <c r="F440" s="3" t="str">
        <f t="shared" si="24"/>
        <v/>
      </c>
      <c r="G440" s="3" t="str">
        <f t="shared" si="25"/>
        <v>Northern Elsweyr</v>
      </c>
      <c r="H440" s="17">
        <f t="shared" si="26"/>
        <v>774</v>
      </c>
      <c r="I440" s="17">
        <f t="shared" si="27"/>
        <v>1086</v>
      </c>
      <c r="J440">
        <v>16</v>
      </c>
      <c r="K440" s="3" t="str">
        <f>VLOOKUP(J440,'LibSets constants'!$A$4:$B$1012,2,FALSE)</f>
        <v>DLC_DRAGONHOLD</v>
      </c>
      <c r="L440" s="3" t="str">
        <f>VLOOKUP(J440,'LibSets constants'!$A$4:$C$1012,3,FALSE)</f>
        <v>Dragonhold</v>
      </c>
    </row>
    <row r="441" spans="1:12" x14ac:dyDescent="0.25">
      <c r="A441" s="5">
        <v>780</v>
      </c>
      <c r="B441" s="5">
        <v>436</v>
      </c>
      <c r="C441" s="5">
        <v>684</v>
      </c>
      <c r="D441" t="s">
        <v>502</v>
      </c>
      <c r="E441" s="3" t="str">
        <f t="array" ref="E441">IF(OR(EXACT(A441,'ESO Dungeon constants'!$D$3:$D$987)),"X","")</f>
        <v/>
      </c>
      <c r="F441" s="3" t="str">
        <f t="shared" si="24"/>
        <v/>
      </c>
      <c r="G441" s="3" t="str">
        <f t="shared" si="25"/>
        <v>Wrothgar</v>
      </c>
      <c r="H441" s="17">
        <f t="shared" si="26"/>
        <v>780</v>
      </c>
      <c r="I441" s="17">
        <f t="shared" si="27"/>
        <v>684</v>
      </c>
      <c r="J441">
        <v>17</v>
      </c>
      <c r="K441" s="3" t="str">
        <f>VLOOKUP(J441,'LibSets constants'!$A$4:$B$1012,2,FALSE)</f>
        <v>DLC_HARROWSTORM</v>
      </c>
      <c r="L441" s="3" t="str">
        <f>VLOOKUP(J441,'LibSets constants'!$A$4:$C$1012,3,FALSE)</f>
        <v>Harrowstorm</v>
      </c>
    </row>
    <row r="442" spans="1:12" x14ac:dyDescent="0.25">
      <c r="A442" s="5">
        <v>808</v>
      </c>
      <c r="B442" s="5">
        <v>437</v>
      </c>
      <c r="C442" s="5">
        <v>1160</v>
      </c>
      <c r="D442" t="s">
        <v>1710</v>
      </c>
      <c r="E442" s="3" t="str">
        <f t="array" ref="E442">IF(OR(EXACT(A442,'ESO Dungeon constants'!$D$3:$D$987)),"X","")</f>
        <v/>
      </c>
      <c r="F442" s="3" t="str">
        <f t="shared" si="24"/>
        <v/>
      </c>
      <c r="G442" s="3" t="str">
        <f t="shared" si="25"/>
        <v>Western Skyrim</v>
      </c>
      <c r="H442" s="17">
        <f t="shared" si="26"/>
        <v>808</v>
      </c>
      <c r="I442" s="17">
        <f t="shared" si="27"/>
        <v>1160</v>
      </c>
      <c r="J442">
        <v>18</v>
      </c>
      <c r="K442" s="3" t="str">
        <f>VLOOKUP(J442,'LibSets constants'!$A$4:$B$1012,2,FALSE)</f>
        <v>DLC_GREYMOOR</v>
      </c>
      <c r="L442" s="3" t="str">
        <f>VLOOKUP(J442,'LibSets constants'!$A$4:$C$1012,3,FALSE)</f>
        <v>Greymoor</v>
      </c>
    </row>
    <row r="443" spans="1:12" x14ac:dyDescent="0.25">
      <c r="A443" s="5">
        <v>809</v>
      </c>
      <c r="B443" s="5">
        <v>438</v>
      </c>
      <c r="C443" s="5">
        <v>199</v>
      </c>
      <c r="D443" t="s">
        <v>424</v>
      </c>
      <c r="E443" s="3" t="str">
        <f t="array" ref="E443">IF(OR(EXACT(A443,'ESO Dungeon constants'!$D$3:$D$987)),"X","")</f>
        <v/>
      </c>
      <c r="F443" s="3" t="str">
        <f t="shared" si="24"/>
        <v/>
      </c>
      <c r="G443" s="3" t="str">
        <f t="shared" si="25"/>
        <v>The Harborage</v>
      </c>
      <c r="H443" s="17">
        <f t="shared" si="26"/>
        <v>809</v>
      </c>
      <c r="I443" s="17">
        <f t="shared" si="27"/>
        <v>199</v>
      </c>
      <c r="J443">
        <v>0</v>
      </c>
      <c r="K443" s="3" t="str">
        <f>VLOOKUP(J443,'LibSets constants'!$A$4:$B$1012,2,FALSE)</f>
        <v>DLC_BASE_GAME</v>
      </c>
      <c r="L443" s="3" t="str">
        <f>VLOOKUP(J443,'LibSets constants'!$A$4:$C$1012,3,FALSE)</f>
        <v>Included in base game</v>
      </c>
    </row>
    <row r="444" spans="1:12" x14ac:dyDescent="0.25">
      <c r="A444" s="5">
        <v>810</v>
      </c>
      <c r="B444" s="5">
        <v>439</v>
      </c>
      <c r="C444" s="5">
        <v>381</v>
      </c>
      <c r="D444" t="s">
        <v>503</v>
      </c>
      <c r="E444" s="3" t="str">
        <f t="array" ref="E444">IF(OR(EXACT(A444,'ESO Dungeon constants'!$D$3:$D$987)),"X","")</f>
        <v/>
      </c>
      <c r="F444" s="3" t="str">
        <f t="shared" si="24"/>
        <v/>
      </c>
      <c r="G444" s="3" t="str">
        <f t="shared" si="25"/>
        <v>Auridon</v>
      </c>
      <c r="H444" s="17">
        <f t="shared" si="26"/>
        <v>810</v>
      </c>
      <c r="I444" s="17">
        <f t="shared" si="27"/>
        <v>381</v>
      </c>
      <c r="J444">
        <v>0</v>
      </c>
      <c r="K444" s="3" t="str">
        <f>VLOOKUP(J444,'LibSets constants'!$A$4:$B$1012,2,FALSE)</f>
        <v>DLC_BASE_GAME</v>
      </c>
      <c r="L444" s="3" t="str">
        <f>VLOOKUP(J444,'LibSets constants'!$A$4:$C$1012,3,FALSE)</f>
        <v>Included in base game</v>
      </c>
    </row>
    <row r="445" spans="1:12" x14ac:dyDescent="0.25">
      <c r="A445" s="5">
        <v>811</v>
      </c>
      <c r="B445" s="5">
        <v>440</v>
      </c>
      <c r="C445" s="5">
        <v>535</v>
      </c>
      <c r="D445" t="s">
        <v>504</v>
      </c>
      <c r="E445" s="3" t="str">
        <f t="array" ref="E445">IF(OR(EXACT(A445,'ESO Dungeon constants'!$D$3:$D$987)),"X","")</f>
        <v/>
      </c>
      <c r="F445" s="3" t="str">
        <f t="shared" si="24"/>
        <v/>
      </c>
      <c r="G445" s="3" t="str">
        <f t="shared" si="25"/>
        <v>Betnikh</v>
      </c>
      <c r="H445" s="17">
        <f t="shared" si="26"/>
        <v>811</v>
      </c>
      <c r="I445" s="17">
        <f t="shared" si="27"/>
        <v>535</v>
      </c>
      <c r="J445">
        <v>0</v>
      </c>
      <c r="K445" s="3" t="str">
        <f>VLOOKUP(J445,'LibSets constants'!$A$4:$B$1012,2,FALSE)</f>
        <v>DLC_BASE_GAME</v>
      </c>
      <c r="L445" s="3" t="str">
        <f>VLOOKUP(J445,'LibSets constants'!$A$4:$C$1012,3,FALSE)</f>
        <v>Included in base game</v>
      </c>
    </row>
    <row r="446" spans="1:12" x14ac:dyDescent="0.25">
      <c r="A446" s="5">
        <v>814</v>
      </c>
      <c r="B446" s="5">
        <v>441</v>
      </c>
      <c r="C446" s="5">
        <v>684</v>
      </c>
      <c r="D446" t="s">
        <v>505</v>
      </c>
      <c r="E446" s="3" t="str">
        <f t="array" ref="E446">IF(OR(EXACT(A446,'ESO Dungeon constants'!$D$3:$D$987)),"X","")</f>
        <v/>
      </c>
      <c r="F446" s="3" t="str">
        <f t="shared" si="24"/>
        <v/>
      </c>
      <c r="G446" s="3" t="str">
        <f t="shared" si="25"/>
        <v>Wrothgar</v>
      </c>
      <c r="H446" s="17">
        <f t="shared" si="26"/>
        <v>814</v>
      </c>
      <c r="I446" s="17">
        <f t="shared" si="27"/>
        <v>684</v>
      </c>
      <c r="J446">
        <v>16</v>
      </c>
      <c r="K446" s="3" t="str">
        <f>VLOOKUP(J446,'LibSets constants'!$A$4:$B$1012,2,FALSE)</f>
        <v>DLC_DRAGONHOLD</v>
      </c>
      <c r="L446" s="3" t="str">
        <f>VLOOKUP(J446,'LibSets constants'!$A$4:$C$1012,3,FALSE)</f>
        <v>Dragonhold</v>
      </c>
    </row>
    <row r="447" spans="1:12" x14ac:dyDescent="0.25">
      <c r="A447" s="5">
        <v>815</v>
      </c>
      <c r="B447" s="5">
        <v>442</v>
      </c>
      <c r="C447" s="5">
        <v>684</v>
      </c>
      <c r="D447" t="s">
        <v>506</v>
      </c>
      <c r="E447" s="3" t="str">
        <f t="array" ref="E447">IF(OR(EXACT(A447,'ESO Dungeon constants'!$D$3:$D$987)),"X","")</f>
        <v/>
      </c>
      <c r="F447" s="3" t="str">
        <f t="shared" si="24"/>
        <v/>
      </c>
      <c r="G447" s="3" t="str">
        <f t="shared" si="25"/>
        <v>Wrothgar</v>
      </c>
      <c r="H447" s="17">
        <f t="shared" si="26"/>
        <v>815</v>
      </c>
      <c r="I447" s="17">
        <f t="shared" si="27"/>
        <v>684</v>
      </c>
      <c r="J447">
        <v>18</v>
      </c>
      <c r="K447" s="3" t="str">
        <f>VLOOKUP(J447,'LibSets constants'!$A$4:$B$1012,2,FALSE)</f>
        <v>DLC_GREYMOOR</v>
      </c>
      <c r="L447" s="3" t="str">
        <f>VLOOKUP(J447,'LibSets constants'!$A$4:$C$1012,3,FALSE)</f>
        <v>Greymoor</v>
      </c>
    </row>
    <row r="448" spans="1:12" x14ac:dyDescent="0.25">
      <c r="A448" s="5">
        <v>816</v>
      </c>
      <c r="B448" s="5">
        <v>443</v>
      </c>
      <c r="C448" s="5">
        <v>816</v>
      </c>
      <c r="D448" t="s">
        <v>507</v>
      </c>
      <c r="E448" s="3" t="str">
        <f t="array" ref="E448">IF(OR(EXACT(A448,'ESO Dungeon constants'!$D$3:$D$987)),"X","")</f>
        <v/>
      </c>
      <c r="F448" s="3" t="str">
        <f t="shared" si="24"/>
        <v>X</v>
      </c>
      <c r="G448" s="3" t="str">
        <f t="shared" si="25"/>
        <v/>
      </c>
      <c r="H448" s="17">
        <f t="shared" si="26"/>
        <v>816</v>
      </c>
      <c r="I448" s="17">
        <f t="shared" si="27"/>
        <v>816</v>
      </c>
      <c r="J448">
        <v>18</v>
      </c>
      <c r="K448" s="3" t="str">
        <f>VLOOKUP(J448,'LibSets constants'!$A$4:$B$1012,2,FALSE)</f>
        <v>DLC_GREYMOOR</v>
      </c>
      <c r="L448" s="3" t="str">
        <f>VLOOKUP(J448,'LibSets constants'!$A$4:$C$1012,3,FALSE)</f>
        <v>Greymoor</v>
      </c>
    </row>
    <row r="449" spans="1:12" x14ac:dyDescent="0.25">
      <c r="A449" s="5">
        <v>817</v>
      </c>
      <c r="B449" s="5">
        <v>444</v>
      </c>
      <c r="C449" s="5">
        <v>816</v>
      </c>
      <c r="D449" t="s">
        <v>508</v>
      </c>
      <c r="E449" s="3" t="str">
        <f t="array" ref="E449">IF(OR(EXACT(A449,'ESO Dungeon constants'!$D$3:$D$987)),"X","")</f>
        <v/>
      </c>
      <c r="F449" s="3" t="str">
        <f t="shared" si="24"/>
        <v/>
      </c>
      <c r="G449" s="3" t="str">
        <f t="shared" si="25"/>
        <v>Hew's Bane</v>
      </c>
      <c r="H449" s="17">
        <f t="shared" si="26"/>
        <v>817</v>
      </c>
      <c r="I449" s="17">
        <f t="shared" si="27"/>
        <v>816</v>
      </c>
      <c r="J449">
        <v>19</v>
      </c>
      <c r="K449" s="3" t="str">
        <f>VLOOKUP(J449,'LibSets constants'!$A$4:$B$1012,2,FALSE)</f>
        <v>DLC_STONETHORN</v>
      </c>
      <c r="L449" s="3" t="str">
        <f>VLOOKUP(J449,'LibSets constants'!$A$4:$C$1012,3,FALSE)</f>
        <v>Stonethorn</v>
      </c>
    </row>
    <row r="450" spans="1:12" x14ac:dyDescent="0.25">
      <c r="A450" s="5">
        <v>818</v>
      </c>
      <c r="B450" s="5">
        <v>445</v>
      </c>
      <c r="C450" s="5">
        <v>816</v>
      </c>
      <c r="D450" t="s">
        <v>509</v>
      </c>
      <c r="E450" s="3" t="str">
        <f t="array" ref="E450">IF(OR(EXACT(A450,'ESO Dungeon constants'!$D$3:$D$987)),"X","")</f>
        <v/>
      </c>
      <c r="F450" s="3" t="str">
        <f t="shared" si="24"/>
        <v/>
      </c>
      <c r="G450" s="3" t="str">
        <f t="shared" si="25"/>
        <v>Hew's Bane</v>
      </c>
      <c r="H450" s="17">
        <f t="shared" si="26"/>
        <v>818</v>
      </c>
      <c r="I450" s="17">
        <f t="shared" si="27"/>
        <v>816</v>
      </c>
      <c r="J450">
        <v>2</v>
      </c>
      <c r="K450" s="3" t="str">
        <f>VLOOKUP(J450,'LibSets constants'!$A$4:$B$1012,2,FALSE)</f>
        <v>DLC_ORSINIUM</v>
      </c>
      <c r="L450" s="3" t="str">
        <f>VLOOKUP(J450,'LibSets constants'!$A$4:$C$1012,3,FALSE)</f>
        <v>Orsinium</v>
      </c>
    </row>
    <row r="451" spans="1:12" x14ac:dyDescent="0.25">
      <c r="A451" s="5">
        <v>819</v>
      </c>
      <c r="B451" s="5">
        <v>446</v>
      </c>
      <c r="C451" s="5">
        <v>816</v>
      </c>
      <c r="D451" t="s">
        <v>510</v>
      </c>
      <c r="E451" s="3" t="str">
        <f t="array" ref="E451">IF(OR(EXACT(A451,'ESO Dungeon constants'!$D$3:$D$987)),"X","")</f>
        <v/>
      </c>
      <c r="F451" s="3" t="str">
        <f t="shared" si="24"/>
        <v/>
      </c>
      <c r="G451" s="3" t="str">
        <f t="shared" si="25"/>
        <v>Hew's Bane</v>
      </c>
      <c r="H451" s="17">
        <f t="shared" si="26"/>
        <v>819</v>
      </c>
      <c r="I451" s="17">
        <f t="shared" si="27"/>
        <v>816</v>
      </c>
      <c r="J451">
        <v>0</v>
      </c>
      <c r="K451" s="3" t="str">
        <f>VLOOKUP(J451,'LibSets constants'!$A$4:$B$1012,2,FALSE)</f>
        <v>DLC_BASE_GAME</v>
      </c>
      <c r="L451" s="3" t="str">
        <f>VLOOKUP(J451,'LibSets constants'!$A$4:$C$1012,3,FALSE)</f>
        <v>Included in base game</v>
      </c>
    </row>
    <row r="452" spans="1:12" x14ac:dyDescent="0.25">
      <c r="A452" s="5">
        <v>820</v>
      </c>
      <c r="B452" s="5">
        <v>447</v>
      </c>
      <c r="C452" s="5">
        <v>816</v>
      </c>
      <c r="D452" t="s">
        <v>511</v>
      </c>
      <c r="E452" s="3" t="str">
        <f t="array" ref="E452">IF(OR(EXACT(A452,'ESO Dungeon constants'!$D$3:$D$987)),"X","")</f>
        <v/>
      </c>
      <c r="F452" s="3" t="str">
        <f t="shared" si="24"/>
        <v/>
      </c>
      <c r="G452" s="3" t="str">
        <f t="shared" si="25"/>
        <v>Hew's Bane</v>
      </c>
      <c r="H452" s="17">
        <f t="shared" si="26"/>
        <v>820</v>
      </c>
      <c r="I452" s="17">
        <f t="shared" si="27"/>
        <v>816</v>
      </c>
      <c r="J452">
        <v>19</v>
      </c>
      <c r="K452" s="3" t="str">
        <f>VLOOKUP(J452,'LibSets constants'!$A$4:$B$1012,2,FALSE)</f>
        <v>DLC_STONETHORN</v>
      </c>
      <c r="L452" s="3" t="str">
        <f>VLOOKUP(J452,'LibSets constants'!$A$4:$C$1012,3,FALSE)</f>
        <v>Stonethorn</v>
      </c>
    </row>
    <row r="453" spans="1:12" x14ac:dyDescent="0.25">
      <c r="A453" s="5">
        <v>821</v>
      </c>
      <c r="B453" s="5">
        <v>448</v>
      </c>
      <c r="C453" s="5">
        <v>816</v>
      </c>
      <c r="D453" t="s">
        <v>512</v>
      </c>
      <c r="E453" s="3" t="str">
        <f t="array" ref="E453">IF(OR(EXACT(A453,'ESO Dungeon constants'!$D$3:$D$987)),"X","")</f>
        <v/>
      </c>
      <c r="F453" s="3" t="str">
        <f t="shared" ref="F453:F516" si="28">IF(EXACT(A453,C453),"X","")</f>
        <v/>
      </c>
      <c r="G453" s="3" t="str">
        <f t="shared" ref="G453:G516" si="29">IF(A453&lt;&gt;C453,VLOOKUP(C453,$A$5:$D$9954,4,FALSE),"")</f>
        <v>Hew's Bane</v>
      </c>
      <c r="H453" s="17">
        <f t="shared" ref="H453:H516" si="30">A453</f>
        <v>821</v>
      </c>
      <c r="I453" s="17">
        <f t="shared" ref="I453:I516" si="31">C453</f>
        <v>816</v>
      </c>
      <c r="J453">
        <v>0</v>
      </c>
      <c r="K453" s="3" t="str">
        <f>VLOOKUP(J453,'LibSets constants'!$A$4:$B$1012,2,FALSE)</f>
        <v>DLC_BASE_GAME</v>
      </c>
      <c r="L453" s="3" t="str">
        <f>VLOOKUP(J453,'LibSets constants'!$A$4:$C$1012,3,FALSE)</f>
        <v>Included in base game</v>
      </c>
    </row>
    <row r="454" spans="1:12" x14ac:dyDescent="0.25">
      <c r="A454" s="5">
        <v>823</v>
      </c>
      <c r="B454" s="5">
        <v>449</v>
      </c>
      <c r="C454" s="5">
        <v>823</v>
      </c>
      <c r="D454" t="s">
        <v>513</v>
      </c>
      <c r="E454" s="3" t="str">
        <f t="array" ref="E454">IF(OR(EXACT(A454,'ESO Dungeon constants'!$D$3:$D$987)),"X","")</f>
        <v/>
      </c>
      <c r="F454" s="3" t="str">
        <f t="shared" si="28"/>
        <v>X</v>
      </c>
      <c r="G454" s="3" t="str">
        <f t="shared" si="29"/>
        <v/>
      </c>
      <c r="H454" s="17">
        <f t="shared" si="30"/>
        <v>823</v>
      </c>
      <c r="I454" s="17">
        <f t="shared" si="31"/>
        <v>823</v>
      </c>
      <c r="J454">
        <v>0</v>
      </c>
      <c r="K454" s="3" t="str">
        <f>VLOOKUP(J454,'LibSets constants'!$A$4:$B$1012,2,FALSE)</f>
        <v>DLC_BASE_GAME</v>
      </c>
      <c r="L454" s="3" t="str">
        <f>VLOOKUP(J454,'LibSets constants'!$A$4:$C$1012,3,FALSE)</f>
        <v>Included in base game</v>
      </c>
    </row>
    <row r="455" spans="1:12" x14ac:dyDescent="0.25">
      <c r="A455" s="5">
        <v>824</v>
      </c>
      <c r="B455" s="5">
        <v>450</v>
      </c>
      <c r="C455" s="5">
        <v>823</v>
      </c>
      <c r="D455" t="s">
        <v>514</v>
      </c>
      <c r="E455" s="3" t="str">
        <f t="array" ref="E455">IF(OR(EXACT(A455,'ESO Dungeon constants'!$D$3:$D$987)),"X","")</f>
        <v/>
      </c>
      <c r="F455" s="3" t="str">
        <f t="shared" si="28"/>
        <v/>
      </c>
      <c r="G455" s="3" t="str">
        <f t="shared" si="29"/>
        <v>Gold Coast</v>
      </c>
      <c r="H455" s="17">
        <f t="shared" si="30"/>
        <v>824</v>
      </c>
      <c r="I455" s="17">
        <f t="shared" si="31"/>
        <v>823</v>
      </c>
      <c r="J455">
        <v>20</v>
      </c>
      <c r="K455" s="3" t="str">
        <f>VLOOKUP(J455,'LibSets constants'!$A$4:$B$1012,2,FALSE)</f>
        <v>DLC_MARKARTH</v>
      </c>
      <c r="L455" s="3" t="str">
        <f>VLOOKUP(J455,'LibSets constants'!$A$4:$C$1012,3,FALSE)</f>
        <v>Markarth</v>
      </c>
    </row>
    <row r="456" spans="1:12" x14ac:dyDescent="0.25">
      <c r="A456" s="5">
        <v>825</v>
      </c>
      <c r="B456" s="5">
        <v>451</v>
      </c>
      <c r="C456" s="5">
        <v>823</v>
      </c>
      <c r="D456" t="s">
        <v>515</v>
      </c>
      <c r="E456" s="3" t="str">
        <f t="array" ref="E456">IF(OR(EXACT(A456,'ESO Dungeon constants'!$D$3:$D$987)),"X","")</f>
        <v/>
      </c>
      <c r="F456" s="3" t="str">
        <f t="shared" si="28"/>
        <v/>
      </c>
      <c r="G456" s="3" t="str">
        <f t="shared" si="29"/>
        <v>Gold Coast</v>
      </c>
      <c r="H456" s="17">
        <f t="shared" si="30"/>
        <v>825</v>
      </c>
      <c r="I456" s="17">
        <f t="shared" si="31"/>
        <v>823</v>
      </c>
      <c r="J456">
        <v>20</v>
      </c>
      <c r="K456" s="3" t="str">
        <f>VLOOKUP(J456,'LibSets constants'!$A$4:$B$1012,2,FALSE)</f>
        <v>DLC_MARKARTH</v>
      </c>
      <c r="L456" s="3" t="str">
        <f>VLOOKUP(J456,'LibSets constants'!$A$4:$C$1012,3,FALSE)</f>
        <v>Markarth</v>
      </c>
    </row>
    <row r="457" spans="1:12" x14ac:dyDescent="0.25">
      <c r="A457" s="5">
        <v>826</v>
      </c>
      <c r="B457" s="5">
        <v>452</v>
      </c>
      <c r="C457" s="5">
        <v>823</v>
      </c>
      <c r="D457" t="s">
        <v>516</v>
      </c>
      <c r="E457" s="3" t="str">
        <f t="array" ref="E457">IF(OR(EXACT(A457,'ESO Dungeon constants'!$D$3:$D$987)),"X","")</f>
        <v/>
      </c>
      <c r="F457" s="3" t="str">
        <f t="shared" si="28"/>
        <v/>
      </c>
      <c r="G457" s="3" t="str">
        <f t="shared" si="29"/>
        <v>Gold Coast</v>
      </c>
      <c r="H457" s="17">
        <f t="shared" si="30"/>
        <v>826</v>
      </c>
      <c r="I457" s="17">
        <f t="shared" si="31"/>
        <v>823</v>
      </c>
      <c r="J457">
        <v>20</v>
      </c>
      <c r="K457" s="3" t="str">
        <f>VLOOKUP(J457,'LibSets constants'!$A$4:$B$1012,2,FALSE)</f>
        <v>DLC_MARKARTH</v>
      </c>
      <c r="L457" s="3" t="str">
        <f>VLOOKUP(J457,'LibSets constants'!$A$4:$C$1012,3,FALSE)</f>
        <v>Markarth</v>
      </c>
    </row>
    <row r="458" spans="1:12" x14ac:dyDescent="0.25">
      <c r="A458" s="5">
        <v>827</v>
      </c>
      <c r="B458" s="5">
        <v>453</v>
      </c>
      <c r="C458" s="5">
        <v>823</v>
      </c>
      <c r="D458" t="s">
        <v>517</v>
      </c>
      <c r="E458" s="3" t="str">
        <f t="array" ref="E458">IF(OR(EXACT(A458,'ESO Dungeon constants'!$D$3:$D$987)),"X","")</f>
        <v/>
      </c>
      <c r="F458" s="3" t="str">
        <f t="shared" si="28"/>
        <v/>
      </c>
      <c r="G458" s="3" t="str">
        <f t="shared" si="29"/>
        <v>Gold Coast</v>
      </c>
      <c r="H458" s="17">
        <f t="shared" si="30"/>
        <v>827</v>
      </c>
      <c r="I458" s="17">
        <f t="shared" si="31"/>
        <v>823</v>
      </c>
      <c r="J458">
        <v>20</v>
      </c>
      <c r="K458" s="3" t="str">
        <f>VLOOKUP(J458,'LibSets constants'!$A$4:$B$1012,2,FALSE)</f>
        <v>DLC_MARKARTH</v>
      </c>
      <c r="L458" s="3" t="str">
        <f>VLOOKUP(J458,'LibSets constants'!$A$4:$C$1012,3,FALSE)</f>
        <v>Markarth</v>
      </c>
    </row>
    <row r="459" spans="1:12" x14ac:dyDescent="0.25">
      <c r="A459" s="5">
        <v>828</v>
      </c>
      <c r="B459" s="5">
        <v>454</v>
      </c>
      <c r="C459" s="5">
        <v>823</v>
      </c>
      <c r="D459" t="s">
        <v>518</v>
      </c>
      <c r="E459" s="3" t="str">
        <f t="array" ref="E459">IF(OR(EXACT(A459,'ESO Dungeon constants'!$D$3:$D$987)),"X","")</f>
        <v/>
      </c>
      <c r="F459" s="3" t="str">
        <f t="shared" si="28"/>
        <v/>
      </c>
      <c r="G459" s="3" t="str">
        <f t="shared" si="29"/>
        <v>Gold Coast</v>
      </c>
      <c r="H459" s="17">
        <f t="shared" si="30"/>
        <v>828</v>
      </c>
      <c r="I459" s="17">
        <f t="shared" si="31"/>
        <v>823</v>
      </c>
      <c r="J459">
        <v>20</v>
      </c>
      <c r="K459" s="3" t="str">
        <f>VLOOKUP(J459,'LibSets constants'!$A$4:$B$1012,2,FALSE)</f>
        <v>DLC_MARKARTH</v>
      </c>
      <c r="L459" s="3" t="str">
        <f>VLOOKUP(J459,'LibSets constants'!$A$4:$C$1012,3,FALSE)</f>
        <v>Markarth</v>
      </c>
    </row>
    <row r="460" spans="1:12" x14ac:dyDescent="0.25">
      <c r="A460" s="5">
        <v>829</v>
      </c>
      <c r="B460" s="5">
        <v>455</v>
      </c>
      <c r="C460" s="5">
        <v>823</v>
      </c>
      <c r="D460" t="s">
        <v>519</v>
      </c>
      <c r="E460" s="3" t="str">
        <f t="array" ref="E460">IF(OR(EXACT(A460,'ESO Dungeon constants'!$D$3:$D$987)),"X","")</f>
        <v/>
      </c>
      <c r="F460" s="3" t="str">
        <f t="shared" si="28"/>
        <v/>
      </c>
      <c r="G460" s="3" t="str">
        <f t="shared" si="29"/>
        <v>Gold Coast</v>
      </c>
      <c r="H460" s="17">
        <f t="shared" si="30"/>
        <v>829</v>
      </c>
      <c r="I460" s="17">
        <f t="shared" si="31"/>
        <v>823</v>
      </c>
      <c r="J460">
        <v>20</v>
      </c>
      <c r="K460" s="3" t="str">
        <f>VLOOKUP(J460,'LibSets constants'!$A$4:$B$1012,2,FALSE)</f>
        <v>DLC_MARKARTH</v>
      </c>
      <c r="L460" s="3" t="str">
        <f>VLOOKUP(J460,'LibSets constants'!$A$4:$C$1012,3,FALSE)</f>
        <v>Markarth</v>
      </c>
    </row>
    <row r="461" spans="1:12" x14ac:dyDescent="0.25">
      <c r="A461" s="5">
        <v>831</v>
      </c>
      <c r="B461" s="5">
        <v>456</v>
      </c>
      <c r="C461" s="5">
        <v>823</v>
      </c>
      <c r="D461" t="s">
        <v>520</v>
      </c>
      <c r="E461" s="3" t="str">
        <f t="array" ref="E461">IF(OR(EXACT(A461,'ESO Dungeon constants'!$D$3:$D$987)),"X","")</f>
        <v/>
      </c>
      <c r="F461" s="3" t="str">
        <f t="shared" si="28"/>
        <v/>
      </c>
      <c r="G461" s="3" t="str">
        <f t="shared" si="29"/>
        <v>Gold Coast</v>
      </c>
      <c r="H461" s="17">
        <f t="shared" si="30"/>
        <v>831</v>
      </c>
      <c r="I461" s="17">
        <f t="shared" si="31"/>
        <v>823</v>
      </c>
      <c r="J461">
        <v>20</v>
      </c>
      <c r="K461" s="3" t="str">
        <f>VLOOKUP(J461,'LibSets constants'!$A$4:$B$1012,2,FALSE)</f>
        <v>DLC_MARKARTH</v>
      </c>
      <c r="L461" s="3" t="str">
        <f>VLOOKUP(J461,'LibSets constants'!$A$4:$C$1012,3,FALSE)</f>
        <v>Markarth</v>
      </c>
    </row>
    <row r="462" spans="1:12" x14ac:dyDescent="0.25">
      <c r="A462" s="5">
        <v>832</v>
      </c>
      <c r="B462" s="5">
        <v>457</v>
      </c>
      <c r="C462" s="5">
        <v>823</v>
      </c>
      <c r="D462" t="s">
        <v>521</v>
      </c>
      <c r="E462" s="3" t="str">
        <f t="array" ref="E462">IF(OR(EXACT(A462,'ESO Dungeon constants'!$D$3:$D$987)),"X","")</f>
        <v/>
      </c>
      <c r="F462" s="3" t="str">
        <f t="shared" si="28"/>
        <v/>
      </c>
      <c r="G462" s="3" t="str">
        <f t="shared" si="29"/>
        <v>Gold Coast</v>
      </c>
      <c r="H462" s="17">
        <f t="shared" si="30"/>
        <v>832</v>
      </c>
      <c r="I462" s="17">
        <f t="shared" si="31"/>
        <v>823</v>
      </c>
      <c r="J462">
        <v>20</v>
      </c>
      <c r="K462" s="3" t="str">
        <f>VLOOKUP(J462,'LibSets constants'!$A$4:$B$1012,2,FALSE)</f>
        <v>DLC_MARKARTH</v>
      </c>
      <c r="L462" s="3" t="str">
        <f>VLOOKUP(J462,'LibSets constants'!$A$4:$C$1012,3,FALSE)</f>
        <v>Markarth</v>
      </c>
    </row>
    <row r="463" spans="1:12" x14ac:dyDescent="0.25">
      <c r="A463" s="5">
        <v>833</v>
      </c>
      <c r="B463" s="5">
        <v>458</v>
      </c>
      <c r="C463" s="5">
        <v>823</v>
      </c>
      <c r="D463" t="s">
        <v>522</v>
      </c>
      <c r="E463" s="3" t="str">
        <f t="array" ref="E463">IF(OR(EXACT(A463,'ESO Dungeon constants'!$D$3:$D$987)),"X","")</f>
        <v/>
      </c>
      <c r="F463" s="3" t="str">
        <f t="shared" si="28"/>
        <v/>
      </c>
      <c r="G463" s="3" t="str">
        <f t="shared" si="29"/>
        <v>Gold Coast</v>
      </c>
      <c r="H463" s="17">
        <f t="shared" si="30"/>
        <v>833</v>
      </c>
      <c r="I463" s="17">
        <f t="shared" si="31"/>
        <v>823</v>
      </c>
      <c r="J463">
        <v>20</v>
      </c>
      <c r="K463" s="3" t="str">
        <f>VLOOKUP(J463,'LibSets constants'!$A$4:$B$1012,2,FALSE)</f>
        <v>DLC_MARKARTH</v>
      </c>
      <c r="L463" s="3" t="str">
        <f>VLOOKUP(J463,'LibSets constants'!$A$4:$C$1012,3,FALSE)</f>
        <v>Markarth</v>
      </c>
    </row>
    <row r="464" spans="1:12" x14ac:dyDescent="0.25">
      <c r="A464" s="5">
        <v>834</v>
      </c>
      <c r="B464" s="5">
        <v>459</v>
      </c>
      <c r="C464" s="5">
        <v>816</v>
      </c>
      <c r="D464" t="s">
        <v>523</v>
      </c>
      <c r="E464" s="3" t="str">
        <f t="array" ref="E464">IF(OR(EXACT(A464,'ESO Dungeon constants'!$D$3:$D$987)),"X","")</f>
        <v/>
      </c>
      <c r="F464" s="3" t="str">
        <f t="shared" si="28"/>
        <v/>
      </c>
      <c r="G464" s="3" t="str">
        <f t="shared" si="29"/>
        <v>Hew's Bane</v>
      </c>
      <c r="H464" s="17">
        <f t="shared" si="30"/>
        <v>834</v>
      </c>
      <c r="I464" s="17">
        <f t="shared" si="31"/>
        <v>816</v>
      </c>
      <c r="J464">
        <v>20</v>
      </c>
      <c r="K464" s="3" t="str">
        <f>VLOOKUP(J464,'LibSets constants'!$A$4:$B$1012,2,FALSE)</f>
        <v>DLC_MARKARTH</v>
      </c>
      <c r="L464" s="3" t="str">
        <f>VLOOKUP(J464,'LibSets constants'!$A$4:$C$1012,3,FALSE)</f>
        <v>Markarth</v>
      </c>
    </row>
    <row r="465" spans="1:12" x14ac:dyDescent="0.25">
      <c r="A465" s="5">
        <v>836</v>
      </c>
      <c r="B465" s="5">
        <v>460</v>
      </c>
      <c r="C465" s="5">
        <v>823</v>
      </c>
      <c r="D465" t="s">
        <v>524</v>
      </c>
      <c r="E465" s="3" t="str">
        <f t="array" ref="E465">IF(OR(EXACT(A465,'ESO Dungeon constants'!$D$3:$D$987)),"X","")</f>
        <v/>
      </c>
      <c r="F465" s="3" t="str">
        <f t="shared" si="28"/>
        <v/>
      </c>
      <c r="G465" s="3" t="str">
        <f t="shared" si="29"/>
        <v>Gold Coast</v>
      </c>
      <c r="H465" s="17">
        <f t="shared" si="30"/>
        <v>836</v>
      </c>
      <c r="I465" s="17">
        <f t="shared" si="31"/>
        <v>823</v>
      </c>
      <c r="J465">
        <v>18</v>
      </c>
      <c r="K465" s="3" t="str">
        <f>VLOOKUP(J465,'LibSets constants'!$A$4:$B$1012,2,FALSE)</f>
        <v>DLC_GREYMOOR</v>
      </c>
      <c r="L465" s="3" t="str">
        <f>VLOOKUP(J465,'LibSets constants'!$A$4:$C$1012,3,FALSE)</f>
        <v>Greymoor</v>
      </c>
    </row>
    <row r="466" spans="1:12" x14ac:dyDescent="0.25">
      <c r="A466" s="5">
        <v>837</v>
      </c>
      <c r="B466" s="5">
        <v>461</v>
      </c>
      <c r="C466" s="5">
        <v>823</v>
      </c>
      <c r="D466" t="s">
        <v>525</v>
      </c>
      <c r="E466" s="3" t="str">
        <f t="array" ref="E466">IF(OR(EXACT(A466,'ESO Dungeon constants'!$D$3:$D$987)),"X","")</f>
        <v/>
      </c>
      <c r="F466" s="3" t="str">
        <f t="shared" si="28"/>
        <v/>
      </c>
      <c r="G466" s="3" t="str">
        <f t="shared" si="29"/>
        <v>Gold Coast</v>
      </c>
      <c r="H466" s="17">
        <f t="shared" si="30"/>
        <v>837</v>
      </c>
      <c r="I466" s="17">
        <f t="shared" si="31"/>
        <v>823</v>
      </c>
      <c r="J466">
        <v>18</v>
      </c>
      <c r="K466" s="3" t="str">
        <f>VLOOKUP(J466,'LibSets constants'!$A$4:$B$1012,2,FALSE)</f>
        <v>DLC_GREYMOOR</v>
      </c>
      <c r="L466" s="3" t="str">
        <f>VLOOKUP(J466,'LibSets constants'!$A$4:$C$1012,3,FALSE)</f>
        <v>Greymoor</v>
      </c>
    </row>
    <row r="467" spans="1:12" x14ac:dyDescent="0.25">
      <c r="A467" s="5">
        <v>841</v>
      </c>
      <c r="B467" s="5">
        <v>462</v>
      </c>
      <c r="C467" s="5">
        <v>823</v>
      </c>
      <c r="D467" t="s">
        <v>526</v>
      </c>
      <c r="E467" s="3" t="str">
        <f t="array" ref="E467">IF(OR(EXACT(A467,'ESO Dungeon constants'!$D$3:$D$987)),"X","")</f>
        <v/>
      </c>
      <c r="F467" s="3" t="str">
        <f t="shared" si="28"/>
        <v/>
      </c>
      <c r="G467" s="3" t="str">
        <f t="shared" si="29"/>
        <v>Gold Coast</v>
      </c>
      <c r="H467" s="17">
        <f t="shared" si="30"/>
        <v>841</v>
      </c>
      <c r="I467" s="17">
        <f t="shared" si="31"/>
        <v>823</v>
      </c>
      <c r="J467">
        <v>20</v>
      </c>
      <c r="K467" s="3" t="str">
        <f>VLOOKUP(J467,'LibSets constants'!$A$4:$B$1012,2,FALSE)</f>
        <v>DLC_MARKARTH</v>
      </c>
      <c r="L467" s="3" t="str">
        <f>VLOOKUP(J467,'LibSets constants'!$A$4:$C$1012,3,FALSE)</f>
        <v>Markarth</v>
      </c>
    </row>
    <row r="468" spans="1:12" x14ac:dyDescent="0.25">
      <c r="A468" s="5">
        <v>842</v>
      </c>
      <c r="B468" s="5">
        <v>463</v>
      </c>
      <c r="C468" s="5">
        <v>823</v>
      </c>
      <c r="D468" t="s">
        <v>527</v>
      </c>
      <c r="E468" s="3" t="str">
        <f t="array" ref="E468">IF(OR(EXACT(A468,'ESO Dungeon constants'!$D$3:$D$987)),"X","")</f>
        <v/>
      </c>
      <c r="F468" s="3" t="str">
        <f t="shared" si="28"/>
        <v/>
      </c>
      <c r="G468" s="3" t="str">
        <f t="shared" si="29"/>
        <v>Gold Coast</v>
      </c>
      <c r="H468" s="17">
        <f t="shared" si="30"/>
        <v>842</v>
      </c>
      <c r="I468" s="17">
        <f t="shared" si="31"/>
        <v>823</v>
      </c>
      <c r="J468">
        <v>20</v>
      </c>
      <c r="K468" s="3" t="str">
        <f>VLOOKUP(J468,'LibSets constants'!$A$4:$B$1012,2,FALSE)</f>
        <v>DLC_MARKARTH</v>
      </c>
      <c r="L468" s="3" t="str">
        <f>VLOOKUP(J468,'LibSets constants'!$A$4:$C$1012,3,FALSE)</f>
        <v>Markarth</v>
      </c>
    </row>
    <row r="469" spans="1:12" x14ac:dyDescent="0.25">
      <c r="A469" s="5">
        <v>843</v>
      </c>
      <c r="B469" s="5">
        <v>464</v>
      </c>
      <c r="C469" s="5">
        <v>117</v>
      </c>
      <c r="D469" t="s">
        <v>53</v>
      </c>
      <c r="E469" s="3" t="str">
        <f t="array" ref="E469">IF(OR(EXACT(A469,'ESO Dungeon constants'!$D$3:$D$987)),"X","")</f>
        <v>X</v>
      </c>
      <c r="F469" s="3" t="str">
        <f t="shared" si="28"/>
        <v/>
      </c>
      <c r="G469" s="3" t="str">
        <f t="shared" si="29"/>
        <v>Shadowfen</v>
      </c>
      <c r="H469" s="17">
        <f t="shared" si="30"/>
        <v>843</v>
      </c>
      <c r="I469" s="17">
        <f t="shared" si="31"/>
        <v>117</v>
      </c>
      <c r="J469">
        <v>20</v>
      </c>
      <c r="K469" s="3" t="str">
        <f>VLOOKUP(J469,'LibSets constants'!$A$4:$B$1012,2,FALSE)</f>
        <v>DLC_MARKARTH</v>
      </c>
      <c r="L469" s="3" t="str">
        <f>VLOOKUP(J469,'LibSets constants'!$A$4:$C$1012,3,FALSE)</f>
        <v>Markarth</v>
      </c>
    </row>
    <row r="470" spans="1:12" x14ac:dyDescent="0.25">
      <c r="A470" s="5">
        <v>844</v>
      </c>
      <c r="B470" s="5">
        <v>465</v>
      </c>
      <c r="C470" s="5">
        <v>816</v>
      </c>
      <c r="D470" t="s">
        <v>528</v>
      </c>
      <c r="E470" s="3" t="str">
        <f t="array" ref="E470">IF(OR(EXACT(A470,'ESO Dungeon constants'!$D$3:$D$987)),"X","")</f>
        <v/>
      </c>
      <c r="F470" s="3" t="str">
        <f t="shared" si="28"/>
        <v/>
      </c>
      <c r="G470" s="3" t="str">
        <f t="shared" si="29"/>
        <v>Hew's Bane</v>
      </c>
      <c r="H470" s="17">
        <f t="shared" si="30"/>
        <v>844</v>
      </c>
      <c r="I470" s="17">
        <f t="shared" si="31"/>
        <v>816</v>
      </c>
      <c r="J470">
        <v>20</v>
      </c>
      <c r="K470" s="3" t="str">
        <f>VLOOKUP(J470,'LibSets constants'!$A$4:$B$1012,2,FALSE)</f>
        <v>DLC_MARKARTH</v>
      </c>
      <c r="L470" s="3" t="str">
        <f>VLOOKUP(J470,'LibSets constants'!$A$4:$C$1012,3,FALSE)</f>
        <v>Markarth</v>
      </c>
    </row>
    <row r="471" spans="1:12" x14ac:dyDescent="0.25">
      <c r="A471" s="5">
        <v>845</v>
      </c>
      <c r="B471" s="5">
        <v>466</v>
      </c>
      <c r="C471" s="5">
        <v>816</v>
      </c>
      <c r="D471" t="s">
        <v>529</v>
      </c>
      <c r="E471" s="3" t="str">
        <f t="array" ref="E471">IF(OR(EXACT(A471,'ESO Dungeon constants'!$D$3:$D$987)),"X","")</f>
        <v/>
      </c>
      <c r="F471" s="3" t="str">
        <f t="shared" si="28"/>
        <v/>
      </c>
      <c r="G471" s="3" t="str">
        <f t="shared" si="29"/>
        <v>Hew's Bane</v>
      </c>
      <c r="H471" s="17">
        <f t="shared" si="30"/>
        <v>845</v>
      </c>
      <c r="I471" s="17">
        <f t="shared" si="31"/>
        <v>816</v>
      </c>
      <c r="J471">
        <v>21</v>
      </c>
      <c r="K471" s="3" t="str">
        <f>VLOOKUP(J471,'LibSets constants'!$A$4:$B$1012,2,FALSE)</f>
        <v>DLC_FLAMES_OF_AMBITION</v>
      </c>
      <c r="L471" s="3" t="str">
        <f>VLOOKUP(J471,'LibSets constants'!$A$4:$C$1012,3,FALSE)</f>
        <v>Flames of Ambition</v>
      </c>
    </row>
    <row r="472" spans="1:12" x14ac:dyDescent="0.25">
      <c r="A472" s="5">
        <v>848</v>
      </c>
      <c r="B472" s="5">
        <v>467</v>
      </c>
      <c r="C472" s="5">
        <v>117</v>
      </c>
      <c r="D472" t="s">
        <v>72</v>
      </c>
      <c r="E472" s="3" t="str">
        <f t="array" ref="E472">IF(OR(EXACT(A472,'ESO Dungeon constants'!$D$3:$D$987)),"X","")</f>
        <v>X</v>
      </c>
      <c r="F472" s="3" t="str">
        <f t="shared" si="28"/>
        <v/>
      </c>
      <c r="G472" s="3" t="str">
        <f t="shared" si="29"/>
        <v>Shadowfen</v>
      </c>
      <c r="H472" s="17">
        <f t="shared" si="30"/>
        <v>848</v>
      </c>
      <c r="I472" s="17">
        <f t="shared" si="31"/>
        <v>117</v>
      </c>
      <c r="J472">
        <v>18</v>
      </c>
      <c r="K472" s="3" t="str">
        <f>VLOOKUP(J472,'LibSets constants'!$A$4:$B$1012,2,FALSE)</f>
        <v>DLC_GREYMOOR</v>
      </c>
      <c r="L472" s="3" t="str">
        <f>VLOOKUP(J472,'LibSets constants'!$A$4:$C$1012,3,FALSE)</f>
        <v>Greymoor</v>
      </c>
    </row>
    <row r="473" spans="1:12" x14ac:dyDescent="0.25">
      <c r="A473" s="5">
        <v>849</v>
      </c>
      <c r="B473" s="5">
        <v>468</v>
      </c>
      <c r="C473" s="5">
        <v>849</v>
      </c>
      <c r="D473" t="s">
        <v>530</v>
      </c>
      <c r="E473" s="3" t="str">
        <f t="array" ref="E473">IF(OR(EXACT(A473,'ESO Dungeon constants'!$D$3:$D$987)),"X","")</f>
        <v/>
      </c>
      <c r="F473" s="3" t="str">
        <f t="shared" si="28"/>
        <v>X</v>
      </c>
      <c r="G473" s="3" t="str">
        <f t="shared" si="29"/>
        <v/>
      </c>
      <c r="H473" s="17">
        <f t="shared" si="30"/>
        <v>849</v>
      </c>
      <c r="I473" s="17">
        <f t="shared" si="31"/>
        <v>849</v>
      </c>
      <c r="J473">
        <v>0</v>
      </c>
      <c r="K473" s="3" t="str">
        <f>VLOOKUP(J473,'LibSets constants'!$A$4:$B$1012,2,FALSE)</f>
        <v>DLC_BASE_GAME</v>
      </c>
      <c r="L473" s="3" t="str">
        <f>VLOOKUP(J473,'LibSets constants'!$A$4:$C$1012,3,FALSE)</f>
        <v>Included in base game</v>
      </c>
    </row>
    <row r="474" spans="1:12" x14ac:dyDescent="0.25">
      <c r="A474" s="5">
        <v>852</v>
      </c>
      <c r="B474" s="5">
        <v>469</v>
      </c>
      <c r="C474" s="5">
        <v>3</v>
      </c>
      <c r="D474" t="s">
        <v>531</v>
      </c>
      <c r="E474" s="3" t="str">
        <f t="array" ref="E474">IF(OR(EXACT(A474,'ESO Dungeon constants'!$D$3:$D$987)),"X","")</f>
        <v/>
      </c>
      <c r="F474" s="3" t="str">
        <f t="shared" si="28"/>
        <v/>
      </c>
      <c r="G474" s="3" t="str">
        <f t="shared" si="29"/>
        <v>Glenumbra</v>
      </c>
      <c r="H474" s="17">
        <f t="shared" si="30"/>
        <v>852</v>
      </c>
      <c r="I474" s="17">
        <f t="shared" si="31"/>
        <v>3</v>
      </c>
      <c r="J474">
        <v>22</v>
      </c>
      <c r="K474" s="3" t="str">
        <f>VLOOKUP(J474,'LibSets constants'!$A$4:$B$1012,2,FALSE)</f>
        <v>DLC_BLACKWOOD</v>
      </c>
      <c r="L474" s="3" t="str">
        <f>VLOOKUP(J474,'LibSets constants'!$A$4:$C$1012,3,FALSE)</f>
        <v>Blackwood</v>
      </c>
    </row>
    <row r="475" spans="1:12" x14ac:dyDescent="0.25">
      <c r="A475" s="5">
        <v>853</v>
      </c>
      <c r="B475" s="5">
        <v>470</v>
      </c>
      <c r="C475" s="5">
        <v>20</v>
      </c>
      <c r="D475" t="s">
        <v>532</v>
      </c>
      <c r="E475" s="3" t="str">
        <f t="array" ref="E475">IF(OR(EXACT(A475,'ESO Dungeon constants'!$D$3:$D$987)),"X","")</f>
        <v/>
      </c>
      <c r="F475" s="3" t="str">
        <f t="shared" si="28"/>
        <v/>
      </c>
      <c r="G475" s="3" t="str">
        <f t="shared" si="29"/>
        <v>Rivenspire</v>
      </c>
      <c r="H475" s="17">
        <f t="shared" si="30"/>
        <v>853</v>
      </c>
      <c r="I475" s="17">
        <f t="shared" si="31"/>
        <v>20</v>
      </c>
      <c r="J475">
        <v>22</v>
      </c>
      <c r="K475" s="3" t="str">
        <f>VLOOKUP(J475,'LibSets constants'!$A$4:$B$1012,2,FALSE)</f>
        <v>DLC_BLACKWOOD</v>
      </c>
      <c r="L475" s="3" t="str">
        <f>VLOOKUP(J475,'LibSets constants'!$A$4:$C$1012,3,FALSE)</f>
        <v>Blackwood</v>
      </c>
    </row>
    <row r="476" spans="1:12" x14ac:dyDescent="0.25">
      <c r="A476" s="5">
        <v>854</v>
      </c>
      <c r="B476" s="5">
        <v>471</v>
      </c>
      <c r="C476" s="5">
        <v>92</v>
      </c>
      <c r="D476" t="s">
        <v>533</v>
      </c>
      <c r="E476" s="3" t="str">
        <f t="array" ref="E476">IF(OR(EXACT(A476,'ESO Dungeon constants'!$D$3:$D$987)),"X","")</f>
        <v/>
      </c>
      <c r="F476" s="3" t="str">
        <f t="shared" si="28"/>
        <v/>
      </c>
      <c r="G476" s="3" t="str">
        <f t="shared" si="29"/>
        <v>Bangkorai</v>
      </c>
      <c r="H476" s="17">
        <f t="shared" si="30"/>
        <v>854</v>
      </c>
      <c r="I476" s="17">
        <f t="shared" si="31"/>
        <v>92</v>
      </c>
      <c r="J476">
        <v>22</v>
      </c>
      <c r="K476" s="3" t="str">
        <f>VLOOKUP(J476,'LibSets constants'!$A$4:$B$1012,2,FALSE)</f>
        <v>DLC_BLACKWOOD</v>
      </c>
      <c r="L476" s="3" t="str">
        <f>VLOOKUP(J476,'LibSets constants'!$A$4:$C$1012,3,FALSE)</f>
        <v>Blackwood</v>
      </c>
    </row>
    <row r="477" spans="1:12" x14ac:dyDescent="0.25">
      <c r="A477" s="5">
        <v>855</v>
      </c>
      <c r="B477" s="5">
        <v>472</v>
      </c>
      <c r="C477" s="5">
        <v>19</v>
      </c>
      <c r="D477" t="s">
        <v>534</v>
      </c>
      <c r="E477" s="3" t="str">
        <f t="array" ref="E477">IF(OR(EXACT(A477,'ESO Dungeon constants'!$D$3:$D$987)),"X","")</f>
        <v/>
      </c>
      <c r="F477" s="3" t="str">
        <f t="shared" si="28"/>
        <v/>
      </c>
      <c r="G477" s="3" t="str">
        <f t="shared" si="29"/>
        <v>Stormhaven</v>
      </c>
      <c r="H477" s="17">
        <f t="shared" si="30"/>
        <v>855</v>
      </c>
      <c r="I477" s="17">
        <f t="shared" si="31"/>
        <v>19</v>
      </c>
      <c r="J477">
        <v>22</v>
      </c>
      <c r="K477" s="3" t="str">
        <f>VLOOKUP(J477,'LibSets constants'!$A$4:$B$1012,2,FALSE)</f>
        <v>DLC_BLACKWOOD</v>
      </c>
      <c r="L477" s="3" t="str">
        <f>VLOOKUP(J477,'LibSets constants'!$A$4:$C$1012,3,FALSE)</f>
        <v>Blackwood</v>
      </c>
    </row>
    <row r="478" spans="1:12" x14ac:dyDescent="0.25">
      <c r="A478" s="5">
        <v>856</v>
      </c>
      <c r="B478" s="5">
        <v>473</v>
      </c>
      <c r="C478" s="5">
        <v>92</v>
      </c>
      <c r="D478" t="s">
        <v>535</v>
      </c>
      <c r="E478" s="3" t="str">
        <f t="array" ref="E478">IF(OR(EXACT(A478,'ESO Dungeon constants'!$D$3:$D$987)),"X","")</f>
        <v/>
      </c>
      <c r="F478" s="3" t="str">
        <f t="shared" si="28"/>
        <v/>
      </c>
      <c r="G478" s="3" t="str">
        <f t="shared" si="29"/>
        <v>Bangkorai</v>
      </c>
      <c r="H478" s="17">
        <f t="shared" si="30"/>
        <v>856</v>
      </c>
      <c r="I478" s="17">
        <f t="shared" si="31"/>
        <v>92</v>
      </c>
      <c r="J478">
        <v>22</v>
      </c>
      <c r="K478" s="3" t="str">
        <f>VLOOKUP(J478,'LibSets constants'!$A$4:$B$1012,2,FALSE)</f>
        <v>DLC_BLACKWOOD</v>
      </c>
      <c r="L478" s="3" t="str">
        <f>VLOOKUP(J478,'LibSets constants'!$A$4:$C$1012,3,FALSE)</f>
        <v>Blackwood</v>
      </c>
    </row>
    <row r="479" spans="1:12" x14ac:dyDescent="0.25">
      <c r="A479" s="5">
        <v>857</v>
      </c>
      <c r="B479" s="5">
        <v>474</v>
      </c>
      <c r="C479" s="5">
        <v>104</v>
      </c>
      <c r="D479" t="s">
        <v>536</v>
      </c>
      <c r="E479" s="3" t="str">
        <f t="array" ref="E479">IF(OR(EXACT(A479,'ESO Dungeon constants'!$D$3:$D$987)),"X","")</f>
        <v/>
      </c>
      <c r="F479" s="3" t="str">
        <f t="shared" si="28"/>
        <v/>
      </c>
      <c r="G479" s="3" t="str">
        <f t="shared" si="29"/>
        <v>Alik'r Desert</v>
      </c>
      <c r="H479" s="17">
        <f t="shared" si="30"/>
        <v>857</v>
      </c>
      <c r="I479" s="17">
        <f t="shared" si="31"/>
        <v>104</v>
      </c>
      <c r="J479">
        <v>22</v>
      </c>
      <c r="K479" s="3" t="str">
        <f>VLOOKUP(J479,'LibSets constants'!$A$4:$B$1012,2,FALSE)</f>
        <v>DLC_BLACKWOOD</v>
      </c>
      <c r="L479" s="3" t="str">
        <f>VLOOKUP(J479,'LibSets constants'!$A$4:$C$1012,3,FALSE)</f>
        <v>Blackwood</v>
      </c>
    </row>
    <row r="480" spans="1:12" x14ac:dyDescent="0.25">
      <c r="A480" s="5">
        <v>858</v>
      </c>
      <c r="B480" s="5">
        <v>475</v>
      </c>
      <c r="C480" s="5">
        <v>108</v>
      </c>
      <c r="D480" t="s">
        <v>537</v>
      </c>
      <c r="E480" s="3" t="str">
        <f t="array" ref="E480">IF(OR(EXACT(A480,'ESO Dungeon constants'!$D$3:$D$987)),"X","")</f>
        <v/>
      </c>
      <c r="F480" s="3" t="str">
        <f t="shared" si="28"/>
        <v/>
      </c>
      <c r="G480" s="3" t="str">
        <f t="shared" si="29"/>
        <v>Greenshade</v>
      </c>
      <c r="H480" s="17">
        <f t="shared" si="30"/>
        <v>858</v>
      </c>
      <c r="I480" s="17">
        <f t="shared" si="31"/>
        <v>108</v>
      </c>
      <c r="J480">
        <v>22</v>
      </c>
      <c r="K480" s="3" t="str">
        <f>VLOOKUP(J480,'LibSets constants'!$A$4:$B$1012,2,FALSE)</f>
        <v>DLC_BLACKWOOD</v>
      </c>
      <c r="L480" s="3" t="str">
        <f>VLOOKUP(J480,'LibSets constants'!$A$4:$C$1012,3,FALSE)</f>
        <v>Blackwood</v>
      </c>
    </row>
    <row r="481" spans="1:12" x14ac:dyDescent="0.25">
      <c r="A481" s="5">
        <v>859</v>
      </c>
      <c r="B481" s="5">
        <v>476</v>
      </c>
      <c r="C481" s="5">
        <v>58</v>
      </c>
      <c r="D481" t="s">
        <v>538</v>
      </c>
      <c r="E481" s="3" t="str">
        <f t="array" ref="E481">IF(OR(EXACT(A481,'ESO Dungeon constants'!$D$3:$D$987)),"X","")</f>
        <v/>
      </c>
      <c r="F481" s="3" t="str">
        <f t="shared" si="28"/>
        <v/>
      </c>
      <c r="G481" s="3" t="str">
        <f t="shared" si="29"/>
        <v>Malabal Tor</v>
      </c>
      <c r="H481" s="17">
        <f t="shared" si="30"/>
        <v>859</v>
      </c>
      <c r="I481" s="17">
        <f t="shared" si="31"/>
        <v>58</v>
      </c>
      <c r="J481">
        <v>22</v>
      </c>
      <c r="K481" s="3" t="str">
        <f>VLOOKUP(J481,'LibSets constants'!$A$4:$B$1012,2,FALSE)</f>
        <v>DLC_BLACKWOOD</v>
      </c>
      <c r="L481" s="3" t="str">
        <f>VLOOKUP(J481,'LibSets constants'!$A$4:$C$1012,3,FALSE)</f>
        <v>Blackwood</v>
      </c>
    </row>
    <row r="482" spans="1:12" x14ac:dyDescent="0.25">
      <c r="A482" s="5">
        <v>860</v>
      </c>
      <c r="B482" s="5">
        <v>477</v>
      </c>
      <c r="C482" s="5">
        <v>383</v>
      </c>
      <c r="D482" t="s">
        <v>539</v>
      </c>
      <c r="E482" s="3" t="str">
        <f t="array" ref="E482">IF(OR(EXACT(A482,'ESO Dungeon constants'!$D$3:$D$987)),"X","")</f>
        <v/>
      </c>
      <c r="F482" s="3" t="str">
        <f t="shared" si="28"/>
        <v/>
      </c>
      <c r="G482" s="3" t="str">
        <f t="shared" si="29"/>
        <v>Grahtwood</v>
      </c>
      <c r="H482" s="17">
        <f t="shared" si="30"/>
        <v>860</v>
      </c>
      <c r="I482" s="17">
        <f t="shared" si="31"/>
        <v>383</v>
      </c>
      <c r="J482">
        <v>22</v>
      </c>
      <c r="K482" s="3" t="str">
        <f>VLOOKUP(J482,'LibSets constants'!$A$4:$B$1012,2,FALSE)</f>
        <v>DLC_BLACKWOOD</v>
      </c>
      <c r="L482" s="3" t="str">
        <f>VLOOKUP(J482,'LibSets constants'!$A$4:$C$1012,3,FALSE)</f>
        <v>Blackwood</v>
      </c>
    </row>
    <row r="483" spans="1:12" x14ac:dyDescent="0.25">
      <c r="A483" s="5">
        <v>861</v>
      </c>
      <c r="B483" s="5">
        <v>478</v>
      </c>
      <c r="C483" s="5">
        <v>108</v>
      </c>
      <c r="D483" t="s">
        <v>540</v>
      </c>
      <c r="E483" s="3" t="str">
        <f t="array" ref="E483">IF(OR(EXACT(A483,'ESO Dungeon constants'!$D$3:$D$987)),"X","")</f>
        <v/>
      </c>
      <c r="F483" s="3" t="str">
        <f t="shared" si="28"/>
        <v/>
      </c>
      <c r="G483" s="3" t="str">
        <f t="shared" si="29"/>
        <v>Greenshade</v>
      </c>
      <c r="H483" s="17">
        <f t="shared" si="30"/>
        <v>861</v>
      </c>
      <c r="I483" s="17">
        <f t="shared" si="31"/>
        <v>108</v>
      </c>
      <c r="J483">
        <v>22</v>
      </c>
      <c r="K483" s="3" t="str">
        <f>VLOOKUP(J483,'LibSets constants'!$A$4:$B$1012,2,FALSE)</f>
        <v>DLC_BLACKWOOD</v>
      </c>
      <c r="L483" s="3" t="str">
        <f>VLOOKUP(J483,'LibSets constants'!$A$4:$C$1012,3,FALSE)</f>
        <v>Blackwood</v>
      </c>
    </row>
    <row r="484" spans="1:12" x14ac:dyDescent="0.25">
      <c r="A484" s="5">
        <v>862</v>
      </c>
      <c r="B484" s="5">
        <v>479</v>
      </c>
      <c r="C484" s="5">
        <v>382</v>
      </c>
      <c r="D484" t="s">
        <v>541</v>
      </c>
      <c r="E484" s="3" t="str">
        <f t="array" ref="E484">IF(OR(EXACT(A484,'ESO Dungeon constants'!$D$3:$D$987)),"X","")</f>
        <v/>
      </c>
      <c r="F484" s="3" t="str">
        <f t="shared" si="28"/>
        <v/>
      </c>
      <c r="G484" s="3" t="str">
        <f t="shared" si="29"/>
        <v>Reaper's March</v>
      </c>
      <c r="H484" s="17">
        <f t="shared" si="30"/>
        <v>862</v>
      </c>
      <c r="I484" s="17">
        <f t="shared" si="31"/>
        <v>382</v>
      </c>
      <c r="J484">
        <v>22</v>
      </c>
      <c r="K484" s="3" t="str">
        <f>VLOOKUP(J484,'LibSets constants'!$A$4:$B$1012,2,FALSE)</f>
        <v>DLC_BLACKWOOD</v>
      </c>
      <c r="L484" s="3" t="str">
        <f>VLOOKUP(J484,'LibSets constants'!$A$4:$C$1012,3,FALSE)</f>
        <v>Blackwood</v>
      </c>
    </row>
    <row r="485" spans="1:12" x14ac:dyDescent="0.25">
      <c r="A485" s="5">
        <v>863</v>
      </c>
      <c r="B485" s="5">
        <v>480</v>
      </c>
      <c r="C485" s="5">
        <v>537</v>
      </c>
      <c r="D485" t="s">
        <v>542</v>
      </c>
      <c r="E485" s="3" t="str">
        <f t="array" ref="E485">IF(OR(EXACT(A485,'ESO Dungeon constants'!$D$3:$D$987)),"X","")</f>
        <v/>
      </c>
      <c r="F485" s="3" t="str">
        <f t="shared" si="28"/>
        <v/>
      </c>
      <c r="G485" s="3" t="str">
        <f t="shared" si="29"/>
        <v>Khenarthi's Roost</v>
      </c>
      <c r="H485" s="17">
        <f t="shared" si="30"/>
        <v>863</v>
      </c>
      <c r="I485" s="17">
        <f t="shared" si="31"/>
        <v>537</v>
      </c>
      <c r="J485">
        <v>22</v>
      </c>
      <c r="K485" s="3" t="str">
        <f>VLOOKUP(J485,'LibSets constants'!$A$4:$B$1012,2,FALSE)</f>
        <v>DLC_BLACKWOOD</v>
      </c>
      <c r="L485" s="3" t="str">
        <f>VLOOKUP(J485,'LibSets constants'!$A$4:$C$1012,3,FALSE)</f>
        <v>Blackwood</v>
      </c>
    </row>
    <row r="486" spans="1:12" x14ac:dyDescent="0.25">
      <c r="A486" s="5">
        <v>864</v>
      </c>
      <c r="B486" s="5">
        <v>481</v>
      </c>
      <c r="C486" s="5">
        <v>103</v>
      </c>
      <c r="D486" t="s">
        <v>543</v>
      </c>
      <c r="E486" s="3" t="str">
        <f t="array" ref="E486">IF(OR(EXACT(A486,'ESO Dungeon constants'!$D$3:$D$987)),"X","")</f>
        <v/>
      </c>
      <c r="F486" s="3" t="str">
        <f t="shared" si="28"/>
        <v/>
      </c>
      <c r="G486" s="3" t="str">
        <f t="shared" si="29"/>
        <v>The Rift</v>
      </c>
      <c r="H486" s="17">
        <f t="shared" si="30"/>
        <v>864</v>
      </c>
      <c r="I486" s="17">
        <f t="shared" si="31"/>
        <v>103</v>
      </c>
      <c r="J486">
        <v>22</v>
      </c>
      <c r="K486" s="3" t="str">
        <f>VLOOKUP(J486,'LibSets constants'!$A$4:$B$1012,2,FALSE)</f>
        <v>DLC_BLACKWOOD</v>
      </c>
      <c r="L486" s="3" t="str">
        <f>VLOOKUP(J486,'LibSets constants'!$A$4:$C$1012,3,FALSE)</f>
        <v>Blackwood</v>
      </c>
    </row>
    <row r="487" spans="1:12" x14ac:dyDescent="0.25">
      <c r="A487" s="5">
        <v>865</v>
      </c>
      <c r="B487" s="5">
        <v>482</v>
      </c>
      <c r="C487" s="5">
        <v>101</v>
      </c>
      <c r="D487" t="s">
        <v>544</v>
      </c>
      <c r="E487" s="3" t="str">
        <f t="array" ref="E487">IF(OR(EXACT(A487,'ESO Dungeon constants'!$D$3:$D$987)),"X","")</f>
        <v/>
      </c>
      <c r="F487" s="3" t="str">
        <f t="shared" si="28"/>
        <v/>
      </c>
      <c r="G487" s="3" t="str">
        <f t="shared" si="29"/>
        <v>Eastmarch</v>
      </c>
      <c r="H487" s="17">
        <f t="shared" si="30"/>
        <v>865</v>
      </c>
      <c r="I487" s="17">
        <f t="shared" si="31"/>
        <v>101</v>
      </c>
      <c r="J487">
        <v>22</v>
      </c>
      <c r="K487" s="3" t="str">
        <f>VLOOKUP(J487,'LibSets constants'!$A$4:$B$1012,2,FALSE)</f>
        <v>DLC_BLACKWOOD</v>
      </c>
      <c r="L487" s="3" t="str">
        <f>VLOOKUP(J487,'LibSets constants'!$A$4:$C$1012,3,FALSE)</f>
        <v>Blackwood</v>
      </c>
    </row>
    <row r="488" spans="1:12" x14ac:dyDescent="0.25">
      <c r="A488" s="5">
        <v>866</v>
      </c>
      <c r="B488" s="5">
        <v>483</v>
      </c>
      <c r="C488" s="5">
        <v>57</v>
      </c>
      <c r="D488" t="s">
        <v>545</v>
      </c>
      <c r="E488" s="3" t="str">
        <f t="array" ref="E488">IF(OR(EXACT(A488,'ESO Dungeon constants'!$D$3:$D$987)),"X","")</f>
        <v/>
      </c>
      <c r="F488" s="3" t="str">
        <f t="shared" si="28"/>
        <v/>
      </c>
      <c r="G488" s="3" t="str">
        <f t="shared" si="29"/>
        <v>Deshaan</v>
      </c>
      <c r="H488" s="17">
        <f t="shared" si="30"/>
        <v>866</v>
      </c>
      <c r="I488" s="17">
        <f t="shared" si="31"/>
        <v>57</v>
      </c>
      <c r="J488">
        <v>22</v>
      </c>
      <c r="K488" s="3" t="str">
        <f>VLOOKUP(J488,'LibSets constants'!$A$4:$B$1012,2,FALSE)</f>
        <v>DLC_BLACKWOOD</v>
      </c>
      <c r="L488" s="3" t="str">
        <f>VLOOKUP(J488,'LibSets constants'!$A$4:$C$1012,3,FALSE)</f>
        <v>Blackwood</v>
      </c>
    </row>
    <row r="489" spans="1:12" x14ac:dyDescent="0.25">
      <c r="A489" s="5">
        <v>867</v>
      </c>
      <c r="B489" s="5">
        <v>484</v>
      </c>
      <c r="C489" s="5">
        <v>41</v>
      </c>
      <c r="D489" t="s">
        <v>546</v>
      </c>
      <c r="E489" s="3" t="str">
        <f t="array" ref="E489">IF(OR(EXACT(A489,'ESO Dungeon constants'!$D$3:$D$987)),"X","")</f>
        <v/>
      </c>
      <c r="F489" s="3" t="str">
        <f t="shared" si="28"/>
        <v/>
      </c>
      <c r="G489" s="3" t="str">
        <f t="shared" si="29"/>
        <v>Stonefalls</v>
      </c>
      <c r="H489" s="17">
        <f t="shared" si="30"/>
        <v>867</v>
      </c>
      <c r="I489" s="17">
        <f t="shared" si="31"/>
        <v>41</v>
      </c>
      <c r="J489">
        <v>22</v>
      </c>
      <c r="K489" s="3" t="str">
        <f>VLOOKUP(J489,'LibSets constants'!$A$4:$B$1012,2,FALSE)</f>
        <v>DLC_BLACKWOOD</v>
      </c>
      <c r="L489" s="3" t="str">
        <f>VLOOKUP(J489,'LibSets constants'!$A$4:$C$1012,3,FALSE)</f>
        <v>Blackwood</v>
      </c>
    </row>
    <row r="490" spans="1:12" x14ac:dyDescent="0.25">
      <c r="A490" s="5">
        <v>868</v>
      </c>
      <c r="B490" s="5">
        <v>485</v>
      </c>
      <c r="C490" s="5">
        <v>281</v>
      </c>
      <c r="D490" t="s">
        <v>547</v>
      </c>
      <c r="E490" s="3" t="str">
        <f t="array" ref="E490">IF(OR(EXACT(A490,'ESO Dungeon constants'!$D$3:$D$987)),"X","")</f>
        <v/>
      </c>
      <c r="F490" s="3" t="str">
        <f t="shared" si="28"/>
        <v/>
      </c>
      <c r="G490" s="3" t="str">
        <f t="shared" si="29"/>
        <v>Bal Foyen</v>
      </c>
      <c r="H490" s="17">
        <f t="shared" si="30"/>
        <v>868</v>
      </c>
      <c r="I490" s="17">
        <f t="shared" si="31"/>
        <v>281</v>
      </c>
      <c r="J490">
        <v>22</v>
      </c>
      <c r="K490" s="3" t="str">
        <f>VLOOKUP(J490,'LibSets constants'!$A$4:$B$1012,2,FALSE)</f>
        <v>DLC_BLACKWOOD</v>
      </c>
      <c r="L490" s="3" t="str">
        <f>VLOOKUP(J490,'LibSets constants'!$A$4:$C$1012,3,FALSE)</f>
        <v>Blackwood</v>
      </c>
    </row>
    <row r="491" spans="1:12" x14ac:dyDescent="0.25">
      <c r="A491" s="5">
        <v>869</v>
      </c>
      <c r="B491" s="5">
        <v>486</v>
      </c>
      <c r="C491" s="5">
        <v>117</v>
      </c>
      <c r="D491" t="s">
        <v>548</v>
      </c>
      <c r="E491" s="3" t="str">
        <f t="array" ref="E491">IF(OR(EXACT(A491,'ESO Dungeon constants'!$D$3:$D$987)),"X","")</f>
        <v/>
      </c>
      <c r="F491" s="3" t="str">
        <f t="shared" si="28"/>
        <v/>
      </c>
      <c r="G491" s="3" t="str">
        <f t="shared" si="29"/>
        <v>Shadowfen</v>
      </c>
      <c r="H491" s="17">
        <f t="shared" si="30"/>
        <v>869</v>
      </c>
      <c r="I491" s="17">
        <f t="shared" si="31"/>
        <v>117</v>
      </c>
      <c r="J491">
        <v>22</v>
      </c>
      <c r="K491" s="3" t="str">
        <f>VLOOKUP(J491,'LibSets constants'!$A$4:$B$1012,2,FALSE)</f>
        <v>DLC_BLACKWOOD</v>
      </c>
      <c r="L491" s="3" t="str">
        <f>VLOOKUP(J491,'LibSets constants'!$A$4:$C$1012,3,FALSE)</f>
        <v>Blackwood</v>
      </c>
    </row>
    <row r="492" spans="1:12" x14ac:dyDescent="0.25">
      <c r="A492" s="5">
        <v>870</v>
      </c>
      <c r="B492" s="5">
        <v>487</v>
      </c>
      <c r="C492" s="5">
        <v>888</v>
      </c>
      <c r="D492" t="s">
        <v>549</v>
      </c>
      <c r="E492" s="3" t="str">
        <f t="array" ref="E492">IF(OR(EXACT(A492,'ESO Dungeon constants'!$D$3:$D$987)),"X","")</f>
        <v/>
      </c>
      <c r="F492" s="3" t="str">
        <f t="shared" si="28"/>
        <v/>
      </c>
      <c r="G492" s="3" t="str">
        <f t="shared" si="29"/>
        <v>Craglorn</v>
      </c>
      <c r="H492" s="17">
        <f t="shared" si="30"/>
        <v>870</v>
      </c>
      <c r="I492" s="17">
        <f t="shared" si="31"/>
        <v>888</v>
      </c>
      <c r="J492">
        <v>22</v>
      </c>
      <c r="K492" s="3" t="str">
        <f>VLOOKUP(J492,'LibSets constants'!$A$4:$B$1012,2,FALSE)</f>
        <v>DLC_BLACKWOOD</v>
      </c>
      <c r="L492" s="3" t="str">
        <f>VLOOKUP(J492,'LibSets constants'!$A$4:$C$1012,3,FALSE)</f>
        <v>Blackwood</v>
      </c>
    </row>
    <row r="493" spans="1:12" x14ac:dyDescent="0.25">
      <c r="A493" s="5">
        <v>871</v>
      </c>
      <c r="B493" s="5">
        <v>488</v>
      </c>
      <c r="C493" s="5">
        <v>58</v>
      </c>
      <c r="D493" t="s">
        <v>550</v>
      </c>
      <c r="E493" s="3" t="str">
        <f t="array" ref="E493">IF(OR(EXACT(A493,'ESO Dungeon constants'!$D$3:$D$987)),"X","")</f>
        <v/>
      </c>
      <c r="F493" s="3" t="str">
        <f t="shared" si="28"/>
        <v/>
      </c>
      <c r="G493" s="3" t="str">
        <f t="shared" si="29"/>
        <v>Malabal Tor</v>
      </c>
      <c r="H493" s="17">
        <f t="shared" si="30"/>
        <v>871</v>
      </c>
      <c r="I493" s="17">
        <f t="shared" si="31"/>
        <v>58</v>
      </c>
      <c r="J493">
        <v>22</v>
      </c>
      <c r="K493" s="3" t="str">
        <f>VLOOKUP(J493,'LibSets constants'!$A$4:$B$1012,2,FALSE)</f>
        <v>DLC_BLACKWOOD</v>
      </c>
      <c r="L493" s="3" t="str">
        <f>VLOOKUP(J493,'LibSets constants'!$A$4:$C$1012,3,FALSE)</f>
        <v>Blackwood</v>
      </c>
    </row>
    <row r="494" spans="1:12" x14ac:dyDescent="0.25">
      <c r="A494" s="5">
        <v>872</v>
      </c>
      <c r="B494" s="5">
        <v>489</v>
      </c>
      <c r="C494" s="5">
        <v>382</v>
      </c>
      <c r="D494" t="s">
        <v>551</v>
      </c>
      <c r="E494" s="3" t="str">
        <f t="array" ref="E494">IF(OR(EXACT(A494,'ESO Dungeon constants'!$D$3:$D$987)),"X","")</f>
        <v/>
      </c>
      <c r="F494" s="3" t="str">
        <f t="shared" si="28"/>
        <v/>
      </c>
      <c r="G494" s="3" t="str">
        <f t="shared" si="29"/>
        <v>Reaper's March</v>
      </c>
      <c r="H494" s="17">
        <f t="shared" si="30"/>
        <v>872</v>
      </c>
      <c r="I494" s="17">
        <f t="shared" si="31"/>
        <v>382</v>
      </c>
      <c r="J494">
        <v>22</v>
      </c>
      <c r="K494" s="3" t="str">
        <f>VLOOKUP(J494,'LibSets constants'!$A$4:$B$1012,2,FALSE)</f>
        <v>DLC_BLACKWOOD</v>
      </c>
      <c r="L494" s="3" t="str">
        <f>VLOOKUP(J494,'LibSets constants'!$A$4:$C$1012,3,FALSE)</f>
        <v>Blackwood</v>
      </c>
    </row>
    <row r="495" spans="1:12" x14ac:dyDescent="0.25">
      <c r="A495" s="5">
        <v>873</v>
      </c>
      <c r="B495" s="5">
        <v>490</v>
      </c>
      <c r="C495" s="5">
        <v>117</v>
      </c>
      <c r="D495" t="s">
        <v>552</v>
      </c>
      <c r="E495" s="3" t="str">
        <f t="array" ref="E495">IF(OR(EXACT(A495,'ESO Dungeon constants'!$D$3:$D$987)),"X","")</f>
        <v/>
      </c>
      <c r="F495" s="3" t="str">
        <f t="shared" si="28"/>
        <v/>
      </c>
      <c r="G495" s="3" t="str">
        <f t="shared" si="29"/>
        <v>Shadowfen</v>
      </c>
      <c r="H495" s="17">
        <f t="shared" si="30"/>
        <v>873</v>
      </c>
      <c r="I495" s="17">
        <f t="shared" si="31"/>
        <v>117</v>
      </c>
      <c r="J495">
        <v>22</v>
      </c>
      <c r="K495" s="3" t="str">
        <f>VLOOKUP(J495,'LibSets constants'!$A$4:$B$1012,2,FALSE)</f>
        <v>DLC_BLACKWOOD</v>
      </c>
      <c r="L495" s="3" t="str">
        <f>VLOOKUP(J495,'LibSets constants'!$A$4:$C$1012,3,FALSE)</f>
        <v>Blackwood</v>
      </c>
    </row>
    <row r="496" spans="1:12" x14ac:dyDescent="0.25">
      <c r="A496" s="5">
        <v>874</v>
      </c>
      <c r="B496" s="5">
        <v>491</v>
      </c>
      <c r="C496" s="5">
        <v>57</v>
      </c>
      <c r="D496" t="s">
        <v>553</v>
      </c>
      <c r="E496" s="3" t="str">
        <f t="array" ref="E496">IF(OR(EXACT(A496,'ESO Dungeon constants'!$D$3:$D$987)),"X","")</f>
        <v/>
      </c>
      <c r="F496" s="3" t="str">
        <f t="shared" si="28"/>
        <v/>
      </c>
      <c r="G496" s="3" t="str">
        <f t="shared" si="29"/>
        <v>Deshaan</v>
      </c>
      <c r="H496" s="17">
        <f t="shared" si="30"/>
        <v>874</v>
      </c>
      <c r="I496" s="17">
        <f t="shared" si="31"/>
        <v>57</v>
      </c>
      <c r="J496">
        <v>22</v>
      </c>
      <c r="K496" s="3" t="str">
        <f>VLOOKUP(J496,'LibSets constants'!$A$4:$B$1012,2,FALSE)</f>
        <v>DLC_BLACKWOOD</v>
      </c>
      <c r="L496" s="3" t="str">
        <f>VLOOKUP(J496,'LibSets constants'!$A$4:$C$1012,3,FALSE)</f>
        <v>Blackwood</v>
      </c>
    </row>
    <row r="497" spans="1:12" x14ac:dyDescent="0.25">
      <c r="A497" s="5">
        <v>875</v>
      </c>
      <c r="B497" s="5">
        <v>492</v>
      </c>
      <c r="C497" s="5">
        <v>103</v>
      </c>
      <c r="D497" t="s">
        <v>554</v>
      </c>
      <c r="E497" s="3" t="str">
        <f t="array" ref="E497">IF(OR(EXACT(A497,'ESO Dungeon constants'!$D$3:$D$987)),"X","")</f>
        <v/>
      </c>
      <c r="F497" s="3" t="str">
        <f t="shared" si="28"/>
        <v/>
      </c>
      <c r="G497" s="3" t="str">
        <f t="shared" si="29"/>
        <v>The Rift</v>
      </c>
      <c r="H497" s="17">
        <f t="shared" si="30"/>
        <v>875</v>
      </c>
      <c r="I497" s="17">
        <f t="shared" si="31"/>
        <v>103</v>
      </c>
      <c r="J497">
        <v>22</v>
      </c>
      <c r="K497" s="3" t="str">
        <f>VLOOKUP(J497,'LibSets constants'!$A$4:$B$1012,2,FALSE)</f>
        <v>DLC_BLACKWOOD</v>
      </c>
      <c r="L497" s="3" t="str">
        <f>VLOOKUP(J497,'LibSets constants'!$A$4:$C$1012,3,FALSE)</f>
        <v>Blackwood</v>
      </c>
    </row>
    <row r="498" spans="1:12" x14ac:dyDescent="0.25">
      <c r="A498" s="5">
        <v>876</v>
      </c>
      <c r="B498" s="5">
        <v>493</v>
      </c>
      <c r="C498" s="5">
        <v>382</v>
      </c>
      <c r="D498" t="s">
        <v>555</v>
      </c>
      <c r="E498" s="3" t="str">
        <f t="array" ref="E498">IF(OR(EXACT(A498,'ESO Dungeon constants'!$D$3:$D$987)),"X","")</f>
        <v/>
      </c>
      <c r="F498" s="3" t="str">
        <f t="shared" si="28"/>
        <v/>
      </c>
      <c r="G498" s="3" t="str">
        <f t="shared" si="29"/>
        <v>Reaper's March</v>
      </c>
      <c r="H498" s="17">
        <f t="shared" si="30"/>
        <v>876</v>
      </c>
      <c r="I498" s="17">
        <f t="shared" si="31"/>
        <v>382</v>
      </c>
      <c r="J498">
        <v>0</v>
      </c>
      <c r="K498" s="3" t="str">
        <f>VLOOKUP(J498,'LibSets constants'!$A$4:$B$1012,2,FALSE)</f>
        <v>DLC_BASE_GAME</v>
      </c>
      <c r="L498" s="3" t="str">
        <f>VLOOKUP(J498,'LibSets constants'!$A$4:$C$1012,3,FALSE)</f>
        <v>Included in base game</v>
      </c>
    </row>
    <row r="499" spans="1:12" x14ac:dyDescent="0.25">
      <c r="A499" s="5">
        <v>877</v>
      </c>
      <c r="B499" s="5">
        <v>494</v>
      </c>
      <c r="C499" s="5">
        <v>383</v>
      </c>
      <c r="D499" t="s">
        <v>556</v>
      </c>
      <c r="E499" s="3" t="str">
        <f t="array" ref="E499">IF(OR(EXACT(A499,'ESO Dungeon constants'!$D$3:$D$987)),"X","")</f>
        <v/>
      </c>
      <c r="F499" s="3" t="str">
        <f t="shared" si="28"/>
        <v/>
      </c>
      <c r="G499" s="3" t="str">
        <f t="shared" si="29"/>
        <v>Grahtwood</v>
      </c>
      <c r="H499" s="17">
        <f t="shared" si="30"/>
        <v>877</v>
      </c>
      <c r="I499" s="17">
        <f t="shared" si="31"/>
        <v>383</v>
      </c>
      <c r="J499">
        <v>22</v>
      </c>
      <c r="K499" s="3" t="str">
        <f>VLOOKUP(J499,'LibSets constants'!$A$4:$B$1012,2,FALSE)</f>
        <v>DLC_BLACKWOOD</v>
      </c>
      <c r="L499" s="3" t="str">
        <f>VLOOKUP(J499,'LibSets constants'!$A$4:$C$1012,3,FALSE)</f>
        <v>Blackwood</v>
      </c>
    </row>
    <row r="500" spans="1:12" x14ac:dyDescent="0.25">
      <c r="A500" s="5">
        <v>878</v>
      </c>
      <c r="B500" s="5">
        <v>495</v>
      </c>
      <c r="C500" s="5">
        <v>381</v>
      </c>
      <c r="D500" t="s">
        <v>557</v>
      </c>
      <c r="E500" s="3" t="str">
        <f t="array" ref="E500">IF(OR(EXACT(A500,'ESO Dungeon constants'!$D$3:$D$987)),"X","")</f>
        <v/>
      </c>
      <c r="F500" s="3" t="str">
        <f t="shared" si="28"/>
        <v/>
      </c>
      <c r="G500" s="3" t="str">
        <f t="shared" si="29"/>
        <v>Auridon</v>
      </c>
      <c r="H500" s="17">
        <f t="shared" si="30"/>
        <v>878</v>
      </c>
      <c r="I500" s="17">
        <f t="shared" si="31"/>
        <v>381</v>
      </c>
      <c r="J500">
        <v>20</v>
      </c>
      <c r="K500" s="3" t="str">
        <f>VLOOKUP(J500,'LibSets constants'!$A$4:$B$1012,2,FALSE)</f>
        <v>DLC_MARKARTH</v>
      </c>
      <c r="L500" s="3" t="str">
        <f>VLOOKUP(J500,'LibSets constants'!$A$4:$C$1012,3,FALSE)</f>
        <v>Markarth</v>
      </c>
    </row>
    <row r="501" spans="1:12" x14ac:dyDescent="0.25">
      <c r="A501" s="5">
        <v>879</v>
      </c>
      <c r="B501" s="5">
        <v>496</v>
      </c>
      <c r="C501" s="5">
        <v>534</v>
      </c>
      <c r="D501" t="s">
        <v>558</v>
      </c>
      <c r="E501" s="3" t="str">
        <f t="array" ref="E501">IF(OR(EXACT(A501,'ESO Dungeon constants'!$D$3:$D$987)),"X","")</f>
        <v/>
      </c>
      <c r="F501" s="3" t="str">
        <f t="shared" si="28"/>
        <v/>
      </c>
      <c r="G501" s="3" t="str">
        <f t="shared" si="29"/>
        <v>Stros M'Kai</v>
      </c>
      <c r="H501" s="17">
        <f t="shared" si="30"/>
        <v>879</v>
      </c>
      <c r="I501" s="17">
        <f t="shared" si="31"/>
        <v>534</v>
      </c>
      <c r="J501">
        <v>18</v>
      </c>
      <c r="K501" s="3" t="str">
        <f>VLOOKUP(J501,'LibSets constants'!$A$4:$B$1012,2,FALSE)</f>
        <v>DLC_GREYMOOR</v>
      </c>
      <c r="L501" s="3" t="str">
        <f>VLOOKUP(J501,'LibSets constants'!$A$4:$C$1012,3,FALSE)</f>
        <v>Greymoor</v>
      </c>
    </row>
    <row r="502" spans="1:12" x14ac:dyDescent="0.25">
      <c r="A502" s="5">
        <v>880</v>
      </c>
      <c r="B502" s="5">
        <v>497</v>
      </c>
      <c r="C502" s="5">
        <v>92</v>
      </c>
      <c r="D502" t="s">
        <v>559</v>
      </c>
      <c r="E502" s="3" t="str">
        <f t="array" ref="E502">IF(OR(EXACT(A502,'ESO Dungeon constants'!$D$3:$D$987)),"X","")</f>
        <v/>
      </c>
      <c r="F502" s="3" t="str">
        <f t="shared" si="28"/>
        <v/>
      </c>
      <c r="G502" s="3" t="str">
        <f t="shared" si="29"/>
        <v>Bangkorai</v>
      </c>
      <c r="H502" s="17">
        <f t="shared" si="30"/>
        <v>880</v>
      </c>
      <c r="I502" s="17">
        <f t="shared" si="31"/>
        <v>92</v>
      </c>
      <c r="J502">
        <v>22</v>
      </c>
      <c r="K502" s="3" t="str">
        <f>VLOOKUP(J502,'LibSets constants'!$A$4:$B$1012,2,FALSE)</f>
        <v>DLC_BLACKWOOD</v>
      </c>
      <c r="L502" s="3" t="str">
        <f>VLOOKUP(J502,'LibSets constants'!$A$4:$C$1012,3,FALSE)</f>
        <v>Blackwood</v>
      </c>
    </row>
    <row r="503" spans="1:12" x14ac:dyDescent="0.25">
      <c r="A503" s="5">
        <v>881</v>
      </c>
      <c r="B503" s="5">
        <v>498</v>
      </c>
      <c r="C503" s="5">
        <v>19</v>
      </c>
      <c r="D503" t="s">
        <v>560</v>
      </c>
      <c r="E503" s="3" t="str">
        <f t="array" ref="E503">IF(OR(EXACT(A503,'ESO Dungeon constants'!$D$3:$D$987)),"X","")</f>
        <v/>
      </c>
      <c r="F503" s="3" t="str">
        <f t="shared" si="28"/>
        <v/>
      </c>
      <c r="G503" s="3" t="str">
        <f t="shared" si="29"/>
        <v>Stormhaven</v>
      </c>
      <c r="H503" s="17">
        <f t="shared" si="30"/>
        <v>881</v>
      </c>
      <c r="I503" s="17">
        <f t="shared" si="31"/>
        <v>19</v>
      </c>
      <c r="J503">
        <v>23</v>
      </c>
      <c r="K503" s="3" t="str">
        <f>VLOOKUP(J503,'LibSets constants'!$A$4:$B$1012,2,FALSE)</f>
        <v>DLC_WAKING_FLAME</v>
      </c>
      <c r="L503" s="3" t="str">
        <f>VLOOKUP(J503,'LibSets constants'!$A$4:$C$1012,3,FALSE)</f>
        <v>Waking Flame</v>
      </c>
    </row>
    <row r="504" spans="1:12" x14ac:dyDescent="0.25">
      <c r="A504" s="5">
        <v>882</v>
      </c>
      <c r="B504" s="5">
        <v>499</v>
      </c>
      <c r="C504" s="5">
        <v>383</v>
      </c>
      <c r="D504" t="s">
        <v>561</v>
      </c>
      <c r="E504" s="3" t="str">
        <f t="array" ref="E504">IF(OR(EXACT(A504,'ESO Dungeon constants'!$D$3:$D$987)),"X","")</f>
        <v/>
      </c>
      <c r="F504" s="3" t="str">
        <f t="shared" si="28"/>
        <v/>
      </c>
      <c r="G504" s="3" t="str">
        <f t="shared" si="29"/>
        <v>Grahtwood</v>
      </c>
      <c r="H504" s="17">
        <f t="shared" si="30"/>
        <v>882</v>
      </c>
      <c r="I504" s="17">
        <f t="shared" si="31"/>
        <v>383</v>
      </c>
      <c r="J504">
        <v>22</v>
      </c>
      <c r="K504" s="3" t="str">
        <f>VLOOKUP(J504,'LibSets constants'!$A$4:$B$1012,2,FALSE)</f>
        <v>DLC_BLACKWOOD</v>
      </c>
      <c r="L504" s="3" t="str">
        <f>VLOOKUP(J504,'LibSets constants'!$A$4:$C$1012,3,FALSE)</f>
        <v>Blackwood</v>
      </c>
    </row>
    <row r="505" spans="1:12" x14ac:dyDescent="0.25">
      <c r="A505" s="5">
        <v>883</v>
      </c>
      <c r="B505" s="5">
        <v>500</v>
      </c>
      <c r="C505" s="5">
        <v>888</v>
      </c>
      <c r="D505" t="s">
        <v>562</v>
      </c>
      <c r="E505" s="3" t="str">
        <f t="array" ref="E505">IF(OR(EXACT(A505,'ESO Dungeon constants'!$D$3:$D$987)),"X","")</f>
        <v/>
      </c>
      <c r="F505" s="3" t="str">
        <f t="shared" si="28"/>
        <v/>
      </c>
      <c r="G505" s="3" t="str">
        <f t="shared" si="29"/>
        <v>Craglorn</v>
      </c>
      <c r="H505" s="17">
        <f t="shared" si="30"/>
        <v>883</v>
      </c>
      <c r="I505" s="17">
        <f t="shared" si="31"/>
        <v>888</v>
      </c>
      <c r="J505">
        <v>6</v>
      </c>
      <c r="K505" s="3" t="str">
        <f>VLOOKUP(J505,'LibSets constants'!$A$4:$B$1012,2,FALSE)</f>
        <v>DLC_MORROWIND</v>
      </c>
      <c r="L505" s="3" t="str">
        <f>VLOOKUP(J505,'LibSets constants'!$A$4:$C$1012,3,FALSE)</f>
        <v>Morrowind</v>
      </c>
    </row>
    <row r="506" spans="1:12" x14ac:dyDescent="0.25">
      <c r="A506" s="5">
        <v>888</v>
      </c>
      <c r="B506" s="5">
        <v>501</v>
      </c>
      <c r="C506" s="5">
        <v>888</v>
      </c>
      <c r="D506" t="s">
        <v>563</v>
      </c>
      <c r="E506" s="3" t="str">
        <f t="array" ref="E506">IF(OR(EXACT(A506,'ESO Dungeon constants'!$D$3:$D$987)),"X","")</f>
        <v/>
      </c>
      <c r="F506" s="3" t="str">
        <f t="shared" si="28"/>
        <v>X</v>
      </c>
      <c r="G506" s="3" t="str">
        <f t="shared" si="29"/>
        <v/>
      </c>
      <c r="H506" s="17">
        <f t="shared" si="30"/>
        <v>888</v>
      </c>
      <c r="I506" s="17">
        <f t="shared" si="31"/>
        <v>888</v>
      </c>
      <c r="J506">
        <v>22</v>
      </c>
      <c r="K506" s="3" t="str">
        <f>VLOOKUP(J506,'LibSets constants'!$A$4:$B$1012,2,FALSE)</f>
        <v>DLC_BLACKWOOD</v>
      </c>
      <c r="L506" s="3" t="str">
        <f>VLOOKUP(J506,'LibSets constants'!$A$4:$C$1012,3,FALSE)</f>
        <v>Blackwood</v>
      </c>
    </row>
    <row r="507" spans="1:12" x14ac:dyDescent="0.25">
      <c r="A507" s="5">
        <v>889</v>
      </c>
      <c r="B507" s="5">
        <v>502</v>
      </c>
      <c r="C507" s="5">
        <v>888</v>
      </c>
      <c r="D507" t="s">
        <v>564</v>
      </c>
      <c r="E507" s="3" t="str">
        <f t="array" ref="E507">IF(OR(EXACT(A507,'ESO Dungeon constants'!$D$3:$D$987)),"X","")</f>
        <v/>
      </c>
      <c r="F507" s="3" t="str">
        <f t="shared" si="28"/>
        <v/>
      </c>
      <c r="G507" s="3" t="str">
        <f t="shared" si="29"/>
        <v>Craglorn</v>
      </c>
      <c r="H507" s="17">
        <f t="shared" si="30"/>
        <v>889</v>
      </c>
      <c r="I507" s="17">
        <f t="shared" si="31"/>
        <v>888</v>
      </c>
      <c r="J507">
        <v>22</v>
      </c>
      <c r="K507" s="3" t="str">
        <f>VLOOKUP(J507,'LibSets constants'!$A$4:$B$1012,2,FALSE)</f>
        <v>DLC_BLACKWOOD</v>
      </c>
      <c r="L507" s="3" t="str">
        <f>VLOOKUP(J507,'LibSets constants'!$A$4:$C$1012,3,FALSE)</f>
        <v>Blackwood</v>
      </c>
    </row>
    <row r="508" spans="1:12" x14ac:dyDescent="0.25">
      <c r="A508" s="5">
        <v>890</v>
      </c>
      <c r="B508" s="5">
        <v>503</v>
      </c>
      <c r="C508" s="5">
        <v>888</v>
      </c>
      <c r="D508" t="s">
        <v>565</v>
      </c>
      <c r="E508" s="3" t="str">
        <f t="array" ref="E508">IF(OR(EXACT(A508,'ESO Dungeon constants'!$D$3:$D$987)),"X","")</f>
        <v/>
      </c>
      <c r="F508" s="3" t="str">
        <f t="shared" si="28"/>
        <v/>
      </c>
      <c r="G508" s="3" t="str">
        <f t="shared" si="29"/>
        <v>Craglorn</v>
      </c>
      <c r="H508" s="17">
        <f t="shared" si="30"/>
        <v>890</v>
      </c>
      <c r="I508" s="17">
        <f t="shared" si="31"/>
        <v>888</v>
      </c>
      <c r="J508">
        <v>0</v>
      </c>
      <c r="K508" s="3" t="str">
        <f>VLOOKUP(J508,'LibSets constants'!$A$4:$B$1012,2,FALSE)</f>
        <v>DLC_BASE_GAME</v>
      </c>
      <c r="L508" s="3" t="str">
        <f>VLOOKUP(J508,'LibSets constants'!$A$4:$C$1012,3,FALSE)</f>
        <v>Included in base game</v>
      </c>
    </row>
    <row r="509" spans="1:12" x14ac:dyDescent="0.25">
      <c r="A509" s="5">
        <v>891</v>
      </c>
      <c r="B509" s="5">
        <v>504</v>
      </c>
      <c r="C509" s="5">
        <v>888</v>
      </c>
      <c r="D509" t="s">
        <v>566</v>
      </c>
      <c r="E509" s="3" t="str">
        <f t="array" ref="E509">IF(OR(EXACT(A509,'ESO Dungeon constants'!$D$3:$D$987)),"X","")</f>
        <v/>
      </c>
      <c r="F509" s="3" t="str">
        <f t="shared" si="28"/>
        <v/>
      </c>
      <c r="G509" s="3" t="str">
        <f t="shared" si="29"/>
        <v>Craglorn</v>
      </c>
      <c r="H509" s="17">
        <f t="shared" si="30"/>
        <v>891</v>
      </c>
      <c r="I509" s="17">
        <f t="shared" si="31"/>
        <v>888</v>
      </c>
      <c r="J509">
        <v>0</v>
      </c>
      <c r="K509" s="3" t="str">
        <f>VLOOKUP(J509,'LibSets constants'!$A$4:$B$1012,2,FALSE)</f>
        <v>DLC_BASE_GAME</v>
      </c>
      <c r="L509" s="3" t="str">
        <f>VLOOKUP(J509,'LibSets constants'!$A$4:$C$1012,3,FALSE)</f>
        <v>Included in base game</v>
      </c>
    </row>
    <row r="510" spans="1:12" x14ac:dyDescent="0.25">
      <c r="A510" s="5">
        <v>892</v>
      </c>
      <c r="B510" s="5">
        <v>505</v>
      </c>
      <c r="C510" s="5">
        <v>888</v>
      </c>
      <c r="D510" t="s">
        <v>567</v>
      </c>
      <c r="E510" s="3" t="str">
        <f t="array" ref="E510">IF(OR(EXACT(A510,'ESO Dungeon constants'!$D$3:$D$987)),"X","")</f>
        <v/>
      </c>
      <c r="F510" s="3" t="str">
        <f t="shared" si="28"/>
        <v/>
      </c>
      <c r="G510" s="3" t="str">
        <f t="shared" si="29"/>
        <v>Craglorn</v>
      </c>
      <c r="H510" s="17">
        <f t="shared" si="30"/>
        <v>892</v>
      </c>
      <c r="I510" s="17">
        <f t="shared" si="31"/>
        <v>888</v>
      </c>
      <c r="J510">
        <v>0</v>
      </c>
      <c r="K510" s="3" t="str">
        <f>VLOOKUP(J510,'LibSets constants'!$A$4:$B$1012,2,FALSE)</f>
        <v>DLC_BASE_GAME</v>
      </c>
      <c r="L510" s="3" t="str">
        <f>VLOOKUP(J510,'LibSets constants'!$A$4:$C$1012,3,FALSE)</f>
        <v>Included in base game</v>
      </c>
    </row>
    <row r="511" spans="1:12" x14ac:dyDescent="0.25">
      <c r="A511" s="5">
        <v>893</v>
      </c>
      <c r="B511" s="5">
        <v>506</v>
      </c>
      <c r="C511" s="5">
        <v>888</v>
      </c>
      <c r="D511" t="s">
        <v>568</v>
      </c>
      <c r="E511" s="3" t="str">
        <f t="array" ref="E511">IF(OR(EXACT(A511,'ESO Dungeon constants'!$D$3:$D$987)),"X","")</f>
        <v/>
      </c>
      <c r="F511" s="3" t="str">
        <f t="shared" si="28"/>
        <v/>
      </c>
      <c r="G511" s="3" t="str">
        <f t="shared" si="29"/>
        <v>Craglorn</v>
      </c>
      <c r="H511" s="17">
        <f t="shared" si="30"/>
        <v>893</v>
      </c>
      <c r="I511" s="17">
        <f t="shared" si="31"/>
        <v>888</v>
      </c>
      <c r="J511">
        <v>0</v>
      </c>
      <c r="K511" s="3" t="str">
        <f>VLOOKUP(J511,'LibSets constants'!$A$4:$B$1012,2,FALSE)</f>
        <v>DLC_BASE_GAME</v>
      </c>
      <c r="L511" s="3" t="str">
        <f>VLOOKUP(J511,'LibSets constants'!$A$4:$C$1012,3,FALSE)</f>
        <v>Included in base game</v>
      </c>
    </row>
    <row r="512" spans="1:12" x14ac:dyDescent="0.25">
      <c r="A512" s="5">
        <v>894</v>
      </c>
      <c r="B512" s="5">
        <v>507</v>
      </c>
      <c r="C512" s="5">
        <v>888</v>
      </c>
      <c r="D512" t="s">
        <v>569</v>
      </c>
      <c r="E512" s="3" t="str">
        <f t="array" ref="E512">IF(OR(EXACT(A512,'ESO Dungeon constants'!$D$3:$D$987)),"X","")</f>
        <v/>
      </c>
      <c r="F512" s="3" t="str">
        <f t="shared" si="28"/>
        <v/>
      </c>
      <c r="G512" s="3" t="str">
        <f t="shared" si="29"/>
        <v>Craglorn</v>
      </c>
      <c r="H512" s="17">
        <f t="shared" si="30"/>
        <v>894</v>
      </c>
      <c r="I512" s="17">
        <f t="shared" si="31"/>
        <v>888</v>
      </c>
      <c r="J512">
        <v>24</v>
      </c>
      <c r="K512" s="3" t="str">
        <f>VLOOKUP(J512,'LibSets constants'!$A$4:$B$1012,2,FALSE)</f>
        <v>DLC_DEADLANDS</v>
      </c>
      <c r="L512" s="3" t="str">
        <f>VLOOKUP(J512,'LibSets constants'!$A$4:$C$1012,3,FALSE)</f>
        <v>The Deadlands</v>
      </c>
    </row>
    <row r="513" spans="1:12" x14ac:dyDescent="0.25">
      <c r="A513" s="5">
        <v>895</v>
      </c>
      <c r="B513" s="5">
        <v>508</v>
      </c>
      <c r="C513" s="5">
        <v>888</v>
      </c>
      <c r="D513" t="s">
        <v>2422</v>
      </c>
      <c r="E513" s="3" t="str">
        <f t="array" ref="E513">IF(OR(EXACT(A513,'ESO Dungeon constants'!$D$3:$D$987)),"X","")</f>
        <v/>
      </c>
      <c r="F513" s="3" t="str">
        <f t="shared" si="28"/>
        <v/>
      </c>
      <c r="G513" s="3" t="str">
        <f t="shared" si="29"/>
        <v>Craglorn</v>
      </c>
      <c r="H513" s="17">
        <f t="shared" si="30"/>
        <v>895</v>
      </c>
      <c r="I513" s="17">
        <f t="shared" si="31"/>
        <v>888</v>
      </c>
      <c r="J513">
        <v>24</v>
      </c>
      <c r="K513" s="3" t="str">
        <f>VLOOKUP(J513,'LibSets constants'!$A$4:$B$1012,2,FALSE)</f>
        <v>DLC_DEADLANDS</v>
      </c>
      <c r="L513" s="3" t="str">
        <f>VLOOKUP(J513,'LibSets constants'!$A$4:$C$1012,3,FALSE)</f>
        <v>The Deadlands</v>
      </c>
    </row>
    <row r="514" spans="1:12" x14ac:dyDescent="0.25">
      <c r="A514" s="5">
        <v>896</v>
      </c>
      <c r="B514" s="5">
        <v>509</v>
      </c>
      <c r="C514" s="5">
        <v>888</v>
      </c>
      <c r="D514" t="s">
        <v>570</v>
      </c>
      <c r="E514" s="3" t="str">
        <f t="array" ref="E514">IF(OR(EXACT(A514,'ESO Dungeon constants'!$D$3:$D$987)),"X","")</f>
        <v/>
      </c>
      <c r="F514" s="3" t="str">
        <f t="shared" si="28"/>
        <v/>
      </c>
      <c r="G514" s="3" t="str">
        <f t="shared" si="29"/>
        <v>Craglorn</v>
      </c>
      <c r="H514" s="17">
        <f t="shared" si="30"/>
        <v>896</v>
      </c>
      <c r="I514" s="17">
        <f t="shared" si="31"/>
        <v>888</v>
      </c>
      <c r="J514">
        <v>24</v>
      </c>
      <c r="K514" s="3" t="str">
        <f>VLOOKUP(J514,'LibSets constants'!$A$4:$B$1012,2,FALSE)</f>
        <v>DLC_DEADLANDS</v>
      </c>
      <c r="L514" s="3" t="str">
        <f>VLOOKUP(J514,'LibSets constants'!$A$4:$C$1012,3,FALSE)</f>
        <v>The Deadlands</v>
      </c>
    </row>
    <row r="515" spans="1:12" x14ac:dyDescent="0.25">
      <c r="A515" s="5">
        <v>897</v>
      </c>
      <c r="B515" s="5">
        <v>510</v>
      </c>
      <c r="C515" s="5">
        <v>888</v>
      </c>
      <c r="D515" t="s">
        <v>571</v>
      </c>
      <c r="E515" s="3" t="str">
        <f t="array" ref="E515">IF(OR(EXACT(A515,'ESO Dungeon constants'!$D$3:$D$987)),"X","")</f>
        <v/>
      </c>
      <c r="F515" s="3" t="str">
        <f t="shared" si="28"/>
        <v/>
      </c>
      <c r="G515" s="3" t="str">
        <f t="shared" si="29"/>
        <v>Craglorn</v>
      </c>
      <c r="H515" s="17">
        <f t="shared" si="30"/>
        <v>897</v>
      </c>
      <c r="I515" s="17">
        <f t="shared" si="31"/>
        <v>888</v>
      </c>
      <c r="J515">
        <v>24</v>
      </c>
      <c r="K515" s="3" t="str">
        <f>VLOOKUP(J515,'LibSets constants'!$A$4:$B$1012,2,FALSE)</f>
        <v>DLC_DEADLANDS</v>
      </c>
      <c r="L515" s="3" t="str">
        <f>VLOOKUP(J515,'LibSets constants'!$A$4:$C$1012,3,FALSE)</f>
        <v>The Deadlands</v>
      </c>
    </row>
    <row r="516" spans="1:12" x14ac:dyDescent="0.25">
      <c r="A516" s="5">
        <v>898</v>
      </c>
      <c r="B516" s="5">
        <v>511</v>
      </c>
      <c r="C516" s="5">
        <v>888</v>
      </c>
      <c r="D516" t="s">
        <v>572</v>
      </c>
      <c r="E516" s="3" t="str">
        <f t="array" ref="E516">IF(OR(EXACT(A516,'ESO Dungeon constants'!$D$3:$D$987)),"X","")</f>
        <v/>
      </c>
      <c r="F516" s="3" t="str">
        <f t="shared" si="28"/>
        <v/>
      </c>
      <c r="G516" s="3" t="str">
        <f t="shared" si="29"/>
        <v>Craglorn</v>
      </c>
      <c r="H516" s="17">
        <f t="shared" si="30"/>
        <v>898</v>
      </c>
      <c r="I516" s="17">
        <f t="shared" si="31"/>
        <v>888</v>
      </c>
      <c r="J516">
        <v>24</v>
      </c>
      <c r="K516" s="3" t="str">
        <f>VLOOKUP(J516,'LibSets constants'!$A$4:$B$1012,2,FALSE)</f>
        <v>DLC_DEADLANDS</v>
      </c>
      <c r="L516" s="3" t="str">
        <f>VLOOKUP(J516,'LibSets constants'!$A$4:$C$1012,3,FALSE)</f>
        <v>The Deadlands</v>
      </c>
    </row>
    <row r="517" spans="1:12" x14ac:dyDescent="0.25">
      <c r="A517" s="5">
        <v>899</v>
      </c>
      <c r="B517" s="5">
        <v>512</v>
      </c>
      <c r="C517" s="5">
        <v>888</v>
      </c>
      <c r="D517" t="s">
        <v>573</v>
      </c>
      <c r="E517" s="3" t="str">
        <f t="array" ref="E517">IF(OR(EXACT(A517,'ESO Dungeon constants'!$D$3:$D$987)),"X","")</f>
        <v/>
      </c>
      <c r="F517" s="3" t="str">
        <f t="shared" ref="F517:F580" si="32">IF(EXACT(A517,C517),"X","")</f>
        <v/>
      </c>
      <c r="G517" s="3" t="str">
        <f t="shared" ref="G517:G580" si="33">IF(A517&lt;&gt;C517,VLOOKUP(C517,$A$5:$D$9954,4,FALSE),"")</f>
        <v>Craglorn</v>
      </c>
      <c r="H517" s="17">
        <f t="shared" ref="H517:H580" si="34">A517</f>
        <v>899</v>
      </c>
      <c r="I517" s="17">
        <f t="shared" ref="I517:I580" si="35">C517</f>
        <v>888</v>
      </c>
      <c r="J517">
        <v>24</v>
      </c>
      <c r="K517" s="3" t="str">
        <f>VLOOKUP(J517,'LibSets constants'!$A$4:$B$1012,2,FALSE)</f>
        <v>DLC_DEADLANDS</v>
      </c>
      <c r="L517" s="3" t="str">
        <f>VLOOKUP(J517,'LibSets constants'!$A$4:$C$1012,3,FALSE)</f>
        <v>The Deadlands</v>
      </c>
    </row>
    <row r="518" spans="1:12" x14ac:dyDescent="0.25">
      <c r="A518" s="5">
        <v>900</v>
      </c>
      <c r="B518" s="5">
        <v>513</v>
      </c>
      <c r="C518" s="5">
        <v>888</v>
      </c>
      <c r="D518" t="s">
        <v>574</v>
      </c>
      <c r="E518" s="3" t="str">
        <f t="array" ref="E518">IF(OR(EXACT(A518,'ESO Dungeon constants'!$D$3:$D$987)),"X","")</f>
        <v/>
      </c>
      <c r="F518" s="3" t="str">
        <f t="shared" si="32"/>
        <v/>
      </c>
      <c r="G518" s="3" t="str">
        <f t="shared" si="33"/>
        <v>Craglorn</v>
      </c>
      <c r="H518" s="17">
        <f t="shared" si="34"/>
        <v>900</v>
      </c>
      <c r="I518" s="17">
        <f t="shared" si="35"/>
        <v>888</v>
      </c>
      <c r="J518">
        <v>24</v>
      </c>
      <c r="K518" s="3" t="str">
        <f>VLOOKUP(J518,'LibSets constants'!$A$4:$B$1012,2,FALSE)</f>
        <v>DLC_DEADLANDS</v>
      </c>
      <c r="L518" s="3" t="str">
        <f>VLOOKUP(J518,'LibSets constants'!$A$4:$C$1012,3,FALSE)</f>
        <v>The Deadlands</v>
      </c>
    </row>
    <row r="519" spans="1:12" x14ac:dyDescent="0.25">
      <c r="A519" s="5">
        <v>901</v>
      </c>
      <c r="B519" s="5">
        <v>514</v>
      </c>
      <c r="C519" s="5">
        <v>888</v>
      </c>
      <c r="D519" t="s">
        <v>575</v>
      </c>
      <c r="E519" s="3" t="str">
        <f t="array" ref="E519">IF(OR(EXACT(A519,'ESO Dungeon constants'!$D$3:$D$987)),"X","")</f>
        <v/>
      </c>
      <c r="F519" s="3" t="str">
        <f t="shared" si="32"/>
        <v/>
      </c>
      <c r="G519" s="3" t="str">
        <f t="shared" si="33"/>
        <v>Craglorn</v>
      </c>
      <c r="H519" s="17">
        <f t="shared" si="34"/>
        <v>901</v>
      </c>
      <c r="I519" s="17">
        <f t="shared" si="35"/>
        <v>888</v>
      </c>
      <c r="J519">
        <v>24</v>
      </c>
      <c r="K519" s="3" t="str">
        <f>VLOOKUP(J519,'LibSets constants'!$A$4:$B$1012,2,FALSE)</f>
        <v>DLC_DEADLANDS</v>
      </c>
      <c r="L519" s="3" t="str">
        <f>VLOOKUP(J519,'LibSets constants'!$A$4:$C$1012,3,FALSE)</f>
        <v>The Deadlands</v>
      </c>
    </row>
    <row r="520" spans="1:12" x14ac:dyDescent="0.25">
      <c r="A520" s="5">
        <v>902</v>
      </c>
      <c r="B520" s="5">
        <v>515</v>
      </c>
      <c r="C520" s="5">
        <v>888</v>
      </c>
      <c r="D520" t="s">
        <v>576</v>
      </c>
      <c r="E520" s="3" t="str">
        <f t="array" ref="E520">IF(OR(EXACT(A520,'ESO Dungeon constants'!$D$3:$D$987)),"X","")</f>
        <v/>
      </c>
      <c r="F520" s="3" t="str">
        <f t="shared" si="32"/>
        <v/>
      </c>
      <c r="G520" s="3" t="str">
        <f t="shared" si="33"/>
        <v>Craglorn</v>
      </c>
      <c r="H520" s="17">
        <f t="shared" si="34"/>
        <v>902</v>
      </c>
      <c r="I520" s="17">
        <f t="shared" si="35"/>
        <v>888</v>
      </c>
      <c r="J520">
        <v>24</v>
      </c>
      <c r="K520" s="3" t="str">
        <f>VLOOKUP(J520,'LibSets constants'!$A$4:$B$1012,2,FALSE)</f>
        <v>DLC_DEADLANDS</v>
      </c>
      <c r="L520" s="3" t="str">
        <f>VLOOKUP(J520,'LibSets constants'!$A$4:$C$1012,3,FALSE)</f>
        <v>The Deadlands</v>
      </c>
    </row>
    <row r="521" spans="1:12" x14ac:dyDescent="0.25">
      <c r="A521" s="5">
        <v>903</v>
      </c>
      <c r="B521" s="5">
        <v>516</v>
      </c>
      <c r="C521" s="5">
        <v>888</v>
      </c>
      <c r="D521" t="s">
        <v>577</v>
      </c>
      <c r="E521" s="3" t="str">
        <f t="array" ref="E521">IF(OR(EXACT(A521,'ESO Dungeon constants'!$D$3:$D$987)),"X","")</f>
        <v/>
      </c>
      <c r="F521" s="3" t="str">
        <f t="shared" si="32"/>
        <v/>
      </c>
      <c r="G521" s="3" t="str">
        <f t="shared" si="33"/>
        <v>Craglorn</v>
      </c>
      <c r="H521" s="17">
        <f t="shared" si="34"/>
        <v>903</v>
      </c>
      <c r="I521" s="17">
        <f t="shared" si="35"/>
        <v>888</v>
      </c>
      <c r="J521">
        <v>24</v>
      </c>
      <c r="K521" s="3" t="str">
        <f>VLOOKUP(J521,'LibSets constants'!$A$4:$B$1012,2,FALSE)</f>
        <v>DLC_DEADLANDS</v>
      </c>
      <c r="L521" s="3" t="str">
        <f>VLOOKUP(J521,'LibSets constants'!$A$4:$C$1012,3,FALSE)</f>
        <v>The Deadlands</v>
      </c>
    </row>
    <row r="522" spans="1:12" x14ac:dyDescent="0.25">
      <c r="A522" s="5">
        <v>904</v>
      </c>
      <c r="B522" s="5">
        <v>517</v>
      </c>
      <c r="C522" s="5">
        <v>888</v>
      </c>
      <c r="D522" t="s">
        <v>578</v>
      </c>
      <c r="E522" s="3" t="str">
        <f t="array" ref="E522">IF(OR(EXACT(A522,'ESO Dungeon constants'!$D$3:$D$987)),"X","")</f>
        <v/>
      </c>
      <c r="F522" s="3" t="str">
        <f t="shared" si="32"/>
        <v/>
      </c>
      <c r="G522" s="3" t="str">
        <f t="shared" si="33"/>
        <v>Craglorn</v>
      </c>
      <c r="H522" s="17">
        <f t="shared" si="34"/>
        <v>904</v>
      </c>
      <c r="I522" s="17">
        <f t="shared" si="35"/>
        <v>888</v>
      </c>
      <c r="J522">
        <v>24</v>
      </c>
      <c r="K522" s="3" t="str">
        <f>VLOOKUP(J522,'LibSets constants'!$A$4:$B$1012,2,FALSE)</f>
        <v>DLC_DEADLANDS</v>
      </c>
      <c r="L522" s="3" t="str">
        <f>VLOOKUP(J522,'LibSets constants'!$A$4:$C$1012,3,FALSE)</f>
        <v>The Deadlands</v>
      </c>
    </row>
    <row r="523" spans="1:12" x14ac:dyDescent="0.25">
      <c r="A523" s="5">
        <v>905</v>
      </c>
      <c r="B523" s="5">
        <v>518</v>
      </c>
      <c r="C523" s="5">
        <v>888</v>
      </c>
      <c r="D523" t="s">
        <v>579</v>
      </c>
      <c r="E523" s="3" t="str">
        <f t="array" ref="E523">IF(OR(EXACT(A523,'ESO Dungeon constants'!$D$3:$D$987)),"X","")</f>
        <v/>
      </c>
      <c r="F523" s="3" t="str">
        <f t="shared" si="32"/>
        <v/>
      </c>
      <c r="G523" s="3" t="str">
        <f t="shared" si="33"/>
        <v>Craglorn</v>
      </c>
      <c r="H523" s="17">
        <f t="shared" si="34"/>
        <v>905</v>
      </c>
      <c r="I523" s="17">
        <f t="shared" si="35"/>
        <v>888</v>
      </c>
      <c r="J523">
        <v>24</v>
      </c>
      <c r="K523" s="3" t="str">
        <f>VLOOKUP(J523,'LibSets constants'!$A$4:$B$1012,2,FALSE)</f>
        <v>DLC_DEADLANDS</v>
      </c>
      <c r="L523" s="3" t="str">
        <f>VLOOKUP(J523,'LibSets constants'!$A$4:$C$1012,3,FALSE)</f>
        <v>The Deadlands</v>
      </c>
    </row>
    <row r="524" spans="1:12" x14ac:dyDescent="0.25">
      <c r="A524" s="5">
        <v>906</v>
      </c>
      <c r="B524" s="5">
        <v>519</v>
      </c>
      <c r="C524" s="5">
        <v>888</v>
      </c>
      <c r="D524" t="s">
        <v>580</v>
      </c>
      <c r="E524" s="3" t="str">
        <f t="array" ref="E524">IF(OR(EXACT(A524,'ESO Dungeon constants'!$D$3:$D$987)),"X","")</f>
        <v/>
      </c>
      <c r="F524" s="3" t="str">
        <f t="shared" si="32"/>
        <v/>
      </c>
      <c r="G524" s="3" t="str">
        <f t="shared" si="33"/>
        <v>Craglorn</v>
      </c>
      <c r="H524" s="17">
        <f t="shared" si="34"/>
        <v>906</v>
      </c>
      <c r="I524" s="17">
        <f t="shared" si="35"/>
        <v>888</v>
      </c>
      <c r="J524">
        <v>24</v>
      </c>
      <c r="K524" s="3" t="str">
        <f>VLOOKUP(J524,'LibSets constants'!$A$4:$B$1012,2,FALSE)</f>
        <v>DLC_DEADLANDS</v>
      </c>
      <c r="L524" s="3" t="str">
        <f>VLOOKUP(J524,'LibSets constants'!$A$4:$C$1012,3,FALSE)</f>
        <v>The Deadlands</v>
      </c>
    </row>
    <row r="525" spans="1:12" x14ac:dyDescent="0.25">
      <c r="A525" s="5">
        <v>907</v>
      </c>
      <c r="B525" s="5">
        <v>520</v>
      </c>
      <c r="C525" s="5">
        <v>888</v>
      </c>
      <c r="D525" t="s">
        <v>3923</v>
      </c>
      <c r="E525" s="3" t="str">
        <f t="array" ref="E525">IF(OR(EXACT(A525,'ESO Dungeon constants'!$D$3:$D$987)),"X","")</f>
        <v/>
      </c>
      <c r="F525" s="3" t="str">
        <f t="shared" si="32"/>
        <v/>
      </c>
      <c r="G525" s="3" t="str">
        <f t="shared" si="33"/>
        <v>Craglorn</v>
      </c>
      <c r="H525" s="17">
        <f t="shared" si="34"/>
        <v>907</v>
      </c>
      <c r="I525" s="17">
        <f t="shared" si="35"/>
        <v>888</v>
      </c>
      <c r="J525">
        <v>24</v>
      </c>
      <c r="K525" s="3" t="str">
        <f>VLOOKUP(J525,'LibSets constants'!$A$4:$B$1012,2,FALSE)</f>
        <v>DLC_DEADLANDS</v>
      </c>
      <c r="L525" s="3" t="str">
        <f>VLOOKUP(J525,'LibSets constants'!$A$4:$C$1012,3,FALSE)</f>
        <v>The Deadlands</v>
      </c>
    </row>
    <row r="526" spans="1:12" x14ac:dyDescent="0.25">
      <c r="A526" s="5">
        <v>908</v>
      </c>
      <c r="B526" s="5">
        <v>521</v>
      </c>
      <c r="C526" s="5">
        <v>888</v>
      </c>
      <c r="D526" t="s">
        <v>581</v>
      </c>
      <c r="E526" s="3" t="str">
        <f t="array" ref="E526">IF(OR(EXACT(A526,'ESO Dungeon constants'!$D$3:$D$987)),"X","")</f>
        <v/>
      </c>
      <c r="F526" s="3" t="str">
        <f t="shared" si="32"/>
        <v/>
      </c>
      <c r="G526" s="3" t="str">
        <f t="shared" si="33"/>
        <v>Craglorn</v>
      </c>
      <c r="H526" s="17">
        <f t="shared" si="34"/>
        <v>908</v>
      </c>
      <c r="I526" s="17">
        <f t="shared" si="35"/>
        <v>888</v>
      </c>
      <c r="J526">
        <v>24</v>
      </c>
      <c r="K526" s="3" t="str">
        <f>VLOOKUP(J526,'LibSets constants'!$A$4:$B$1012,2,FALSE)</f>
        <v>DLC_DEADLANDS</v>
      </c>
      <c r="L526" s="3" t="str">
        <f>VLOOKUP(J526,'LibSets constants'!$A$4:$C$1012,3,FALSE)</f>
        <v>The Deadlands</v>
      </c>
    </row>
    <row r="527" spans="1:12" x14ac:dyDescent="0.25">
      <c r="A527" s="5">
        <v>909</v>
      </c>
      <c r="B527" s="5">
        <v>522</v>
      </c>
      <c r="C527" s="5">
        <v>888</v>
      </c>
      <c r="D527" t="s">
        <v>582</v>
      </c>
      <c r="E527" s="3" t="str">
        <f t="array" ref="E527">IF(OR(EXACT(A527,'ESO Dungeon constants'!$D$3:$D$987)),"X","")</f>
        <v/>
      </c>
      <c r="F527" s="3" t="str">
        <f t="shared" si="32"/>
        <v/>
      </c>
      <c r="G527" s="3" t="str">
        <f t="shared" si="33"/>
        <v>Craglorn</v>
      </c>
      <c r="H527" s="17">
        <f t="shared" si="34"/>
        <v>909</v>
      </c>
      <c r="I527" s="17">
        <f t="shared" si="35"/>
        <v>888</v>
      </c>
      <c r="J527">
        <v>24</v>
      </c>
      <c r="K527" s="3" t="str">
        <f>VLOOKUP(J527,'LibSets constants'!$A$4:$B$1012,2,FALSE)</f>
        <v>DLC_DEADLANDS</v>
      </c>
      <c r="L527" s="3" t="str">
        <f>VLOOKUP(J527,'LibSets constants'!$A$4:$C$1012,3,FALSE)</f>
        <v>The Deadlands</v>
      </c>
    </row>
    <row r="528" spans="1:12" x14ac:dyDescent="0.25">
      <c r="A528" s="5">
        <v>910</v>
      </c>
      <c r="B528" s="5">
        <v>523</v>
      </c>
      <c r="C528" s="5">
        <v>888</v>
      </c>
      <c r="D528" t="s">
        <v>583</v>
      </c>
      <c r="E528" s="3" t="str">
        <f t="array" ref="E528">IF(OR(EXACT(A528,'ESO Dungeon constants'!$D$3:$D$987)),"X","")</f>
        <v/>
      </c>
      <c r="F528" s="3" t="str">
        <f t="shared" si="32"/>
        <v/>
      </c>
      <c r="G528" s="3" t="str">
        <f t="shared" si="33"/>
        <v>Craglorn</v>
      </c>
      <c r="H528" s="17">
        <f t="shared" si="34"/>
        <v>910</v>
      </c>
      <c r="I528" s="17">
        <f t="shared" si="35"/>
        <v>888</v>
      </c>
      <c r="J528">
        <v>24</v>
      </c>
      <c r="K528" s="3" t="str">
        <f>VLOOKUP(J528,'LibSets constants'!$A$4:$B$1012,2,FALSE)</f>
        <v>DLC_DEADLANDS</v>
      </c>
      <c r="L528" s="3" t="str">
        <f>VLOOKUP(J528,'LibSets constants'!$A$4:$C$1012,3,FALSE)</f>
        <v>The Deadlands</v>
      </c>
    </row>
    <row r="529" spans="1:12" x14ac:dyDescent="0.25">
      <c r="A529" s="5">
        <v>911</v>
      </c>
      <c r="B529" s="5">
        <v>524</v>
      </c>
      <c r="C529" s="5">
        <v>888</v>
      </c>
      <c r="D529" t="s">
        <v>584</v>
      </c>
      <c r="E529" s="3" t="str">
        <f t="array" ref="E529">IF(OR(EXACT(A529,'ESO Dungeon constants'!$D$3:$D$987)),"X","")</f>
        <v/>
      </c>
      <c r="F529" s="3" t="str">
        <f t="shared" si="32"/>
        <v/>
      </c>
      <c r="G529" s="3" t="str">
        <f t="shared" si="33"/>
        <v>Craglorn</v>
      </c>
      <c r="H529" s="17">
        <f t="shared" si="34"/>
        <v>911</v>
      </c>
      <c r="I529" s="17">
        <f t="shared" si="35"/>
        <v>888</v>
      </c>
      <c r="J529">
        <v>24</v>
      </c>
      <c r="K529" s="3" t="str">
        <f>VLOOKUP(J529,'LibSets constants'!$A$4:$B$1012,2,FALSE)</f>
        <v>DLC_DEADLANDS</v>
      </c>
      <c r="L529" s="3" t="str">
        <f>VLOOKUP(J529,'LibSets constants'!$A$4:$C$1012,3,FALSE)</f>
        <v>The Deadlands</v>
      </c>
    </row>
    <row r="530" spans="1:12" x14ac:dyDescent="0.25">
      <c r="A530" s="5">
        <v>913</v>
      </c>
      <c r="B530" s="5">
        <v>525</v>
      </c>
      <c r="C530" s="5">
        <v>888</v>
      </c>
      <c r="D530" t="s">
        <v>585</v>
      </c>
      <c r="E530" s="3" t="str">
        <f t="array" ref="E530">IF(OR(EXACT(A530,'ESO Dungeon constants'!$D$3:$D$987)),"X","")</f>
        <v/>
      </c>
      <c r="F530" s="3" t="str">
        <f t="shared" si="32"/>
        <v/>
      </c>
      <c r="G530" s="3" t="str">
        <f t="shared" si="33"/>
        <v>Craglorn</v>
      </c>
      <c r="H530" s="17">
        <f t="shared" si="34"/>
        <v>913</v>
      </c>
      <c r="I530" s="17">
        <f t="shared" si="35"/>
        <v>888</v>
      </c>
      <c r="J530">
        <v>25</v>
      </c>
      <c r="K530" s="3" t="str">
        <f>VLOOKUP(J530,'LibSets constants'!$A$4:$B$1012,2,FALSE)</f>
        <v>DLC_ASCENDING_TIDE</v>
      </c>
      <c r="L530" s="3" t="str">
        <f>VLOOKUP(J530,'LibSets constants'!$A$4:$C$1012,3,FALSE)</f>
        <v>Ascending Tide</v>
      </c>
    </row>
    <row r="531" spans="1:12" x14ac:dyDescent="0.25">
      <c r="A531" s="5">
        <v>914</v>
      </c>
      <c r="B531" s="5">
        <v>526</v>
      </c>
      <c r="C531" s="5">
        <v>888</v>
      </c>
      <c r="D531" t="s">
        <v>586</v>
      </c>
      <c r="E531" s="3" t="str">
        <f t="array" ref="E531">IF(OR(EXACT(A531,'ESO Dungeon constants'!$D$3:$D$987)),"X","")</f>
        <v/>
      </c>
      <c r="F531" s="3" t="str">
        <f t="shared" si="32"/>
        <v/>
      </c>
      <c r="G531" s="3" t="str">
        <f t="shared" si="33"/>
        <v>Craglorn</v>
      </c>
      <c r="H531" s="17">
        <f t="shared" si="34"/>
        <v>914</v>
      </c>
      <c r="I531" s="17">
        <f t="shared" si="35"/>
        <v>888</v>
      </c>
      <c r="J531">
        <v>24</v>
      </c>
      <c r="K531" s="3" t="str">
        <f>VLOOKUP(J531,'LibSets constants'!$A$4:$B$1012,2,FALSE)</f>
        <v>DLC_DEADLANDS</v>
      </c>
      <c r="L531" s="3" t="str">
        <f>VLOOKUP(J531,'LibSets constants'!$A$4:$C$1012,3,FALSE)</f>
        <v>The Deadlands</v>
      </c>
    </row>
    <row r="532" spans="1:12" x14ac:dyDescent="0.25">
      <c r="A532" s="5">
        <v>915</v>
      </c>
      <c r="B532" s="5">
        <v>527</v>
      </c>
      <c r="C532" s="5">
        <v>888</v>
      </c>
      <c r="D532" t="s">
        <v>587</v>
      </c>
      <c r="E532" s="3" t="str">
        <f t="array" ref="E532">IF(OR(EXACT(A532,'ESO Dungeon constants'!$D$3:$D$987)),"X","")</f>
        <v/>
      </c>
      <c r="F532" s="3" t="str">
        <f t="shared" si="32"/>
        <v/>
      </c>
      <c r="G532" s="3" t="str">
        <f t="shared" si="33"/>
        <v>Craglorn</v>
      </c>
      <c r="H532" s="17">
        <f t="shared" si="34"/>
        <v>915</v>
      </c>
      <c r="I532" s="17">
        <f t="shared" si="35"/>
        <v>888</v>
      </c>
      <c r="J532">
        <v>0</v>
      </c>
      <c r="K532" s="3" t="str">
        <f>VLOOKUP(J532,'LibSets constants'!$A$4:$B$1012,2,FALSE)</f>
        <v>DLC_BASE_GAME</v>
      </c>
      <c r="L532" s="3" t="str">
        <f>VLOOKUP(J532,'LibSets constants'!$A$4:$C$1012,3,FALSE)</f>
        <v>Included in base game</v>
      </c>
    </row>
    <row r="533" spans="1:12" x14ac:dyDescent="0.25">
      <c r="A533" s="5">
        <v>916</v>
      </c>
      <c r="B533" s="5">
        <v>528</v>
      </c>
      <c r="C533" s="5">
        <v>888</v>
      </c>
      <c r="D533" t="s">
        <v>588</v>
      </c>
      <c r="E533" s="3" t="str">
        <f t="array" ref="E533">IF(OR(EXACT(A533,'ESO Dungeon constants'!$D$3:$D$987)),"X","")</f>
        <v/>
      </c>
      <c r="F533" s="3" t="str">
        <f t="shared" si="32"/>
        <v/>
      </c>
      <c r="G533" s="3" t="str">
        <f t="shared" si="33"/>
        <v>Craglorn</v>
      </c>
      <c r="H533" s="17">
        <f t="shared" si="34"/>
        <v>916</v>
      </c>
      <c r="I533" s="17">
        <f t="shared" si="35"/>
        <v>888</v>
      </c>
      <c r="J533">
        <v>22</v>
      </c>
      <c r="K533" s="3" t="str">
        <f>VLOOKUP(J533,'LibSets constants'!$A$4:$B$1012,2,FALSE)</f>
        <v>DLC_BLACKWOOD</v>
      </c>
      <c r="L533" s="3" t="str">
        <f>VLOOKUP(J533,'LibSets constants'!$A$4:$C$1012,3,FALSE)</f>
        <v>Blackwood</v>
      </c>
    </row>
    <row r="534" spans="1:12" x14ac:dyDescent="0.25">
      <c r="A534" s="5">
        <v>917</v>
      </c>
      <c r="B534" s="5">
        <v>529</v>
      </c>
      <c r="C534" s="5">
        <v>917</v>
      </c>
      <c r="D534" t="s">
        <v>589</v>
      </c>
      <c r="E534" s="3" t="str">
        <f t="array" ref="E534">IF(OR(EXACT(A534,'ESO Dungeon constants'!$D$3:$D$987)),"X","")</f>
        <v/>
      </c>
      <c r="F534" s="3" t="str">
        <f t="shared" si="32"/>
        <v>X</v>
      </c>
      <c r="G534" s="3" t="str">
        <f t="shared" si="33"/>
        <v/>
      </c>
      <c r="H534" s="17">
        <f t="shared" si="34"/>
        <v>917</v>
      </c>
      <c r="I534" s="17">
        <f t="shared" si="35"/>
        <v>917</v>
      </c>
      <c r="J534">
        <v>24</v>
      </c>
      <c r="K534" s="3" t="str">
        <f>VLOOKUP(J534,'LibSets constants'!$A$4:$B$1012,2,FALSE)</f>
        <v>DLC_DEADLANDS</v>
      </c>
      <c r="L534" s="3" t="str">
        <f>VLOOKUP(J534,'LibSets constants'!$A$4:$C$1012,3,FALSE)</f>
        <v>The Deadlands</v>
      </c>
    </row>
    <row r="535" spans="1:12" x14ac:dyDescent="0.25">
      <c r="A535" s="5">
        <v>918</v>
      </c>
      <c r="B535" s="5">
        <v>530</v>
      </c>
      <c r="C535" s="5">
        <v>849</v>
      </c>
      <c r="D535" t="s">
        <v>590</v>
      </c>
      <c r="E535" s="3" t="str">
        <f t="array" ref="E535">IF(OR(EXACT(A535,'ESO Dungeon constants'!$D$3:$D$987)),"X","")</f>
        <v/>
      </c>
      <c r="F535" s="3" t="str">
        <f t="shared" si="32"/>
        <v/>
      </c>
      <c r="G535" s="3" t="str">
        <f t="shared" si="33"/>
        <v>Vvardenfell</v>
      </c>
      <c r="H535" s="17">
        <f t="shared" si="34"/>
        <v>918</v>
      </c>
      <c r="I535" s="17">
        <f t="shared" si="35"/>
        <v>849</v>
      </c>
      <c r="J535">
        <v>25</v>
      </c>
      <c r="K535" s="3" t="str">
        <f>VLOOKUP(J535,'LibSets constants'!$A$4:$B$1012,2,FALSE)</f>
        <v>DLC_ASCENDING_TIDE</v>
      </c>
      <c r="L535" s="3" t="str">
        <f>VLOOKUP(J535,'LibSets constants'!$A$4:$C$1012,3,FALSE)</f>
        <v>Ascending Tide</v>
      </c>
    </row>
    <row r="536" spans="1:12" x14ac:dyDescent="0.25">
      <c r="A536" s="5">
        <v>919</v>
      </c>
      <c r="B536" s="5">
        <v>531</v>
      </c>
      <c r="C536" s="5">
        <v>849</v>
      </c>
      <c r="D536" t="s">
        <v>591</v>
      </c>
      <c r="E536" s="3" t="str">
        <f t="array" ref="E536">IF(OR(EXACT(A536,'ESO Dungeon constants'!$D$3:$D$987)),"X","")</f>
        <v/>
      </c>
      <c r="F536" s="3" t="str">
        <f t="shared" si="32"/>
        <v/>
      </c>
      <c r="G536" s="3" t="str">
        <f t="shared" si="33"/>
        <v>Vvardenfell</v>
      </c>
      <c r="H536" s="17">
        <f t="shared" si="34"/>
        <v>919</v>
      </c>
      <c r="I536" s="17">
        <f t="shared" si="35"/>
        <v>849</v>
      </c>
      <c r="J536">
        <v>25</v>
      </c>
      <c r="K536" s="3" t="str">
        <f>VLOOKUP(J536,'LibSets constants'!$A$4:$B$1012,2,FALSE)</f>
        <v>DLC_ASCENDING_TIDE</v>
      </c>
      <c r="L536" s="3" t="str">
        <f>VLOOKUP(J536,'LibSets constants'!$A$4:$C$1012,3,FALSE)</f>
        <v>Ascending Tide</v>
      </c>
    </row>
    <row r="537" spans="1:12" x14ac:dyDescent="0.25">
      <c r="A537" s="5">
        <v>920</v>
      </c>
      <c r="B537" s="5">
        <v>532</v>
      </c>
      <c r="C537" s="5">
        <v>849</v>
      </c>
      <c r="D537" t="s">
        <v>592</v>
      </c>
      <c r="E537" s="3" t="str">
        <f t="array" ref="E537">IF(OR(EXACT(A537,'ESO Dungeon constants'!$D$3:$D$987)),"X","")</f>
        <v/>
      </c>
      <c r="F537" s="3" t="str">
        <f t="shared" si="32"/>
        <v/>
      </c>
      <c r="G537" s="3" t="str">
        <f t="shared" si="33"/>
        <v>Vvardenfell</v>
      </c>
      <c r="H537" s="17">
        <f t="shared" si="34"/>
        <v>920</v>
      </c>
      <c r="I537" s="17">
        <f t="shared" si="35"/>
        <v>849</v>
      </c>
      <c r="J537">
        <v>27</v>
      </c>
      <c r="K537" s="3" t="str">
        <f>VLOOKUP(J537,'LibSets constants'!$A$4:$B$1012,2,FALSE)</f>
        <v>DLC_LOST_DEPTHS</v>
      </c>
      <c r="L537" s="3" t="str">
        <f>VLOOKUP(J537,'LibSets constants'!$A$4:$C$1012,3,FALSE)</f>
        <v>Lost Depths</v>
      </c>
    </row>
    <row r="538" spans="1:12" x14ac:dyDescent="0.25">
      <c r="A538" s="5">
        <v>921</v>
      </c>
      <c r="B538" s="5">
        <v>533</v>
      </c>
      <c r="C538" s="5">
        <v>849</v>
      </c>
      <c r="D538" t="s">
        <v>593</v>
      </c>
      <c r="E538" s="3" t="str">
        <f t="array" ref="E538">IF(OR(EXACT(A538,'ESO Dungeon constants'!$D$3:$D$987)),"X","")</f>
        <v/>
      </c>
      <c r="F538" s="3" t="str">
        <f t="shared" si="32"/>
        <v/>
      </c>
      <c r="G538" s="3" t="str">
        <f t="shared" si="33"/>
        <v>Vvardenfell</v>
      </c>
      <c r="H538" s="17">
        <f t="shared" si="34"/>
        <v>921</v>
      </c>
      <c r="I538" s="17">
        <f t="shared" si="35"/>
        <v>849</v>
      </c>
      <c r="J538">
        <v>25</v>
      </c>
      <c r="K538" s="3" t="str">
        <f>VLOOKUP(J538,'LibSets constants'!$A$4:$B$1012,2,FALSE)</f>
        <v>DLC_ASCENDING_TIDE</v>
      </c>
      <c r="L538" s="3" t="str">
        <f>VLOOKUP(J538,'LibSets constants'!$A$4:$C$1012,3,FALSE)</f>
        <v>Ascending Tide</v>
      </c>
    </row>
    <row r="539" spans="1:12" x14ac:dyDescent="0.25">
      <c r="A539" s="5">
        <v>922</v>
      </c>
      <c r="B539" s="5">
        <v>534</v>
      </c>
      <c r="C539" s="5">
        <v>849</v>
      </c>
      <c r="D539" t="s">
        <v>594</v>
      </c>
      <c r="E539" s="3" t="str">
        <f t="array" ref="E539">IF(OR(EXACT(A539,'ESO Dungeon constants'!$D$3:$D$987)),"X","")</f>
        <v/>
      </c>
      <c r="F539" s="3" t="str">
        <f t="shared" si="32"/>
        <v/>
      </c>
      <c r="G539" s="3" t="str">
        <f t="shared" si="33"/>
        <v>Vvardenfell</v>
      </c>
      <c r="H539" s="17">
        <f t="shared" si="34"/>
        <v>922</v>
      </c>
      <c r="I539" s="17">
        <f t="shared" si="35"/>
        <v>849</v>
      </c>
      <c r="J539">
        <v>27</v>
      </c>
      <c r="K539" s="3" t="str">
        <f>VLOOKUP(J539,'LibSets constants'!$A$4:$B$1012,2,FALSE)</f>
        <v>DLC_LOST_DEPTHS</v>
      </c>
      <c r="L539" s="3" t="str">
        <f>VLOOKUP(J539,'LibSets constants'!$A$4:$C$1012,3,FALSE)</f>
        <v>Lost Depths</v>
      </c>
    </row>
    <row r="540" spans="1:12" x14ac:dyDescent="0.25">
      <c r="A540" s="5">
        <v>923</v>
      </c>
      <c r="B540" s="5">
        <v>535</v>
      </c>
      <c r="C540" s="5">
        <v>849</v>
      </c>
      <c r="D540" t="s">
        <v>595</v>
      </c>
      <c r="E540" s="3" t="str">
        <f t="array" ref="E540">IF(OR(EXACT(A540,'ESO Dungeon constants'!$D$3:$D$987)),"X","")</f>
        <v/>
      </c>
      <c r="F540" s="3" t="str">
        <f t="shared" si="32"/>
        <v/>
      </c>
      <c r="G540" s="3" t="str">
        <f t="shared" si="33"/>
        <v>Vvardenfell</v>
      </c>
      <c r="H540" s="17">
        <f t="shared" si="34"/>
        <v>923</v>
      </c>
      <c r="I540" s="17">
        <f t="shared" si="35"/>
        <v>849</v>
      </c>
      <c r="J540">
        <v>27</v>
      </c>
      <c r="K540" s="3" t="str">
        <f>VLOOKUP(J540,'LibSets constants'!$A$4:$B$1012,2,FALSE)</f>
        <v>DLC_LOST_DEPTHS</v>
      </c>
      <c r="L540" s="3" t="str">
        <f>VLOOKUP(J540,'LibSets constants'!$A$4:$C$1012,3,FALSE)</f>
        <v>Lost Depths</v>
      </c>
    </row>
    <row r="541" spans="1:12" x14ac:dyDescent="0.25">
      <c r="A541" s="5">
        <v>924</v>
      </c>
      <c r="B541" s="5">
        <v>536</v>
      </c>
      <c r="C541" s="5">
        <v>849</v>
      </c>
      <c r="D541" t="s">
        <v>596</v>
      </c>
      <c r="E541" s="3" t="str">
        <f t="array" ref="E541">IF(OR(EXACT(A541,'ESO Dungeon constants'!$D$3:$D$987)),"X","")</f>
        <v/>
      </c>
      <c r="F541" s="3" t="str">
        <f t="shared" si="32"/>
        <v/>
      </c>
      <c r="G541" s="3" t="str">
        <f t="shared" si="33"/>
        <v>Vvardenfell</v>
      </c>
      <c r="H541" s="17">
        <f t="shared" si="34"/>
        <v>924</v>
      </c>
      <c r="I541" s="17">
        <f t="shared" si="35"/>
        <v>849</v>
      </c>
      <c r="J541">
        <v>27</v>
      </c>
      <c r="K541" s="3" t="str">
        <f>VLOOKUP(J541,'LibSets constants'!$A$4:$B$1012,2,FALSE)</f>
        <v>DLC_LOST_DEPTHS</v>
      </c>
      <c r="L541" s="3" t="str">
        <f>VLOOKUP(J541,'LibSets constants'!$A$4:$C$1012,3,FALSE)</f>
        <v>Lost Depths</v>
      </c>
    </row>
    <row r="542" spans="1:12" x14ac:dyDescent="0.25">
      <c r="A542" s="5">
        <v>925</v>
      </c>
      <c r="B542" s="5">
        <v>537</v>
      </c>
      <c r="C542" s="5">
        <v>849</v>
      </c>
      <c r="D542" t="s">
        <v>597</v>
      </c>
      <c r="F542" s="3" t="str">
        <f t="shared" si="32"/>
        <v/>
      </c>
      <c r="G542" s="3" t="str">
        <f t="shared" si="33"/>
        <v>Vvardenfell</v>
      </c>
      <c r="H542" s="17">
        <f t="shared" si="34"/>
        <v>925</v>
      </c>
      <c r="I542" s="17">
        <f t="shared" si="35"/>
        <v>849</v>
      </c>
      <c r="J542">
        <v>26</v>
      </c>
      <c r="K542" s="3" t="str">
        <f>VLOOKUP(J542,'LibSets constants'!$A$4:$B$1012,2,FALSE)</f>
        <v>DLC_HIGH_ISLE</v>
      </c>
      <c r="L542" s="3" t="str">
        <f>VLOOKUP(J542,'LibSets constants'!$A$4:$C$1012,3,FALSE)</f>
        <v>High Isle</v>
      </c>
    </row>
    <row r="543" spans="1:12" x14ac:dyDescent="0.25">
      <c r="A543" s="5">
        <v>926</v>
      </c>
      <c r="B543" s="5">
        <v>538</v>
      </c>
      <c r="C543" s="5">
        <v>849</v>
      </c>
      <c r="D543" t="s">
        <v>598</v>
      </c>
      <c r="E543" s="3" t="str">
        <f t="array" ref="E543">IF(OR(EXACT(A543,'ESO Dungeon constants'!$D$3:$D$987)),"X","")</f>
        <v/>
      </c>
      <c r="F543" s="3" t="str">
        <f t="shared" si="32"/>
        <v/>
      </c>
      <c r="G543" s="3" t="str">
        <f t="shared" si="33"/>
        <v>Vvardenfell</v>
      </c>
      <c r="H543" s="17">
        <f t="shared" si="34"/>
        <v>926</v>
      </c>
      <c r="I543" s="17">
        <f t="shared" si="35"/>
        <v>849</v>
      </c>
      <c r="J543">
        <v>26</v>
      </c>
      <c r="K543" s="3" t="str">
        <f>VLOOKUP(J543,'LibSets constants'!$A$4:$B$1012,2,FALSE)</f>
        <v>DLC_HIGH_ISLE</v>
      </c>
      <c r="L543" s="3" t="str">
        <f>VLOOKUP(J543,'LibSets constants'!$A$4:$C$1012,3,FALSE)</f>
        <v>High Isle</v>
      </c>
    </row>
    <row r="544" spans="1:12" x14ac:dyDescent="0.25">
      <c r="A544" s="5">
        <v>927</v>
      </c>
      <c r="B544" s="5">
        <v>539</v>
      </c>
      <c r="C544" s="5">
        <v>849</v>
      </c>
      <c r="D544" t="s">
        <v>599</v>
      </c>
      <c r="E544" s="3" t="str">
        <f t="array" ref="E544">IF(OR(EXACT(A544,'ESO Dungeon constants'!$D$3:$D$987)),"X","")</f>
        <v/>
      </c>
      <c r="F544" s="3" t="str">
        <f t="shared" si="32"/>
        <v/>
      </c>
      <c r="G544" s="3" t="str">
        <f t="shared" si="33"/>
        <v>Vvardenfell</v>
      </c>
      <c r="H544" s="17">
        <f t="shared" si="34"/>
        <v>927</v>
      </c>
      <c r="I544" s="17">
        <f t="shared" si="35"/>
        <v>849</v>
      </c>
      <c r="J544">
        <v>26</v>
      </c>
      <c r="K544" s="3" t="str">
        <f>VLOOKUP(J544,'LibSets constants'!$A$4:$B$1012,2,FALSE)</f>
        <v>DLC_HIGH_ISLE</v>
      </c>
      <c r="L544" s="3" t="str">
        <f>VLOOKUP(J544,'LibSets constants'!$A$4:$C$1012,3,FALSE)</f>
        <v>High Isle</v>
      </c>
    </row>
    <row r="545" spans="1:12" x14ac:dyDescent="0.25">
      <c r="A545" s="5">
        <v>928</v>
      </c>
      <c r="B545" s="5">
        <v>540</v>
      </c>
      <c r="C545" s="5">
        <v>849</v>
      </c>
      <c r="D545" t="s">
        <v>600</v>
      </c>
      <c r="E545" s="3" t="str">
        <f t="array" ref="E545">IF(OR(EXACT(A545,'ESO Dungeon constants'!$D$3:$D$987)),"X","")</f>
        <v/>
      </c>
      <c r="F545" s="3" t="str">
        <f t="shared" si="32"/>
        <v/>
      </c>
      <c r="G545" s="3" t="str">
        <f t="shared" si="33"/>
        <v>Vvardenfell</v>
      </c>
      <c r="H545" s="17">
        <f t="shared" si="34"/>
        <v>928</v>
      </c>
      <c r="I545" s="17">
        <f t="shared" si="35"/>
        <v>849</v>
      </c>
      <c r="J545">
        <v>26</v>
      </c>
      <c r="K545" s="3" t="str">
        <f>VLOOKUP(J545,'LibSets constants'!$A$4:$B$1012,2,FALSE)</f>
        <v>DLC_HIGH_ISLE</v>
      </c>
      <c r="L545" s="3" t="str">
        <f>VLOOKUP(J545,'LibSets constants'!$A$4:$C$1012,3,FALSE)</f>
        <v>High Isle</v>
      </c>
    </row>
    <row r="546" spans="1:12" x14ac:dyDescent="0.25">
      <c r="A546" s="5">
        <v>929</v>
      </c>
      <c r="B546" s="5">
        <v>541</v>
      </c>
      <c r="C546" s="5">
        <v>849</v>
      </c>
      <c r="D546" t="s">
        <v>601</v>
      </c>
      <c r="E546" s="3" t="str">
        <f t="array" ref="E546">IF(OR(EXACT(A546,'ESO Dungeon constants'!$D$3:$D$987)),"X","")</f>
        <v/>
      </c>
      <c r="F546" s="3" t="str">
        <f t="shared" si="32"/>
        <v/>
      </c>
      <c r="G546" s="3" t="str">
        <f t="shared" si="33"/>
        <v>Vvardenfell</v>
      </c>
      <c r="H546" s="17">
        <f t="shared" si="34"/>
        <v>929</v>
      </c>
      <c r="I546" s="17">
        <f t="shared" si="35"/>
        <v>849</v>
      </c>
      <c r="J546">
        <v>26</v>
      </c>
      <c r="K546" s="3" t="str">
        <f>VLOOKUP(J546,'LibSets constants'!$A$4:$B$1012,2,FALSE)</f>
        <v>DLC_HIGH_ISLE</v>
      </c>
      <c r="L546" s="3" t="str">
        <f>VLOOKUP(J546,'LibSets constants'!$A$4:$C$1012,3,FALSE)</f>
        <v>High Isle</v>
      </c>
    </row>
    <row r="547" spans="1:12" x14ac:dyDescent="0.25">
      <c r="A547" s="5">
        <v>930</v>
      </c>
      <c r="B547" s="5">
        <v>542</v>
      </c>
      <c r="C547" s="5">
        <v>57</v>
      </c>
      <c r="D547" t="s">
        <v>46</v>
      </c>
      <c r="E547" s="3" t="str">
        <f t="array" ref="E547">IF(OR(EXACT(A547,'ESO Dungeon constants'!$D$3:$D$987)),"X","")</f>
        <v>X</v>
      </c>
      <c r="F547" s="3" t="str">
        <f t="shared" si="32"/>
        <v/>
      </c>
      <c r="G547" s="3" t="str">
        <f t="shared" si="33"/>
        <v>Deshaan</v>
      </c>
      <c r="H547" s="17">
        <f t="shared" si="34"/>
        <v>930</v>
      </c>
      <c r="I547" s="17">
        <f t="shared" si="35"/>
        <v>57</v>
      </c>
      <c r="J547">
        <v>26</v>
      </c>
      <c r="K547" s="3" t="str">
        <f>VLOOKUP(J547,'LibSets constants'!$A$4:$B$1012,2,FALSE)</f>
        <v>DLC_HIGH_ISLE</v>
      </c>
      <c r="L547" s="3" t="str">
        <f>VLOOKUP(J547,'LibSets constants'!$A$4:$C$1012,3,FALSE)</f>
        <v>High Isle</v>
      </c>
    </row>
    <row r="548" spans="1:12" x14ac:dyDescent="0.25">
      <c r="A548" s="5">
        <v>931</v>
      </c>
      <c r="B548" s="5">
        <v>543</v>
      </c>
      <c r="C548" s="5">
        <v>383</v>
      </c>
      <c r="D548" t="s">
        <v>56</v>
      </c>
      <c r="E548" s="3" t="str">
        <f t="array" ref="E548">IF(OR(EXACT(A548,'ESO Dungeon constants'!$D$3:$D$987)),"X","")</f>
        <v>X</v>
      </c>
      <c r="F548" s="3" t="str">
        <f t="shared" si="32"/>
        <v/>
      </c>
      <c r="G548" s="3" t="str">
        <f t="shared" si="33"/>
        <v>Grahtwood</v>
      </c>
      <c r="H548" s="17">
        <f t="shared" si="34"/>
        <v>931</v>
      </c>
      <c r="I548" s="17">
        <f t="shared" si="35"/>
        <v>383</v>
      </c>
      <c r="J548">
        <v>26</v>
      </c>
      <c r="K548" s="3" t="str">
        <f>VLOOKUP(J548,'LibSets constants'!$A$4:$B$1012,2,FALSE)</f>
        <v>DLC_HIGH_ISLE</v>
      </c>
      <c r="L548" s="3" t="str">
        <f>VLOOKUP(J548,'LibSets constants'!$A$4:$C$1012,3,FALSE)</f>
        <v>High Isle</v>
      </c>
    </row>
    <row r="549" spans="1:12" x14ac:dyDescent="0.25">
      <c r="A549" s="5">
        <v>932</v>
      </c>
      <c r="B549" s="5">
        <v>544</v>
      </c>
      <c r="C549" s="5">
        <v>20</v>
      </c>
      <c r="D549" t="s">
        <v>55</v>
      </c>
      <c r="E549" s="3" t="str">
        <f t="array" ref="E549">IF(OR(EXACT(A549,'ESO Dungeon constants'!$D$3:$D$987)),"X","")</f>
        <v>X</v>
      </c>
      <c r="F549" s="3" t="str">
        <f t="shared" si="32"/>
        <v/>
      </c>
      <c r="G549" s="3" t="str">
        <f t="shared" si="33"/>
        <v>Rivenspire</v>
      </c>
      <c r="H549" s="17">
        <f t="shared" si="34"/>
        <v>932</v>
      </c>
      <c r="I549" s="17">
        <f t="shared" si="35"/>
        <v>20</v>
      </c>
      <c r="J549">
        <v>26</v>
      </c>
      <c r="K549" s="3" t="str">
        <f>VLOOKUP(J549,'LibSets constants'!$A$4:$B$1012,2,FALSE)</f>
        <v>DLC_HIGH_ISLE</v>
      </c>
      <c r="L549" s="3" t="str">
        <f>VLOOKUP(J549,'LibSets constants'!$A$4:$C$1012,3,FALSE)</f>
        <v>High Isle</v>
      </c>
    </row>
    <row r="550" spans="1:12" x14ac:dyDescent="0.25">
      <c r="A550" s="5">
        <v>933</v>
      </c>
      <c r="B550" s="5">
        <v>545</v>
      </c>
      <c r="C550" s="5">
        <v>19</v>
      </c>
      <c r="D550" t="s">
        <v>58</v>
      </c>
      <c r="E550" s="3" t="str">
        <f t="array" ref="E550">IF(OR(EXACT(A550,'ESO Dungeon constants'!$D$3:$D$987)),"X","")</f>
        <v>X</v>
      </c>
      <c r="F550" s="3" t="str">
        <f t="shared" si="32"/>
        <v/>
      </c>
      <c r="G550" s="3" t="str">
        <f t="shared" si="33"/>
        <v>Stormhaven</v>
      </c>
      <c r="H550" s="17">
        <f t="shared" si="34"/>
        <v>933</v>
      </c>
      <c r="I550" s="17">
        <f t="shared" si="35"/>
        <v>19</v>
      </c>
      <c r="J550">
        <v>26</v>
      </c>
      <c r="K550" s="3" t="str">
        <f>VLOOKUP(J550,'LibSets constants'!$A$4:$B$1012,2,FALSE)</f>
        <v>DLC_HIGH_ISLE</v>
      </c>
      <c r="L550" s="3" t="str">
        <f>VLOOKUP(J550,'LibSets constants'!$A$4:$C$1012,3,FALSE)</f>
        <v>High Isle</v>
      </c>
    </row>
    <row r="551" spans="1:12" x14ac:dyDescent="0.25">
      <c r="A551" s="5">
        <v>934</v>
      </c>
      <c r="B551" s="5">
        <v>546</v>
      </c>
      <c r="C551" s="5">
        <v>41</v>
      </c>
      <c r="D551" t="s">
        <v>63</v>
      </c>
      <c r="E551" s="3" t="str">
        <f t="array" ref="E551">IF(OR(EXACT(A551,'ESO Dungeon constants'!$D$3:$D$987)),"X","")</f>
        <v>X</v>
      </c>
      <c r="F551" s="3" t="str">
        <f t="shared" si="32"/>
        <v/>
      </c>
      <c r="G551" s="3" t="str">
        <f t="shared" si="33"/>
        <v>Stonefalls</v>
      </c>
      <c r="H551" s="17">
        <f t="shared" si="34"/>
        <v>934</v>
      </c>
      <c r="I551" s="17">
        <f t="shared" si="35"/>
        <v>41</v>
      </c>
      <c r="J551">
        <v>26</v>
      </c>
      <c r="K551" s="3" t="str">
        <f>VLOOKUP(J551,'LibSets constants'!$A$4:$B$1012,2,FALSE)</f>
        <v>DLC_HIGH_ISLE</v>
      </c>
      <c r="L551" s="3" t="str">
        <f>VLOOKUP(J551,'LibSets constants'!$A$4:$C$1012,3,FALSE)</f>
        <v>High Isle</v>
      </c>
    </row>
    <row r="552" spans="1:12" x14ac:dyDescent="0.25">
      <c r="A552" s="5">
        <v>935</v>
      </c>
      <c r="B552" s="5">
        <v>547</v>
      </c>
      <c r="C552" s="5">
        <v>381</v>
      </c>
      <c r="D552" t="s">
        <v>97</v>
      </c>
      <c r="E552" s="3" t="str">
        <f t="array" ref="E552">IF(OR(EXACT(A552,'ESO Dungeon constants'!$D$3:$D$987)),"X","")</f>
        <v>X</v>
      </c>
      <c r="F552" s="3" t="str">
        <f t="shared" si="32"/>
        <v/>
      </c>
      <c r="G552" s="3" t="str">
        <f t="shared" si="33"/>
        <v>Auridon</v>
      </c>
      <c r="H552" s="17">
        <f t="shared" si="34"/>
        <v>935</v>
      </c>
      <c r="I552" s="17">
        <f t="shared" si="35"/>
        <v>381</v>
      </c>
      <c r="J552">
        <v>26</v>
      </c>
      <c r="K552" s="3" t="str">
        <f>VLOOKUP(J552,'LibSets constants'!$A$4:$B$1012,2,FALSE)</f>
        <v>DLC_HIGH_ISLE</v>
      </c>
      <c r="L552" s="3" t="str">
        <f>VLOOKUP(J552,'LibSets constants'!$A$4:$C$1012,3,FALSE)</f>
        <v>High Isle</v>
      </c>
    </row>
    <row r="553" spans="1:12" x14ac:dyDescent="0.25">
      <c r="A553" s="5">
        <v>936</v>
      </c>
      <c r="B553" s="5">
        <v>548</v>
      </c>
      <c r="C553" s="5">
        <v>3</v>
      </c>
      <c r="D553" t="s">
        <v>42</v>
      </c>
      <c r="E553" s="3" t="str">
        <f t="array" ref="E553">IF(OR(EXACT(A553,'ESO Dungeon constants'!$D$3:$D$987)),"X","")</f>
        <v>X</v>
      </c>
      <c r="F553" s="3" t="str">
        <f t="shared" si="32"/>
        <v/>
      </c>
      <c r="G553" s="3" t="str">
        <f t="shared" si="33"/>
        <v>Glenumbra</v>
      </c>
      <c r="H553" s="17">
        <f t="shared" si="34"/>
        <v>936</v>
      </c>
      <c r="I553" s="17">
        <f t="shared" si="35"/>
        <v>3</v>
      </c>
      <c r="J553">
        <v>26</v>
      </c>
      <c r="K553" s="3" t="str">
        <f>VLOOKUP(J553,'LibSets constants'!$A$4:$B$1012,2,FALSE)</f>
        <v>DLC_HIGH_ISLE</v>
      </c>
      <c r="L553" s="3" t="str">
        <f>VLOOKUP(J553,'LibSets constants'!$A$4:$C$1012,3,FALSE)</f>
        <v>High Isle</v>
      </c>
    </row>
    <row r="554" spans="1:12" x14ac:dyDescent="0.25">
      <c r="A554" s="5">
        <v>937</v>
      </c>
      <c r="B554" s="5">
        <v>549</v>
      </c>
      <c r="C554" s="5">
        <v>57</v>
      </c>
      <c r="D554" t="s">
        <v>602</v>
      </c>
      <c r="E554" s="3" t="str">
        <f t="array" ref="E554">IF(OR(EXACT(A554,'ESO Dungeon constants'!$D$3:$D$987)),"X","")</f>
        <v/>
      </c>
      <c r="F554" s="3" t="str">
        <f t="shared" si="32"/>
        <v/>
      </c>
      <c r="G554" s="3" t="str">
        <f t="shared" si="33"/>
        <v>Deshaan</v>
      </c>
      <c r="H554" s="17">
        <f t="shared" si="34"/>
        <v>937</v>
      </c>
      <c r="I554" s="17">
        <f t="shared" si="35"/>
        <v>57</v>
      </c>
      <c r="J554">
        <v>26</v>
      </c>
      <c r="K554" s="3" t="str">
        <f>VLOOKUP(J554,'LibSets constants'!$A$4:$B$1012,2,FALSE)</f>
        <v>DLC_HIGH_ISLE</v>
      </c>
      <c r="L554" s="3" t="str">
        <f>VLOOKUP(J554,'LibSets constants'!$A$4:$C$1012,3,FALSE)</f>
        <v>High Isle</v>
      </c>
    </row>
    <row r="555" spans="1:12" x14ac:dyDescent="0.25">
      <c r="A555" s="5">
        <v>938</v>
      </c>
      <c r="B555" s="5">
        <v>550</v>
      </c>
      <c r="C555" s="5">
        <v>104</v>
      </c>
      <c r="D555" t="s">
        <v>603</v>
      </c>
      <c r="E555" s="3" t="str">
        <f t="array" ref="E555">IF(OR(EXACT(A555,'ESO Dungeon constants'!$D$3:$D$987)),"X","")</f>
        <v/>
      </c>
      <c r="F555" s="3" t="str">
        <f t="shared" si="32"/>
        <v/>
      </c>
      <c r="G555" s="3" t="str">
        <f t="shared" si="33"/>
        <v>Alik'r Desert</v>
      </c>
      <c r="H555" s="17">
        <f t="shared" si="34"/>
        <v>938</v>
      </c>
      <c r="I555" s="17">
        <f t="shared" si="35"/>
        <v>104</v>
      </c>
      <c r="J555">
        <v>26</v>
      </c>
      <c r="K555" s="3" t="str">
        <f>VLOOKUP(J555,'LibSets constants'!$A$4:$B$1012,2,FALSE)</f>
        <v>DLC_HIGH_ISLE</v>
      </c>
      <c r="L555" s="3" t="str">
        <f>VLOOKUP(J555,'LibSets constants'!$A$4:$C$1012,3,FALSE)</f>
        <v>High Isle</v>
      </c>
    </row>
    <row r="556" spans="1:12" x14ac:dyDescent="0.25">
      <c r="A556" s="5">
        <v>939</v>
      </c>
      <c r="B556" s="5">
        <v>551</v>
      </c>
      <c r="C556" s="5">
        <v>381</v>
      </c>
      <c r="D556" t="s">
        <v>604</v>
      </c>
      <c r="E556" s="3" t="str">
        <f t="array" ref="E556">IF(OR(EXACT(A556,'ESO Dungeon constants'!$D$3:$D$987)),"X","")</f>
        <v/>
      </c>
      <c r="F556" s="3" t="str">
        <f t="shared" si="32"/>
        <v/>
      </c>
      <c r="G556" s="3" t="str">
        <f t="shared" si="33"/>
        <v>Auridon</v>
      </c>
      <c r="H556" s="17">
        <f t="shared" si="34"/>
        <v>939</v>
      </c>
      <c r="I556" s="17">
        <f t="shared" si="35"/>
        <v>381</v>
      </c>
      <c r="J556">
        <v>26</v>
      </c>
      <c r="K556" s="3" t="str">
        <f>VLOOKUP(J556,'LibSets constants'!$A$4:$B$1012,2,FALSE)</f>
        <v>DLC_HIGH_ISLE</v>
      </c>
      <c r="L556" s="3" t="str">
        <f>VLOOKUP(J556,'LibSets constants'!$A$4:$C$1012,3,FALSE)</f>
        <v>High Isle</v>
      </c>
    </row>
    <row r="557" spans="1:12" x14ac:dyDescent="0.25">
      <c r="A557" s="5">
        <v>940</v>
      </c>
      <c r="B557" s="5">
        <v>552</v>
      </c>
      <c r="C557" s="5">
        <v>381</v>
      </c>
      <c r="D557" t="s">
        <v>605</v>
      </c>
      <c r="E557" s="3" t="str">
        <f t="array" ref="E557">IF(OR(EXACT(A557,'ESO Dungeon constants'!$D$3:$D$987)),"X","")</f>
        <v/>
      </c>
      <c r="F557" s="3" t="str">
        <f t="shared" si="32"/>
        <v/>
      </c>
      <c r="G557" s="3" t="str">
        <f t="shared" si="33"/>
        <v>Auridon</v>
      </c>
      <c r="H557" s="17">
        <f t="shared" si="34"/>
        <v>940</v>
      </c>
      <c r="I557" s="17">
        <f t="shared" si="35"/>
        <v>381</v>
      </c>
      <c r="J557">
        <v>26</v>
      </c>
      <c r="K557" s="3" t="str">
        <f>VLOOKUP(J557,'LibSets constants'!$A$4:$B$1012,2,FALSE)</f>
        <v>DLC_HIGH_ISLE</v>
      </c>
      <c r="L557" s="3" t="str">
        <f>VLOOKUP(J557,'LibSets constants'!$A$4:$C$1012,3,FALSE)</f>
        <v>High Isle</v>
      </c>
    </row>
    <row r="558" spans="1:12" x14ac:dyDescent="0.25">
      <c r="A558" s="5">
        <v>941</v>
      </c>
      <c r="B558" s="5">
        <v>553</v>
      </c>
      <c r="C558" s="5">
        <v>41</v>
      </c>
      <c r="D558" t="s">
        <v>606</v>
      </c>
      <c r="E558" s="3" t="str">
        <f t="array" ref="E558">IF(OR(EXACT(A558,'ESO Dungeon constants'!$D$3:$D$987)),"X","")</f>
        <v/>
      </c>
      <c r="F558" s="3" t="str">
        <f t="shared" si="32"/>
        <v/>
      </c>
      <c r="G558" s="3" t="str">
        <f t="shared" si="33"/>
        <v>Stonefalls</v>
      </c>
      <c r="H558" s="17">
        <f t="shared" si="34"/>
        <v>941</v>
      </c>
      <c r="I558" s="17">
        <f t="shared" si="35"/>
        <v>41</v>
      </c>
      <c r="J558">
        <v>26</v>
      </c>
      <c r="K558" s="3" t="str">
        <f>VLOOKUP(J558,'LibSets constants'!$A$4:$B$1012,2,FALSE)</f>
        <v>DLC_HIGH_ISLE</v>
      </c>
      <c r="L558" s="3" t="str">
        <f>VLOOKUP(J558,'LibSets constants'!$A$4:$C$1012,3,FALSE)</f>
        <v>High Isle</v>
      </c>
    </row>
    <row r="559" spans="1:12" x14ac:dyDescent="0.25">
      <c r="A559" s="5">
        <v>942</v>
      </c>
      <c r="B559" s="5">
        <v>554</v>
      </c>
      <c r="C559" s="5">
        <v>3</v>
      </c>
      <c r="D559" t="s">
        <v>607</v>
      </c>
      <c r="E559" s="3" t="str">
        <f t="array" ref="E559">IF(OR(EXACT(A559,'ESO Dungeon constants'!$D$3:$D$987)),"X","")</f>
        <v/>
      </c>
      <c r="F559" s="3" t="str">
        <f t="shared" si="32"/>
        <v/>
      </c>
      <c r="G559" s="3" t="str">
        <f t="shared" si="33"/>
        <v>Glenumbra</v>
      </c>
      <c r="H559" s="17">
        <f t="shared" si="34"/>
        <v>942</v>
      </c>
      <c r="I559" s="17">
        <f t="shared" si="35"/>
        <v>3</v>
      </c>
      <c r="J559">
        <v>26</v>
      </c>
      <c r="K559" s="3" t="str">
        <f>VLOOKUP(J559,'LibSets constants'!$A$4:$B$1012,2,FALSE)</f>
        <v>DLC_HIGH_ISLE</v>
      </c>
      <c r="L559" s="3" t="str">
        <f>VLOOKUP(J559,'LibSets constants'!$A$4:$C$1012,3,FALSE)</f>
        <v>High Isle</v>
      </c>
    </row>
    <row r="560" spans="1:12" x14ac:dyDescent="0.25">
      <c r="A560" s="5">
        <v>943</v>
      </c>
      <c r="B560" s="5">
        <v>555</v>
      </c>
      <c r="C560" s="5">
        <v>3</v>
      </c>
      <c r="D560" t="s">
        <v>608</v>
      </c>
      <c r="E560" s="3" t="str">
        <f t="array" ref="E560">IF(OR(EXACT(A560,'ESO Dungeon constants'!$D$3:$D$987)),"X","")</f>
        <v/>
      </c>
      <c r="F560" s="3" t="str">
        <f t="shared" si="32"/>
        <v/>
      </c>
      <c r="G560" s="3" t="str">
        <f t="shared" si="33"/>
        <v>Glenumbra</v>
      </c>
      <c r="H560" s="17">
        <f t="shared" si="34"/>
        <v>943</v>
      </c>
      <c r="I560" s="17">
        <f t="shared" si="35"/>
        <v>3</v>
      </c>
      <c r="J560">
        <v>26</v>
      </c>
      <c r="K560" s="3" t="str">
        <f>VLOOKUP(J560,'LibSets constants'!$A$4:$B$1012,2,FALSE)</f>
        <v>DLC_HIGH_ISLE</v>
      </c>
      <c r="L560" s="3" t="str">
        <f>VLOOKUP(J560,'LibSets constants'!$A$4:$C$1012,3,FALSE)</f>
        <v>High Isle</v>
      </c>
    </row>
    <row r="561" spans="1:12" x14ac:dyDescent="0.25">
      <c r="A561" s="5">
        <v>944</v>
      </c>
      <c r="B561" s="5">
        <v>556</v>
      </c>
      <c r="C561" s="5">
        <v>382</v>
      </c>
      <c r="D561" t="s">
        <v>609</v>
      </c>
      <c r="E561" s="3" t="str">
        <f t="array" ref="E561">IF(OR(EXACT(A561,'ESO Dungeon constants'!$D$3:$D$987)),"X","")</f>
        <v/>
      </c>
      <c r="F561" s="3" t="str">
        <f t="shared" si="32"/>
        <v/>
      </c>
      <c r="G561" s="3" t="str">
        <f t="shared" si="33"/>
        <v>Reaper's March</v>
      </c>
      <c r="H561" s="17">
        <f t="shared" si="34"/>
        <v>944</v>
      </c>
      <c r="I561" s="17">
        <f t="shared" si="35"/>
        <v>382</v>
      </c>
      <c r="J561">
        <v>24</v>
      </c>
      <c r="K561" s="3" t="str">
        <f>VLOOKUP(J561,'LibSets constants'!$A$4:$B$1012,2,FALSE)</f>
        <v>DLC_DEADLANDS</v>
      </c>
      <c r="L561" s="3" t="str">
        <f>VLOOKUP(J561,'LibSets constants'!$A$4:$C$1012,3,FALSE)</f>
        <v>The Deadlands</v>
      </c>
    </row>
    <row r="562" spans="1:12" x14ac:dyDescent="0.25">
      <c r="A562" s="5">
        <v>945</v>
      </c>
      <c r="B562" s="5">
        <v>557</v>
      </c>
      <c r="C562" s="5">
        <v>41</v>
      </c>
      <c r="D562" t="s">
        <v>610</v>
      </c>
      <c r="E562" s="3" t="str">
        <f t="array" ref="E562">IF(OR(EXACT(A562,'ESO Dungeon constants'!$D$3:$D$987)),"X","")</f>
        <v/>
      </c>
      <c r="F562" s="3" t="str">
        <f t="shared" si="32"/>
        <v/>
      </c>
      <c r="G562" s="3" t="str">
        <f t="shared" si="33"/>
        <v>Stonefalls</v>
      </c>
      <c r="H562" s="17">
        <f t="shared" si="34"/>
        <v>945</v>
      </c>
      <c r="I562" s="17">
        <f t="shared" si="35"/>
        <v>41</v>
      </c>
      <c r="J562">
        <v>24</v>
      </c>
      <c r="K562" s="3" t="str">
        <f>VLOOKUP(J562,'LibSets constants'!$A$4:$B$1012,2,FALSE)</f>
        <v>DLC_DEADLANDS</v>
      </c>
      <c r="L562" s="3" t="str">
        <f>VLOOKUP(J562,'LibSets constants'!$A$4:$C$1012,3,FALSE)</f>
        <v>The Deadlands</v>
      </c>
    </row>
    <row r="563" spans="1:12" x14ac:dyDescent="0.25">
      <c r="A563" s="5">
        <v>946</v>
      </c>
      <c r="B563" s="5">
        <v>558</v>
      </c>
      <c r="C563" s="5">
        <v>849</v>
      </c>
      <c r="D563" t="s">
        <v>611</v>
      </c>
      <c r="E563" s="3" t="str">
        <f t="array" ref="E563">IF(OR(EXACT(A563,'ESO Dungeon constants'!$D$3:$D$987)),"X","")</f>
        <v/>
      </c>
      <c r="F563" s="3" t="str">
        <f t="shared" si="32"/>
        <v/>
      </c>
      <c r="G563" s="3" t="str">
        <f t="shared" si="33"/>
        <v>Vvardenfell</v>
      </c>
      <c r="H563" s="17">
        <f t="shared" si="34"/>
        <v>946</v>
      </c>
      <c r="I563" s="17">
        <f t="shared" si="35"/>
        <v>849</v>
      </c>
      <c r="J563">
        <v>26</v>
      </c>
      <c r="K563" s="3" t="str">
        <f>VLOOKUP(J563,'LibSets constants'!$A$4:$B$1012,2,FALSE)</f>
        <v>DLC_HIGH_ISLE</v>
      </c>
      <c r="L563" s="3" t="str">
        <f>VLOOKUP(J563,'LibSets constants'!$A$4:$C$1012,3,FALSE)</f>
        <v>High Isle</v>
      </c>
    </row>
    <row r="564" spans="1:12" x14ac:dyDescent="0.25">
      <c r="A564" s="5">
        <v>947</v>
      </c>
      <c r="B564" s="5">
        <v>559</v>
      </c>
      <c r="C564" s="5">
        <v>849</v>
      </c>
      <c r="D564" t="s">
        <v>612</v>
      </c>
      <c r="E564" s="3" t="str">
        <f t="array" ref="E564">IF(OR(EXACT(A564,'ESO Dungeon constants'!$D$3:$D$987)),"X","")</f>
        <v/>
      </c>
      <c r="F564" s="3" t="str">
        <f t="shared" si="32"/>
        <v/>
      </c>
      <c r="G564" s="3" t="str">
        <f t="shared" si="33"/>
        <v>Vvardenfell</v>
      </c>
      <c r="H564" s="17">
        <f t="shared" si="34"/>
        <v>947</v>
      </c>
      <c r="I564" s="17">
        <f t="shared" si="35"/>
        <v>849</v>
      </c>
      <c r="J564">
        <v>25</v>
      </c>
      <c r="K564" s="3" t="str">
        <f>VLOOKUP(J564,'LibSets constants'!$A$4:$B$1012,2,FALSE)</f>
        <v>DLC_ASCENDING_TIDE</v>
      </c>
      <c r="L564" s="3" t="str">
        <f>VLOOKUP(J564,'LibSets constants'!$A$4:$C$1012,3,FALSE)</f>
        <v>Ascending Tide</v>
      </c>
    </row>
    <row r="565" spans="1:12" x14ac:dyDescent="0.25">
      <c r="A565" s="5">
        <v>948</v>
      </c>
      <c r="B565" s="5">
        <v>560</v>
      </c>
      <c r="C565" s="5">
        <v>849</v>
      </c>
      <c r="D565" t="s">
        <v>613</v>
      </c>
      <c r="E565" s="3" t="str">
        <f t="array" ref="E565">IF(OR(EXACT(A565,'ESO Dungeon constants'!$D$3:$D$987)),"X","")</f>
        <v/>
      </c>
      <c r="F565" s="3" t="str">
        <f t="shared" si="32"/>
        <v/>
      </c>
      <c r="G565" s="3" t="str">
        <f t="shared" si="33"/>
        <v>Vvardenfell</v>
      </c>
      <c r="H565" s="17">
        <f t="shared" si="34"/>
        <v>948</v>
      </c>
      <c r="I565" s="17">
        <f t="shared" si="35"/>
        <v>849</v>
      </c>
      <c r="J565">
        <v>28</v>
      </c>
      <c r="K565" s="3" t="str">
        <f>VLOOKUP(J565,'LibSets constants'!$A$4:$B$1012,2,FALSE)</f>
        <v>DLC_FIRESONG</v>
      </c>
      <c r="L565" s="3" t="str">
        <f>VLOOKUP(J565,'LibSets constants'!$A$4:$C$1012,3,FALSE)</f>
        <v>Firesong</v>
      </c>
    </row>
    <row r="566" spans="1:12" x14ac:dyDescent="0.25">
      <c r="A566" s="5">
        <v>949</v>
      </c>
      <c r="B566" s="5">
        <v>561</v>
      </c>
      <c r="C566" s="5">
        <v>849</v>
      </c>
      <c r="D566" t="s">
        <v>614</v>
      </c>
      <c r="E566" s="3" t="str">
        <f t="array" ref="E566">IF(OR(EXACT(A566,'ESO Dungeon constants'!$D$3:$D$987)),"X","")</f>
        <v/>
      </c>
      <c r="F566" s="3" t="str">
        <f t="shared" si="32"/>
        <v/>
      </c>
      <c r="G566" s="3" t="str">
        <f t="shared" si="33"/>
        <v>Vvardenfell</v>
      </c>
      <c r="H566" s="17">
        <f t="shared" si="34"/>
        <v>949</v>
      </c>
      <c r="I566" s="17">
        <f t="shared" si="35"/>
        <v>849</v>
      </c>
      <c r="J566">
        <v>27</v>
      </c>
      <c r="K566" s="3" t="str">
        <f>VLOOKUP(J566,'LibSets constants'!$A$4:$B$1012,2,FALSE)</f>
        <v>DLC_LOST_DEPTHS</v>
      </c>
      <c r="L566" s="3" t="str">
        <f>VLOOKUP(J566,'LibSets constants'!$A$4:$C$1012,3,FALSE)</f>
        <v>Lost Depths</v>
      </c>
    </row>
    <row r="567" spans="1:12" x14ac:dyDescent="0.25">
      <c r="A567" s="5">
        <v>950</v>
      </c>
      <c r="B567" s="5">
        <v>562</v>
      </c>
      <c r="C567" s="5">
        <v>849</v>
      </c>
      <c r="D567" t="s">
        <v>615</v>
      </c>
      <c r="E567" s="3" t="str">
        <f t="array" ref="E567">IF(OR(EXACT(A567,'ESO Dungeon constants'!$D$3:$D$987)),"X","")</f>
        <v/>
      </c>
      <c r="F567" s="3" t="str">
        <f t="shared" si="32"/>
        <v/>
      </c>
      <c r="G567" s="3" t="str">
        <f t="shared" si="33"/>
        <v>Vvardenfell</v>
      </c>
      <c r="H567" s="17">
        <f t="shared" si="34"/>
        <v>950</v>
      </c>
      <c r="I567" s="17">
        <f t="shared" si="35"/>
        <v>849</v>
      </c>
      <c r="J567">
        <v>27</v>
      </c>
      <c r="K567" s="3" t="str">
        <f>VLOOKUP(J567,'LibSets constants'!$A$4:$B$1012,2,FALSE)</f>
        <v>DLC_LOST_DEPTHS</v>
      </c>
      <c r="L567" s="3" t="str">
        <f>VLOOKUP(J567,'LibSets constants'!$A$4:$C$1012,3,FALSE)</f>
        <v>Lost Depths</v>
      </c>
    </row>
    <row r="568" spans="1:12" x14ac:dyDescent="0.25">
      <c r="A568" s="5">
        <v>951</v>
      </c>
      <c r="B568" s="5">
        <v>563</v>
      </c>
      <c r="C568" s="5">
        <v>849</v>
      </c>
      <c r="D568" t="s">
        <v>616</v>
      </c>
      <c r="E568" s="3" t="str">
        <f t="array" ref="E568">IF(OR(EXACT(A568,'ESO Dungeon constants'!$D$3:$D$987)),"X","")</f>
        <v/>
      </c>
      <c r="F568" s="3" t="str">
        <f t="shared" si="32"/>
        <v/>
      </c>
      <c r="G568" s="3" t="str">
        <f t="shared" si="33"/>
        <v>Vvardenfell</v>
      </c>
      <c r="H568" s="17">
        <f t="shared" si="34"/>
        <v>951</v>
      </c>
      <c r="I568" s="17">
        <f t="shared" si="35"/>
        <v>849</v>
      </c>
      <c r="J568">
        <v>27</v>
      </c>
      <c r="K568" s="3" t="str">
        <f>VLOOKUP(J568,'LibSets constants'!$A$4:$B$1012,2,FALSE)</f>
        <v>DLC_LOST_DEPTHS</v>
      </c>
      <c r="L568" s="3" t="str">
        <f>VLOOKUP(J568,'LibSets constants'!$A$4:$C$1012,3,FALSE)</f>
        <v>Lost Depths</v>
      </c>
    </row>
    <row r="569" spans="1:12" x14ac:dyDescent="0.25">
      <c r="A569" s="5">
        <v>952</v>
      </c>
      <c r="B569" s="5">
        <v>564</v>
      </c>
      <c r="C569" s="5">
        <v>849</v>
      </c>
      <c r="D569" t="s">
        <v>617</v>
      </c>
      <c r="E569" s="3" t="str">
        <f t="array" ref="E569">IF(OR(EXACT(A569,'ESO Dungeon constants'!$D$3:$D$987)),"X","")</f>
        <v/>
      </c>
      <c r="F569" s="3" t="str">
        <f t="shared" si="32"/>
        <v/>
      </c>
      <c r="G569" s="3" t="str">
        <f t="shared" si="33"/>
        <v>Vvardenfell</v>
      </c>
      <c r="H569" s="17">
        <f t="shared" si="34"/>
        <v>952</v>
      </c>
      <c r="I569" s="17">
        <f t="shared" si="35"/>
        <v>849</v>
      </c>
      <c r="J569">
        <v>27</v>
      </c>
      <c r="K569" s="3" t="str">
        <f>VLOOKUP(J569,'LibSets constants'!$A$4:$B$1012,2,FALSE)</f>
        <v>DLC_LOST_DEPTHS</v>
      </c>
      <c r="L569" s="3" t="str">
        <f>VLOOKUP(J569,'LibSets constants'!$A$4:$C$1012,3,FALSE)</f>
        <v>Lost Depths</v>
      </c>
    </row>
    <row r="570" spans="1:12" x14ac:dyDescent="0.25">
      <c r="A570" s="5">
        <v>953</v>
      </c>
      <c r="B570" s="5">
        <v>565</v>
      </c>
      <c r="C570" s="5">
        <v>849</v>
      </c>
      <c r="D570" t="s">
        <v>618</v>
      </c>
      <c r="E570" s="3" t="str">
        <f t="array" ref="E570">IF(OR(EXACT(A570,'ESO Dungeon constants'!$D$3:$D$987)),"X","")</f>
        <v/>
      </c>
      <c r="F570" s="3" t="str">
        <f t="shared" si="32"/>
        <v/>
      </c>
      <c r="G570" s="3" t="str">
        <f t="shared" si="33"/>
        <v>Vvardenfell</v>
      </c>
      <c r="H570" s="17">
        <f t="shared" si="34"/>
        <v>953</v>
      </c>
      <c r="I570" s="17">
        <f t="shared" si="35"/>
        <v>849</v>
      </c>
      <c r="J570">
        <v>27</v>
      </c>
      <c r="K570" s="3" t="str">
        <f>VLOOKUP(J570,'LibSets constants'!$A$4:$B$1012,2,FALSE)</f>
        <v>DLC_LOST_DEPTHS</v>
      </c>
      <c r="L570" s="3" t="str">
        <f>VLOOKUP(J570,'LibSets constants'!$A$4:$C$1012,3,FALSE)</f>
        <v>Lost Depths</v>
      </c>
    </row>
    <row r="571" spans="1:12" x14ac:dyDescent="0.25">
      <c r="A571" s="5">
        <v>954</v>
      </c>
      <c r="B571" s="5">
        <v>566</v>
      </c>
      <c r="C571" s="5">
        <v>849</v>
      </c>
      <c r="D571" t="s">
        <v>619</v>
      </c>
      <c r="E571" s="3" t="str">
        <f t="array" ref="E571">IF(OR(EXACT(A571,'ESO Dungeon constants'!$D$3:$D$987)),"X","")</f>
        <v/>
      </c>
      <c r="F571" s="3" t="str">
        <f t="shared" si="32"/>
        <v/>
      </c>
      <c r="G571" s="3" t="str">
        <f t="shared" si="33"/>
        <v>Vvardenfell</v>
      </c>
      <c r="H571" s="17">
        <f t="shared" si="34"/>
        <v>954</v>
      </c>
      <c r="I571" s="17">
        <f t="shared" si="35"/>
        <v>849</v>
      </c>
      <c r="J571">
        <v>27</v>
      </c>
      <c r="K571" s="3" t="str">
        <f>VLOOKUP(J571,'LibSets constants'!$A$4:$B$1012,2,FALSE)</f>
        <v>DLC_LOST_DEPTHS</v>
      </c>
      <c r="L571" s="3" t="str">
        <f>VLOOKUP(J571,'LibSets constants'!$A$4:$C$1012,3,FALSE)</f>
        <v>Lost Depths</v>
      </c>
    </row>
    <row r="572" spans="1:12" x14ac:dyDescent="0.25">
      <c r="A572" s="5">
        <v>955</v>
      </c>
      <c r="B572" s="5">
        <v>567</v>
      </c>
      <c r="C572" s="5">
        <v>849</v>
      </c>
      <c r="D572" t="s">
        <v>620</v>
      </c>
      <c r="E572" s="3" t="str">
        <f t="array" ref="E572">IF(OR(EXACT(A572,'ESO Dungeon constants'!$D$3:$D$987)),"X","")</f>
        <v/>
      </c>
      <c r="F572" s="3" t="str">
        <f t="shared" si="32"/>
        <v/>
      </c>
      <c r="G572" s="3" t="str">
        <f t="shared" si="33"/>
        <v>Vvardenfell</v>
      </c>
      <c r="H572" s="17">
        <f t="shared" si="34"/>
        <v>955</v>
      </c>
      <c r="I572" s="17">
        <f t="shared" si="35"/>
        <v>849</v>
      </c>
      <c r="J572">
        <v>28</v>
      </c>
      <c r="K572" s="3" t="str">
        <f>VLOOKUP(J572,'LibSets constants'!$A$4:$B$1012,2,FALSE)</f>
        <v>DLC_FIRESONG</v>
      </c>
      <c r="L572" s="3" t="str">
        <f>VLOOKUP(J572,'LibSets constants'!$A$4:$C$1012,3,FALSE)</f>
        <v>Firesong</v>
      </c>
    </row>
    <row r="573" spans="1:12" x14ac:dyDescent="0.25">
      <c r="A573" s="5">
        <v>956</v>
      </c>
      <c r="B573" s="5">
        <v>568</v>
      </c>
      <c r="C573" s="5">
        <v>849</v>
      </c>
      <c r="D573" t="s">
        <v>621</v>
      </c>
      <c r="E573" s="3" t="str">
        <f t="array" ref="E573">IF(OR(EXACT(A573,'ESO Dungeon constants'!$D$3:$D$987)),"X","")</f>
        <v/>
      </c>
      <c r="F573" s="3" t="str">
        <f t="shared" si="32"/>
        <v/>
      </c>
      <c r="G573" s="3" t="str">
        <f t="shared" si="33"/>
        <v>Vvardenfell</v>
      </c>
      <c r="H573" s="17">
        <f t="shared" si="34"/>
        <v>956</v>
      </c>
      <c r="I573" s="17">
        <f t="shared" si="35"/>
        <v>849</v>
      </c>
      <c r="J573">
        <v>28</v>
      </c>
      <c r="K573" s="3" t="str">
        <f>VLOOKUP(J573,'LibSets constants'!$A$4:$B$1012,2,FALSE)</f>
        <v>DLC_FIRESONG</v>
      </c>
      <c r="L573" s="3" t="str">
        <f>VLOOKUP(J573,'LibSets constants'!$A$4:$C$1012,3,FALSE)</f>
        <v>Firesong</v>
      </c>
    </row>
    <row r="574" spans="1:12" x14ac:dyDescent="0.25">
      <c r="A574" s="5">
        <v>957</v>
      </c>
      <c r="B574" s="5">
        <v>569</v>
      </c>
      <c r="C574" s="5">
        <v>849</v>
      </c>
      <c r="D574" t="s">
        <v>622</v>
      </c>
      <c r="E574" s="3" t="str">
        <f t="array" ref="E574">IF(OR(EXACT(A574,'ESO Dungeon constants'!$D$3:$D$987)),"X","")</f>
        <v/>
      </c>
      <c r="F574" s="3" t="str">
        <f t="shared" si="32"/>
        <v/>
      </c>
      <c r="G574" s="3" t="str">
        <f t="shared" si="33"/>
        <v>Vvardenfell</v>
      </c>
      <c r="H574" s="17">
        <f t="shared" si="34"/>
        <v>957</v>
      </c>
      <c r="I574" s="17">
        <f t="shared" si="35"/>
        <v>849</v>
      </c>
      <c r="J574">
        <v>28</v>
      </c>
      <c r="K574" s="3" t="str">
        <f>VLOOKUP(J574,'LibSets constants'!$A$4:$B$1012,2,FALSE)</f>
        <v>DLC_FIRESONG</v>
      </c>
      <c r="L574" s="3" t="str">
        <f>VLOOKUP(J574,'LibSets constants'!$A$4:$C$1012,3,FALSE)</f>
        <v>Firesong</v>
      </c>
    </row>
    <row r="575" spans="1:12" x14ac:dyDescent="0.25">
      <c r="A575" s="5">
        <v>958</v>
      </c>
      <c r="B575" s="5">
        <v>570</v>
      </c>
      <c r="C575" s="5">
        <v>849</v>
      </c>
      <c r="D575" t="s">
        <v>623</v>
      </c>
      <c r="E575" s="3" t="str">
        <f t="array" ref="E575">IF(OR(EXACT(A575,'ESO Dungeon constants'!$D$3:$D$987)),"X","")</f>
        <v/>
      </c>
      <c r="F575" s="3" t="str">
        <f t="shared" si="32"/>
        <v/>
      </c>
      <c r="G575" s="3" t="str">
        <f t="shared" si="33"/>
        <v>Vvardenfell</v>
      </c>
      <c r="H575" s="17">
        <f t="shared" si="34"/>
        <v>958</v>
      </c>
      <c r="I575" s="17">
        <f t="shared" si="35"/>
        <v>849</v>
      </c>
      <c r="J575">
        <v>28</v>
      </c>
      <c r="K575" s="3" t="str">
        <f>VLOOKUP(J575,'LibSets constants'!$A$4:$B$1012,2,FALSE)</f>
        <v>DLC_FIRESONG</v>
      </c>
      <c r="L575" s="3" t="str">
        <f>VLOOKUP(J575,'LibSets constants'!$A$4:$C$1012,3,FALSE)</f>
        <v>Firesong</v>
      </c>
    </row>
    <row r="576" spans="1:12" x14ac:dyDescent="0.25">
      <c r="A576" s="5">
        <v>959</v>
      </c>
      <c r="B576" s="5">
        <v>571</v>
      </c>
      <c r="C576" s="5">
        <v>849</v>
      </c>
      <c r="D576" t="s">
        <v>624</v>
      </c>
      <c r="E576" s="3" t="str">
        <f t="array" ref="E576">IF(OR(EXACT(A576,'ESO Dungeon constants'!$D$3:$D$987)),"X","")</f>
        <v/>
      </c>
      <c r="F576" s="3" t="str">
        <f t="shared" si="32"/>
        <v/>
      </c>
      <c r="G576" s="3" t="str">
        <f t="shared" si="33"/>
        <v>Vvardenfell</v>
      </c>
      <c r="H576" s="17">
        <f t="shared" si="34"/>
        <v>959</v>
      </c>
      <c r="I576" s="17">
        <f t="shared" si="35"/>
        <v>849</v>
      </c>
      <c r="J576">
        <v>28</v>
      </c>
      <c r="K576" s="3" t="str">
        <f>VLOOKUP(J576,'LibSets constants'!$A$4:$B$1012,2,FALSE)</f>
        <v>DLC_FIRESONG</v>
      </c>
      <c r="L576" s="3" t="str">
        <f>VLOOKUP(J576,'LibSets constants'!$A$4:$C$1012,3,FALSE)</f>
        <v>Firesong</v>
      </c>
    </row>
    <row r="577" spans="1:12" x14ac:dyDescent="0.25">
      <c r="A577" s="5">
        <v>960</v>
      </c>
      <c r="B577" s="5">
        <v>572</v>
      </c>
      <c r="C577" s="5">
        <v>849</v>
      </c>
      <c r="D577" t="s">
        <v>625</v>
      </c>
      <c r="E577" s="3" t="str">
        <f t="array" ref="E577">IF(OR(EXACT(A577,'ESO Dungeon constants'!$D$3:$D$987)),"X","")</f>
        <v/>
      </c>
      <c r="F577" s="3" t="str">
        <f t="shared" si="32"/>
        <v/>
      </c>
      <c r="G577" s="3" t="str">
        <f t="shared" si="33"/>
        <v>Vvardenfell</v>
      </c>
      <c r="H577" s="17">
        <f t="shared" si="34"/>
        <v>960</v>
      </c>
      <c r="I577" s="17">
        <f t="shared" si="35"/>
        <v>849</v>
      </c>
      <c r="J577">
        <v>28</v>
      </c>
      <c r="K577" s="3" t="str">
        <f>VLOOKUP(J577,'LibSets constants'!$A$4:$B$1012,2,FALSE)</f>
        <v>DLC_FIRESONG</v>
      </c>
      <c r="L577" s="3" t="str">
        <f>VLOOKUP(J577,'LibSets constants'!$A$4:$C$1012,3,FALSE)</f>
        <v>Firesong</v>
      </c>
    </row>
    <row r="578" spans="1:12" x14ac:dyDescent="0.25">
      <c r="A578" s="5">
        <v>961</v>
      </c>
      <c r="B578" s="5">
        <v>573</v>
      </c>
      <c r="C578" s="5">
        <v>849</v>
      </c>
      <c r="D578" t="s">
        <v>626</v>
      </c>
      <c r="E578" s="3" t="str">
        <f t="array" ref="E578">IF(OR(EXACT(A578,'ESO Dungeon constants'!$D$3:$D$987)),"X","")</f>
        <v/>
      </c>
      <c r="F578" s="3" t="str">
        <f t="shared" si="32"/>
        <v/>
      </c>
      <c r="G578" s="3" t="str">
        <f t="shared" si="33"/>
        <v>Vvardenfell</v>
      </c>
      <c r="H578" s="17">
        <f t="shared" si="34"/>
        <v>961</v>
      </c>
      <c r="I578" s="17">
        <f t="shared" si="35"/>
        <v>849</v>
      </c>
      <c r="J578">
        <v>28</v>
      </c>
      <c r="K578" s="3" t="str">
        <f>VLOOKUP(J578,'LibSets constants'!$A$4:$B$1012,2,FALSE)</f>
        <v>DLC_FIRESONG</v>
      </c>
      <c r="L578" s="3" t="str">
        <f>VLOOKUP(J578,'LibSets constants'!$A$4:$C$1012,3,FALSE)</f>
        <v>Firesong</v>
      </c>
    </row>
    <row r="579" spans="1:12" x14ac:dyDescent="0.25">
      <c r="A579" s="5">
        <v>962</v>
      </c>
      <c r="B579" s="5">
        <v>574</v>
      </c>
      <c r="C579" s="5">
        <v>849</v>
      </c>
      <c r="D579" t="s">
        <v>627</v>
      </c>
      <c r="E579" s="3" t="str">
        <f t="array" ref="E579">IF(OR(EXACT(A579,'ESO Dungeon constants'!$D$3:$D$987)),"X","")</f>
        <v/>
      </c>
      <c r="F579" s="3" t="str">
        <f t="shared" si="32"/>
        <v/>
      </c>
      <c r="G579" s="3" t="str">
        <f t="shared" si="33"/>
        <v>Vvardenfell</v>
      </c>
      <c r="H579" s="17">
        <f t="shared" si="34"/>
        <v>962</v>
      </c>
      <c r="I579" s="17">
        <f t="shared" si="35"/>
        <v>849</v>
      </c>
      <c r="J579">
        <v>28</v>
      </c>
      <c r="K579" s="3" t="str">
        <f>VLOOKUP(J579,'LibSets constants'!$A$4:$B$1012,2,FALSE)</f>
        <v>DLC_FIRESONG</v>
      </c>
      <c r="L579" s="3" t="str">
        <f>VLOOKUP(J579,'LibSets constants'!$A$4:$C$1012,3,FALSE)</f>
        <v>Firesong</v>
      </c>
    </row>
    <row r="580" spans="1:12" x14ac:dyDescent="0.25">
      <c r="A580" s="5">
        <v>963</v>
      </c>
      <c r="B580" s="5">
        <v>575</v>
      </c>
      <c r="C580" s="5">
        <v>849</v>
      </c>
      <c r="D580" t="s">
        <v>628</v>
      </c>
      <c r="E580" s="3" t="str">
        <f t="array" ref="E580">IF(OR(EXACT(A580,'ESO Dungeon constants'!$D$3:$D$987)),"X","")</f>
        <v/>
      </c>
      <c r="F580" s="3" t="str">
        <f t="shared" si="32"/>
        <v/>
      </c>
      <c r="G580" s="3" t="str">
        <f t="shared" si="33"/>
        <v>Vvardenfell</v>
      </c>
      <c r="H580" s="17">
        <f t="shared" si="34"/>
        <v>963</v>
      </c>
      <c r="I580" s="17">
        <f t="shared" si="35"/>
        <v>849</v>
      </c>
      <c r="J580">
        <v>28</v>
      </c>
      <c r="K580" s="3" t="str">
        <f>VLOOKUP(J580,'LibSets constants'!$A$4:$B$1012,2,FALSE)</f>
        <v>DLC_FIRESONG</v>
      </c>
      <c r="L580" s="3" t="str">
        <f>VLOOKUP(J580,'LibSets constants'!$A$4:$C$1012,3,FALSE)</f>
        <v>Firesong</v>
      </c>
    </row>
    <row r="581" spans="1:12" x14ac:dyDescent="0.25">
      <c r="A581" s="5">
        <v>964</v>
      </c>
      <c r="B581" s="5">
        <v>576</v>
      </c>
      <c r="C581" s="5">
        <v>849</v>
      </c>
      <c r="D581" t="s">
        <v>629</v>
      </c>
      <c r="E581" s="3" t="str">
        <f t="array" ref="E581">IF(OR(EXACT(A581,'ESO Dungeon constants'!$D$3:$D$987)),"X","")</f>
        <v/>
      </c>
      <c r="F581" s="3" t="str">
        <f t="shared" ref="F581:F644" si="36">IF(EXACT(A581,C581),"X","")</f>
        <v/>
      </c>
      <c r="G581" s="3" t="str">
        <f t="shared" ref="G581:G644" si="37">IF(A581&lt;&gt;C581,VLOOKUP(C581,$A$5:$D$9954,4,FALSE),"")</f>
        <v>Vvardenfell</v>
      </c>
      <c r="H581" s="17">
        <f t="shared" ref="H581:H644" si="38">A581</f>
        <v>964</v>
      </c>
      <c r="I581" s="17">
        <f t="shared" ref="I581:I644" si="39">C581</f>
        <v>849</v>
      </c>
      <c r="J581">
        <v>28</v>
      </c>
      <c r="K581" s="3" t="str">
        <f>VLOOKUP(J581,'LibSets constants'!$A$4:$B$1012,2,FALSE)</f>
        <v>DLC_FIRESONG</v>
      </c>
      <c r="L581" s="3" t="str">
        <f>VLOOKUP(J581,'LibSets constants'!$A$4:$C$1012,3,FALSE)</f>
        <v>Firesong</v>
      </c>
    </row>
    <row r="582" spans="1:12" x14ac:dyDescent="0.25">
      <c r="A582" s="5">
        <v>965</v>
      </c>
      <c r="B582" s="5">
        <v>577</v>
      </c>
      <c r="C582" s="5">
        <v>849</v>
      </c>
      <c r="D582" t="s">
        <v>630</v>
      </c>
      <c r="E582" s="3" t="str">
        <f t="array" ref="E582">IF(OR(EXACT(A582,'ESO Dungeon constants'!$D$3:$D$987)),"X","")</f>
        <v/>
      </c>
      <c r="F582" s="3" t="str">
        <f t="shared" si="36"/>
        <v/>
      </c>
      <c r="G582" s="3" t="str">
        <f t="shared" si="37"/>
        <v>Vvardenfell</v>
      </c>
      <c r="H582" s="17">
        <f t="shared" si="38"/>
        <v>965</v>
      </c>
      <c r="I582" s="17">
        <f t="shared" si="39"/>
        <v>849</v>
      </c>
      <c r="J582">
        <v>28</v>
      </c>
      <c r="K582" s="3" t="str">
        <f>VLOOKUP(J582,'LibSets constants'!$A$4:$B$1012,2,FALSE)</f>
        <v>DLC_FIRESONG</v>
      </c>
      <c r="L582" s="3" t="str">
        <f>VLOOKUP(J582,'LibSets constants'!$A$4:$C$1012,3,FALSE)</f>
        <v>Firesong</v>
      </c>
    </row>
    <row r="583" spans="1:12" x14ac:dyDescent="0.25">
      <c r="A583" s="5">
        <v>966</v>
      </c>
      <c r="B583" s="5">
        <v>578</v>
      </c>
      <c r="C583" s="5">
        <v>849</v>
      </c>
      <c r="D583" t="s">
        <v>631</v>
      </c>
      <c r="E583" s="3" t="str">
        <f t="array" ref="E583">IF(OR(EXACT(A583,'ESO Dungeon constants'!$D$3:$D$987)),"X","")</f>
        <v/>
      </c>
      <c r="F583" s="3" t="str">
        <f t="shared" si="36"/>
        <v/>
      </c>
      <c r="G583" s="3" t="str">
        <f t="shared" si="37"/>
        <v>Vvardenfell</v>
      </c>
      <c r="H583" s="17">
        <f t="shared" si="38"/>
        <v>966</v>
      </c>
      <c r="I583" s="17">
        <f t="shared" si="39"/>
        <v>849</v>
      </c>
      <c r="J583">
        <v>28</v>
      </c>
      <c r="K583" s="3" t="str">
        <f>VLOOKUP(J583,'LibSets constants'!$A$4:$B$1012,2,FALSE)</f>
        <v>DLC_FIRESONG</v>
      </c>
      <c r="L583" s="3" t="str">
        <f>VLOOKUP(J583,'LibSets constants'!$A$4:$C$1012,3,FALSE)</f>
        <v>Firesong</v>
      </c>
    </row>
    <row r="584" spans="1:12" x14ac:dyDescent="0.25">
      <c r="A584" s="5">
        <v>967</v>
      </c>
      <c r="B584" s="5">
        <v>579</v>
      </c>
      <c r="C584" s="5">
        <v>849</v>
      </c>
      <c r="D584" t="s">
        <v>632</v>
      </c>
      <c r="E584" s="3" t="str">
        <f t="array" ref="E584">IF(OR(EXACT(A584,'ESO Dungeon constants'!$D$3:$D$987)),"X","")</f>
        <v/>
      </c>
      <c r="F584" s="3" t="str">
        <f t="shared" si="36"/>
        <v/>
      </c>
      <c r="G584" s="3" t="str">
        <f t="shared" si="37"/>
        <v>Vvardenfell</v>
      </c>
      <c r="H584" s="17">
        <f t="shared" si="38"/>
        <v>967</v>
      </c>
      <c r="I584" s="17">
        <f t="shared" si="39"/>
        <v>849</v>
      </c>
      <c r="J584">
        <v>28</v>
      </c>
      <c r="K584" s="3" t="str">
        <f>VLOOKUP(J584,'LibSets constants'!$A$4:$B$1012,2,FALSE)</f>
        <v>DLC_FIRESONG</v>
      </c>
      <c r="L584" s="3" t="str">
        <f>VLOOKUP(J584,'LibSets constants'!$A$4:$C$1012,3,FALSE)</f>
        <v>Firesong</v>
      </c>
    </row>
    <row r="585" spans="1:12" x14ac:dyDescent="0.25">
      <c r="A585" s="5">
        <v>968</v>
      </c>
      <c r="B585" s="5">
        <v>580</v>
      </c>
      <c r="C585" s="5">
        <v>849</v>
      </c>
      <c r="D585" t="s">
        <v>633</v>
      </c>
      <c r="E585" s="3" t="str">
        <f t="array" ref="E585">IF(OR(EXACT(A585,'ESO Dungeon constants'!$D$3:$D$987)),"X","")</f>
        <v/>
      </c>
      <c r="F585" s="3" t="str">
        <f t="shared" si="36"/>
        <v/>
      </c>
      <c r="G585" s="3" t="str">
        <f t="shared" si="37"/>
        <v>Vvardenfell</v>
      </c>
      <c r="H585" s="17">
        <f t="shared" si="38"/>
        <v>968</v>
      </c>
      <c r="I585" s="17">
        <f t="shared" si="39"/>
        <v>849</v>
      </c>
      <c r="J585">
        <v>28</v>
      </c>
      <c r="K585" s="3" t="str">
        <f>VLOOKUP(J585,'LibSets constants'!$A$4:$B$1012,2,FALSE)</f>
        <v>DLC_FIRESONG</v>
      </c>
      <c r="L585" s="3" t="str">
        <f>VLOOKUP(J585,'LibSets constants'!$A$4:$C$1012,3,FALSE)</f>
        <v>Firesong</v>
      </c>
    </row>
    <row r="586" spans="1:12" x14ac:dyDescent="0.25">
      <c r="A586" s="5">
        <v>969</v>
      </c>
      <c r="B586" s="5">
        <v>581</v>
      </c>
      <c r="C586" s="5">
        <v>849</v>
      </c>
      <c r="D586" t="s">
        <v>634</v>
      </c>
      <c r="E586" s="3" t="str">
        <f t="array" ref="E586">IF(OR(EXACT(A586,'ESO Dungeon constants'!$D$3:$D$987)),"X","")</f>
        <v/>
      </c>
      <c r="F586" s="3" t="str">
        <f t="shared" si="36"/>
        <v/>
      </c>
      <c r="G586" s="3" t="str">
        <f t="shared" si="37"/>
        <v>Vvardenfell</v>
      </c>
      <c r="H586" s="17">
        <f t="shared" si="38"/>
        <v>969</v>
      </c>
      <c r="I586" s="17">
        <f t="shared" si="39"/>
        <v>849</v>
      </c>
      <c r="J586">
        <v>28</v>
      </c>
      <c r="K586" s="3" t="str">
        <f>VLOOKUP(J586,'LibSets constants'!$A$4:$B$1012,2,FALSE)</f>
        <v>DLC_FIRESONG</v>
      </c>
      <c r="L586" s="3" t="str">
        <f>VLOOKUP(J586,'LibSets constants'!$A$4:$C$1012,3,FALSE)</f>
        <v>Firesong</v>
      </c>
    </row>
    <row r="587" spans="1:12" x14ac:dyDescent="0.25">
      <c r="A587" s="5">
        <v>970</v>
      </c>
      <c r="B587" s="5">
        <v>582</v>
      </c>
      <c r="C587" s="5">
        <v>849</v>
      </c>
      <c r="D587" t="s">
        <v>635</v>
      </c>
      <c r="E587" s="3" t="str">
        <f t="array" ref="E587">IF(OR(EXACT(A587,'ESO Dungeon constants'!$D$3:$D$987)),"X","")</f>
        <v/>
      </c>
      <c r="F587" s="3" t="str">
        <f t="shared" si="36"/>
        <v/>
      </c>
      <c r="G587" s="3" t="str">
        <f t="shared" si="37"/>
        <v>Vvardenfell</v>
      </c>
      <c r="H587" s="17">
        <f t="shared" si="38"/>
        <v>970</v>
      </c>
      <c r="I587" s="17">
        <f t="shared" si="39"/>
        <v>849</v>
      </c>
      <c r="J587">
        <v>28</v>
      </c>
      <c r="K587" s="3" t="str">
        <f>VLOOKUP(J587,'LibSets constants'!$A$4:$B$1012,2,FALSE)</f>
        <v>DLC_FIRESONG</v>
      </c>
      <c r="L587" s="3" t="str">
        <f>VLOOKUP(J587,'LibSets constants'!$A$4:$C$1012,3,FALSE)</f>
        <v>Firesong</v>
      </c>
    </row>
    <row r="588" spans="1:12" x14ac:dyDescent="0.25">
      <c r="A588" s="5">
        <v>971</v>
      </c>
      <c r="B588" s="5">
        <v>583</v>
      </c>
      <c r="C588" s="5">
        <v>849</v>
      </c>
      <c r="D588" t="s">
        <v>636</v>
      </c>
      <c r="E588" s="3" t="str">
        <f t="array" ref="E588">IF(OR(EXACT(A588,'ESO Dungeon constants'!$D$3:$D$987)),"X","")</f>
        <v/>
      </c>
      <c r="F588" s="3" t="str">
        <f t="shared" si="36"/>
        <v/>
      </c>
      <c r="G588" s="3" t="str">
        <f t="shared" si="37"/>
        <v>Vvardenfell</v>
      </c>
      <c r="H588" s="17">
        <f t="shared" si="38"/>
        <v>971</v>
      </c>
      <c r="I588" s="17">
        <f t="shared" si="39"/>
        <v>849</v>
      </c>
      <c r="J588">
        <v>28</v>
      </c>
      <c r="K588" s="3" t="str">
        <f>VLOOKUP(J588,'LibSets constants'!$A$4:$B$1012,2,FALSE)</f>
        <v>DLC_FIRESONG</v>
      </c>
      <c r="L588" s="3" t="str">
        <f>VLOOKUP(J588,'LibSets constants'!$A$4:$C$1012,3,FALSE)</f>
        <v>Firesong</v>
      </c>
    </row>
    <row r="589" spans="1:12" x14ac:dyDescent="0.25">
      <c r="A589" s="5">
        <v>972</v>
      </c>
      <c r="B589" s="5">
        <v>584</v>
      </c>
      <c r="C589" s="5">
        <v>849</v>
      </c>
      <c r="D589" t="s">
        <v>637</v>
      </c>
      <c r="E589" s="3" t="str">
        <f t="array" ref="E589">IF(OR(EXACT(A589,'ESO Dungeon constants'!$D$3:$D$987)),"X","")</f>
        <v/>
      </c>
      <c r="F589" s="3" t="str">
        <f t="shared" si="36"/>
        <v/>
      </c>
      <c r="G589" s="3" t="str">
        <f t="shared" si="37"/>
        <v>Vvardenfell</v>
      </c>
      <c r="H589" s="17">
        <f t="shared" si="38"/>
        <v>972</v>
      </c>
      <c r="I589" s="17">
        <f t="shared" si="39"/>
        <v>849</v>
      </c>
      <c r="J589">
        <v>28</v>
      </c>
      <c r="K589" s="3" t="str">
        <f>VLOOKUP(J589,'LibSets constants'!$A$4:$B$1012,2,FALSE)</f>
        <v>DLC_FIRESONG</v>
      </c>
      <c r="L589" s="3" t="str">
        <f>VLOOKUP(J589,'LibSets constants'!$A$4:$C$1012,3,FALSE)</f>
        <v>Firesong</v>
      </c>
    </row>
    <row r="590" spans="1:12" x14ac:dyDescent="0.25">
      <c r="A590" s="5">
        <v>973</v>
      </c>
      <c r="B590" s="5">
        <v>585</v>
      </c>
      <c r="C590" s="5">
        <v>888</v>
      </c>
      <c r="D590" t="s">
        <v>45</v>
      </c>
      <c r="E590" s="3" t="str">
        <f t="array" ref="E590">IF(OR(EXACT(A590,'ESO Dungeon constants'!$D$3:$D$987)),"X","")</f>
        <v>X</v>
      </c>
      <c r="F590" s="3" t="str">
        <f t="shared" si="36"/>
        <v/>
      </c>
      <c r="G590" s="3" t="str">
        <f t="shared" si="37"/>
        <v>Craglorn</v>
      </c>
      <c r="H590" s="17">
        <f t="shared" si="38"/>
        <v>973</v>
      </c>
      <c r="I590" s="17">
        <f t="shared" si="39"/>
        <v>888</v>
      </c>
      <c r="J590">
        <v>28</v>
      </c>
      <c r="K590" s="3" t="str">
        <f>VLOOKUP(J590,'LibSets constants'!$A$4:$B$1012,2,FALSE)</f>
        <v>DLC_FIRESONG</v>
      </c>
      <c r="L590" s="3" t="str">
        <f>VLOOKUP(J590,'LibSets constants'!$A$4:$C$1012,3,FALSE)</f>
        <v>Firesong</v>
      </c>
    </row>
    <row r="591" spans="1:12" x14ac:dyDescent="0.25">
      <c r="A591" s="5">
        <v>974</v>
      </c>
      <c r="B591" s="5">
        <v>586</v>
      </c>
      <c r="C591" s="5">
        <v>888</v>
      </c>
      <c r="D591" t="s">
        <v>44</v>
      </c>
      <c r="E591" s="3" t="str">
        <f t="array" ref="E591">IF(OR(EXACT(A591,'ESO Dungeon constants'!$D$3:$D$987)),"X","")</f>
        <v>X</v>
      </c>
      <c r="F591" s="3" t="str">
        <f t="shared" si="36"/>
        <v/>
      </c>
      <c r="G591" s="3" t="str">
        <f t="shared" si="37"/>
        <v>Craglorn</v>
      </c>
      <c r="H591" s="17">
        <f t="shared" si="38"/>
        <v>974</v>
      </c>
      <c r="I591" s="17">
        <f t="shared" si="39"/>
        <v>888</v>
      </c>
      <c r="J591">
        <v>28</v>
      </c>
      <c r="K591" s="3" t="str">
        <f>VLOOKUP(J591,'LibSets constants'!$A$4:$B$1012,2,FALSE)</f>
        <v>DLC_FIRESONG</v>
      </c>
      <c r="L591" s="3" t="str">
        <f>VLOOKUP(J591,'LibSets constants'!$A$4:$C$1012,3,FALSE)</f>
        <v>Firesong</v>
      </c>
    </row>
    <row r="592" spans="1:12" x14ac:dyDescent="0.25">
      <c r="A592" s="5">
        <v>975</v>
      </c>
      <c r="B592" s="5">
        <v>587</v>
      </c>
      <c r="C592" s="5">
        <v>849</v>
      </c>
      <c r="D592" t="s">
        <v>638</v>
      </c>
      <c r="E592" s="3" t="str">
        <f t="array" ref="E592">IF(OR(EXACT(A592,'ESO Dungeon constants'!$D$3:$D$987)),"X","")</f>
        <v>X</v>
      </c>
      <c r="F592" s="3" t="str">
        <f t="shared" si="36"/>
        <v/>
      </c>
      <c r="G592" s="3" t="str">
        <f t="shared" si="37"/>
        <v>Vvardenfell</v>
      </c>
      <c r="H592" s="17">
        <f t="shared" si="38"/>
        <v>975</v>
      </c>
      <c r="I592" s="17">
        <f t="shared" si="39"/>
        <v>849</v>
      </c>
      <c r="J592">
        <v>29</v>
      </c>
      <c r="K592" s="3" t="str">
        <f>VLOOKUP(J592,'LibSets constants'!$A$4:$B$1012,2,FALSE)</f>
        <v>DLC_SCRIBES_OF_FATE</v>
      </c>
      <c r="L592" s="3" t="str">
        <f>VLOOKUP(J592,'LibSets constants'!$A$4:$C$1012,3,FALSE)</f>
        <v>Scribes of Fate</v>
      </c>
    </row>
    <row r="593" spans="1:12" x14ac:dyDescent="0.25">
      <c r="A593" s="5">
        <v>977</v>
      </c>
      <c r="B593" s="5">
        <v>588</v>
      </c>
      <c r="C593" s="5">
        <v>849</v>
      </c>
      <c r="D593" t="s">
        <v>639</v>
      </c>
      <c r="E593" s="3" t="str">
        <f t="array" ref="E593">IF(OR(EXACT(A593,'ESO Dungeon constants'!$D$3:$D$987)),"X","")</f>
        <v/>
      </c>
      <c r="F593" s="3" t="str">
        <f t="shared" si="36"/>
        <v/>
      </c>
      <c r="G593" s="3" t="str">
        <f t="shared" si="37"/>
        <v>Vvardenfell</v>
      </c>
      <c r="H593" s="17">
        <f t="shared" si="38"/>
        <v>977</v>
      </c>
      <c r="I593" s="17">
        <f t="shared" si="39"/>
        <v>849</v>
      </c>
      <c r="J593">
        <v>29</v>
      </c>
      <c r="K593" s="3" t="str">
        <f>VLOOKUP(J593,'LibSets constants'!$A$4:$B$1012,2,FALSE)</f>
        <v>DLC_SCRIBES_OF_FATE</v>
      </c>
      <c r="L593" s="3" t="str">
        <f>VLOOKUP(J593,'LibSets constants'!$A$4:$C$1012,3,FALSE)</f>
        <v>Scribes of Fate</v>
      </c>
    </row>
    <row r="594" spans="1:12" x14ac:dyDescent="0.25">
      <c r="A594" s="5">
        <v>979</v>
      </c>
      <c r="B594" s="5">
        <v>589</v>
      </c>
      <c r="C594" s="5">
        <v>849</v>
      </c>
      <c r="D594" t="s">
        <v>632</v>
      </c>
      <c r="E594" s="3" t="str">
        <f t="array" ref="E594">IF(OR(EXACT(A594,'ESO Dungeon constants'!$D$3:$D$987)),"X","")</f>
        <v/>
      </c>
      <c r="F594" s="3" t="str">
        <f t="shared" si="36"/>
        <v/>
      </c>
      <c r="G594" s="3" t="str">
        <f t="shared" si="37"/>
        <v>Vvardenfell</v>
      </c>
      <c r="H594" s="17">
        <f t="shared" si="38"/>
        <v>979</v>
      </c>
      <c r="I594" s="17">
        <f t="shared" si="39"/>
        <v>849</v>
      </c>
      <c r="J594">
        <v>30</v>
      </c>
      <c r="K594" s="3" t="str">
        <f>VLOOKUP(J594,'LibSets constants'!$A$4:$B$1012,2,FALSE)</f>
        <v>DLC_NECROM</v>
      </c>
      <c r="L594" s="3" t="str">
        <f>VLOOKUP(J594,'LibSets constants'!$A$4:$C$1012,3,FALSE)</f>
        <v>Necrom</v>
      </c>
    </row>
    <row r="595" spans="1:12" x14ac:dyDescent="0.25">
      <c r="A595" s="5">
        <v>980</v>
      </c>
      <c r="B595" s="5">
        <v>590</v>
      </c>
      <c r="C595" s="5">
        <v>980</v>
      </c>
      <c r="D595" t="s">
        <v>78</v>
      </c>
      <c r="E595" s="3" t="str">
        <f t="array" ref="E595">IF(OR(EXACT(A595,'ESO Dungeon constants'!$D$3:$D$987)),"X","")</f>
        <v/>
      </c>
      <c r="F595" s="3" t="str">
        <f t="shared" si="36"/>
        <v>X</v>
      </c>
      <c r="G595" s="3" t="str">
        <f t="shared" si="37"/>
        <v/>
      </c>
      <c r="H595" s="17">
        <f t="shared" si="38"/>
        <v>980</v>
      </c>
      <c r="I595" s="17">
        <f t="shared" si="39"/>
        <v>980</v>
      </c>
      <c r="J595">
        <v>30</v>
      </c>
      <c r="K595" s="3" t="str">
        <f>VLOOKUP(J595,'LibSets constants'!$A$4:$B$1012,2,FALSE)</f>
        <v>DLC_NECROM</v>
      </c>
      <c r="L595" s="3" t="str">
        <f>VLOOKUP(J595,'LibSets constants'!$A$4:$C$1012,3,FALSE)</f>
        <v>Necrom</v>
      </c>
    </row>
    <row r="596" spans="1:12" x14ac:dyDescent="0.25">
      <c r="A596" s="5">
        <v>981</v>
      </c>
      <c r="B596" s="5">
        <v>591</v>
      </c>
      <c r="C596" s="5">
        <v>980</v>
      </c>
      <c r="D596" t="s">
        <v>640</v>
      </c>
      <c r="E596" s="3" t="str">
        <f t="array" ref="E596">IF(OR(EXACT(A596,'ESO Dungeon constants'!$D$3:$D$987)),"X","")</f>
        <v/>
      </c>
      <c r="F596" s="3" t="str">
        <f t="shared" si="36"/>
        <v/>
      </c>
      <c r="G596" s="3" t="str">
        <f t="shared" si="37"/>
        <v>Clockwork City</v>
      </c>
      <c r="H596" s="17">
        <f t="shared" si="38"/>
        <v>981</v>
      </c>
      <c r="I596" s="17">
        <f t="shared" si="39"/>
        <v>980</v>
      </c>
      <c r="J596">
        <v>30</v>
      </c>
      <c r="K596" s="3" t="str">
        <f>VLOOKUP(J596,'LibSets constants'!$A$4:$B$1012,2,FALSE)</f>
        <v>DLC_NECROM</v>
      </c>
      <c r="L596" s="3" t="str">
        <f>VLOOKUP(J596,'LibSets constants'!$A$4:$C$1012,3,FALSE)</f>
        <v>Necrom</v>
      </c>
    </row>
    <row r="597" spans="1:12" x14ac:dyDescent="0.25">
      <c r="A597" s="5">
        <v>982</v>
      </c>
      <c r="B597" s="5">
        <v>592</v>
      </c>
      <c r="C597" s="5">
        <v>980</v>
      </c>
      <c r="D597" t="s">
        <v>641</v>
      </c>
      <c r="E597" s="3" t="str">
        <f t="array" ref="E597">IF(OR(EXACT(A597,'ESO Dungeon constants'!$D$3:$D$987)),"X","")</f>
        <v/>
      </c>
      <c r="F597" s="3" t="str">
        <f t="shared" si="36"/>
        <v/>
      </c>
      <c r="G597" s="3" t="str">
        <f t="shared" si="37"/>
        <v>Clockwork City</v>
      </c>
      <c r="H597" s="17">
        <f t="shared" si="38"/>
        <v>982</v>
      </c>
      <c r="I597" s="17">
        <f t="shared" si="39"/>
        <v>980</v>
      </c>
      <c r="J597">
        <v>30</v>
      </c>
      <c r="K597" s="3" t="str">
        <f>VLOOKUP(J597,'LibSets constants'!$A$4:$B$1012,2,FALSE)</f>
        <v>DLC_NECROM</v>
      </c>
      <c r="L597" s="3" t="str">
        <f>VLOOKUP(J597,'LibSets constants'!$A$4:$C$1012,3,FALSE)</f>
        <v>Necrom</v>
      </c>
    </row>
    <row r="598" spans="1:12" x14ac:dyDescent="0.25">
      <c r="A598" s="5">
        <v>983</v>
      </c>
      <c r="B598" s="5">
        <v>593</v>
      </c>
      <c r="C598" s="5">
        <v>980</v>
      </c>
      <c r="D598" t="s">
        <v>642</v>
      </c>
      <c r="E598" s="3" t="str">
        <f t="array" ref="E598">IF(OR(EXACT(A598,'ESO Dungeon constants'!$D$3:$D$987)),"X","")</f>
        <v/>
      </c>
      <c r="F598" s="3" t="str">
        <f t="shared" si="36"/>
        <v/>
      </c>
      <c r="G598" s="3" t="str">
        <f t="shared" si="37"/>
        <v>Clockwork City</v>
      </c>
      <c r="H598" s="17">
        <f t="shared" si="38"/>
        <v>983</v>
      </c>
      <c r="I598" s="17">
        <f t="shared" si="39"/>
        <v>980</v>
      </c>
      <c r="J598">
        <v>30</v>
      </c>
      <c r="K598" s="3" t="str">
        <f>VLOOKUP(J598,'LibSets constants'!$A$4:$B$1012,2,FALSE)</f>
        <v>DLC_NECROM</v>
      </c>
      <c r="L598" s="3" t="str">
        <f>VLOOKUP(J598,'LibSets constants'!$A$4:$C$1012,3,FALSE)</f>
        <v>Necrom</v>
      </c>
    </row>
    <row r="599" spans="1:12" x14ac:dyDescent="0.25">
      <c r="A599" s="5">
        <v>984</v>
      </c>
      <c r="B599" s="5">
        <v>594</v>
      </c>
      <c r="C599" s="5">
        <v>980</v>
      </c>
      <c r="D599" t="s">
        <v>643</v>
      </c>
      <c r="E599" s="3" t="str">
        <f t="array" ref="E599">IF(OR(EXACT(A599,'ESO Dungeon constants'!$D$3:$D$987)),"X","")</f>
        <v/>
      </c>
      <c r="F599" s="3" t="str">
        <f t="shared" si="36"/>
        <v/>
      </c>
      <c r="G599" s="3" t="str">
        <f t="shared" si="37"/>
        <v>Clockwork City</v>
      </c>
      <c r="H599" s="17">
        <f t="shared" si="38"/>
        <v>984</v>
      </c>
      <c r="I599" s="17">
        <f t="shared" si="39"/>
        <v>980</v>
      </c>
      <c r="J599">
        <v>30</v>
      </c>
      <c r="K599" s="3" t="str">
        <f>VLOOKUP(J599,'LibSets constants'!$A$4:$B$1012,2,FALSE)</f>
        <v>DLC_NECROM</v>
      </c>
      <c r="L599" s="3" t="str">
        <f>VLOOKUP(J599,'LibSets constants'!$A$4:$C$1012,3,FALSE)</f>
        <v>Necrom</v>
      </c>
    </row>
    <row r="600" spans="1:12" x14ac:dyDescent="0.25">
      <c r="A600" s="5">
        <v>985</v>
      </c>
      <c r="B600" s="5">
        <v>595</v>
      </c>
      <c r="C600" s="5">
        <v>980</v>
      </c>
      <c r="D600" t="s">
        <v>644</v>
      </c>
      <c r="E600" s="3" t="str">
        <f t="array" ref="E600">IF(OR(EXACT(A600,'ESO Dungeon constants'!$D$3:$D$987)),"X","")</f>
        <v/>
      </c>
      <c r="F600" s="3" t="str">
        <f t="shared" si="36"/>
        <v/>
      </c>
      <c r="G600" s="3" t="str">
        <f t="shared" si="37"/>
        <v>Clockwork City</v>
      </c>
      <c r="H600" s="17">
        <f t="shared" si="38"/>
        <v>985</v>
      </c>
      <c r="I600" s="17">
        <f t="shared" si="39"/>
        <v>980</v>
      </c>
      <c r="J600">
        <v>30</v>
      </c>
      <c r="K600" s="3" t="str">
        <f>VLOOKUP(J600,'LibSets constants'!$A$4:$B$1012,2,FALSE)</f>
        <v>DLC_NECROM</v>
      </c>
      <c r="L600" s="3" t="str">
        <f>VLOOKUP(J600,'LibSets constants'!$A$4:$C$1012,3,FALSE)</f>
        <v>Necrom</v>
      </c>
    </row>
    <row r="601" spans="1:12" x14ac:dyDescent="0.25">
      <c r="A601" s="5">
        <v>986</v>
      </c>
      <c r="B601" s="5">
        <v>596</v>
      </c>
      <c r="C601" s="5">
        <v>980</v>
      </c>
      <c r="D601" t="s">
        <v>645</v>
      </c>
      <c r="E601" s="3" t="str">
        <f t="array" ref="E601">IF(OR(EXACT(A601,'ESO Dungeon constants'!$D$3:$D$987)),"X","")</f>
        <v/>
      </c>
      <c r="F601" s="3" t="str">
        <f t="shared" si="36"/>
        <v/>
      </c>
      <c r="G601" s="3" t="str">
        <f t="shared" si="37"/>
        <v>Clockwork City</v>
      </c>
      <c r="H601" s="17">
        <f t="shared" si="38"/>
        <v>986</v>
      </c>
      <c r="I601" s="17">
        <f t="shared" si="39"/>
        <v>980</v>
      </c>
      <c r="J601">
        <v>30</v>
      </c>
      <c r="K601" s="3" t="str">
        <f>VLOOKUP(J601,'LibSets constants'!$A$4:$B$1012,2,FALSE)</f>
        <v>DLC_NECROM</v>
      </c>
      <c r="L601" s="3" t="str">
        <f>VLOOKUP(J601,'LibSets constants'!$A$4:$C$1012,3,FALSE)</f>
        <v>Necrom</v>
      </c>
    </row>
    <row r="602" spans="1:12" x14ac:dyDescent="0.25">
      <c r="A602" s="5">
        <v>988</v>
      </c>
      <c r="B602" s="5">
        <v>597</v>
      </c>
      <c r="C602" s="5">
        <v>980</v>
      </c>
      <c r="D602" t="s">
        <v>646</v>
      </c>
      <c r="E602" s="3" t="str">
        <f t="array" ref="E602">IF(OR(EXACT(A602,'ESO Dungeon constants'!$D$3:$D$987)),"X","")</f>
        <v/>
      </c>
      <c r="F602" s="3" t="str">
        <f t="shared" si="36"/>
        <v/>
      </c>
      <c r="G602" s="3" t="str">
        <f t="shared" si="37"/>
        <v>Clockwork City</v>
      </c>
      <c r="H602" s="17">
        <f t="shared" si="38"/>
        <v>988</v>
      </c>
      <c r="I602" s="17">
        <f t="shared" si="39"/>
        <v>980</v>
      </c>
      <c r="J602">
        <v>30</v>
      </c>
      <c r="K602" s="3" t="str">
        <f>VLOOKUP(J602,'LibSets constants'!$A$4:$B$1012,2,FALSE)</f>
        <v>DLC_NECROM</v>
      </c>
      <c r="L602" s="3" t="str">
        <f>VLOOKUP(J602,'LibSets constants'!$A$4:$C$1012,3,FALSE)</f>
        <v>Necrom</v>
      </c>
    </row>
    <row r="603" spans="1:12" x14ac:dyDescent="0.25">
      <c r="A603" s="5">
        <v>989</v>
      </c>
      <c r="B603" s="5">
        <v>598</v>
      </c>
      <c r="C603" s="5">
        <v>980</v>
      </c>
      <c r="D603" t="s">
        <v>647</v>
      </c>
      <c r="E603" s="3" t="str">
        <f t="array" ref="E603">IF(OR(EXACT(A603,'ESO Dungeon constants'!$D$3:$D$987)),"X","")</f>
        <v/>
      </c>
      <c r="F603" s="3" t="str">
        <f t="shared" si="36"/>
        <v/>
      </c>
      <c r="G603" s="3" t="str">
        <f t="shared" si="37"/>
        <v>Clockwork City</v>
      </c>
      <c r="H603" s="17">
        <f t="shared" si="38"/>
        <v>989</v>
      </c>
      <c r="I603" s="17">
        <f t="shared" si="39"/>
        <v>980</v>
      </c>
      <c r="J603">
        <v>30</v>
      </c>
      <c r="K603" s="3" t="str">
        <f>VLOOKUP(J603,'LibSets constants'!$A$4:$B$1012,2,FALSE)</f>
        <v>DLC_NECROM</v>
      </c>
      <c r="L603" s="3" t="str">
        <f>VLOOKUP(J603,'LibSets constants'!$A$4:$C$1012,3,FALSE)</f>
        <v>Necrom</v>
      </c>
    </row>
    <row r="604" spans="1:12" x14ac:dyDescent="0.25">
      <c r="A604" s="5">
        <v>990</v>
      </c>
      <c r="B604" s="5">
        <v>599</v>
      </c>
      <c r="C604" s="5">
        <v>980</v>
      </c>
      <c r="D604" t="s">
        <v>648</v>
      </c>
      <c r="E604" s="3" t="str">
        <f t="array" ref="E604">IF(OR(EXACT(A604,'ESO Dungeon constants'!$D$3:$D$987)),"X","")</f>
        <v/>
      </c>
      <c r="F604" s="3" t="str">
        <f t="shared" si="36"/>
        <v/>
      </c>
      <c r="G604" s="3" t="str">
        <f t="shared" si="37"/>
        <v>Clockwork City</v>
      </c>
      <c r="H604" s="17">
        <f t="shared" si="38"/>
        <v>990</v>
      </c>
      <c r="I604" s="17">
        <f t="shared" si="39"/>
        <v>980</v>
      </c>
      <c r="J604">
        <v>30</v>
      </c>
      <c r="K604" s="3" t="str">
        <f>VLOOKUP(J604,'LibSets constants'!$A$4:$B$1012,2,FALSE)</f>
        <v>DLC_NECROM</v>
      </c>
      <c r="L604" s="3" t="str">
        <f>VLOOKUP(J604,'LibSets constants'!$A$4:$C$1012,3,FALSE)</f>
        <v>Necrom</v>
      </c>
    </row>
    <row r="605" spans="1:12" x14ac:dyDescent="0.25">
      <c r="A605" s="5">
        <v>991</v>
      </c>
      <c r="B605" s="5">
        <v>600</v>
      </c>
      <c r="C605" s="5">
        <v>980</v>
      </c>
      <c r="D605" t="s">
        <v>649</v>
      </c>
      <c r="E605" s="3" t="str">
        <f t="array" ref="E605">IF(OR(EXACT(A605,'ESO Dungeon constants'!$D$3:$D$987)),"X","")</f>
        <v/>
      </c>
      <c r="F605" s="3" t="str">
        <f t="shared" si="36"/>
        <v/>
      </c>
      <c r="G605" s="3" t="str">
        <f t="shared" si="37"/>
        <v>Clockwork City</v>
      </c>
      <c r="H605" s="17">
        <f t="shared" si="38"/>
        <v>991</v>
      </c>
      <c r="I605" s="17">
        <f t="shared" si="39"/>
        <v>980</v>
      </c>
      <c r="J605">
        <v>30</v>
      </c>
      <c r="K605" s="3" t="str">
        <f>VLOOKUP(J605,'LibSets constants'!$A$4:$B$1012,2,FALSE)</f>
        <v>DLC_NECROM</v>
      </c>
      <c r="L605" s="3" t="str">
        <f>VLOOKUP(J605,'LibSets constants'!$A$4:$C$1012,3,FALSE)</f>
        <v>Necrom</v>
      </c>
    </row>
    <row r="606" spans="1:12" x14ac:dyDescent="0.25">
      <c r="A606" s="5">
        <v>992</v>
      </c>
      <c r="B606" s="5">
        <v>601</v>
      </c>
      <c r="C606" s="5">
        <v>980</v>
      </c>
      <c r="D606" t="s">
        <v>650</v>
      </c>
      <c r="E606" s="3" t="str">
        <f t="array" ref="E606">IF(OR(EXACT(A606,'ESO Dungeon constants'!$D$3:$D$987)),"X","")</f>
        <v/>
      </c>
      <c r="F606" s="3" t="str">
        <f t="shared" si="36"/>
        <v/>
      </c>
      <c r="G606" s="3" t="str">
        <f t="shared" si="37"/>
        <v>Clockwork City</v>
      </c>
      <c r="H606" s="17">
        <f t="shared" si="38"/>
        <v>992</v>
      </c>
      <c r="I606" s="17">
        <f t="shared" si="39"/>
        <v>980</v>
      </c>
      <c r="J606">
        <v>30</v>
      </c>
      <c r="K606" s="3" t="str">
        <f>VLOOKUP(J606,'LibSets constants'!$A$4:$B$1012,2,FALSE)</f>
        <v>DLC_NECROM</v>
      </c>
      <c r="L606" s="3" t="str">
        <f>VLOOKUP(J606,'LibSets constants'!$A$4:$C$1012,3,FALSE)</f>
        <v>Necrom</v>
      </c>
    </row>
    <row r="607" spans="1:12" x14ac:dyDescent="0.25">
      <c r="A607" s="5">
        <v>993</v>
      </c>
      <c r="B607" s="5">
        <v>602</v>
      </c>
      <c r="C607" s="5">
        <v>980</v>
      </c>
      <c r="D607" t="s">
        <v>651</v>
      </c>
      <c r="E607" s="3" t="str">
        <f t="array" ref="E607">IF(OR(EXACT(A607,'ESO Dungeon constants'!$D$3:$D$987)),"X","")</f>
        <v/>
      </c>
      <c r="F607" s="3" t="str">
        <f t="shared" si="36"/>
        <v/>
      </c>
      <c r="G607" s="3" t="str">
        <f t="shared" si="37"/>
        <v>Clockwork City</v>
      </c>
      <c r="H607" s="17">
        <f t="shared" si="38"/>
        <v>993</v>
      </c>
      <c r="I607" s="17">
        <f t="shared" si="39"/>
        <v>980</v>
      </c>
      <c r="J607">
        <v>30</v>
      </c>
      <c r="K607" s="3" t="str">
        <f>VLOOKUP(J607,'LibSets constants'!$A$4:$B$1012,2,FALSE)</f>
        <v>DLC_NECROM</v>
      </c>
      <c r="L607" s="3" t="str">
        <f>VLOOKUP(J607,'LibSets constants'!$A$4:$C$1012,3,FALSE)</f>
        <v>Necrom</v>
      </c>
    </row>
    <row r="608" spans="1:12" x14ac:dyDescent="0.25">
      <c r="A608" s="5">
        <v>994</v>
      </c>
      <c r="B608" s="5">
        <v>603</v>
      </c>
      <c r="C608" s="5">
        <v>849</v>
      </c>
      <c r="D608" t="s">
        <v>652</v>
      </c>
      <c r="E608" s="3" t="str">
        <f t="array" ref="E608">IF(OR(EXACT(A608,'ESO Dungeon constants'!$D$3:$D$987)),"X","")</f>
        <v/>
      </c>
      <c r="F608" s="3" t="str">
        <f t="shared" si="36"/>
        <v/>
      </c>
      <c r="G608" s="3" t="str">
        <f t="shared" si="37"/>
        <v>Vvardenfell</v>
      </c>
      <c r="H608" s="17">
        <f t="shared" si="38"/>
        <v>994</v>
      </c>
      <c r="I608" s="17">
        <f t="shared" si="39"/>
        <v>849</v>
      </c>
      <c r="J608">
        <v>30</v>
      </c>
      <c r="K608" s="3" t="str">
        <f>VLOOKUP(J608,'LibSets constants'!$A$4:$B$1012,2,FALSE)</f>
        <v>DLC_NECROM</v>
      </c>
      <c r="L608" s="3" t="str">
        <f>VLOOKUP(J608,'LibSets constants'!$A$4:$C$1012,3,FALSE)</f>
        <v>Necrom</v>
      </c>
    </row>
    <row r="609" spans="1:12" x14ac:dyDescent="0.25">
      <c r="A609" s="5">
        <v>995</v>
      </c>
      <c r="B609" s="5">
        <v>604</v>
      </c>
      <c r="C609" s="5">
        <v>849</v>
      </c>
      <c r="D609" t="s">
        <v>653</v>
      </c>
      <c r="E609" s="3" t="str">
        <f t="array" ref="E609">IF(OR(EXACT(A609,'ESO Dungeon constants'!$D$3:$D$987)),"X","")</f>
        <v/>
      </c>
      <c r="F609" s="3" t="str">
        <f t="shared" si="36"/>
        <v/>
      </c>
      <c r="G609" s="3" t="str">
        <f t="shared" si="37"/>
        <v>Vvardenfell</v>
      </c>
      <c r="H609" s="17">
        <f t="shared" si="38"/>
        <v>995</v>
      </c>
      <c r="I609" s="17">
        <f t="shared" si="39"/>
        <v>849</v>
      </c>
      <c r="J609">
        <v>30</v>
      </c>
      <c r="K609" s="3" t="str">
        <f>VLOOKUP(J609,'LibSets constants'!$A$4:$B$1012,2,FALSE)</f>
        <v>DLC_NECROM</v>
      </c>
      <c r="L609" s="3" t="str">
        <f>VLOOKUP(J609,'LibSets constants'!$A$4:$C$1012,3,FALSE)</f>
        <v>Necrom</v>
      </c>
    </row>
    <row r="610" spans="1:12" x14ac:dyDescent="0.25">
      <c r="A610" s="5">
        <v>996</v>
      </c>
      <c r="B610" s="5">
        <v>605</v>
      </c>
      <c r="C610" s="5">
        <v>849</v>
      </c>
      <c r="D610" t="s">
        <v>654</v>
      </c>
      <c r="E610" s="3" t="str">
        <f t="array" ref="E610">IF(OR(EXACT(A610,'ESO Dungeon constants'!$D$3:$D$987)),"X","")</f>
        <v/>
      </c>
      <c r="F610" s="3" t="str">
        <f t="shared" si="36"/>
        <v/>
      </c>
      <c r="G610" s="3" t="str">
        <f t="shared" si="37"/>
        <v>Vvardenfell</v>
      </c>
      <c r="H610" s="17">
        <f t="shared" si="38"/>
        <v>996</v>
      </c>
      <c r="I610" s="17">
        <f t="shared" si="39"/>
        <v>849</v>
      </c>
      <c r="J610">
        <v>30</v>
      </c>
      <c r="K610" s="3" t="str">
        <f>VLOOKUP(J610,'LibSets constants'!$A$4:$B$1012,2,FALSE)</f>
        <v>DLC_NECROM</v>
      </c>
      <c r="L610" s="3" t="str">
        <f>VLOOKUP(J610,'LibSets constants'!$A$4:$C$1012,3,FALSE)</f>
        <v>Necrom</v>
      </c>
    </row>
    <row r="611" spans="1:12" x14ac:dyDescent="0.25">
      <c r="A611" s="5">
        <v>997</v>
      </c>
      <c r="B611" s="5">
        <v>606</v>
      </c>
      <c r="C611" s="5">
        <v>849</v>
      </c>
      <c r="D611" t="s">
        <v>655</v>
      </c>
      <c r="E611" s="3" t="str">
        <f t="array" ref="E611">IF(OR(EXACT(A611,'ESO Dungeon constants'!$D$3:$D$987)),"X","")</f>
        <v/>
      </c>
      <c r="F611" s="3" t="str">
        <f t="shared" si="36"/>
        <v/>
      </c>
      <c r="G611" s="3" t="str">
        <f t="shared" si="37"/>
        <v>Vvardenfell</v>
      </c>
      <c r="H611" s="17">
        <f t="shared" si="38"/>
        <v>997</v>
      </c>
      <c r="I611" s="17">
        <f t="shared" si="39"/>
        <v>849</v>
      </c>
      <c r="J611">
        <v>30</v>
      </c>
      <c r="K611" s="3" t="str">
        <f>VLOOKUP(J611,'LibSets constants'!$A$4:$B$1012,2,FALSE)</f>
        <v>DLC_NECROM</v>
      </c>
      <c r="L611" s="3" t="str">
        <f>VLOOKUP(J611,'LibSets constants'!$A$4:$C$1012,3,FALSE)</f>
        <v>Necrom</v>
      </c>
    </row>
    <row r="612" spans="1:12" x14ac:dyDescent="0.25">
      <c r="A612" s="5">
        <v>998</v>
      </c>
      <c r="B612" s="5">
        <v>607</v>
      </c>
      <c r="C612" s="5">
        <v>381</v>
      </c>
      <c r="D612" t="s">
        <v>656</v>
      </c>
      <c r="E612" s="3" t="str">
        <f t="array" ref="E612">IF(OR(EXACT(A612,'ESO Dungeon constants'!$D$3:$D$987)),"X","")</f>
        <v/>
      </c>
      <c r="F612" s="3" t="str">
        <f t="shared" si="36"/>
        <v/>
      </c>
      <c r="G612" s="3" t="str">
        <f t="shared" si="37"/>
        <v>Auridon</v>
      </c>
      <c r="H612" s="17">
        <f t="shared" si="38"/>
        <v>998</v>
      </c>
      <c r="I612" s="17">
        <f t="shared" si="39"/>
        <v>381</v>
      </c>
      <c r="J612">
        <v>30</v>
      </c>
      <c r="K612" s="3" t="str">
        <f>VLOOKUP(J612,'LibSets constants'!$A$4:$B$1012,2,FALSE)</f>
        <v>DLC_NECROM</v>
      </c>
      <c r="L612" s="3" t="str">
        <f>VLOOKUP(J612,'LibSets constants'!$A$4:$C$1012,3,FALSE)</f>
        <v>Necrom</v>
      </c>
    </row>
    <row r="613" spans="1:12" x14ac:dyDescent="0.25">
      <c r="A613" s="5">
        <v>999</v>
      </c>
      <c r="B613" s="5">
        <v>608</v>
      </c>
      <c r="C613" s="5">
        <v>980</v>
      </c>
      <c r="D613" t="s">
        <v>657</v>
      </c>
      <c r="E613" s="3" t="str">
        <f t="array" ref="E613">IF(OR(EXACT(A613,'ESO Dungeon constants'!$D$3:$D$987)),"X","")</f>
        <v/>
      </c>
      <c r="F613" s="3" t="str">
        <f t="shared" si="36"/>
        <v/>
      </c>
      <c r="G613" s="3" t="str">
        <f t="shared" si="37"/>
        <v>Clockwork City</v>
      </c>
      <c r="H613" s="17">
        <f t="shared" si="38"/>
        <v>999</v>
      </c>
      <c r="I613" s="17">
        <f t="shared" si="39"/>
        <v>980</v>
      </c>
      <c r="J613">
        <v>30</v>
      </c>
      <c r="K613" s="3" t="str">
        <f>VLOOKUP(J613,'LibSets constants'!$A$4:$B$1012,2,FALSE)</f>
        <v>DLC_NECROM</v>
      </c>
      <c r="L613" s="3" t="str">
        <f>VLOOKUP(J613,'LibSets constants'!$A$4:$C$1012,3,FALSE)</f>
        <v>Necrom</v>
      </c>
    </row>
    <row r="614" spans="1:12" x14ac:dyDescent="0.25">
      <c r="A614" s="5">
        <v>1000</v>
      </c>
      <c r="B614" s="5">
        <v>609</v>
      </c>
      <c r="C614" s="5">
        <v>980</v>
      </c>
      <c r="D614" t="s">
        <v>658</v>
      </c>
      <c r="E614" s="3" t="str">
        <f t="array" ref="E614">IF(OR(EXACT(A614,'ESO Dungeon constants'!$D$3:$D$987)),"X","")</f>
        <v>X</v>
      </c>
      <c r="F614" s="3" t="str">
        <f t="shared" si="36"/>
        <v/>
      </c>
      <c r="G614" s="3" t="str">
        <f t="shared" si="37"/>
        <v>Clockwork City</v>
      </c>
      <c r="H614" s="17">
        <f t="shared" si="38"/>
        <v>1000</v>
      </c>
      <c r="I614" s="17">
        <f t="shared" si="39"/>
        <v>980</v>
      </c>
      <c r="J614">
        <v>30</v>
      </c>
      <c r="K614" s="3" t="str">
        <f>VLOOKUP(J614,'LibSets constants'!$A$4:$B$1012,2,FALSE)</f>
        <v>DLC_NECROM</v>
      </c>
      <c r="L614" s="3" t="str">
        <f>VLOOKUP(J614,'LibSets constants'!$A$4:$C$1012,3,FALSE)</f>
        <v>Necrom</v>
      </c>
    </row>
    <row r="615" spans="1:12" x14ac:dyDescent="0.25">
      <c r="A615" s="5">
        <v>1004</v>
      </c>
      <c r="B615" s="5">
        <v>610</v>
      </c>
      <c r="C615" s="5">
        <v>980</v>
      </c>
      <c r="D615" t="s">
        <v>659</v>
      </c>
      <c r="E615" s="3" t="str">
        <f t="array" ref="E615">IF(OR(EXACT(A615,'ESO Dungeon constants'!$D$3:$D$987)),"X","")</f>
        <v/>
      </c>
      <c r="F615" s="3" t="str">
        <f t="shared" si="36"/>
        <v/>
      </c>
      <c r="G615" s="3" t="str">
        <f t="shared" si="37"/>
        <v>Clockwork City</v>
      </c>
      <c r="H615" s="17">
        <f t="shared" si="38"/>
        <v>1004</v>
      </c>
      <c r="I615" s="17">
        <f t="shared" si="39"/>
        <v>980</v>
      </c>
      <c r="J615">
        <v>30</v>
      </c>
      <c r="K615" s="3" t="str">
        <f>VLOOKUP(J615,'LibSets constants'!$A$4:$B$1012,2,FALSE)</f>
        <v>DLC_NECROM</v>
      </c>
      <c r="L615" s="3" t="str">
        <f>VLOOKUP(J615,'LibSets constants'!$A$4:$C$1012,3,FALSE)</f>
        <v>Necrom</v>
      </c>
    </row>
    <row r="616" spans="1:12" x14ac:dyDescent="0.25">
      <c r="A616" s="5">
        <v>1005</v>
      </c>
      <c r="B616" s="5">
        <v>611</v>
      </c>
      <c r="C616" s="5">
        <v>823</v>
      </c>
      <c r="D616" t="s">
        <v>660</v>
      </c>
      <c r="E616" s="3" t="str">
        <f t="array" ref="E616">IF(OR(EXACT(A616,'ESO Dungeon constants'!$D$3:$D$987)),"X","")</f>
        <v/>
      </c>
      <c r="F616" s="3" t="str">
        <f t="shared" si="36"/>
        <v/>
      </c>
      <c r="G616" s="3" t="str">
        <f t="shared" si="37"/>
        <v>Gold Coast</v>
      </c>
      <c r="H616" s="17">
        <f t="shared" si="38"/>
        <v>1005</v>
      </c>
      <c r="I616" s="17">
        <f t="shared" si="39"/>
        <v>823</v>
      </c>
      <c r="J616">
        <v>30</v>
      </c>
      <c r="K616" s="3" t="str">
        <f>VLOOKUP(J616,'LibSets constants'!$A$4:$B$1012,2,FALSE)</f>
        <v>DLC_NECROM</v>
      </c>
      <c r="L616" s="3" t="str">
        <f>VLOOKUP(J616,'LibSets constants'!$A$4:$C$1012,3,FALSE)</f>
        <v>Necrom</v>
      </c>
    </row>
    <row r="617" spans="1:12" x14ac:dyDescent="0.25">
      <c r="A617" s="5">
        <v>1006</v>
      </c>
      <c r="B617" s="5">
        <v>612</v>
      </c>
      <c r="C617" s="5">
        <v>3</v>
      </c>
      <c r="D617" t="s">
        <v>661</v>
      </c>
      <c r="E617" s="3" t="str">
        <f t="array" ref="E617">IF(OR(EXACT(A617,'ESO Dungeon constants'!$D$3:$D$987)),"X","")</f>
        <v/>
      </c>
      <c r="F617" s="3" t="str">
        <f t="shared" si="36"/>
        <v/>
      </c>
      <c r="G617" s="3" t="str">
        <f t="shared" si="37"/>
        <v>Glenumbra</v>
      </c>
      <c r="H617" s="17">
        <f t="shared" si="38"/>
        <v>1006</v>
      </c>
      <c r="I617" s="17">
        <f t="shared" si="39"/>
        <v>3</v>
      </c>
      <c r="J617">
        <v>30</v>
      </c>
      <c r="K617" s="3" t="str">
        <f>VLOOKUP(J617,'LibSets constants'!$A$4:$B$1012,2,FALSE)</f>
        <v>DLC_NECROM</v>
      </c>
      <c r="L617" s="3" t="str">
        <f>VLOOKUP(J617,'LibSets constants'!$A$4:$C$1012,3,FALSE)</f>
        <v>Necrom</v>
      </c>
    </row>
    <row r="618" spans="1:12" x14ac:dyDescent="0.25">
      <c r="A618" s="5">
        <v>1007</v>
      </c>
      <c r="B618" s="5">
        <v>613</v>
      </c>
      <c r="C618" s="5">
        <v>888</v>
      </c>
      <c r="D618" t="s">
        <v>662</v>
      </c>
      <c r="E618" s="3" t="str">
        <f t="array" ref="E618">IF(OR(EXACT(A618,'ESO Dungeon constants'!$D$3:$D$987)),"X","")</f>
        <v/>
      </c>
      <c r="F618" s="3" t="str">
        <f t="shared" si="36"/>
        <v/>
      </c>
      <c r="G618" s="3" t="str">
        <f t="shared" si="37"/>
        <v>Craglorn</v>
      </c>
      <c r="H618" s="17">
        <f t="shared" si="38"/>
        <v>1007</v>
      </c>
      <c r="I618" s="17">
        <f t="shared" si="39"/>
        <v>888</v>
      </c>
      <c r="J618">
        <v>30</v>
      </c>
      <c r="K618" s="3" t="str">
        <f>VLOOKUP(J618,'LibSets constants'!$A$4:$B$1012,2,FALSE)</f>
        <v>DLC_NECROM</v>
      </c>
      <c r="L618" s="3" t="str">
        <f>VLOOKUP(J618,'LibSets constants'!$A$4:$C$1012,3,FALSE)</f>
        <v>Necrom</v>
      </c>
    </row>
    <row r="619" spans="1:12" x14ac:dyDescent="0.25">
      <c r="A619" s="5">
        <v>1008</v>
      </c>
      <c r="B619" s="5">
        <v>614</v>
      </c>
      <c r="C619" s="5">
        <v>347</v>
      </c>
      <c r="D619" t="s">
        <v>663</v>
      </c>
      <c r="E619" s="3" t="str">
        <f t="array" ref="E619">IF(OR(EXACT(A619,'ESO Dungeon constants'!$D$3:$D$987)),"X","")</f>
        <v/>
      </c>
      <c r="F619" s="3" t="str">
        <f t="shared" si="36"/>
        <v/>
      </c>
      <c r="G619" s="3" t="str">
        <f t="shared" si="37"/>
        <v>Coldharbour</v>
      </c>
      <c r="H619" s="17">
        <f t="shared" si="38"/>
        <v>1008</v>
      </c>
      <c r="I619" s="17">
        <f t="shared" si="39"/>
        <v>347</v>
      </c>
      <c r="J619">
        <v>30</v>
      </c>
      <c r="K619" s="3" t="str">
        <f>VLOOKUP(J619,'LibSets constants'!$A$4:$B$1012,2,FALSE)</f>
        <v>DLC_NECROM</v>
      </c>
      <c r="L619" s="3" t="str">
        <f>VLOOKUP(J619,'LibSets constants'!$A$4:$C$1012,3,FALSE)</f>
        <v>Necrom</v>
      </c>
    </row>
    <row r="620" spans="1:12" x14ac:dyDescent="0.25">
      <c r="A620" s="5">
        <v>1009</v>
      </c>
      <c r="B620" s="5">
        <v>615</v>
      </c>
      <c r="C620" s="5">
        <v>92</v>
      </c>
      <c r="D620" t="s">
        <v>69</v>
      </c>
      <c r="E620" s="3" t="str">
        <f t="array" ref="E620">IF(OR(EXACT(A620,'ESO Dungeon constants'!$D$3:$D$987)),"X","")</f>
        <v>X</v>
      </c>
      <c r="F620" s="3" t="str">
        <f t="shared" si="36"/>
        <v/>
      </c>
      <c r="G620" s="3" t="str">
        <f t="shared" si="37"/>
        <v>Bangkorai</v>
      </c>
      <c r="H620" s="17">
        <f t="shared" si="38"/>
        <v>1009</v>
      </c>
      <c r="I620" s="17">
        <f t="shared" si="39"/>
        <v>92</v>
      </c>
      <c r="J620">
        <v>30</v>
      </c>
      <c r="K620" s="3" t="str">
        <f>VLOOKUP(J620,'LibSets constants'!$A$4:$B$1012,2,FALSE)</f>
        <v>DLC_NECROM</v>
      </c>
      <c r="L620" s="3" t="str">
        <f>VLOOKUP(J620,'LibSets constants'!$A$4:$C$1012,3,FALSE)</f>
        <v>Necrom</v>
      </c>
    </row>
    <row r="621" spans="1:12" x14ac:dyDescent="0.25">
      <c r="A621" s="5">
        <v>1010</v>
      </c>
      <c r="B621" s="5">
        <v>616</v>
      </c>
      <c r="C621" s="5">
        <v>19</v>
      </c>
      <c r="D621" t="s">
        <v>74</v>
      </c>
      <c r="E621" s="3" t="str">
        <f t="array" ref="E621">IF(OR(EXACT(A621,'ESO Dungeon constants'!$D$3:$D$987)),"X","")</f>
        <v>X</v>
      </c>
      <c r="F621" s="3" t="str">
        <f t="shared" si="36"/>
        <v/>
      </c>
      <c r="G621" s="3" t="str">
        <f t="shared" si="37"/>
        <v>Stormhaven</v>
      </c>
      <c r="H621" s="17">
        <f t="shared" si="38"/>
        <v>1010</v>
      </c>
      <c r="I621" s="17">
        <f t="shared" si="39"/>
        <v>19</v>
      </c>
      <c r="J621">
        <v>30</v>
      </c>
      <c r="K621" s="3" t="str">
        <f>VLOOKUP(J621,'LibSets constants'!$A$4:$B$1012,2,FALSE)</f>
        <v>DLC_NECROM</v>
      </c>
      <c r="L621" s="3" t="str">
        <f>VLOOKUP(J621,'LibSets constants'!$A$4:$C$1012,3,FALSE)</f>
        <v>Necrom</v>
      </c>
    </row>
    <row r="622" spans="1:12" x14ac:dyDescent="0.25">
      <c r="A622" s="5">
        <v>1011</v>
      </c>
      <c r="B622" s="5">
        <v>617</v>
      </c>
      <c r="C622" s="5">
        <v>1011</v>
      </c>
      <c r="D622" t="s">
        <v>79</v>
      </c>
      <c r="E622" s="3" t="str">
        <f t="array" ref="E622">IF(OR(EXACT(A622,'ESO Dungeon constants'!$D$3:$D$987)),"X","")</f>
        <v/>
      </c>
      <c r="F622" s="3" t="str">
        <f t="shared" si="36"/>
        <v>X</v>
      </c>
      <c r="G622" s="3" t="str">
        <f t="shared" si="37"/>
        <v/>
      </c>
      <c r="H622" s="17">
        <f t="shared" si="38"/>
        <v>1011</v>
      </c>
      <c r="I622" s="17">
        <f t="shared" si="39"/>
        <v>1011</v>
      </c>
      <c r="J622">
        <v>30</v>
      </c>
      <c r="K622" s="3" t="str">
        <f>VLOOKUP(J622,'LibSets constants'!$A$4:$B$1012,2,FALSE)</f>
        <v>DLC_NECROM</v>
      </c>
      <c r="L622" s="3" t="str">
        <f>VLOOKUP(J622,'LibSets constants'!$A$4:$C$1012,3,FALSE)</f>
        <v>Necrom</v>
      </c>
    </row>
    <row r="623" spans="1:12" x14ac:dyDescent="0.25">
      <c r="A623" s="5">
        <v>1012</v>
      </c>
      <c r="B623" s="5">
        <v>618</v>
      </c>
      <c r="C623" s="5">
        <v>381</v>
      </c>
      <c r="D623" t="s">
        <v>664</v>
      </c>
      <c r="E623" s="3" t="str">
        <f t="array" ref="E623">IF(OR(EXACT(A623,'ESO Dungeon constants'!$D$3:$D$987)),"X","")</f>
        <v/>
      </c>
      <c r="F623" s="3" t="str">
        <f t="shared" si="36"/>
        <v/>
      </c>
      <c r="G623" s="3" t="str">
        <f t="shared" si="37"/>
        <v>Auridon</v>
      </c>
      <c r="H623" s="17">
        <f t="shared" si="38"/>
        <v>1012</v>
      </c>
      <c r="I623" s="17">
        <f t="shared" si="39"/>
        <v>381</v>
      </c>
      <c r="J623">
        <v>30</v>
      </c>
      <c r="K623" s="3" t="str">
        <f>VLOOKUP(J623,'LibSets constants'!$A$4:$B$1012,2,FALSE)</f>
        <v>DLC_NECROM</v>
      </c>
      <c r="L623" s="3" t="str">
        <f>VLOOKUP(J623,'LibSets constants'!$A$4:$C$1012,3,FALSE)</f>
        <v>Necrom</v>
      </c>
    </row>
    <row r="624" spans="1:12" x14ac:dyDescent="0.25">
      <c r="A624" s="5">
        <v>1013</v>
      </c>
      <c r="B624" s="5">
        <v>619</v>
      </c>
      <c r="C624" s="5">
        <v>1011</v>
      </c>
      <c r="D624" t="s">
        <v>665</v>
      </c>
      <c r="E624" s="3" t="str">
        <f t="array" ref="E624">IF(OR(EXACT(A624,'ESO Dungeon constants'!$D$3:$D$987)),"X","")</f>
        <v/>
      </c>
      <c r="F624" s="3" t="str">
        <f t="shared" si="36"/>
        <v/>
      </c>
      <c r="G624" s="3" t="str">
        <f t="shared" si="37"/>
        <v>Summerset</v>
      </c>
      <c r="H624" s="17">
        <f t="shared" si="38"/>
        <v>1013</v>
      </c>
      <c r="I624" s="17">
        <f t="shared" si="39"/>
        <v>1011</v>
      </c>
      <c r="J624">
        <v>30</v>
      </c>
      <c r="K624" s="3" t="str">
        <f>VLOOKUP(J624,'LibSets constants'!$A$4:$B$1012,2,FALSE)</f>
        <v>DLC_NECROM</v>
      </c>
      <c r="L624" s="3" t="str">
        <f>VLOOKUP(J624,'LibSets constants'!$A$4:$C$1012,3,FALSE)</f>
        <v>Necrom</v>
      </c>
    </row>
    <row r="625" spans="1:12" x14ac:dyDescent="0.25">
      <c r="A625" s="5">
        <v>1014</v>
      </c>
      <c r="B625" s="5">
        <v>620</v>
      </c>
      <c r="C625" s="5">
        <v>1011</v>
      </c>
      <c r="D625" t="s">
        <v>666</v>
      </c>
      <c r="E625" s="3" t="str">
        <f t="array" ref="E625">IF(OR(EXACT(A625,'ESO Dungeon constants'!$D$3:$D$987)),"X","")</f>
        <v/>
      </c>
      <c r="F625" s="3" t="str">
        <f t="shared" si="36"/>
        <v/>
      </c>
      <c r="G625" s="3" t="str">
        <f t="shared" si="37"/>
        <v>Summerset</v>
      </c>
      <c r="H625" s="17">
        <f t="shared" si="38"/>
        <v>1014</v>
      </c>
      <c r="I625" s="17">
        <f t="shared" si="39"/>
        <v>1011</v>
      </c>
      <c r="J625">
        <v>30</v>
      </c>
      <c r="K625" s="3" t="str">
        <f>VLOOKUP(J625,'LibSets constants'!$A$4:$B$1012,2,FALSE)</f>
        <v>DLC_NECROM</v>
      </c>
      <c r="L625" s="3" t="str">
        <f>VLOOKUP(J625,'LibSets constants'!$A$4:$C$1012,3,FALSE)</f>
        <v>Necrom</v>
      </c>
    </row>
    <row r="626" spans="1:12" x14ac:dyDescent="0.25">
      <c r="A626" s="5">
        <v>1015</v>
      </c>
      <c r="B626" s="5">
        <v>621</v>
      </c>
      <c r="C626" s="5">
        <v>1011</v>
      </c>
      <c r="D626" t="s">
        <v>667</v>
      </c>
      <c r="E626" s="3" t="s">
        <v>3832</v>
      </c>
      <c r="F626" s="3" t="str">
        <f t="shared" si="36"/>
        <v/>
      </c>
      <c r="G626" s="3" t="str">
        <f t="shared" si="37"/>
        <v>Summerset</v>
      </c>
      <c r="H626" s="17">
        <f t="shared" si="38"/>
        <v>1015</v>
      </c>
      <c r="I626" s="17">
        <f t="shared" si="39"/>
        <v>1011</v>
      </c>
      <c r="J626">
        <v>32</v>
      </c>
      <c r="K626" s="3" t="str">
        <f>VLOOKUP(J626,'LibSets constants'!$A$4:$B$1012,2,FALSE)</f>
        <v>NO_DLC_SECRET_OF_THE_TELVANNI</v>
      </c>
      <c r="L626" s="3" t="str">
        <f>VLOOKUP(J626,'LibSets constants'!$A$4:$C$1012,3,FALSE)</f>
        <v>Secret of the Telvanni</v>
      </c>
    </row>
    <row r="627" spans="1:12" x14ac:dyDescent="0.25">
      <c r="A627" s="5">
        <v>1016</v>
      </c>
      <c r="B627" s="5">
        <v>622</v>
      </c>
      <c r="C627" s="5">
        <v>1011</v>
      </c>
      <c r="D627" t="s">
        <v>668</v>
      </c>
      <c r="F627" s="3" t="str">
        <f t="shared" si="36"/>
        <v/>
      </c>
      <c r="G627" s="3" t="str">
        <f t="shared" si="37"/>
        <v>Summerset</v>
      </c>
      <c r="H627" s="17">
        <f t="shared" si="38"/>
        <v>1016</v>
      </c>
      <c r="I627" s="17">
        <f t="shared" si="39"/>
        <v>1011</v>
      </c>
      <c r="J627">
        <v>32</v>
      </c>
      <c r="K627" s="3" t="str">
        <f>VLOOKUP(J627,'LibSets constants'!$A$4:$B$1012,2,FALSE)</f>
        <v>NO_DLC_SECRET_OF_THE_TELVANNI</v>
      </c>
      <c r="L627" s="3" t="str">
        <f>VLOOKUP(J627,'LibSets constants'!$A$4:$C$1012,3,FALSE)</f>
        <v>Secret of the Telvanni</v>
      </c>
    </row>
    <row r="628" spans="1:12" x14ac:dyDescent="0.25">
      <c r="A628" s="5">
        <v>1017</v>
      </c>
      <c r="B628" s="5">
        <v>623</v>
      </c>
      <c r="C628" s="5">
        <v>1011</v>
      </c>
      <c r="D628" t="s">
        <v>669</v>
      </c>
      <c r="F628" s="3" t="str">
        <f t="shared" si="36"/>
        <v/>
      </c>
      <c r="G628" s="3" t="str">
        <f t="shared" si="37"/>
        <v>Summerset</v>
      </c>
      <c r="H628" s="17">
        <f t="shared" si="38"/>
        <v>1017</v>
      </c>
      <c r="I628" s="17">
        <f t="shared" si="39"/>
        <v>1011</v>
      </c>
      <c r="J628">
        <v>32</v>
      </c>
      <c r="K628" s="3" t="str">
        <f>VLOOKUP(J628,'LibSets constants'!$A$4:$B$1012,2,FALSE)</f>
        <v>NO_DLC_SECRET_OF_THE_TELVANNI</v>
      </c>
      <c r="L628" s="3" t="str">
        <f>VLOOKUP(J628,'LibSets constants'!$A$4:$C$1012,3,FALSE)</f>
        <v>Secret of the Telvanni</v>
      </c>
    </row>
    <row r="629" spans="1:12" x14ac:dyDescent="0.25">
      <c r="A629" s="5">
        <v>1018</v>
      </c>
      <c r="B629" s="5">
        <v>624</v>
      </c>
      <c r="C629" s="5">
        <v>1011</v>
      </c>
      <c r="D629" t="s">
        <v>670</v>
      </c>
      <c r="F629" s="3" t="str">
        <f t="shared" si="36"/>
        <v/>
      </c>
      <c r="G629" s="3" t="str">
        <f t="shared" si="37"/>
        <v>Summerset</v>
      </c>
      <c r="H629" s="17">
        <f t="shared" si="38"/>
        <v>1018</v>
      </c>
      <c r="I629" s="17">
        <f t="shared" si="39"/>
        <v>1011</v>
      </c>
      <c r="J629">
        <v>32</v>
      </c>
      <c r="K629" s="3" t="str">
        <f>VLOOKUP(J629,'LibSets constants'!$A$4:$B$1012,2,FALSE)</f>
        <v>NO_DLC_SECRET_OF_THE_TELVANNI</v>
      </c>
      <c r="L629" s="3" t="str">
        <f>VLOOKUP(J629,'LibSets constants'!$A$4:$C$1012,3,FALSE)</f>
        <v>Secret of the Telvanni</v>
      </c>
    </row>
    <row r="630" spans="1:12" x14ac:dyDescent="0.25">
      <c r="A630" s="5">
        <v>1019</v>
      </c>
      <c r="B630" s="5">
        <v>625</v>
      </c>
      <c r="C630" s="5">
        <v>1011</v>
      </c>
      <c r="D630" t="s">
        <v>671</v>
      </c>
      <c r="F630" s="3" t="str">
        <f t="shared" si="36"/>
        <v/>
      </c>
      <c r="G630" s="3" t="str">
        <f t="shared" si="37"/>
        <v>Summerset</v>
      </c>
      <c r="H630" s="17">
        <f t="shared" si="38"/>
        <v>1019</v>
      </c>
      <c r="I630" s="17">
        <f t="shared" si="39"/>
        <v>1011</v>
      </c>
      <c r="J630">
        <v>32</v>
      </c>
      <c r="K630" s="3" t="str">
        <f>VLOOKUP(J630,'LibSets constants'!$A$4:$B$1012,2,FALSE)</f>
        <v>NO_DLC_SECRET_OF_THE_TELVANNI</v>
      </c>
      <c r="L630" s="3" t="str">
        <f>VLOOKUP(J630,'LibSets constants'!$A$4:$C$1012,3,FALSE)</f>
        <v>Secret of the Telvanni</v>
      </c>
    </row>
    <row r="631" spans="1:12" x14ac:dyDescent="0.25">
      <c r="A631" s="5">
        <v>1020</v>
      </c>
      <c r="B631" s="5">
        <v>626</v>
      </c>
      <c r="C631" s="5">
        <v>1011</v>
      </c>
      <c r="D631" t="s">
        <v>672</v>
      </c>
      <c r="F631" s="3" t="str">
        <f t="shared" si="36"/>
        <v/>
      </c>
      <c r="G631" s="3" t="str">
        <f t="shared" si="37"/>
        <v>Summerset</v>
      </c>
      <c r="H631" s="17">
        <f t="shared" si="38"/>
        <v>1020</v>
      </c>
      <c r="I631" s="17">
        <f t="shared" si="39"/>
        <v>1011</v>
      </c>
      <c r="J631">
        <v>33</v>
      </c>
      <c r="K631" s="3" t="str">
        <f>VLOOKUP(J631,'LibSets constants'!$A$4:$B$1012,2,FALSE)</f>
        <v>DLC_SCIONS_OF_ITHELIA</v>
      </c>
      <c r="L631" s="3" t="str">
        <f>VLOOKUP(J631,'LibSets constants'!$A$4:$C$1012,3,FALSE)</f>
        <v>Scions of Ithelia</v>
      </c>
    </row>
    <row r="632" spans="1:12" x14ac:dyDescent="0.25">
      <c r="A632" s="5">
        <v>1021</v>
      </c>
      <c r="B632" s="5">
        <v>627</v>
      </c>
      <c r="C632" s="5">
        <v>1011</v>
      </c>
      <c r="D632" t="s">
        <v>673</v>
      </c>
      <c r="F632" s="3" t="str">
        <f t="shared" si="36"/>
        <v/>
      </c>
      <c r="G632" s="3" t="str">
        <f t="shared" si="37"/>
        <v>Summerset</v>
      </c>
      <c r="H632" s="17">
        <f t="shared" si="38"/>
        <v>1021</v>
      </c>
      <c r="I632" s="17">
        <f t="shared" si="39"/>
        <v>1011</v>
      </c>
      <c r="J632">
        <v>34</v>
      </c>
      <c r="K632" s="3" t="e">
        <f>VLOOKUP(J632,'LibSets constants'!$A$4:$B$1012,2,FALSE)</f>
        <v>#N/A</v>
      </c>
      <c r="L632" s="3" t="e">
        <f>VLOOKUP(J632,'LibSets constants'!$A$4:$C$1012,3,FALSE)</f>
        <v>#N/A</v>
      </c>
    </row>
    <row r="633" spans="1:12" x14ac:dyDescent="0.25">
      <c r="A633" s="5">
        <v>1022</v>
      </c>
      <c r="B633" s="5">
        <v>628</v>
      </c>
      <c r="C633" s="5">
        <v>1011</v>
      </c>
      <c r="D633" t="s">
        <v>674</v>
      </c>
      <c r="F633" s="3" t="str">
        <f t="shared" si="36"/>
        <v/>
      </c>
      <c r="G633" s="3" t="str">
        <f t="shared" si="37"/>
        <v>Summerset</v>
      </c>
      <c r="H633" s="17">
        <f t="shared" si="38"/>
        <v>1022</v>
      </c>
      <c r="I633" s="17">
        <f t="shared" si="39"/>
        <v>1011</v>
      </c>
      <c r="J633">
        <v>35</v>
      </c>
      <c r="K633" s="3" t="e">
        <f>VLOOKUP(J633,'LibSets constants'!$A$4:$B$1012,2,FALSE)</f>
        <v>#N/A</v>
      </c>
      <c r="L633" s="3" t="e">
        <f>VLOOKUP(J633,'LibSets constants'!$A$4:$C$1012,3,FALSE)</f>
        <v>#N/A</v>
      </c>
    </row>
    <row r="634" spans="1:12" x14ac:dyDescent="0.25">
      <c r="A634" s="5">
        <v>1023</v>
      </c>
      <c r="B634" s="5">
        <v>629</v>
      </c>
      <c r="C634" s="5">
        <v>1011</v>
      </c>
      <c r="D634" t="s">
        <v>675</v>
      </c>
      <c r="F634" s="3" t="str">
        <f t="shared" si="36"/>
        <v/>
      </c>
      <c r="G634" s="3" t="str">
        <f t="shared" si="37"/>
        <v>Summerset</v>
      </c>
      <c r="H634" s="17">
        <f t="shared" si="38"/>
        <v>1023</v>
      </c>
      <c r="I634" s="17">
        <f t="shared" si="39"/>
        <v>1011</v>
      </c>
      <c r="J634">
        <v>36</v>
      </c>
      <c r="K634" s="3" t="e">
        <f>VLOOKUP(J634,'LibSets constants'!$A$4:$B$1012,2,FALSE)</f>
        <v>#N/A</v>
      </c>
      <c r="L634" s="3" t="e">
        <f>VLOOKUP(J634,'LibSets constants'!$A$4:$C$1012,3,FALSE)</f>
        <v>#N/A</v>
      </c>
    </row>
    <row r="635" spans="1:12" x14ac:dyDescent="0.25">
      <c r="A635" s="5">
        <v>1024</v>
      </c>
      <c r="B635" s="5">
        <v>630</v>
      </c>
      <c r="C635" s="5">
        <v>1011</v>
      </c>
      <c r="D635" t="s">
        <v>676</v>
      </c>
      <c r="E635" s="41" t="str">
        <f t="array" ref="E635">IF(OR(EXACT(A635,'ESO Dungeon constants'!$D$3:$D$987)),"X","")</f>
        <v/>
      </c>
      <c r="F635" s="41" t="str">
        <f t="shared" si="36"/>
        <v/>
      </c>
      <c r="G635" s="41" t="str">
        <f t="shared" si="37"/>
        <v>Summerset</v>
      </c>
      <c r="H635" s="107">
        <f t="shared" si="38"/>
        <v>1024</v>
      </c>
      <c r="I635" s="107">
        <f t="shared" si="39"/>
        <v>1011</v>
      </c>
      <c r="J635" s="40">
        <v>0</v>
      </c>
      <c r="K635" s="41" t="str">
        <f>VLOOKUP(J635,'LibSets constants'!$A$4:$B$1012,2,FALSE)</f>
        <v>DLC_BASE_GAME</v>
      </c>
      <c r="L635" s="41" t="str">
        <f>VLOOKUP(J635,'LibSets constants'!$A$4:$C$1012,3,FALSE)</f>
        <v>Included in base game</v>
      </c>
    </row>
    <row r="636" spans="1:12" x14ac:dyDescent="0.25">
      <c r="A636" s="5">
        <v>1025</v>
      </c>
      <c r="B636" s="5">
        <v>631</v>
      </c>
      <c r="C636" s="5">
        <v>1011</v>
      </c>
      <c r="D636" t="s">
        <v>677</v>
      </c>
      <c r="E636" s="3" t="str">
        <f t="array" ref="E636">IF(OR(EXACT(A636,'ESO Dungeon constants'!$D$3:$D$987)),"X","")</f>
        <v/>
      </c>
      <c r="F636" s="3" t="str">
        <f t="shared" si="36"/>
        <v/>
      </c>
      <c r="G636" s="3" t="str">
        <f t="shared" si="37"/>
        <v>Summerset</v>
      </c>
      <c r="H636" s="17">
        <f t="shared" si="38"/>
        <v>1025</v>
      </c>
      <c r="I636" s="17">
        <f t="shared" si="39"/>
        <v>1011</v>
      </c>
      <c r="J636">
        <v>0</v>
      </c>
      <c r="K636" s="3" t="str">
        <f>VLOOKUP(J636,'LibSets constants'!$A$4:$B$1012,2,FALSE)</f>
        <v>DLC_BASE_GAME</v>
      </c>
      <c r="L636" s="3" t="str">
        <f>VLOOKUP(J636,'LibSets constants'!$A$4:$C$1012,3,FALSE)</f>
        <v>Included in base game</v>
      </c>
    </row>
    <row r="637" spans="1:12" x14ac:dyDescent="0.25">
      <c r="A637" s="5">
        <v>1026</v>
      </c>
      <c r="B637" s="5">
        <v>632</v>
      </c>
      <c r="C637" s="5">
        <v>1011</v>
      </c>
      <c r="D637" t="s">
        <v>678</v>
      </c>
      <c r="E637" s="3" t="str">
        <f t="array" ref="E637">IF(OR(EXACT(A637,'ESO Dungeon constants'!$D$3:$D$987)),"X","")</f>
        <v/>
      </c>
      <c r="F637" s="3" t="str">
        <f t="shared" si="36"/>
        <v/>
      </c>
      <c r="G637" s="3" t="str">
        <f t="shared" si="37"/>
        <v>Summerset</v>
      </c>
      <c r="H637" s="17">
        <f t="shared" si="38"/>
        <v>1026</v>
      </c>
      <c r="I637" s="17">
        <f t="shared" si="39"/>
        <v>1011</v>
      </c>
      <c r="J637">
        <v>30</v>
      </c>
      <c r="K637" s="3" t="str">
        <f>VLOOKUP(J637,'LibSets constants'!$A$4:$B$1012,2,FALSE)</f>
        <v>DLC_NECROM</v>
      </c>
      <c r="L637" s="3" t="str">
        <f>VLOOKUP(J637,'LibSets constants'!$A$4:$C$1012,3,FALSE)</f>
        <v>Necrom</v>
      </c>
    </row>
    <row r="638" spans="1:12" x14ac:dyDescent="0.25">
      <c r="A638" s="5">
        <v>1027</v>
      </c>
      <c r="B638" s="5">
        <v>633</v>
      </c>
      <c r="C638" s="5">
        <v>1011</v>
      </c>
      <c r="D638" t="s">
        <v>679</v>
      </c>
      <c r="E638" s="3" t="str">
        <f t="array" ref="E638">IF(OR(EXACT(A638,'ESO Dungeon constants'!$D$3:$D$987)),"X","")</f>
        <v/>
      </c>
      <c r="F638" s="3" t="str">
        <f t="shared" si="36"/>
        <v/>
      </c>
      <c r="G638" s="3" t="str">
        <f t="shared" si="37"/>
        <v>Summerset</v>
      </c>
      <c r="H638" s="17">
        <f t="shared" si="38"/>
        <v>1027</v>
      </c>
      <c r="I638" s="17">
        <f t="shared" si="39"/>
        <v>1011</v>
      </c>
      <c r="J638">
        <v>30</v>
      </c>
      <c r="K638" s="3" t="str">
        <f>VLOOKUP(J638,'LibSets constants'!$A$4:$B$1012,2,FALSE)</f>
        <v>DLC_NECROM</v>
      </c>
      <c r="L638" s="3" t="str">
        <f>VLOOKUP(J638,'LibSets constants'!$A$4:$C$1012,3,FALSE)</f>
        <v>Necrom</v>
      </c>
    </row>
    <row r="639" spans="1:12" x14ac:dyDescent="0.25">
      <c r="A639" s="5">
        <v>1028</v>
      </c>
      <c r="B639" s="5">
        <v>634</v>
      </c>
      <c r="C639" s="5">
        <v>1011</v>
      </c>
      <c r="D639" t="s">
        <v>680</v>
      </c>
      <c r="E639" s="3" t="str">
        <f t="array" ref="E639">IF(OR(EXACT(A639,'ESO Dungeon constants'!$D$3:$D$987)),"X","")</f>
        <v/>
      </c>
      <c r="F639" s="3" t="str">
        <f t="shared" si="36"/>
        <v/>
      </c>
      <c r="G639" s="3" t="str">
        <f t="shared" si="37"/>
        <v>Summerset</v>
      </c>
      <c r="H639" s="17">
        <f t="shared" si="38"/>
        <v>1028</v>
      </c>
      <c r="I639" s="17">
        <f t="shared" si="39"/>
        <v>1011</v>
      </c>
      <c r="J639">
        <v>0</v>
      </c>
      <c r="K639" s="3" t="str">
        <f>VLOOKUP(J639,'LibSets constants'!$A$4:$B$1012,2,FALSE)</f>
        <v>DLC_BASE_GAME</v>
      </c>
      <c r="L639" s="3" t="str">
        <f>VLOOKUP(J639,'LibSets constants'!$A$4:$C$1012,3,FALSE)</f>
        <v>Included in base game</v>
      </c>
    </row>
    <row r="640" spans="1:12" x14ac:dyDescent="0.25">
      <c r="A640" s="5">
        <v>1029</v>
      </c>
      <c r="B640" s="5">
        <v>635</v>
      </c>
      <c r="C640" s="5">
        <v>1011</v>
      </c>
      <c r="D640" t="s">
        <v>681</v>
      </c>
      <c r="E640" s="3" t="str">
        <f t="array" ref="E640">IF(OR(EXACT(A640,'ESO Dungeon constants'!$D$3:$D$987)),"X","")</f>
        <v/>
      </c>
      <c r="F640" s="3" t="str">
        <f t="shared" si="36"/>
        <v/>
      </c>
      <c r="G640" s="3" t="str">
        <f t="shared" si="37"/>
        <v>Summerset</v>
      </c>
      <c r="H640" s="17">
        <f t="shared" si="38"/>
        <v>1029</v>
      </c>
      <c r="I640" s="17">
        <f t="shared" si="39"/>
        <v>1011</v>
      </c>
      <c r="J640">
        <v>0</v>
      </c>
      <c r="K640" s="3" t="str">
        <f>VLOOKUP(J640,'LibSets constants'!$A$4:$B$1012,2,FALSE)</f>
        <v>DLC_BASE_GAME</v>
      </c>
      <c r="L640" s="3" t="str">
        <f>VLOOKUP(J640,'LibSets constants'!$A$4:$C$1012,3,FALSE)</f>
        <v>Included in base game</v>
      </c>
    </row>
    <row r="641" spans="1:12" x14ac:dyDescent="0.25">
      <c r="A641" s="5">
        <v>1030</v>
      </c>
      <c r="B641" s="5">
        <v>636</v>
      </c>
      <c r="C641" s="5">
        <v>1011</v>
      </c>
      <c r="D641" t="s">
        <v>682</v>
      </c>
      <c r="E641" s="3" t="str">
        <f t="array" ref="E641">IF(OR(EXACT(A641,'ESO Dungeon constants'!$D$3:$D$987)),"X","")</f>
        <v/>
      </c>
      <c r="F641" s="3" t="str">
        <f t="shared" si="36"/>
        <v/>
      </c>
      <c r="G641" s="3" t="str">
        <f t="shared" si="37"/>
        <v>Summerset</v>
      </c>
      <c r="H641" s="17">
        <f t="shared" si="38"/>
        <v>1030</v>
      </c>
      <c r="I641" s="17">
        <f t="shared" si="39"/>
        <v>1011</v>
      </c>
      <c r="J641">
        <v>0</v>
      </c>
      <c r="K641" s="3" t="str">
        <f>VLOOKUP(J641,'LibSets constants'!$A$4:$B$1012,2,FALSE)</f>
        <v>DLC_BASE_GAME</v>
      </c>
      <c r="L641" s="3" t="str">
        <f>VLOOKUP(J641,'LibSets constants'!$A$4:$C$1012,3,FALSE)</f>
        <v>Included in base game</v>
      </c>
    </row>
    <row r="642" spans="1:12" x14ac:dyDescent="0.25">
      <c r="A642" s="5">
        <v>1031</v>
      </c>
      <c r="B642" s="5">
        <v>637</v>
      </c>
      <c r="C642" s="5">
        <v>1011</v>
      </c>
      <c r="D642" t="s">
        <v>683</v>
      </c>
      <c r="E642" s="3" t="str">
        <f t="array" ref="E642">IF(OR(EXACT(A642,'ESO Dungeon constants'!$D$3:$D$987)),"X","")</f>
        <v/>
      </c>
      <c r="F642" s="3" t="str">
        <f t="shared" si="36"/>
        <v/>
      </c>
      <c r="G642" s="3" t="str">
        <f t="shared" si="37"/>
        <v>Summerset</v>
      </c>
      <c r="H642" s="17">
        <f t="shared" si="38"/>
        <v>1031</v>
      </c>
      <c r="I642" s="17">
        <f t="shared" si="39"/>
        <v>1011</v>
      </c>
      <c r="J642">
        <v>0</v>
      </c>
      <c r="K642" s="3" t="str">
        <f>VLOOKUP(J642,'LibSets constants'!$A$4:$B$1012,2,FALSE)</f>
        <v>DLC_BASE_GAME</v>
      </c>
      <c r="L642" s="3" t="str">
        <f>VLOOKUP(J642,'LibSets constants'!$A$4:$C$1012,3,FALSE)</f>
        <v>Included in base game</v>
      </c>
    </row>
    <row r="643" spans="1:12" x14ac:dyDescent="0.25">
      <c r="A643" s="5">
        <v>1032</v>
      </c>
      <c r="B643" s="5">
        <v>638</v>
      </c>
      <c r="C643" s="5">
        <v>1011</v>
      </c>
      <c r="D643" t="s">
        <v>684</v>
      </c>
      <c r="E643" s="3" t="str">
        <f t="array" ref="E643">IF(OR(EXACT(A643,'ESO Dungeon constants'!$D$3:$D$987)),"X","")</f>
        <v/>
      </c>
      <c r="F643" s="3" t="str">
        <f t="shared" si="36"/>
        <v/>
      </c>
      <c r="G643" s="3" t="str">
        <f t="shared" si="37"/>
        <v>Summerset</v>
      </c>
      <c r="H643" s="17">
        <f t="shared" si="38"/>
        <v>1032</v>
      </c>
      <c r="I643" s="17">
        <f t="shared" si="39"/>
        <v>1011</v>
      </c>
      <c r="J643">
        <v>0</v>
      </c>
      <c r="K643" s="3" t="str">
        <f>VLOOKUP(J643,'LibSets constants'!$A$4:$B$1012,2,FALSE)</f>
        <v>DLC_BASE_GAME</v>
      </c>
      <c r="L643" s="3" t="str">
        <f>VLOOKUP(J643,'LibSets constants'!$A$4:$C$1012,3,FALSE)</f>
        <v>Included in base game</v>
      </c>
    </row>
    <row r="644" spans="1:12" x14ac:dyDescent="0.25">
      <c r="A644" s="5">
        <v>1033</v>
      </c>
      <c r="B644" s="5">
        <v>639</v>
      </c>
      <c r="C644" s="5">
        <v>1011</v>
      </c>
      <c r="D644" t="s">
        <v>685</v>
      </c>
      <c r="E644" s="3" t="str">
        <f t="array" ref="E644">IF(OR(EXACT(A644,'ESO Dungeon constants'!$D$3:$D$987)),"X","")</f>
        <v/>
      </c>
      <c r="F644" s="3" t="str">
        <f t="shared" si="36"/>
        <v/>
      </c>
      <c r="G644" s="3" t="str">
        <f t="shared" si="37"/>
        <v>Summerset</v>
      </c>
      <c r="H644" s="17">
        <f t="shared" si="38"/>
        <v>1033</v>
      </c>
      <c r="I644" s="17">
        <f t="shared" si="39"/>
        <v>1011</v>
      </c>
      <c r="J644">
        <v>0</v>
      </c>
      <c r="K644" s="3" t="str">
        <f>VLOOKUP(J644,'LibSets constants'!$A$4:$B$1012,2,FALSE)</f>
        <v>DLC_BASE_GAME</v>
      </c>
      <c r="L644" s="3" t="str">
        <f>VLOOKUP(J644,'LibSets constants'!$A$4:$C$1012,3,FALSE)</f>
        <v>Included in base game</v>
      </c>
    </row>
    <row r="645" spans="1:12" x14ac:dyDescent="0.25">
      <c r="A645" s="5">
        <v>1034</v>
      </c>
      <c r="B645" s="5">
        <v>640</v>
      </c>
      <c r="C645" s="5">
        <v>1011</v>
      </c>
      <c r="D645" t="s">
        <v>686</v>
      </c>
      <c r="E645" s="3" t="str">
        <f t="array" ref="E645">IF(OR(EXACT(A645,'ESO Dungeon constants'!$D$3:$D$987)),"X","")</f>
        <v/>
      </c>
      <c r="F645" s="3" t="str">
        <f t="shared" ref="F645:F708" si="40">IF(EXACT(A645,C645),"X","")</f>
        <v/>
      </c>
      <c r="G645" s="3" t="str">
        <f t="shared" ref="G645:G708" si="41">IF(A645&lt;&gt;C645,VLOOKUP(C645,$A$5:$D$9954,4,FALSE),"")</f>
        <v>Summerset</v>
      </c>
      <c r="H645" s="17">
        <f t="shared" ref="H645:H708" si="42">A645</f>
        <v>1034</v>
      </c>
      <c r="I645" s="17">
        <f t="shared" ref="I645:I708" si="43">C645</f>
        <v>1011</v>
      </c>
      <c r="J645">
        <v>0</v>
      </c>
      <c r="K645" s="3" t="str">
        <f>VLOOKUP(J645,'LibSets constants'!$A$4:$B$1012,2,FALSE)</f>
        <v>DLC_BASE_GAME</v>
      </c>
      <c r="L645" s="3" t="str">
        <f>VLOOKUP(J645,'LibSets constants'!$A$4:$C$1012,3,FALSE)</f>
        <v>Included in base game</v>
      </c>
    </row>
    <row r="646" spans="1:12" x14ac:dyDescent="0.25">
      <c r="A646" s="5">
        <v>1035</v>
      </c>
      <c r="B646" s="5">
        <v>641</v>
      </c>
      <c r="C646" s="5">
        <v>1011</v>
      </c>
      <c r="D646" t="s">
        <v>664</v>
      </c>
      <c r="E646" s="3" t="str">
        <f t="array" ref="E646">IF(OR(EXACT(A646,'ESO Dungeon constants'!$D$3:$D$987)),"X","")</f>
        <v/>
      </c>
      <c r="F646" s="3" t="str">
        <f t="shared" si="40"/>
        <v/>
      </c>
      <c r="G646" s="3" t="str">
        <f t="shared" si="41"/>
        <v>Summerset</v>
      </c>
      <c r="H646" s="17">
        <f t="shared" si="42"/>
        <v>1035</v>
      </c>
      <c r="I646" s="17">
        <f t="shared" si="43"/>
        <v>1011</v>
      </c>
      <c r="J646">
        <v>30</v>
      </c>
      <c r="K646" s="3" t="str">
        <f>VLOOKUP(J646,'LibSets constants'!$A$4:$B$1012,2,FALSE)</f>
        <v>DLC_NECROM</v>
      </c>
      <c r="L646" s="3" t="str">
        <f>VLOOKUP(J646,'LibSets constants'!$A$4:$C$1012,3,FALSE)</f>
        <v>Necrom</v>
      </c>
    </row>
    <row r="647" spans="1:12" x14ac:dyDescent="0.25">
      <c r="A647" s="5">
        <v>1036</v>
      </c>
      <c r="B647" s="5">
        <v>642</v>
      </c>
      <c r="C647" s="5">
        <v>1011</v>
      </c>
      <c r="D647" t="s">
        <v>687</v>
      </c>
      <c r="E647" s="3" t="str">
        <f t="array" ref="E647">IF(OR(EXACT(A647,'ESO Dungeon constants'!$D$3:$D$987)),"X","")</f>
        <v/>
      </c>
      <c r="F647" s="3" t="str">
        <f t="shared" si="40"/>
        <v/>
      </c>
      <c r="G647" s="3" t="str">
        <f t="shared" si="41"/>
        <v>Summerset</v>
      </c>
      <c r="H647" s="17">
        <f t="shared" si="42"/>
        <v>1036</v>
      </c>
      <c r="I647" s="17">
        <f t="shared" si="43"/>
        <v>1011</v>
      </c>
      <c r="J647">
        <v>0</v>
      </c>
      <c r="K647" s="3" t="str">
        <f>VLOOKUP(J647,'LibSets constants'!$A$4:$B$1012,2,FALSE)</f>
        <v>DLC_BASE_GAME</v>
      </c>
      <c r="L647" s="3" t="str">
        <f>VLOOKUP(J647,'LibSets constants'!$A$4:$C$1012,3,FALSE)</f>
        <v>Included in base game</v>
      </c>
    </row>
    <row r="648" spans="1:12" x14ac:dyDescent="0.25">
      <c r="A648" s="5">
        <v>1037</v>
      </c>
      <c r="B648" s="5">
        <v>643</v>
      </c>
      <c r="C648" s="5">
        <v>1011</v>
      </c>
      <c r="D648" t="s">
        <v>688</v>
      </c>
      <c r="E648" s="3" t="str">
        <f t="array" ref="E648">IF(OR(EXACT(A648,'ESO Dungeon constants'!$D$3:$D$987)),"X","")</f>
        <v/>
      </c>
      <c r="F648" s="3" t="str">
        <f t="shared" si="40"/>
        <v/>
      </c>
      <c r="G648" s="3" t="str">
        <f t="shared" si="41"/>
        <v>Summerset</v>
      </c>
      <c r="H648" s="17">
        <f t="shared" si="42"/>
        <v>1037</v>
      </c>
      <c r="I648" s="17">
        <f t="shared" si="43"/>
        <v>1011</v>
      </c>
      <c r="J648">
        <v>0</v>
      </c>
      <c r="K648" s="3" t="str">
        <f>VLOOKUP(J648,'LibSets constants'!$A$4:$B$1012,2,FALSE)</f>
        <v>DLC_BASE_GAME</v>
      </c>
      <c r="L648" s="3" t="str">
        <f>VLOOKUP(J648,'LibSets constants'!$A$4:$C$1012,3,FALSE)</f>
        <v>Included in base game</v>
      </c>
    </row>
    <row r="649" spans="1:12" x14ac:dyDescent="0.25">
      <c r="A649" s="5">
        <v>1038</v>
      </c>
      <c r="B649" s="5">
        <v>644</v>
      </c>
      <c r="C649" s="5">
        <v>1011</v>
      </c>
      <c r="D649" t="s">
        <v>689</v>
      </c>
      <c r="E649" s="3" t="str">
        <f t="array" ref="E649">IF(OR(EXACT(A649,'ESO Dungeon constants'!$D$3:$D$987)),"X","")</f>
        <v/>
      </c>
      <c r="F649" s="3" t="str">
        <f t="shared" si="40"/>
        <v/>
      </c>
      <c r="G649" s="3" t="str">
        <f t="shared" si="41"/>
        <v>Summerset</v>
      </c>
      <c r="H649" s="17">
        <f t="shared" si="42"/>
        <v>1038</v>
      </c>
      <c r="I649" s="17">
        <f t="shared" si="43"/>
        <v>1011</v>
      </c>
      <c r="J649">
        <v>0</v>
      </c>
      <c r="K649" s="3" t="str">
        <f>VLOOKUP(J649,'LibSets constants'!$A$4:$B$1012,2,FALSE)</f>
        <v>DLC_BASE_GAME</v>
      </c>
      <c r="L649" s="3" t="str">
        <f>VLOOKUP(J649,'LibSets constants'!$A$4:$C$1012,3,FALSE)</f>
        <v>Included in base game</v>
      </c>
    </row>
    <row r="650" spans="1:12" x14ac:dyDescent="0.25">
      <c r="A650" s="5">
        <v>1039</v>
      </c>
      <c r="B650" s="5">
        <v>645</v>
      </c>
      <c r="C650" s="5">
        <v>1011</v>
      </c>
      <c r="D650" t="s">
        <v>690</v>
      </c>
      <c r="E650" s="3" t="str">
        <f t="array" ref="E650">IF(OR(EXACT(A650,'ESO Dungeon constants'!$D$3:$D$987)),"X","")</f>
        <v/>
      </c>
      <c r="F650" s="3" t="str">
        <f t="shared" si="40"/>
        <v/>
      </c>
      <c r="G650" s="3" t="str">
        <f t="shared" si="41"/>
        <v>Summerset</v>
      </c>
      <c r="H650" s="17">
        <f t="shared" si="42"/>
        <v>1039</v>
      </c>
      <c r="I650" s="17">
        <f t="shared" si="43"/>
        <v>1011</v>
      </c>
      <c r="J650">
        <v>0</v>
      </c>
      <c r="K650" s="3" t="str">
        <f>VLOOKUP(J650,'LibSets constants'!$A$4:$B$1012,2,FALSE)</f>
        <v>DLC_BASE_GAME</v>
      </c>
      <c r="L650" s="3" t="str">
        <f>VLOOKUP(J650,'LibSets constants'!$A$4:$C$1012,3,FALSE)</f>
        <v>Included in base game</v>
      </c>
    </row>
    <row r="651" spans="1:12" x14ac:dyDescent="0.25">
      <c r="A651" s="5">
        <v>1040</v>
      </c>
      <c r="B651" s="5">
        <v>646</v>
      </c>
      <c r="C651" s="5">
        <v>1011</v>
      </c>
      <c r="D651" t="s">
        <v>657</v>
      </c>
      <c r="E651" s="3" t="str">
        <f t="array" ref="E651">IF(OR(EXACT(A651,'ESO Dungeon constants'!$D$3:$D$987)),"X","")</f>
        <v/>
      </c>
      <c r="F651" s="3" t="str">
        <f t="shared" si="40"/>
        <v/>
      </c>
      <c r="G651" s="3" t="str">
        <f t="shared" si="41"/>
        <v>Summerset</v>
      </c>
      <c r="H651" s="17">
        <f t="shared" si="42"/>
        <v>1040</v>
      </c>
      <c r="I651" s="17">
        <f t="shared" si="43"/>
        <v>1011</v>
      </c>
      <c r="J651">
        <v>0</v>
      </c>
      <c r="K651" s="3" t="str">
        <f>VLOOKUP(J651,'LibSets constants'!$A$4:$B$1012,2,FALSE)</f>
        <v>DLC_BASE_GAME</v>
      </c>
      <c r="L651" s="3" t="str">
        <f>VLOOKUP(J651,'LibSets constants'!$A$4:$C$1012,3,FALSE)</f>
        <v>Included in base game</v>
      </c>
    </row>
    <row r="652" spans="1:12" x14ac:dyDescent="0.25">
      <c r="A652" s="5">
        <v>1042</v>
      </c>
      <c r="B652" s="5">
        <v>647</v>
      </c>
      <c r="C652" s="5">
        <v>684</v>
      </c>
      <c r="D652" t="s">
        <v>691</v>
      </c>
      <c r="E652" s="3" t="str">
        <f t="array" ref="E652">IF(OR(EXACT(A652,'ESO Dungeon constants'!$D$3:$D$987)),"X","")</f>
        <v/>
      </c>
      <c r="F652" s="3" t="str">
        <f t="shared" si="40"/>
        <v/>
      </c>
      <c r="G652" s="3" t="str">
        <f t="shared" si="41"/>
        <v>Wrothgar</v>
      </c>
      <c r="H652" s="17">
        <f t="shared" si="42"/>
        <v>1042</v>
      </c>
      <c r="I652" s="17">
        <f t="shared" si="43"/>
        <v>684</v>
      </c>
      <c r="J652">
        <v>0</v>
      </c>
      <c r="K652" s="3" t="str">
        <f>VLOOKUP(J652,'LibSets constants'!$A$4:$B$1012,2,FALSE)</f>
        <v>DLC_BASE_GAME</v>
      </c>
      <c r="L652" s="3" t="str">
        <f>VLOOKUP(J652,'LibSets constants'!$A$4:$C$1012,3,FALSE)</f>
        <v>Included in base game</v>
      </c>
    </row>
    <row r="653" spans="1:12" x14ac:dyDescent="0.25">
      <c r="A653" s="5">
        <v>1043</v>
      </c>
      <c r="B653" s="5">
        <v>648</v>
      </c>
      <c r="C653" s="5">
        <v>980</v>
      </c>
      <c r="D653" t="s">
        <v>692</v>
      </c>
      <c r="E653" s="3" t="str">
        <f t="array" ref="E653">IF(OR(EXACT(A653,'ESO Dungeon constants'!$D$3:$D$987)),"X","")</f>
        <v/>
      </c>
      <c r="F653" s="3" t="str">
        <f t="shared" si="40"/>
        <v/>
      </c>
      <c r="G653" s="3" t="str">
        <f t="shared" si="41"/>
        <v>Clockwork City</v>
      </c>
      <c r="H653" s="17">
        <f t="shared" si="42"/>
        <v>1043</v>
      </c>
      <c r="I653" s="17">
        <f t="shared" si="43"/>
        <v>980</v>
      </c>
      <c r="J653">
        <v>30</v>
      </c>
      <c r="K653" s="3" t="str">
        <f>VLOOKUP(J653,'LibSets constants'!$A$4:$B$1012,2,FALSE)</f>
        <v>DLC_NECROM</v>
      </c>
      <c r="L653" s="3" t="str">
        <f>VLOOKUP(J653,'LibSets constants'!$A$4:$C$1012,3,FALSE)</f>
        <v>Necrom</v>
      </c>
    </row>
    <row r="654" spans="1:12" x14ac:dyDescent="0.25">
      <c r="A654" s="5">
        <v>1044</v>
      </c>
      <c r="B654" s="5">
        <v>649</v>
      </c>
      <c r="C654" s="5">
        <v>823</v>
      </c>
      <c r="D654" t="s">
        <v>693</v>
      </c>
      <c r="E654" s="3" t="str">
        <f t="array" ref="E654">IF(OR(EXACT(A654,'ESO Dungeon constants'!$D$3:$D$987)),"X","")</f>
        <v/>
      </c>
      <c r="F654" s="3" t="str">
        <f t="shared" si="40"/>
        <v/>
      </c>
      <c r="G654" s="3" t="str">
        <f t="shared" si="41"/>
        <v>Gold Coast</v>
      </c>
      <c r="H654" s="17">
        <f t="shared" si="42"/>
        <v>1044</v>
      </c>
      <c r="I654" s="17">
        <f t="shared" si="43"/>
        <v>823</v>
      </c>
      <c r="J654">
        <v>29</v>
      </c>
      <c r="K654" s="3" t="str">
        <f>VLOOKUP(J654,'LibSets constants'!$A$4:$B$1012,2,FALSE)</f>
        <v>DLC_SCRIBES_OF_FATE</v>
      </c>
      <c r="L654" s="3" t="str">
        <f>VLOOKUP(J654,'LibSets constants'!$A$4:$C$1012,3,FALSE)</f>
        <v>Scribes of Fate</v>
      </c>
    </row>
    <row r="655" spans="1:12" x14ac:dyDescent="0.25">
      <c r="A655" s="5">
        <v>1045</v>
      </c>
      <c r="B655" s="5">
        <v>650</v>
      </c>
      <c r="C655" s="5">
        <v>816</v>
      </c>
      <c r="D655" t="s">
        <v>694</v>
      </c>
      <c r="E655" s="3" t="str">
        <f t="array" ref="E655">IF(OR(EXACT(A655,'ESO Dungeon constants'!$D$3:$D$987)),"X","")</f>
        <v/>
      </c>
      <c r="F655" s="3" t="str">
        <f t="shared" si="40"/>
        <v/>
      </c>
      <c r="G655" s="3" t="str">
        <f t="shared" si="41"/>
        <v>Hew's Bane</v>
      </c>
      <c r="H655" s="17">
        <f t="shared" si="42"/>
        <v>1045</v>
      </c>
      <c r="I655" s="17">
        <f t="shared" si="43"/>
        <v>816</v>
      </c>
      <c r="J655">
        <v>0</v>
      </c>
      <c r="K655" s="3" t="str">
        <f>VLOOKUP(J655,'LibSets constants'!$A$4:$B$1012,2,FALSE)</f>
        <v>DLC_BASE_GAME</v>
      </c>
      <c r="L655" s="3" t="str">
        <f>VLOOKUP(J655,'LibSets constants'!$A$4:$C$1012,3,FALSE)</f>
        <v>Included in base game</v>
      </c>
    </row>
    <row r="656" spans="1:12" x14ac:dyDescent="0.25">
      <c r="A656" s="5">
        <v>1046</v>
      </c>
      <c r="B656" s="5">
        <v>651</v>
      </c>
      <c r="C656" s="5">
        <v>1011</v>
      </c>
      <c r="D656" t="s">
        <v>695</v>
      </c>
      <c r="E656" s="3" t="str">
        <f t="array" ref="E656">IF(OR(EXACT(A656,'ESO Dungeon constants'!$D$3:$D$987)),"X","")</f>
        <v/>
      </c>
      <c r="F656" s="3" t="str">
        <f t="shared" si="40"/>
        <v/>
      </c>
      <c r="G656" s="3" t="str">
        <f t="shared" si="41"/>
        <v>Summerset</v>
      </c>
      <c r="H656" s="17">
        <f t="shared" si="42"/>
        <v>1046</v>
      </c>
      <c r="I656" s="17">
        <f t="shared" si="43"/>
        <v>1011</v>
      </c>
      <c r="J656">
        <v>29</v>
      </c>
      <c r="K656" s="3" t="str">
        <f>VLOOKUP(J656,'LibSets constants'!$A$4:$B$1012,2,FALSE)</f>
        <v>DLC_SCRIBES_OF_FATE</v>
      </c>
      <c r="L656" s="3" t="str">
        <f>VLOOKUP(J656,'LibSets constants'!$A$4:$C$1012,3,FALSE)</f>
        <v>Scribes of Fate</v>
      </c>
    </row>
    <row r="657" spans="1:12" x14ac:dyDescent="0.25">
      <c r="A657" s="5">
        <v>1047</v>
      </c>
      <c r="B657" s="5">
        <v>652</v>
      </c>
      <c r="C657" s="5">
        <v>1011</v>
      </c>
      <c r="D657" t="s">
        <v>696</v>
      </c>
      <c r="E657" s="3" t="str">
        <f t="array" ref="E657">IF(OR(EXACT(A657,'ESO Dungeon constants'!$D$3:$D$987)),"X","")</f>
        <v/>
      </c>
      <c r="F657" s="3" t="str">
        <f t="shared" si="40"/>
        <v/>
      </c>
      <c r="G657" s="3" t="str">
        <f t="shared" si="41"/>
        <v>Summerset</v>
      </c>
      <c r="H657" s="17">
        <f t="shared" si="42"/>
        <v>1047</v>
      </c>
      <c r="I657" s="17">
        <f t="shared" si="43"/>
        <v>1011</v>
      </c>
      <c r="J657">
        <v>0</v>
      </c>
      <c r="K657" s="3" t="str">
        <f>VLOOKUP(J657,'LibSets constants'!$A$4:$B$1012,2,FALSE)</f>
        <v>DLC_BASE_GAME</v>
      </c>
      <c r="L657" s="3" t="str">
        <f>VLOOKUP(J657,'LibSets constants'!$A$4:$C$1012,3,FALSE)</f>
        <v>Included in base game</v>
      </c>
    </row>
    <row r="658" spans="1:12" x14ac:dyDescent="0.25">
      <c r="A658" s="5">
        <v>1048</v>
      </c>
      <c r="B658" s="5">
        <v>653</v>
      </c>
      <c r="C658" s="5">
        <v>1011</v>
      </c>
      <c r="D658" t="s">
        <v>697</v>
      </c>
      <c r="E658" s="3" t="str">
        <f t="array" ref="E658">IF(OR(EXACT(A658,'ESO Dungeon constants'!$D$3:$D$987)),"X","")</f>
        <v/>
      </c>
      <c r="F658" s="3" t="str">
        <f t="shared" si="40"/>
        <v/>
      </c>
      <c r="G658" s="3" t="str">
        <f t="shared" si="41"/>
        <v>Summerset</v>
      </c>
      <c r="H658" s="17">
        <f t="shared" si="42"/>
        <v>1048</v>
      </c>
      <c r="I658" s="17">
        <f t="shared" si="43"/>
        <v>1011</v>
      </c>
      <c r="J658">
        <v>0</v>
      </c>
      <c r="K658" s="3" t="str">
        <f>VLOOKUP(J658,'LibSets constants'!$A$4:$B$1012,2,FALSE)</f>
        <v>DLC_BASE_GAME</v>
      </c>
      <c r="L658" s="3" t="str">
        <f>VLOOKUP(J658,'LibSets constants'!$A$4:$C$1012,3,FALSE)</f>
        <v>Included in base game</v>
      </c>
    </row>
    <row r="659" spans="1:12" x14ac:dyDescent="0.25">
      <c r="A659" s="5">
        <v>1051</v>
      </c>
      <c r="B659" s="5">
        <v>654</v>
      </c>
      <c r="C659" s="5">
        <v>1011</v>
      </c>
      <c r="D659" t="s">
        <v>698</v>
      </c>
      <c r="E659" s="3" t="str">
        <f t="array" ref="E659">IF(OR(EXACT(A659,'ESO Dungeon constants'!$D$3:$D$987)),"X","")</f>
        <v>X</v>
      </c>
      <c r="F659" s="3" t="str">
        <f t="shared" si="40"/>
        <v/>
      </c>
      <c r="G659" s="3" t="str">
        <f t="shared" si="41"/>
        <v>Summerset</v>
      </c>
      <c r="H659" s="17">
        <f t="shared" si="42"/>
        <v>1051</v>
      </c>
      <c r="I659" s="17">
        <f t="shared" si="43"/>
        <v>1011</v>
      </c>
      <c r="J659">
        <v>0</v>
      </c>
      <c r="K659" s="3" t="str">
        <f>VLOOKUP(J659,'LibSets constants'!$A$4:$B$1012,2,FALSE)</f>
        <v>DLC_BASE_GAME</v>
      </c>
      <c r="L659" s="3" t="str">
        <f>VLOOKUP(J659,'LibSets constants'!$A$4:$C$1012,3,FALSE)</f>
        <v>Included in base game</v>
      </c>
    </row>
    <row r="660" spans="1:12" x14ac:dyDescent="0.25">
      <c r="A660" s="5">
        <v>1052</v>
      </c>
      <c r="B660" s="5">
        <v>655</v>
      </c>
      <c r="C660" s="5">
        <v>382</v>
      </c>
      <c r="D660" t="s">
        <v>73</v>
      </c>
      <c r="E660" s="3" t="str">
        <f t="array" ref="E660">IF(OR(EXACT(A660,'ESO Dungeon constants'!$D$3:$D$987)),"X","")</f>
        <v>X</v>
      </c>
      <c r="F660" s="3" t="str">
        <f t="shared" si="40"/>
        <v/>
      </c>
      <c r="G660" s="3" t="str">
        <f t="shared" si="41"/>
        <v>Reaper's March</v>
      </c>
      <c r="H660" s="17">
        <f t="shared" si="42"/>
        <v>1052</v>
      </c>
      <c r="I660" s="17">
        <f t="shared" si="43"/>
        <v>382</v>
      </c>
      <c r="J660">
        <v>0</v>
      </c>
      <c r="K660" s="3" t="str">
        <f>VLOOKUP(J660,'LibSets constants'!$A$4:$B$1012,2,FALSE)</f>
        <v>DLC_BASE_GAME</v>
      </c>
      <c r="L660" s="3" t="str">
        <f>VLOOKUP(J660,'LibSets constants'!$A$4:$C$1012,3,FALSE)</f>
        <v>Included in base game</v>
      </c>
    </row>
    <row r="661" spans="1:12" x14ac:dyDescent="0.25">
      <c r="A661" s="5">
        <v>1055</v>
      </c>
      <c r="B661" s="5">
        <v>656</v>
      </c>
      <c r="C661" s="5">
        <v>108</v>
      </c>
      <c r="D661" t="s">
        <v>41</v>
      </c>
      <c r="E661" s="3" t="str">
        <f t="array" ref="E661">IF(OR(EXACT(A661,'ESO Dungeon constants'!$D$3:$D$987)),"X","")</f>
        <v>X</v>
      </c>
      <c r="F661" s="3" t="str">
        <f t="shared" si="40"/>
        <v/>
      </c>
      <c r="G661" s="3" t="str">
        <f t="shared" si="41"/>
        <v>Greenshade</v>
      </c>
      <c r="H661" s="17">
        <f t="shared" si="42"/>
        <v>1055</v>
      </c>
      <c r="I661" s="17">
        <f t="shared" si="43"/>
        <v>108</v>
      </c>
      <c r="J661">
        <v>25</v>
      </c>
      <c r="K661" s="3" t="str">
        <f>VLOOKUP(J661,'LibSets constants'!$A$4:$B$1012,2,FALSE)</f>
        <v>DLC_ASCENDING_TIDE</v>
      </c>
      <c r="L661" s="3" t="str">
        <f>VLOOKUP(J661,'LibSets constants'!$A$4:$C$1012,3,FALSE)</f>
        <v>Ascending Tide</v>
      </c>
    </row>
    <row r="662" spans="1:12" x14ac:dyDescent="0.25">
      <c r="A662" s="5">
        <v>1059</v>
      </c>
      <c r="B662" s="5">
        <v>657</v>
      </c>
      <c r="C662" s="5">
        <v>1011</v>
      </c>
      <c r="D662" t="s">
        <v>700</v>
      </c>
      <c r="E662" s="3" t="str">
        <f t="array" ref="E662">IF(OR(EXACT(A662,'ESO Dungeon constants'!$D$3:$D$987)),"X","")</f>
        <v/>
      </c>
      <c r="F662" s="3" t="str">
        <f t="shared" si="40"/>
        <v/>
      </c>
      <c r="G662" s="3" t="str">
        <f t="shared" si="41"/>
        <v>Summerset</v>
      </c>
      <c r="H662" s="17">
        <f t="shared" si="42"/>
        <v>1059</v>
      </c>
      <c r="I662" s="17">
        <f t="shared" si="43"/>
        <v>1011</v>
      </c>
      <c r="J662">
        <v>0</v>
      </c>
      <c r="K662" s="3" t="str">
        <f>VLOOKUP(J662,'LibSets constants'!$A$4:$B$1012,2,FALSE)</f>
        <v>DLC_BASE_GAME</v>
      </c>
      <c r="L662" s="3" t="str">
        <f>VLOOKUP(J662,'LibSets constants'!$A$4:$C$1012,3,FALSE)</f>
        <v>Included in base game</v>
      </c>
    </row>
    <row r="663" spans="1:12" x14ac:dyDescent="0.25">
      <c r="A663" s="5">
        <v>1060</v>
      </c>
      <c r="B663" s="5">
        <v>658</v>
      </c>
      <c r="C663" s="5">
        <v>1011</v>
      </c>
      <c r="D663" t="s">
        <v>701</v>
      </c>
      <c r="E663" s="3" t="str">
        <f t="array" ref="E663">IF(OR(EXACT(A663,'ESO Dungeon constants'!$D$3:$D$987)),"X","")</f>
        <v/>
      </c>
      <c r="F663" s="3" t="str">
        <f t="shared" si="40"/>
        <v/>
      </c>
      <c r="G663" s="3" t="str">
        <f t="shared" si="41"/>
        <v>Summerset</v>
      </c>
      <c r="H663" s="17">
        <f t="shared" si="42"/>
        <v>1060</v>
      </c>
      <c r="I663" s="17">
        <f t="shared" si="43"/>
        <v>1011</v>
      </c>
      <c r="J663">
        <v>0</v>
      </c>
      <c r="K663" s="3" t="str">
        <f>VLOOKUP(J663,'LibSets constants'!$A$4:$B$1012,2,FALSE)</f>
        <v>DLC_BASE_GAME</v>
      </c>
      <c r="L663" s="3" t="str">
        <f>VLOOKUP(J663,'LibSets constants'!$A$4:$C$1012,3,FALSE)</f>
        <v>Included in base game</v>
      </c>
    </row>
    <row r="664" spans="1:12" x14ac:dyDescent="0.25">
      <c r="A664" s="5">
        <v>1061</v>
      </c>
      <c r="B664" s="5">
        <v>659</v>
      </c>
      <c r="C664" s="5">
        <v>1011</v>
      </c>
      <c r="D664" t="s">
        <v>702</v>
      </c>
      <c r="E664" s="3" t="str">
        <f t="array" ref="E664">IF(OR(EXACT(A664,'ESO Dungeon constants'!$D$3:$D$987)),"X","")</f>
        <v/>
      </c>
      <c r="F664" s="3" t="str">
        <f t="shared" si="40"/>
        <v/>
      </c>
      <c r="G664" s="3" t="str">
        <f t="shared" si="41"/>
        <v>Summerset</v>
      </c>
      <c r="H664" s="17">
        <f t="shared" si="42"/>
        <v>1061</v>
      </c>
      <c r="I664" s="17">
        <f t="shared" si="43"/>
        <v>1011</v>
      </c>
      <c r="J664">
        <v>0</v>
      </c>
      <c r="K664" s="3" t="str">
        <f>VLOOKUP(J664,'LibSets constants'!$A$4:$B$1012,2,FALSE)</f>
        <v>DLC_BASE_GAME</v>
      </c>
      <c r="L664" s="3" t="str">
        <f>VLOOKUP(J664,'LibSets constants'!$A$4:$C$1012,3,FALSE)</f>
        <v>Included in base game</v>
      </c>
    </row>
    <row r="665" spans="1:12" x14ac:dyDescent="0.25">
      <c r="A665" s="5">
        <v>1063</v>
      </c>
      <c r="B665" s="5">
        <v>660</v>
      </c>
      <c r="C665" s="5">
        <v>1027</v>
      </c>
      <c r="D665" t="s">
        <v>704</v>
      </c>
      <c r="E665" s="3" t="str">
        <f t="array" ref="E665">IF(OR(EXACT(A665,'ESO Dungeon constants'!$D$3:$D$987)),"X","")</f>
        <v/>
      </c>
      <c r="F665" s="3" t="str">
        <f t="shared" si="40"/>
        <v/>
      </c>
      <c r="G665" s="3" t="str">
        <f t="shared" si="41"/>
        <v>Artaeum</v>
      </c>
      <c r="H665" s="17">
        <f t="shared" si="42"/>
        <v>1063</v>
      </c>
      <c r="I665" s="17">
        <f t="shared" si="43"/>
        <v>1027</v>
      </c>
      <c r="J665">
        <v>0</v>
      </c>
      <c r="K665" s="3" t="str">
        <f>VLOOKUP(J665,'LibSets constants'!$A$4:$B$1012,2,FALSE)</f>
        <v>DLC_BASE_GAME</v>
      </c>
      <c r="L665" s="3" t="str">
        <f>VLOOKUP(J665,'LibSets constants'!$A$4:$C$1012,3,FALSE)</f>
        <v>Included in base game</v>
      </c>
    </row>
    <row r="666" spans="1:12" x14ac:dyDescent="0.25">
      <c r="A666" s="5">
        <v>1064</v>
      </c>
      <c r="B666" s="5">
        <v>661</v>
      </c>
      <c r="C666" s="5">
        <v>103</v>
      </c>
      <c r="D666" t="s">
        <v>705</v>
      </c>
      <c r="E666" s="3" t="str">
        <f t="array" ref="E666">IF(OR(EXACT(A666,'ESO Dungeon constants'!$D$3:$D$987)),"X","")</f>
        <v/>
      </c>
      <c r="F666" s="3" t="str">
        <f t="shared" si="40"/>
        <v/>
      </c>
      <c r="G666" s="3" t="str">
        <f t="shared" si="41"/>
        <v>The Rift</v>
      </c>
      <c r="H666" s="17">
        <f t="shared" si="42"/>
        <v>1064</v>
      </c>
      <c r="I666" s="17">
        <f t="shared" si="43"/>
        <v>103</v>
      </c>
      <c r="J666">
        <v>0</v>
      </c>
      <c r="K666" s="3" t="str">
        <f>VLOOKUP(J666,'LibSets constants'!$A$4:$B$1012,2,FALSE)</f>
        <v>DLC_BASE_GAME</v>
      </c>
      <c r="L666" s="3" t="str">
        <f>VLOOKUP(J666,'LibSets constants'!$A$4:$C$1012,3,FALSE)</f>
        <v>Included in base game</v>
      </c>
    </row>
    <row r="667" spans="1:12" x14ac:dyDescent="0.25">
      <c r="A667" s="5">
        <v>1065</v>
      </c>
      <c r="B667" s="5">
        <v>662</v>
      </c>
      <c r="C667" s="5">
        <v>726</v>
      </c>
      <c r="D667" t="s">
        <v>706</v>
      </c>
      <c r="E667" s="3" t="str">
        <f t="array" ref="E667">IF(OR(EXACT(A667,'ESO Dungeon constants'!$D$3:$D$987)),"X","")</f>
        <v/>
      </c>
      <c r="F667" s="3" t="str">
        <f t="shared" si="40"/>
        <v/>
      </c>
      <c r="G667" s="3" t="str">
        <f t="shared" si="41"/>
        <v>Murkmire</v>
      </c>
      <c r="H667" s="17">
        <f t="shared" si="42"/>
        <v>1065</v>
      </c>
      <c r="I667" s="17">
        <f t="shared" si="43"/>
        <v>726</v>
      </c>
      <c r="J667">
        <v>22</v>
      </c>
      <c r="K667" s="3" t="str">
        <f>VLOOKUP(J667,'LibSets constants'!$A$4:$B$1012,2,FALSE)</f>
        <v>DLC_BLACKWOOD</v>
      </c>
      <c r="L667" s="3" t="str">
        <f>VLOOKUP(J667,'LibSets constants'!$A$4:$C$1012,3,FALSE)</f>
        <v>Blackwood</v>
      </c>
    </row>
    <row r="668" spans="1:12" x14ac:dyDescent="0.25">
      <c r="A668" s="5">
        <v>1066</v>
      </c>
      <c r="B668" s="5">
        <v>663</v>
      </c>
      <c r="C668" s="5">
        <v>726</v>
      </c>
      <c r="D668" t="s">
        <v>707</v>
      </c>
      <c r="E668" s="3" t="str">
        <f t="array" ref="E668">IF(OR(EXACT(A668,'ESO Dungeon constants'!$D$3:$D$987)),"X","")</f>
        <v/>
      </c>
      <c r="F668" s="3" t="str">
        <f t="shared" si="40"/>
        <v/>
      </c>
      <c r="G668" s="3" t="str">
        <f t="shared" si="41"/>
        <v>Murkmire</v>
      </c>
      <c r="H668" s="17">
        <f t="shared" si="42"/>
        <v>1066</v>
      </c>
      <c r="I668" s="17">
        <f t="shared" si="43"/>
        <v>726</v>
      </c>
      <c r="J668">
        <v>0</v>
      </c>
      <c r="K668" s="3" t="str">
        <f>VLOOKUP(J668,'LibSets constants'!$A$4:$B$1012,2,FALSE)</f>
        <v>DLC_BASE_GAME</v>
      </c>
      <c r="L668" s="3" t="str">
        <f>VLOOKUP(J668,'LibSets constants'!$A$4:$C$1012,3,FALSE)</f>
        <v>Included in base game</v>
      </c>
    </row>
    <row r="669" spans="1:12" x14ac:dyDescent="0.25">
      <c r="A669" s="5">
        <v>1067</v>
      </c>
      <c r="B669" s="5">
        <v>664</v>
      </c>
      <c r="C669" s="5">
        <v>726</v>
      </c>
      <c r="D669" t="s">
        <v>708</v>
      </c>
      <c r="E669" s="3" t="str">
        <f t="array" ref="E669">IF(OR(EXACT(A669,'ESO Dungeon constants'!$D$3:$D$987)),"X","")</f>
        <v/>
      </c>
      <c r="F669" s="3" t="str">
        <f t="shared" si="40"/>
        <v/>
      </c>
      <c r="G669" s="3" t="str">
        <f t="shared" si="41"/>
        <v>Murkmire</v>
      </c>
      <c r="H669" s="17">
        <f t="shared" si="42"/>
        <v>1067</v>
      </c>
      <c r="I669" s="17">
        <f t="shared" si="43"/>
        <v>726</v>
      </c>
      <c r="J669">
        <v>0</v>
      </c>
      <c r="K669" s="3" t="str">
        <f>VLOOKUP(J669,'LibSets constants'!$A$4:$B$1012,2,FALSE)</f>
        <v>DLC_BASE_GAME</v>
      </c>
      <c r="L669" s="3" t="str">
        <f>VLOOKUP(J669,'LibSets constants'!$A$4:$C$1012,3,FALSE)</f>
        <v>Included in base game</v>
      </c>
    </row>
    <row r="670" spans="1:12" x14ac:dyDescent="0.25">
      <c r="A670" s="5">
        <v>1068</v>
      </c>
      <c r="B670" s="5">
        <v>665</v>
      </c>
      <c r="C670" s="5">
        <v>726</v>
      </c>
      <c r="D670" t="s">
        <v>709</v>
      </c>
      <c r="E670" s="3" t="str">
        <f t="array" ref="E670">IF(OR(EXACT(A670,'ESO Dungeon constants'!$D$3:$D$987)),"X","")</f>
        <v/>
      </c>
      <c r="F670" s="3" t="str">
        <f t="shared" si="40"/>
        <v/>
      </c>
      <c r="G670" s="3" t="str">
        <f t="shared" si="41"/>
        <v>Murkmire</v>
      </c>
      <c r="H670" s="17">
        <f t="shared" si="42"/>
        <v>1068</v>
      </c>
      <c r="I670" s="17">
        <f t="shared" si="43"/>
        <v>726</v>
      </c>
      <c r="J670">
        <v>0</v>
      </c>
      <c r="K670" s="3" t="str">
        <f>VLOOKUP(J670,'LibSets constants'!$A$4:$B$1012,2,FALSE)</f>
        <v>DLC_BASE_GAME</v>
      </c>
      <c r="L670" s="3" t="str">
        <f>VLOOKUP(J670,'LibSets constants'!$A$4:$C$1012,3,FALSE)</f>
        <v>Included in base game</v>
      </c>
    </row>
    <row r="671" spans="1:12" x14ac:dyDescent="0.25">
      <c r="A671" s="5">
        <v>1069</v>
      </c>
      <c r="B671" s="5">
        <v>666</v>
      </c>
      <c r="C671" s="5">
        <v>726</v>
      </c>
      <c r="D671" t="s">
        <v>710</v>
      </c>
      <c r="E671" s="3" t="str">
        <f t="array" ref="E671">IF(OR(EXACT(A671,'ESO Dungeon constants'!$D$3:$D$987)),"X","")</f>
        <v/>
      </c>
      <c r="F671" s="3" t="str">
        <f t="shared" si="40"/>
        <v/>
      </c>
      <c r="G671" s="3" t="str">
        <f t="shared" si="41"/>
        <v>Murkmire</v>
      </c>
      <c r="H671" s="17">
        <f t="shared" si="42"/>
        <v>1069</v>
      </c>
      <c r="I671" s="17">
        <f t="shared" si="43"/>
        <v>726</v>
      </c>
      <c r="J671">
        <v>0</v>
      </c>
      <c r="K671" s="3" t="str">
        <f>VLOOKUP(J671,'LibSets constants'!$A$4:$B$1012,2,FALSE)</f>
        <v>DLC_BASE_GAME</v>
      </c>
      <c r="L671" s="3" t="str">
        <f>VLOOKUP(J671,'LibSets constants'!$A$4:$C$1012,3,FALSE)</f>
        <v>Included in base game</v>
      </c>
    </row>
    <row r="672" spans="1:12" x14ac:dyDescent="0.25">
      <c r="A672" s="5">
        <v>1070</v>
      </c>
      <c r="B672" s="5">
        <v>667</v>
      </c>
      <c r="C672" s="5">
        <v>726</v>
      </c>
      <c r="D672" t="s">
        <v>711</v>
      </c>
      <c r="E672" s="3" t="str">
        <f t="array" ref="E672">IF(OR(EXACT(A672,'ESO Dungeon constants'!$D$3:$D$987)),"X","")</f>
        <v/>
      </c>
      <c r="F672" s="3" t="str">
        <f t="shared" si="40"/>
        <v/>
      </c>
      <c r="G672" s="3" t="str">
        <f t="shared" si="41"/>
        <v>Murkmire</v>
      </c>
      <c r="H672" s="17">
        <f t="shared" si="42"/>
        <v>1070</v>
      </c>
      <c r="I672" s="17">
        <f t="shared" si="43"/>
        <v>726</v>
      </c>
      <c r="J672">
        <v>0</v>
      </c>
      <c r="K672" s="3" t="str">
        <f>VLOOKUP(J672,'LibSets constants'!$A$4:$B$1012,2,FALSE)</f>
        <v>DLC_BASE_GAME</v>
      </c>
      <c r="L672" s="3" t="str">
        <f>VLOOKUP(J672,'LibSets constants'!$A$4:$C$1012,3,FALSE)</f>
        <v>Included in base game</v>
      </c>
    </row>
    <row r="673" spans="1:12" x14ac:dyDescent="0.25">
      <c r="A673" s="5">
        <v>1071</v>
      </c>
      <c r="B673" s="5">
        <v>668</v>
      </c>
      <c r="C673" s="5">
        <v>726</v>
      </c>
      <c r="D673" t="s">
        <v>712</v>
      </c>
      <c r="E673" s="3" t="str">
        <f t="array" ref="E673">IF(OR(EXACT(A673,'ESO Dungeon constants'!$D$3:$D$987)),"X","")</f>
        <v/>
      </c>
      <c r="F673" s="3" t="str">
        <f t="shared" si="40"/>
        <v/>
      </c>
      <c r="G673" s="3" t="str">
        <f t="shared" si="41"/>
        <v>Murkmire</v>
      </c>
      <c r="H673" s="17">
        <f t="shared" si="42"/>
        <v>1071</v>
      </c>
      <c r="I673" s="17">
        <f t="shared" si="43"/>
        <v>726</v>
      </c>
      <c r="J673">
        <v>0</v>
      </c>
      <c r="K673" s="3" t="str">
        <f>VLOOKUP(J673,'LibSets constants'!$A$4:$B$1012,2,FALSE)</f>
        <v>DLC_BASE_GAME</v>
      </c>
      <c r="L673" s="3" t="str">
        <f>VLOOKUP(J673,'LibSets constants'!$A$4:$C$1012,3,FALSE)</f>
        <v>Included in base game</v>
      </c>
    </row>
    <row r="674" spans="1:12" x14ac:dyDescent="0.25">
      <c r="A674" s="5">
        <v>1072</v>
      </c>
      <c r="B674" s="5">
        <v>669</v>
      </c>
      <c r="C674" s="5">
        <v>117</v>
      </c>
      <c r="D674" t="s">
        <v>713</v>
      </c>
      <c r="E674" s="3" t="str">
        <f t="array" ref="E674">IF(OR(EXACT(A674,'ESO Dungeon constants'!$D$3:$D$987)),"X","")</f>
        <v/>
      </c>
      <c r="F674" s="3" t="str">
        <f t="shared" si="40"/>
        <v/>
      </c>
      <c r="G674" s="3" t="str">
        <f t="shared" si="41"/>
        <v>Shadowfen</v>
      </c>
      <c r="H674" s="17">
        <f t="shared" si="42"/>
        <v>1072</v>
      </c>
      <c r="I674" s="17">
        <f t="shared" si="43"/>
        <v>117</v>
      </c>
      <c r="J674">
        <v>0</v>
      </c>
      <c r="K674" s="3" t="str">
        <f>VLOOKUP(J674,'LibSets constants'!$A$4:$B$1012,2,FALSE)</f>
        <v>DLC_BASE_GAME</v>
      </c>
      <c r="L674" s="3" t="str">
        <f>VLOOKUP(J674,'LibSets constants'!$A$4:$C$1012,3,FALSE)</f>
        <v>Included in base game</v>
      </c>
    </row>
    <row r="675" spans="1:12" x14ac:dyDescent="0.25">
      <c r="A675" s="5">
        <v>1073</v>
      </c>
      <c r="B675" s="5">
        <v>670</v>
      </c>
      <c r="C675" s="5">
        <v>726</v>
      </c>
      <c r="D675" t="s">
        <v>714</v>
      </c>
      <c r="E675" s="3" t="str">
        <f t="array" ref="E675">IF(OR(EXACT(A675,'ESO Dungeon constants'!$D$3:$D$987)),"X","")</f>
        <v/>
      </c>
      <c r="F675" s="3" t="str">
        <f t="shared" si="40"/>
        <v/>
      </c>
      <c r="G675" s="3" t="str">
        <f t="shared" si="41"/>
        <v>Murkmire</v>
      </c>
      <c r="H675" s="17">
        <f t="shared" si="42"/>
        <v>1073</v>
      </c>
      <c r="I675" s="17">
        <f t="shared" si="43"/>
        <v>726</v>
      </c>
      <c r="J675">
        <v>0</v>
      </c>
      <c r="K675" s="3" t="str">
        <f>VLOOKUP(J675,'LibSets constants'!$A$4:$B$1012,2,FALSE)</f>
        <v>DLC_BASE_GAME</v>
      </c>
      <c r="L675" s="3" t="str">
        <f>VLOOKUP(J675,'LibSets constants'!$A$4:$C$1012,3,FALSE)</f>
        <v>Included in base game</v>
      </c>
    </row>
    <row r="676" spans="1:12" x14ac:dyDescent="0.25">
      <c r="A676" s="5">
        <v>1074</v>
      </c>
      <c r="B676" s="5">
        <v>671</v>
      </c>
      <c r="C676" s="5">
        <v>41</v>
      </c>
      <c r="D676" t="s">
        <v>715</v>
      </c>
      <c r="E676" s="3" t="str">
        <f t="array" ref="E676">IF(OR(EXACT(A676,'ESO Dungeon constants'!$D$3:$D$987)),"X","")</f>
        <v/>
      </c>
      <c r="F676" s="3" t="str">
        <f t="shared" si="40"/>
        <v/>
      </c>
      <c r="G676" s="3" t="str">
        <f t="shared" si="41"/>
        <v>Stonefalls</v>
      </c>
      <c r="H676" s="17">
        <f t="shared" si="42"/>
        <v>1074</v>
      </c>
      <c r="I676" s="17">
        <f t="shared" si="43"/>
        <v>41</v>
      </c>
      <c r="J676">
        <v>0</v>
      </c>
      <c r="K676" s="3" t="str">
        <f>VLOOKUP(J676,'LibSets constants'!$A$4:$B$1012,2,FALSE)</f>
        <v>DLC_BASE_GAME</v>
      </c>
      <c r="L676" s="3" t="str">
        <f>VLOOKUP(J676,'LibSets constants'!$A$4:$C$1012,3,FALSE)</f>
        <v>Included in base game</v>
      </c>
    </row>
    <row r="677" spans="1:12" x14ac:dyDescent="0.25">
      <c r="A677" s="5">
        <v>1075</v>
      </c>
      <c r="B677" s="5">
        <v>672</v>
      </c>
      <c r="C677" s="5">
        <v>381</v>
      </c>
      <c r="D677" t="s">
        <v>715</v>
      </c>
      <c r="E677" s="3" t="str">
        <f t="array" ref="E677">IF(OR(EXACT(A677,'ESO Dungeon constants'!$D$3:$D$987)),"X","")</f>
        <v/>
      </c>
      <c r="F677" s="3" t="str">
        <f t="shared" si="40"/>
        <v/>
      </c>
      <c r="G677" s="3" t="str">
        <f t="shared" si="41"/>
        <v>Auridon</v>
      </c>
      <c r="H677" s="17">
        <f t="shared" si="42"/>
        <v>1075</v>
      </c>
      <c r="I677" s="17">
        <f t="shared" si="43"/>
        <v>381</v>
      </c>
      <c r="J677">
        <v>0</v>
      </c>
      <c r="K677" s="3" t="str">
        <f>VLOOKUP(J677,'LibSets constants'!$A$4:$B$1012,2,FALSE)</f>
        <v>DLC_BASE_GAME</v>
      </c>
      <c r="L677" s="3" t="str">
        <f>VLOOKUP(J677,'LibSets constants'!$A$4:$C$1012,3,FALSE)</f>
        <v>Included in base game</v>
      </c>
    </row>
    <row r="678" spans="1:12" x14ac:dyDescent="0.25">
      <c r="A678" s="5">
        <v>1076</v>
      </c>
      <c r="B678" s="5">
        <v>673</v>
      </c>
      <c r="C678" s="5">
        <v>3</v>
      </c>
      <c r="D678" t="s">
        <v>715</v>
      </c>
      <c r="E678" s="3" t="str">
        <f t="array" ref="E678">IF(OR(EXACT(A678,'ESO Dungeon constants'!$D$3:$D$987)),"X","")</f>
        <v/>
      </c>
      <c r="F678" s="3" t="str">
        <f t="shared" si="40"/>
        <v/>
      </c>
      <c r="G678" s="3" t="str">
        <f t="shared" si="41"/>
        <v>Glenumbra</v>
      </c>
      <c r="H678" s="17">
        <f t="shared" si="42"/>
        <v>1076</v>
      </c>
      <c r="I678" s="17">
        <f t="shared" si="43"/>
        <v>3</v>
      </c>
      <c r="J678">
        <v>0</v>
      </c>
      <c r="K678" s="3" t="str">
        <f>VLOOKUP(J678,'LibSets constants'!$A$4:$B$1012,2,FALSE)</f>
        <v>DLC_BASE_GAME</v>
      </c>
      <c r="L678" s="3" t="str">
        <f>VLOOKUP(J678,'LibSets constants'!$A$4:$C$1012,3,FALSE)</f>
        <v>Included in base game</v>
      </c>
    </row>
    <row r="679" spans="1:12" x14ac:dyDescent="0.25">
      <c r="A679" s="5">
        <v>1077</v>
      </c>
      <c r="B679" s="5">
        <v>674</v>
      </c>
      <c r="C679" s="5">
        <v>726</v>
      </c>
      <c r="D679" t="s">
        <v>716</v>
      </c>
      <c r="E679" s="3" t="str">
        <f t="array" ref="E679">IF(OR(EXACT(A679,'ESO Dungeon constants'!$D$3:$D$987)),"X","")</f>
        <v/>
      </c>
      <c r="F679" s="3" t="str">
        <f t="shared" si="40"/>
        <v/>
      </c>
      <c r="G679" s="3" t="str">
        <f t="shared" si="41"/>
        <v>Murkmire</v>
      </c>
      <c r="H679" s="17">
        <f t="shared" si="42"/>
        <v>1077</v>
      </c>
      <c r="I679" s="17">
        <f t="shared" si="43"/>
        <v>726</v>
      </c>
      <c r="J679">
        <v>0</v>
      </c>
      <c r="K679" s="3" t="str">
        <f>VLOOKUP(J679,'LibSets constants'!$A$4:$B$1012,2,FALSE)</f>
        <v>DLC_BASE_GAME</v>
      </c>
      <c r="L679" s="3" t="str">
        <f>VLOOKUP(J679,'LibSets constants'!$A$4:$C$1012,3,FALSE)</f>
        <v>Included in base game</v>
      </c>
    </row>
    <row r="680" spans="1:12" x14ac:dyDescent="0.25">
      <c r="A680" s="5">
        <v>1078</v>
      </c>
      <c r="B680" s="5">
        <v>675</v>
      </c>
      <c r="C680" s="5">
        <v>726</v>
      </c>
      <c r="D680" t="s">
        <v>717</v>
      </c>
      <c r="E680" s="3" t="str">
        <f t="array" ref="E680">IF(OR(EXACT(A680,'ESO Dungeon constants'!$D$3:$D$987)),"X","")</f>
        <v/>
      </c>
      <c r="F680" s="3" t="str">
        <f t="shared" si="40"/>
        <v/>
      </c>
      <c r="G680" s="3" t="str">
        <f t="shared" si="41"/>
        <v>Murkmire</v>
      </c>
      <c r="H680" s="17">
        <f t="shared" si="42"/>
        <v>1078</v>
      </c>
      <c r="I680" s="17">
        <f t="shared" si="43"/>
        <v>726</v>
      </c>
      <c r="J680">
        <v>0</v>
      </c>
      <c r="K680" s="3" t="str">
        <f>VLOOKUP(J680,'LibSets constants'!$A$4:$B$1012,2,FALSE)</f>
        <v>DLC_BASE_GAME</v>
      </c>
      <c r="L680" s="3" t="str">
        <f>VLOOKUP(J680,'LibSets constants'!$A$4:$C$1012,3,FALSE)</f>
        <v>Included in base game</v>
      </c>
    </row>
    <row r="681" spans="1:12" x14ac:dyDescent="0.25">
      <c r="A681" s="5">
        <v>1079</v>
      </c>
      <c r="B681" s="5">
        <v>676</v>
      </c>
      <c r="C681" s="5">
        <v>726</v>
      </c>
      <c r="D681" t="s">
        <v>718</v>
      </c>
      <c r="E681" s="3" t="str">
        <f t="array" ref="E681">IF(OR(EXACT(A681,'ESO Dungeon constants'!$D$3:$D$987)),"X","")</f>
        <v/>
      </c>
      <c r="F681" s="3" t="str">
        <f t="shared" si="40"/>
        <v/>
      </c>
      <c r="G681" s="3" t="str">
        <f t="shared" si="41"/>
        <v>Murkmire</v>
      </c>
      <c r="H681" s="17">
        <f t="shared" si="42"/>
        <v>1079</v>
      </c>
      <c r="I681" s="17">
        <f t="shared" si="43"/>
        <v>726</v>
      </c>
      <c r="J681">
        <v>0</v>
      </c>
      <c r="K681" s="3" t="str">
        <f>VLOOKUP(J681,'LibSets constants'!$A$4:$B$1012,2,FALSE)</f>
        <v>DLC_BASE_GAME</v>
      </c>
      <c r="L681" s="3" t="str">
        <f>VLOOKUP(J681,'LibSets constants'!$A$4:$C$1012,3,FALSE)</f>
        <v>Included in base game</v>
      </c>
    </row>
    <row r="682" spans="1:12" x14ac:dyDescent="0.25">
      <c r="A682" s="5">
        <v>1080</v>
      </c>
      <c r="B682" s="5">
        <v>677</v>
      </c>
      <c r="C682" s="5">
        <v>101</v>
      </c>
      <c r="D682" t="s">
        <v>64</v>
      </c>
      <c r="E682" s="3" t="str">
        <f t="array" ref="E682">IF(OR(EXACT(A682,'ESO Dungeon constants'!$D$3:$D$987)),"X","")</f>
        <v>X</v>
      </c>
      <c r="F682" s="3" t="str">
        <f t="shared" si="40"/>
        <v/>
      </c>
      <c r="G682" s="3" t="str">
        <f t="shared" si="41"/>
        <v>Eastmarch</v>
      </c>
      <c r="H682" s="17">
        <f t="shared" si="42"/>
        <v>1080</v>
      </c>
      <c r="I682" s="17">
        <f t="shared" si="43"/>
        <v>101</v>
      </c>
      <c r="J682">
        <v>0</v>
      </c>
      <c r="K682" s="3" t="str">
        <f>VLOOKUP(J682,'LibSets constants'!$A$4:$B$1012,2,FALSE)</f>
        <v>DLC_BASE_GAME</v>
      </c>
      <c r="L682" s="3" t="str">
        <f>VLOOKUP(J682,'LibSets constants'!$A$4:$C$1012,3,FALSE)</f>
        <v>Included in base game</v>
      </c>
    </row>
    <row r="683" spans="1:12" x14ac:dyDescent="0.25">
      <c r="A683" s="5">
        <v>1081</v>
      </c>
      <c r="B683" s="5">
        <v>678</v>
      </c>
      <c r="C683" s="5">
        <v>823</v>
      </c>
      <c r="D683" t="s">
        <v>67</v>
      </c>
      <c r="E683" s="3" t="str">
        <f t="array" ref="E683">IF(OR(EXACT(A683,'ESO Dungeon constants'!$D$3:$D$987)),"X","")</f>
        <v>X</v>
      </c>
      <c r="F683" s="3" t="str">
        <f t="shared" si="40"/>
        <v/>
      </c>
      <c r="G683" s="3" t="str">
        <f t="shared" si="41"/>
        <v>Gold Coast</v>
      </c>
      <c r="H683" s="17">
        <f t="shared" si="42"/>
        <v>1081</v>
      </c>
      <c r="I683" s="17">
        <f t="shared" si="43"/>
        <v>823</v>
      </c>
      <c r="J683">
        <v>0</v>
      </c>
      <c r="K683" s="3" t="str">
        <f>VLOOKUP(J683,'LibSets constants'!$A$4:$B$1012,2,FALSE)</f>
        <v>DLC_BASE_GAME</v>
      </c>
      <c r="L683" s="3" t="str">
        <f>VLOOKUP(J683,'LibSets constants'!$A$4:$C$1012,3,FALSE)</f>
        <v>Included in base game</v>
      </c>
    </row>
    <row r="684" spans="1:12" x14ac:dyDescent="0.25">
      <c r="A684" s="5">
        <v>1082</v>
      </c>
      <c r="B684" s="5">
        <v>679</v>
      </c>
      <c r="C684" s="5">
        <v>726</v>
      </c>
      <c r="D684" t="s">
        <v>719</v>
      </c>
      <c r="E684" s="3" t="str">
        <f t="array" ref="E684">IF(OR(EXACT(A684,'ESO Dungeon constants'!$D$3:$D$987)),"X","")</f>
        <v/>
      </c>
      <c r="F684" s="3" t="str">
        <f t="shared" si="40"/>
        <v/>
      </c>
      <c r="G684" s="3" t="str">
        <f t="shared" si="41"/>
        <v>Murkmire</v>
      </c>
      <c r="H684" s="17">
        <f t="shared" si="42"/>
        <v>1082</v>
      </c>
      <c r="I684" s="17">
        <f t="shared" si="43"/>
        <v>726</v>
      </c>
      <c r="J684">
        <v>22</v>
      </c>
      <c r="K684" s="3" t="str">
        <f>VLOOKUP(J684,'LibSets constants'!$A$4:$B$1012,2,FALSE)</f>
        <v>DLC_BLACKWOOD</v>
      </c>
      <c r="L684" s="3" t="str">
        <f>VLOOKUP(J684,'LibSets constants'!$A$4:$C$1012,3,FALSE)</f>
        <v>Blackwood</v>
      </c>
    </row>
    <row r="685" spans="1:12" x14ac:dyDescent="0.25">
      <c r="A685" s="5">
        <v>1083</v>
      </c>
      <c r="B685" s="5">
        <v>680</v>
      </c>
      <c r="C685" s="5">
        <v>726</v>
      </c>
      <c r="D685" t="s">
        <v>720</v>
      </c>
      <c r="E685" s="3" t="str">
        <f t="array" ref="E685">IF(OR(EXACT(A685,'ESO Dungeon constants'!$D$3:$D$987)),"X","")</f>
        <v/>
      </c>
      <c r="F685" s="3" t="str">
        <f t="shared" si="40"/>
        <v/>
      </c>
      <c r="G685" s="3" t="str">
        <f t="shared" si="41"/>
        <v>Murkmire</v>
      </c>
      <c r="H685" s="17">
        <f t="shared" si="42"/>
        <v>1083</v>
      </c>
      <c r="I685" s="17">
        <f t="shared" si="43"/>
        <v>726</v>
      </c>
      <c r="J685">
        <v>0</v>
      </c>
      <c r="K685" s="3" t="str">
        <f>VLOOKUP(J685,'LibSets constants'!$A$4:$B$1012,2,FALSE)</f>
        <v>DLC_BASE_GAME</v>
      </c>
      <c r="L685" s="3" t="str">
        <f>VLOOKUP(J685,'LibSets constants'!$A$4:$C$1012,3,FALSE)</f>
        <v>Included in base game</v>
      </c>
    </row>
    <row r="686" spans="1:12" x14ac:dyDescent="0.25">
      <c r="A686" s="5">
        <v>1085</v>
      </c>
      <c r="B686" s="5">
        <v>681</v>
      </c>
      <c r="C686" s="5">
        <v>1086</v>
      </c>
      <c r="D686" t="s">
        <v>722</v>
      </c>
      <c r="E686" s="3" t="str">
        <f t="array" ref="E686">IF(OR(EXACT(A686,'ESO Dungeon constants'!$D$3:$D$987)),"X","")</f>
        <v/>
      </c>
      <c r="F686" s="3" t="str">
        <f t="shared" si="40"/>
        <v/>
      </c>
      <c r="G686" s="3" t="str">
        <f t="shared" si="41"/>
        <v>Northern Elsweyr</v>
      </c>
      <c r="H686" s="17">
        <f t="shared" si="42"/>
        <v>1085</v>
      </c>
      <c r="I686" s="17">
        <f t="shared" si="43"/>
        <v>1086</v>
      </c>
      <c r="J686">
        <v>0</v>
      </c>
      <c r="K686" s="3" t="str">
        <f>VLOOKUP(J686,'LibSets constants'!$A$4:$B$1012,2,FALSE)</f>
        <v>DLC_BASE_GAME</v>
      </c>
      <c r="L686" s="3" t="str">
        <f>VLOOKUP(J686,'LibSets constants'!$A$4:$C$1012,3,FALSE)</f>
        <v>Included in base game</v>
      </c>
    </row>
    <row r="687" spans="1:12" x14ac:dyDescent="0.25">
      <c r="A687" s="5">
        <v>1086</v>
      </c>
      <c r="B687" s="5">
        <v>682</v>
      </c>
      <c r="C687" s="5">
        <v>1086</v>
      </c>
      <c r="D687" t="s">
        <v>1386</v>
      </c>
      <c r="E687" s="3" t="str">
        <f t="array" ref="E687">IF(OR(EXACT(A687,'ESO Dungeon constants'!$D$3:$D$987)),"X","")</f>
        <v/>
      </c>
      <c r="F687" s="3" t="str">
        <f t="shared" si="40"/>
        <v>X</v>
      </c>
      <c r="G687" s="3" t="str">
        <f t="shared" si="41"/>
        <v/>
      </c>
      <c r="H687" s="17">
        <f t="shared" si="42"/>
        <v>1086</v>
      </c>
      <c r="I687" s="17">
        <f t="shared" si="43"/>
        <v>1086</v>
      </c>
      <c r="J687">
        <v>0</v>
      </c>
      <c r="K687" s="3" t="str">
        <f>VLOOKUP(J687,'LibSets constants'!$A$4:$B$1012,2,FALSE)</f>
        <v>DLC_BASE_GAME</v>
      </c>
      <c r="L687" s="3" t="str">
        <f>VLOOKUP(J687,'LibSets constants'!$A$4:$C$1012,3,FALSE)</f>
        <v>Included in base game</v>
      </c>
    </row>
    <row r="688" spans="1:12" x14ac:dyDescent="0.25">
      <c r="A688" s="5">
        <v>1088</v>
      </c>
      <c r="B688" s="5">
        <v>683</v>
      </c>
      <c r="C688" s="5">
        <v>1086</v>
      </c>
      <c r="D688" t="s">
        <v>1414</v>
      </c>
      <c r="E688" s="3" t="str">
        <f t="array" ref="E688">IF(OR(EXACT(A688,'ESO Dungeon constants'!$D$3:$D$987)),"X","")</f>
        <v/>
      </c>
      <c r="F688" s="3" t="str">
        <f t="shared" si="40"/>
        <v/>
      </c>
      <c r="G688" s="3" t="str">
        <f t="shared" si="41"/>
        <v>Northern Elsweyr</v>
      </c>
      <c r="H688" s="17">
        <f t="shared" si="42"/>
        <v>1088</v>
      </c>
      <c r="I688" s="17">
        <f t="shared" si="43"/>
        <v>1086</v>
      </c>
      <c r="J688">
        <v>4</v>
      </c>
      <c r="K688" s="3" t="str">
        <f>VLOOKUP(J688,'LibSets constants'!$A$4:$B$1012,2,FALSE)</f>
        <v>DLC_DARK_BROTHERHOOD</v>
      </c>
      <c r="L688" s="3" t="str">
        <f>VLOOKUP(J688,'LibSets constants'!$A$4:$C$1012,3,FALSE)</f>
        <v>Dark Brotherhood</v>
      </c>
    </row>
    <row r="689" spans="1:12" x14ac:dyDescent="0.25">
      <c r="A689" s="5">
        <v>1089</v>
      </c>
      <c r="B689" s="5">
        <v>684</v>
      </c>
      <c r="C689" s="5">
        <v>1086</v>
      </c>
      <c r="D689" t="s">
        <v>1387</v>
      </c>
      <c r="E689" s="3" t="str">
        <f t="array" ref="E689">IF(OR(EXACT(A689,'ESO Dungeon constants'!$D$3:$D$987)),"X","")</f>
        <v/>
      </c>
      <c r="F689" s="3" t="str">
        <f t="shared" si="40"/>
        <v/>
      </c>
      <c r="G689" s="3" t="str">
        <f t="shared" si="41"/>
        <v>Northern Elsweyr</v>
      </c>
      <c r="H689" s="17">
        <f t="shared" si="42"/>
        <v>1089</v>
      </c>
      <c r="I689" s="17">
        <f t="shared" si="43"/>
        <v>1086</v>
      </c>
      <c r="J689">
        <v>0</v>
      </c>
      <c r="K689" s="3" t="str">
        <f>VLOOKUP(J689,'LibSets constants'!$A$4:$B$1012,2,FALSE)</f>
        <v>DLC_BASE_GAME</v>
      </c>
      <c r="L689" s="3" t="str">
        <f>VLOOKUP(J689,'LibSets constants'!$A$4:$C$1012,3,FALSE)</f>
        <v>Included in base game</v>
      </c>
    </row>
    <row r="690" spans="1:12" x14ac:dyDescent="0.25">
      <c r="A690" s="5">
        <v>1090</v>
      </c>
      <c r="B690" s="5">
        <v>685</v>
      </c>
      <c r="C690" s="5">
        <v>1086</v>
      </c>
      <c r="D690" t="s">
        <v>1388</v>
      </c>
      <c r="E690" s="3" t="str">
        <f t="array" ref="E690">IF(OR(EXACT(A690,'ESO Dungeon constants'!$D$3:$D$987)),"X","")</f>
        <v/>
      </c>
      <c r="F690" s="3" t="str">
        <f t="shared" si="40"/>
        <v/>
      </c>
      <c r="G690" s="3" t="str">
        <f t="shared" si="41"/>
        <v>Northern Elsweyr</v>
      </c>
      <c r="H690" s="17">
        <f t="shared" si="42"/>
        <v>1090</v>
      </c>
      <c r="I690" s="17">
        <f t="shared" si="43"/>
        <v>1086</v>
      </c>
      <c r="J690">
        <v>0</v>
      </c>
      <c r="K690" s="3" t="str">
        <f>VLOOKUP(J690,'LibSets constants'!$A$4:$B$1012,2,FALSE)</f>
        <v>DLC_BASE_GAME</v>
      </c>
      <c r="L690" s="3" t="str">
        <f>VLOOKUP(J690,'LibSets constants'!$A$4:$C$1012,3,FALSE)</f>
        <v>Included in base game</v>
      </c>
    </row>
    <row r="691" spans="1:12" x14ac:dyDescent="0.25">
      <c r="A691" s="5">
        <v>1091</v>
      </c>
      <c r="B691" s="5">
        <v>686</v>
      </c>
      <c r="C691" s="5">
        <v>1086</v>
      </c>
      <c r="D691" t="s">
        <v>1389</v>
      </c>
      <c r="E691" s="3" t="str">
        <f t="array" ref="E691">IF(OR(EXACT(A691,'ESO Dungeon constants'!$D$3:$D$987)),"X","")</f>
        <v/>
      </c>
      <c r="F691" s="3" t="str">
        <f t="shared" si="40"/>
        <v/>
      </c>
      <c r="G691" s="3" t="str">
        <f t="shared" si="41"/>
        <v>Northern Elsweyr</v>
      </c>
      <c r="H691" s="17">
        <f t="shared" si="42"/>
        <v>1091</v>
      </c>
      <c r="I691" s="17">
        <f t="shared" si="43"/>
        <v>1086</v>
      </c>
      <c r="J691">
        <v>0</v>
      </c>
      <c r="K691" s="3" t="str">
        <f>VLOOKUP(J691,'LibSets constants'!$A$4:$B$1012,2,FALSE)</f>
        <v>DLC_BASE_GAME</v>
      </c>
      <c r="L691" s="3" t="str">
        <f>VLOOKUP(J691,'LibSets constants'!$A$4:$C$1012,3,FALSE)</f>
        <v>Included in base game</v>
      </c>
    </row>
    <row r="692" spans="1:12" x14ac:dyDescent="0.25">
      <c r="A692" s="5">
        <v>1092</v>
      </c>
      <c r="B692" s="5">
        <v>687</v>
      </c>
      <c r="C692" s="5">
        <v>1086</v>
      </c>
      <c r="D692" t="s">
        <v>1390</v>
      </c>
      <c r="E692" s="3" t="str">
        <f t="array" ref="E692">IF(OR(EXACT(A692,'ESO Dungeon constants'!$D$3:$D$987)),"X","")</f>
        <v/>
      </c>
      <c r="F692" s="3" t="str">
        <f t="shared" si="40"/>
        <v/>
      </c>
      <c r="G692" s="3" t="str">
        <f t="shared" si="41"/>
        <v>Northern Elsweyr</v>
      </c>
      <c r="H692" s="17">
        <f t="shared" si="42"/>
        <v>1092</v>
      </c>
      <c r="I692" s="17">
        <f t="shared" si="43"/>
        <v>1086</v>
      </c>
      <c r="J692">
        <v>0</v>
      </c>
      <c r="K692" s="3" t="str">
        <f>VLOOKUP(J692,'LibSets constants'!$A$4:$B$1012,2,FALSE)</f>
        <v>DLC_BASE_GAME</v>
      </c>
      <c r="L692" s="3" t="str">
        <f>VLOOKUP(J692,'LibSets constants'!$A$4:$C$1012,3,FALSE)</f>
        <v>Included in base game</v>
      </c>
    </row>
    <row r="693" spans="1:12" x14ac:dyDescent="0.25">
      <c r="A693" s="5">
        <v>1094</v>
      </c>
      <c r="B693" s="5">
        <v>688</v>
      </c>
      <c r="C693" s="5">
        <v>1086</v>
      </c>
      <c r="D693" t="s">
        <v>1391</v>
      </c>
      <c r="E693" s="3" t="str">
        <f t="array" ref="E693">IF(OR(EXACT(A693,'ESO Dungeon constants'!$D$3:$D$987)),"X","")</f>
        <v/>
      </c>
      <c r="F693" s="3" t="str">
        <f t="shared" si="40"/>
        <v/>
      </c>
      <c r="G693" s="3" t="str">
        <f t="shared" si="41"/>
        <v>Northern Elsweyr</v>
      </c>
      <c r="H693" s="17">
        <f t="shared" si="42"/>
        <v>1094</v>
      </c>
      <c r="I693" s="17">
        <f t="shared" si="43"/>
        <v>1086</v>
      </c>
      <c r="J693">
        <v>0</v>
      </c>
      <c r="K693" s="3" t="str">
        <f>VLOOKUP(J693,'LibSets constants'!$A$4:$B$1012,2,FALSE)</f>
        <v>DLC_BASE_GAME</v>
      </c>
      <c r="L693" s="3" t="str">
        <f>VLOOKUP(J693,'LibSets constants'!$A$4:$C$1012,3,FALSE)</f>
        <v>Included in base game</v>
      </c>
    </row>
    <row r="694" spans="1:12" x14ac:dyDescent="0.25">
      <c r="A694" s="5">
        <v>1095</v>
      </c>
      <c r="B694" s="5">
        <v>689</v>
      </c>
      <c r="C694" s="5">
        <v>1086</v>
      </c>
      <c r="D694" t="s">
        <v>1392</v>
      </c>
      <c r="E694" s="3" t="str">
        <f t="array" ref="E694">IF(OR(EXACT(A694,'ESO Dungeon constants'!$D$3:$D$987)),"X","")</f>
        <v/>
      </c>
      <c r="F694" s="3" t="str">
        <f t="shared" si="40"/>
        <v/>
      </c>
      <c r="G694" s="3" t="str">
        <f t="shared" si="41"/>
        <v>Northern Elsweyr</v>
      </c>
      <c r="H694" s="17">
        <f t="shared" si="42"/>
        <v>1095</v>
      </c>
      <c r="I694" s="17">
        <f t="shared" si="43"/>
        <v>1086</v>
      </c>
      <c r="J694">
        <v>0</v>
      </c>
      <c r="K694" s="3" t="str">
        <f>VLOOKUP(J694,'LibSets constants'!$A$4:$B$1012,2,FALSE)</f>
        <v>DLC_BASE_GAME</v>
      </c>
      <c r="L694" s="3" t="str">
        <f>VLOOKUP(J694,'LibSets constants'!$A$4:$C$1012,3,FALSE)</f>
        <v>Included in base game</v>
      </c>
    </row>
    <row r="695" spans="1:12" x14ac:dyDescent="0.25">
      <c r="A695" s="5">
        <v>1096</v>
      </c>
      <c r="B695" s="5">
        <v>690</v>
      </c>
      <c r="C695" s="5">
        <v>1086</v>
      </c>
      <c r="D695" t="s">
        <v>1393</v>
      </c>
      <c r="E695" s="3" t="str">
        <f t="array" ref="E695">IF(OR(EXACT(A695,'ESO Dungeon constants'!$D$3:$D$987)),"X","")</f>
        <v/>
      </c>
      <c r="F695" s="3" t="str">
        <f t="shared" si="40"/>
        <v/>
      </c>
      <c r="G695" s="3" t="str">
        <f t="shared" si="41"/>
        <v>Northern Elsweyr</v>
      </c>
      <c r="H695" s="17">
        <f t="shared" si="42"/>
        <v>1096</v>
      </c>
      <c r="I695" s="17">
        <f t="shared" si="43"/>
        <v>1086</v>
      </c>
      <c r="J695">
        <v>0</v>
      </c>
      <c r="K695" s="3" t="str">
        <f>VLOOKUP(J695,'LibSets constants'!$A$4:$B$1012,2,FALSE)</f>
        <v>DLC_BASE_GAME</v>
      </c>
      <c r="L695" s="3" t="str">
        <f>VLOOKUP(J695,'LibSets constants'!$A$4:$C$1012,3,FALSE)</f>
        <v>Included in base game</v>
      </c>
    </row>
    <row r="696" spans="1:12" x14ac:dyDescent="0.25">
      <c r="A696" s="5">
        <v>1097</v>
      </c>
      <c r="B696" s="5">
        <v>691</v>
      </c>
      <c r="C696" s="5">
        <v>1086</v>
      </c>
      <c r="D696" t="s">
        <v>1394</v>
      </c>
      <c r="E696" s="3" t="str">
        <f t="array" ref="E696">IF(OR(EXACT(A696,'ESO Dungeon constants'!$D$3:$D$987)),"X","")</f>
        <v/>
      </c>
      <c r="F696" s="3" t="str">
        <f t="shared" si="40"/>
        <v/>
      </c>
      <c r="G696" s="3" t="str">
        <f t="shared" si="41"/>
        <v>Northern Elsweyr</v>
      </c>
      <c r="H696" s="17">
        <f t="shared" si="42"/>
        <v>1097</v>
      </c>
      <c r="I696" s="17">
        <f t="shared" si="43"/>
        <v>1086</v>
      </c>
      <c r="J696">
        <v>0</v>
      </c>
      <c r="K696" s="3" t="str">
        <f>VLOOKUP(J696,'LibSets constants'!$A$4:$B$1012,2,FALSE)</f>
        <v>DLC_BASE_GAME</v>
      </c>
      <c r="L696" s="3" t="str">
        <f>VLOOKUP(J696,'LibSets constants'!$A$4:$C$1012,3,FALSE)</f>
        <v>Included in base game</v>
      </c>
    </row>
    <row r="697" spans="1:12" x14ac:dyDescent="0.25">
      <c r="A697" s="5">
        <v>1098</v>
      </c>
      <c r="B697" s="5">
        <v>692</v>
      </c>
      <c r="C697" s="5">
        <v>1086</v>
      </c>
      <c r="D697" t="s">
        <v>1395</v>
      </c>
      <c r="E697" s="3" t="str">
        <f t="array" ref="E697">IF(OR(EXACT(A697,'ESO Dungeon constants'!$D$3:$D$987)),"X","")</f>
        <v/>
      </c>
      <c r="F697" s="3" t="str">
        <f t="shared" si="40"/>
        <v/>
      </c>
      <c r="G697" s="3" t="str">
        <f t="shared" si="41"/>
        <v>Northern Elsweyr</v>
      </c>
      <c r="H697" s="17">
        <f t="shared" si="42"/>
        <v>1098</v>
      </c>
      <c r="I697" s="17">
        <f t="shared" si="43"/>
        <v>1086</v>
      </c>
      <c r="J697">
        <v>0</v>
      </c>
      <c r="K697" s="3" t="str">
        <f>VLOOKUP(J697,'LibSets constants'!$A$4:$B$1012,2,FALSE)</f>
        <v>DLC_BASE_GAME</v>
      </c>
      <c r="L697" s="3" t="str">
        <f>VLOOKUP(J697,'LibSets constants'!$A$4:$C$1012,3,FALSE)</f>
        <v>Included in base game</v>
      </c>
    </row>
    <row r="698" spans="1:12" x14ac:dyDescent="0.25">
      <c r="A698" s="5">
        <v>1099</v>
      </c>
      <c r="B698" s="5">
        <v>693</v>
      </c>
      <c r="C698" s="5">
        <v>1086</v>
      </c>
      <c r="D698" t="s">
        <v>1396</v>
      </c>
      <c r="E698" s="3" t="str">
        <f t="array" ref="E698">IF(OR(EXACT(A698,'ESO Dungeon constants'!$D$3:$D$987)),"X","")</f>
        <v/>
      </c>
      <c r="F698" s="3" t="str">
        <f t="shared" si="40"/>
        <v/>
      </c>
      <c r="G698" s="3" t="str">
        <f t="shared" si="41"/>
        <v>Northern Elsweyr</v>
      </c>
      <c r="H698" s="17">
        <f t="shared" si="42"/>
        <v>1099</v>
      </c>
      <c r="I698" s="17">
        <f t="shared" si="43"/>
        <v>1086</v>
      </c>
      <c r="J698">
        <v>0</v>
      </c>
      <c r="K698" s="3" t="str">
        <f>VLOOKUP(J698,'LibSets constants'!$A$4:$B$1012,2,FALSE)</f>
        <v>DLC_BASE_GAME</v>
      </c>
      <c r="L698" s="3" t="str">
        <f>VLOOKUP(J698,'LibSets constants'!$A$4:$C$1012,3,FALSE)</f>
        <v>Included in base game</v>
      </c>
    </row>
    <row r="699" spans="1:12" x14ac:dyDescent="0.25">
      <c r="A699" s="5">
        <v>1101</v>
      </c>
      <c r="B699" s="5">
        <v>694</v>
      </c>
      <c r="C699" s="5">
        <v>1086</v>
      </c>
      <c r="D699" t="s">
        <v>1397</v>
      </c>
      <c r="E699" s="3" t="str">
        <f t="array" ref="E699">IF(OR(EXACT(A699,'ESO Dungeon constants'!$D$3:$D$987)),"X","")</f>
        <v/>
      </c>
      <c r="F699" s="3" t="str">
        <f t="shared" si="40"/>
        <v/>
      </c>
      <c r="G699" s="3" t="str">
        <f t="shared" si="41"/>
        <v>Northern Elsweyr</v>
      </c>
      <c r="H699" s="17">
        <f t="shared" si="42"/>
        <v>1101</v>
      </c>
      <c r="I699" s="17">
        <f t="shared" si="43"/>
        <v>1086</v>
      </c>
      <c r="J699">
        <v>0</v>
      </c>
      <c r="K699" s="3" t="str">
        <f>VLOOKUP(J699,'LibSets constants'!$A$4:$B$1012,2,FALSE)</f>
        <v>DLC_BASE_GAME</v>
      </c>
      <c r="L699" s="3" t="str">
        <f>VLOOKUP(J699,'LibSets constants'!$A$4:$C$1012,3,FALSE)</f>
        <v>Included in base game</v>
      </c>
    </row>
    <row r="700" spans="1:12" x14ac:dyDescent="0.25">
      <c r="A700" s="5">
        <v>1102</v>
      </c>
      <c r="B700" s="5">
        <v>695</v>
      </c>
      <c r="C700" s="5">
        <v>1086</v>
      </c>
      <c r="D700" t="s">
        <v>1398</v>
      </c>
      <c r="E700" s="3" t="str">
        <f t="array" ref="E700">IF(OR(EXACT(A700,'ESO Dungeon constants'!$D$3:$D$987)),"X","")</f>
        <v/>
      </c>
      <c r="F700" s="3" t="str">
        <f t="shared" si="40"/>
        <v/>
      </c>
      <c r="G700" s="3" t="str">
        <f t="shared" si="41"/>
        <v>Northern Elsweyr</v>
      </c>
      <c r="H700" s="17">
        <f t="shared" si="42"/>
        <v>1102</v>
      </c>
      <c r="I700" s="17">
        <f t="shared" si="43"/>
        <v>1086</v>
      </c>
      <c r="J700">
        <v>0</v>
      </c>
      <c r="K700" s="3" t="str">
        <f>VLOOKUP(J700,'LibSets constants'!$A$4:$B$1012,2,FALSE)</f>
        <v>DLC_BASE_GAME</v>
      </c>
      <c r="L700" s="3" t="str">
        <f>VLOOKUP(J700,'LibSets constants'!$A$4:$C$1012,3,FALSE)</f>
        <v>Included in base game</v>
      </c>
    </row>
    <row r="701" spans="1:12" x14ac:dyDescent="0.25">
      <c r="A701" s="5">
        <v>1103</v>
      </c>
      <c r="B701" s="5">
        <v>696</v>
      </c>
      <c r="C701" s="5">
        <v>1086</v>
      </c>
      <c r="D701" t="s">
        <v>1399</v>
      </c>
      <c r="E701" s="3" t="str">
        <f t="array" ref="E701">IF(OR(EXACT(A701,'ESO Dungeon constants'!$D$3:$D$987)),"X","")</f>
        <v/>
      </c>
      <c r="F701" s="3" t="str">
        <f t="shared" si="40"/>
        <v/>
      </c>
      <c r="G701" s="3" t="str">
        <f t="shared" si="41"/>
        <v>Northern Elsweyr</v>
      </c>
      <c r="H701" s="17">
        <f t="shared" si="42"/>
        <v>1103</v>
      </c>
      <c r="I701" s="17">
        <f t="shared" si="43"/>
        <v>1086</v>
      </c>
      <c r="J701">
        <v>0</v>
      </c>
      <c r="K701" s="3" t="str">
        <f>VLOOKUP(J701,'LibSets constants'!$A$4:$B$1012,2,FALSE)</f>
        <v>DLC_BASE_GAME</v>
      </c>
      <c r="L701" s="3" t="str">
        <f>VLOOKUP(J701,'LibSets constants'!$A$4:$C$1012,3,FALSE)</f>
        <v>Included in base game</v>
      </c>
    </row>
    <row r="702" spans="1:12" x14ac:dyDescent="0.25">
      <c r="A702" s="5">
        <v>1105</v>
      </c>
      <c r="B702" s="5">
        <v>697</v>
      </c>
      <c r="C702" s="5">
        <v>1086</v>
      </c>
      <c r="D702" t="s">
        <v>1400</v>
      </c>
      <c r="E702" s="3" t="str">
        <f t="array" ref="E702">IF(OR(EXACT(A702,'ESO Dungeon constants'!$D$3:$D$987)),"X","")</f>
        <v/>
      </c>
      <c r="F702" s="3" t="str">
        <f t="shared" si="40"/>
        <v/>
      </c>
      <c r="G702" s="3" t="str">
        <f t="shared" si="41"/>
        <v>Northern Elsweyr</v>
      </c>
      <c r="H702" s="17">
        <f t="shared" si="42"/>
        <v>1105</v>
      </c>
      <c r="I702" s="17">
        <f t="shared" si="43"/>
        <v>1086</v>
      </c>
      <c r="J702">
        <v>0</v>
      </c>
      <c r="K702" s="3" t="str">
        <f>VLOOKUP(J702,'LibSets constants'!$A$4:$B$1012,2,FALSE)</f>
        <v>DLC_BASE_GAME</v>
      </c>
      <c r="L702" s="3" t="str">
        <f>VLOOKUP(J702,'LibSets constants'!$A$4:$C$1012,3,FALSE)</f>
        <v>Included in base game</v>
      </c>
    </row>
    <row r="703" spans="1:12" x14ac:dyDescent="0.25">
      <c r="A703" s="5">
        <v>1106</v>
      </c>
      <c r="B703" s="5">
        <v>698</v>
      </c>
      <c r="C703" s="5">
        <v>1086</v>
      </c>
      <c r="D703" t="s">
        <v>1401</v>
      </c>
      <c r="E703" s="3" t="str">
        <f t="array" ref="E703">IF(OR(EXACT(A703,'ESO Dungeon constants'!$D$3:$D$987)),"X","")</f>
        <v/>
      </c>
      <c r="F703" s="3" t="str">
        <f t="shared" si="40"/>
        <v/>
      </c>
      <c r="G703" s="3" t="str">
        <f t="shared" si="41"/>
        <v>Northern Elsweyr</v>
      </c>
      <c r="H703" s="17">
        <f t="shared" si="42"/>
        <v>1106</v>
      </c>
      <c r="I703" s="17">
        <f t="shared" si="43"/>
        <v>1086</v>
      </c>
      <c r="J703">
        <v>0</v>
      </c>
      <c r="K703" s="3" t="str">
        <f>VLOOKUP(J703,'LibSets constants'!$A$4:$B$1012,2,FALSE)</f>
        <v>DLC_BASE_GAME</v>
      </c>
      <c r="L703" s="3" t="str">
        <f>VLOOKUP(J703,'LibSets constants'!$A$4:$C$1012,3,FALSE)</f>
        <v>Included in base game</v>
      </c>
    </row>
    <row r="704" spans="1:12" x14ac:dyDescent="0.25">
      <c r="A704" s="5">
        <v>1107</v>
      </c>
      <c r="B704" s="5">
        <v>699</v>
      </c>
      <c r="C704" s="5">
        <v>1107</v>
      </c>
      <c r="D704" t="s">
        <v>724</v>
      </c>
      <c r="E704" s="3" t="str">
        <f t="array" ref="E704">IF(OR(EXACT(A704,'ESO Dungeon constants'!$D$3:$D$987)),"X","")</f>
        <v/>
      </c>
      <c r="F704" s="3" t="str">
        <f t="shared" si="40"/>
        <v>X</v>
      </c>
      <c r="G704" s="3" t="str">
        <f t="shared" si="41"/>
        <v/>
      </c>
      <c r="H704" s="17">
        <f t="shared" si="42"/>
        <v>1107</v>
      </c>
      <c r="I704" s="17">
        <f t="shared" si="43"/>
        <v>1107</v>
      </c>
      <c r="J704">
        <v>0</v>
      </c>
      <c r="K704" s="3" t="str">
        <f>VLOOKUP(J704,'LibSets constants'!$A$4:$B$1012,2,FALSE)</f>
        <v>DLC_BASE_GAME</v>
      </c>
      <c r="L704" s="3" t="str">
        <f>VLOOKUP(J704,'LibSets constants'!$A$4:$C$1012,3,FALSE)</f>
        <v>Included in base game</v>
      </c>
    </row>
    <row r="705" spans="1:12" x14ac:dyDescent="0.25">
      <c r="A705" s="5">
        <v>1108</v>
      </c>
      <c r="B705" s="5">
        <v>700</v>
      </c>
      <c r="C705" s="5">
        <v>726</v>
      </c>
      <c r="D705" t="s">
        <v>723</v>
      </c>
      <c r="E705" s="3" t="str">
        <f t="array" ref="E705">IF(OR(EXACT(A705,'ESO Dungeon constants'!$D$3:$D$987)),"X","")</f>
        <v/>
      </c>
      <c r="F705" s="3" t="str">
        <f t="shared" si="40"/>
        <v/>
      </c>
      <c r="G705" s="3" t="str">
        <f t="shared" si="41"/>
        <v>Murkmire</v>
      </c>
      <c r="H705" s="17">
        <f t="shared" si="42"/>
        <v>1108</v>
      </c>
      <c r="I705" s="17">
        <f t="shared" si="43"/>
        <v>726</v>
      </c>
      <c r="J705">
        <v>0</v>
      </c>
      <c r="K705" s="3" t="str">
        <f>VLOOKUP(J705,'LibSets constants'!$A$4:$B$1012,2,FALSE)</f>
        <v>DLC_BASE_GAME</v>
      </c>
      <c r="L705" s="3" t="str">
        <f>VLOOKUP(J705,'LibSets constants'!$A$4:$C$1012,3,FALSE)</f>
        <v>Included in base game</v>
      </c>
    </row>
    <row r="706" spans="1:12" x14ac:dyDescent="0.25">
      <c r="A706" s="5">
        <v>1109</v>
      </c>
      <c r="B706" s="5">
        <v>701</v>
      </c>
      <c r="C706" s="5">
        <v>101</v>
      </c>
      <c r="D706" t="s">
        <v>721</v>
      </c>
      <c r="E706" s="3" t="str">
        <f t="array" ref="E706">IF(OR(EXACT(A706,'ESO Dungeon constants'!$D$3:$D$987)),"X","")</f>
        <v/>
      </c>
      <c r="F706" s="3" t="str">
        <f t="shared" si="40"/>
        <v/>
      </c>
      <c r="G706" s="3" t="str">
        <f t="shared" si="41"/>
        <v>Eastmarch</v>
      </c>
      <c r="H706" s="17">
        <f t="shared" si="42"/>
        <v>1109</v>
      </c>
      <c r="I706" s="17">
        <f t="shared" si="43"/>
        <v>101</v>
      </c>
      <c r="J706">
        <v>0</v>
      </c>
      <c r="K706" s="3" t="str">
        <f>VLOOKUP(J706,'LibSets constants'!$A$4:$B$1012,2,FALSE)</f>
        <v>DLC_BASE_GAME</v>
      </c>
      <c r="L706" s="3" t="str">
        <f>VLOOKUP(J706,'LibSets constants'!$A$4:$C$1012,3,FALSE)</f>
        <v>Included in base game</v>
      </c>
    </row>
    <row r="707" spans="1:12" x14ac:dyDescent="0.25">
      <c r="A707" s="5">
        <v>1110</v>
      </c>
      <c r="B707" s="5">
        <v>702</v>
      </c>
      <c r="C707" s="5">
        <v>1086</v>
      </c>
      <c r="D707" t="s">
        <v>1402</v>
      </c>
      <c r="E707" s="3" t="str">
        <f t="array" ref="E707">IF(OR(EXACT(A707,'ESO Dungeon constants'!$D$3:$D$987)),"X","")</f>
        <v/>
      </c>
      <c r="F707" s="3" t="str">
        <f t="shared" si="40"/>
        <v/>
      </c>
      <c r="G707" s="3" t="str">
        <f t="shared" si="41"/>
        <v>Northern Elsweyr</v>
      </c>
      <c r="H707" s="17">
        <f t="shared" si="42"/>
        <v>1110</v>
      </c>
      <c r="I707" s="17">
        <f t="shared" si="43"/>
        <v>1086</v>
      </c>
      <c r="J707">
        <v>0</v>
      </c>
      <c r="K707" s="3" t="str">
        <f>VLOOKUP(J707,'LibSets constants'!$A$4:$B$1012,2,FALSE)</f>
        <v>DLC_BASE_GAME</v>
      </c>
      <c r="L707" s="3" t="str">
        <f>VLOOKUP(J707,'LibSets constants'!$A$4:$C$1012,3,FALSE)</f>
        <v>Included in base game</v>
      </c>
    </row>
    <row r="708" spans="1:12" x14ac:dyDescent="0.25">
      <c r="A708" s="5">
        <v>1111</v>
      </c>
      <c r="B708" s="5">
        <v>703</v>
      </c>
      <c r="C708" s="5">
        <v>1086</v>
      </c>
      <c r="D708" t="s">
        <v>1403</v>
      </c>
      <c r="E708" s="3" t="str">
        <f t="array" ref="E708">IF(OR(EXACT(A708,'ESO Dungeon constants'!$D$3:$D$987)),"X","")</f>
        <v/>
      </c>
      <c r="F708" s="3" t="str">
        <f t="shared" si="40"/>
        <v/>
      </c>
      <c r="G708" s="3" t="str">
        <f t="shared" si="41"/>
        <v>Northern Elsweyr</v>
      </c>
      <c r="H708" s="17">
        <f t="shared" si="42"/>
        <v>1111</v>
      </c>
      <c r="I708" s="17">
        <f t="shared" si="43"/>
        <v>1086</v>
      </c>
      <c r="J708">
        <v>0</v>
      </c>
      <c r="K708" s="3" t="str">
        <f>VLOOKUP(J708,'LibSets constants'!$A$4:$B$1012,2,FALSE)</f>
        <v>DLC_BASE_GAME</v>
      </c>
      <c r="L708" s="3" t="str">
        <f>VLOOKUP(J708,'LibSets constants'!$A$4:$C$1012,3,FALSE)</f>
        <v>Included in base game</v>
      </c>
    </row>
    <row r="709" spans="1:12" x14ac:dyDescent="0.25">
      <c r="A709" s="5">
        <v>1112</v>
      </c>
      <c r="B709" s="5">
        <v>704</v>
      </c>
      <c r="C709" s="5">
        <v>1086</v>
      </c>
      <c r="D709" t="s">
        <v>1404</v>
      </c>
      <c r="E709" s="3" t="str">
        <f t="array" ref="E709">IF(OR(EXACT(A709,'ESO Dungeon constants'!$D$3:$D$987)),"X","")</f>
        <v/>
      </c>
      <c r="F709" s="3" t="str">
        <f t="shared" ref="F709:F772" si="44">IF(EXACT(A709,C709),"X","")</f>
        <v/>
      </c>
      <c r="G709" s="3" t="str">
        <f t="shared" ref="G709:G772" si="45">IF(A709&lt;&gt;C709,VLOOKUP(C709,$A$5:$D$9954,4,FALSE),"")</f>
        <v>Northern Elsweyr</v>
      </c>
      <c r="H709" s="17">
        <f t="shared" ref="H709:H772" si="46">A709</f>
        <v>1112</v>
      </c>
      <c r="I709" s="17">
        <f t="shared" ref="I709:I772" si="47">C709</f>
        <v>1086</v>
      </c>
      <c r="J709">
        <v>0</v>
      </c>
      <c r="K709" s="3" t="str">
        <f>VLOOKUP(J709,'LibSets constants'!$A$4:$B$1012,2,FALSE)</f>
        <v>DLC_BASE_GAME</v>
      </c>
      <c r="L709" s="3" t="str">
        <f>VLOOKUP(J709,'LibSets constants'!$A$4:$C$1012,3,FALSE)</f>
        <v>Included in base game</v>
      </c>
    </row>
    <row r="710" spans="1:12" x14ac:dyDescent="0.25">
      <c r="A710" s="5">
        <v>1113</v>
      </c>
      <c r="B710" s="5">
        <v>705</v>
      </c>
      <c r="C710" s="5">
        <v>1086</v>
      </c>
      <c r="D710" t="s">
        <v>1405</v>
      </c>
      <c r="E710" s="3" t="str">
        <f t="array" ref="E710">IF(OR(EXACT(A710,'ESO Dungeon constants'!$D$3:$D$987)),"X","")</f>
        <v/>
      </c>
      <c r="F710" s="3" t="str">
        <f t="shared" si="44"/>
        <v/>
      </c>
      <c r="G710" s="3" t="str">
        <f t="shared" si="45"/>
        <v>Northern Elsweyr</v>
      </c>
      <c r="H710" s="17">
        <f t="shared" si="46"/>
        <v>1113</v>
      </c>
      <c r="I710" s="17">
        <f t="shared" si="47"/>
        <v>1086</v>
      </c>
      <c r="J710">
        <v>0</v>
      </c>
      <c r="K710" s="3" t="str">
        <f>VLOOKUP(J710,'LibSets constants'!$A$4:$B$1012,2,FALSE)</f>
        <v>DLC_BASE_GAME</v>
      </c>
      <c r="L710" s="3" t="str">
        <f>VLOOKUP(J710,'LibSets constants'!$A$4:$C$1012,3,FALSE)</f>
        <v>Included in base game</v>
      </c>
    </row>
    <row r="711" spans="1:12" x14ac:dyDescent="0.25">
      <c r="A711" s="5">
        <v>1114</v>
      </c>
      <c r="B711" s="5">
        <v>706</v>
      </c>
      <c r="C711" s="5">
        <v>1086</v>
      </c>
      <c r="D711" t="s">
        <v>1406</v>
      </c>
      <c r="E711" s="3" t="str">
        <f t="array" ref="E711">IF(OR(EXACT(A711,'ESO Dungeon constants'!$D$3:$D$987)),"X","")</f>
        <v/>
      </c>
      <c r="F711" s="3" t="str">
        <f t="shared" si="44"/>
        <v/>
      </c>
      <c r="G711" s="3" t="str">
        <f t="shared" si="45"/>
        <v>Northern Elsweyr</v>
      </c>
      <c r="H711" s="17">
        <f t="shared" si="46"/>
        <v>1114</v>
      </c>
      <c r="I711" s="17">
        <f t="shared" si="47"/>
        <v>1086</v>
      </c>
      <c r="J711">
        <v>0</v>
      </c>
      <c r="K711" s="3" t="str">
        <f>VLOOKUP(J711,'LibSets constants'!$A$4:$B$1012,2,FALSE)</f>
        <v>DLC_BASE_GAME</v>
      </c>
      <c r="L711" s="3" t="str">
        <f>VLOOKUP(J711,'LibSets constants'!$A$4:$C$1012,3,FALSE)</f>
        <v>Included in base game</v>
      </c>
    </row>
    <row r="712" spans="1:12" x14ac:dyDescent="0.25">
      <c r="A712" s="5">
        <v>1115</v>
      </c>
      <c r="B712" s="5">
        <v>707</v>
      </c>
      <c r="C712" s="5">
        <v>1086</v>
      </c>
      <c r="D712" t="s">
        <v>1407</v>
      </c>
      <c r="E712" s="3" t="str">
        <f t="array" ref="E712">IF(OR(EXACT(A712,'ESO Dungeon constants'!$D$3:$D$987)),"X","")</f>
        <v/>
      </c>
      <c r="F712" s="3" t="str">
        <f t="shared" si="44"/>
        <v/>
      </c>
      <c r="G712" s="3" t="str">
        <f t="shared" si="45"/>
        <v>Northern Elsweyr</v>
      </c>
      <c r="H712" s="17">
        <f t="shared" si="46"/>
        <v>1115</v>
      </c>
      <c r="I712" s="17">
        <f t="shared" si="47"/>
        <v>1086</v>
      </c>
      <c r="J712">
        <v>0</v>
      </c>
      <c r="K712" s="3" t="str">
        <f>VLOOKUP(J712,'LibSets constants'!$A$4:$B$1012,2,FALSE)</f>
        <v>DLC_BASE_GAME</v>
      </c>
      <c r="L712" s="3" t="str">
        <f>VLOOKUP(J712,'LibSets constants'!$A$4:$C$1012,3,FALSE)</f>
        <v>Included in base game</v>
      </c>
    </row>
    <row r="713" spans="1:12" x14ac:dyDescent="0.25">
      <c r="A713" s="5">
        <v>1116</v>
      </c>
      <c r="B713" s="5">
        <v>708</v>
      </c>
      <c r="C713" s="5">
        <v>1116</v>
      </c>
      <c r="D713" t="s">
        <v>1381</v>
      </c>
      <c r="E713" s="3" t="str">
        <f t="array" ref="E713">IF(OR(EXACT(A713,'ESO Dungeon constants'!$D$3:$D$987)),"X","")</f>
        <v/>
      </c>
      <c r="F713" s="3" t="str">
        <f t="shared" si="44"/>
        <v>X</v>
      </c>
      <c r="G713" s="3" t="str">
        <f t="shared" si="45"/>
        <v/>
      </c>
      <c r="H713" s="17">
        <f t="shared" si="46"/>
        <v>1116</v>
      </c>
      <c r="I713" s="17">
        <f t="shared" si="47"/>
        <v>1116</v>
      </c>
      <c r="J713">
        <v>0</v>
      </c>
      <c r="K713" s="3" t="str">
        <f>VLOOKUP(J713,'LibSets constants'!$A$4:$B$1012,2,FALSE)</f>
        <v>DLC_BASE_GAME</v>
      </c>
      <c r="L713" s="3" t="str">
        <f>VLOOKUP(J713,'LibSets constants'!$A$4:$C$1012,3,FALSE)</f>
        <v>Included in base game</v>
      </c>
    </row>
    <row r="714" spans="1:12" x14ac:dyDescent="0.25">
      <c r="A714" s="5">
        <v>1117</v>
      </c>
      <c r="B714" s="5">
        <v>709</v>
      </c>
      <c r="C714" s="5">
        <v>1086</v>
      </c>
      <c r="D714" t="s">
        <v>1408</v>
      </c>
      <c r="E714" s="3" t="str">
        <f t="array" ref="E714">IF(OR(EXACT(A714,'ESO Dungeon constants'!$D$3:$D$987)),"X","")</f>
        <v/>
      </c>
      <c r="F714" s="3" t="str">
        <f t="shared" si="44"/>
        <v/>
      </c>
      <c r="G714" s="3" t="str">
        <f t="shared" si="45"/>
        <v>Northern Elsweyr</v>
      </c>
      <c r="H714" s="17">
        <f t="shared" si="46"/>
        <v>1117</v>
      </c>
      <c r="I714" s="17">
        <f t="shared" si="47"/>
        <v>1086</v>
      </c>
      <c r="J714">
        <v>0</v>
      </c>
      <c r="K714" s="3" t="str">
        <f>VLOOKUP(J714,'LibSets constants'!$A$4:$B$1012,2,FALSE)</f>
        <v>DLC_BASE_GAME</v>
      </c>
      <c r="L714" s="3" t="str">
        <f>VLOOKUP(J714,'LibSets constants'!$A$4:$C$1012,3,FALSE)</f>
        <v>Included in base game</v>
      </c>
    </row>
    <row r="715" spans="1:12" x14ac:dyDescent="0.25">
      <c r="A715" s="5">
        <v>1118</v>
      </c>
      <c r="B715" s="5">
        <v>710</v>
      </c>
      <c r="C715" s="5">
        <v>1086</v>
      </c>
      <c r="D715" t="s">
        <v>1409</v>
      </c>
      <c r="E715" s="3" t="str">
        <f t="array" ref="E715">IF(OR(EXACT(A715,'ESO Dungeon constants'!$D$3:$D$987)),"X","")</f>
        <v/>
      </c>
      <c r="F715" s="3" t="str">
        <f t="shared" si="44"/>
        <v/>
      </c>
      <c r="G715" s="3" t="str">
        <f t="shared" si="45"/>
        <v>Northern Elsweyr</v>
      </c>
      <c r="H715" s="17">
        <f t="shared" si="46"/>
        <v>1118</v>
      </c>
      <c r="I715" s="17">
        <f t="shared" si="47"/>
        <v>1086</v>
      </c>
      <c r="J715">
        <v>0</v>
      </c>
      <c r="K715" s="3" t="str">
        <f>VLOOKUP(J715,'LibSets constants'!$A$4:$B$1012,2,FALSE)</f>
        <v>DLC_BASE_GAME</v>
      </c>
      <c r="L715" s="3" t="str">
        <f>VLOOKUP(J715,'LibSets constants'!$A$4:$C$1012,3,FALSE)</f>
        <v>Included in base game</v>
      </c>
    </row>
    <row r="716" spans="1:12" x14ac:dyDescent="0.25">
      <c r="A716" s="5">
        <v>1119</v>
      </c>
      <c r="B716" s="5">
        <v>711</v>
      </c>
      <c r="C716" s="5">
        <v>1086</v>
      </c>
      <c r="D716" t="s">
        <v>1410</v>
      </c>
      <c r="E716" s="3" t="str">
        <f t="array" ref="E716">IF(OR(EXACT(A716,'ESO Dungeon constants'!$D$3:$D$987)),"X","")</f>
        <v/>
      </c>
      <c r="F716" s="3" t="str">
        <f t="shared" si="44"/>
        <v/>
      </c>
      <c r="G716" s="3" t="str">
        <f t="shared" si="45"/>
        <v>Northern Elsweyr</v>
      </c>
      <c r="H716" s="17">
        <f t="shared" si="46"/>
        <v>1119</v>
      </c>
      <c r="I716" s="17">
        <f t="shared" si="47"/>
        <v>1086</v>
      </c>
      <c r="J716">
        <v>0</v>
      </c>
      <c r="K716" s="3" t="str">
        <f>VLOOKUP(J716,'LibSets constants'!$A$4:$B$1012,2,FALSE)</f>
        <v>DLC_BASE_GAME</v>
      </c>
      <c r="L716" s="3" t="str">
        <f>VLOOKUP(J716,'LibSets constants'!$A$4:$C$1012,3,FALSE)</f>
        <v>Included in base game</v>
      </c>
    </row>
    <row r="717" spans="1:12" x14ac:dyDescent="0.25">
      <c r="A717" s="5">
        <v>1120</v>
      </c>
      <c r="B717" s="5">
        <v>712</v>
      </c>
      <c r="C717" s="5">
        <v>1086</v>
      </c>
      <c r="D717" t="s">
        <v>1411</v>
      </c>
      <c r="E717" s="3" t="str">
        <f t="array" ref="E717">IF(OR(EXACT(A717,'ESO Dungeon constants'!$D$3:$D$987)),"X","")</f>
        <v/>
      </c>
      <c r="F717" s="3" t="str">
        <f t="shared" si="44"/>
        <v/>
      </c>
      <c r="G717" s="3" t="str">
        <f t="shared" si="45"/>
        <v>Northern Elsweyr</v>
      </c>
      <c r="H717" s="17">
        <f t="shared" si="46"/>
        <v>1120</v>
      </c>
      <c r="I717" s="17">
        <f t="shared" si="47"/>
        <v>1086</v>
      </c>
      <c r="J717">
        <v>0</v>
      </c>
      <c r="K717" s="3" t="str">
        <f>VLOOKUP(J717,'LibSets constants'!$A$4:$B$1012,2,FALSE)</f>
        <v>DLC_BASE_GAME</v>
      </c>
      <c r="L717" s="3" t="str">
        <f>VLOOKUP(J717,'LibSets constants'!$A$4:$C$1012,3,FALSE)</f>
        <v>Included in base game</v>
      </c>
    </row>
    <row r="718" spans="1:12" x14ac:dyDescent="0.25">
      <c r="A718" s="5">
        <v>1121</v>
      </c>
      <c r="B718" s="5">
        <v>713</v>
      </c>
      <c r="C718" s="5">
        <v>1086</v>
      </c>
      <c r="D718" t="s">
        <v>1343</v>
      </c>
      <c r="E718" s="3" t="str">
        <f t="array" ref="E718">IF(OR(EXACT(A718,'ESO Dungeon constants'!$D$3:$D$987)),"X","")</f>
        <v>X</v>
      </c>
      <c r="F718" s="3" t="str">
        <f t="shared" si="44"/>
        <v/>
      </c>
      <c r="G718" s="3" t="str">
        <f t="shared" si="45"/>
        <v>Northern Elsweyr</v>
      </c>
      <c r="H718" s="17">
        <f t="shared" si="46"/>
        <v>1121</v>
      </c>
      <c r="I718" s="17">
        <f t="shared" si="47"/>
        <v>1086</v>
      </c>
      <c r="J718">
        <v>0</v>
      </c>
      <c r="K718" s="3" t="str">
        <f>VLOOKUP(J718,'LibSets constants'!$A$4:$B$1012,2,FALSE)</f>
        <v>DLC_BASE_GAME</v>
      </c>
      <c r="L718" s="3" t="str">
        <f>VLOOKUP(J718,'LibSets constants'!$A$4:$C$1012,3,FALSE)</f>
        <v>Included in base game</v>
      </c>
    </row>
    <row r="719" spans="1:12" x14ac:dyDescent="0.25">
      <c r="A719" s="5">
        <v>1122</v>
      </c>
      <c r="B719" s="5">
        <v>714</v>
      </c>
      <c r="C719" s="5">
        <v>1086</v>
      </c>
      <c r="D719" t="s">
        <v>1482</v>
      </c>
      <c r="E719" s="3" t="str">
        <f t="array" ref="E719">IF(OR(EXACT(A719,'ESO Dungeon constants'!$D$3:$D$987)),"X","")</f>
        <v>X</v>
      </c>
      <c r="F719" s="3" t="str">
        <f t="shared" si="44"/>
        <v/>
      </c>
      <c r="G719" s="3" t="str">
        <f t="shared" si="45"/>
        <v>Northern Elsweyr</v>
      </c>
      <c r="H719" s="17">
        <f t="shared" si="46"/>
        <v>1122</v>
      </c>
      <c r="I719" s="17">
        <f t="shared" si="47"/>
        <v>1086</v>
      </c>
      <c r="J719">
        <v>0</v>
      </c>
      <c r="K719" s="3" t="str">
        <f>VLOOKUP(J719,'LibSets constants'!$A$4:$B$1012,2,FALSE)</f>
        <v>DLC_BASE_GAME</v>
      </c>
      <c r="L719" s="3" t="str">
        <f>VLOOKUP(J719,'LibSets constants'!$A$4:$C$1012,3,FALSE)</f>
        <v>Included in base game</v>
      </c>
    </row>
    <row r="720" spans="1:12" x14ac:dyDescent="0.25">
      <c r="A720" s="5">
        <v>1123</v>
      </c>
      <c r="B720" s="5">
        <v>715</v>
      </c>
      <c r="C720" s="5">
        <v>383</v>
      </c>
      <c r="D720" t="s">
        <v>1483</v>
      </c>
      <c r="E720" s="3" t="str">
        <f t="array" ref="E720">IF(OR(EXACT(A720,'ESO Dungeon constants'!$D$3:$D$987)),"X","")</f>
        <v>X</v>
      </c>
      <c r="F720" s="3" t="str">
        <f t="shared" si="44"/>
        <v/>
      </c>
      <c r="G720" s="3" t="str">
        <f t="shared" si="45"/>
        <v>Grahtwood</v>
      </c>
      <c r="H720" s="17">
        <f t="shared" si="46"/>
        <v>1123</v>
      </c>
      <c r="I720" s="17">
        <f t="shared" si="47"/>
        <v>383</v>
      </c>
      <c r="J720">
        <v>0</v>
      </c>
      <c r="K720" s="3" t="str">
        <f>VLOOKUP(J720,'LibSets constants'!$A$4:$B$1012,2,FALSE)</f>
        <v>DLC_BASE_GAME</v>
      </c>
      <c r="L720" s="3" t="str">
        <f>VLOOKUP(J720,'LibSets constants'!$A$4:$C$1012,3,FALSE)</f>
        <v>Included in base game</v>
      </c>
    </row>
    <row r="721" spans="1:12" x14ac:dyDescent="0.25">
      <c r="A721" s="5">
        <v>1125</v>
      </c>
      <c r="B721" s="5">
        <v>716</v>
      </c>
      <c r="C721" s="5">
        <v>101</v>
      </c>
      <c r="D721" t="s">
        <v>699</v>
      </c>
      <c r="E721" s="3" t="str">
        <f t="array" ref="E721">IF(OR(EXACT(A721,'ESO Dungeon constants'!$D$3:$D$987)),"X","")</f>
        <v/>
      </c>
      <c r="F721" s="3" t="str">
        <f t="shared" si="44"/>
        <v/>
      </c>
      <c r="G721" s="3" t="str">
        <f t="shared" si="45"/>
        <v>Eastmarch</v>
      </c>
      <c r="H721" s="17">
        <f t="shared" si="46"/>
        <v>1125</v>
      </c>
      <c r="I721" s="17">
        <f t="shared" si="47"/>
        <v>101</v>
      </c>
      <c r="J721">
        <v>0</v>
      </c>
      <c r="K721" s="3" t="str">
        <f>VLOOKUP(J721,'LibSets constants'!$A$4:$B$1012,2,FALSE)</f>
        <v>DLC_BASE_GAME</v>
      </c>
      <c r="L721" s="3" t="str">
        <f>VLOOKUP(J721,'LibSets constants'!$A$4:$C$1012,3,FALSE)</f>
        <v>Included in base game</v>
      </c>
    </row>
    <row r="722" spans="1:12" x14ac:dyDescent="0.25">
      <c r="A722" s="5">
        <v>1126</v>
      </c>
      <c r="B722" s="5">
        <v>717</v>
      </c>
      <c r="C722" s="5">
        <v>888</v>
      </c>
      <c r="D722" t="s">
        <v>703</v>
      </c>
      <c r="E722" s="3" t="str">
        <f t="array" ref="E722">IF(OR(EXACT(A722,'ESO Dungeon constants'!$D$3:$D$987)),"X","")</f>
        <v/>
      </c>
      <c r="F722" s="3" t="str">
        <f t="shared" si="44"/>
        <v/>
      </c>
      <c r="G722" s="3" t="str">
        <f t="shared" si="45"/>
        <v>Craglorn</v>
      </c>
      <c r="H722" s="17">
        <f t="shared" si="46"/>
        <v>1126</v>
      </c>
      <c r="I722" s="17">
        <f t="shared" si="47"/>
        <v>888</v>
      </c>
      <c r="J722">
        <v>0</v>
      </c>
      <c r="K722" s="3" t="str">
        <f>VLOOKUP(J722,'LibSets constants'!$A$4:$B$1012,2,FALSE)</f>
        <v>DLC_BASE_GAME</v>
      </c>
      <c r="L722" s="3" t="str">
        <f>VLOOKUP(J722,'LibSets constants'!$A$4:$C$1012,3,FALSE)</f>
        <v>Included in base game</v>
      </c>
    </row>
    <row r="723" spans="1:12" x14ac:dyDescent="0.25">
      <c r="A723" s="5">
        <v>1128</v>
      </c>
      <c r="B723" s="5">
        <v>718</v>
      </c>
      <c r="C723" s="5">
        <v>1086</v>
      </c>
      <c r="D723" t="s">
        <v>1382</v>
      </c>
      <c r="E723" s="3" t="str">
        <f t="array" ref="E723">IF(OR(EXACT(A723,'ESO Dungeon constants'!$D$3:$D$987)),"X","")</f>
        <v/>
      </c>
      <c r="F723" s="3" t="str">
        <f t="shared" si="44"/>
        <v/>
      </c>
      <c r="G723" s="3" t="str">
        <f t="shared" si="45"/>
        <v>Northern Elsweyr</v>
      </c>
      <c r="H723" s="17">
        <f t="shared" si="46"/>
        <v>1128</v>
      </c>
      <c r="I723" s="17">
        <f t="shared" si="47"/>
        <v>1086</v>
      </c>
      <c r="J723">
        <v>18</v>
      </c>
      <c r="K723" s="3" t="str">
        <f>VLOOKUP(J723,'LibSets constants'!$A$4:$B$1012,2,FALSE)</f>
        <v>DLC_GREYMOOR</v>
      </c>
      <c r="L723" s="3" t="str">
        <f>VLOOKUP(J723,'LibSets constants'!$A$4:$C$1012,3,FALSE)</f>
        <v>Greymoor</v>
      </c>
    </row>
    <row r="724" spans="1:12" x14ac:dyDescent="0.25">
      <c r="A724" s="5">
        <v>1129</v>
      </c>
      <c r="B724" s="5">
        <v>719</v>
      </c>
      <c r="C724" s="5">
        <v>1086</v>
      </c>
      <c r="D724" t="s">
        <v>1383</v>
      </c>
      <c r="E724" s="3" t="str">
        <f t="array" ref="E724">IF(OR(EXACT(A724,'ESO Dungeon constants'!$D$3:$D$987)),"X","")</f>
        <v/>
      </c>
      <c r="F724" s="3" t="str">
        <f t="shared" si="44"/>
        <v/>
      </c>
      <c r="G724" s="3" t="str">
        <f t="shared" si="45"/>
        <v>Northern Elsweyr</v>
      </c>
      <c r="H724" s="17">
        <f t="shared" si="46"/>
        <v>1129</v>
      </c>
      <c r="I724" s="17">
        <f t="shared" si="47"/>
        <v>1086</v>
      </c>
      <c r="J724">
        <v>0</v>
      </c>
      <c r="K724" s="3" t="str">
        <f>VLOOKUP(J724,'LibSets constants'!$A$4:$B$1012,2,FALSE)</f>
        <v>DLC_BASE_GAME</v>
      </c>
      <c r="L724" s="3" t="str">
        <f>VLOOKUP(J724,'LibSets constants'!$A$4:$C$1012,3,FALSE)</f>
        <v>Included in base game</v>
      </c>
    </row>
    <row r="725" spans="1:12" x14ac:dyDescent="0.25">
      <c r="A725" s="5">
        <v>1130</v>
      </c>
      <c r="B725" s="5">
        <v>720</v>
      </c>
      <c r="C725" s="5">
        <v>1086</v>
      </c>
      <c r="D725" t="s">
        <v>1384</v>
      </c>
      <c r="E725" s="3" t="str">
        <f t="array" ref="E725">IF(OR(EXACT(A725,'ESO Dungeon constants'!$D$3:$D$987)),"X","")</f>
        <v/>
      </c>
      <c r="F725" s="3" t="str">
        <f t="shared" si="44"/>
        <v/>
      </c>
      <c r="G725" s="3" t="str">
        <f t="shared" si="45"/>
        <v>Northern Elsweyr</v>
      </c>
      <c r="H725" s="17">
        <f t="shared" si="46"/>
        <v>1130</v>
      </c>
      <c r="I725" s="17">
        <f t="shared" si="47"/>
        <v>1086</v>
      </c>
      <c r="J725">
        <v>0</v>
      </c>
      <c r="K725" s="3" t="str">
        <f>VLOOKUP(J725,'LibSets constants'!$A$4:$B$1012,2,FALSE)</f>
        <v>DLC_BASE_GAME</v>
      </c>
      <c r="L725" s="3" t="str">
        <f>VLOOKUP(J725,'LibSets constants'!$A$4:$C$1012,3,FALSE)</f>
        <v>Included in base game</v>
      </c>
    </row>
    <row r="726" spans="1:12" x14ac:dyDescent="0.25">
      <c r="A726" s="5">
        <v>1133</v>
      </c>
      <c r="B726" s="5">
        <v>721</v>
      </c>
      <c r="C726" s="5">
        <v>1133</v>
      </c>
      <c r="D726" t="s">
        <v>1580</v>
      </c>
      <c r="E726" s="3" t="str">
        <f t="array" ref="E726">IF(OR(EXACT(A726,'ESO Dungeon constants'!$D$3:$D$987)),"X","")</f>
        <v/>
      </c>
      <c r="F726" s="3" t="str">
        <f t="shared" si="44"/>
        <v>X</v>
      </c>
      <c r="G726" s="3" t="str">
        <f t="shared" si="45"/>
        <v/>
      </c>
      <c r="H726" s="17">
        <f t="shared" si="46"/>
        <v>1133</v>
      </c>
      <c r="I726" s="17">
        <f t="shared" si="47"/>
        <v>1133</v>
      </c>
      <c r="J726">
        <v>0</v>
      </c>
      <c r="K726" s="3" t="str">
        <f>VLOOKUP(J726,'LibSets constants'!$A$4:$B$1012,2,FALSE)</f>
        <v>DLC_BASE_GAME</v>
      </c>
      <c r="L726" s="3" t="str">
        <f>VLOOKUP(J726,'LibSets constants'!$A$4:$C$1012,3,FALSE)</f>
        <v>Included in base game</v>
      </c>
    </row>
    <row r="727" spans="1:12" x14ac:dyDescent="0.25">
      <c r="A727" s="5">
        <v>1134</v>
      </c>
      <c r="B727" s="5">
        <v>722</v>
      </c>
      <c r="C727" s="5">
        <v>1133</v>
      </c>
      <c r="D727" t="s">
        <v>1581</v>
      </c>
      <c r="E727" s="3" t="str">
        <f t="array" ref="E727">IF(OR(EXACT(A727,'ESO Dungeon constants'!$D$3:$D$987)),"X","")</f>
        <v/>
      </c>
      <c r="F727" s="3" t="str">
        <f t="shared" si="44"/>
        <v/>
      </c>
      <c r="G727" s="3" t="str">
        <f t="shared" si="45"/>
        <v>Southern Elsweyr</v>
      </c>
      <c r="H727" s="17">
        <f t="shared" si="46"/>
        <v>1134</v>
      </c>
      <c r="I727" s="17">
        <f t="shared" si="47"/>
        <v>1133</v>
      </c>
      <c r="J727">
        <v>0</v>
      </c>
      <c r="K727" s="3" t="str">
        <f>VLOOKUP(J727,'LibSets constants'!$A$4:$B$1012,2,FALSE)</f>
        <v>DLC_BASE_GAME</v>
      </c>
      <c r="L727" s="3" t="str">
        <f>VLOOKUP(J727,'LibSets constants'!$A$4:$C$1012,3,FALSE)</f>
        <v>Included in base game</v>
      </c>
    </row>
    <row r="728" spans="1:12" x14ac:dyDescent="0.25">
      <c r="A728" s="5">
        <v>1135</v>
      </c>
      <c r="B728" s="5">
        <v>723</v>
      </c>
      <c r="C728" s="5">
        <v>1133</v>
      </c>
      <c r="D728" t="s">
        <v>1582</v>
      </c>
      <c r="E728" s="3" t="str">
        <f t="array" ref="E728">IF(OR(EXACT(A728,'ESO Dungeon constants'!$D$3:$D$987)),"X","")</f>
        <v/>
      </c>
      <c r="F728" s="3" t="str">
        <f t="shared" si="44"/>
        <v/>
      </c>
      <c r="G728" s="3" t="str">
        <f t="shared" si="45"/>
        <v>Southern Elsweyr</v>
      </c>
      <c r="H728" s="17">
        <f t="shared" si="46"/>
        <v>1135</v>
      </c>
      <c r="I728" s="17">
        <f t="shared" si="47"/>
        <v>1133</v>
      </c>
      <c r="J728">
        <v>0</v>
      </c>
      <c r="K728" s="3" t="str">
        <f>VLOOKUP(J728,'LibSets constants'!$A$4:$B$1012,2,FALSE)</f>
        <v>DLC_BASE_GAME</v>
      </c>
      <c r="L728" s="3" t="str">
        <f>VLOOKUP(J728,'LibSets constants'!$A$4:$C$1012,3,FALSE)</f>
        <v>Included in base game</v>
      </c>
    </row>
    <row r="729" spans="1:12" x14ac:dyDescent="0.25">
      <c r="A729" s="5">
        <v>1136</v>
      </c>
      <c r="B729" s="5">
        <v>724</v>
      </c>
      <c r="C729" s="5">
        <v>1133</v>
      </c>
      <c r="D729" t="s">
        <v>1583</v>
      </c>
      <c r="E729" s="3" t="str">
        <f t="array" ref="E729">IF(OR(EXACT(A729,'ESO Dungeon constants'!$D$3:$D$987)),"X","")</f>
        <v/>
      </c>
      <c r="F729" s="3" t="str">
        <f t="shared" si="44"/>
        <v/>
      </c>
      <c r="G729" s="3" t="str">
        <f t="shared" si="45"/>
        <v>Southern Elsweyr</v>
      </c>
      <c r="H729" s="17">
        <f t="shared" si="46"/>
        <v>1136</v>
      </c>
      <c r="I729" s="17">
        <f t="shared" si="47"/>
        <v>1133</v>
      </c>
      <c r="J729">
        <v>0</v>
      </c>
      <c r="K729" s="3" t="str">
        <f>VLOOKUP(J729,'LibSets constants'!$A$4:$B$1012,2,FALSE)</f>
        <v>DLC_BASE_GAME</v>
      </c>
      <c r="L729" s="3" t="str">
        <f>VLOOKUP(J729,'LibSets constants'!$A$4:$C$1012,3,FALSE)</f>
        <v>Included in base game</v>
      </c>
    </row>
    <row r="730" spans="1:12" x14ac:dyDescent="0.25">
      <c r="A730" s="5">
        <v>1137</v>
      </c>
      <c r="B730" s="5">
        <v>725</v>
      </c>
      <c r="C730" s="5">
        <v>1133</v>
      </c>
      <c r="D730" t="s">
        <v>1584</v>
      </c>
      <c r="E730" s="3" t="str">
        <f t="array" ref="E730">IF(OR(EXACT(A730,'ESO Dungeon constants'!$D$3:$D$987)),"X","")</f>
        <v/>
      </c>
      <c r="F730" s="3" t="str">
        <f t="shared" si="44"/>
        <v/>
      </c>
      <c r="G730" s="3" t="str">
        <f t="shared" si="45"/>
        <v>Southern Elsweyr</v>
      </c>
      <c r="H730" s="17">
        <f t="shared" si="46"/>
        <v>1137</v>
      </c>
      <c r="I730" s="17">
        <f t="shared" si="47"/>
        <v>1133</v>
      </c>
      <c r="J730">
        <v>0</v>
      </c>
      <c r="K730" s="3" t="str">
        <f>VLOOKUP(J730,'LibSets constants'!$A$4:$B$1012,2,FALSE)</f>
        <v>DLC_BASE_GAME</v>
      </c>
      <c r="L730" s="3" t="str">
        <f>VLOOKUP(J730,'LibSets constants'!$A$4:$C$1012,3,FALSE)</f>
        <v>Included in base game</v>
      </c>
    </row>
    <row r="731" spans="1:12" x14ac:dyDescent="0.25">
      <c r="A731" s="5">
        <v>1138</v>
      </c>
      <c r="B731" s="5">
        <v>726</v>
      </c>
      <c r="C731" s="5">
        <v>1133</v>
      </c>
      <c r="D731" t="s">
        <v>1486</v>
      </c>
      <c r="E731" s="3" t="str">
        <f t="array" ref="E731">IF(OR(EXACT(A731,'ESO Dungeon constants'!$D$3:$D$987)),"X","")</f>
        <v/>
      </c>
      <c r="F731" s="3" t="str">
        <f t="shared" si="44"/>
        <v/>
      </c>
      <c r="G731" s="3" t="str">
        <f t="shared" si="45"/>
        <v>Southern Elsweyr</v>
      </c>
      <c r="H731" s="17">
        <f t="shared" si="46"/>
        <v>1138</v>
      </c>
      <c r="I731" s="17">
        <f t="shared" si="47"/>
        <v>1133</v>
      </c>
      <c r="J731">
        <v>0</v>
      </c>
      <c r="K731" s="3" t="str">
        <f>VLOOKUP(J731,'LibSets constants'!$A$4:$B$1012,2,FALSE)</f>
        <v>DLC_BASE_GAME</v>
      </c>
      <c r="L731" s="3" t="str">
        <f>VLOOKUP(J731,'LibSets constants'!$A$4:$C$1012,3,FALSE)</f>
        <v>Included in base game</v>
      </c>
    </row>
    <row r="732" spans="1:12" x14ac:dyDescent="0.25">
      <c r="A732" s="5">
        <v>1139</v>
      </c>
      <c r="B732" s="5">
        <v>727</v>
      </c>
      <c r="C732" s="5">
        <v>1133</v>
      </c>
      <c r="D732" t="s">
        <v>1585</v>
      </c>
      <c r="E732" s="3" t="str">
        <f t="array" ref="E732">IF(OR(EXACT(A732,'ESO Dungeon constants'!$D$3:$D$987)),"X","")</f>
        <v/>
      </c>
      <c r="F732" s="3" t="str">
        <f t="shared" si="44"/>
        <v/>
      </c>
      <c r="G732" s="3" t="str">
        <f t="shared" si="45"/>
        <v>Southern Elsweyr</v>
      </c>
      <c r="H732" s="17">
        <f t="shared" si="46"/>
        <v>1139</v>
      </c>
      <c r="I732" s="17">
        <f t="shared" si="47"/>
        <v>1133</v>
      </c>
      <c r="J732">
        <v>0</v>
      </c>
      <c r="K732" s="3" t="str">
        <f>VLOOKUP(J732,'LibSets constants'!$A$4:$B$1012,2,FALSE)</f>
        <v>DLC_BASE_GAME</v>
      </c>
      <c r="L732" s="3" t="str">
        <f>VLOOKUP(J732,'LibSets constants'!$A$4:$C$1012,3,FALSE)</f>
        <v>Included in base game</v>
      </c>
    </row>
    <row r="733" spans="1:12" x14ac:dyDescent="0.25">
      <c r="A733" s="5">
        <v>1140</v>
      </c>
      <c r="B733" s="5">
        <v>728</v>
      </c>
      <c r="C733" s="5">
        <v>104</v>
      </c>
      <c r="D733" t="s">
        <v>1488</v>
      </c>
      <c r="E733" s="3" t="str">
        <f t="array" ref="E733">IF(OR(EXACT(A733,'ESO Dungeon constants'!$D$3:$D$987)),"X","")</f>
        <v/>
      </c>
      <c r="F733" s="3" t="str">
        <f t="shared" si="44"/>
        <v/>
      </c>
      <c r="G733" s="3" t="str">
        <f t="shared" si="45"/>
        <v>Alik'r Desert</v>
      </c>
      <c r="H733" s="17">
        <f t="shared" si="46"/>
        <v>1140</v>
      </c>
      <c r="I733" s="17">
        <f t="shared" si="47"/>
        <v>104</v>
      </c>
      <c r="J733">
        <v>0</v>
      </c>
      <c r="K733" s="3" t="str">
        <f>VLOOKUP(J733,'LibSets constants'!$A$4:$B$1012,2,FALSE)</f>
        <v>DLC_BASE_GAME</v>
      </c>
      <c r="L733" s="3" t="str">
        <f>VLOOKUP(J733,'LibSets constants'!$A$4:$C$1012,3,FALSE)</f>
        <v>Included in base game</v>
      </c>
    </row>
    <row r="734" spans="1:12" x14ac:dyDescent="0.25">
      <c r="A734" s="5">
        <v>1141</v>
      </c>
      <c r="B734" s="5">
        <v>729</v>
      </c>
      <c r="C734" s="5">
        <v>101</v>
      </c>
      <c r="D734" t="s">
        <v>1494</v>
      </c>
      <c r="E734" s="3" t="str">
        <f t="array" ref="E734">IF(OR(EXACT(A734,'ESO Dungeon constants'!$D$3:$D$987)),"X","")</f>
        <v/>
      </c>
      <c r="F734" s="3" t="str">
        <f t="shared" si="44"/>
        <v/>
      </c>
      <c r="G734" s="3" t="str">
        <f t="shared" si="45"/>
        <v>Eastmarch</v>
      </c>
      <c r="H734" s="17">
        <f t="shared" si="46"/>
        <v>1141</v>
      </c>
      <c r="I734" s="17">
        <f t="shared" si="47"/>
        <v>101</v>
      </c>
      <c r="J734">
        <v>21</v>
      </c>
      <c r="K734" s="3" t="str">
        <f>VLOOKUP(J734,'LibSets constants'!$A$4:$B$1012,2,FALSE)</f>
        <v>DLC_FLAMES_OF_AMBITION</v>
      </c>
      <c r="L734" s="3" t="str">
        <f>VLOOKUP(J734,'LibSets constants'!$A$4:$C$1012,3,FALSE)</f>
        <v>Flames of Ambition</v>
      </c>
    </row>
    <row r="735" spans="1:12" x14ac:dyDescent="0.25">
      <c r="A735" s="5">
        <v>1142</v>
      </c>
      <c r="B735" s="5">
        <v>730</v>
      </c>
      <c r="C735" s="5">
        <v>1142</v>
      </c>
      <c r="D735" t="s">
        <v>414</v>
      </c>
      <c r="E735" s="3" t="str">
        <f t="array" ref="E735">IF(OR(EXACT(A735,'ESO Dungeon constants'!$D$3:$D$987)),"X","")</f>
        <v/>
      </c>
      <c r="F735" s="3" t="str">
        <f t="shared" si="44"/>
        <v>X</v>
      </c>
      <c r="G735" s="3" t="str">
        <f t="shared" si="45"/>
        <v/>
      </c>
      <c r="H735" s="17">
        <f t="shared" si="46"/>
        <v>1142</v>
      </c>
      <c r="I735" s="17">
        <f t="shared" si="47"/>
        <v>1142</v>
      </c>
      <c r="J735">
        <v>0</v>
      </c>
      <c r="K735" s="3" t="str">
        <f>VLOOKUP(J735,'LibSets constants'!$A$4:$B$1012,2,FALSE)</f>
        <v>DLC_BASE_GAME</v>
      </c>
      <c r="L735" s="3" t="str">
        <f>VLOOKUP(J735,'LibSets constants'!$A$4:$C$1012,3,FALSE)</f>
        <v>Included in base game</v>
      </c>
    </row>
    <row r="736" spans="1:12" x14ac:dyDescent="0.25">
      <c r="A736" s="5">
        <v>1143</v>
      </c>
      <c r="B736" s="5">
        <v>731</v>
      </c>
      <c r="C736" s="5">
        <v>19</v>
      </c>
      <c r="D736" t="s">
        <v>1489</v>
      </c>
      <c r="E736" s="3" t="str">
        <f t="array" ref="E736">IF(OR(EXACT(A736,'ESO Dungeon constants'!$D$3:$D$987)),"X","")</f>
        <v/>
      </c>
      <c r="F736" s="3" t="str">
        <f t="shared" si="44"/>
        <v/>
      </c>
      <c r="G736" s="3" t="str">
        <f t="shared" si="45"/>
        <v>Stormhaven</v>
      </c>
      <c r="H736" s="17">
        <f t="shared" si="46"/>
        <v>1143</v>
      </c>
      <c r="I736" s="17">
        <f t="shared" si="47"/>
        <v>19</v>
      </c>
      <c r="J736">
        <v>0</v>
      </c>
      <c r="K736" s="3" t="str">
        <f>VLOOKUP(J736,'LibSets constants'!$A$4:$B$1012,2,FALSE)</f>
        <v>DLC_BASE_GAME</v>
      </c>
      <c r="L736" s="3" t="str">
        <f>VLOOKUP(J736,'LibSets constants'!$A$4:$C$1012,3,FALSE)</f>
        <v>Included in base game</v>
      </c>
    </row>
    <row r="737" spans="1:12" x14ac:dyDescent="0.25">
      <c r="A737" s="5">
        <v>1144</v>
      </c>
      <c r="B737" s="5">
        <v>732</v>
      </c>
      <c r="C737" s="5">
        <v>1144</v>
      </c>
      <c r="D737" t="s">
        <v>1490</v>
      </c>
      <c r="E737" s="3" t="str">
        <f t="array" ref="E737">IF(OR(EXACT(A737,'ESO Dungeon constants'!$D$3:$D$987)),"X","")</f>
        <v/>
      </c>
      <c r="F737" s="3" t="str">
        <f t="shared" si="44"/>
        <v>X</v>
      </c>
      <c r="G737" s="3" t="str">
        <f t="shared" si="45"/>
        <v/>
      </c>
      <c r="H737" s="17">
        <f t="shared" si="46"/>
        <v>1144</v>
      </c>
      <c r="I737" s="17">
        <f t="shared" si="47"/>
        <v>1144</v>
      </c>
      <c r="J737">
        <v>0</v>
      </c>
      <c r="K737" s="3" t="str">
        <f>VLOOKUP(J737,'LibSets constants'!$A$4:$B$1012,2,FALSE)</f>
        <v>DLC_BASE_GAME</v>
      </c>
      <c r="L737" s="3" t="str">
        <f>VLOOKUP(J737,'LibSets constants'!$A$4:$C$1012,3,FALSE)</f>
        <v>Included in base game</v>
      </c>
    </row>
    <row r="738" spans="1:12" x14ac:dyDescent="0.25">
      <c r="A738" s="5">
        <v>1145</v>
      </c>
      <c r="B738" s="5">
        <v>733</v>
      </c>
      <c r="C738" s="5">
        <v>1133</v>
      </c>
      <c r="D738" t="s">
        <v>1586</v>
      </c>
      <c r="E738" s="3" t="str">
        <f t="array" ref="E738">IF(OR(EXACT(A738,'ESO Dungeon constants'!$D$3:$D$987)),"X","")</f>
        <v/>
      </c>
      <c r="F738" s="3" t="str">
        <f t="shared" si="44"/>
        <v/>
      </c>
      <c r="G738" s="3" t="str">
        <f t="shared" si="45"/>
        <v>Southern Elsweyr</v>
      </c>
      <c r="H738" s="17">
        <f t="shared" si="46"/>
        <v>1145</v>
      </c>
      <c r="I738" s="17">
        <f t="shared" si="47"/>
        <v>1133</v>
      </c>
      <c r="J738">
        <v>0</v>
      </c>
      <c r="K738" s="3" t="str">
        <f>VLOOKUP(J738,'LibSets constants'!$A$4:$B$1012,2,FALSE)</f>
        <v>DLC_BASE_GAME</v>
      </c>
      <c r="L738" s="3" t="str">
        <f>VLOOKUP(J738,'LibSets constants'!$A$4:$C$1012,3,FALSE)</f>
        <v>Included in base game</v>
      </c>
    </row>
    <row r="739" spans="1:12" x14ac:dyDescent="0.25">
      <c r="A739" s="5">
        <v>1146</v>
      </c>
      <c r="B739" s="5">
        <v>734</v>
      </c>
      <c r="C739" s="5">
        <v>1133</v>
      </c>
      <c r="D739" t="s">
        <v>1587</v>
      </c>
      <c r="E739" s="3" t="str">
        <f t="array" ref="E739">IF(OR(EXACT(A739,'ESO Dungeon constants'!$D$3:$D$987)),"X","")</f>
        <v/>
      </c>
      <c r="F739" s="3" t="str">
        <f t="shared" si="44"/>
        <v/>
      </c>
      <c r="G739" s="3" t="str">
        <f t="shared" si="45"/>
        <v>Southern Elsweyr</v>
      </c>
      <c r="H739" s="17">
        <f t="shared" si="46"/>
        <v>1146</v>
      </c>
      <c r="I739" s="17">
        <f t="shared" si="47"/>
        <v>1133</v>
      </c>
      <c r="J739">
        <v>0</v>
      </c>
      <c r="K739" s="3" t="str">
        <f>VLOOKUP(J739,'LibSets constants'!$A$4:$B$1012,2,FALSE)</f>
        <v>DLC_BASE_GAME</v>
      </c>
      <c r="L739" s="3" t="str">
        <f>VLOOKUP(J739,'LibSets constants'!$A$4:$C$1012,3,FALSE)</f>
        <v>Included in base game</v>
      </c>
    </row>
    <row r="740" spans="1:12" x14ac:dyDescent="0.25">
      <c r="A740" s="5">
        <v>1147</v>
      </c>
      <c r="B740" s="5">
        <v>735</v>
      </c>
      <c r="C740" s="5">
        <v>1133</v>
      </c>
      <c r="D740" t="s">
        <v>1588</v>
      </c>
      <c r="E740" s="3" t="str">
        <f t="array" ref="E740">IF(OR(EXACT(A740,'ESO Dungeon constants'!$D$3:$D$987)),"X","")</f>
        <v/>
      </c>
      <c r="F740" s="3" t="str">
        <f t="shared" si="44"/>
        <v/>
      </c>
      <c r="G740" s="3" t="str">
        <f t="shared" si="45"/>
        <v>Southern Elsweyr</v>
      </c>
      <c r="H740" s="17">
        <f t="shared" si="46"/>
        <v>1147</v>
      </c>
      <c r="I740" s="17">
        <f t="shared" si="47"/>
        <v>1133</v>
      </c>
      <c r="J740">
        <v>0</v>
      </c>
      <c r="K740" s="3" t="str">
        <f>VLOOKUP(J740,'LibSets constants'!$A$4:$B$1012,2,FALSE)</f>
        <v>DLC_BASE_GAME</v>
      </c>
      <c r="L740" s="3" t="str">
        <f>VLOOKUP(J740,'LibSets constants'!$A$4:$C$1012,3,FALSE)</f>
        <v>Included in base game</v>
      </c>
    </row>
    <row r="741" spans="1:12" x14ac:dyDescent="0.25">
      <c r="A741" s="5">
        <v>1148</v>
      </c>
      <c r="B741" s="5">
        <v>736</v>
      </c>
      <c r="C741" s="5">
        <v>1133</v>
      </c>
      <c r="D741" t="s">
        <v>1592</v>
      </c>
      <c r="E741" s="3" t="str">
        <f t="array" ref="E741">IF(OR(EXACT(A741,'ESO Dungeon constants'!$D$3:$D$987)),"X","")</f>
        <v/>
      </c>
      <c r="F741" s="3" t="str">
        <f t="shared" si="44"/>
        <v/>
      </c>
      <c r="G741" s="3" t="str">
        <f t="shared" si="45"/>
        <v>Southern Elsweyr</v>
      </c>
      <c r="H741" s="17">
        <f t="shared" si="46"/>
        <v>1148</v>
      </c>
      <c r="I741" s="17">
        <f t="shared" si="47"/>
        <v>1133</v>
      </c>
      <c r="J741">
        <v>20</v>
      </c>
      <c r="K741" s="3" t="str">
        <f>VLOOKUP(J741,'LibSets constants'!$A$4:$B$1012,2,FALSE)</f>
        <v>DLC_MARKARTH</v>
      </c>
      <c r="L741" s="3" t="str">
        <f>VLOOKUP(J741,'LibSets constants'!$A$4:$C$1012,3,FALSE)</f>
        <v>Markarth</v>
      </c>
    </row>
    <row r="742" spans="1:12" x14ac:dyDescent="0.25">
      <c r="A742" s="5">
        <v>1149</v>
      </c>
      <c r="B742" s="5">
        <v>737</v>
      </c>
      <c r="C742" s="5">
        <v>1133</v>
      </c>
      <c r="D742" t="s">
        <v>1589</v>
      </c>
      <c r="E742" s="3" t="str">
        <f t="array" ref="E742">IF(OR(EXACT(A742,'ESO Dungeon constants'!$D$3:$D$987)),"X","")</f>
        <v/>
      </c>
      <c r="F742" s="3" t="str">
        <f t="shared" si="44"/>
        <v/>
      </c>
      <c r="G742" s="3" t="str">
        <f t="shared" si="45"/>
        <v>Southern Elsweyr</v>
      </c>
      <c r="H742" s="17">
        <f t="shared" si="46"/>
        <v>1149</v>
      </c>
      <c r="I742" s="17">
        <f t="shared" si="47"/>
        <v>1133</v>
      </c>
      <c r="J742">
        <v>0</v>
      </c>
      <c r="K742" s="3" t="str">
        <f>VLOOKUP(J742,'LibSets constants'!$A$4:$B$1012,2,FALSE)</f>
        <v>DLC_BASE_GAME</v>
      </c>
      <c r="L742" s="3" t="str">
        <f>VLOOKUP(J742,'LibSets constants'!$A$4:$C$1012,3,FALSE)</f>
        <v>Included in base game</v>
      </c>
    </row>
    <row r="743" spans="1:12" x14ac:dyDescent="0.25">
      <c r="A743" s="5">
        <v>1150</v>
      </c>
      <c r="B743" s="5">
        <v>738</v>
      </c>
      <c r="C743" s="5">
        <v>1133</v>
      </c>
      <c r="D743" t="s">
        <v>1591</v>
      </c>
      <c r="E743" s="3" t="str">
        <f t="array" ref="E743">IF(OR(EXACT(A743,'ESO Dungeon constants'!$D$3:$D$987)),"X","")</f>
        <v/>
      </c>
      <c r="F743" s="3" t="str">
        <f t="shared" si="44"/>
        <v/>
      </c>
      <c r="G743" s="3" t="str">
        <f t="shared" si="45"/>
        <v>Southern Elsweyr</v>
      </c>
      <c r="H743" s="17">
        <f t="shared" si="46"/>
        <v>1150</v>
      </c>
      <c r="I743" s="17">
        <f t="shared" si="47"/>
        <v>1133</v>
      </c>
      <c r="J743">
        <v>18</v>
      </c>
      <c r="K743" s="3" t="str">
        <f>VLOOKUP(J743,'LibSets constants'!$A$4:$B$1012,2,FALSE)</f>
        <v>DLC_GREYMOOR</v>
      </c>
      <c r="L743" s="3" t="str">
        <f>VLOOKUP(J743,'LibSets constants'!$A$4:$C$1012,3,FALSE)</f>
        <v>Greymoor</v>
      </c>
    </row>
    <row r="744" spans="1:12" x14ac:dyDescent="0.25">
      <c r="A744" s="5">
        <v>1151</v>
      </c>
      <c r="B744" s="5">
        <v>739</v>
      </c>
      <c r="C744" s="5">
        <v>1133</v>
      </c>
      <c r="D744" t="s">
        <v>1590</v>
      </c>
      <c r="E744" s="3" t="str">
        <f t="array" ref="E744">IF(OR(EXACT(A744,'ESO Dungeon constants'!$D$3:$D$987)),"X","")</f>
        <v/>
      </c>
      <c r="F744" s="3" t="str">
        <f t="shared" si="44"/>
        <v/>
      </c>
      <c r="G744" s="3" t="str">
        <f t="shared" si="45"/>
        <v>Southern Elsweyr</v>
      </c>
      <c r="H744" s="17">
        <f t="shared" si="46"/>
        <v>1151</v>
      </c>
      <c r="I744" s="17">
        <f t="shared" si="47"/>
        <v>1133</v>
      </c>
      <c r="J744">
        <v>0</v>
      </c>
      <c r="K744" s="3" t="str">
        <f>VLOOKUP(J744,'LibSets constants'!$A$4:$B$1012,2,FALSE)</f>
        <v>DLC_BASE_GAME</v>
      </c>
      <c r="L744" s="3" t="str">
        <f>VLOOKUP(J744,'LibSets constants'!$A$4:$C$1012,3,FALSE)</f>
        <v>Included in base game</v>
      </c>
    </row>
    <row r="745" spans="1:12" x14ac:dyDescent="0.25">
      <c r="A745" s="5">
        <v>1152</v>
      </c>
      <c r="B745" s="5">
        <v>740</v>
      </c>
      <c r="C745" s="5">
        <v>684</v>
      </c>
      <c r="D745" t="s">
        <v>1643</v>
      </c>
      <c r="E745" s="3" t="str">
        <f t="array" ref="E745">IF(OR(EXACT(A745,'ESO Dungeon constants'!$D$3:$D$987)),"X","")</f>
        <v>X</v>
      </c>
      <c r="F745" s="3" t="str">
        <f t="shared" si="44"/>
        <v/>
      </c>
      <c r="G745" s="3" t="str">
        <f t="shared" si="45"/>
        <v>Wrothgar</v>
      </c>
      <c r="H745" s="17">
        <f t="shared" si="46"/>
        <v>1152</v>
      </c>
      <c r="I745" s="17">
        <f t="shared" si="47"/>
        <v>684</v>
      </c>
      <c r="J745">
        <v>0</v>
      </c>
      <c r="K745" s="3" t="str">
        <f>VLOOKUP(J745,'LibSets constants'!$A$4:$B$1012,2,FALSE)</f>
        <v>DLC_BASE_GAME</v>
      </c>
      <c r="L745" s="3" t="str">
        <f>VLOOKUP(J745,'LibSets constants'!$A$4:$C$1012,3,FALSE)</f>
        <v>Included in base game</v>
      </c>
    </row>
    <row r="746" spans="1:12" x14ac:dyDescent="0.25">
      <c r="A746" s="5">
        <v>1153</v>
      </c>
      <c r="B746" s="5">
        <v>741</v>
      </c>
      <c r="C746" s="5">
        <v>92</v>
      </c>
      <c r="D746" t="s">
        <v>1642</v>
      </c>
      <c r="E746" s="3" t="str">
        <f t="array" ref="E746">IF(OR(EXACT(A746,'ESO Dungeon constants'!$D$3:$D$987)),"X","")</f>
        <v>X</v>
      </c>
      <c r="F746" s="3" t="str">
        <f t="shared" si="44"/>
        <v/>
      </c>
      <c r="G746" s="3" t="str">
        <f t="shared" si="45"/>
        <v>Bangkorai</v>
      </c>
      <c r="H746" s="17">
        <f t="shared" si="46"/>
        <v>1153</v>
      </c>
      <c r="I746" s="17">
        <f t="shared" si="47"/>
        <v>92</v>
      </c>
      <c r="J746">
        <v>0</v>
      </c>
      <c r="K746" s="3" t="str">
        <f>VLOOKUP(J746,'LibSets constants'!$A$4:$B$1012,2,FALSE)</f>
        <v>DLC_BASE_GAME</v>
      </c>
      <c r="L746" s="3" t="str">
        <f>VLOOKUP(J746,'LibSets constants'!$A$4:$C$1012,3,FALSE)</f>
        <v>Included in base game</v>
      </c>
    </row>
    <row r="747" spans="1:12" x14ac:dyDescent="0.25">
      <c r="A747" s="5">
        <v>1154</v>
      </c>
      <c r="B747" s="5">
        <v>742</v>
      </c>
      <c r="C747" s="5">
        <v>1086</v>
      </c>
      <c r="D747" t="s">
        <v>1492</v>
      </c>
      <c r="E747" s="3" t="str">
        <f t="array" ref="E747">IF(OR(EXACT(A747,'ESO Dungeon constants'!$D$3:$D$987)),"X","")</f>
        <v/>
      </c>
      <c r="F747" s="3" t="str">
        <f t="shared" si="44"/>
        <v/>
      </c>
      <c r="G747" s="3" t="str">
        <f t="shared" si="45"/>
        <v>Northern Elsweyr</v>
      </c>
      <c r="H747" s="17">
        <f t="shared" si="46"/>
        <v>1154</v>
      </c>
      <c r="I747" s="17">
        <f t="shared" si="47"/>
        <v>1086</v>
      </c>
      <c r="J747">
        <v>20</v>
      </c>
      <c r="K747" s="3" t="str">
        <f>VLOOKUP(J747,'LibSets constants'!$A$4:$B$1012,2,FALSE)</f>
        <v>DLC_MARKARTH</v>
      </c>
      <c r="L747" s="3" t="str">
        <f>VLOOKUP(J747,'LibSets constants'!$A$4:$C$1012,3,FALSE)</f>
        <v>Markarth</v>
      </c>
    </row>
    <row r="748" spans="1:12" x14ac:dyDescent="0.25">
      <c r="A748" s="5">
        <v>1155</v>
      </c>
      <c r="B748" s="5">
        <v>743</v>
      </c>
      <c r="C748" s="5">
        <v>20</v>
      </c>
      <c r="D748" t="s">
        <v>1493</v>
      </c>
      <c r="E748" s="3" t="str">
        <f t="array" ref="E748">IF(OR(EXACT(A748,'ESO Dungeon constants'!$D$3:$D$987)),"X","")</f>
        <v/>
      </c>
      <c r="F748" s="3" t="str">
        <f t="shared" si="44"/>
        <v/>
      </c>
      <c r="G748" s="3" t="str">
        <f t="shared" si="45"/>
        <v>Rivenspire</v>
      </c>
      <c r="H748" s="17">
        <f t="shared" si="46"/>
        <v>1155</v>
      </c>
      <c r="I748" s="17">
        <f t="shared" si="47"/>
        <v>20</v>
      </c>
      <c r="J748">
        <v>18</v>
      </c>
      <c r="K748" s="3" t="str">
        <f>VLOOKUP(J748,'LibSets constants'!$A$4:$B$1012,2,FALSE)</f>
        <v>DLC_GREYMOOR</v>
      </c>
      <c r="L748" s="3" t="str">
        <f>VLOOKUP(J748,'LibSets constants'!$A$4:$C$1012,3,FALSE)</f>
        <v>Greymoor</v>
      </c>
    </row>
    <row r="749" spans="1:12" x14ac:dyDescent="0.25">
      <c r="A749" s="5">
        <v>1160</v>
      </c>
      <c r="B749" s="5">
        <v>744</v>
      </c>
      <c r="C749" s="5">
        <v>1160</v>
      </c>
      <c r="D749" t="s">
        <v>1684</v>
      </c>
      <c r="E749" s="3" t="str">
        <f t="array" ref="E749">IF(OR(EXACT(A749,'ESO Dungeon constants'!$D$3:$D$987)),"X","")</f>
        <v/>
      </c>
      <c r="F749" s="3" t="str">
        <f t="shared" si="44"/>
        <v>X</v>
      </c>
      <c r="G749" s="3" t="str">
        <f t="shared" si="45"/>
        <v/>
      </c>
      <c r="H749" s="17">
        <f t="shared" si="46"/>
        <v>1160</v>
      </c>
      <c r="I749" s="17">
        <f t="shared" si="47"/>
        <v>1160</v>
      </c>
      <c r="J749">
        <v>0</v>
      </c>
      <c r="K749" s="3" t="str">
        <f>VLOOKUP(J749,'LibSets constants'!$A$4:$B$1012,2,FALSE)</f>
        <v>DLC_BASE_GAME</v>
      </c>
      <c r="L749" s="3" t="str">
        <f>VLOOKUP(J749,'LibSets constants'!$A$4:$C$1012,3,FALSE)</f>
        <v>Included in base game</v>
      </c>
    </row>
    <row r="750" spans="1:12" x14ac:dyDescent="0.25">
      <c r="A750" s="5">
        <v>1161</v>
      </c>
      <c r="B750" s="5">
        <v>745</v>
      </c>
      <c r="C750" s="5">
        <v>1161</v>
      </c>
      <c r="D750" t="s">
        <v>1714</v>
      </c>
      <c r="E750" s="3" t="str">
        <f t="array" ref="E750">IF(OR(EXACT(A750,'ESO Dungeon constants'!$D$3:$D$987)),"X","")</f>
        <v/>
      </c>
      <c r="F750" s="3" t="str">
        <f t="shared" si="44"/>
        <v>X</v>
      </c>
      <c r="G750" s="3" t="str">
        <f t="shared" si="45"/>
        <v/>
      </c>
      <c r="H750" s="17">
        <f t="shared" si="46"/>
        <v>1161</v>
      </c>
      <c r="I750" s="17">
        <f t="shared" si="47"/>
        <v>1161</v>
      </c>
      <c r="J750">
        <v>20</v>
      </c>
      <c r="K750" s="3" t="str">
        <f>VLOOKUP(J750,'LibSets constants'!$A$4:$B$1012,2,FALSE)</f>
        <v>DLC_MARKARTH</v>
      </c>
      <c r="L750" s="3" t="str">
        <f>VLOOKUP(J750,'LibSets constants'!$A$4:$C$1012,3,FALSE)</f>
        <v>Markarth</v>
      </c>
    </row>
    <row r="751" spans="1:12" x14ac:dyDescent="0.25">
      <c r="A751" s="5">
        <v>1165</v>
      </c>
      <c r="B751" s="5">
        <v>746</v>
      </c>
      <c r="C751" s="5">
        <v>1161</v>
      </c>
      <c r="D751" t="s">
        <v>1685</v>
      </c>
      <c r="E751" s="3" t="str">
        <f t="array" ref="E751">IF(OR(EXACT(A751,'ESO Dungeon constants'!$D$3:$D$987)),"X","")</f>
        <v/>
      </c>
      <c r="F751" s="3" t="str">
        <f t="shared" si="44"/>
        <v/>
      </c>
      <c r="G751" s="3" t="str">
        <f t="shared" si="45"/>
        <v>Blackreach: Greymoor Caverns</v>
      </c>
      <c r="H751" s="17">
        <f t="shared" si="46"/>
        <v>1165</v>
      </c>
      <c r="I751" s="17">
        <f t="shared" si="47"/>
        <v>1161</v>
      </c>
      <c r="J751">
        <v>0</v>
      </c>
      <c r="K751" s="3" t="str">
        <f>VLOOKUP(J751,'LibSets constants'!$A$4:$B$1012,2,FALSE)</f>
        <v>DLC_BASE_GAME</v>
      </c>
      <c r="L751" s="3" t="str">
        <f>VLOOKUP(J751,'LibSets constants'!$A$4:$C$1012,3,FALSE)</f>
        <v>Included in base game</v>
      </c>
    </row>
    <row r="752" spans="1:12" x14ac:dyDescent="0.25">
      <c r="A752" s="5">
        <v>1166</v>
      </c>
      <c r="B752" s="5">
        <v>747</v>
      </c>
      <c r="C752" s="5">
        <v>1160</v>
      </c>
      <c r="D752" t="s">
        <v>1713</v>
      </c>
      <c r="E752" s="3" t="str">
        <f t="array" ref="E752">IF(OR(EXACT(A752,'ESO Dungeon constants'!$D$3:$D$987)),"X","")</f>
        <v/>
      </c>
      <c r="F752" s="3" t="str">
        <f t="shared" si="44"/>
        <v/>
      </c>
      <c r="G752" s="3" t="str">
        <f t="shared" si="45"/>
        <v>Western Skyrim</v>
      </c>
      <c r="H752" s="17">
        <f t="shared" si="46"/>
        <v>1166</v>
      </c>
      <c r="I752" s="17">
        <f t="shared" si="47"/>
        <v>1160</v>
      </c>
      <c r="J752">
        <v>0</v>
      </c>
      <c r="K752" s="3" t="str">
        <f>VLOOKUP(J752,'LibSets constants'!$A$4:$B$1012,2,FALSE)</f>
        <v>DLC_BASE_GAME</v>
      </c>
      <c r="L752" s="3" t="str">
        <f>VLOOKUP(J752,'LibSets constants'!$A$4:$C$1012,3,FALSE)</f>
        <v>Included in base game</v>
      </c>
    </row>
    <row r="753" spans="1:12" x14ac:dyDescent="0.25">
      <c r="A753" s="5">
        <v>1167</v>
      </c>
      <c r="B753" s="5">
        <v>748</v>
      </c>
      <c r="C753" s="5">
        <v>1160</v>
      </c>
      <c r="D753" t="s">
        <v>1686</v>
      </c>
      <c r="E753" s="3" t="str">
        <f t="array" ref="E753">IF(OR(EXACT(A753,'ESO Dungeon constants'!$D$3:$D$987)),"X","")</f>
        <v/>
      </c>
      <c r="F753" s="3" t="str">
        <f t="shared" si="44"/>
        <v/>
      </c>
      <c r="G753" s="3" t="str">
        <f t="shared" si="45"/>
        <v>Western Skyrim</v>
      </c>
      <c r="H753" s="17">
        <f t="shared" si="46"/>
        <v>1167</v>
      </c>
      <c r="I753" s="17">
        <f t="shared" si="47"/>
        <v>1160</v>
      </c>
      <c r="J753">
        <v>0</v>
      </c>
      <c r="K753" s="3" t="str">
        <f>VLOOKUP(J753,'LibSets constants'!$A$4:$B$1012,2,FALSE)</f>
        <v>DLC_BASE_GAME</v>
      </c>
      <c r="L753" s="3" t="str">
        <f>VLOOKUP(J753,'LibSets constants'!$A$4:$C$1012,3,FALSE)</f>
        <v>Included in base game</v>
      </c>
    </row>
    <row r="754" spans="1:12" x14ac:dyDescent="0.25">
      <c r="A754" s="5">
        <v>1168</v>
      </c>
      <c r="B754" s="5">
        <v>749</v>
      </c>
      <c r="C754" s="5">
        <v>1160</v>
      </c>
      <c r="D754" t="s">
        <v>1712</v>
      </c>
      <c r="E754" s="3" t="str">
        <f t="array" ref="E754">IF(OR(EXACT(A754,'ESO Dungeon constants'!$D$3:$D$987)),"X","")</f>
        <v/>
      </c>
      <c r="F754" s="3" t="str">
        <f t="shared" si="44"/>
        <v/>
      </c>
      <c r="G754" s="3" t="str">
        <f t="shared" si="45"/>
        <v>Western Skyrim</v>
      </c>
      <c r="H754" s="17">
        <f t="shared" si="46"/>
        <v>1168</v>
      </c>
      <c r="I754" s="17">
        <f t="shared" si="47"/>
        <v>1160</v>
      </c>
      <c r="J754">
        <v>16</v>
      </c>
      <c r="K754" s="3" t="str">
        <f>VLOOKUP(J754,'LibSets constants'!$A$4:$B$1012,2,FALSE)</f>
        <v>DLC_DRAGONHOLD</v>
      </c>
      <c r="L754" s="3" t="str">
        <f>VLOOKUP(J754,'LibSets constants'!$A$4:$C$1012,3,FALSE)</f>
        <v>Dragonhold</v>
      </c>
    </row>
    <row r="755" spans="1:12" x14ac:dyDescent="0.25">
      <c r="A755" s="5">
        <v>1169</v>
      </c>
      <c r="B755" s="5">
        <v>750</v>
      </c>
      <c r="C755" s="5">
        <v>1160</v>
      </c>
      <c r="D755" t="s">
        <v>1687</v>
      </c>
      <c r="E755" s="3" t="str">
        <f t="array" ref="E755">IF(OR(EXACT(A755,'ESO Dungeon constants'!$D$3:$D$987)),"X","")</f>
        <v/>
      </c>
      <c r="F755" s="3" t="str">
        <f t="shared" si="44"/>
        <v/>
      </c>
      <c r="G755" s="3" t="str">
        <f t="shared" si="45"/>
        <v>Western Skyrim</v>
      </c>
      <c r="H755" s="17">
        <f t="shared" si="46"/>
        <v>1169</v>
      </c>
      <c r="I755" s="17">
        <f t="shared" si="47"/>
        <v>1160</v>
      </c>
      <c r="J755">
        <v>0</v>
      </c>
      <c r="K755" s="3" t="str">
        <f>VLOOKUP(J755,'LibSets constants'!$A$4:$B$1012,2,FALSE)</f>
        <v>DLC_BASE_GAME</v>
      </c>
      <c r="L755" s="3" t="str">
        <f>VLOOKUP(J755,'LibSets constants'!$A$4:$C$1012,3,FALSE)</f>
        <v>Included in base game</v>
      </c>
    </row>
    <row r="756" spans="1:12" x14ac:dyDescent="0.25">
      <c r="A756" s="5">
        <v>1170</v>
      </c>
      <c r="B756" s="5">
        <v>751</v>
      </c>
      <c r="C756" s="5">
        <v>1160</v>
      </c>
      <c r="D756" t="s">
        <v>1711</v>
      </c>
      <c r="E756" s="3" t="str">
        <f t="array" ref="E756">IF(OR(EXACT(A756,'ESO Dungeon constants'!$D$3:$D$987)),"X","")</f>
        <v/>
      </c>
      <c r="F756" s="3" t="str">
        <f t="shared" si="44"/>
        <v/>
      </c>
      <c r="G756" s="3" t="str">
        <f t="shared" si="45"/>
        <v>Western Skyrim</v>
      </c>
      <c r="H756" s="17">
        <f t="shared" si="46"/>
        <v>1170</v>
      </c>
      <c r="I756" s="17">
        <f t="shared" si="47"/>
        <v>1160</v>
      </c>
      <c r="J756">
        <v>0</v>
      </c>
      <c r="K756" s="3" t="str">
        <f>VLOOKUP(J756,'LibSets constants'!$A$4:$B$1012,2,FALSE)</f>
        <v>DLC_BASE_GAME</v>
      </c>
      <c r="L756" s="3" t="str">
        <f>VLOOKUP(J756,'LibSets constants'!$A$4:$C$1012,3,FALSE)</f>
        <v>Included in base game</v>
      </c>
    </row>
    <row r="757" spans="1:12" x14ac:dyDescent="0.25">
      <c r="A757" s="5">
        <v>1171</v>
      </c>
      <c r="B757" s="5">
        <v>752</v>
      </c>
      <c r="C757" s="5">
        <v>1161</v>
      </c>
      <c r="D757" t="s">
        <v>1688</v>
      </c>
      <c r="E757" s="3" t="str">
        <f t="array" ref="E757">IF(OR(EXACT(A757,'ESO Dungeon constants'!$D$3:$D$987)),"X","")</f>
        <v/>
      </c>
      <c r="F757" s="3" t="str">
        <f t="shared" si="44"/>
        <v/>
      </c>
      <c r="G757" s="3" t="str">
        <f t="shared" si="45"/>
        <v>Blackreach: Greymoor Caverns</v>
      </c>
      <c r="H757" s="17">
        <f t="shared" si="46"/>
        <v>1171</v>
      </c>
      <c r="I757" s="17">
        <f t="shared" si="47"/>
        <v>1161</v>
      </c>
      <c r="J757">
        <v>0</v>
      </c>
      <c r="K757" s="3" t="str">
        <f>VLOOKUP(J757,'LibSets constants'!$A$4:$B$1012,2,FALSE)</f>
        <v>DLC_BASE_GAME</v>
      </c>
      <c r="L757" s="3" t="str">
        <f>VLOOKUP(J757,'LibSets constants'!$A$4:$C$1012,3,FALSE)</f>
        <v>Included in base game</v>
      </c>
    </row>
    <row r="758" spans="1:12" x14ac:dyDescent="0.25">
      <c r="A758" s="5">
        <v>1172</v>
      </c>
      <c r="B758" s="5">
        <v>753</v>
      </c>
      <c r="C758" s="5">
        <v>1161</v>
      </c>
      <c r="D758" t="s">
        <v>1709</v>
      </c>
      <c r="E758" s="3" t="str">
        <f t="array" ref="E758">IF(OR(EXACT(A758,'ESO Dungeon constants'!$D$3:$D$987)),"X","")</f>
        <v/>
      </c>
      <c r="F758" s="3" t="str">
        <f t="shared" si="44"/>
        <v/>
      </c>
      <c r="G758" s="3" t="str">
        <f t="shared" si="45"/>
        <v>Blackreach: Greymoor Caverns</v>
      </c>
      <c r="H758" s="17">
        <f t="shared" si="46"/>
        <v>1172</v>
      </c>
      <c r="I758" s="17">
        <f t="shared" si="47"/>
        <v>1161</v>
      </c>
      <c r="J758">
        <v>18</v>
      </c>
      <c r="K758" s="3" t="str">
        <f>VLOOKUP(J758,'LibSets constants'!$A$4:$B$1012,2,FALSE)</f>
        <v>DLC_GREYMOOR</v>
      </c>
      <c r="L758" s="3" t="str">
        <f>VLOOKUP(J758,'LibSets constants'!$A$4:$C$1012,3,FALSE)</f>
        <v>Greymoor</v>
      </c>
    </row>
    <row r="759" spans="1:12" x14ac:dyDescent="0.25">
      <c r="A759" s="5">
        <v>1173</v>
      </c>
      <c r="B759" s="5">
        <v>754</v>
      </c>
      <c r="C759" s="5">
        <v>1161</v>
      </c>
      <c r="D759" t="s">
        <v>1689</v>
      </c>
      <c r="E759" s="3" t="str">
        <f t="array" ref="E759">IF(OR(EXACT(A759,'ESO Dungeon constants'!$D$3:$D$987)),"X","")</f>
        <v/>
      </c>
      <c r="F759" s="3" t="str">
        <f t="shared" si="44"/>
        <v/>
      </c>
      <c r="G759" s="3" t="str">
        <f t="shared" si="45"/>
        <v>Blackreach: Greymoor Caverns</v>
      </c>
      <c r="H759" s="17">
        <f t="shared" si="46"/>
        <v>1173</v>
      </c>
      <c r="I759" s="17">
        <f t="shared" si="47"/>
        <v>1161</v>
      </c>
      <c r="J759">
        <v>0</v>
      </c>
      <c r="K759" s="3" t="str">
        <f>VLOOKUP(J759,'LibSets constants'!$A$4:$B$1012,2,FALSE)</f>
        <v>DLC_BASE_GAME</v>
      </c>
      <c r="L759" s="3" t="str">
        <f>VLOOKUP(J759,'LibSets constants'!$A$4:$C$1012,3,FALSE)</f>
        <v>Included in base game</v>
      </c>
    </row>
    <row r="760" spans="1:12" x14ac:dyDescent="0.25">
      <c r="A760" s="5">
        <v>1174</v>
      </c>
      <c r="B760" s="5">
        <v>755</v>
      </c>
      <c r="C760" s="5">
        <v>1160</v>
      </c>
      <c r="D760" t="s">
        <v>1690</v>
      </c>
      <c r="E760" s="3" t="str">
        <f t="array" ref="E760">IF(OR(EXACT(A760,'ESO Dungeon constants'!$D$3:$D$987)),"X","")</f>
        <v/>
      </c>
      <c r="F760" s="3" t="str">
        <f t="shared" si="44"/>
        <v/>
      </c>
      <c r="G760" s="3" t="str">
        <f t="shared" si="45"/>
        <v>Western Skyrim</v>
      </c>
      <c r="H760" s="17">
        <f t="shared" si="46"/>
        <v>1174</v>
      </c>
      <c r="I760" s="17">
        <f t="shared" si="47"/>
        <v>1160</v>
      </c>
      <c r="J760">
        <v>0</v>
      </c>
      <c r="K760" s="3" t="str">
        <f>VLOOKUP(J760,'LibSets constants'!$A$4:$B$1012,2,FALSE)</f>
        <v>DLC_BASE_GAME</v>
      </c>
      <c r="L760" s="3" t="str">
        <f>VLOOKUP(J760,'LibSets constants'!$A$4:$C$1012,3,FALSE)</f>
        <v>Included in base game</v>
      </c>
    </row>
    <row r="761" spans="1:12" x14ac:dyDescent="0.25">
      <c r="A761" s="5">
        <v>1175</v>
      </c>
      <c r="B761" s="5">
        <v>756</v>
      </c>
      <c r="C761" s="5">
        <v>1175</v>
      </c>
      <c r="D761" t="s">
        <v>1691</v>
      </c>
      <c r="E761" s="3" t="str">
        <f t="array" ref="E761">IF(OR(EXACT(A761,'ESO Dungeon constants'!$D$3:$D$987)),"X","")</f>
        <v/>
      </c>
      <c r="F761" s="3" t="str">
        <f t="shared" si="44"/>
        <v>X</v>
      </c>
      <c r="G761" s="3" t="str">
        <f t="shared" si="45"/>
        <v/>
      </c>
      <c r="H761" s="17">
        <f t="shared" si="46"/>
        <v>1175</v>
      </c>
      <c r="I761" s="17">
        <f t="shared" si="47"/>
        <v>1175</v>
      </c>
      <c r="J761">
        <v>0</v>
      </c>
      <c r="K761" s="3" t="str">
        <f>VLOOKUP(J761,'LibSets constants'!$A$4:$B$1012,2,FALSE)</f>
        <v>DLC_BASE_GAME</v>
      </c>
      <c r="L761" s="3" t="str">
        <f>VLOOKUP(J761,'LibSets constants'!$A$4:$C$1012,3,FALSE)</f>
        <v>Included in base game</v>
      </c>
    </row>
    <row r="762" spans="1:12" x14ac:dyDescent="0.25">
      <c r="A762" s="5">
        <v>1176</v>
      </c>
      <c r="B762" s="5">
        <v>757</v>
      </c>
      <c r="C762" s="5">
        <v>1160</v>
      </c>
      <c r="D762" t="s">
        <v>1692</v>
      </c>
      <c r="E762" s="3" t="str">
        <f t="array" ref="E762">IF(OR(EXACT(A762,'ESO Dungeon constants'!$D$3:$D$987)),"X","")</f>
        <v/>
      </c>
      <c r="F762" s="3" t="str">
        <f t="shared" si="44"/>
        <v/>
      </c>
      <c r="G762" s="3" t="str">
        <f t="shared" si="45"/>
        <v>Western Skyrim</v>
      </c>
      <c r="H762" s="17">
        <f t="shared" si="46"/>
        <v>1176</v>
      </c>
      <c r="I762" s="17">
        <f t="shared" si="47"/>
        <v>1160</v>
      </c>
      <c r="J762">
        <v>0</v>
      </c>
      <c r="K762" s="3" t="str">
        <f>VLOOKUP(J762,'LibSets constants'!$A$4:$B$1012,2,FALSE)</f>
        <v>DLC_BASE_GAME</v>
      </c>
      <c r="L762" s="3" t="str">
        <f>VLOOKUP(J762,'LibSets constants'!$A$4:$C$1012,3,FALSE)</f>
        <v>Included in base game</v>
      </c>
    </row>
    <row r="763" spans="1:12" x14ac:dyDescent="0.25">
      <c r="A763" s="5">
        <v>1177</v>
      </c>
      <c r="B763" s="5">
        <v>758</v>
      </c>
      <c r="C763" s="5">
        <v>1160</v>
      </c>
      <c r="D763" t="s">
        <v>1693</v>
      </c>
      <c r="E763" s="3" t="str">
        <f t="array" ref="E763">IF(OR(EXACT(A763,'ESO Dungeon constants'!$D$3:$D$987)),"X","")</f>
        <v/>
      </c>
      <c r="F763" s="3" t="str">
        <f t="shared" si="44"/>
        <v/>
      </c>
      <c r="G763" s="3" t="str">
        <f t="shared" si="45"/>
        <v>Western Skyrim</v>
      </c>
      <c r="H763" s="17">
        <f t="shared" si="46"/>
        <v>1177</v>
      </c>
      <c r="I763" s="17">
        <f t="shared" si="47"/>
        <v>1160</v>
      </c>
      <c r="J763">
        <v>0</v>
      </c>
      <c r="K763" s="3" t="str">
        <f>VLOOKUP(J763,'LibSets constants'!$A$4:$B$1012,2,FALSE)</f>
        <v>DLC_BASE_GAME</v>
      </c>
      <c r="L763" s="3" t="str">
        <f>VLOOKUP(J763,'LibSets constants'!$A$4:$C$1012,3,FALSE)</f>
        <v>Included in base game</v>
      </c>
    </row>
    <row r="764" spans="1:12" x14ac:dyDescent="0.25">
      <c r="A764" s="5">
        <v>1178</v>
      </c>
      <c r="B764" s="5">
        <v>759</v>
      </c>
      <c r="C764" s="5">
        <v>1160</v>
      </c>
      <c r="D764" t="s">
        <v>1694</v>
      </c>
      <c r="E764" s="3" t="str">
        <f t="array" ref="E764">IF(OR(EXACT(A764,'ESO Dungeon constants'!$D$3:$D$987)),"X","")</f>
        <v/>
      </c>
      <c r="F764" s="3" t="str">
        <f t="shared" si="44"/>
        <v/>
      </c>
      <c r="G764" s="3" t="str">
        <f t="shared" si="45"/>
        <v>Western Skyrim</v>
      </c>
      <c r="H764" s="17">
        <f t="shared" si="46"/>
        <v>1178</v>
      </c>
      <c r="I764" s="17">
        <f t="shared" si="47"/>
        <v>1160</v>
      </c>
      <c r="J764">
        <v>0</v>
      </c>
      <c r="K764" s="3" t="str">
        <f>VLOOKUP(J764,'LibSets constants'!$A$4:$B$1012,2,FALSE)</f>
        <v>DLC_BASE_GAME</v>
      </c>
      <c r="L764" s="3" t="str">
        <f>VLOOKUP(J764,'LibSets constants'!$A$4:$C$1012,3,FALSE)</f>
        <v>Included in base game</v>
      </c>
    </row>
    <row r="765" spans="1:12" x14ac:dyDescent="0.25">
      <c r="A765" s="5">
        <v>1179</v>
      </c>
      <c r="B765" s="5">
        <v>760</v>
      </c>
      <c r="C765" s="5">
        <v>1160</v>
      </c>
      <c r="D765" t="s">
        <v>1695</v>
      </c>
      <c r="E765" s="3" t="str">
        <f t="array" ref="E765">IF(OR(EXACT(A765,'ESO Dungeon constants'!$D$3:$D$987)),"X","")</f>
        <v/>
      </c>
      <c r="F765" s="3" t="str">
        <f t="shared" si="44"/>
        <v/>
      </c>
      <c r="G765" s="3" t="str">
        <f t="shared" si="45"/>
        <v>Western Skyrim</v>
      </c>
      <c r="H765" s="17">
        <f t="shared" si="46"/>
        <v>1179</v>
      </c>
      <c r="I765" s="17">
        <f t="shared" si="47"/>
        <v>1160</v>
      </c>
      <c r="J765">
        <v>0</v>
      </c>
      <c r="K765" s="3" t="str">
        <f>VLOOKUP(J765,'LibSets constants'!$A$4:$B$1012,2,FALSE)</f>
        <v>DLC_BASE_GAME</v>
      </c>
      <c r="L765" s="3" t="str">
        <f>VLOOKUP(J765,'LibSets constants'!$A$4:$C$1012,3,FALSE)</f>
        <v>Included in base game</v>
      </c>
    </row>
    <row r="766" spans="1:12" x14ac:dyDescent="0.25">
      <c r="A766" s="5">
        <v>1180</v>
      </c>
      <c r="B766" s="5">
        <v>761</v>
      </c>
      <c r="C766" s="5">
        <v>383</v>
      </c>
      <c r="D766" t="s">
        <v>2393</v>
      </c>
      <c r="E766" s="3" t="str">
        <f t="array" ref="E766">IF(OR(EXACT(A766,'ESO Dungeon constants'!$D$3:$D$987)),"X","")</f>
        <v/>
      </c>
      <c r="F766" s="3" t="str">
        <f t="shared" si="44"/>
        <v/>
      </c>
      <c r="G766" s="3" t="str">
        <f t="shared" si="45"/>
        <v>Grahtwood</v>
      </c>
      <c r="H766" s="17">
        <f t="shared" si="46"/>
        <v>1180</v>
      </c>
      <c r="I766" s="17">
        <f t="shared" si="47"/>
        <v>383</v>
      </c>
      <c r="J766">
        <v>0</v>
      </c>
      <c r="K766" s="3" t="str">
        <f>VLOOKUP(J766,'LibSets constants'!$A$4:$B$1012,2,FALSE)</f>
        <v>DLC_BASE_GAME</v>
      </c>
      <c r="L766" s="3" t="str">
        <f>VLOOKUP(J766,'LibSets constants'!$A$4:$C$1012,3,FALSE)</f>
        <v>Included in base game</v>
      </c>
    </row>
    <row r="767" spans="1:12" x14ac:dyDescent="0.25">
      <c r="A767" s="5">
        <v>1181</v>
      </c>
      <c r="B767" s="5">
        <v>762</v>
      </c>
      <c r="C767" s="5">
        <v>1161</v>
      </c>
      <c r="D767" t="s">
        <v>1696</v>
      </c>
      <c r="E767" s="3" t="str">
        <f t="array" ref="E767">IF(OR(EXACT(A767,'ESO Dungeon constants'!$D$3:$D$987)),"X","")</f>
        <v/>
      </c>
      <c r="F767" s="3" t="str">
        <f t="shared" si="44"/>
        <v/>
      </c>
      <c r="G767" s="3" t="str">
        <f t="shared" si="45"/>
        <v>Blackreach: Greymoor Caverns</v>
      </c>
      <c r="H767" s="17">
        <f t="shared" si="46"/>
        <v>1181</v>
      </c>
      <c r="I767" s="17">
        <f t="shared" si="47"/>
        <v>1161</v>
      </c>
      <c r="J767">
        <v>0</v>
      </c>
      <c r="K767" s="3" t="str">
        <f>VLOOKUP(J767,'LibSets constants'!$A$4:$B$1012,2,FALSE)</f>
        <v>DLC_BASE_GAME</v>
      </c>
      <c r="L767" s="3" t="str">
        <f>VLOOKUP(J767,'LibSets constants'!$A$4:$C$1012,3,FALSE)</f>
        <v>Included in base game</v>
      </c>
    </row>
    <row r="768" spans="1:12" x14ac:dyDescent="0.25">
      <c r="A768" s="5">
        <v>1182</v>
      </c>
      <c r="B768" s="5">
        <v>763</v>
      </c>
      <c r="C768" s="5">
        <v>1160</v>
      </c>
      <c r="D768" t="s">
        <v>1697</v>
      </c>
      <c r="E768" s="3" t="str">
        <f t="array" ref="E768">IF(OR(EXACT(A768,'ESO Dungeon constants'!$D$3:$D$987)),"X","")</f>
        <v/>
      </c>
      <c r="F768" s="3" t="str">
        <f t="shared" si="44"/>
        <v/>
      </c>
      <c r="G768" s="3" t="str">
        <f t="shared" si="45"/>
        <v>Western Skyrim</v>
      </c>
      <c r="H768" s="17">
        <f t="shared" si="46"/>
        <v>1182</v>
      </c>
      <c r="I768" s="17">
        <f t="shared" si="47"/>
        <v>1160</v>
      </c>
      <c r="J768">
        <v>0</v>
      </c>
      <c r="K768" s="3" t="str">
        <f>VLOOKUP(J768,'LibSets constants'!$A$4:$B$1012,2,FALSE)</f>
        <v>DLC_BASE_GAME</v>
      </c>
      <c r="L768" s="3" t="str">
        <f>VLOOKUP(J768,'LibSets constants'!$A$4:$C$1012,3,FALSE)</f>
        <v>Included in base game</v>
      </c>
    </row>
    <row r="769" spans="1:12" x14ac:dyDescent="0.25">
      <c r="A769" s="5">
        <v>1183</v>
      </c>
      <c r="B769" s="5">
        <v>764</v>
      </c>
      <c r="C769" s="5">
        <v>1161</v>
      </c>
      <c r="D769" t="s">
        <v>1708</v>
      </c>
      <c r="E769" s="3" t="str">
        <f t="array" ref="E769">IF(OR(EXACT(A769,'ESO Dungeon constants'!$D$3:$D$987)),"X","")</f>
        <v/>
      </c>
      <c r="F769" s="3" t="str">
        <f t="shared" si="44"/>
        <v/>
      </c>
      <c r="G769" s="3" t="str">
        <f t="shared" si="45"/>
        <v>Blackreach: Greymoor Caverns</v>
      </c>
      <c r="H769" s="17">
        <f t="shared" si="46"/>
        <v>1183</v>
      </c>
      <c r="I769" s="17">
        <f t="shared" si="47"/>
        <v>1161</v>
      </c>
      <c r="J769">
        <v>18</v>
      </c>
      <c r="K769" s="3" t="str">
        <f>VLOOKUP(J769,'LibSets constants'!$A$4:$B$1012,2,FALSE)</f>
        <v>DLC_GREYMOOR</v>
      </c>
      <c r="L769" s="3" t="str">
        <f>VLOOKUP(J769,'LibSets constants'!$A$4:$C$1012,3,FALSE)</f>
        <v>Greymoor</v>
      </c>
    </row>
    <row r="770" spans="1:12" x14ac:dyDescent="0.25">
      <c r="A770" s="5">
        <v>1184</v>
      </c>
      <c r="B770" s="5">
        <v>765</v>
      </c>
      <c r="C770" s="5">
        <v>1161</v>
      </c>
      <c r="D770" t="s">
        <v>1698</v>
      </c>
      <c r="E770" s="3" t="str">
        <f t="array" ref="E770">IF(OR(EXACT(A770,'ESO Dungeon constants'!$D$3:$D$987)),"X","")</f>
        <v/>
      </c>
      <c r="F770" s="3" t="str">
        <f t="shared" si="44"/>
        <v/>
      </c>
      <c r="G770" s="3" t="str">
        <f t="shared" si="45"/>
        <v>Blackreach: Greymoor Caverns</v>
      </c>
      <c r="H770" s="17">
        <f t="shared" si="46"/>
        <v>1184</v>
      </c>
      <c r="I770" s="17">
        <f t="shared" si="47"/>
        <v>1161</v>
      </c>
      <c r="J770">
        <v>0</v>
      </c>
      <c r="K770" s="3" t="str">
        <f>VLOOKUP(J770,'LibSets constants'!$A$4:$B$1012,2,FALSE)</f>
        <v>DLC_BASE_GAME</v>
      </c>
      <c r="L770" s="3" t="str">
        <f>VLOOKUP(J770,'LibSets constants'!$A$4:$C$1012,3,FALSE)</f>
        <v>Included in base game</v>
      </c>
    </row>
    <row r="771" spans="1:12" x14ac:dyDescent="0.25">
      <c r="A771" s="5">
        <v>1185</v>
      </c>
      <c r="B771" s="5">
        <v>766</v>
      </c>
      <c r="C771" s="5">
        <v>1160</v>
      </c>
      <c r="D771" t="s">
        <v>1699</v>
      </c>
      <c r="E771" s="3" t="str">
        <f t="array" ref="E771">IF(OR(EXACT(A771,'ESO Dungeon constants'!$D$3:$D$987)),"X","")</f>
        <v/>
      </c>
      <c r="F771" s="3" t="str">
        <f t="shared" si="44"/>
        <v/>
      </c>
      <c r="G771" s="3" t="str">
        <f t="shared" si="45"/>
        <v>Western Skyrim</v>
      </c>
      <c r="H771" s="17">
        <f t="shared" si="46"/>
        <v>1185</v>
      </c>
      <c r="I771" s="17">
        <f t="shared" si="47"/>
        <v>1160</v>
      </c>
      <c r="J771">
        <v>0</v>
      </c>
      <c r="K771" s="3" t="str">
        <f>VLOOKUP(J771,'LibSets constants'!$A$4:$B$1012,2,FALSE)</f>
        <v>DLC_BASE_GAME</v>
      </c>
      <c r="L771" s="3" t="str">
        <f>VLOOKUP(J771,'LibSets constants'!$A$4:$C$1012,3,FALSE)</f>
        <v>Included in base game</v>
      </c>
    </row>
    <row r="772" spans="1:12" x14ac:dyDescent="0.25">
      <c r="A772" s="5">
        <v>1186</v>
      </c>
      <c r="B772" s="5">
        <v>767</v>
      </c>
      <c r="C772" s="5">
        <v>1160</v>
      </c>
      <c r="D772" t="s">
        <v>1707</v>
      </c>
      <c r="E772" s="3" t="str">
        <f t="array" ref="E772">IF(OR(EXACT(A772,'ESO Dungeon constants'!$D$3:$D$987)),"X","")</f>
        <v/>
      </c>
      <c r="F772" s="3" t="str">
        <f t="shared" si="44"/>
        <v/>
      </c>
      <c r="G772" s="3" t="str">
        <f t="shared" si="45"/>
        <v>Western Skyrim</v>
      </c>
      <c r="H772" s="17">
        <f t="shared" si="46"/>
        <v>1186</v>
      </c>
      <c r="I772" s="17">
        <f t="shared" si="47"/>
        <v>1160</v>
      </c>
      <c r="J772">
        <v>18</v>
      </c>
      <c r="K772" s="3" t="str">
        <f>VLOOKUP(J772,'LibSets constants'!$A$4:$B$1012,2,FALSE)</f>
        <v>DLC_GREYMOOR</v>
      </c>
      <c r="L772" s="3" t="str">
        <f>VLOOKUP(J772,'LibSets constants'!$A$4:$C$1012,3,FALSE)</f>
        <v>Greymoor</v>
      </c>
    </row>
    <row r="773" spans="1:12" x14ac:dyDescent="0.25">
      <c r="A773" s="5">
        <v>1187</v>
      </c>
      <c r="B773" s="5">
        <v>768</v>
      </c>
      <c r="C773" s="5">
        <v>1161</v>
      </c>
      <c r="D773" t="s">
        <v>1700</v>
      </c>
      <c r="E773" s="3" t="str">
        <f t="array" ref="E773">IF(OR(EXACT(A773,'ESO Dungeon constants'!$D$3:$D$987)),"X","")</f>
        <v/>
      </c>
      <c r="F773" s="3" t="str">
        <f t="shared" ref="F773:F836" si="48">IF(EXACT(A773,C773),"X","")</f>
        <v/>
      </c>
      <c r="G773" s="3" t="str">
        <f t="shared" ref="G773:G836" si="49">IF(A773&lt;&gt;C773,VLOOKUP(C773,$A$5:$D$9954,4,FALSE),"")</f>
        <v>Blackreach: Greymoor Caverns</v>
      </c>
      <c r="H773" s="17">
        <f t="shared" ref="H773:H836" si="50">A773</f>
        <v>1187</v>
      </c>
      <c r="I773" s="17">
        <f t="shared" ref="I773:I836" si="51">C773</f>
        <v>1161</v>
      </c>
      <c r="J773">
        <v>0</v>
      </c>
      <c r="K773" s="3" t="str">
        <f>VLOOKUP(J773,'LibSets constants'!$A$4:$B$1012,2,FALSE)</f>
        <v>DLC_BASE_GAME</v>
      </c>
      <c r="L773" s="3" t="str">
        <f>VLOOKUP(J773,'LibSets constants'!$A$4:$C$1012,3,FALSE)</f>
        <v>Included in base game</v>
      </c>
    </row>
    <row r="774" spans="1:12" x14ac:dyDescent="0.25">
      <c r="A774" s="5">
        <v>1188</v>
      </c>
      <c r="B774" s="5">
        <v>769</v>
      </c>
      <c r="C774" s="5">
        <v>101</v>
      </c>
      <c r="D774" t="s">
        <v>1701</v>
      </c>
      <c r="E774" s="3" t="str">
        <f t="array" ref="E774">IF(OR(EXACT(A774,'ESO Dungeon constants'!$D$3:$D$987)),"X","")</f>
        <v/>
      </c>
      <c r="F774" s="3" t="str">
        <f t="shared" si="48"/>
        <v/>
      </c>
      <c r="G774" s="3" t="str">
        <f t="shared" si="49"/>
        <v>Eastmarch</v>
      </c>
      <c r="H774" s="17">
        <f t="shared" si="50"/>
        <v>1188</v>
      </c>
      <c r="I774" s="17">
        <f t="shared" si="51"/>
        <v>101</v>
      </c>
      <c r="J774">
        <v>0</v>
      </c>
      <c r="K774" s="3" t="str">
        <f>VLOOKUP(J774,'LibSets constants'!$A$4:$B$1012,2,FALSE)</f>
        <v>DLC_BASE_GAME</v>
      </c>
      <c r="L774" s="3" t="str">
        <f>VLOOKUP(J774,'LibSets constants'!$A$4:$C$1012,3,FALSE)</f>
        <v>Included in base game</v>
      </c>
    </row>
    <row r="775" spans="1:12" x14ac:dyDescent="0.25">
      <c r="A775" s="5">
        <v>1189</v>
      </c>
      <c r="B775" s="5">
        <v>770</v>
      </c>
      <c r="C775" s="5">
        <v>101</v>
      </c>
      <c r="D775" t="s">
        <v>1701</v>
      </c>
      <c r="E775" s="3" t="str">
        <f t="array" ref="E775">IF(OR(EXACT(A775,'ESO Dungeon constants'!$D$3:$D$987)),"X","")</f>
        <v/>
      </c>
      <c r="F775" s="3" t="str">
        <f t="shared" si="48"/>
        <v/>
      </c>
      <c r="G775" s="3" t="str">
        <f t="shared" si="49"/>
        <v>Eastmarch</v>
      </c>
      <c r="H775" s="17">
        <f t="shared" si="50"/>
        <v>1189</v>
      </c>
      <c r="I775" s="17">
        <f t="shared" si="51"/>
        <v>101</v>
      </c>
      <c r="J775">
        <v>0</v>
      </c>
      <c r="K775" s="3" t="str">
        <f>VLOOKUP(J775,'LibSets constants'!$A$4:$B$1012,2,FALSE)</f>
        <v>DLC_BASE_GAME</v>
      </c>
      <c r="L775" s="3" t="str">
        <f>VLOOKUP(J775,'LibSets constants'!$A$4:$C$1012,3,FALSE)</f>
        <v>Included in base game</v>
      </c>
    </row>
    <row r="776" spans="1:12" x14ac:dyDescent="0.25">
      <c r="A776" s="5">
        <v>1190</v>
      </c>
      <c r="B776" s="5">
        <v>771</v>
      </c>
      <c r="C776" s="5">
        <v>103</v>
      </c>
      <c r="D776" t="s">
        <v>1657</v>
      </c>
      <c r="E776" s="3" t="str">
        <f t="array" ref="E776">IF(OR(EXACT(A776,'ESO Dungeon constants'!$D$3:$D$987)),"X","")</f>
        <v/>
      </c>
      <c r="F776" s="3" t="str">
        <f t="shared" si="48"/>
        <v/>
      </c>
      <c r="G776" s="3" t="str">
        <f t="shared" si="49"/>
        <v>The Rift</v>
      </c>
      <c r="H776" s="17">
        <f t="shared" si="50"/>
        <v>1190</v>
      </c>
      <c r="I776" s="17">
        <f t="shared" si="51"/>
        <v>103</v>
      </c>
      <c r="J776">
        <v>18</v>
      </c>
      <c r="K776" s="3" t="str">
        <f>VLOOKUP(J776,'LibSets constants'!$A$4:$B$1012,2,FALSE)</f>
        <v>DLC_GREYMOOR</v>
      </c>
      <c r="L776" s="3" t="str">
        <f>VLOOKUP(J776,'LibSets constants'!$A$4:$C$1012,3,FALSE)</f>
        <v>Greymoor</v>
      </c>
    </row>
    <row r="777" spans="1:12" x14ac:dyDescent="0.25">
      <c r="A777" s="5">
        <v>1191</v>
      </c>
      <c r="B777" s="5">
        <v>772</v>
      </c>
      <c r="C777" s="5">
        <v>101</v>
      </c>
      <c r="D777" t="s">
        <v>1656</v>
      </c>
      <c r="E777" s="3" t="str">
        <f t="array" ref="E777">IF(OR(EXACT(A777,'ESO Dungeon constants'!$D$3:$D$987)),"X","")</f>
        <v/>
      </c>
      <c r="F777" s="3" t="str">
        <f t="shared" si="48"/>
        <v/>
      </c>
      <c r="G777" s="3" t="str">
        <f t="shared" si="49"/>
        <v>Eastmarch</v>
      </c>
      <c r="H777" s="17">
        <f t="shared" si="50"/>
        <v>1191</v>
      </c>
      <c r="I777" s="17">
        <f t="shared" si="51"/>
        <v>101</v>
      </c>
      <c r="J777">
        <v>0</v>
      </c>
      <c r="K777" s="3" t="str">
        <f>VLOOKUP(J777,'LibSets constants'!$A$4:$B$1012,2,FALSE)</f>
        <v>DLC_BASE_GAME</v>
      </c>
      <c r="L777" s="3" t="str">
        <f>VLOOKUP(J777,'LibSets constants'!$A$4:$C$1012,3,FALSE)</f>
        <v>Included in base game</v>
      </c>
    </row>
    <row r="778" spans="1:12" x14ac:dyDescent="0.25">
      <c r="A778" s="5">
        <v>1192</v>
      </c>
      <c r="B778" s="5">
        <v>773</v>
      </c>
      <c r="C778" s="5">
        <v>1133</v>
      </c>
      <c r="D778" t="s">
        <v>1593</v>
      </c>
      <c r="E778" s="3" t="str">
        <f t="array" ref="E778">IF(OR(EXACT(A778,'ESO Dungeon constants'!$D$3:$D$987)),"X","")</f>
        <v/>
      </c>
      <c r="F778" s="3" t="str">
        <f t="shared" si="48"/>
        <v/>
      </c>
      <c r="G778" s="3" t="str">
        <f t="shared" si="49"/>
        <v>Southern Elsweyr</v>
      </c>
      <c r="H778" s="17">
        <f t="shared" si="50"/>
        <v>1192</v>
      </c>
      <c r="I778" s="17">
        <f t="shared" si="51"/>
        <v>1133</v>
      </c>
      <c r="J778">
        <v>18</v>
      </c>
      <c r="K778" s="3" t="str">
        <f>VLOOKUP(J778,'LibSets constants'!$A$4:$B$1012,2,FALSE)</f>
        <v>DLC_GREYMOOR</v>
      </c>
      <c r="L778" s="3" t="str">
        <f>VLOOKUP(J778,'LibSets constants'!$A$4:$C$1012,3,FALSE)</f>
        <v>Greymoor</v>
      </c>
    </row>
    <row r="779" spans="1:12" x14ac:dyDescent="0.25">
      <c r="A779" s="5">
        <v>1193</v>
      </c>
      <c r="B779" s="5">
        <v>774</v>
      </c>
      <c r="C779" s="5">
        <v>1133</v>
      </c>
      <c r="D779" t="s">
        <v>1594</v>
      </c>
      <c r="E779" s="3" t="str">
        <f t="array" ref="E779">IF(OR(EXACT(A779,'ESO Dungeon constants'!$D$3:$D$987)),"X","")</f>
        <v/>
      </c>
      <c r="F779" s="3" t="str">
        <f t="shared" si="48"/>
        <v/>
      </c>
      <c r="G779" s="3" t="str">
        <f t="shared" si="49"/>
        <v>Southern Elsweyr</v>
      </c>
      <c r="H779" s="17">
        <f t="shared" si="50"/>
        <v>1193</v>
      </c>
      <c r="I779" s="17">
        <f t="shared" si="51"/>
        <v>1133</v>
      </c>
      <c r="J779">
        <v>18</v>
      </c>
      <c r="K779" s="3" t="str">
        <f>VLOOKUP(J779,'LibSets constants'!$A$4:$B$1012,2,FALSE)</f>
        <v>DLC_GREYMOOR</v>
      </c>
      <c r="L779" s="3" t="str">
        <f>VLOOKUP(J779,'LibSets constants'!$A$4:$C$1012,3,FALSE)</f>
        <v>Greymoor</v>
      </c>
    </row>
    <row r="780" spans="1:12" x14ac:dyDescent="0.25">
      <c r="A780" s="5">
        <v>1195</v>
      </c>
      <c r="B780" s="5">
        <v>775</v>
      </c>
      <c r="C780" s="5">
        <v>1161</v>
      </c>
      <c r="D780" t="s">
        <v>1702</v>
      </c>
      <c r="E780" s="3" t="str">
        <f t="array" ref="E780">IF(OR(EXACT(A780,'ESO Dungeon constants'!$D$3:$D$987)),"X","")</f>
        <v/>
      </c>
      <c r="F780" s="3" t="str">
        <f t="shared" si="48"/>
        <v/>
      </c>
      <c r="G780" s="3" t="str">
        <f t="shared" si="49"/>
        <v>Blackreach: Greymoor Caverns</v>
      </c>
      <c r="H780" s="17">
        <f t="shared" si="50"/>
        <v>1195</v>
      </c>
      <c r="I780" s="17">
        <f t="shared" si="51"/>
        <v>1161</v>
      </c>
      <c r="J780">
        <v>0</v>
      </c>
      <c r="K780" s="3" t="str">
        <f>VLOOKUP(J780,'LibSets constants'!$A$4:$B$1012,2,FALSE)</f>
        <v>DLC_BASE_GAME</v>
      </c>
      <c r="L780" s="3" t="str">
        <f>VLOOKUP(J780,'LibSets constants'!$A$4:$C$1012,3,FALSE)</f>
        <v>Included in base game</v>
      </c>
    </row>
    <row r="781" spans="1:12" x14ac:dyDescent="0.25">
      <c r="A781" s="5">
        <v>1196</v>
      </c>
      <c r="B781" s="5">
        <v>776</v>
      </c>
      <c r="C781" s="5">
        <v>1160</v>
      </c>
      <c r="D781" t="s">
        <v>1703</v>
      </c>
      <c r="E781" s="3" t="str">
        <f t="array" ref="E781">IF(OR(EXACT(A781,'ESO Dungeon constants'!$D$3:$D$987)),"X","")</f>
        <v>X</v>
      </c>
      <c r="F781" s="3" t="str">
        <f t="shared" si="48"/>
        <v/>
      </c>
      <c r="G781" s="3" t="str">
        <f t="shared" si="49"/>
        <v>Western Skyrim</v>
      </c>
      <c r="H781" s="17">
        <f t="shared" si="50"/>
        <v>1196</v>
      </c>
      <c r="I781" s="17">
        <f t="shared" si="51"/>
        <v>1160</v>
      </c>
      <c r="J781">
        <v>0</v>
      </c>
      <c r="K781" s="3" t="str">
        <f>VLOOKUP(J781,'LibSets constants'!$A$4:$B$1012,2,FALSE)</f>
        <v>DLC_BASE_GAME</v>
      </c>
      <c r="L781" s="3" t="str">
        <f>VLOOKUP(J781,'LibSets constants'!$A$4:$C$1012,3,FALSE)</f>
        <v>Included in base game</v>
      </c>
    </row>
    <row r="782" spans="1:12" x14ac:dyDescent="0.25">
      <c r="A782" s="5">
        <v>1197</v>
      </c>
      <c r="B782" s="5">
        <v>777</v>
      </c>
      <c r="C782" s="5">
        <v>1161</v>
      </c>
      <c r="D782" t="s">
        <v>1804</v>
      </c>
      <c r="E782" s="3" t="str">
        <f t="array" ref="E782">IF(OR(EXACT(A782,'ESO Dungeon constants'!$D$3:$D$987)),"X","")</f>
        <v>X</v>
      </c>
      <c r="F782" s="3" t="str">
        <f t="shared" si="48"/>
        <v/>
      </c>
      <c r="G782" s="3" t="str">
        <f t="shared" si="49"/>
        <v>Blackreach: Greymoor Caverns</v>
      </c>
      <c r="H782" s="17">
        <f t="shared" si="50"/>
        <v>1197</v>
      </c>
      <c r="I782" s="17">
        <f t="shared" si="51"/>
        <v>1161</v>
      </c>
      <c r="J782">
        <v>0</v>
      </c>
      <c r="K782" s="3" t="str">
        <f>VLOOKUP(J782,'LibSets constants'!$A$4:$B$1012,2,FALSE)</f>
        <v>DLC_BASE_GAME</v>
      </c>
      <c r="L782" s="3" t="str">
        <f>VLOOKUP(J782,'LibSets constants'!$A$4:$C$1012,3,FALSE)</f>
        <v>Included in base game</v>
      </c>
    </row>
    <row r="783" spans="1:12" x14ac:dyDescent="0.25">
      <c r="A783" s="5">
        <v>1199</v>
      </c>
      <c r="B783" s="5">
        <v>778</v>
      </c>
      <c r="C783" s="5">
        <v>684</v>
      </c>
      <c r="D783" t="s">
        <v>1655</v>
      </c>
      <c r="E783" s="3" t="str">
        <f t="array" ref="E783">IF(OR(EXACT(A783,'ESO Dungeon constants'!$D$3:$D$987)),"X","")</f>
        <v/>
      </c>
      <c r="F783" s="3" t="str">
        <f t="shared" si="48"/>
        <v/>
      </c>
      <c r="G783" s="3" t="str">
        <f t="shared" si="49"/>
        <v>Wrothgar</v>
      </c>
      <c r="H783" s="17">
        <f t="shared" si="50"/>
        <v>1199</v>
      </c>
      <c r="I783" s="17">
        <f t="shared" si="51"/>
        <v>684</v>
      </c>
      <c r="J783">
        <v>0</v>
      </c>
      <c r="K783" s="3" t="str">
        <f>VLOOKUP(J783,'LibSets constants'!$A$4:$B$1012,2,FALSE)</f>
        <v>DLC_BASE_GAME</v>
      </c>
      <c r="L783" s="3" t="str">
        <f>VLOOKUP(J783,'LibSets constants'!$A$4:$C$1012,3,FALSE)</f>
        <v>Included in base game</v>
      </c>
    </row>
    <row r="784" spans="1:12" x14ac:dyDescent="0.25">
      <c r="A784" s="5">
        <v>1200</v>
      </c>
      <c r="B784" s="5">
        <v>779</v>
      </c>
      <c r="C784" s="5">
        <v>92</v>
      </c>
      <c r="D784" t="s">
        <v>1654</v>
      </c>
      <c r="E784" s="3" t="str">
        <f t="array" ref="E784">IF(OR(EXACT(A784,'ESO Dungeon constants'!$D$3:$D$987)),"X","")</f>
        <v/>
      </c>
      <c r="F784" s="3" t="str">
        <f t="shared" si="48"/>
        <v/>
      </c>
      <c r="G784" s="3" t="str">
        <f t="shared" si="49"/>
        <v>Bangkorai</v>
      </c>
      <c r="H784" s="17">
        <f t="shared" si="50"/>
        <v>1200</v>
      </c>
      <c r="I784" s="17">
        <f t="shared" si="51"/>
        <v>92</v>
      </c>
      <c r="J784">
        <v>0</v>
      </c>
      <c r="K784" s="3" t="str">
        <f>VLOOKUP(J784,'LibSets constants'!$A$4:$B$1012,2,FALSE)</f>
        <v>DLC_BASE_GAME</v>
      </c>
      <c r="L784" s="3" t="str">
        <f>VLOOKUP(J784,'LibSets constants'!$A$4:$C$1012,3,FALSE)</f>
        <v>Included in base game</v>
      </c>
    </row>
    <row r="785" spans="1:12" x14ac:dyDescent="0.25">
      <c r="A785" s="5">
        <v>1201</v>
      </c>
      <c r="B785" s="5">
        <v>780</v>
      </c>
      <c r="C785" s="5">
        <v>1160</v>
      </c>
      <c r="D785" t="s">
        <v>1799</v>
      </c>
      <c r="E785" s="3" t="str">
        <f t="array" ref="E785">IF(OR(EXACT(A785,'ESO Dungeon constants'!$D$3:$D$987)),"X","")</f>
        <v>X</v>
      </c>
      <c r="F785" s="3" t="str">
        <f t="shared" si="48"/>
        <v/>
      </c>
      <c r="G785" s="3" t="str">
        <f t="shared" si="49"/>
        <v>Western Skyrim</v>
      </c>
      <c r="H785" s="17">
        <f t="shared" si="50"/>
        <v>1201</v>
      </c>
      <c r="I785" s="17">
        <f t="shared" si="51"/>
        <v>1160</v>
      </c>
      <c r="J785">
        <v>0</v>
      </c>
      <c r="K785" s="3" t="str">
        <f>VLOOKUP(J785,'LibSets constants'!$A$4:$B$1012,2,FALSE)</f>
        <v>DLC_BASE_GAME</v>
      </c>
      <c r="L785" s="3" t="str">
        <f>VLOOKUP(J785,'LibSets constants'!$A$4:$C$1012,3,FALSE)</f>
        <v>Included in base game</v>
      </c>
    </row>
    <row r="786" spans="1:12" x14ac:dyDescent="0.25">
      <c r="A786" s="5">
        <v>1204</v>
      </c>
      <c r="B786" s="5">
        <v>781</v>
      </c>
      <c r="C786" s="5">
        <v>1204</v>
      </c>
      <c r="D786" t="s">
        <v>2149</v>
      </c>
      <c r="E786" s="3" t="str">
        <f t="array" ref="E786">IF(OR(EXACT(A786,'ESO Dungeon constants'!$D$3:$D$987)),"X","")</f>
        <v/>
      </c>
      <c r="F786" s="3" t="str">
        <f t="shared" si="48"/>
        <v>X</v>
      </c>
      <c r="G786" s="3" t="str">
        <f t="shared" si="49"/>
        <v/>
      </c>
      <c r="H786" s="17">
        <f t="shared" si="50"/>
        <v>1204</v>
      </c>
      <c r="I786" s="17">
        <f t="shared" si="51"/>
        <v>1204</v>
      </c>
      <c r="J786">
        <v>0</v>
      </c>
      <c r="K786" s="3" t="str">
        <f>VLOOKUP(J786,'LibSets constants'!$A$4:$B$1012,2,FALSE)</f>
        <v>DLC_BASE_GAME</v>
      </c>
      <c r="L786" s="3" t="str">
        <f>VLOOKUP(J786,'LibSets constants'!$A$4:$C$1012,3,FALSE)</f>
        <v>Included in base game</v>
      </c>
    </row>
    <row r="787" spans="1:12" x14ac:dyDescent="0.25">
      <c r="A787" s="5">
        <v>1205</v>
      </c>
      <c r="B787" s="5">
        <v>782</v>
      </c>
      <c r="C787" s="5">
        <v>20</v>
      </c>
      <c r="D787" t="s">
        <v>2151</v>
      </c>
      <c r="E787" s="3" t="str">
        <f t="array" ref="E787">IF(OR(EXACT(A787,'ESO Dungeon constants'!$D$3:$D$987)),"X","")</f>
        <v/>
      </c>
      <c r="F787" s="3" t="str">
        <f t="shared" si="48"/>
        <v/>
      </c>
      <c r="G787" s="3" t="str">
        <f t="shared" si="49"/>
        <v>Rivenspire</v>
      </c>
      <c r="H787" s="17">
        <f t="shared" si="50"/>
        <v>1205</v>
      </c>
      <c r="I787" s="17">
        <f t="shared" si="51"/>
        <v>20</v>
      </c>
      <c r="J787">
        <v>18</v>
      </c>
      <c r="K787" s="3" t="str">
        <f>VLOOKUP(J787,'LibSets constants'!$A$4:$B$1012,2,FALSE)</f>
        <v>DLC_GREYMOOR</v>
      </c>
      <c r="L787" s="3" t="str">
        <f>VLOOKUP(J787,'LibSets constants'!$A$4:$C$1012,3,FALSE)</f>
        <v>Greymoor</v>
      </c>
    </row>
    <row r="788" spans="1:12" x14ac:dyDescent="0.25">
      <c r="A788" s="5">
        <v>1206</v>
      </c>
      <c r="B788" s="5">
        <v>783</v>
      </c>
      <c r="C788" s="5">
        <v>20</v>
      </c>
      <c r="D788" t="s">
        <v>2150</v>
      </c>
      <c r="E788" s="3" t="str">
        <f t="array" ref="E788">IF(OR(EXACT(A788,'ESO Dungeon constants'!$D$3:$D$987)),"X","")</f>
        <v/>
      </c>
      <c r="F788" s="3" t="str">
        <f t="shared" si="48"/>
        <v/>
      </c>
      <c r="G788" s="3" t="str">
        <f t="shared" si="49"/>
        <v>Rivenspire</v>
      </c>
      <c r="H788" s="17">
        <f t="shared" si="50"/>
        <v>1206</v>
      </c>
      <c r="I788" s="17">
        <f t="shared" si="51"/>
        <v>20</v>
      </c>
      <c r="J788">
        <v>0</v>
      </c>
      <c r="K788" s="3" t="str">
        <f>VLOOKUP(J788,'LibSets constants'!$A$4:$B$1012,2,FALSE)</f>
        <v>DLC_BASE_GAME</v>
      </c>
      <c r="L788" s="3" t="str">
        <f>VLOOKUP(J788,'LibSets constants'!$A$4:$C$1012,3,FALSE)</f>
        <v>Included in base game</v>
      </c>
    </row>
    <row r="789" spans="1:12" x14ac:dyDescent="0.25">
      <c r="A789" s="5">
        <v>1207</v>
      </c>
      <c r="B789" s="5">
        <v>784</v>
      </c>
      <c r="C789" s="5">
        <v>1207</v>
      </c>
      <c r="D789" t="s">
        <v>2210</v>
      </c>
      <c r="E789" s="3" t="str">
        <f t="array" ref="E789">IF(OR(EXACT(A789,'ESO Dungeon constants'!$D$3:$D$987)),"X","")</f>
        <v/>
      </c>
      <c r="F789" s="3" t="str">
        <f t="shared" si="48"/>
        <v>X</v>
      </c>
      <c r="G789" s="3" t="str">
        <f t="shared" si="49"/>
        <v/>
      </c>
      <c r="H789" s="17">
        <f t="shared" si="50"/>
        <v>1207</v>
      </c>
      <c r="I789" s="17">
        <f t="shared" si="51"/>
        <v>1207</v>
      </c>
      <c r="J789">
        <v>0</v>
      </c>
      <c r="K789" s="3" t="str">
        <f>VLOOKUP(J789,'LibSets constants'!$A$4:$B$1012,2,FALSE)</f>
        <v>DLC_BASE_GAME</v>
      </c>
      <c r="L789" s="3" t="str">
        <f>VLOOKUP(J789,'LibSets constants'!$A$4:$C$1012,3,FALSE)</f>
        <v>Included in base game</v>
      </c>
    </row>
    <row r="790" spans="1:12" x14ac:dyDescent="0.25">
      <c r="A790" s="5">
        <v>1208</v>
      </c>
      <c r="B790" s="5">
        <v>785</v>
      </c>
      <c r="C790" s="5">
        <v>1208</v>
      </c>
      <c r="D790" t="s">
        <v>2211</v>
      </c>
      <c r="E790" s="3" t="str">
        <f t="array" ref="E790">IF(OR(EXACT(A790,'ESO Dungeon constants'!$D$3:$D$987)),"X","")</f>
        <v/>
      </c>
      <c r="F790" s="3" t="str">
        <f t="shared" si="48"/>
        <v>X</v>
      </c>
      <c r="G790" s="3" t="str">
        <f t="shared" si="49"/>
        <v/>
      </c>
      <c r="H790" s="17">
        <f t="shared" si="50"/>
        <v>1208</v>
      </c>
      <c r="I790" s="17">
        <f t="shared" si="51"/>
        <v>1208</v>
      </c>
      <c r="J790">
        <v>0</v>
      </c>
      <c r="K790" s="3" t="str">
        <f>VLOOKUP(J790,'LibSets constants'!$A$4:$B$1012,2,FALSE)</f>
        <v>DLC_BASE_GAME</v>
      </c>
      <c r="L790" s="3" t="str">
        <f>VLOOKUP(J790,'LibSets constants'!$A$4:$C$1012,3,FALSE)</f>
        <v>Included in base game</v>
      </c>
    </row>
    <row r="791" spans="1:12" x14ac:dyDescent="0.25">
      <c r="A791" s="5">
        <v>1209</v>
      </c>
      <c r="B791" s="5">
        <v>786</v>
      </c>
      <c r="C791" s="5">
        <v>1207</v>
      </c>
      <c r="D791" t="s">
        <v>2212</v>
      </c>
      <c r="E791" s="3" t="str">
        <f t="array" ref="E791">IF(OR(EXACT(A791,'ESO Dungeon constants'!$D$3:$D$987)),"X","")</f>
        <v/>
      </c>
      <c r="F791" s="3" t="str">
        <f t="shared" si="48"/>
        <v/>
      </c>
      <c r="G791" s="3" t="str">
        <f t="shared" si="49"/>
        <v>The Reach</v>
      </c>
      <c r="H791" s="17">
        <f t="shared" si="50"/>
        <v>1209</v>
      </c>
      <c r="I791" s="17">
        <f t="shared" si="51"/>
        <v>1207</v>
      </c>
      <c r="J791">
        <v>0</v>
      </c>
      <c r="K791" s="3" t="str">
        <f>VLOOKUP(J791,'LibSets constants'!$A$4:$B$1012,2,FALSE)</f>
        <v>DLC_BASE_GAME</v>
      </c>
      <c r="L791" s="3" t="str">
        <f>VLOOKUP(J791,'LibSets constants'!$A$4:$C$1012,3,FALSE)</f>
        <v>Included in base game</v>
      </c>
    </row>
    <row r="792" spans="1:12" x14ac:dyDescent="0.25">
      <c r="A792" s="5">
        <v>1210</v>
      </c>
      <c r="B792" s="5">
        <v>787</v>
      </c>
      <c r="C792" s="5">
        <v>1207</v>
      </c>
      <c r="D792" t="s">
        <v>2213</v>
      </c>
      <c r="E792" s="3" t="str">
        <f t="array" ref="E792">IF(OR(EXACT(A792,'ESO Dungeon constants'!$D$3:$D$987)),"X","")</f>
        <v/>
      </c>
      <c r="F792" s="3" t="str">
        <f t="shared" si="48"/>
        <v/>
      </c>
      <c r="G792" s="3" t="str">
        <f t="shared" si="49"/>
        <v>The Reach</v>
      </c>
      <c r="H792" s="17">
        <f t="shared" si="50"/>
        <v>1210</v>
      </c>
      <c r="I792" s="17">
        <f t="shared" si="51"/>
        <v>1207</v>
      </c>
      <c r="J792">
        <v>0</v>
      </c>
      <c r="K792" s="3" t="str">
        <f>VLOOKUP(J792,'LibSets constants'!$A$4:$B$1012,2,FALSE)</f>
        <v>DLC_BASE_GAME</v>
      </c>
      <c r="L792" s="3" t="str">
        <f>VLOOKUP(J792,'LibSets constants'!$A$4:$C$1012,3,FALSE)</f>
        <v>Included in base game</v>
      </c>
    </row>
    <row r="793" spans="1:12" x14ac:dyDescent="0.25">
      <c r="A793" s="5">
        <v>1211</v>
      </c>
      <c r="B793" s="5">
        <v>788</v>
      </c>
      <c r="C793" s="5">
        <v>1207</v>
      </c>
      <c r="D793" t="s">
        <v>2225</v>
      </c>
      <c r="E793" s="3" t="str">
        <f t="array" ref="E793">IF(OR(EXACT(A793,'ESO Dungeon constants'!$D$3:$D$987)),"X","")</f>
        <v/>
      </c>
      <c r="F793" s="3" t="str">
        <f t="shared" si="48"/>
        <v/>
      </c>
      <c r="G793" s="3" t="str">
        <f t="shared" si="49"/>
        <v>The Reach</v>
      </c>
      <c r="H793" s="17">
        <f t="shared" si="50"/>
        <v>1211</v>
      </c>
      <c r="I793" s="17">
        <f t="shared" si="51"/>
        <v>1207</v>
      </c>
      <c r="J793">
        <v>18</v>
      </c>
      <c r="K793" s="3" t="str">
        <f>VLOOKUP(J793,'LibSets constants'!$A$4:$B$1012,2,FALSE)</f>
        <v>DLC_GREYMOOR</v>
      </c>
      <c r="L793" s="3" t="str">
        <f>VLOOKUP(J793,'LibSets constants'!$A$4:$C$1012,3,FALSE)</f>
        <v>Greymoor</v>
      </c>
    </row>
    <row r="794" spans="1:12" x14ac:dyDescent="0.25">
      <c r="A794" s="5">
        <v>1212</v>
      </c>
      <c r="B794" s="5">
        <v>789</v>
      </c>
      <c r="C794" s="5">
        <v>1208</v>
      </c>
      <c r="D794" t="s">
        <v>2224</v>
      </c>
      <c r="E794" s="3" t="str">
        <f t="array" ref="E794">IF(OR(EXACT(A794,'ESO Dungeon constants'!$D$3:$D$987)),"X","")</f>
        <v/>
      </c>
      <c r="F794" s="3" t="str">
        <f t="shared" si="48"/>
        <v/>
      </c>
      <c r="G794" s="3" t="str">
        <f t="shared" si="49"/>
        <v>Blackreach: Arkthzand Cavern</v>
      </c>
      <c r="H794" s="17">
        <f t="shared" si="50"/>
        <v>1212</v>
      </c>
      <c r="I794" s="17">
        <f t="shared" si="51"/>
        <v>1208</v>
      </c>
      <c r="J794">
        <v>18</v>
      </c>
      <c r="K794" s="3" t="str">
        <f>VLOOKUP(J794,'LibSets constants'!$A$4:$B$1012,2,FALSE)</f>
        <v>DLC_GREYMOOR</v>
      </c>
      <c r="L794" s="3" t="str">
        <f>VLOOKUP(J794,'LibSets constants'!$A$4:$C$1012,3,FALSE)</f>
        <v>Greymoor</v>
      </c>
    </row>
    <row r="795" spans="1:12" x14ac:dyDescent="0.25">
      <c r="A795" s="5">
        <v>1213</v>
      </c>
      <c r="B795" s="5">
        <v>790</v>
      </c>
      <c r="C795" s="5">
        <v>1207</v>
      </c>
      <c r="D795" t="s">
        <v>2399</v>
      </c>
      <c r="E795" s="3" t="str">
        <f t="array" ref="E795">IF(OR(EXACT(A795,'ESO Dungeon constants'!$D$3:$D$987)),"X","")</f>
        <v/>
      </c>
      <c r="F795" s="3" t="str">
        <f t="shared" si="48"/>
        <v/>
      </c>
      <c r="G795" s="3" t="str">
        <f t="shared" si="49"/>
        <v>The Reach</v>
      </c>
      <c r="H795" s="17">
        <f t="shared" si="50"/>
        <v>1213</v>
      </c>
      <c r="I795" s="17">
        <f t="shared" si="51"/>
        <v>1207</v>
      </c>
      <c r="J795">
        <v>18</v>
      </c>
      <c r="K795" s="3" t="str">
        <f>VLOOKUP(J795,'LibSets constants'!$A$4:$B$1012,2,FALSE)</f>
        <v>DLC_GREYMOOR</v>
      </c>
      <c r="L795" s="3" t="str">
        <f>VLOOKUP(J795,'LibSets constants'!$A$4:$C$1012,3,FALSE)</f>
        <v>Greymoor</v>
      </c>
    </row>
    <row r="796" spans="1:12" x14ac:dyDescent="0.25">
      <c r="A796" s="5">
        <v>1214</v>
      </c>
      <c r="B796" s="5">
        <v>791</v>
      </c>
      <c r="C796" s="5">
        <v>1207</v>
      </c>
      <c r="D796" t="s">
        <v>2223</v>
      </c>
      <c r="E796" s="3" t="str">
        <f t="array" ref="E796">IF(OR(EXACT(A796,'ESO Dungeon constants'!$D$3:$D$987)),"X","")</f>
        <v/>
      </c>
      <c r="F796" s="3" t="str">
        <f t="shared" si="48"/>
        <v/>
      </c>
      <c r="G796" s="3" t="str">
        <f t="shared" si="49"/>
        <v>The Reach</v>
      </c>
      <c r="H796" s="17">
        <f t="shared" si="50"/>
        <v>1214</v>
      </c>
      <c r="I796" s="17">
        <f t="shared" si="51"/>
        <v>1207</v>
      </c>
      <c r="J796">
        <v>0</v>
      </c>
      <c r="K796" s="3" t="str">
        <f>VLOOKUP(J796,'LibSets constants'!$A$4:$B$1012,2,FALSE)</f>
        <v>DLC_BASE_GAME</v>
      </c>
      <c r="L796" s="3" t="str">
        <f>VLOOKUP(J796,'LibSets constants'!$A$4:$C$1012,3,FALSE)</f>
        <v>Included in base game</v>
      </c>
    </row>
    <row r="797" spans="1:12" x14ac:dyDescent="0.25">
      <c r="A797" s="5">
        <v>1215</v>
      </c>
      <c r="B797" s="5">
        <v>792</v>
      </c>
      <c r="C797" s="5">
        <v>1207</v>
      </c>
      <c r="D797" t="s">
        <v>2222</v>
      </c>
      <c r="E797" s="3" t="str">
        <f t="array" ref="E797">IF(OR(EXACT(A797,'ESO Dungeon constants'!$D$3:$D$987)),"X","")</f>
        <v/>
      </c>
      <c r="F797" s="3" t="str">
        <f t="shared" si="48"/>
        <v/>
      </c>
      <c r="G797" s="3" t="str">
        <f t="shared" si="49"/>
        <v>The Reach</v>
      </c>
      <c r="H797" s="17">
        <f t="shared" si="50"/>
        <v>1215</v>
      </c>
      <c r="I797" s="17">
        <f t="shared" si="51"/>
        <v>1207</v>
      </c>
      <c r="J797">
        <v>18</v>
      </c>
      <c r="K797" s="3" t="str">
        <f>VLOOKUP(J797,'LibSets constants'!$A$4:$B$1012,2,FALSE)</f>
        <v>DLC_GREYMOOR</v>
      </c>
      <c r="L797" s="3" t="str">
        <f>VLOOKUP(J797,'LibSets constants'!$A$4:$C$1012,3,FALSE)</f>
        <v>Greymoor</v>
      </c>
    </row>
    <row r="798" spans="1:12" x14ac:dyDescent="0.25">
      <c r="A798" s="5">
        <v>1216</v>
      </c>
      <c r="B798" s="5">
        <v>793</v>
      </c>
      <c r="C798" s="5">
        <v>1207</v>
      </c>
      <c r="D798" t="s">
        <v>2221</v>
      </c>
      <c r="E798" s="3" t="str">
        <f t="array" ref="E798">IF(OR(EXACT(A798,'ESO Dungeon constants'!$D$3:$D$987)),"X","")</f>
        <v/>
      </c>
      <c r="F798" s="3" t="str">
        <f t="shared" si="48"/>
        <v/>
      </c>
      <c r="G798" s="3" t="str">
        <f t="shared" si="49"/>
        <v>The Reach</v>
      </c>
      <c r="H798" s="17">
        <f t="shared" si="50"/>
        <v>1216</v>
      </c>
      <c r="I798" s="17">
        <f t="shared" si="51"/>
        <v>1207</v>
      </c>
      <c r="J798">
        <v>18</v>
      </c>
      <c r="K798" s="3" t="str">
        <f>VLOOKUP(J798,'LibSets constants'!$A$4:$B$1012,2,FALSE)</f>
        <v>DLC_GREYMOOR</v>
      </c>
      <c r="L798" s="3" t="str">
        <f>VLOOKUP(J798,'LibSets constants'!$A$4:$C$1012,3,FALSE)</f>
        <v>Greymoor</v>
      </c>
    </row>
    <row r="799" spans="1:12" x14ac:dyDescent="0.25">
      <c r="A799" s="5">
        <v>1217</v>
      </c>
      <c r="B799" s="5">
        <v>794</v>
      </c>
      <c r="C799" s="5">
        <v>1208</v>
      </c>
      <c r="D799" t="s">
        <v>2220</v>
      </c>
      <c r="E799" s="3" t="str">
        <f t="array" ref="E799">IF(OR(EXACT(A799,'ESO Dungeon constants'!$D$3:$D$987)),"X","")</f>
        <v/>
      </c>
      <c r="F799" s="3" t="str">
        <f t="shared" si="48"/>
        <v/>
      </c>
      <c r="G799" s="3" t="str">
        <f t="shared" si="49"/>
        <v>Blackreach: Arkthzand Cavern</v>
      </c>
      <c r="H799" s="17">
        <f t="shared" si="50"/>
        <v>1217</v>
      </c>
      <c r="I799" s="17">
        <f t="shared" si="51"/>
        <v>1208</v>
      </c>
      <c r="J799">
        <v>18</v>
      </c>
      <c r="K799" s="3" t="str">
        <f>VLOOKUP(J799,'LibSets constants'!$A$4:$B$1012,2,FALSE)</f>
        <v>DLC_GREYMOOR</v>
      </c>
      <c r="L799" s="3" t="str">
        <f>VLOOKUP(J799,'LibSets constants'!$A$4:$C$1012,3,FALSE)</f>
        <v>Greymoor</v>
      </c>
    </row>
    <row r="800" spans="1:12" x14ac:dyDescent="0.25">
      <c r="A800" s="5">
        <v>1218</v>
      </c>
      <c r="B800" s="5">
        <v>795</v>
      </c>
      <c r="C800" s="5">
        <v>1160</v>
      </c>
      <c r="D800" t="s">
        <v>1704</v>
      </c>
      <c r="E800" s="3" t="str">
        <f t="array" ref="E800">IF(OR(EXACT(A800,'ESO Dungeon constants'!$D$3:$D$987)),"X","")</f>
        <v/>
      </c>
      <c r="F800" s="3" t="str">
        <f t="shared" si="48"/>
        <v/>
      </c>
      <c r="G800" s="3" t="str">
        <f t="shared" si="49"/>
        <v>Western Skyrim</v>
      </c>
      <c r="H800" s="17">
        <f t="shared" si="50"/>
        <v>1218</v>
      </c>
      <c r="I800" s="17">
        <f t="shared" si="51"/>
        <v>1160</v>
      </c>
      <c r="J800">
        <v>0</v>
      </c>
      <c r="K800" s="3" t="str">
        <f>VLOOKUP(J800,'LibSets constants'!$A$4:$B$1012,2,FALSE)</f>
        <v>DLC_BASE_GAME</v>
      </c>
      <c r="L800" s="3" t="str">
        <f>VLOOKUP(J800,'LibSets constants'!$A$4:$C$1012,3,FALSE)</f>
        <v>Included in base game</v>
      </c>
    </row>
    <row r="801" spans="1:12" x14ac:dyDescent="0.25">
      <c r="A801" s="5">
        <v>1219</v>
      </c>
      <c r="B801" s="5">
        <v>796</v>
      </c>
      <c r="C801" s="5">
        <v>1160</v>
      </c>
      <c r="D801" t="s">
        <v>1705</v>
      </c>
      <c r="E801" s="3" t="str">
        <f t="array" ref="E801">IF(OR(EXACT(A801,'ESO Dungeon constants'!$D$3:$D$987)),"X","")</f>
        <v/>
      </c>
      <c r="F801" s="3" t="str">
        <f t="shared" si="48"/>
        <v/>
      </c>
      <c r="G801" s="3" t="str">
        <f t="shared" si="49"/>
        <v>Western Skyrim</v>
      </c>
      <c r="H801" s="17">
        <f t="shared" si="50"/>
        <v>1219</v>
      </c>
      <c r="I801" s="17">
        <f t="shared" si="51"/>
        <v>1160</v>
      </c>
      <c r="J801">
        <v>0</v>
      </c>
      <c r="K801" s="3" t="str">
        <f>VLOOKUP(J801,'LibSets constants'!$A$4:$B$1012,2,FALSE)</f>
        <v>DLC_BASE_GAME</v>
      </c>
      <c r="L801" s="3" t="str">
        <f>VLOOKUP(J801,'LibSets constants'!$A$4:$C$1012,3,FALSE)</f>
        <v>Included in base game</v>
      </c>
    </row>
    <row r="802" spans="1:12" x14ac:dyDescent="0.25">
      <c r="A802" s="5">
        <v>1220</v>
      </c>
      <c r="B802" s="5">
        <v>797</v>
      </c>
      <c r="C802" s="5">
        <v>1161</v>
      </c>
      <c r="D802" t="s">
        <v>1706</v>
      </c>
      <c r="E802" s="3" t="str">
        <f t="array" ref="E802">IF(OR(EXACT(A802,'ESO Dungeon constants'!$D$3:$D$987)),"X","")</f>
        <v/>
      </c>
      <c r="F802" s="3" t="str">
        <f t="shared" si="48"/>
        <v/>
      </c>
      <c r="G802" s="3" t="str">
        <f t="shared" si="49"/>
        <v>Blackreach: Greymoor Caverns</v>
      </c>
      <c r="H802" s="17">
        <f t="shared" si="50"/>
        <v>1220</v>
      </c>
      <c r="I802" s="17">
        <f t="shared" si="51"/>
        <v>1161</v>
      </c>
      <c r="J802">
        <v>0</v>
      </c>
      <c r="K802" s="3" t="str">
        <f>VLOOKUP(J802,'LibSets constants'!$A$4:$B$1012,2,FALSE)</f>
        <v>DLC_BASE_GAME</v>
      </c>
      <c r="L802" s="3" t="str">
        <f>VLOOKUP(J802,'LibSets constants'!$A$4:$C$1012,3,FALSE)</f>
        <v>Included in base game</v>
      </c>
    </row>
    <row r="803" spans="1:12" x14ac:dyDescent="0.25">
      <c r="A803" s="5">
        <v>1221</v>
      </c>
      <c r="B803" s="5">
        <v>798</v>
      </c>
      <c r="C803" s="5">
        <v>1207</v>
      </c>
      <c r="D803" t="s">
        <v>2214</v>
      </c>
      <c r="E803" s="3" t="str">
        <f t="array" ref="E803">IF(OR(EXACT(A803,'ESO Dungeon constants'!$D$3:$D$987)),"X","")</f>
        <v/>
      </c>
      <c r="F803" s="3" t="str">
        <f t="shared" si="48"/>
        <v/>
      </c>
      <c r="G803" s="3" t="str">
        <f t="shared" si="49"/>
        <v>The Reach</v>
      </c>
      <c r="H803" s="17">
        <f t="shared" si="50"/>
        <v>1221</v>
      </c>
      <c r="I803" s="17">
        <f t="shared" si="51"/>
        <v>1207</v>
      </c>
      <c r="J803">
        <v>0</v>
      </c>
      <c r="K803" s="3" t="str">
        <f>VLOOKUP(J803,'LibSets constants'!$A$4:$B$1012,2,FALSE)</f>
        <v>DLC_BASE_GAME</v>
      </c>
      <c r="L803" s="3" t="str">
        <f>VLOOKUP(J803,'LibSets constants'!$A$4:$C$1012,3,FALSE)</f>
        <v>Included in base game</v>
      </c>
    </row>
    <row r="804" spans="1:12" x14ac:dyDescent="0.25">
      <c r="A804" s="5">
        <v>1222</v>
      </c>
      <c r="B804" s="5">
        <v>799</v>
      </c>
      <c r="C804" s="5">
        <v>1160</v>
      </c>
      <c r="D804" t="s">
        <v>2215</v>
      </c>
      <c r="E804" s="3" t="str">
        <f t="array" ref="E804">IF(OR(EXACT(A804,'ESO Dungeon constants'!$D$3:$D$987)),"X","")</f>
        <v/>
      </c>
      <c r="F804" s="3" t="str">
        <f t="shared" si="48"/>
        <v/>
      </c>
      <c r="G804" s="3" t="str">
        <f t="shared" si="49"/>
        <v>Western Skyrim</v>
      </c>
      <c r="H804" s="17">
        <f t="shared" si="50"/>
        <v>1222</v>
      </c>
      <c r="I804" s="17">
        <f t="shared" si="51"/>
        <v>1160</v>
      </c>
      <c r="J804">
        <v>0</v>
      </c>
      <c r="K804" s="3" t="str">
        <f>VLOOKUP(J804,'LibSets constants'!$A$4:$B$1012,2,FALSE)</f>
        <v>DLC_BASE_GAME</v>
      </c>
      <c r="L804" s="3" t="str">
        <f>VLOOKUP(J804,'LibSets constants'!$A$4:$C$1012,3,FALSE)</f>
        <v>Included in base game</v>
      </c>
    </row>
    <row r="805" spans="1:12" x14ac:dyDescent="0.25">
      <c r="A805" s="5">
        <v>1223</v>
      </c>
      <c r="B805" s="5">
        <v>800</v>
      </c>
      <c r="C805" s="5">
        <v>1207</v>
      </c>
      <c r="D805" t="s">
        <v>2219</v>
      </c>
      <c r="E805" s="3" t="str">
        <f t="array" ref="E805">IF(OR(EXACT(A805,'ESO Dungeon constants'!$D$3:$D$987)),"X","")</f>
        <v/>
      </c>
      <c r="F805" s="3" t="str">
        <f t="shared" si="48"/>
        <v/>
      </c>
      <c r="G805" s="3" t="str">
        <f t="shared" si="49"/>
        <v>The Reach</v>
      </c>
      <c r="H805" s="17">
        <f t="shared" si="50"/>
        <v>1223</v>
      </c>
      <c r="I805" s="17">
        <f t="shared" si="51"/>
        <v>1207</v>
      </c>
      <c r="J805">
        <v>18</v>
      </c>
      <c r="K805" s="3" t="str">
        <f>VLOOKUP(J805,'LibSets constants'!$A$4:$B$1012,2,FALSE)</f>
        <v>DLC_GREYMOOR</v>
      </c>
      <c r="L805" s="3" t="str">
        <f>VLOOKUP(J805,'LibSets constants'!$A$4:$C$1012,3,FALSE)</f>
        <v>Greymoor</v>
      </c>
    </row>
    <row r="806" spans="1:12" x14ac:dyDescent="0.25">
      <c r="A806" s="5">
        <v>1224</v>
      </c>
      <c r="B806" s="5">
        <v>801</v>
      </c>
      <c r="C806" s="5">
        <v>1208</v>
      </c>
      <c r="D806" t="s">
        <v>2218</v>
      </c>
      <c r="E806" s="3" t="str">
        <f t="array" ref="E806">IF(OR(EXACT(A806,'ESO Dungeon constants'!$D$3:$D$987)),"X","")</f>
        <v/>
      </c>
      <c r="F806" s="3" t="str">
        <f t="shared" si="48"/>
        <v/>
      </c>
      <c r="G806" s="3" t="str">
        <f t="shared" si="49"/>
        <v>Blackreach: Arkthzand Cavern</v>
      </c>
      <c r="H806" s="17">
        <f t="shared" si="50"/>
        <v>1224</v>
      </c>
      <c r="I806" s="17">
        <f t="shared" si="51"/>
        <v>1208</v>
      </c>
      <c r="J806">
        <v>18</v>
      </c>
      <c r="K806" s="3" t="str">
        <f>VLOOKUP(J806,'LibSets constants'!$A$4:$B$1012,2,FALSE)</f>
        <v>DLC_GREYMOOR</v>
      </c>
      <c r="L806" s="3" t="str">
        <f>VLOOKUP(J806,'LibSets constants'!$A$4:$C$1012,3,FALSE)</f>
        <v>Greymoor</v>
      </c>
    </row>
    <row r="807" spans="1:12" x14ac:dyDescent="0.25">
      <c r="A807" s="5">
        <v>1225</v>
      </c>
      <c r="B807" s="5">
        <v>802</v>
      </c>
      <c r="C807" s="5">
        <v>1207</v>
      </c>
      <c r="D807" t="s">
        <v>2217</v>
      </c>
      <c r="E807" s="3" t="str">
        <f t="array" ref="E807">IF(OR(EXACT(A807,'ESO Dungeon constants'!$D$3:$D$987)),"X","")</f>
        <v/>
      </c>
      <c r="F807" s="3" t="str">
        <f t="shared" si="48"/>
        <v/>
      </c>
      <c r="G807" s="3" t="str">
        <f t="shared" si="49"/>
        <v>The Reach</v>
      </c>
      <c r="H807" s="17">
        <f t="shared" si="50"/>
        <v>1225</v>
      </c>
      <c r="I807" s="17">
        <f t="shared" si="51"/>
        <v>1207</v>
      </c>
      <c r="J807">
        <v>18</v>
      </c>
      <c r="K807" s="3" t="str">
        <f>VLOOKUP(J807,'LibSets constants'!$A$4:$B$1012,2,FALSE)</f>
        <v>DLC_GREYMOOR</v>
      </c>
      <c r="L807" s="3" t="str">
        <f>VLOOKUP(J807,'LibSets constants'!$A$4:$C$1012,3,FALSE)</f>
        <v>Greymoor</v>
      </c>
    </row>
    <row r="808" spans="1:12" x14ac:dyDescent="0.25">
      <c r="A808" s="5">
        <v>1226</v>
      </c>
      <c r="B808" s="5">
        <v>803</v>
      </c>
      <c r="C808" s="5">
        <v>1207</v>
      </c>
      <c r="D808" t="s">
        <v>2216</v>
      </c>
      <c r="E808" s="3" t="str">
        <f t="array" ref="E808">IF(OR(EXACT(A808,'ESO Dungeon constants'!$D$3:$D$987)),"X","")</f>
        <v/>
      </c>
      <c r="F808" s="3" t="str">
        <f t="shared" si="48"/>
        <v/>
      </c>
      <c r="G808" s="3" t="str">
        <f t="shared" si="49"/>
        <v>The Reach</v>
      </c>
      <c r="H808" s="17">
        <f t="shared" si="50"/>
        <v>1226</v>
      </c>
      <c r="I808" s="17">
        <f t="shared" si="51"/>
        <v>1207</v>
      </c>
      <c r="J808">
        <v>0</v>
      </c>
      <c r="K808" s="3" t="str">
        <f>VLOOKUP(J808,'LibSets constants'!$A$4:$B$1012,2,FALSE)</f>
        <v>DLC_BASE_GAME</v>
      </c>
      <c r="L808" s="3" t="str">
        <f>VLOOKUP(J808,'LibSets constants'!$A$4:$C$1012,3,FALSE)</f>
        <v>Included in base game</v>
      </c>
    </row>
    <row r="809" spans="1:12" s="68" customFormat="1" x14ac:dyDescent="0.25">
      <c r="A809" s="5">
        <v>1227</v>
      </c>
      <c r="B809" s="5">
        <v>804</v>
      </c>
      <c r="C809" s="5">
        <v>1207</v>
      </c>
      <c r="D809" t="s">
        <v>2209</v>
      </c>
      <c r="E809" s="3" t="str">
        <f t="array" ref="E809">IF(OR(EXACT(A809,'ESO Dungeon constants'!$D$3:$D$987)),"X","")</f>
        <v/>
      </c>
      <c r="F809" s="3" t="str">
        <f t="shared" si="48"/>
        <v/>
      </c>
      <c r="G809" s="3" t="str">
        <f t="shared" si="49"/>
        <v>The Reach</v>
      </c>
      <c r="H809" s="17">
        <f t="shared" si="50"/>
        <v>1227</v>
      </c>
      <c r="I809" s="17">
        <f t="shared" si="51"/>
        <v>1207</v>
      </c>
      <c r="J809">
        <v>18</v>
      </c>
      <c r="K809" s="3" t="str">
        <f>VLOOKUP(J809,'LibSets constants'!$A$4:$B$1012,2,FALSE)</f>
        <v>DLC_GREYMOOR</v>
      </c>
      <c r="L809" s="3" t="str">
        <f>VLOOKUP(J809,'LibSets constants'!$A$4:$C$1012,3,FALSE)</f>
        <v>Greymoor</v>
      </c>
    </row>
    <row r="810" spans="1:12" s="68" customFormat="1" x14ac:dyDescent="0.25">
      <c r="A810" s="5">
        <v>1228</v>
      </c>
      <c r="B810" s="5">
        <v>805</v>
      </c>
      <c r="C810" s="5">
        <v>823</v>
      </c>
      <c r="D810" t="s">
        <v>2391</v>
      </c>
      <c r="E810" s="3" t="str">
        <f t="array" ref="E810">IF(OR(EXACT(A810,'ESO Dungeon constants'!$D$3:$D$987)),"X","")</f>
        <v>X</v>
      </c>
      <c r="F810" s="3" t="str">
        <f t="shared" si="48"/>
        <v/>
      </c>
      <c r="G810" s="3" t="str">
        <f t="shared" si="49"/>
        <v>Gold Coast</v>
      </c>
      <c r="H810" s="17">
        <f t="shared" si="50"/>
        <v>1228</v>
      </c>
      <c r="I810" s="17">
        <f t="shared" si="51"/>
        <v>823</v>
      </c>
      <c r="J810">
        <v>0</v>
      </c>
      <c r="K810" s="3" t="str">
        <f>VLOOKUP(J810,'LibSets constants'!$A$4:$B$1012,2,FALSE)</f>
        <v>DLC_BASE_GAME</v>
      </c>
      <c r="L810" s="3" t="str">
        <f>VLOOKUP(J810,'LibSets constants'!$A$4:$C$1012,3,FALSE)</f>
        <v>Included in base game</v>
      </c>
    </row>
    <row r="811" spans="1:12" x14ac:dyDescent="0.25">
      <c r="A811" s="5">
        <v>1229</v>
      </c>
      <c r="B811" s="5">
        <v>806</v>
      </c>
      <c r="C811" s="5">
        <v>57</v>
      </c>
      <c r="D811" t="s">
        <v>2392</v>
      </c>
      <c r="E811" s="3" t="str">
        <f t="array" ref="E811">IF(OR(EXACT(A811,'ESO Dungeon constants'!$D$3:$D$987)),"X","")</f>
        <v>X</v>
      </c>
      <c r="F811" s="3" t="str">
        <f t="shared" si="48"/>
        <v/>
      </c>
      <c r="G811" s="3" t="str">
        <f t="shared" si="49"/>
        <v>Deshaan</v>
      </c>
      <c r="H811" s="17">
        <f t="shared" si="50"/>
        <v>1229</v>
      </c>
      <c r="I811" s="17">
        <f t="shared" si="51"/>
        <v>57</v>
      </c>
      <c r="J811">
        <v>0</v>
      </c>
      <c r="K811" s="3" t="str">
        <f>VLOOKUP(J811,'LibSets constants'!$A$4:$B$1012,2,FALSE)</f>
        <v>DLC_BASE_GAME</v>
      </c>
      <c r="L811" s="3" t="str">
        <f>VLOOKUP(J811,'LibSets constants'!$A$4:$C$1012,3,FALSE)</f>
        <v>Included in base game</v>
      </c>
    </row>
    <row r="812" spans="1:12" x14ac:dyDescent="0.25">
      <c r="A812" s="5">
        <v>1233</v>
      </c>
      <c r="B812" s="5">
        <v>807</v>
      </c>
      <c r="C812" s="5">
        <v>1160</v>
      </c>
      <c r="D812" t="s">
        <v>2147</v>
      </c>
      <c r="E812" s="3" t="str">
        <f t="array" ref="E812">IF(OR(EXACT(A812,'ESO Dungeon constants'!$D$3:$D$987)),"X","")</f>
        <v/>
      </c>
      <c r="F812" s="3" t="str">
        <f t="shared" si="48"/>
        <v/>
      </c>
      <c r="G812" s="3" t="str">
        <f t="shared" si="49"/>
        <v>Western Skyrim</v>
      </c>
      <c r="H812" s="17">
        <f t="shared" si="50"/>
        <v>1233</v>
      </c>
      <c r="I812" s="17">
        <f t="shared" si="51"/>
        <v>1160</v>
      </c>
      <c r="J812">
        <v>18</v>
      </c>
      <c r="K812" s="3" t="str">
        <f>VLOOKUP(J812,'LibSets constants'!$A$4:$B$1012,2,FALSE)</f>
        <v>DLC_GREYMOOR</v>
      </c>
      <c r="L812" s="3" t="str">
        <f>VLOOKUP(J812,'LibSets constants'!$A$4:$C$1012,3,FALSE)</f>
        <v>Greymoor</v>
      </c>
    </row>
    <row r="813" spans="1:12" x14ac:dyDescent="0.25">
      <c r="A813" s="5">
        <v>1234</v>
      </c>
      <c r="B813" s="5">
        <v>808</v>
      </c>
      <c r="C813" s="5">
        <v>1160</v>
      </c>
      <c r="D813" t="s">
        <v>2148</v>
      </c>
      <c r="E813" s="3" t="str">
        <f t="array" ref="E813">IF(OR(EXACT(A813,'ESO Dungeon constants'!$D$3:$D$987)),"X","")</f>
        <v/>
      </c>
      <c r="F813" s="3" t="str">
        <f t="shared" si="48"/>
        <v/>
      </c>
      <c r="G813" s="3" t="str">
        <f t="shared" si="49"/>
        <v>Western Skyrim</v>
      </c>
      <c r="H813" s="17">
        <f t="shared" si="50"/>
        <v>1234</v>
      </c>
      <c r="I813" s="17">
        <f t="shared" si="51"/>
        <v>1160</v>
      </c>
      <c r="J813">
        <v>0</v>
      </c>
      <c r="K813" s="3" t="str">
        <f>VLOOKUP(J813,'LibSets constants'!$A$4:$B$1012,2,FALSE)</f>
        <v>DLC_BASE_GAME</v>
      </c>
      <c r="L813" s="3" t="str">
        <f>VLOOKUP(J813,'LibSets constants'!$A$4:$C$1012,3,FALSE)</f>
        <v>Included in base game</v>
      </c>
    </row>
    <row r="814" spans="1:12" x14ac:dyDescent="0.25">
      <c r="A814" s="5">
        <v>1235</v>
      </c>
      <c r="B814" s="5">
        <v>809</v>
      </c>
      <c r="C814" s="5">
        <v>383</v>
      </c>
      <c r="D814" t="s">
        <v>2394</v>
      </c>
      <c r="E814" s="3" t="str">
        <f t="array" ref="E814">IF(OR(EXACT(A814,'ESO Dungeon constants'!$D$3:$D$987)),"X","")</f>
        <v/>
      </c>
      <c r="F814" s="3" t="str">
        <f t="shared" si="48"/>
        <v/>
      </c>
      <c r="G814" s="3" t="str">
        <f t="shared" si="49"/>
        <v>Grahtwood</v>
      </c>
      <c r="H814" s="17">
        <f t="shared" si="50"/>
        <v>1235</v>
      </c>
      <c r="I814" s="17">
        <f t="shared" si="51"/>
        <v>383</v>
      </c>
      <c r="J814">
        <v>0</v>
      </c>
      <c r="K814" s="3" t="str">
        <f>VLOOKUP(J814,'LibSets constants'!$A$4:$B$1012,2,FALSE)</f>
        <v>DLC_BASE_GAME</v>
      </c>
      <c r="L814" s="3" t="str">
        <f>VLOOKUP(J814,'LibSets constants'!$A$4:$C$1012,3,FALSE)</f>
        <v>Included in base game</v>
      </c>
    </row>
    <row r="815" spans="1:12" x14ac:dyDescent="0.25">
      <c r="A815" s="5">
        <v>1236</v>
      </c>
      <c r="B815" s="5">
        <v>810</v>
      </c>
      <c r="C815" s="5">
        <v>383</v>
      </c>
      <c r="D815" t="s">
        <v>446</v>
      </c>
      <c r="E815" s="3" t="str">
        <f t="array" ref="E815">IF(OR(EXACT(A815,'ESO Dungeon constants'!$D$3:$D$987)),"X","")</f>
        <v/>
      </c>
      <c r="F815" s="3" t="str">
        <f t="shared" si="48"/>
        <v/>
      </c>
      <c r="G815" s="3" t="str">
        <f t="shared" si="49"/>
        <v>Grahtwood</v>
      </c>
      <c r="H815" s="17">
        <f t="shared" si="50"/>
        <v>1236</v>
      </c>
      <c r="I815" s="17">
        <f t="shared" si="51"/>
        <v>383</v>
      </c>
      <c r="J815">
        <v>18</v>
      </c>
      <c r="K815" s="3" t="str">
        <f>VLOOKUP(J815,'LibSets constants'!$A$4:$B$1012,2,FALSE)</f>
        <v>DLC_GREYMOOR</v>
      </c>
      <c r="L815" s="3" t="str">
        <f>VLOOKUP(J815,'LibSets constants'!$A$4:$C$1012,3,FALSE)</f>
        <v>Greymoor</v>
      </c>
    </row>
    <row r="816" spans="1:12" x14ac:dyDescent="0.25">
      <c r="A816" s="5">
        <v>1237</v>
      </c>
      <c r="B816" s="5">
        <v>811</v>
      </c>
      <c r="C816" s="5">
        <v>383</v>
      </c>
      <c r="D816" t="s">
        <v>2398</v>
      </c>
      <c r="E816" s="3" t="str">
        <f t="array" ref="E816">IF(OR(EXACT(A816,'ESO Dungeon constants'!$D$3:$D$987)),"X","")</f>
        <v/>
      </c>
      <c r="F816" s="3" t="str">
        <f t="shared" si="48"/>
        <v/>
      </c>
      <c r="G816" s="3" t="str">
        <f t="shared" si="49"/>
        <v>Grahtwood</v>
      </c>
      <c r="H816" s="17">
        <f t="shared" si="50"/>
        <v>1237</v>
      </c>
      <c r="I816" s="17">
        <f t="shared" si="51"/>
        <v>383</v>
      </c>
      <c r="J816">
        <v>18</v>
      </c>
      <c r="K816" s="3" t="str">
        <f>VLOOKUP(J816,'LibSets constants'!$A$4:$B$1012,2,FALSE)</f>
        <v>DLC_GREYMOOR</v>
      </c>
      <c r="L816" s="3" t="str">
        <f>VLOOKUP(J816,'LibSets constants'!$A$4:$C$1012,3,FALSE)</f>
        <v>Greymoor</v>
      </c>
    </row>
    <row r="817" spans="1:12" x14ac:dyDescent="0.25">
      <c r="A817" s="5">
        <v>1238</v>
      </c>
      <c r="B817" s="5">
        <v>812</v>
      </c>
      <c r="C817" s="5">
        <v>1261</v>
      </c>
      <c r="D817" t="s">
        <v>2423</v>
      </c>
      <c r="E817" s="3" t="str">
        <f t="array" ref="E817">IF(OR(EXACT(A817,'ESO Dungeon constants'!$D$3:$D$987)),"X","")</f>
        <v/>
      </c>
      <c r="F817" s="3" t="str">
        <f t="shared" si="48"/>
        <v/>
      </c>
      <c r="G817" s="3" t="str">
        <f t="shared" si="49"/>
        <v>Blackwood</v>
      </c>
      <c r="H817" s="17">
        <f t="shared" si="50"/>
        <v>1238</v>
      </c>
      <c r="I817" s="17">
        <f t="shared" si="51"/>
        <v>1261</v>
      </c>
      <c r="J817">
        <v>18</v>
      </c>
      <c r="K817" s="3" t="str">
        <f>VLOOKUP(J817,'LibSets constants'!$A$4:$B$1012,2,FALSE)</f>
        <v>DLC_GREYMOOR</v>
      </c>
      <c r="L817" s="3" t="str">
        <f>VLOOKUP(J817,'LibSets constants'!$A$4:$C$1012,3,FALSE)</f>
        <v>Greymoor</v>
      </c>
    </row>
    <row r="818" spans="1:12" x14ac:dyDescent="0.25">
      <c r="A818" s="5">
        <v>1239</v>
      </c>
      <c r="B818" s="5">
        <v>813</v>
      </c>
      <c r="C818" s="5">
        <v>1261</v>
      </c>
      <c r="D818" t="s">
        <v>2420</v>
      </c>
      <c r="E818" s="3" t="str">
        <f t="array" ref="E818">IF(OR(EXACT(A818,'ESO Dungeon constants'!$D$3:$D$987)),"X","")</f>
        <v/>
      </c>
      <c r="F818" s="3" t="str">
        <f t="shared" si="48"/>
        <v/>
      </c>
      <c r="G818" s="3" t="str">
        <f t="shared" si="49"/>
        <v>Blackwood</v>
      </c>
      <c r="H818" s="17">
        <f t="shared" si="50"/>
        <v>1239</v>
      </c>
      <c r="I818" s="17">
        <f t="shared" si="51"/>
        <v>1261</v>
      </c>
      <c r="J818">
        <v>18</v>
      </c>
      <c r="K818" s="3" t="str">
        <f>VLOOKUP(J818,'LibSets constants'!$A$4:$B$1012,2,FALSE)</f>
        <v>DLC_GREYMOOR</v>
      </c>
      <c r="L818" s="3" t="str">
        <f>VLOOKUP(J818,'LibSets constants'!$A$4:$C$1012,3,FALSE)</f>
        <v>Greymoor</v>
      </c>
    </row>
    <row r="819" spans="1:12" x14ac:dyDescent="0.25">
      <c r="A819" s="5">
        <v>1240</v>
      </c>
      <c r="B819" s="5">
        <v>814</v>
      </c>
      <c r="C819" s="5">
        <v>1261</v>
      </c>
      <c r="D819" t="s">
        <v>2424</v>
      </c>
      <c r="E819" s="3" t="str">
        <f t="array" ref="E819">IF(OR(EXACT(A819,'ESO Dungeon constants'!$D$3:$D$987)),"X","")</f>
        <v/>
      </c>
      <c r="F819" s="3" t="str">
        <f t="shared" si="48"/>
        <v/>
      </c>
      <c r="G819" s="3" t="str">
        <f t="shared" si="49"/>
        <v>Blackwood</v>
      </c>
      <c r="H819" s="17">
        <f t="shared" si="50"/>
        <v>1240</v>
      </c>
      <c r="I819" s="17">
        <f t="shared" si="51"/>
        <v>1261</v>
      </c>
      <c r="J819">
        <v>0</v>
      </c>
      <c r="K819" s="3" t="str">
        <f>VLOOKUP(J819,'LibSets constants'!$A$4:$B$1012,2,FALSE)</f>
        <v>DLC_BASE_GAME</v>
      </c>
      <c r="L819" s="3" t="str">
        <f>VLOOKUP(J819,'LibSets constants'!$A$4:$C$1012,3,FALSE)</f>
        <v>Included in base game</v>
      </c>
    </row>
    <row r="820" spans="1:12" x14ac:dyDescent="0.25">
      <c r="A820" s="5">
        <v>1241</v>
      </c>
      <c r="B820" s="5">
        <v>815</v>
      </c>
      <c r="C820" s="5">
        <v>1261</v>
      </c>
      <c r="D820" t="s">
        <v>2425</v>
      </c>
      <c r="E820" s="3" t="str">
        <f t="array" ref="E820">IF(OR(EXACT(A820,'ESO Dungeon constants'!$D$3:$D$987)),"X","")</f>
        <v/>
      </c>
      <c r="F820" s="3" t="str">
        <f t="shared" si="48"/>
        <v/>
      </c>
      <c r="G820" s="3" t="str">
        <f t="shared" si="49"/>
        <v>Blackwood</v>
      </c>
      <c r="H820" s="17">
        <f t="shared" si="50"/>
        <v>1241</v>
      </c>
      <c r="I820" s="17">
        <f t="shared" si="51"/>
        <v>1261</v>
      </c>
      <c r="J820">
        <v>14</v>
      </c>
      <c r="K820" s="3" t="str">
        <f>VLOOKUP(J820,'LibSets constants'!$A$4:$B$1012,2,FALSE)</f>
        <v>DLC_ELSWEYR</v>
      </c>
      <c r="L820" s="3" t="str">
        <f>VLOOKUP(J820,'LibSets constants'!$A$4:$C$1012,3,FALSE)</f>
        <v>Elsweyr</v>
      </c>
    </row>
    <row r="821" spans="1:12" x14ac:dyDescent="0.25">
      <c r="A821" s="5">
        <v>1242</v>
      </c>
      <c r="B821" s="5">
        <v>816</v>
      </c>
      <c r="C821" s="5">
        <v>1261</v>
      </c>
      <c r="D821" t="s">
        <v>2426</v>
      </c>
      <c r="E821" s="3" t="str">
        <f t="array" ref="E821">IF(OR(EXACT(A821,'ESO Dungeon constants'!$D$3:$D$987)),"X","")</f>
        <v/>
      </c>
      <c r="F821" s="3" t="str">
        <f t="shared" si="48"/>
        <v/>
      </c>
      <c r="G821" s="3" t="str">
        <f t="shared" si="49"/>
        <v>Blackwood</v>
      </c>
      <c r="H821" s="17">
        <f t="shared" si="50"/>
        <v>1242</v>
      </c>
      <c r="I821" s="17">
        <f t="shared" si="51"/>
        <v>1261</v>
      </c>
      <c r="J821">
        <v>17</v>
      </c>
      <c r="K821" s="3" t="str">
        <f>VLOOKUP(J821,'LibSets constants'!$A$4:$B$1012,2,FALSE)</f>
        <v>DLC_HARROWSTORM</v>
      </c>
      <c r="L821" s="3" t="str">
        <f>VLOOKUP(J821,'LibSets constants'!$A$4:$C$1012,3,FALSE)</f>
        <v>Harrowstorm</v>
      </c>
    </row>
    <row r="822" spans="1:12" x14ac:dyDescent="0.25">
      <c r="A822" s="5">
        <v>1243</v>
      </c>
      <c r="B822" s="5">
        <v>817</v>
      </c>
      <c r="C822" s="5">
        <v>1261</v>
      </c>
      <c r="D822" t="s">
        <v>2427</v>
      </c>
      <c r="E822" s="3" t="str">
        <f t="array" ref="E822">IF(OR(EXACT(A822,'ESO Dungeon constants'!$D$3:$D$987)),"X","")</f>
        <v/>
      </c>
      <c r="F822" s="3" t="str">
        <f t="shared" si="48"/>
        <v/>
      </c>
      <c r="G822" s="3" t="str">
        <f t="shared" si="49"/>
        <v>Blackwood</v>
      </c>
      <c r="H822" s="17">
        <f t="shared" si="50"/>
        <v>1243</v>
      </c>
      <c r="I822" s="17">
        <f t="shared" si="51"/>
        <v>1261</v>
      </c>
      <c r="J822">
        <v>16</v>
      </c>
      <c r="K822" s="3" t="str">
        <f>VLOOKUP(J822,'LibSets constants'!$A$4:$B$1012,2,FALSE)</f>
        <v>DLC_DRAGONHOLD</v>
      </c>
      <c r="L822" s="3" t="str">
        <f>VLOOKUP(J822,'LibSets constants'!$A$4:$C$1012,3,FALSE)</f>
        <v>Dragonhold</v>
      </c>
    </row>
    <row r="823" spans="1:12" x14ac:dyDescent="0.25">
      <c r="A823" s="5">
        <v>1244</v>
      </c>
      <c r="B823" s="5">
        <v>818</v>
      </c>
      <c r="C823" s="5">
        <v>1261</v>
      </c>
      <c r="D823" t="s">
        <v>2428</v>
      </c>
      <c r="E823" s="3" t="str">
        <f t="array" ref="E823">IF(OR(EXACT(A823,'ESO Dungeon constants'!$D$3:$D$987)),"X","")</f>
        <v/>
      </c>
      <c r="F823" s="3" t="str">
        <f t="shared" si="48"/>
        <v/>
      </c>
      <c r="G823" s="3" t="str">
        <f t="shared" si="49"/>
        <v>Blackwood</v>
      </c>
      <c r="H823" s="17">
        <f t="shared" si="50"/>
        <v>1244</v>
      </c>
      <c r="I823" s="17">
        <f t="shared" si="51"/>
        <v>1261</v>
      </c>
      <c r="J823">
        <v>0</v>
      </c>
      <c r="K823" s="3" t="str">
        <f>VLOOKUP(J823,'LibSets constants'!$A$4:$B$1012,2,FALSE)</f>
        <v>DLC_BASE_GAME</v>
      </c>
      <c r="L823" s="3" t="str">
        <f>VLOOKUP(J823,'LibSets constants'!$A$4:$C$1012,3,FALSE)</f>
        <v>Included in base game</v>
      </c>
    </row>
    <row r="824" spans="1:12" x14ac:dyDescent="0.25">
      <c r="A824" s="5">
        <v>1245</v>
      </c>
      <c r="B824" s="5">
        <v>819</v>
      </c>
      <c r="C824" s="5">
        <v>1261</v>
      </c>
      <c r="D824" t="s">
        <v>2429</v>
      </c>
      <c r="E824" s="3" t="str">
        <f t="array" ref="E824">IF(OR(EXACT(A824,'ESO Dungeon constants'!$D$3:$D$987)),"X","")</f>
        <v/>
      </c>
      <c r="F824" s="3" t="str">
        <f t="shared" si="48"/>
        <v/>
      </c>
      <c r="G824" s="3" t="str">
        <f t="shared" si="49"/>
        <v>Blackwood</v>
      </c>
      <c r="H824" s="17">
        <f t="shared" si="50"/>
        <v>1245</v>
      </c>
      <c r="I824" s="17">
        <f t="shared" si="51"/>
        <v>1261</v>
      </c>
      <c r="J824">
        <v>0</v>
      </c>
      <c r="K824" s="3" t="str">
        <f>VLOOKUP(J824,'LibSets constants'!$A$4:$B$1012,2,FALSE)</f>
        <v>DLC_BASE_GAME</v>
      </c>
      <c r="L824" s="3" t="str">
        <f>VLOOKUP(J824,'LibSets constants'!$A$4:$C$1012,3,FALSE)</f>
        <v>Included in base game</v>
      </c>
    </row>
    <row r="825" spans="1:12" x14ac:dyDescent="0.25">
      <c r="A825" s="5">
        <v>1246</v>
      </c>
      <c r="B825" s="5">
        <v>820</v>
      </c>
      <c r="C825" s="5">
        <v>1261</v>
      </c>
      <c r="D825" t="s">
        <v>2430</v>
      </c>
      <c r="E825" s="3" t="str">
        <f t="array" ref="E825">IF(OR(EXACT(A825,'ESO Dungeon constants'!$D$3:$D$987)),"X","")</f>
        <v/>
      </c>
      <c r="F825" s="3" t="str">
        <f t="shared" si="48"/>
        <v/>
      </c>
      <c r="G825" s="3" t="str">
        <f t="shared" si="49"/>
        <v>Blackwood</v>
      </c>
      <c r="H825" s="17">
        <f t="shared" si="50"/>
        <v>1246</v>
      </c>
      <c r="I825" s="17">
        <f t="shared" si="51"/>
        <v>1261</v>
      </c>
      <c r="J825">
        <v>16</v>
      </c>
      <c r="K825" s="3" t="str">
        <f>VLOOKUP(J825,'LibSets constants'!$A$4:$B$1012,2,FALSE)</f>
        <v>DLC_DRAGONHOLD</v>
      </c>
      <c r="L825" s="3" t="str">
        <f>VLOOKUP(J825,'LibSets constants'!$A$4:$C$1012,3,FALSE)</f>
        <v>Dragonhold</v>
      </c>
    </row>
    <row r="826" spans="1:12" x14ac:dyDescent="0.25">
      <c r="A826" s="5">
        <v>1247</v>
      </c>
      <c r="B826" s="5">
        <v>821</v>
      </c>
      <c r="C826" s="5">
        <v>1261</v>
      </c>
      <c r="D826" t="s">
        <v>2421</v>
      </c>
      <c r="E826" s="3" t="str">
        <f t="array" ref="E826">IF(OR(EXACT(A826,'ESO Dungeon constants'!$D$3:$D$987)),"X","")</f>
        <v/>
      </c>
      <c r="F826" s="3" t="str">
        <f t="shared" si="48"/>
        <v/>
      </c>
      <c r="G826" s="3" t="str">
        <f t="shared" si="49"/>
        <v>Blackwood</v>
      </c>
      <c r="H826" s="17">
        <f t="shared" si="50"/>
        <v>1247</v>
      </c>
      <c r="I826" s="17">
        <f t="shared" si="51"/>
        <v>1261</v>
      </c>
      <c r="J826">
        <v>16</v>
      </c>
      <c r="K826" s="3" t="str">
        <f>VLOOKUP(J826,'LibSets constants'!$A$4:$B$1012,2,FALSE)</f>
        <v>DLC_DRAGONHOLD</v>
      </c>
      <c r="L826" s="3" t="str">
        <f>VLOOKUP(J826,'LibSets constants'!$A$4:$C$1012,3,FALSE)</f>
        <v>Dragonhold</v>
      </c>
    </row>
    <row r="827" spans="1:12" x14ac:dyDescent="0.25">
      <c r="A827" s="5">
        <v>1248</v>
      </c>
      <c r="B827" s="5">
        <v>822</v>
      </c>
      <c r="C827" s="5">
        <v>1261</v>
      </c>
      <c r="D827" t="s">
        <v>2431</v>
      </c>
      <c r="E827" s="3" t="str">
        <f t="array" ref="E827">IF(OR(EXACT(A827,'ESO Dungeon constants'!$D$3:$D$987)),"X","")</f>
        <v/>
      </c>
      <c r="F827" s="3" t="str">
        <f t="shared" si="48"/>
        <v/>
      </c>
      <c r="G827" s="3" t="str">
        <f t="shared" si="49"/>
        <v>Blackwood</v>
      </c>
      <c r="H827" s="17">
        <f t="shared" si="50"/>
        <v>1248</v>
      </c>
      <c r="I827" s="17">
        <f t="shared" si="51"/>
        <v>1261</v>
      </c>
      <c r="J827">
        <v>16</v>
      </c>
      <c r="K827" s="3" t="str">
        <f>VLOOKUP(J827,'LibSets constants'!$A$4:$B$1012,2,FALSE)</f>
        <v>DLC_DRAGONHOLD</v>
      </c>
      <c r="L827" s="3" t="str">
        <f>VLOOKUP(J827,'LibSets constants'!$A$4:$C$1012,3,FALSE)</f>
        <v>Dragonhold</v>
      </c>
    </row>
    <row r="828" spans="1:12" x14ac:dyDescent="0.25">
      <c r="A828" s="5">
        <v>1249</v>
      </c>
      <c r="B828" s="5">
        <v>823</v>
      </c>
      <c r="C828" s="5">
        <v>1261</v>
      </c>
      <c r="D828" t="s">
        <v>2432</v>
      </c>
      <c r="E828" s="3" t="str">
        <f t="array" ref="E828">IF(OR(EXACT(A828,'ESO Dungeon constants'!$D$3:$D$987)),"X","")</f>
        <v/>
      </c>
      <c r="F828" s="3" t="str">
        <f t="shared" si="48"/>
        <v/>
      </c>
      <c r="G828" s="3" t="str">
        <f t="shared" si="49"/>
        <v>Blackwood</v>
      </c>
      <c r="H828" s="17">
        <f t="shared" si="50"/>
        <v>1249</v>
      </c>
      <c r="I828" s="17">
        <f t="shared" si="51"/>
        <v>1261</v>
      </c>
      <c r="J828">
        <v>0</v>
      </c>
      <c r="K828" s="3" t="str">
        <f>VLOOKUP(J828,'LibSets constants'!$A$4:$B$1012,2,FALSE)</f>
        <v>DLC_BASE_GAME</v>
      </c>
      <c r="L828" s="3" t="str">
        <f>VLOOKUP(J828,'LibSets constants'!$A$4:$C$1012,3,FALSE)</f>
        <v>Included in base game</v>
      </c>
    </row>
    <row r="829" spans="1:12" x14ac:dyDescent="0.25">
      <c r="A829" s="5">
        <v>1250</v>
      </c>
      <c r="B829" s="5">
        <v>824</v>
      </c>
      <c r="C829" s="5">
        <v>1261</v>
      </c>
      <c r="D829" t="s">
        <v>2433</v>
      </c>
      <c r="E829" s="3" t="str">
        <f t="array" ref="E829">IF(OR(EXACT(A829,'ESO Dungeon constants'!$D$3:$D$987)),"X","")</f>
        <v/>
      </c>
      <c r="F829" s="3" t="str">
        <f t="shared" si="48"/>
        <v/>
      </c>
      <c r="G829" s="3" t="str">
        <f t="shared" si="49"/>
        <v>Blackwood</v>
      </c>
      <c r="H829" s="17">
        <f t="shared" si="50"/>
        <v>1250</v>
      </c>
      <c r="I829" s="17">
        <f t="shared" si="51"/>
        <v>1261</v>
      </c>
      <c r="J829">
        <v>0</v>
      </c>
      <c r="K829" s="3" t="str">
        <f>VLOOKUP(J829,'LibSets constants'!$A$4:$B$1012,2,FALSE)</f>
        <v>DLC_BASE_GAME</v>
      </c>
      <c r="L829" s="3" t="str">
        <f>VLOOKUP(J829,'LibSets constants'!$A$4:$C$1012,3,FALSE)</f>
        <v>Included in base game</v>
      </c>
    </row>
    <row r="830" spans="1:12" x14ac:dyDescent="0.25">
      <c r="A830" s="5">
        <v>1251</v>
      </c>
      <c r="B830" s="5">
        <v>825</v>
      </c>
      <c r="C830" s="5">
        <v>1261</v>
      </c>
      <c r="D830" t="s">
        <v>2434</v>
      </c>
      <c r="E830" s="3" t="str">
        <f t="array" ref="E830">IF(OR(EXACT(A830,'ESO Dungeon constants'!$D$3:$D$987)),"X","")</f>
        <v/>
      </c>
      <c r="F830" s="3" t="str">
        <f t="shared" si="48"/>
        <v/>
      </c>
      <c r="G830" s="3" t="str">
        <f t="shared" si="49"/>
        <v>Blackwood</v>
      </c>
      <c r="H830" s="17">
        <f t="shared" si="50"/>
        <v>1251</v>
      </c>
      <c r="I830" s="17">
        <f t="shared" si="51"/>
        <v>1261</v>
      </c>
      <c r="J830">
        <v>16</v>
      </c>
      <c r="K830" s="3" t="str">
        <f>VLOOKUP(J830,'LibSets constants'!$A$4:$B$1012,2,FALSE)</f>
        <v>DLC_DRAGONHOLD</v>
      </c>
      <c r="L830" s="3" t="str">
        <f>VLOOKUP(J830,'LibSets constants'!$A$4:$C$1012,3,FALSE)</f>
        <v>Dragonhold</v>
      </c>
    </row>
    <row r="831" spans="1:12" x14ac:dyDescent="0.25">
      <c r="A831" s="5">
        <v>1252</v>
      </c>
      <c r="B831" s="5">
        <v>826</v>
      </c>
      <c r="C831" s="5">
        <v>1261</v>
      </c>
      <c r="D831" t="s">
        <v>2435</v>
      </c>
      <c r="E831" s="3" t="str">
        <f t="array" ref="E831">IF(OR(EXACT(A831,'ESO Dungeon constants'!$D$3:$D$987)),"X","")</f>
        <v/>
      </c>
      <c r="F831" s="3" t="str">
        <f t="shared" si="48"/>
        <v/>
      </c>
      <c r="G831" s="3" t="str">
        <f t="shared" si="49"/>
        <v>Blackwood</v>
      </c>
      <c r="H831" s="17">
        <f t="shared" si="50"/>
        <v>1252</v>
      </c>
      <c r="I831" s="17">
        <f t="shared" si="51"/>
        <v>1261</v>
      </c>
      <c r="J831">
        <v>16</v>
      </c>
      <c r="K831" s="3" t="str">
        <f>VLOOKUP(J831,'LibSets constants'!$A$4:$B$1012,2,FALSE)</f>
        <v>DLC_DRAGONHOLD</v>
      </c>
      <c r="L831" s="3" t="str">
        <f>VLOOKUP(J831,'LibSets constants'!$A$4:$C$1012,3,FALSE)</f>
        <v>Dragonhold</v>
      </c>
    </row>
    <row r="832" spans="1:12" x14ac:dyDescent="0.25">
      <c r="A832" s="5">
        <v>1253</v>
      </c>
      <c r="B832" s="5">
        <v>827</v>
      </c>
      <c r="C832" s="5">
        <v>1261</v>
      </c>
      <c r="D832" t="s">
        <v>2436</v>
      </c>
      <c r="E832" s="3" t="str">
        <f t="array" ref="E832">IF(OR(EXACT(A832,'ESO Dungeon constants'!$D$3:$D$987)),"X","")</f>
        <v/>
      </c>
      <c r="F832" s="3" t="str">
        <f t="shared" si="48"/>
        <v/>
      </c>
      <c r="G832" s="3" t="str">
        <f t="shared" si="49"/>
        <v>Blackwood</v>
      </c>
      <c r="H832" s="17">
        <f t="shared" si="50"/>
        <v>1253</v>
      </c>
      <c r="I832" s="17">
        <f t="shared" si="51"/>
        <v>1261</v>
      </c>
      <c r="J832">
        <v>0</v>
      </c>
      <c r="K832" s="3" t="str">
        <f>VLOOKUP(J832,'LibSets constants'!$A$4:$B$1012,2,FALSE)</f>
        <v>DLC_BASE_GAME</v>
      </c>
      <c r="L832" s="3" t="str">
        <f>VLOOKUP(J832,'LibSets constants'!$A$4:$C$1012,3,FALSE)</f>
        <v>Included in base game</v>
      </c>
    </row>
    <row r="833" spans="1:12" x14ac:dyDescent="0.25">
      <c r="A833" s="5">
        <v>1254</v>
      </c>
      <c r="B833" s="5">
        <v>828</v>
      </c>
      <c r="C833" s="5">
        <v>1261</v>
      </c>
      <c r="D833" t="s">
        <v>2416</v>
      </c>
      <c r="E833" s="3" t="str">
        <f t="array" ref="E833">IF(OR(EXACT(A833,'ESO Dungeon constants'!$D$3:$D$987)),"X","")</f>
        <v/>
      </c>
      <c r="F833" s="3" t="str">
        <f t="shared" si="48"/>
        <v/>
      </c>
      <c r="G833" s="3" t="str">
        <f t="shared" si="49"/>
        <v>Blackwood</v>
      </c>
      <c r="H833" s="17">
        <f t="shared" si="50"/>
        <v>1254</v>
      </c>
      <c r="I833" s="17">
        <f t="shared" si="51"/>
        <v>1261</v>
      </c>
      <c r="J833">
        <v>0</v>
      </c>
      <c r="K833" s="3" t="str">
        <f>VLOOKUP(J833,'LibSets constants'!$A$4:$B$1012,2,FALSE)</f>
        <v>DLC_BASE_GAME</v>
      </c>
      <c r="L833" s="3" t="str">
        <f>VLOOKUP(J833,'LibSets constants'!$A$4:$C$1012,3,FALSE)</f>
        <v>Included in base game</v>
      </c>
    </row>
    <row r="834" spans="1:12" x14ac:dyDescent="0.25">
      <c r="A834" s="5">
        <v>1255</v>
      </c>
      <c r="B834" s="5">
        <v>829</v>
      </c>
      <c r="C834" s="5">
        <v>1261</v>
      </c>
      <c r="D834" t="s">
        <v>2437</v>
      </c>
      <c r="E834" s="3" t="str">
        <f t="array" ref="E834">IF(OR(EXACT(A834,'ESO Dungeon constants'!$D$3:$D$987)),"X","")</f>
        <v/>
      </c>
      <c r="F834" s="3" t="str">
        <f t="shared" si="48"/>
        <v/>
      </c>
      <c r="G834" s="3" t="str">
        <f t="shared" si="49"/>
        <v>Blackwood</v>
      </c>
      <c r="H834" s="17">
        <f t="shared" si="50"/>
        <v>1255</v>
      </c>
      <c r="I834" s="17">
        <f t="shared" si="51"/>
        <v>1261</v>
      </c>
      <c r="J834">
        <v>16</v>
      </c>
      <c r="K834" s="3" t="str">
        <f>VLOOKUP(J834,'LibSets constants'!$A$4:$B$1012,2,FALSE)</f>
        <v>DLC_DRAGONHOLD</v>
      </c>
      <c r="L834" s="3" t="str">
        <f>VLOOKUP(J834,'LibSets constants'!$A$4:$C$1012,3,FALSE)</f>
        <v>Dragonhold</v>
      </c>
    </row>
    <row r="835" spans="1:12" x14ac:dyDescent="0.25">
      <c r="A835" s="5">
        <v>1256</v>
      </c>
      <c r="B835" s="5">
        <v>830</v>
      </c>
      <c r="C835" s="5">
        <v>1261</v>
      </c>
      <c r="D835" t="s">
        <v>2438</v>
      </c>
      <c r="E835" s="3" t="str">
        <f t="array" ref="E835">IF(OR(EXACT(A835,'ESO Dungeon constants'!$D$3:$D$987)),"X","")</f>
        <v/>
      </c>
      <c r="F835" s="3" t="str">
        <f t="shared" si="48"/>
        <v/>
      </c>
      <c r="G835" s="3" t="str">
        <f t="shared" si="49"/>
        <v>Blackwood</v>
      </c>
      <c r="H835" s="17">
        <f t="shared" si="50"/>
        <v>1256</v>
      </c>
      <c r="I835" s="17">
        <f t="shared" si="51"/>
        <v>1261</v>
      </c>
      <c r="J835">
        <v>14</v>
      </c>
      <c r="K835" s="3" t="str">
        <f>VLOOKUP(J835,'LibSets constants'!$A$4:$B$1012,2,FALSE)</f>
        <v>DLC_ELSWEYR</v>
      </c>
      <c r="L835" s="3" t="str">
        <f>VLOOKUP(J835,'LibSets constants'!$A$4:$C$1012,3,FALSE)</f>
        <v>Elsweyr</v>
      </c>
    </row>
    <row r="836" spans="1:12" x14ac:dyDescent="0.25">
      <c r="A836" s="5">
        <v>1257</v>
      </c>
      <c r="B836" s="5">
        <v>831</v>
      </c>
      <c r="C836" s="5">
        <v>1261</v>
      </c>
      <c r="D836" t="s">
        <v>2419</v>
      </c>
      <c r="E836" s="3" t="str">
        <f t="array" ref="E836">IF(OR(EXACT(A836,'ESO Dungeon constants'!$D$3:$D$987)),"X","")</f>
        <v/>
      </c>
      <c r="F836" s="3" t="str">
        <f t="shared" si="48"/>
        <v/>
      </c>
      <c r="G836" s="3" t="str">
        <f t="shared" si="49"/>
        <v>Blackwood</v>
      </c>
      <c r="H836" s="17">
        <f t="shared" si="50"/>
        <v>1257</v>
      </c>
      <c r="I836" s="17">
        <f t="shared" si="51"/>
        <v>1261</v>
      </c>
      <c r="J836">
        <v>14</v>
      </c>
      <c r="K836" s="3" t="str">
        <f>VLOOKUP(J836,'LibSets constants'!$A$4:$B$1012,2,FALSE)</f>
        <v>DLC_ELSWEYR</v>
      </c>
      <c r="L836" s="3" t="str">
        <f>VLOOKUP(J836,'LibSets constants'!$A$4:$C$1012,3,FALSE)</f>
        <v>Elsweyr</v>
      </c>
    </row>
    <row r="837" spans="1:12" x14ac:dyDescent="0.25">
      <c r="A837" s="5">
        <v>1258</v>
      </c>
      <c r="B837" s="5">
        <v>832</v>
      </c>
      <c r="C837" s="5">
        <v>1261</v>
      </c>
      <c r="D837" t="s">
        <v>2418</v>
      </c>
      <c r="E837" s="3" t="str">
        <f t="array" ref="E837">IF(OR(EXACT(A837,'ESO Dungeon constants'!$D$3:$D$987)),"X","")</f>
        <v/>
      </c>
      <c r="F837" s="3" t="str">
        <f t="shared" ref="F837:F900" si="52">IF(EXACT(A837,C837),"X","")</f>
        <v/>
      </c>
      <c r="G837" s="3" t="str">
        <f t="shared" ref="G837:G900" si="53">IF(A837&lt;&gt;C837,VLOOKUP(C837,$A$5:$D$9954,4,FALSE),"")</f>
        <v>Blackwood</v>
      </c>
      <c r="H837" s="17">
        <f t="shared" ref="H837:H900" si="54">A837</f>
        <v>1258</v>
      </c>
      <c r="I837" s="17">
        <f t="shared" ref="I837:I900" si="55">C837</f>
        <v>1261</v>
      </c>
      <c r="J837">
        <v>14</v>
      </c>
      <c r="K837" s="3" t="str">
        <f>VLOOKUP(J837,'LibSets constants'!$A$4:$B$1012,2,FALSE)</f>
        <v>DLC_ELSWEYR</v>
      </c>
      <c r="L837" s="3" t="str">
        <f>VLOOKUP(J837,'LibSets constants'!$A$4:$C$1012,3,FALSE)</f>
        <v>Elsweyr</v>
      </c>
    </row>
    <row r="838" spans="1:12" x14ac:dyDescent="0.25">
      <c r="A838" s="5">
        <v>1259</v>
      </c>
      <c r="B838" s="5">
        <v>833</v>
      </c>
      <c r="C838" s="5">
        <v>1261</v>
      </c>
      <c r="D838" t="s">
        <v>2439</v>
      </c>
      <c r="E838" s="3" t="str">
        <f t="array" ref="E838">IF(OR(EXACT(A838,'ESO Dungeon constants'!$D$3:$D$987)),"X","")</f>
        <v/>
      </c>
      <c r="F838" s="3" t="str">
        <f t="shared" si="52"/>
        <v/>
      </c>
      <c r="G838" s="3" t="str">
        <f t="shared" si="53"/>
        <v>Blackwood</v>
      </c>
      <c r="H838" s="17">
        <f t="shared" si="54"/>
        <v>1259</v>
      </c>
      <c r="I838" s="17">
        <f t="shared" si="55"/>
        <v>1261</v>
      </c>
      <c r="J838">
        <v>0</v>
      </c>
      <c r="K838" s="3" t="str">
        <f>VLOOKUP(J838,'LibSets constants'!$A$4:$B$1012,2,FALSE)</f>
        <v>DLC_BASE_GAME</v>
      </c>
      <c r="L838" s="3" t="str">
        <f>VLOOKUP(J838,'LibSets constants'!$A$4:$C$1012,3,FALSE)</f>
        <v>Included in base game</v>
      </c>
    </row>
    <row r="839" spans="1:12" x14ac:dyDescent="0.25">
      <c r="A839" s="5">
        <v>1260</v>
      </c>
      <c r="B839" s="5">
        <v>834</v>
      </c>
      <c r="C839" s="5">
        <v>1261</v>
      </c>
      <c r="D839" t="s">
        <v>2440</v>
      </c>
      <c r="E839" s="3" t="str">
        <f t="array" ref="E839">IF(OR(EXACT(A839,'ESO Dungeon constants'!$D$3:$D$987)),"X","")</f>
        <v/>
      </c>
      <c r="F839" s="3" t="str">
        <f t="shared" si="52"/>
        <v/>
      </c>
      <c r="G839" s="3" t="str">
        <f t="shared" si="53"/>
        <v>Blackwood</v>
      </c>
      <c r="H839" s="17">
        <f t="shared" si="54"/>
        <v>1260</v>
      </c>
      <c r="I839" s="17">
        <f t="shared" si="55"/>
        <v>1261</v>
      </c>
      <c r="J839">
        <v>12</v>
      </c>
      <c r="K839" s="3" t="str">
        <f>VLOOKUP(J839,'LibSets constants'!$A$4:$B$1012,2,FALSE)</f>
        <v>DLC_MURKMIRE</v>
      </c>
      <c r="L839" s="3" t="str">
        <f>VLOOKUP(J839,'LibSets constants'!$A$4:$C$1012,3,FALSE)</f>
        <v>Murkmire</v>
      </c>
    </row>
    <row r="840" spans="1:12" x14ac:dyDescent="0.25">
      <c r="A840" s="5">
        <v>1261</v>
      </c>
      <c r="B840" s="5">
        <v>835</v>
      </c>
      <c r="C840" s="5">
        <v>1261</v>
      </c>
      <c r="D840" t="s">
        <v>2385</v>
      </c>
      <c r="E840" s="3" t="str">
        <f t="array" ref="E840">IF(OR(EXACT(A840,'ESO Dungeon constants'!$D$3:$D$987)),"X","")</f>
        <v/>
      </c>
      <c r="F840" s="3" t="str">
        <f t="shared" si="52"/>
        <v>X</v>
      </c>
      <c r="G840" s="3" t="str">
        <f t="shared" si="53"/>
        <v/>
      </c>
      <c r="H840" s="17">
        <f t="shared" si="54"/>
        <v>1261</v>
      </c>
      <c r="I840" s="17">
        <f t="shared" si="55"/>
        <v>1261</v>
      </c>
      <c r="J840">
        <v>0</v>
      </c>
      <c r="K840" s="3" t="str">
        <f>VLOOKUP(J840,'LibSets constants'!$A$4:$B$1012,2,FALSE)</f>
        <v>DLC_BASE_GAME</v>
      </c>
      <c r="L840" s="3" t="str">
        <f>VLOOKUP(J840,'LibSets constants'!$A$4:$C$1012,3,FALSE)</f>
        <v>Included in base game</v>
      </c>
    </row>
    <row r="841" spans="1:12" x14ac:dyDescent="0.25">
      <c r="A841" s="5">
        <v>1262</v>
      </c>
      <c r="B841" s="5">
        <v>836</v>
      </c>
      <c r="C841" s="5">
        <v>19</v>
      </c>
      <c r="D841" t="s">
        <v>2397</v>
      </c>
      <c r="E841" s="3" t="str">
        <f t="array" ref="E841">IF(OR(EXACT(A841,'ESO Dungeon constants'!$D$3:$D$987)),"X","")</f>
        <v/>
      </c>
      <c r="F841" s="3" t="str">
        <f t="shared" si="52"/>
        <v/>
      </c>
      <c r="G841" s="3" t="str">
        <f t="shared" si="53"/>
        <v>Stormhaven</v>
      </c>
      <c r="H841" s="17">
        <f t="shared" si="54"/>
        <v>1262</v>
      </c>
      <c r="I841" s="17">
        <f t="shared" si="55"/>
        <v>19</v>
      </c>
      <c r="J841">
        <v>14</v>
      </c>
      <c r="K841" s="3" t="str">
        <f>VLOOKUP(J841,'LibSets constants'!$A$4:$B$1012,2,FALSE)</f>
        <v>DLC_ELSWEYR</v>
      </c>
      <c r="L841" s="3" t="str">
        <f>VLOOKUP(J841,'LibSets constants'!$A$4:$C$1012,3,FALSE)</f>
        <v>Elsweyr</v>
      </c>
    </row>
    <row r="842" spans="1:12" x14ac:dyDescent="0.25">
      <c r="A842" s="5">
        <v>1263</v>
      </c>
      <c r="B842" s="5">
        <v>837</v>
      </c>
      <c r="C842" s="5">
        <v>1261</v>
      </c>
      <c r="D842" t="s">
        <v>2441</v>
      </c>
      <c r="E842" s="3" t="str">
        <f t="array" ref="E842">IF(OR(EXACT(A842,'ESO Dungeon constants'!$D$3:$D$987)),"X","")</f>
        <v/>
      </c>
      <c r="F842" s="3" t="str">
        <f t="shared" si="52"/>
        <v/>
      </c>
      <c r="G842" s="3" t="str">
        <f t="shared" si="53"/>
        <v>Blackwood</v>
      </c>
      <c r="H842" s="17">
        <f t="shared" si="54"/>
        <v>1263</v>
      </c>
      <c r="I842" s="17">
        <f t="shared" si="55"/>
        <v>1261</v>
      </c>
      <c r="J842">
        <v>14</v>
      </c>
      <c r="K842" s="3" t="str">
        <f>VLOOKUP(J842,'LibSets constants'!$A$4:$B$1012,2,FALSE)</f>
        <v>DLC_ELSWEYR</v>
      </c>
      <c r="L842" s="3" t="str">
        <f>VLOOKUP(J842,'LibSets constants'!$A$4:$C$1012,3,FALSE)</f>
        <v>Elsweyr</v>
      </c>
    </row>
    <row r="843" spans="1:12" x14ac:dyDescent="0.25">
      <c r="A843" s="5">
        <v>1264</v>
      </c>
      <c r="B843" s="5">
        <v>838</v>
      </c>
      <c r="C843" s="5">
        <v>1207</v>
      </c>
      <c r="D843" t="s">
        <v>2208</v>
      </c>
      <c r="E843" s="3" t="str">
        <f t="array" ref="E843">IF(OR(EXACT(A843,'ESO Dungeon constants'!$D$3:$D$987)),"X","")</f>
        <v/>
      </c>
      <c r="F843" s="3" t="str">
        <f t="shared" si="52"/>
        <v/>
      </c>
      <c r="G843" s="3" t="str">
        <f t="shared" si="53"/>
        <v>The Reach</v>
      </c>
      <c r="H843" s="17">
        <f t="shared" si="54"/>
        <v>1264</v>
      </c>
      <c r="I843" s="17">
        <f t="shared" si="55"/>
        <v>1207</v>
      </c>
      <c r="J843">
        <v>0</v>
      </c>
      <c r="K843" s="3" t="str">
        <f>VLOOKUP(J843,'LibSets constants'!$A$4:$B$1012,2,FALSE)</f>
        <v>DLC_BASE_GAME</v>
      </c>
      <c r="L843" s="3" t="str">
        <f>VLOOKUP(J843,'LibSets constants'!$A$4:$C$1012,3,FALSE)</f>
        <v>Included in base game</v>
      </c>
    </row>
    <row r="844" spans="1:12" x14ac:dyDescent="0.25">
      <c r="A844" s="5">
        <v>1265</v>
      </c>
      <c r="B844" s="5">
        <v>839</v>
      </c>
      <c r="C844" s="5">
        <v>1160</v>
      </c>
      <c r="D844" t="s">
        <v>2207</v>
      </c>
      <c r="E844" s="3" t="str">
        <f t="array" ref="E844">IF(OR(EXACT(A844,'ESO Dungeon constants'!$D$3:$D$987)),"X","")</f>
        <v/>
      </c>
      <c r="F844" s="3" t="str">
        <f t="shared" si="52"/>
        <v/>
      </c>
      <c r="G844" s="3" t="str">
        <f t="shared" si="53"/>
        <v>Western Skyrim</v>
      </c>
      <c r="H844" s="17">
        <f t="shared" si="54"/>
        <v>1265</v>
      </c>
      <c r="I844" s="17">
        <f t="shared" si="55"/>
        <v>1160</v>
      </c>
      <c r="J844">
        <v>14</v>
      </c>
      <c r="K844" s="3" t="str">
        <f>VLOOKUP(J844,'LibSets constants'!$A$4:$B$1012,2,FALSE)</f>
        <v>DLC_ELSWEYR</v>
      </c>
      <c r="L844" s="3" t="str">
        <f>VLOOKUP(J844,'LibSets constants'!$A$4:$C$1012,3,FALSE)</f>
        <v>Elsweyr</v>
      </c>
    </row>
    <row r="845" spans="1:12" x14ac:dyDescent="0.25">
      <c r="A845" s="5">
        <v>1266</v>
      </c>
      <c r="B845" s="5">
        <v>840</v>
      </c>
      <c r="C845" s="5">
        <v>1261</v>
      </c>
      <c r="D845" t="s">
        <v>2417</v>
      </c>
      <c r="E845" s="3" t="str">
        <f t="array" ref="E845">IF(OR(EXACT(A845,'ESO Dungeon constants'!$D$3:$D$987)),"X","")</f>
        <v/>
      </c>
      <c r="F845" s="3" t="str">
        <f t="shared" si="52"/>
        <v/>
      </c>
      <c r="G845" s="3" t="str">
        <f t="shared" si="53"/>
        <v>Blackwood</v>
      </c>
      <c r="H845" s="17">
        <f t="shared" si="54"/>
        <v>1266</v>
      </c>
      <c r="I845" s="17">
        <f t="shared" si="55"/>
        <v>1261</v>
      </c>
      <c r="J845">
        <v>14</v>
      </c>
      <c r="K845" s="3" t="str">
        <f>VLOOKUP(J845,'LibSets constants'!$A$4:$B$1012,2,FALSE)</f>
        <v>DLC_ELSWEYR</v>
      </c>
      <c r="L845" s="3" t="str">
        <f>VLOOKUP(J845,'LibSets constants'!$A$4:$C$1012,3,FALSE)</f>
        <v>Elsweyr</v>
      </c>
    </row>
    <row r="846" spans="1:12" x14ac:dyDescent="0.25">
      <c r="A846" s="5">
        <v>1267</v>
      </c>
      <c r="B846" s="5">
        <v>841</v>
      </c>
      <c r="C846" s="5">
        <v>3</v>
      </c>
      <c r="D846" t="s">
        <v>2494</v>
      </c>
      <c r="E846" s="3" t="str">
        <f t="array" ref="E846">IF(OR(EXACT(A846,'ESO Dungeon constants'!$D$3:$D$987)),"X","")</f>
        <v>X</v>
      </c>
      <c r="F846" s="3" t="str">
        <f t="shared" si="52"/>
        <v/>
      </c>
      <c r="G846" s="3" t="str">
        <f t="shared" si="53"/>
        <v>Glenumbra</v>
      </c>
      <c r="H846" s="17">
        <f t="shared" si="54"/>
        <v>1267</v>
      </c>
      <c r="I846" s="17">
        <f t="shared" si="55"/>
        <v>3</v>
      </c>
      <c r="J846">
        <v>14</v>
      </c>
      <c r="K846" s="3" t="str">
        <f>VLOOKUP(J846,'LibSets constants'!$A$4:$B$1012,2,FALSE)</f>
        <v>DLC_ELSWEYR</v>
      </c>
      <c r="L846" s="3" t="str">
        <f>VLOOKUP(J846,'LibSets constants'!$A$4:$C$1012,3,FALSE)</f>
        <v>Elsweyr</v>
      </c>
    </row>
    <row r="847" spans="1:12" x14ac:dyDescent="0.25">
      <c r="A847" s="5">
        <v>1268</v>
      </c>
      <c r="B847" s="5">
        <v>842</v>
      </c>
      <c r="C847" s="5">
        <v>1261</v>
      </c>
      <c r="D847" t="s">
        <v>2499</v>
      </c>
      <c r="E847" s="3" t="str">
        <f t="array" ref="E847">IF(OR(EXACT(A847,'ESO Dungeon constants'!$D$3:$D$987)),"X","")</f>
        <v>X</v>
      </c>
      <c r="F847" s="3" t="str">
        <f t="shared" si="52"/>
        <v/>
      </c>
      <c r="G847" s="3" t="str">
        <f t="shared" si="53"/>
        <v>Blackwood</v>
      </c>
      <c r="H847" s="17">
        <f t="shared" si="54"/>
        <v>1268</v>
      </c>
      <c r="I847" s="17">
        <f t="shared" si="55"/>
        <v>1261</v>
      </c>
      <c r="J847">
        <v>0</v>
      </c>
      <c r="K847" s="3" t="str">
        <f>VLOOKUP(J847,'LibSets constants'!$A$4:$B$1012,2,FALSE)</f>
        <v>DLC_BASE_GAME</v>
      </c>
      <c r="L847" s="3" t="str">
        <f>VLOOKUP(J847,'LibSets constants'!$A$4:$C$1012,3,FALSE)</f>
        <v>Included in base game</v>
      </c>
    </row>
    <row r="848" spans="1:12" x14ac:dyDescent="0.25">
      <c r="A848" s="5">
        <v>1270</v>
      </c>
      <c r="B848" s="5">
        <v>843</v>
      </c>
      <c r="C848" s="5">
        <v>849</v>
      </c>
      <c r="D848" t="s">
        <v>2396</v>
      </c>
      <c r="E848" s="3" t="str">
        <f t="array" ref="E848">IF(OR(EXACT(A848,'ESO Dungeon constants'!$D$3:$D$987)),"X","")</f>
        <v/>
      </c>
      <c r="F848" s="3" t="str">
        <f t="shared" si="52"/>
        <v/>
      </c>
      <c r="G848" s="3" t="str">
        <f t="shared" si="53"/>
        <v>Vvardenfell</v>
      </c>
      <c r="H848" s="17">
        <f t="shared" si="54"/>
        <v>1270</v>
      </c>
      <c r="I848" s="17">
        <f t="shared" si="55"/>
        <v>849</v>
      </c>
      <c r="J848">
        <v>14</v>
      </c>
      <c r="K848" s="3" t="str">
        <f>VLOOKUP(J848,'LibSets constants'!$A$4:$B$1012,2,FALSE)</f>
        <v>DLC_ELSWEYR</v>
      </c>
      <c r="L848" s="3" t="str">
        <f>VLOOKUP(J848,'LibSets constants'!$A$4:$C$1012,3,FALSE)</f>
        <v>Elsweyr</v>
      </c>
    </row>
    <row r="849" spans="1:12" x14ac:dyDescent="0.25">
      <c r="A849" s="5">
        <v>1271</v>
      </c>
      <c r="B849" s="5">
        <v>844</v>
      </c>
      <c r="C849" s="5">
        <v>823</v>
      </c>
      <c r="D849" t="s">
        <v>2395</v>
      </c>
      <c r="E849" s="3" t="str">
        <f t="array" ref="E849">IF(OR(EXACT(A849,'ESO Dungeon constants'!$D$3:$D$987)),"X","")</f>
        <v/>
      </c>
      <c r="F849" s="3" t="str">
        <f t="shared" si="52"/>
        <v/>
      </c>
      <c r="G849" s="3" t="str">
        <f t="shared" si="53"/>
        <v>Gold Coast</v>
      </c>
      <c r="H849" s="17">
        <f t="shared" si="54"/>
        <v>1271</v>
      </c>
      <c r="I849" s="17">
        <f t="shared" si="55"/>
        <v>823</v>
      </c>
      <c r="J849">
        <v>14</v>
      </c>
      <c r="K849" s="3" t="str">
        <f>VLOOKUP(J849,'LibSets constants'!$A$4:$B$1012,2,FALSE)</f>
        <v>DLC_ELSWEYR</v>
      </c>
      <c r="L849" s="3" t="str">
        <f>VLOOKUP(J849,'LibSets constants'!$A$4:$C$1012,3,FALSE)</f>
        <v>Elsweyr</v>
      </c>
    </row>
    <row r="850" spans="1:12" x14ac:dyDescent="0.25">
      <c r="A850" s="5">
        <v>1272</v>
      </c>
      <c r="B850" s="5">
        <v>845</v>
      </c>
      <c r="C850" s="5">
        <v>1261</v>
      </c>
      <c r="D850" t="s">
        <v>3915</v>
      </c>
      <c r="E850" s="3" t="str">
        <f t="array" ref="E850">IF(OR(EXACT(A850,'ESO Dungeon constants'!$D$3:$D$987)),"X","")</f>
        <v/>
      </c>
      <c r="F850" s="3" t="str">
        <f t="shared" si="52"/>
        <v/>
      </c>
      <c r="G850" s="3" t="str">
        <f t="shared" si="53"/>
        <v>Blackwood</v>
      </c>
      <c r="H850" s="17">
        <f t="shared" si="54"/>
        <v>1272</v>
      </c>
      <c r="I850" s="17">
        <f t="shared" si="55"/>
        <v>1261</v>
      </c>
      <c r="J850">
        <v>14</v>
      </c>
      <c r="K850" s="3" t="str">
        <f>VLOOKUP(J850,'LibSets constants'!$A$4:$B$1012,2,FALSE)</f>
        <v>DLC_ELSWEYR</v>
      </c>
      <c r="L850" s="3" t="str">
        <f>VLOOKUP(J850,'LibSets constants'!$A$4:$C$1012,3,FALSE)</f>
        <v>Elsweyr</v>
      </c>
    </row>
    <row r="851" spans="1:12" x14ac:dyDescent="0.25">
      <c r="A851" s="5">
        <v>1274</v>
      </c>
      <c r="B851" s="5">
        <v>846</v>
      </c>
      <c r="C851" s="5">
        <v>3</v>
      </c>
      <c r="D851" t="s">
        <v>2503</v>
      </c>
      <c r="E851" s="3" t="str">
        <f t="array" ref="E851">IF(OR(EXACT(A851,'ESO Dungeon constants'!$D$3:$D$987)),"X","")</f>
        <v/>
      </c>
      <c r="F851" s="3" t="str">
        <f t="shared" si="52"/>
        <v/>
      </c>
      <c r="G851" s="3" t="str">
        <f t="shared" si="53"/>
        <v>Glenumbra</v>
      </c>
      <c r="H851" s="17">
        <f t="shared" si="54"/>
        <v>1274</v>
      </c>
      <c r="I851" s="17">
        <f t="shared" si="55"/>
        <v>3</v>
      </c>
      <c r="J851">
        <v>14</v>
      </c>
      <c r="K851" s="3" t="str">
        <f>VLOOKUP(J851,'LibSets constants'!$A$4:$B$1012,2,FALSE)</f>
        <v>DLC_ELSWEYR</v>
      </c>
      <c r="L851" s="3" t="str">
        <f>VLOOKUP(J851,'LibSets constants'!$A$4:$C$1012,3,FALSE)</f>
        <v>Elsweyr</v>
      </c>
    </row>
    <row r="852" spans="1:12" x14ac:dyDescent="0.25">
      <c r="A852" s="5">
        <v>1275</v>
      </c>
      <c r="B852" s="5">
        <v>847</v>
      </c>
      <c r="C852" s="5">
        <v>1261</v>
      </c>
      <c r="D852" t="s">
        <v>2443</v>
      </c>
      <c r="E852" s="3" t="str">
        <f t="array" ref="E852">IF(OR(EXACT(A852,'ESO Dungeon constants'!$D$3:$D$987)),"X","")</f>
        <v/>
      </c>
      <c r="F852" s="3" t="str">
        <f t="shared" si="52"/>
        <v/>
      </c>
      <c r="G852" s="3" t="str">
        <f t="shared" si="53"/>
        <v>Blackwood</v>
      </c>
      <c r="H852" s="17">
        <f t="shared" si="54"/>
        <v>1275</v>
      </c>
      <c r="I852" s="17">
        <f t="shared" si="55"/>
        <v>1261</v>
      </c>
      <c r="J852">
        <v>0</v>
      </c>
      <c r="K852" s="3" t="str">
        <f>VLOOKUP(J852,'LibSets constants'!$A$4:$B$1012,2,FALSE)</f>
        <v>DLC_BASE_GAME</v>
      </c>
      <c r="L852" s="3" t="str">
        <f>VLOOKUP(J852,'LibSets constants'!$A$4:$C$1012,3,FALSE)</f>
        <v>Included in base game</v>
      </c>
    </row>
    <row r="853" spans="1:12" x14ac:dyDescent="0.25">
      <c r="A853" s="5">
        <v>1276</v>
      </c>
      <c r="B853" s="5">
        <v>848</v>
      </c>
      <c r="C853" s="5">
        <v>1261</v>
      </c>
      <c r="D853" t="s">
        <v>2444</v>
      </c>
      <c r="E853" s="3" t="str">
        <f t="array" ref="E853">IF(OR(EXACT(A853,'ESO Dungeon constants'!$D$3:$D$987)),"X","")</f>
        <v/>
      </c>
      <c r="F853" s="3" t="str">
        <f t="shared" si="52"/>
        <v/>
      </c>
      <c r="G853" s="3" t="str">
        <f t="shared" si="53"/>
        <v>Blackwood</v>
      </c>
      <c r="H853" s="17">
        <f t="shared" si="54"/>
        <v>1276</v>
      </c>
      <c r="I853" s="17">
        <f t="shared" si="55"/>
        <v>1261</v>
      </c>
      <c r="J853">
        <v>14</v>
      </c>
      <c r="K853" s="3" t="str">
        <f>VLOOKUP(J853,'LibSets constants'!$A$4:$B$1012,2,FALSE)</f>
        <v>DLC_ELSWEYR</v>
      </c>
      <c r="L853" s="3" t="str">
        <f>VLOOKUP(J853,'LibSets constants'!$A$4:$C$1012,3,FALSE)</f>
        <v>Elsweyr</v>
      </c>
    </row>
    <row r="854" spans="1:12" x14ac:dyDescent="0.25">
      <c r="A854" s="5">
        <v>1277</v>
      </c>
      <c r="B854" s="5">
        <v>849</v>
      </c>
      <c r="C854" s="5">
        <v>1261</v>
      </c>
      <c r="D854" t="s">
        <v>2415</v>
      </c>
      <c r="E854" s="3" t="str">
        <f t="array" ref="E854">IF(OR(EXACT(A854,'ESO Dungeon constants'!$D$3:$D$987)),"X","")</f>
        <v/>
      </c>
      <c r="F854" s="3" t="str">
        <f t="shared" si="52"/>
        <v/>
      </c>
      <c r="G854" s="3" t="str">
        <f t="shared" si="53"/>
        <v>Blackwood</v>
      </c>
      <c r="H854" s="17">
        <f t="shared" si="54"/>
        <v>1277</v>
      </c>
      <c r="I854" s="17">
        <f t="shared" si="55"/>
        <v>1261</v>
      </c>
      <c r="J854">
        <v>14</v>
      </c>
      <c r="K854" s="3" t="str">
        <f>VLOOKUP(J854,'LibSets constants'!$A$4:$B$1012,2,FALSE)</f>
        <v>DLC_ELSWEYR</v>
      </c>
      <c r="L854" s="3" t="str">
        <f>VLOOKUP(J854,'LibSets constants'!$A$4:$C$1012,3,FALSE)</f>
        <v>Elsweyr</v>
      </c>
    </row>
    <row r="855" spans="1:12" x14ac:dyDescent="0.25">
      <c r="A855" s="5">
        <v>1278</v>
      </c>
      <c r="B855" s="5">
        <v>850</v>
      </c>
      <c r="C855" s="5">
        <v>108</v>
      </c>
      <c r="D855" t="s">
        <v>2502</v>
      </c>
      <c r="E855" s="3" t="str">
        <f t="array" ref="E855">IF(OR(EXACT(A855,'ESO Dungeon constants'!$D$3:$D$987)),"X","")</f>
        <v/>
      </c>
      <c r="F855" s="3" t="str">
        <f t="shared" si="52"/>
        <v/>
      </c>
      <c r="G855" s="3" t="str">
        <f t="shared" si="53"/>
        <v>Greenshade</v>
      </c>
      <c r="H855" s="17">
        <f t="shared" si="54"/>
        <v>1278</v>
      </c>
      <c r="I855" s="17">
        <f t="shared" si="55"/>
        <v>108</v>
      </c>
      <c r="J855">
        <v>14</v>
      </c>
      <c r="K855" s="3" t="str">
        <f>VLOOKUP(J855,'LibSets constants'!$A$4:$B$1012,2,FALSE)</f>
        <v>DLC_ELSWEYR</v>
      </c>
      <c r="L855" s="3" t="str">
        <f>VLOOKUP(J855,'LibSets constants'!$A$4:$C$1012,3,FALSE)</f>
        <v>Elsweyr</v>
      </c>
    </row>
    <row r="856" spans="1:12" x14ac:dyDescent="0.25">
      <c r="A856" s="5">
        <v>1279</v>
      </c>
      <c r="B856" s="5">
        <v>851</v>
      </c>
      <c r="C856" s="5">
        <v>108</v>
      </c>
      <c r="D856" t="s">
        <v>2501</v>
      </c>
      <c r="E856" s="3" t="str">
        <f t="array" ref="E856">IF(OR(EXACT(A856,'ESO Dungeon constants'!$D$3:$D$987)),"X","")</f>
        <v/>
      </c>
      <c r="F856" s="3" t="str">
        <f t="shared" si="52"/>
        <v/>
      </c>
      <c r="G856" s="3" t="str">
        <f t="shared" si="53"/>
        <v>Greenshade</v>
      </c>
      <c r="H856" s="17">
        <f t="shared" si="54"/>
        <v>1279</v>
      </c>
      <c r="I856" s="17">
        <f t="shared" si="55"/>
        <v>108</v>
      </c>
      <c r="J856">
        <v>14</v>
      </c>
      <c r="K856" s="3" t="str">
        <f>VLOOKUP(J856,'LibSets constants'!$A$4:$B$1012,2,FALSE)</f>
        <v>DLC_ELSWEYR</v>
      </c>
      <c r="L856" s="3" t="str">
        <f>VLOOKUP(J856,'LibSets constants'!$A$4:$C$1012,3,FALSE)</f>
        <v>Elsweyr</v>
      </c>
    </row>
    <row r="857" spans="1:12" x14ac:dyDescent="0.25">
      <c r="A857" s="5">
        <v>1280</v>
      </c>
      <c r="B857" s="5">
        <v>852</v>
      </c>
      <c r="C857" s="5">
        <v>108</v>
      </c>
      <c r="D857" t="s">
        <v>2504</v>
      </c>
      <c r="E857" s="3" t="str">
        <f t="array" ref="E857">IF(OR(EXACT(A857,'ESO Dungeon constants'!$D$3:$D$987)),"X","")</f>
        <v/>
      </c>
      <c r="F857" s="3" t="str">
        <f t="shared" si="52"/>
        <v/>
      </c>
      <c r="G857" s="3" t="str">
        <f t="shared" si="53"/>
        <v>Greenshade</v>
      </c>
      <c r="H857" s="17">
        <f t="shared" si="54"/>
        <v>1280</v>
      </c>
      <c r="I857" s="17">
        <f t="shared" si="55"/>
        <v>108</v>
      </c>
      <c r="J857">
        <v>14</v>
      </c>
      <c r="K857" s="3" t="str">
        <f>VLOOKUP(J857,'LibSets constants'!$A$4:$B$1012,2,FALSE)</f>
        <v>DLC_ELSWEYR</v>
      </c>
      <c r="L857" s="3" t="str">
        <f>VLOOKUP(J857,'LibSets constants'!$A$4:$C$1012,3,FALSE)</f>
        <v>Elsweyr</v>
      </c>
    </row>
    <row r="858" spans="1:12" x14ac:dyDescent="0.25">
      <c r="A858" s="5">
        <v>1281</v>
      </c>
      <c r="B858" s="5">
        <v>853</v>
      </c>
      <c r="C858" s="5">
        <v>108</v>
      </c>
      <c r="D858" t="s">
        <v>2504</v>
      </c>
      <c r="E858" s="3" t="str">
        <f t="array" ref="E858">IF(OR(EXACT(A858,'ESO Dungeon constants'!$D$3:$D$987)),"X","")</f>
        <v/>
      </c>
      <c r="F858" s="3" t="str">
        <f t="shared" si="52"/>
        <v/>
      </c>
      <c r="G858" s="3" t="str">
        <f t="shared" si="53"/>
        <v>Greenshade</v>
      </c>
      <c r="H858" s="17">
        <f t="shared" si="54"/>
        <v>1281</v>
      </c>
      <c r="I858" s="17">
        <f t="shared" si="55"/>
        <v>108</v>
      </c>
      <c r="J858">
        <v>0</v>
      </c>
      <c r="K858" s="3" t="str">
        <f>VLOOKUP(J858,'LibSets constants'!$A$4:$B$1012,2,FALSE)</f>
        <v>DLC_BASE_GAME</v>
      </c>
      <c r="L858" s="3" t="str">
        <f>VLOOKUP(J858,'LibSets constants'!$A$4:$C$1012,3,FALSE)</f>
        <v>Included in base game</v>
      </c>
    </row>
    <row r="859" spans="1:12" x14ac:dyDescent="0.25">
      <c r="A859" s="5">
        <v>1282</v>
      </c>
      <c r="B859" s="5">
        <v>854</v>
      </c>
      <c r="C859" s="5">
        <v>1282</v>
      </c>
      <c r="D859" t="s">
        <v>2678</v>
      </c>
      <c r="E859" s="3" t="str">
        <f t="array" ref="E859">IF(OR(EXACT(A859,'ESO Dungeon constants'!$D$3:$D$987)),"X","")</f>
        <v/>
      </c>
      <c r="F859" s="3" t="str">
        <f t="shared" si="52"/>
        <v>X</v>
      </c>
      <c r="G859" s="3" t="str">
        <f t="shared" si="53"/>
        <v/>
      </c>
      <c r="H859" s="17">
        <f t="shared" si="54"/>
        <v>1282</v>
      </c>
      <c r="I859" s="17">
        <f t="shared" si="55"/>
        <v>1282</v>
      </c>
      <c r="J859">
        <v>13</v>
      </c>
      <c r="K859" s="3" t="str">
        <f>VLOOKUP(J859,'LibSets constants'!$A$4:$B$1012,2,FALSE)</f>
        <v>DLC_WRATHSTONE</v>
      </c>
      <c r="L859" s="3" t="str">
        <f>VLOOKUP(J859,'LibSets constants'!$A$4:$C$1012,3,FALSE)</f>
        <v>Wrathstone</v>
      </c>
    </row>
    <row r="860" spans="1:12" x14ac:dyDescent="0.25">
      <c r="A860" s="5">
        <v>1283</v>
      </c>
      <c r="B860" s="5">
        <v>855</v>
      </c>
      <c r="C860" s="5">
        <v>1282</v>
      </c>
      <c r="D860" t="s">
        <v>2679</v>
      </c>
      <c r="E860" s="3" t="str">
        <f t="array" ref="E860">IF(OR(EXACT(A860,'ESO Dungeon constants'!$D$3:$D$987)),"X","")</f>
        <v/>
      </c>
      <c r="F860" s="3" t="str">
        <f t="shared" si="52"/>
        <v/>
      </c>
      <c r="G860" s="3" t="str">
        <f t="shared" si="53"/>
        <v>Fargrave</v>
      </c>
      <c r="H860" s="17">
        <f t="shared" si="54"/>
        <v>1283</v>
      </c>
      <c r="I860" s="17">
        <f t="shared" si="55"/>
        <v>1282</v>
      </c>
      <c r="J860">
        <v>13</v>
      </c>
      <c r="K860" s="3" t="str">
        <f>VLOOKUP(J860,'LibSets constants'!$A$4:$B$1012,2,FALSE)</f>
        <v>DLC_WRATHSTONE</v>
      </c>
      <c r="L860" s="3" t="str">
        <f>VLOOKUP(J860,'LibSets constants'!$A$4:$C$1012,3,FALSE)</f>
        <v>Wrathstone</v>
      </c>
    </row>
    <row r="861" spans="1:12" x14ac:dyDescent="0.25">
      <c r="A861" s="5">
        <v>1284</v>
      </c>
      <c r="B861" s="5">
        <v>856</v>
      </c>
      <c r="C861" s="5">
        <v>1282</v>
      </c>
      <c r="D861" t="s">
        <v>2693</v>
      </c>
      <c r="E861" s="3" t="str">
        <f t="array" ref="E861">IF(OR(EXACT(A861,'ESO Dungeon constants'!$D$3:$D$987)),"X","")</f>
        <v/>
      </c>
      <c r="F861" s="3" t="str">
        <f t="shared" si="52"/>
        <v/>
      </c>
      <c r="G861" s="3" t="str">
        <f t="shared" si="53"/>
        <v>Fargrave</v>
      </c>
      <c r="H861" s="17">
        <f t="shared" si="54"/>
        <v>1284</v>
      </c>
      <c r="I861" s="17">
        <f t="shared" si="55"/>
        <v>1282</v>
      </c>
      <c r="J861">
        <v>0</v>
      </c>
      <c r="K861" s="3" t="str">
        <f>VLOOKUP(J861,'LibSets constants'!$A$4:$B$1012,2,FALSE)</f>
        <v>DLC_BASE_GAME</v>
      </c>
      <c r="L861" s="3" t="str">
        <f>VLOOKUP(J861,'LibSets constants'!$A$4:$C$1012,3,FALSE)</f>
        <v>Included in base game</v>
      </c>
    </row>
    <row r="862" spans="1:12" x14ac:dyDescent="0.25">
      <c r="A862" s="5">
        <v>1285</v>
      </c>
      <c r="B862" s="5">
        <v>857</v>
      </c>
      <c r="C862" s="5">
        <v>1286</v>
      </c>
      <c r="D862" t="s">
        <v>2692</v>
      </c>
      <c r="E862" s="3" t="str">
        <f t="array" ref="E862">IF(OR(EXACT(A862,'ESO Dungeon constants'!$D$3:$D$987)),"X","")</f>
        <v/>
      </c>
      <c r="F862" s="3" t="str">
        <f t="shared" si="52"/>
        <v/>
      </c>
      <c r="G862" s="3" t="str">
        <f t="shared" si="53"/>
        <v>The Deadlands</v>
      </c>
      <c r="H862" s="17">
        <f t="shared" si="54"/>
        <v>1285</v>
      </c>
      <c r="I862" s="17">
        <f t="shared" si="55"/>
        <v>1286</v>
      </c>
      <c r="J862">
        <v>0</v>
      </c>
      <c r="K862" s="3" t="str">
        <f>VLOOKUP(J862,'LibSets constants'!$A$4:$B$1012,2,FALSE)</f>
        <v>DLC_BASE_GAME</v>
      </c>
      <c r="L862" s="3" t="str">
        <f>VLOOKUP(J862,'LibSets constants'!$A$4:$C$1012,3,FALSE)</f>
        <v>Included in base game</v>
      </c>
    </row>
    <row r="863" spans="1:12" x14ac:dyDescent="0.25">
      <c r="A863" s="5">
        <v>1286</v>
      </c>
      <c r="B863" s="5">
        <v>858</v>
      </c>
      <c r="C863" s="5">
        <v>1286</v>
      </c>
      <c r="D863" t="s">
        <v>2442</v>
      </c>
      <c r="E863" s="3" t="str">
        <f t="array" ref="E863">IF(OR(EXACT(A863,'ESO Dungeon constants'!$D$3:$D$987)),"X","")</f>
        <v/>
      </c>
      <c r="F863" s="3" t="str">
        <f t="shared" si="52"/>
        <v>X</v>
      </c>
      <c r="G863" s="3" t="str">
        <f t="shared" si="53"/>
        <v/>
      </c>
      <c r="H863" s="17">
        <f t="shared" si="54"/>
        <v>1286</v>
      </c>
      <c r="I863" s="17">
        <f t="shared" si="55"/>
        <v>1286</v>
      </c>
      <c r="J863">
        <v>0</v>
      </c>
      <c r="K863" s="3" t="str">
        <f>VLOOKUP(J863,'LibSets constants'!$A$4:$B$1012,2,FALSE)</f>
        <v>DLC_BASE_GAME</v>
      </c>
      <c r="L863" s="3" t="str">
        <f>VLOOKUP(J863,'LibSets constants'!$A$4:$C$1012,3,FALSE)</f>
        <v>Included in base game</v>
      </c>
    </row>
    <row r="864" spans="1:12" x14ac:dyDescent="0.25">
      <c r="A864" s="5">
        <v>1287</v>
      </c>
      <c r="B864" s="5">
        <v>859</v>
      </c>
      <c r="C864" s="5">
        <v>1286</v>
      </c>
      <c r="D864" t="s">
        <v>2691</v>
      </c>
      <c r="E864" s="3" t="str">
        <f t="array" ref="E864">IF(OR(EXACT(A864,'ESO Dungeon constants'!$D$3:$D$987)),"X","")</f>
        <v/>
      </c>
      <c r="F864" s="3" t="str">
        <f t="shared" si="52"/>
        <v/>
      </c>
      <c r="G864" s="3" t="str">
        <f t="shared" si="53"/>
        <v>The Deadlands</v>
      </c>
      <c r="H864" s="17">
        <f t="shared" si="54"/>
        <v>1287</v>
      </c>
      <c r="I864" s="17">
        <f t="shared" si="55"/>
        <v>1286</v>
      </c>
      <c r="J864">
        <v>0</v>
      </c>
      <c r="K864" s="3" t="str">
        <f>VLOOKUP(J864,'LibSets constants'!$A$4:$B$1012,2,FALSE)</f>
        <v>DLC_BASE_GAME</v>
      </c>
      <c r="L864" s="3" t="str">
        <f>VLOOKUP(J864,'LibSets constants'!$A$4:$C$1012,3,FALSE)</f>
        <v>Included in base game</v>
      </c>
    </row>
    <row r="865" spans="1:12" x14ac:dyDescent="0.25">
      <c r="A865" s="5">
        <v>1289</v>
      </c>
      <c r="B865" s="5">
        <v>860</v>
      </c>
      <c r="C865" s="5">
        <v>1286</v>
      </c>
      <c r="D865" t="s">
        <v>2690</v>
      </c>
      <c r="E865" s="3" t="str">
        <f t="array" ref="E865">IF(OR(EXACT(A865,'ESO Dungeon constants'!$D$3:$D$987)),"X","")</f>
        <v/>
      </c>
      <c r="F865" s="3" t="str">
        <f t="shared" si="52"/>
        <v/>
      </c>
      <c r="G865" s="3" t="str">
        <f t="shared" si="53"/>
        <v>The Deadlands</v>
      </c>
      <c r="H865" s="17">
        <f t="shared" si="54"/>
        <v>1289</v>
      </c>
      <c r="I865" s="17">
        <f t="shared" si="55"/>
        <v>1286</v>
      </c>
      <c r="J865">
        <v>11</v>
      </c>
      <c r="K865" s="3" t="str">
        <f>VLOOKUP(J865,'LibSets constants'!$A$4:$B$1012,2,FALSE)</f>
        <v>DLC_WOLFHUNTER</v>
      </c>
      <c r="L865" s="3" t="str">
        <f>VLOOKUP(J865,'LibSets constants'!$A$4:$C$1012,3,FALSE)</f>
        <v>Wolfhunter</v>
      </c>
    </row>
    <row r="866" spans="1:12" x14ac:dyDescent="0.25">
      <c r="A866" s="5">
        <v>1290</v>
      </c>
      <c r="B866" s="5">
        <v>861</v>
      </c>
      <c r="C866" s="5">
        <v>1286</v>
      </c>
      <c r="D866" t="s">
        <v>2689</v>
      </c>
      <c r="E866" s="3" t="str">
        <f t="array" ref="E866">IF(OR(EXACT(A866,'ESO Dungeon constants'!$D$3:$D$987)),"X","")</f>
        <v/>
      </c>
      <c r="F866" s="3" t="str">
        <f t="shared" si="52"/>
        <v/>
      </c>
      <c r="G866" s="3" t="str">
        <f t="shared" si="53"/>
        <v>The Deadlands</v>
      </c>
      <c r="H866" s="17">
        <f t="shared" si="54"/>
        <v>1290</v>
      </c>
      <c r="I866" s="17">
        <f t="shared" si="55"/>
        <v>1286</v>
      </c>
      <c r="J866">
        <v>3</v>
      </c>
      <c r="K866" s="3" t="str">
        <f>VLOOKUP(J866,'LibSets constants'!$A$4:$B$1012,2,FALSE)</f>
        <v>DLC_THIEVES_GUILD</v>
      </c>
      <c r="L866" s="3" t="str">
        <f>VLOOKUP(J866,'LibSets constants'!$A$4:$C$1012,3,FALSE)</f>
        <v>Thieves Guild</v>
      </c>
    </row>
    <row r="867" spans="1:12" x14ac:dyDescent="0.25">
      <c r="A867" s="5">
        <v>1291</v>
      </c>
      <c r="B867" s="5">
        <v>862</v>
      </c>
      <c r="C867" s="5">
        <v>1286</v>
      </c>
      <c r="D867" t="s">
        <v>2688</v>
      </c>
      <c r="E867" s="3" t="str">
        <f t="array" ref="E867">IF(OR(EXACT(A867,'ESO Dungeon constants'!$D$3:$D$987)),"X","")</f>
        <v/>
      </c>
      <c r="F867" s="3" t="str">
        <f t="shared" si="52"/>
        <v/>
      </c>
      <c r="G867" s="3" t="str">
        <f t="shared" si="53"/>
        <v>The Deadlands</v>
      </c>
      <c r="H867" s="17">
        <f t="shared" si="54"/>
        <v>1291</v>
      </c>
      <c r="I867" s="17">
        <f t="shared" si="55"/>
        <v>1286</v>
      </c>
      <c r="J867">
        <v>2</v>
      </c>
      <c r="K867" s="3" t="str">
        <f>VLOOKUP(J867,'LibSets constants'!$A$4:$B$1012,2,FALSE)</f>
        <v>DLC_ORSINIUM</v>
      </c>
      <c r="L867" s="3" t="str">
        <f>VLOOKUP(J867,'LibSets constants'!$A$4:$C$1012,3,FALSE)</f>
        <v>Orsinium</v>
      </c>
    </row>
    <row r="868" spans="1:12" x14ac:dyDescent="0.25">
      <c r="A868" s="5">
        <v>1292</v>
      </c>
      <c r="B868" s="5">
        <v>863</v>
      </c>
      <c r="C868" s="5">
        <v>1286</v>
      </c>
      <c r="D868" t="s">
        <v>2687</v>
      </c>
      <c r="E868" s="3" t="str">
        <f t="array" ref="E868">IF(OR(EXACT(A868,'ESO Dungeon constants'!$D$3:$D$987)),"X","")</f>
        <v/>
      </c>
      <c r="F868" s="3" t="str">
        <f t="shared" si="52"/>
        <v/>
      </c>
      <c r="G868" s="3" t="str">
        <f t="shared" si="53"/>
        <v>The Deadlands</v>
      </c>
      <c r="H868" s="17">
        <f t="shared" si="54"/>
        <v>1292</v>
      </c>
      <c r="I868" s="17">
        <f t="shared" si="55"/>
        <v>1286</v>
      </c>
      <c r="J868">
        <v>10</v>
      </c>
      <c r="K868" s="3" t="str">
        <f>VLOOKUP(J868,'LibSets constants'!$A$4:$B$1012,2,FALSE)</f>
        <v>DLC_SUMMERSET</v>
      </c>
      <c r="L868" s="3" t="str">
        <f>VLOOKUP(J868,'LibSets constants'!$A$4:$C$1012,3,FALSE)</f>
        <v>Summerset</v>
      </c>
    </row>
    <row r="869" spans="1:12" x14ac:dyDescent="0.25">
      <c r="A869" s="5">
        <v>1293</v>
      </c>
      <c r="B869" s="5">
        <v>864</v>
      </c>
      <c r="C869" s="5">
        <v>1282</v>
      </c>
      <c r="D869" t="s">
        <v>2686</v>
      </c>
      <c r="E869" s="3" t="str">
        <f t="array" ref="E869">IF(OR(EXACT(A869,'ESO Dungeon constants'!$D$3:$D$987)),"X","")</f>
        <v/>
      </c>
      <c r="F869" s="3" t="str">
        <f t="shared" si="52"/>
        <v/>
      </c>
      <c r="G869" s="3" t="str">
        <f t="shared" si="53"/>
        <v>Fargrave</v>
      </c>
      <c r="H869" s="17">
        <f t="shared" si="54"/>
        <v>1293</v>
      </c>
      <c r="I869" s="17">
        <f t="shared" si="55"/>
        <v>1282</v>
      </c>
      <c r="J869">
        <v>10</v>
      </c>
      <c r="K869" s="3" t="str">
        <f>VLOOKUP(J869,'LibSets constants'!$A$4:$B$1012,2,FALSE)</f>
        <v>DLC_SUMMERSET</v>
      </c>
      <c r="L869" s="3" t="str">
        <f>VLOOKUP(J869,'LibSets constants'!$A$4:$C$1012,3,FALSE)</f>
        <v>Summerset</v>
      </c>
    </row>
    <row r="870" spans="1:12" x14ac:dyDescent="0.25">
      <c r="A870" s="5">
        <v>1294</v>
      </c>
      <c r="B870" s="5">
        <v>865</v>
      </c>
      <c r="C870" s="5">
        <v>1286</v>
      </c>
      <c r="D870" t="s">
        <v>2685</v>
      </c>
      <c r="E870" s="3" t="str">
        <f t="array" ref="E870">IF(OR(EXACT(A870,'ESO Dungeon constants'!$D$3:$D$987)),"X","")</f>
        <v/>
      </c>
      <c r="F870" s="3" t="str">
        <f t="shared" si="52"/>
        <v/>
      </c>
      <c r="G870" s="3" t="str">
        <f t="shared" si="53"/>
        <v>The Deadlands</v>
      </c>
      <c r="H870" s="17">
        <f t="shared" si="54"/>
        <v>1294</v>
      </c>
      <c r="I870" s="17">
        <f t="shared" si="55"/>
        <v>1286</v>
      </c>
      <c r="J870">
        <v>10</v>
      </c>
      <c r="K870" s="3" t="str">
        <f>VLOOKUP(J870,'LibSets constants'!$A$4:$B$1012,2,FALSE)</f>
        <v>DLC_SUMMERSET</v>
      </c>
      <c r="L870" s="3" t="str">
        <f>VLOOKUP(J870,'LibSets constants'!$A$4:$C$1012,3,FALSE)</f>
        <v>Summerset</v>
      </c>
    </row>
    <row r="871" spans="1:12" x14ac:dyDescent="0.25">
      <c r="A871" s="5">
        <v>1295</v>
      </c>
      <c r="B871" s="5">
        <v>866</v>
      </c>
      <c r="C871" s="5">
        <v>1286</v>
      </c>
      <c r="D871" t="s">
        <v>2684</v>
      </c>
      <c r="E871" s="3" t="str">
        <f t="array" ref="E871">IF(OR(EXACT(A871,'ESO Dungeon constants'!$D$3:$D$987)),"X","")</f>
        <v/>
      </c>
      <c r="F871" s="3" t="str">
        <f t="shared" si="52"/>
        <v/>
      </c>
      <c r="G871" s="3" t="str">
        <f t="shared" si="53"/>
        <v>The Deadlands</v>
      </c>
      <c r="H871" s="17">
        <f t="shared" si="54"/>
        <v>1295</v>
      </c>
      <c r="I871" s="17">
        <f t="shared" si="55"/>
        <v>1286</v>
      </c>
      <c r="J871">
        <v>10</v>
      </c>
      <c r="K871" s="3" t="str">
        <f>VLOOKUP(J871,'LibSets constants'!$A$4:$B$1012,2,FALSE)</f>
        <v>DLC_SUMMERSET</v>
      </c>
      <c r="L871" s="3" t="str">
        <f>VLOOKUP(J871,'LibSets constants'!$A$4:$C$1012,3,FALSE)</f>
        <v>Summerset</v>
      </c>
    </row>
    <row r="872" spans="1:12" x14ac:dyDescent="0.25">
      <c r="A872" s="5">
        <v>1296</v>
      </c>
      <c r="B872" s="5">
        <v>867</v>
      </c>
      <c r="C872" s="5">
        <v>1286</v>
      </c>
      <c r="D872" t="s">
        <v>2683</v>
      </c>
      <c r="E872" s="3" t="str">
        <f t="array" ref="E872">IF(OR(EXACT(A872,'ESO Dungeon constants'!$D$3:$D$987)),"X","")</f>
        <v/>
      </c>
      <c r="F872" s="3" t="str">
        <f t="shared" si="52"/>
        <v/>
      </c>
      <c r="G872" s="3" t="str">
        <f t="shared" si="53"/>
        <v>The Deadlands</v>
      </c>
      <c r="H872" s="17">
        <f t="shared" si="54"/>
        <v>1296</v>
      </c>
      <c r="I872" s="17">
        <f t="shared" si="55"/>
        <v>1286</v>
      </c>
      <c r="J872">
        <v>10</v>
      </c>
      <c r="K872" s="3" t="str">
        <f>VLOOKUP(J872,'LibSets constants'!$A$4:$B$1012,2,FALSE)</f>
        <v>DLC_SUMMERSET</v>
      </c>
      <c r="L872" s="3" t="str">
        <f>VLOOKUP(J872,'LibSets constants'!$A$4:$C$1012,3,FALSE)</f>
        <v>Summerset</v>
      </c>
    </row>
    <row r="873" spans="1:12" x14ac:dyDescent="0.25">
      <c r="A873" s="5">
        <v>1297</v>
      </c>
      <c r="B873" s="5">
        <v>868</v>
      </c>
      <c r="C873" s="5">
        <v>1286</v>
      </c>
      <c r="D873" t="s">
        <v>3922</v>
      </c>
      <c r="E873" s="3" t="str">
        <f t="array" ref="E873">IF(OR(EXACT(A873,'ESO Dungeon constants'!$D$3:$D$987)),"X","")</f>
        <v/>
      </c>
      <c r="F873" s="3" t="str">
        <f t="shared" si="52"/>
        <v/>
      </c>
      <c r="G873" s="3" t="str">
        <f t="shared" si="53"/>
        <v>The Deadlands</v>
      </c>
      <c r="H873" s="17">
        <f t="shared" si="54"/>
        <v>1297</v>
      </c>
      <c r="I873" s="17">
        <f t="shared" si="55"/>
        <v>1286</v>
      </c>
      <c r="J873">
        <v>10</v>
      </c>
      <c r="K873" s="3" t="str">
        <f>VLOOKUP(J873,'LibSets constants'!$A$4:$B$1012,2,FALSE)</f>
        <v>DLC_SUMMERSET</v>
      </c>
      <c r="L873" s="3" t="str">
        <f>VLOOKUP(J873,'LibSets constants'!$A$4:$C$1012,3,FALSE)</f>
        <v>Summerset</v>
      </c>
    </row>
    <row r="874" spans="1:12" x14ac:dyDescent="0.25">
      <c r="A874" s="5">
        <v>1298</v>
      </c>
      <c r="B874" s="5">
        <v>869</v>
      </c>
      <c r="C874" s="5">
        <v>1286</v>
      </c>
      <c r="D874" t="s">
        <v>2682</v>
      </c>
      <c r="E874" s="3" t="str">
        <f t="array" ref="E874">IF(OR(EXACT(A874,'ESO Dungeon constants'!$D$3:$D$987)),"X","")</f>
        <v/>
      </c>
      <c r="F874" s="3" t="str">
        <f t="shared" si="52"/>
        <v/>
      </c>
      <c r="G874" s="3" t="str">
        <f t="shared" si="53"/>
        <v>The Deadlands</v>
      </c>
      <c r="H874" s="17">
        <f t="shared" si="54"/>
        <v>1298</v>
      </c>
      <c r="I874" s="17">
        <f t="shared" si="55"/>
        <v>1286</v>
      </c>
      <c r="J874">
        <v>10</v>
      </c>
      <c r="K874" s="3" t="str">
        <f>VLOOKUP(J874,'LibSets constants'!$A$4:$B$1012,2,FALSE)</f>
        <v>DLC_SUMMERSET</v>
      </c>
      <c r="L874" s="3" t="str">
        <f>VLOOKUP(J874,'LibSets constants'!$A$4:$C$1012,3,FALSE)</f>
        <v>Summerset</v>
      </c>
    </row>
    <row r="875" spans="1:12" x14ac:dyDescent="0.25">
      <c r="A875" s="5">
        <v>1300</v>
      </c>
      <c r="B875" s="5">
        <v>870</v>
      </c>
      <c r="C875" s="5">
        <v>1286</v>
      </c>
      <c r="D875" t="s">
        <v>2681</v>
      </c>
      <c r="E875" s="3" t="str">
        <f t="array" ref="E875">IF(OR(EXACT(A875,'ESO Dungeon constants'!$D$3:$D$987)),"X","")</f>
        <v/>
      </c>
      <c r="F875" s="3" t="str">
        <f t="shared" si="52"/>
        <v/>
      </c>
      <c r="G875" s="3" t="str">
        <f t="shared" si="53"/>
        <v>The Deadlands</v>
      </c>
      <c r="H875" s="17">
        <f t="shared" si="54"/>
        <v>1300</v>
      </c>
      <c r="I875" s="17">
        <f t="shared" si="55"/>
        <v>1286</v>
      </c>
      <c r="J875">
        <v>0</v>
      </c>
      <c r="K875" s="3" t="str">
        <f>VLOOKUP(J875,'LibSets constants'!$A$4:$B$1012,2,FALSE)</f>
        <v>DLC_BASE_GAME</v>
      </c>
      <c r="L875" s="3" t="str">
        <f>VLOOKUP(J875,'LibSets constants'!$A$4:$C$1012,3,FALSE)</f>
        <v>Included in base game</v>
      </c>
    </row>
    <row r="876" spans="1:12" x14ac:dyDescent="0.25">
      <c r="A876" s="5">
        <v>1301</v>
      </c>
      <c r="B876" s="5">
        <v>871</v>
      </c>
      <c r="C876" s="5">
        <v>1011</v>
      </c>
      <c r="D876" t="s">
        <v>2712</v>
      </c>
      <c r="E876" s="3" t="str">
        <f t="array" ref="E876">IF(OR(EXACT(A876,'ESO Dungeon constants'!$D$3:$D$987)),"X","")</f>
        <v>X</v>
      </c>
      <c r="F876" s="3" t="str">
        <f t="shared" si="52"/>
        <v/>
      </c>
      <c r="G876" s="3" t="str">
        <f t="shared" si="53"/>
        <v>Summerset</v>
      </c>
      <c r="H876" s="17">
        <f t="shared" si="54"/>
        <v>1301</v>
      </c>
      <c r="I876" s="17">
        <f t="shared" si="55"/>
        <v>1011</v>
      </c>
      <c r="J876">
        <v>0</v>
      </c>
      <c r="K876" s="3" t="str">
        <f>VLOOKUP(J876,'LibSets constants'!$A$4:$B$1012,2,FALSE)</f>
        <v>DLC_BASE_GAME</v>
      </c>
      <c r="L876" s="3" t="str">
        <f>VLOOKUP(J876,'LibSets constants'!$A$4:$C$1012,3,FALSE)</f>
        <v>Included in base game</v>
      </c>
    </row>
    <row r="877" spans="1:12" x14ac:dyDescent="0.25">
      <c r="A877" s="5">
        <v>1302</v>
      </c>
      <c r="B877" s="5">
        <v>872</v>
      </c>
      <c r="C877" s="5">
        <v>20</v>
      </c>
      <c r="D877" t="s">
        <v>2724</v>
      </c>
      <c r="E877" s="3" t="str">
        <f t="array" ref="E877">IF(OR(EXACT(A877,'ESO Dungeon constants'!$D$3:$D$987)),"X","")</f>
        <v>X</v>
      </c>
      <c r="F877" s="3" t="str">
        <f t="shared" si="52"/>
        <v/>
      </c>
      <c r="G877" s="3" t="str">
        <f t="shared" si="53"/>
        <v>Rivenspire</v>
      </c>
      <c r="H877" s="17">
        <f t="shared" si="54"/>
        <v>1302</v>
      </c>
      <c r="I877" s="17">
        <f t="shared" si="55"/>
        <v>20</v>
      </c>
      <c r="J877">
        <v>0</v>
      </c>
      <c r="K877" s="3" t="str">
        <f>VLOOKUP(J877,'LibSets constants'!$A$4:$B$1012,2,FALSE)</f>
        <v>DLC_BASE_GAME</v>
      </c>
      <c r="L877" s="3" t="str">
        <f>VLOOKUP(J877,'LibSets constants'!$A$4:$C$1012,3,FALSE)</f>
        <v>Included in base game</v>
      </c>
    </row>
    <row r="878" spans="1:12" x14ac:dyDescent="0.25">
      <c r="A878" s="5">
        <v>1304</v>
      </c>
      <c r="B878" s="5">
        <v>873</v>
      </c>
      <c r="C878" s="5">
        <v>1282</v>
      </c>
      <c r="D878" t="s">
        <v>2680</v>
      </c>
      <c r="E878" s="3" t="str">
        <f t="array" ref="E878">IF(OR(EXACT(A878,'ESO Dungeon constants'!$D$3:$D$987)),"X","")</f>
        <v/>
      </c>
      <c r="F878" s="3" t="str">
        <f t="shared" si="52"/>
        <v/>
      </c>
      <c r="G878" s="3" t="str">
        <f t="shared" si="53"/>
        <v>Fargrave</v>
      </c>
      <c r="H878" s="17">
        <f t="shared" si="54"/>
        <v>1304</v>
      </c>
      <c r="I878" s="17">
        <f t="shared" si="55"/>
        <v>1282</v>
      </c>
      <c r="J878">
        <v>10</v>
      </c>
      <c r="K878" s="3" t="str">
        <f>VLOOKUP(J878,'LibSets constants'!$A$4:$B$1012,2,FALSE)</f>
        <v>DLC_SUMMERSET</v>
      </c>
      <c r="L878" s="3" t="str">
        <f>VLOOKUP(J878,'LibSets constants'!$A$4:$C$1012,3,FALSE)</f>
        <v>Summerset</v>
      </c>
    </row>
    <row r="879" spans="1:12" x14ac:dyDescent="0.25">
      <c r="A879" s="5">
        <v>1306</v>
      </c>
      <c r="B879" s="5">
        <v>874</v>
      </c>
      <c r="C879" s="5">
        <v>58</v>
      </c>
      <c r="D879" t="s">
        <v>2500</v>
      </c>
      <c r="E879" s="3" t="str">
        <f t="array" ref="E879">IF(OR(EXACT(A879,'ESO Dungeon constants'!$D$3:$D$987)),"X","")</f>
        <v/>
      </c>
      <c r="F879" s="3" t="str">
        <f t="shared" si="52"/>
        <v/>
      </c>
      <c r="G879" s="3" t="str">
        <f t="shared" si="53"/>
        <v>Malabal Tor</v>
      </c>
      <c r="H879" s="17">
        <f t="shared" si="54"/>
        <v>1306</v>
      </c>
      <c r="I879" s="17">
        <f t="shared" si="55"/>
        <v>58</v>
      </c>
      <c r="J879">
        <v>0</v>
      </c>
      <c r="K879" s="3" t="str">
        <f>VLOOKUP(J879,'LibSets constants'!$A$4:$B$1012,2,FALSE)</f>
        <v>DLC_BASE_GAME</v>
      </c>
      <c r="L879" s="3" t="str">
        <f>VLOOKUP(J879,'LibSets constants'!$A$4:$C$1012,3,FALSE)</f>
        <v>Included in base game</v>
      </c>
    </row>
    <row r="880" spans="1:12" x14ac:dyDescent="0.25">
      <c r="A880" s="5">
        <v>1307</v>
      </c>
      <c r="B880" s="5">
        <v>875</v>
      </c>
      <c r="C880" s="5">
        <v>1261</v>
      </c>
      <c r="D880" t="s">
        <v>2505</v>
      </c>
      <c r="E880" s="3" t="str">
        <f t="array" ref="E880">IF(OR(EXACT(A880,'ESO Dungeon constants'!$D$3:$D$987)),"X","")</f>
        <v/>
      </c>
      <c r="F880" s="3" t="str">
        <f t="shared" si="52"/>
        <v/>
      </c>
      <c r="G880" s="3" t="str">
        <f t="shared" si="53"/>
        <v>Blackwood</v>
      </c>
      <c r="H880" s="17">
        <f t="shared" si="54"/>
        <v>1307</v>
      </c>
      <c r="I880" s="17">
        <f t="shared" si="55"/>
        <v>1261</v>
      </c>
      <c r="J880">
        <v>10</v>
      </c>
      <c r="K880" s="3" t="str">
        <f>VLOOKUP(J880,'LibSets constants'!$A$4:$B$1012,2,FALSE)</f>
        <v>DLC_SUMMERSET</v>
      </c>
      <c r="L880" s="3" t="str">
        <f>VLOOKUP(J880,'LibSets constants'!$A$4:$C$1012,3,FALSE)</f>
        <v>Summerset</v>
      </c>
    </row>
    <row r="881" spans="1:12" x14ac:dyDescent="0.25">
      <c r="A881" s="5">
        <v>1310</v>
      </c>
      <c r="B881" s="5">
        <v>876</v>
      </c>
      <c r="C881" s="5">
        <v>1286</v>
      </c>
      <c r="D881" t="s">
        <v>3915</v>
      </c>
      <c r="E881" s="3" t="str">
        <f t="array" ref="E881">IF(OR(EXACT(A881,'ESO Dungeon constants'!$D$3:$D$987)),"X","")</f>
        <v/>
      </c>
      <c r="F881" s="3" t="str">
        <f t="shared" si="52"/>
        <v/>
      </c>
      <c r="G881" s="3" t="str">
        <f t="shared" si="53"/>
        <v>The Deadlands</v>
      </c>
      <c r="H881" s="17">
        <f t="shared" si="54"/>
        <v>1310</v>
      </c>
      <c r="I881" s="17">
        <f t="shared" si="55"/>
        <v>1286</v>
      </c>
      <c r="J881">
        <v>0</v>
      </c>
      <c r="K881" s="3" t="str">
        <f>VLOOKUP(J881,'LibSets constants'!$A$4:$B$1012,2,FALSE)</f>
        <v>DLC_BASE_GAME</v>
      </c>
      <c r="L881" s="3" t="str">
        <f>VLOOKUP(J881,'LibSets constants'!$A$4:$C$1012,3,FALSE)</f>
        <v>Included in base game</v>
      </c>
    </row>
    <row r="882" spans="1:12" x14ac:dyDescent="0.25">
      <c r="A882" s="5">
        <v>1311</v>
      </c>
      <c r="B882" s="5">
        <v>877</v>
      </c>
      <c r="C882" s="5">
        <v>849</v>
      </c>
      <c r="D882" t="s">
        <v>2725</v>
      </c>
      <c r="E882" s="3" t="str">
        <f t="array" ref="E882">IF(OR(EXACT(A882,'ESO Dungeon constants'!$D$3:$D$987)),"X","")</f>
        <v/>
      </c>
      <c r="F882" s="3" t="str">
        <f t="shared" si="52"/>
        <v/>
      </c>
      <c r="G882" s="3" t="str">
        <f t="shared" si="53"/>
        <v>Vvardenfell</v>
      </c>
      <c r="H882" s="17">
        <f t="shared" si="54"/>
        <v>1311</v>
      </c>
      <c r="I882" s="17">
        <f t="shared" si="55"/>
        <v>849</v>
      </c>
      <c r="J882">
        <v>10</v>
      </c>
      <c r="K882" s="3" t="str">
        <f>VLOOKUP(J882,'LibSets constants'!$A$4:$B$1012,2,FALSE)</f>
        <v>DLC_SUMMERSET</v>
      </c>
      <c r="L882" s="3" t="str">
        <f>VLOOKUP(J882,'LibSets constants'!$A$4:$C$1012,3,FALSE)</f>
        <v>Summerset</v>
      </c>
    </row>
    <row r="883" spans="1:12" x14ac:dyDescent="0.25">
      <c r="A883" s="5">
        <v>1312</v>
      </c>
      <c r="B883" s="5">
        <v>878</v>
      </c>
      <c r="C883" s="5">
        <v>849</v>
      </c>
      <c r="D883" t="s">
        <v>2728</v>
      </c>
      <c r="E883" s="3" t="str">
        <f t="array" ref="E883">IF(OR(EXACT(A883,'ESO Dungeon constants'!$D$3:$D$987)),"X","")</f>
        <v/>
      </c>
      <c r="F883" s="3" t="str">
        <f t="shared" si="52"/>
        <v/>
      </c>
      <c r="G883" s="3" t="str">
        <f t="shared" si="53"/>
        <v>Vvardenfell</v>
      </c>
      <c r="H883" s="17">
        <f t="shared" si="54"/>
        <v>1312</v>
      </c>
      <c r="I883" s="17">
        <f t="shared" si="55"/>
        <v>849</v>
      </c>
      <c r="J883">
        <v>10</v>
      </c>
      <c r="K883" s="3" t="str">
        <f>VLOOKUP(J883,'LibSets constants'!$A$4:$B$1012,2,FALSE)</f>
        <v>DLC_SUMMERSET</v>
      </c>
      <c r="L883" s="3" t="str">
        <f>VLOOKUP(J883,'LibSets constants'!$A$4:$C$1012,3,FALSE)</f>
        <v>Summerset</v>
      </c>
    </row>
    <row r="884" spans="1:12" x14ac:dyDescent="0.25">
      <c r="A884" s="5">
        <v>1313</v>
      </c>
      <c r="B884" s="5">
        <v>879</v>
      </c>
      <c r="C884" s="5">
        <v>1318</v>
      </c>
      <c r="D884" t="s">
        <v>3369</v>
      </c>
      <c r="E884" s="3" t="str">
        <f t="array" ref="E884">IF(OR(EXACT(A884,'ESO Dungeon constants'!$D$3:$D$987)),"X","")</f>
        <v/>
      </c>
      <c r="F884" s="3" t="str">
        <f t="shared" si="52"/>
        <v/>
      </c>
      <c r="G884" s="3" t="str">
        <f t="shared" si="53"/>
        <v>High Isle</v>
      </c>
      <c r="H884" s="17">
        <f t="shared" si="54"/>
        <v>1313</v>
      </c>
      <c r="I884" s="17">
        <f t="shared" si="55"/>
        <v>1318</v>
      </c>
      <c r="J884">
        <v>10</v>
      </c>
      <c r="K884" s="3" t="str">
        <f>VLOOKUP(J884,'LibSets constants'!$A$4:$B$1012,2,FALSE)</f>
        <v>DLC_SUMMERSET</v>
      </c>
      <c r="L884" s="3" t="str">
        <f>VLOOKUP(J884,'LibSets constants'!$A$4:$C$1012,3,FALSE)</f>
        <v>Summerset</v>
      </c>
    </row>
    <row r="885" spans="1:12" x14ac:dyDescent="0.25">
      <c r="A885" s="5">
        <v>1314</v>
      </c>
      <c r="B885" s="5">
        <v>880</v>
      </c>
      <c r="C885" s="5">
        <v>3</v>
      </c>
      <c r="D885" t="s">
        <v>2727</v>
      </c>
      <c r="E885" s="3" t="str">
        <f t="array" ref="E885">IF(OR(EXACT(A885,'ESO Dungeon constants'!$D$3:$D$987)),"X","")</f>
        <v/>
      </c>
      <c r="F885" s="3" t="str">
        <f t="shared" si="52"/>
        <v/>
      </c>
      <c r="G885" s="3" t="str">
        <f t="shared" si="53"/>
        <v>Glenumbra</v>
      </c>
      <c r="H885" s="17">
        <f t="shared" si="54"/>
        <v>1314</v>
      </c>
      <c r="I885" s="17">
        <f t="shared" si="55"/>
        <v>3</v>
      </c>
      <c r="J885">
        <v>10</v>
      </c>
      <c r="K885" s="3" t="str">
        <f>VLOOKUP(J885,'LibSets constants'!$A$4:$B$1012,2,FALSE)</f>
        <v>DLC_SUMMERSET</v>
      </c>
      <c r="L885" s="3" t="str">
        <f>VLOOKUP(J885,'LibSets constants'!$A$4:$C$1012,3,FALSE)</f>
        <v>Summerset</v>
      </c>
    </row>
    <row r="886" spans="1:12" x14ac:dyDescent="0.25">
      <c r="A886" s="5">
        <v>1315</v>
      </c>
      <c r="B886" s="5">
        <v>881</v>
      </c>
      <c r="C886" s="5">
        <v>1318</v>
      </c>
      <c r="D886" t="s">
        <v>3368</v>
      </c>
      <c r="E886" s="3" t="str">
        <f t="array" ref="E886">IF(OR(EXACT(A886,'ESO Dungeon constants'!$D$3:$D$987)),"X","")</f>
        <v/>
      </c>
      <c r="F886" s="3" t="str">
        <f t="shared" si="52"/>
        <v/>
      </c>
      <c r="G886" s="3" t="str">
        <f t="shared" si="53"/>
        <v>High Isle</v>
      </c>
      <c r="H886" s="17">
        <f t="shared" si="54"/>
        <v>1315</v>
      </c>
      <c r="I886" s="17">
        <f t="shared" si="55"/>
        <v>1318</v>
      </c>
      <c r="J886">
        <v>10</v>
      </c>
      <c r="K886" s="3" t="str">
        <f>VLOOKUP(J886,'LibSets constants'!$A$4:$B$1012,2,FALSE)</f>
        <v>DLC_SUMMERSET</v>
      </c>
      <c r="L886" s="3" t="str">
        <f>VLOOKUP(J886,'LibSets constants'!$A$4:$C$1012,3,FALSE)</f>
        <v>Summerset</v>
      </c>
    </row>
    <row r="887" spans="1:12" x14ac:dyDescent="0.25">
      <c r="A887" s="5">
        <v>1316</v>
      </c>
      <c r="B887" s="5">
        <v>882</v>
      </c>
      <c r="C887" s="5">
        <v>1318</v>
      </c>
      <c r="D887" t="s">
        <v>3351</v>
      </c>
      <c r="E887" s="3" t="str">
        <f t="array" ref="E887">IF(OR(EXACT(A887,'ESO Dungeon constants'!$D$3:$D$987)),"X","")</f>
        <v/>
      </c>
      <c r="F887" s="3" t="str">
        <f t="shared" si="52"/>
        <v/>
      </c>
      <c r="G887" s="3" t="str">
        <f t="shared" si="53"/>
        <v>High Isle</v>
      </c>
      <c r="H887" s="17">
        <f t="shared" si="54"/>
        <v>1316</v>
      </c>
      <c r="I887" s="17">
        <f t="shared" si="55"/>
        <v>1318</v>
      </c>
      <c r="J887">
        <v>0</v>
      </c>
      <c r="K887" s="3" t="str">
        <f>VLOOKUP(J887,'LibSets constants'!$A$4:$B$1012,2,FALSE)</f>
        <v>DLC_BASE_GAME</v>
      </c>
      <c r="L887" s="3" t="str">
        <f>VLOOKUP(J887,'LibSets constants'!$A$4:$C$1012,3,FALSE)</f>
        <v>Included in base game</v>
      </c>
    </row>
    <row r="888" spans="1:12" x14ac:dyDescent="0.25">
      <c r="A888" s="5">
        <v>1317</v>
      </c>
      <c r="B888" s="5">
        <v>883</v>
      </c>
      <c r="C888" s="5">
        <v>1318</v>
      </c>
      <c r="D888" t="s">
        <v>3344</v>
      </c>
      <c r="E888" s="3" t="str">
        <f t="array" ref="E888">IF(OR(EXACT(A888,'ESO Dungeon constants'!$D$3:$D$987)),"X","")</f>
        <v/>
      </c>
      <c r="F888" s="3" t="str">
        <f t="shared" si="52"/>
        <v/>
      </c>
      <c r="G888" s="3" t="str">
        <f t="shared" si="53"/>
        <v>High Isle</v>
      </c>
      <c r="H888" s="17">
        <f t="shared" si="54"/>
        <v>1317</v>
      </c>
      <c r="I888" s="17">
        <f t="shared" si="55"/>
        <v>1318</v>
      </c>
      <c r="J888">
        <v>0</v>
      </c>
      <c r="K888" s="3" t="str">
        <f>VLOOKUP(J888,'LibSets constants'!$A$4:$B$1012,2,FALSE)</f>
        <v>DLC_BASE_GAME</v>
      </c>
      <c r="L888" s="3" t="str">
        <f>VLOOKUP(J888,'LibSets constants'!$A$4:$C$1012,3,FALSE)</f>
        <v>Included in base game</v>
      </c>
    </row>
    <row r="889" spans="1:12" x14ac:dyDescent="0.25">
      <c r="A889" s="5">
        <v>1318</v>
      </c>
      <c r="B889" s="5">
        <v>884</v>
      </c>
      <c r="C889" s="5">
        <v>1318</v>
      </c>
      <c r="D889" t="s">
        <v>3327</v>
      </c>
      <c r="E889" s="3" t="str">
        <f t="array" ref="E889">IF(OR(EXACT(A889,'ESO Dungeon constants'!$D$3:$D$987)),"X","")</f>
        <v/>
      </c>
      <c r="F889" s="3" t="str">
        <f t="shared" si="52"/>
        <v>X</v>
      </c>
      <c r="G889" s="3" t="str">
        <f t="shared" si="53"/>
        <v/>
      </c>
      <c r="H889" s="17">
        <f t="shared" si="54"/>
        <v>1318</v>
      </c>
      <c r="I889" s="17">
        <f t="shared" si="55"/>
        <v>1318</v>
      </c>
      <c r="J889">
        <v>0</v>
      </c>
      <c r="K889" s="3" t="str">
        <f>VLOOKUP(J889,'LibSets constants'!$A$4:$B$1012,2,FALSE)</f>
        <v>DLC_BASE_GAME</v>
      </c>
      <c r="L889" s="3" t="str">
        <f>VLOOKUP(J889,'LibSets constants'!$A$4:$C$1012,3,FALSE)</f>
        <v>Included in base game</v>
      </c>
    </row>
    <row r="890" spans="1:12" x14ac:dyDescent="0.25">
      <c r="A890" s="5">
        <v>1319</v>
      </c>
      <c r="B890" s="5">
        <v>885</v>
      </c>
      <c r="C890" s="5">
        <v>1318</v>
      </c>
      <c r="D890" t="s">
        <v>3352</v>
      </c>
      <c r="E890" s="3" t="str">
        <f t="array" ref="E890">IF(OR(EXACT(A890,'ESO Dungeon constants'!$D$3:$D$987)),"X","")</f>
        <v/>
      </c>
      <c r="F890" s="3" t="str">
        <f t="shared" si="52"/>
        <v/>
      </c>
      <c r="G890" s="3" t="str">
        <f t="shared" si="53"/>
        <v>High Isle</v>
      </c>
      <c r="H890" s="17">
        <f t="shared" si="54"/>
        <v>1319</v>
      </c>
      <c r="I890" s="17">
        <f t="shared" si="55"/>
        <v>1318</v>
      </c>
      <c r="J890">
        <v>0</v>
      </c>
      <c r="K890" s="3" t="str">
        <f>VLOOKUP(J890,'LibSets constants'!$A$4:$B$1012,2,FALSE)</f>
        <v>DLC_BASE_GAME</v>
      </c>
      <c r="L890" s="3" t="str">
        <f>VLOOKUP(J890,'LibSets constants'!$A$4:$C$1012,3,FALSE)</f>
        <v>Included in base game</v>
      </c>
    </row>
    <row r="891" spans="1:12" x14ac:dyDescent="0.25">
      <c r="A891" s="5">
        <v>1320</v>
      </c>
      <c r="B891" s="5">
        <v>886</v>
      </c>
      <c r="C891" s="5">
        <v>1318</v>
      </c>
      <c r="D891" t="s">
        <v>3367</v>
      </c>
      <c r="E891" s="3" t="str">
        <f t="array" ref="E891">IF(OR(EXACT(A891,'ESO Dungeon constants'!$D$3:$D$987)),"X","")</f>
        <v/>
      </c>
      <c r="F891" s="3" t="str">
        <f t="shared" si="52"/>
        <v/>
      </c>
      <c r="G891" s="3" t="str">
        <f t="shared" si="53"/>
        <v>High Isle</v>
      </c>
      <c r="H891" s="17">
        <f t="shared" si="54"/>
        <v>1320</v>
      </c>
      <c r="I891" s="17">
        <f t="shared" si="55"/>
        <v>1318</v>
      </c>
      <c r="J891">
        <v>10</v>
      </c>
      <c r="K891" s="3" t="str">
        <f>VLOOKUP(J891,'LibSets constants'!$A$4:$B$1012,2,FALSE)</f>
        <v>DLC_SUMMERSET</v>
      </c>
      <c r="L891" s="3" t="str">
        <f>VLOOKUP(J891,'LibSets constants'!$A$4:$C$1012,3,FALSE)</f>
        <v>Summerset</v>
      </c>
    </row>
    <row r="892" spans="1:12" x14ac:dyDescent="0.25">
      <c r="A892" s="5">
        <v>1321</v>
      </c>
      <c r="B892" s="5">
        <v>887</v>
      </c>
      <c r="C892" s="5">
        <v>1318</v>
      </c>
      <c r="D892" t="s">
        <v>3353</v>
      </c>
      <c r="E892" s="3" t="str">
        <f t="array" ref="E892">IF(OR(EXACT(A892,'ESO Dungeon constants'!$D$3:$D$987)),"X","")</f>
        <v/>
      </c>
      <c r="F892" s="3" t="str">
        <f t="shared" si="52"/>
        <v/>
      </c>
      <c r="G892" s="3" t="str">
        <f t="shared" si="53"/>
        <v>High Isle</v>
      </c>
      <c r="H892" s="17">
        <f t="shared" si="54"/>
        <v>1321</v>
      </c>
      <c r="I892" s="17">
        <f t="shared" si="55"/>
        <v>1318</v>
      </c>
      <c r="J892">
        <v>0</v>
      </c>
      <c r="K892" s="3" t="str">
        <f>VLOOKUP(J892,'LibSets constants'!$A$4:$B$1012,2,FALSE)</f>
        <v>DLC_BASE_GAME</v>
      </c>
      <c r="L892" s="3" t="str">
        <f>VLOOKUP(J892,'LibSets constants'!$A$4:$C$1012,3,FALSE)</f>
        <v>Included in base game</v>
      </c>
    </row>
    <row r="893" spans="1:12" x14ac:dyDescent="0.25">
      <c r="A893" s="5">
        <v>1322</v>
      </c>
      <c r="B893" s="5">
        <v>888</v>
      </c>
      <c r="C893" s="5">
        <v>1318</v>
      </c>
      <c r="D893" t="s">
        <v>3354</v>
      </c>
      <c r="E893" s="3" t="str">
        <f t="array" ref="E893">IF(OR(EXACT(A893,'ESO Dungeon constants'!$D$3:$D$987)),"X","")</f>
        <v/>
      </c>
      <c r="F893" s="3" t="str">
        <f t="shared" si="52"/>
        <v/>
      </c>
      <c r="G893" s="3" t="str">
        <f t="shared" si="53"/>
        <v>High Isle</v>
      </c>
      <c r="H893" s="17">
        <f t="shared" si="54"/>
        <v>1322</v>
      </c>
      <c r="I893" s="17">
        <f t="shared" si="55"/>
        <v>1318</v>
      </c>
      <c r="J893">
        <v>0</v>
      </c>
      <c r="K893" s="3" t="str">
        <f>VLOOKUP(J893,'LibSets constants'!$A$4:$B$1012,2,FALSE)</f>
        <v>DLC_BASE_GAME</v>
      </c>
      <c r="L893" s="3" t="str">
        <f>VLOOKUP(J893,'LibSets constants'!$A$4:$C$1012,3,FALSE)</f>
        <v>Included in base game</v>
      </c>
    </row>
    <row r="894" spans="1:12" x14ac:dyDescent="0.25">
      <c r="A894" s="5">
        <v>1324</v>
      </c>
      <c r="B894" s="5">
        <v>889</v>
      </c>
      <c r="C894" s="5">
        <v>1318</v>
      </c>
      <c r="D894" t="s">
        <v>3355</v>
      </c>
      <c r="E894" s="3" t="str">
        <f t="array" ref="E894">IF(OR(EXACT(A894,'ESO Dungeon constants'!$D$3:$D$987)),"X","")</f>
        <v/>
      </c>
      <c r="F894" s="3" t="str">
        <f t="shared" si="52"/>
        <v/>
      </c>
      <c r="G894" s="3" t="str">
        <f t="shared" si="53"/>
        <v>High Isle</v>
      </c>
      <c r="H894" s="17">
        <f t="shared" si="54"/>
        <v>1324</v>
      </c>
      <c r="I894" s="17">
        <f t="shared" si="55"/>
        <v>1318</v>
      </c>
      <c r="J894">
        <v>0</v>
      </c>
      <c r="K894" s="3" t="str">
        <f>VLOOKUP(J894,'LibSets constants'!$A$4:$B$1012,2,FALSE)</f>
        <v>DLC_BASE_GAME</v>
      </c>
      <c r="L894" s="3" t="str">
        <f>VLOOKUP(J894,'LibSets constants'!$A$4:$C$1012,3,FALSE)</f>
        <v>Included in base game</v>
      </c>
    </row>
    <row r="895" spans="1:12" x14ac:dyDescent="0.25">
      <c r="A895" s="5">
        <v>1326</v>
      </c>
      <c r="B895" s="5">
        <v>890</v>
      </c>
      <c r="C895" s="5">
        <v>1318</v>
      </c>
      <c r="D895" t="s">
        <v>3356</v>
      </c>
      <c r="E895" s="3" t="str">
        <f t="array" ref="E895">IF(OR(EXACT(A895,'ESO Dungeon constants'!$D$3:$D$987)),"X","")</f>
        <v/>
      </c>
      <c r="F895" s="3" t="str">
        <f t="shared" si="52"/>
        <v/>
      </c>
      <c r="G895" s="3" t="str">
        <f t="shared" si="53"/>
        <v>High Isle</v>
      </c>
      <c r="H895" s="17">
        <f t="shared" si="54"/>
        <v>1326</v>
      </c>
      <c r="I895" s="17">
        <f t="shared" si="55"/>
        <v>1318</v>
      </c>
      <c r="J895">
        <v>0</v>
      </c>
      <c r="K895" s="3" t="str">
        <f>VLOOKUP(J895,'LibSets constants'!$A$4:$B$1012,2,FALSE)</f>
        <v>DLC_BASE_GAME</v>
      </c>
      <c r="L895" s="3" t="str">
        <f>VLOOKUP(J895,'LibSets constants'!$A$4:$C$1012,3,FALSE)</f>
        <v>Included in base game</v>
      </c>
    </row>
    <row r="896" spans="1:12" x14ac:dyDescent="0.25">
      <c r="A896" s="5">
        <v>1327</v>
      </c>
      <c r="B896" s="5">
        <v>891</v>
      </c>
      <c r="C896" s="5">
        <v>1318</v>
      </c>
      <c r="D896" t="s">
        <v>1702</v>
      </c>
      <c r="E896" s="3" t="str">
        <f t="array" ref="E896">IF(OR(EXACT(A896,'ESO Dungeon constants'!$D$3:$D$987)),"X","")</f>
        <v/>
      </c>
      <c r="F896" s="3" t="str">
        <f t="shared" si="52"/>
        <v/>
      </c>
      <c r="G896" s="3" t="str">
        <f t="shared" si="53"/>
        <v>High Isle</v>
      </c>
      <c r="H896" s="17">
        <f t="shared" si="54"/>
        <v>1327</v>
      </c>
      <c r="I896" s="17">
        <f t="shared" si="55"/>
        <v>1318</v>
      </c>
      <c r="J896">
        <v>0</v>
      </c>
      <c r="K896" s="3" t="str">
        <f>VLOOKUP(J896,'LibSets constants'!$A$4:$B$1012,2,FALSE)</f>
        <v>DLC_BASE_GAME</v>
      </c>
      <c r="L896" s="3" t="str">
        <f>VLOOKUP(J896,'LibSets constants'!$A$4:$C$1012,3,FALSE)</f>
        <v>Included in base game</v>
      </c>
    </row>
    <row r="897" spans="1:12" x14ac:dyDescent="0.25">
      <c r="A897" s="5">
        <v>1328</v>
      </c>
      <c r="B897" s="5">
        <v>892</v>
      </c>
      <c r="C897" s="5">
        <v>1318</v>
      </c>
      <c r="D897" t="s">
        <v>3357</v>
      </c>
      <c r="E897" s="3" t="str">
        <f t="array" ref="E897">IF(OR(EXACT(A897,'ESO Dungeon constants'!$D$3:$D$987)),"X","")</f>
        <v/>
      </c>
      <c r="F897" s="3" t="str">
        <f t="shared" si="52"/>
        <v/>
      </c>
      <c r="G897" s="3" t="str">
        <f t="shared" si="53"/>
        <v>High Isle</v>
      </c>
      <c r="H897" s="17">
        <f t="shared" si="54"/>
        <v>1328</v>
      </c>
      <c r="I897" s="17">
        <f t="shared" si="55"/>
        <v>1318</v>
      </c>
      <c r="J897">
        <v>0</v>
      </c>
      <c r="K897" s="3" t="str">
        <f>VLOOKUP(J897,'LibSets constants'!$A$4:$B$1012,2,FALSE)</f>
        <v>DLC_BASE_GAME</v>
      </c>
      <c r="L897" s="3" t="str">
        <f>VLOOKUP(J897,'LibSets constants'!$A$4:$C$1012,3,FALSE)</f>
        <v>Included in base game</v>
      </c>
    </row>
    <row r="898" spans="1:12" x14ac:dyDescent="0.25">
      <c r="A898" s="5">
        <v>1329</v>
      </c>
      <c r="B898" s="5">
        <v>893</v>
      </c>
      <c r="C898" s="5">
        <v>1318</v>
      </c>
      <c r="D898" t="s">
        <v>3356</v>
      </c>
      <c r="E898" s="3" t="str">
        <f t="array" ref="E898">IF(OR(EXACT(A898,'ESO Dungeon constants'!$D$3:$D$987)),"X","")</f>
        <v/>
      </c>
      <c r="F898" s="3" t="str">
        <f t="shared" si="52"/>
        <v/>
      </c>
      <c r="G898" s="3" t="str">
        <f t="shared" si="53"/>
        <v>High Isle</v>
      </c>
      <c r="H898" s="17">
        <f t="shared" si="54"/>
        <v>1329</v>
      </c>
      <c r="I898" s="17">
        <f t="shared" si="55"/>
        <v>1318</v>
      </c>
      <c r="J898">
        <v>0</v>
      </c>
      <c r="K898" s="3" t="str">
        <f>VLOOKUP(J898,'LibSets constants'!$A$4:$B$1012,2,FALSE)</f>
        <v>DLC_BASE_GAME</v>
      </c>
      <c r="L898" s="3" t="str">
        <f>VLOOKUP(J898,'LibSets constants'!$A$4:$C$1012,3,FALSE)</f>
        <v>Included in base game</v>
      </c>
    </row>
    <row r="899" spans="1:12" x14ac:dyDescent="0.25">
      <c r="A899" s="5">
        <v>1330</v>
      </c>
      <c r="B899" s="5">
        <v>894</v>
      </c>
      <c r="C899" s="5">
        <v>1318</v>
      </c>
      <c r="D899" t="s">
        <v>3366</v>
      </c>
      <c r="E899" s="3" t="str">
        <f t="array" ref="E899">IF(OR(EXACT(A899,'ESO Dungeon constants'!$D$3:$D$987)),"X","")</f>
        <v/>
      </c>
      <c r="F899" s="3" t="str">
        <f t="shared" si="52"/>
        <v/>
      </c>
      <c r="G899" s="3" t="str">
        <f t="shared" si="53"/>
        <v>High Isle</v>
      </c>
      <c r="H899" s="17">
        <f t="shared" si="54"/>
        <v>1330</v>
      </c>
      <c r="I899" s="17">
        <f t="shared" si="55"/>
        <v>1318</v>
      </c>
      <c r="J899">
        <v>10</v>
      </c>
      <c r="K899" s="3" t="str">
        <f>VLOOKUP(J899,'LibSets constants'!$A$4:$B$1012,2,FALSE)</f>
        <v>DLC_SUMMERSET</v>
      </c>
      <c r="L899" s="3" t="str">
        <f>VLOOKUP(J899,'LibSets constants'!$A$4:$C$1012,3,FALSE)</f>
        <v>Summerset</v>
      </c>
    </row>
    <row r="900" spans="1:12" x14ac:dyDescent="0.25">
      <c r="A900" s="5">
        <v>1331</v>
      </c>
      <c r="B900" s="5">
        <v>895</v>
      </c>
      <c r="C900" s="5">
        <v>1318</v>
      </c>
      <c r="D900" t="s">
        <v>3358</v>
      </c>
      <c r="E900" s="3" t="str">
        <f t="array" ref="E900">IF(OR(EXACT(A900,'ESO Dungeon constants'!$D$3:$D$987)),"X","")</f>
        <v/>
      </c>
      <c r="F900" s="3" t="str">
        <f t="shared" si="52"/>
        <v/>
      </c>
      <c r="G900" s="3" t="str">
        <f t="shared" si="53"/>
        <v>High Isle</v>
      </c>
      <c r="H900" s="17">
        <f t="shared" si="54"/>
        <v>1331</v>
      </c>
      <c r="I900" s="17">
        <f t="shared" si="55"/>
        <v>1318</v>
      </c>
      <c r="J900">
        <v>0</v>
      </c>
      <c r="K900" s="3" t="str">
        <f>VLOOKUP(J900,'LibSets constants'!$A$4:$B$1012,2,FALSE)</f>
        <v>DLC_BASE_GAME</v>
      </c>
      <c r="L900" s="3" t="str">
        <f>VLOOKUP(J900,'LibSets constants'!$A$4:$C$1012,3,FALSE)</f>
        <v>Included in base game</v>
      </c>
    </row>
    <row r="901" spans="1:12" x14ac:dyDescent="0.25">
      <c r="A901" s="5">
        <v>1332</v>
      </c>
      <c r="B901" s="5">
        <v>896</v>
      </c>
      <c r="C901" s="5">
        <v>1318</v>
      </c>
      <c r="D901" t="s">
        <v>3365</v>
      </c>
      <c r="E901" s="3" t="str">
        <f t="array" ref="E901">IF(OR(EXACT(A901,'ESO Dungeon constants'!$D$3:$D$987)),"X","")</f>
        <v/>
      </c>
      <c r="F901" s="3" t="str">
        <f t="shared" ref="F901:F964" si="56">IF(EXACT(A901,C901),"X","")</f>
        <v/>
      </c>
      <c r="G901" s="3" t="str">
        <f t="shared" ref="G901:G964" si="57">IF(A901&lt;&gt;C901,VLOOKUP(C901,$A$5:$D$9954,4,FALSE),"")</f>
        <v>High Isle</v>
      </c>
      <c r="H901" s="17">
        <f t="shared" ref="H901:H964" si="58">A901</f>
        <v>1332</v>
      </c>
      <c r="I901" s="17">
        <f t="shared" ref="I901:I964" si="59">C901</f>
        <v>1318</v>
      </c>
      <c r="J901">
        <v>10</v>
      </c>
      <c r="K901" s="3" t="str">
        <f>VLOOKUP(J901,'LibSets constants'!$A$4:$B$1012,2,FALSE)</f>
        <v>DLC_SUMMERSET</v>
      </c>
      <c r="L901" s="3" t="str">
        <f>VLOOKUP(J901,'LibSets constants'!$A$4:$C$1012,3,FALSE)</f>
        <v>Summerset</v>
      </c>
    </row>
    <row r="902" spans="1:12" x14ac:dyDescent="0.25">
      <c r="A902" s="5">
        <v>1333</v>
      </c>
      <c r="B902" s="5">
        <v>897</v>
      </c>
      <c r="C902" s="5">
        <v>1318</v>
      </c>
      <c r="D902" t="s">
        <v>3364</v>
      </c>
      <c r="E902" s="3" t="str">
        <f t="array" ref="E902">IF(OR(EXACT(A902,'ESO Dungeon constants'!$D$3:$D$987)),"X","")</f>
        <v/>
      </c>
      <c r="F902" s="3" t="str">
        <f t="shared" si="56"/>
        <v/>
      </c>
      <c r="G902" s="3" t="str">
        <f t="shared" si="57"/>
        <v>High Isle</v>
      </c>
      <c r="H902" s="17">
        <f t="shared" si="58"/>
        <v>1333</v>
      </c>
      <c r="I902" s="17">
        <f t="shared" si="59"/>
        <v>1318</v>
      </c>
      <c r="J902">
        <v>10</v>
      </c>
      <c r="K902" s="3" t="str">
        <f>VLOOKUP(J902,'LibSets constants'!$A$4:$B$1012,2,FALSE)</f>
        <v>DLC_SUMMERSET</v>
      </c>
      <c r="L902" s="3" t="str">
        <f>VLOOKUP(J902,'LibSets constants'!$A$4:$C$1012,3,FALSE)</f>
        <v>Summerset</v>
      </c>
    </row>
    <row r="903" spans="1:12" x14ac:dyDescent="0.25">
      <c r="A903" s="5">
        <v>1334</v>
      </c>
      <c r="B903" s="5">
        <v>898</v>
      </c>
      <c r="C903" s="5">
        <v>1318</v>
      </c>
      <c r="D903" t="s">
        <v>3363</v>
      </c>
      <c r="E903" s="3" t="str">
        <f t="array" ref="E903">IF(OR(EXACT(A903,'ESO Dungeon constants'!$D$3:$D$987)),"X","")</f>
        <v/>
      </c>
      <c r="F903" s="3" t="str">
        <f t="shared" si="56"/>
        <v/>
      </c>
      <c r="G903" s="3" t="str">
        <f t="shared" si="57"/>
        <v>High Isle</v>
      </c>
      <c r="H903" s="17">
        <f t="shared" si="58"/>
        <v>1334</v>
      </c>
      <c r="I903" s="17">
        <f t="shared" si="59"/>
        <v>1318</v>
      </c>
      <c r="J903">
        <v>10</v>
      </c>
      <c r="K903" s="3" t="str">
        <f>VLOOKUP(J903,'LibSets constants'!$A$4:$B$1012,2,FALSE)</f>
        <v>DLC_SUMMERSET</v>
      </c>
      <c r="L903" s="3" t="str">
        <f>VLOOKUP(J903,'LibSets constants'!$A$4:$C$1012,3,FALSE)</f>
        <v>Summerset</v>
      </c>
    </row>
    <row r="904" spans="1:12" x14ac:dyDescent="0.25">
      <c r="A904" s="5">
        <v>1335</v>
      </c>
      <c r="B904" s="5">
        <v>899</v>
      </c>
      <c r="C904" s="5">
        <v>1318</v>
      </c>
      <c r="D904" t="s">
        <v>3362</v>
      </c>
      <c r="E904" s="3" t="str">
        <f t="array" ref="E904">IF(OR(EXACT(A904,'ESO Dungeon constants'!$D$3:$D$987)),"X","")</f>
        <v/>
      </c>
      <c r="F904" s="3" t="str">
        <f t="shared" si="56"/>
        <v/>
      </c>
      <c r="G904" s="3" t="str">
        <f t="shared" si="57"/>
        <v>High Isle</v>
      </c>
      <c r="H904" s="17">
        <f t="shared" si="58"/>
        <v>1335</v>
      </c>
      <c r="I904" s="17">
        <f t="shared" si="59"/>
        <v>1318</v>
      </c>
      <c r="J904">
        <v>10</v>
      </c>
      <c r="K904" s="3" t="str">
        <f>VLOOKUP(J904,'LibSets constants'!$A$4:$B$1012,2,FALSE)</f>
        <v>DLC_SUMMERSET</v>
      </c>
      <c r="L904" s="3" t="str">
        <f>VLOOKUP(J904,'LibSets constants'!$A$4:$C$1012,3,FALSE)</f>
        <v>Summerset</v>
      </c>
    </row>
    <row r="905" spans="1:12" x14ac:dyDescent="0.25">
      <c r="A905" s="5">
        <v>1336</v>
      </c>
      <c r="B905" s="5">
        <v>900</v>
      </c>
      <c r="C905" s="5">
        <v>1318</v>
      </c>
      <c r="D905" t="s">
        <v>3361</v>
      </c>
      <c r="E905" s="3" t="str">
        <f t="array" ref="E905">IF(OR(EXACT(A905,'ESO Dungeon constants'!$D$3:$D$987)),"X","")</f>
        <v/>
      </c>
      <c r="F905" s="3" t="str">
        <f t="shared" si="56"/>
        <v/>
      </c>
      <c r="G905" s="3" t="str">
        <f t="shared" si="57"/>
        <v>High Isle</v>
      </c>
      <c r="H905" s="17">
        <f t="shared" si="58"/>
        <v>1336</v>
      </c>
      <c r="I905" s="17">
        <f t="shared" si="59"/>
        <v>1318</v>
      </c>
      <c r="J905">
        <v>10</v>
      </c>
      <c r="K905" s="3" t="str">
        <f>VLOOKUP(J905,'LibSets constants'!$A$4:$B$1012,2,FALSE)</f>
        <v>DLC_SUMMERSET</v>
      </c>
      <c r="L905" s="3" t="str">
        <f>VLOOKUP(J905,'LibSets constants'!$A$4:$C$1012,3,FALSE)</f>
        <v>Summerset</v>
      </c>
    </row>
    <row r="906" spans="1:12" x14ac:dyDescent="0.25">
      <c r="A906" s="5">
        <v>1337</v>
      </c>
      <c r="B906" s="5">
        <v>901</v>
      </c>
      <c r="C906" s="5">
        <v>1318</v>
      </c>
      <c r="D906" t="s">
        <v>3360</v>
      </c>
      <c r="E906" s="3" t="str">
        <f t="array" ref="E906">IF(OR(EXACT(A906,'ESO Dungeon constants'!$D$3:$D$987)),"X","")</f>
        <v/>
      </c>
      <c r="F906" s="3" t="str">
        <f t="shared" si="56"/>
        <v/>
      </c>
      <c r="G906" s="3" t="str">
        <f t="shared" si="57"/>
        <v>High Isle</v>
      </c>
      <c r="H906" s="17">
        <f t="shared" si="58"/>
        <v>1337</v>
      </c>
      <c r="I906" s="17">
        <f t="shared" si="59"/>
        <v>1318</v>
      </c>
      <c r="J906">
        <v>10</v>
      </c>
      <c r="K906" s="3" t="str">
        <f>VLOOKUP(J906,'LibSets constants'!$A$4:$B$1012,2,FALSE)</f>
        <v>DLC_SUMMERSET</v>
      </c>
      <c r="L906" s="3" t="str">
        <f>VLOOKUP(J906,'LibSets constants'!$A$4:$C$1012,3,FALSE)</f>
        <v>Summerset</v>
      </c>
    </row>
    <row r="907" spans="1:12" x14ac:dyDescent="0.25">
      <c r="A907" s="5">
        <v>1338</v>
      </c>
      <c r="B907" s="5">
        <v>902</v>
      </c>
      <c r="C907" s="5">
        <v>1318</v>
      </c>
      <c r="D907" t="s">
        <v>3359</v>
      </c>
      <c r="E907" s="3" t="str">
        <f t="array" ref="E907">IF(OR(EXACT(A907,'ESO Dungeon constants'!$D$3:$D$987)),"X","")</f>
        <v/>
      </c>
      <c r="F907" s="3" t="str">
        <f t="shared" si="56"/>
        <v/>
      </c>
      <c r="G907" s="3" t="str">
        <f t="shared" si="57"/>
        <v>High Isle</v>
      </c>
      <c r="H907" s="17">
        <f t="shared" si="58"/>
        <v>1338</v>
      </c>
      <c r="I907" s="17">
        <f t="shared" si="59"/>
        <v>1318</v>
      </c>
      <c r="J907">
        <v>10</v>
      </c>
      <c r="K907" s="3" t="str">
        <f>VLOOKUP(J907,'LibSets constants'!$A$4:$B$1012,2,FALSE)</f>
        <v>DLC_SUMMERSET</v>
      </c>
      <c r="L907" s="3" t="str">
        <f>VLOOKUP(J907,'LibSets constants'!$A$4:$C$1012,3,FALSE)</f>
        <v>Summerset</v>
      </c>
    </row>
    <row r="908" spans="1:12" x14ac:dyDescent="0.25">
      <c r="A908" s="5">
        <v>1342</v>
      </c>
      <c r="B908" s="5">
        <v>903</v>
      </c>
      <c r="C908" s="5">
        <v>1282</v>
      </c>
      <c r="D908" t="s">
        <v>2676</v>
      </c>
      <c r="E908" s="3" t="str">
        <f t="array" ref="E908">IF(OR(EXACT(A908,'ESO Dungeon constants'!$D$3:$D$987)),"X","")</f>
        <v/>
      </c>
      <c r="F908" s="3" t="str">
        <f t="shared" si="56"/>
        <v/>
      </c>
      <c r="G908" s="3" t="str">
        <f t="shared" si="57"/>
        <v>Fargrave</v>
      </c>
      <c r="H908" s="17">
        <f t="shared" si="58"/>
        <v>1342</v>
      </c>
      <c r="I908" s="17">
        <f t="shared" si="59"/>
        <v>1282</v>
      </c>
      <c r="J908">
        <v>0</v>
      </c>
      <c r="K908" s="3" t="str">
        <f>VLOOKUP(J908,'LibSets constants'!$A$4:$B$1012,2,FALSE)</f>
        <v>DLC_BASE_GAME</v>
      </c>
      <c r="L908" s="3" t="str">
        <f>VLOOKUP(J908,'LibSets constants'!$A$4:$C$1012,3,FALSE)</f>
        <v>Included in base game</v>
      </c>
    </row>
    <row r="909" spans="1:12" x14ac:dyDescent="0.25">
      <c r="A909" s="5">
        <v>1343</v>
      </c>
      <c r="B909" s="5">
        <v>904</v>
      </c>
      <c r="C909" s="5">
        <v>1286</v>
      </c>
      <c r="D909" t="s">
        <v>2677</v>
      </c>
      <c r="E909" s="3" t="str">
        <f t="array" ref="E909">IF(OR(EXACT(A909,'ESO Dungeon constants'!$D$3:$D$987)),"X","")</f>
        <v/>
      </c>
      <c r="F909" s="3" t="str">
        <f t="shared" si="56"/>
        <v/>
      </c>
      <c r="G909" s="3" t="str">
        <f t="shared" si="57"/>
        <v>The Deadlands</v>
      </c>
      <c r="H909" s="17">
        <f t="shared" si="58"/>
        <v>1343</v>
      </c>
      <c r="I909" s="17">
        <f t="shared" si="59"/>
        <v>1286</v>
      </c>
      <c r="J909">
        <v>10</v>
      </c>
      <c r="K909" s="3" t="str">
        <f>VLOOKUP(J909,'LibSets constants'!$A$4:$B$1012,2,FALSE)</f>
        <v>DLC_SUMMERSET</v>
      </c>
      <c r="L909" s="3" t="str">
        <f>VLOOKUP(J909,'LibSets constants'!$A$4:$C$1012,3,FALSE)</f>
        <v>Summerset</v>
      </c>
    </row>
    <row r="910" spans="1:12" x14ac:dyDescent="0.25">
      <c r="A910" s="5">
        <v>1344</v>
      </c>
      <c r="B910" s="5">
        <v>905</v>
      </c>
      <c r="C910" s="5">
        <v>1318</v>
      </c>
      <c r="D910" t="s">
        <v>3349</v>
      </c>
      <c r="E910" s="3" t="str">
        <f t="array" ref="E910">IF(OR(EXACT(A910,'ESO Dungeon constants'!$D$3:$D$987)),"X","")</f>
        <v>X</v>
      </c>
      <c r="F910" s="3" t="str">
        <f t="shared" si="56"/>
        <v/>
      </c>
      <c r="G910" s="3" t="str">
        <f t="shared" si="57"/>
        <v>High Isle</v>
      </c>
      <c r="H910" s="17">
        <f t="shared" si="58"/>
        <v>1344</v>
      </c>
      <c r="I910" s="17">
        <f t="shared" si="59"/>
        <v>1318</v>
      </c>
      <c r="J910">
        <v>9</v>
      </c>
      <c r="K910" s="3" t="str">
        <f>VLOOKUP(J910,'LibSets constants'!$A$4:$B$1012,2,FALSE)</f>
        <v>DLC_DRAGON_BONES</v>
      </c>
      <c r="L910" s="3" t="str">
        <f>VLOOKUP(J910,'LibSets constants'!$A$4:$C$1012,3,FALSE)</f>
        <v>Dragon Bones</v>
      </c>
    </row>
    <row r="911" spans="1:12" x14ac:dyDescent="0.25">
      <c r="A911" s="5">
        <v>1345</v>
      </c>
      <c r="B911" s="5">
        <v>906</v>
      </c>
      <c r="C911" s="5">
        <v>535</v>
      </c>
      <c r="D911" t="s">
        <v>2726</v>
      </c>
      <c r="E911" s="3" t="str">
        <f t="array" ref="E911">IF(OR(EXACT(A911,'ESO Dungeon constants'!$D$3:$D$987)),"X","")</f>
        <v/>
      </c>
      <c r="F911" s="3" t="str">
        <f t="shared" si="56"/>
        <v/>
      </c>
      <c r="G911" s="3" t="str">
        <f t="shared" si="57"/>
        <v>Betnikh</v>
      </c>
      <c r="H911" s="17">
        <f t="shared" si="58"/>
        <v>1345</v>
      </c>
      <c r="I911" s="17">
        <f t="shared" si="59"/>
        <v>535</v>
      </c>
      <c r="J911">
        <v>9</v>
      </c>
      <c r="K911" s="3" t="str">
        <f>VLOOKUP(J911,'LibSets constants'!$A$4:$B$1012,2,FALSE)</f>
        <v>DLC_DRAGON_BONES</v>
      </c>
      <c r="L911" s="3" t="str">
        <f>VLOOKUP(J911,'LibSets constants'!$A$4:$C$1012,3,FALSE)</f>
        <v>Dragon Bones</v>
      </c>
    </row>
    <row r="912" spans="1:12" x14ac:dyDescent="0.25">
      <c r="A912" s="5">
        <v>1360</v>
      </c>
      <c r="B912" s="5">
        <v>907</v>
      </c>
      <c r="C912" s="5">
        <v>1318</v>
      </c>
      <c r="D912" t="s">
        <v>3386</v>
      </c>
      <c r="E912" s="3" t="str">
        <f t="array" ref="E912">IF(OR(EXACT(A912,'ESO Dungeon constants'!$D$3:$D$987)),"X","")</f>
        <v>X</v>
      </c>
      <c r="F912" s="3" t="str">
        <f t="shared" si="56"/>
        <v/>
      </c>
      <c r="G912" s="3" t="str">
        <f t="shared" si="57"/>
        <v>High Isle</v>
      </c>
      <c r="H912" s="17">
        <f t="shared" si="58"/>
        <v>1360</v>
      </c>
      <c r="I912" s="17">
        <f t="shared" si="59"/>
        <v>1318</v>
      </c>
      <c r="J912">
        <v>0</v>
      </c>
      <c r="K912" s="3" t="str">
        <f>VLOOKUP(J912,'LibSets constants'!$A$4:$B$1012,2,FALSE)</f>
        <v>DLC_BASE_GAME</v>
      </c>
      <c r="L912" s="3" t="str">
        <f>VLOOKUP(J912,'LibSets constants'!$A$4:$C$1012,3,FALSE)</f>
        <v>Included in base game</v>
      </c>
    </row>
    <row r="913" spans="1:12" x14ac:dyDescent="0.25">
      <c r="A913" s="5">
        <v>1361</v>
      </c>
      <c r="B913" s="5">
        <v>908</v>
      </c>
      <c r="C913" s="5">
        <v>1318</v>
      </c>
      <c r="D913" t="s">
        <v>3387</v>
      </c>
      <c r="E913" s="3" t="str">
        <f t="array" ref="E913">IF(OR(EXACT(A913,'ESO Dungeon constants'!$D$3:$D$987)),"X","")</f>
        <v>X</v>
      </c>
      <c r="F913" s="3" t="str">
        <f t="shared" si="56"/>
        <v/>
      </c>
      <c r="G913" s="3" t="str">
        <f t="shared" si="57"/>
        <v>High Isle</v>
      </c>
      <c r="H913" s="17">
        <f t="shared" si="58"/>
        <v>1361</v>
      </c>
      <c r="I913" s="17">
        <f t="shared" si="59"/>
        <v>1318</v>
      </c>
      <c r="J913">
        <v>0</v>
      </c>
      <c r="K913" s="3" t="str">
        <f>VLOOKUP(J913,'LibSets constants'!$A$4:$B$1012,2,FALSE)</f>
        <v>DLC_BASE_GAME</v>
      </c>
      <c r="L913" s="3" t="str">
        <f>VLOOKUP(J913,'LibSets constants'!$A$4:$C$1012,3,FALSE)</f>
        <v>Included in base game</v>
      </c>
    </row>
    <row r="914" spans="1:12" x14ac:dyDescent="0.25">
      <c r="A914" s="5">
        <v>1363</v>
      </c>
      <c r="B914" s="5">
        <v>909</v>
      </c>
      <c r="C914" s="5">
        <v>1318</v>
      </c>
      <c r="D914" t="s">
        <v>3348</v>
      </c>
      <c r="E914" s="3" t="str">
        <f t="array" ref="E914">IF(OR(EXACT(A914,'ESO Dungeon constants'!$D$3:$D$987)),"X","")</f>
        <v/>
      </c>
      <c r="F914" s="3" t="str">
        <f t="shared" si="56"/>
        <v/>
      </c>
      <c r="G914" s="3" t="str">
        <f t="shared" si="57"/>
        <v>High Isle</v>
      </c>
      <c r="H914" s="17">
        <f t="shared" si="58"/>
        <v>1363</v>
      </c>
      <c r="I914" s="17">
        <f t="shared" si="59"/>
        <v>1318</v>
      </c>
      <c r="J914">
        <v>0</v>
      </c>
      <c r="K914" s="3" t="str">
        <f>VLOOKUP(J914,'LibSets constants'!$A$4:$B$1012,2,FALSE)</f>
        <v>DLC_BASE_GAME</v>
      </c>
      <c r="L914" s="3" t="str">
        <f>VLOOKUP(J914,'LibSets constants'!$A$4:$C$1012,3,FALSE)</f>
        <v>Included in base game</v>
      </c>
    </row>
    <row r="915" spans="1:12" x14ac:dyDescent="0.25">
      <c r="A915" s="5">
        <v>1364</v>
      </c>
      <c r="B915" s="5">
        <v>910</v>
      </c>
      <c r="C915" s="5">
        <v>1318</v>
      </c>
      <c r="D915" t="s">
        <v>3347</v>
      </c>
      <c r="E915" s="3" t="str">
        <f t="array" ref="E915">IF(OR(EXACT(A915,'ESO Dungeon constants'!$D$3:$D$987)),"X","")</f>
        <v/>
      </c>
      <c r="F915" s="3" t="str">
        <f t="shared" si="56"/>
        <v/>
      </c>
      <c r="G915" s="3" t="str">
        <f t="shared" si="57"/>
        <v>High Isle</v>
      </c>
      <c r="H915" s="17">
        <f t="shared" si="58"/>
        <v>1364</v>
      </c>
      <c r="I915" s="17">
        <f t="shared" si="59"/>
        <v>1318</v>
      </c>
      <c r="J915">
        <v>0</v>
      </c>
      <c r="K915" s="3" t="str">
        <f>VLOOKUP(J915,'LibSets constants'!$A$4:$B$1012,2,FALSE)</f>
        <v>DLC_BASE_GAME</v>
      </c>
      <c r="L915" s="3" t="str">
        <f>VLOOKUP(J915,'LibSets constants'!$A$4:$C$1012,3,FALSE)</f>
        <v>Included in base game</v>
      </c>
    </row>
    <row r="916" spans="1:12" x14ac:dyDescent="0.25">
      <c r="A916" s="5">
        <v>1365</v>
      </c>
      <c r="B916" s="5">
        <v>911</v>
      </c>
      <c r="C916" s="5">
        <v>3</v>
      </c>
      <c r="D916" t="s">
        <v>3412</v>
      </c>
      <c r="E916" s="3" t="str">
        <f t="array" ref="E916">IF(OR(EXACT(A916,'ESO Dungeon constants'!$D$3:$D$987)),"X","")</f>
        <v/>
      </c>
      <c r="F916" s="3" t="str">
        <f t="shared" si="56"/>
        <v/>
      </c>
      <c r="G916" s="3" t="str">
        <f t="shared" si="57"/>
        <v>Glenumbra</v>
      </c>
      <c r="H916" s="17">
        <f t="shared" si="58"/>
        <v>1365</v>
      </c>
      <c r="I916" s="17">
        <f t="shared" si="59"/>
        <v>3</v>
      </c>
      <c r="J916">
        <v>4</v>
      </c>
      <c r="K916" s="3" t="str">
        <f>VLOOKUP(J916,'LibSets constants'!$A$4:$B$1012,2,FALSE)</f>
        <v>DLC_DARK_BROTHERHOOD</v>
      </c>
      <c r="L916" s="3" t="str">
        <f>VLOOKUP(J916,'LibSets constants'!$A$4:$C$1012,3,FALSE)</f>
        <v>Dark Brotherhood</v>
      </c>
    </row>
    <row r="917" spans="1:12" x14ac:dyDescent="0.25">
      <c r="A917" s="5">
        <v>1366</v>
      </c>
      <c r="B917" s="5">
        <v>912</v>
      </c>
      <c r="C917" s="5">
        <v>92</v>
      </c>
      <c r="D917" t="s">
        <v>3411</v>
      </c>
      <c r="E917" s="3" t="str">
        <f t="array" ref="E917">IF(OR(EXACT(A917,'ESO Dungeon constants'!$D$3:$D$987)),"X","")</f>
        <v/>
      </c>
      <c r="F917" s="3" t="str">
        <f t="shared" si="56"/>
        <v/>
      </c>
      <c r="G917" s="3" t="str">
        <f t="shared" si="57"/>
        <v>Bangkorai</v>
      </c>
      <c r="H917" s="17">
        <f t="shared" si="58"/>
        <v>1366</v>
      </c>
      <c r="I917" s="17">
        <f t="shared" si="59"/>
        <v>92</v>
      </c>
      <c r="J917">
        <v>0</v>
      </c>
      <c r="K917" s="3" t="str">
        <f>VLOOKUP(J917,'LibSets constants'!$A$4:$B$1012,2,FALSE)</f>
        <v>DLC_BASE_GAME</v>
      </c>
      <c r="L917" s="3" t="str">
        <f>VLOOKUP(J917,'LibSets constants'!$A$4:$C$1012,3,FALSE)</f>
        <v>Included in base game</v>
      </c>
    </row>
    <row r="918" spans="1:12" x14ac:dyDescent="0.25">
      <c r="A918" s="5">
        <v>1367</v>
      </c>
      <c r="B918" s="5">
        <v>913</v>
      </c>
      <c r="C918" s="5">
        <v>1383</v>
      </c>
      <c r="D918" t="s">
        <v>3457</v>
      </c>
      <c r="E918" s="3" t="str">
        <f t="array" ref="E918">IF(OR(EXACT(A918,'ESO Dungeon constants'!$D$3:$D$987)),"X","")</f>
        <v/>
      </c>
      <c r="F918" s="3" t="str">
        <f t="shared" si="56"/>
        <v/>
      </c>
      <c r="G918" s="3" t="str">
        <f t="shared" si="57"/>
        <v>Galen</v>
      </c>
      <c r="H918" s="17">
        <f t="shared" si="58"/>
        <v>1367</v>
      </c>
      <c r="I918" s="17">
        <f t="shared" si="59"/>
        <v>1383</v>
      </c>
      <c r="J918">
        <v>0</v>
      </c>
      <c r="K918" s="3" t="str">
        <f>VLOOKUP(J918,'LibSets constants'!$A$4:$B$1012,2,FALSE)</f>
        <v>DLC_BASE_GAME</v>
      </c>
      <c r="L918" s="3" t="str">
        <f>VLOOKUP(J918,'LibSets constants'!$A$4:$C$1012,3,FALSE)</f>
        <v>Included in base game</v>
      </c>
    </row>
    <row r="919" spans="1:12" x14ac:dyDescent="0.25">
      <c r="A919" s="5">
        <v>1368</v>
      </c>
      <c r="B919" s="5">
        <v>914</v>
      </c>
      <c r="C919" s="5">
        <v>1383</v>
      </c>
      <c r="D919" t="s">
        <v>3458</v>
      </c>
      <c r="E919" s="3" t="str">
        <f t="array" ref="E919">IF(OR(EXACT(A919,'ESO Dungeon constants'!$D$3:$D$987)),"X","")</f>
        <v/>
      </c>
      <c r="F919" s="3" t="str">
        <f t="shared" si="56"/>
        <v/>
      </c>
      <c r="G919" s="3" t="str">
        <f t="shared" si="57"/>
        <v>Galen</v>
      </c>
      <c r="H919" s="17">
        <f t="shared" si="58"/>
        <v>1368</v>
      </c>
      <c r="I919" s="17">
        <f t="shared" si="59"/>
        <v>1383</v>
      </c>
      <c r="J919">
        <v>0</v>
      </c>
      <c r="K919" s="3" t="str">
        <f>VLOOKUP(J919,'LibSets constants'!$A$4:$B$1012,2,FALSE)</f>
        <v>DLC_BASE_GAME</v>
      </c>
      <c r="L919" s="3" t="str">
        <f>VLOOKUP(J919,'LibSets constants'!$A$4:$C$1012,3,FALSE)</f>
        <v>Included in base game</v>
      </c>
    </row>
    <row r="920" spans="1:12" x14ac:dyDescent="0.25">
      <c r="A920" s="5">
        <v>1369</v>
      </c>
      <c r="B920" s="5">
        <v>915</v>
      </c>
      <c r="C920" s="5">
        <v>1383</v>
      </c>
      <c r="D920" t="s">
        <v>3459</v>
      </c>
      <c r="E920" s="3" t="str">
        <f t="array" ref="E920">IF(OR(EXACT(A920,'ESO Dungeon constants'!$D$3:$D$987)),"X","")</f>
        <v/>
      </c>
      <c r="F920" s="3" t="str">
        <f t="shared" si="56"/>
        <v/>
      </c>
      <c r="G920" s="3" t="str">
        <f t="shared" si="57"/>
        <v>Galen</v>
      </c>
      <c r="H920" s="17">
        <f t="shared" si="58"/>
        <v>1369</v>
      </c>
      <c r="I920" s="17">
        <f t="shared" si="59"/>
        <v>1383</v>
      </c>
      <c r="J920">
        <v>0</v>
      </c>
      <c r="K920" s="3" t="str">
        <f>VLOOKUP(J920,'LibSets constants'!$A$4:$B$1012,2,FALSE)</f>
        <v>DLC_BASE_GAME</v>
      </c>
      <c r="L920" s="3" t="str">
        <f>VLOOKUP(J920,'LibSets constants'!$A$4:$C$1012,3,FALSE)</f>
        <v>Included in base game</v>
      </c>
    </row>
    <row r="921" spans="1:12" x14ac:dyDescent="0.25">
      <c r="A921" s="5">
        <v>1370</v>
      </c>
      <c r="B921" s="5">
        <v>916</v>
      </c>
      <c r="C921" s="5">
        <v>1383</v>
      </c>
      <c r="D921" t="s">
        <v>3474</v>
      </c>
      <c r="E921" s="3" t="str">
        <f t="array" ref="E921">IF(OR(EXACT(A921,'ESO Dungeon constants'!$D$3:$D$987)),"X","")</f>
        <v/>
      </c>
      <c r="F921" s="3" t="str">
        <f t="shared" si="56"/>
        <v/>
      </c>
      <c r="G921" s="3" t="str">
        <f t="shared" si="57"/>
        <v>Galen</v>
      </c>
      <c r="H921" s="17">
        <f t="shared" si="58"/>
        <v>1370</v>
      </c>
      <c r="I921" s="17">
        <f t="shared" si="59"/>
        <v>1383</v>
      </c>
      <c r="J921">
        <v>8</v>
      </c>
      <c r="K921" s="3" t="str">
        <f>VLOOKUP(J921,'LibSets constants'!$A$4:$B$1012,2,FALSE)</f>
        <v>DLC_CLOCKWORK_CITY</v>
      </c>
      <c r="L921" s="3" t="str">
        <f>VLOOKUP(J921,'LibSets constants'!$A$4:$C$1012,3,FALSE)</f>
        <v>Clockwork City</v>
      </c>
    </row>
    <row r="922" spans="1:12" x14ac:dyDescent="0.25">
      <c r="A922" s="5">
        <v>1371</v>
      </c>
      <c r="B922" s="5">
        <v>917</v>
      </c>
      <c r="C922" s="5">
        <v>1383</v>
      </c>
      <c r="D922" t="s">
        <v>3473</v>
      </c>
      <c r="E922" s="3" t="str">
        <f t="array" ref="E922">IF(OR(EXACT(A922,'ESO Dungeon constants'!$D$3:$D$987)),"X","")</f>
        <v/>
      </c>
      <c r="F922" s="3" t="str">
        <f t="shared" si="56"/>
        <v/>
      </c>
      <c r="G922" s="3" t="str">
        <f t="shared" si="57"/>
        <v>Galen</v>
      </c>
      <c r="H922" s="17">
        <f t="shared" si="58"/>
        <v>1371</v>
      </c>
      <c r="I922" s="17">
        <f t="shared" si="59"/>
        <v>1383</v>
      </c>
      <c r="J922">
        <v>8</v>
      </c>
      <c r="K922" s="3" t="str">
        <f>VLOOKUP(J922,'LibSets constants'!$A$4:$B$1012,2,FALSE)</f>
        <v>DLC_CLOCKWORK_CITY</v>
      </c>
      <c r="L922" s="3" t="str">
        <f>VLOOKUP(J922,'LibSets constants'!$A$4:$C$1012,3,FALSE)</f>
        <v>Clockwork City</v>
      </c>
    </row>
    <row r="923" spans="1:12" x14ac:dyDescent="0.25">
      <c r="A923" s="5">
        <v>1372</v>
      </c>
      <c r="B923" s="5">
        <v>918</v>
      </c>
      <c r="C923" s="5">
        <v>1383</v>
      </c>
      <c r="D923" t="s">
        <v>3460</v>
      </c>
      <c r="E923" s="3" t="str">
        <f t="array" ref="E923">IF(OR(EXACT(A923,'ESO Dungeon constants'!$D$3:$D$987)),"X","")</f>
        <v/>
      </c>
      <c r="F923" s="3" t="str">
        <f t="shared" si="56"/>
        <v/>
      </c>
      <c r="G923" s="3" t="str">
        <f t="shared" si="57"/>
        <v>Galen</v>
      </c>
      <c r="H923" s="17">
        <f t="shared" si="58"/>
        <v>1372</v>
      </c>
      <c r="I923" s="17">
        <f t="shared" si="59"/>
        <v>1383</v>
      </c>
      <c r="J923">
        <v>0</v>
      </c>
      <c r="K923" s="3" t="str">
        <f>VLOOKUP(J923,'LibSets constants'!$A$4:$B$1012,2,FALSE)</f>
        <v>DLC_BASE_GAME</v>
      </c>
      <c r="L923" s="3" t="str">
        <f>VLOOKUP(J923,'LibSets constants'!$A$4:$C$1012,3,FALSE)</f>
        <v>Included in base game</v>
      </c>
    </row>
    <row r="924" spans="1:12" x14ac:dyDescent="0.25">
      <c r="A924" s="5">
        <v>1373</v>
      </c>
      <c r="B924" s="5">
        <v>919</v>
      </c>
      <c r="C924" s="5">
        <v>1383</v>
      </c>
      <c r="D924" t="s">
        <v>3461</v>
      </c>
      <c r="E924" s="3" t="str">
        <f t="array" ref="E924">IF(OR(EXACT(A924,'ESO Dungeon constants'!$D$3:$D$987)),"X","")</f>
        <v/>
      </c>
      <c r="F924" s="3" t="str">
        <f t="shared" si="56"/>
        <v/>
      </c>
      <c r="G924" s="3" t="str">
        <f t="shared" si="57"/>
        <v>Galen</v>
      </c>
      <c r="H924" s="17">
        <f t="shared" si="58"/>
        <v>1373</v>
      </c>
      <c r="I924" s="17">
        <f t="shared" si="59"/>
        <v>1383</v>
      </c>
      <c r="J924">
        <v>0</v>
      </c>
      <c r="K924" s="3" t="str">
        <f>VLOOKUP(J924,'LibSets constants'!$A$4:$B$1012,2,FALSE)</f>
        <v>DLC_BASE_GAME</v>
      </c>
      <c r="L924" s="3" t="str">
        <f>VLOOKUP(J924,'LibSets constants'!$A$4:$C$1012,3,FALSE)</f>
        <v>Included in base game</v>
      </c>
    </row>
    <row r="925" spans="1:12" x14ac:dyDescent="0.25">
      <c r="A925" s="5">
        <v>1374</v>
      </c>
      <c r="B925" s="5">
        <v>920</v>
      </c>
      <c r="C925" s="5">
        <v>1383</v>
      </c>
      <c r="D925" t="s">
        <v>3462</v>
      </c>
      <c r="E925" s="3" t="str">
        <f t="array" ref="E925">IF(OR(EXACT(A925,'ESO Dungeon constants'!$D$3:$D$987)),"X","")</f>
        <v/>
      </c>
      <c r="F925" s="3" t="str">
        <f t="shared" si="56"/>
        <v/>
      </c>
      <c r="G925" s="3" t="str">
        <f t="shared" si="57"/>
        <v>Galen</v>
      </c>
      <c r="H925" s="17">
        <f t="shared" si="58"/>
        <v>1374</v>
      </c>
      <c r="I925" s="17">
        <f t="shared" si="59"/>
        <v>1383</v>
      </c>
      <c r="J925">
        <v>0</v>
      </c>
      <c r="K925" s="3" t="str">
        <f>VLOOKUP(J925,'LibSets constants'!$A$4:$B$1012,2,FALSE)</f>
        <v>DLC_BASE_GAME</v>
      </c>
      <c r="L925" s="3" t="str">
        <f>VLOOKUP(J925,'LibSets constants'!$A$4:$C$1012,3,FALSE)</f>
        <v>Included in base game</v>
      </c>
    </row>
    <row r="926" spans="1:12" x14ac:dyDescent="0.25">
      <c r="A926" s="5">
        <v>1375</v>
      </c>
      <c r="B926" s="5">
        <v>921</v>
      </c>
      <c r="C926" s="5">
        <v>1383</v>
      </c>
      <c r="D926" t="s">
        <v>3463</v>
      </c>
      <c r="E926" s="3" t="str">
        <f t="array" ref="E926">IF(OR(EXACT(A926,'ESO Dungeon constants'!$D$3:$D$987)),"X","")</f>
        <v/>
      </c>
      <c r="F926" s="3" t="str">
        <f t="shared" si="56"/>
        <v/>
      </c>
      <c r="G926" s="3" t="str">
        <f t="shared" si="57"/>
        <v>Galen</v>
      </c>
      <c r="H926" s="17">
        <f t="shared" si="58"/>
        <v>1375</v>
      </c>
      <c r="I926" s="17">
        <f t="shared" si="59"/>
        <v>1383</v>
      </c>
      <c r="J926">
        <v>0</v>
      </c>
      <c r="K926" s="3" t="str">
        <f>VLOOKUP(J926,'LibSets constants'!$A$4:$B$1012,2,FALSE)</f>
        <v>DLC_BASE_GAME</v>
      </c>
      <c r="L926" s="3" t="str">
        <f>VLOOKUP(J926,'LibSets constants'!$A$4:$C$1012,3,FALSE)</f>
        <v>Included in base game</v>
      </c>
    </row>
    <row r="927" spans="1:12" x14ac:dyDescent="0.25">
      <c r="A927" s="5">
        <v>1376</v>
      </c>
      <c r="B927" s="5">
        <v>922</v>
      </c>
      <c r="C927" s="5">
        <v>1383</v>
      </c>
      <c r="D927" t="s">
        <v>3464</v>
      </c>
      <c r="E927" s="3" t="str">
        <f t="array" ref="E927">IF(OR(EXACT(A927,'ESO Dungeon constants'!$D$3:$D$987)),"X","")</f>
        <v/>
      </c>
      <c r="F927" s="3" t="str">
        <f t="shared" si="56"/>
        <v/>
      </c>
      <c r="G927" s="3" t="str">
        <f t="shared" si="57"/>
        <v>Galen</v>
      </c>
      <c r="H927" s="17">
        <f t="shared" si="58"/>
        <v>1376</v>
      </c>
      <c r="I927" s="17">
        <f t="shared" si="59"/>
        <v>1383</v>
      </c>
      <c r="J927">
        <v>0</v>
      </c>
      <c r="K927" s="3" t="str">
        <f>VLOOKUP(J927,'LibSets constants'!$A$4:$B$1012,2,FALSE)</f>
        <v>DLC_BASE_GAME</v>
      </c>
      <c r="L927" s="3" t="str">
        <f>VLOOKUP(J927,'LibSets constants'!$A$4:$C$1012,3,FALSE)</f>
        <v>Included in base game</v>
      </c>
    </row>
    <row r="928" spans="1:12" x14ac:dyDescent="0.25">
      <c r="A928" s="5">
        <v>1377</v>
      </c>
      <c r="B928" s="5">
        <v>923</v>
      </c>
      <c r="C928" s="5">
        <v>1383</v>
      </c>
      <c r="D928" t="s">
        <v>3472</v>
      </c>
      <c r="E928" s="3" t="str">
        <f t="array" ref="E928">IF(OR(EXACT(A928,'ESO Dungeon constants'!$D$3:$D$987)),"X","")</f>
        <v/>
      </c>
      <c r="F928" s="3" t="str">
        <f t="shared" si="56"/>
        <v/>
      </c>
      <c r="G928" s="3" t="str">
        <f t="shared" si="57"/>
        <v>Galen</v>
      </c>
      <c r="H928" s="17">
        <f t="shared" si="58"/>
        <v>1377</v>
      </c>
      <c r="I928" s="17">
        <f t="shared" si="59"/>
        <v>1383</v>
      </c>
      <c r="J928">
        <v>0</v>
      </c>
      <c r="K928" s="3" t="str">
        <f>VLOOKUP(J928,'LibSets constants'!$A$4:$B$1012,2,FALSE)</f>
        <v>DLC_BASE_GAME</v>
      </c>
      <c r="L928" s="3" t="str">
        <f>VLOOKUP(J928,'LibSets constants'!$A$4:$C$1012,3,FALSE)</f>
        <v>Included in base game</v>
      </c>
    </row>
    <row r="929" spans="1:12" x14ac:dyDescent="0.25">
      <c r="A929" s="5">
        <v>1378</v>
      </c>
      <c r="B929" s="5">
        <v>924</v>
      </c>
      <c r="C929" s="5">
        <v>1383</v>
      </c>
      <c r="D929" t="s">
        <v>3471</v>
      </c>
      <c r="E929" s="3" t="str">
        <f t="array" ref="E929">IF(OR(EXACT(A929,'ESO Dungeon constants'!$D$3:$D$987)),"X","")</f>
        <v/>
      </c>
      <c r="F929" s="3" t="str">
        <f t="shared" si="56"/>
        <v/>
      </c>
      <c r="G929" s="3" t="str">
        <f t="shared" si="57"/>
        <v>Galen</v>
      </c>
      <c r="H929" s="17">
        <f t="shared" si="58"/>
        <v>1378</v>
      </c>
      <c r="I929" s="17">
        <f t="shared" si="59"/>
        <v>1383</v>
      </c>
      <c r="J929">
        <v>6</v>
      </c>
      <c r="K929" s="3" t="str">
        <f>VLOOKUP(J929,'LibSets constants'!$A$4:$B$1012,2,FALSE)</f>
        <v>DLC_MORROWIND</v>
      </c>
      <c r="L929" s="3" t="str">
        <f>VLOOKUP(J929,'LibSets constants'!$A$4:$C$1012,3,FALSE)</f>
        <v>Morrowind</v>
      </c>
    </row>
    <row r="930" spans="1:12" x14ac:dyDescent="0.25">
      <c r="A930" s="5">
        <v>1379</v>
      </c>
      <c r="B930" s="5">
        <v>925</v>
      </c>
      <c r="C930" s="5">
        <v>1383</v>
      </c>
      <c r="D930" t="s">
        <v>3465</v>
      </c>
      <c r="E930" s="3" t="str">
        <f t="array" ref="E930">IF(OR(EXACT(A930,'ESO Dungeon constants'!$D$3:$D$987)),"X","")</f>
        <v/>
      </c>
      <c r="F930" s="3" t="str">
        <f t="shared" si="56"/>
        <v/>
      </c>
      <c r="G930" s="3" t="str">
        <f t="shared" si="57"/>
        <v>Galen</v>
      </c>
      <c r="H930" s="17">
        <f t="shared" si="58"/>
        <v>1379</v>
      </c>
      <c r="I930" s="17">
        <f t="shared" si="59"/>
        <v>1383</v>
      </c>
      <c r="J930">
        <v>0</v>
      </c>
      <c r="K930" s="3" t="str">
        <f>VLOOKUP(J930,'LibSets constants'!$A$4:$B$1012,2,FALSE)</f>
        <v>DLC_BASE_GAME</v>
      </c>
      <c r="L930" s="3" t="str">
        <f>VLOOKUP(J930,'LibSets constants'!$A$4:$C$1012,3,FALSE)</f>
        <v>Included in base game</v>
      </c>
    </row>
    <row r="931" spans="1:12" x14ac:dyDescent="0.25">
      <c r="A931" s="5">
        <v>1380</v>
      </c>
      <c r="B931" s="5">
        <v>926</v>
      </c>
      <c r="C931" s="5">
        <v>1383</v>
      </c>
      <c r="D931" t="s">
        <v>3466</v>
      </c>
      <c r="E931" s="3" t="str">
        <f t="array" ref="E931">IF(OR(EXACT(A931,'ESO Dungeon constants'!$D$3:$D$987)),"X","")</f>
        <v/>
      </c>
      <c r="F931" s="3" t="str">
        <f t="shared" si="56"/>
        <v/>
      </c>
      <c r="G931" s="3" t="str">
        <f t="shared" si="57"/>
        <v>Galen</v>
      </c>
      <c r="H931" s="17">
        <f t="shared" si="58"/>
        <v>1380</v>
      </c>
      <c r="I931" s="17">
        <f t="shared" si="59"/>
        <v>1383</v>
      </c>
      <c r="J931">
        <v>0</v>
      </c>
      <c r="K931" s="3" t="str">
        <f>VLOOKUP(J931,'LibSets constants'!$A$4:$B$1012,2,FALSE)</f>
        <v>DLC_BASE_GAME</v>
      </c>
      <c r="L931" s="3" t="str">
        <f>VLOOKUP(J931,'LibSets constants'!$A$4:$C$1012,3,FALSE)</f>
        <v>Included in base game</v>
      </c>
    </row>
    <row r="932" spans="1:12" x14ac:dyDescent="0.25">
      <c r="A932" s="5">
        <v>1381</v>
      </c>
      <c r="B932" s="5">
        <v>927</v>
      </c>
      <c r="C932" s="5">
        <v>1383</v>
      </c>
      <c r="D932" t="s">
        <v>3467</v>
      </c>
      <c r="E932" s="3" t="str">
        <f t="array" ref="E932">IF(OR(EXACT(A932,'ESO Dungeon constants'!$D$3:$D$987)),"X","")</f>
        <v/>
      </c>
      <c r="F932" s="3" t="str">
        <f t="shared" si="56"/>
        <v/>
      </c>
      <c r="G932" s="3" t="str">
        <f t="shared" si="57"/>
        <v>Galen</v>
      </c>
      <c r="H932" s="17">
        <f t="shared" si="58"/>
        <v>1381</v>
      </c>
      <c r="I932" s="17">
        <f t="shared" si="59"/>
        <v>1383</v>
      </c>
      <c r="J932">
        <v>0</v>
      </c>
      <c r="K932" s="3" t="str">
        <f>VLOOKUP(J932,'LibSets constants'!$A$4:$B$1012,2,FALSE)</f>
        <v>DLC_BASE_GAME</v>
      </c>
      <c r="L932" s="3" t="str">
        <f>VLOOKUP(J932,'LibSets constants'!$A$4:$C$1012,3,FALSE)</f>
        <v>Included in base game</v>
      </c>
    </row>
    <row r="933" spans="1:12" x14ac:dyDescent="0.25">
      <c r="A933" s="5">
        <v>1382</v>
      </c>
      <c r="B933" s="5">
        <v>928</v>
      </c>
      <c r="C933" s="5">
        <v>1383</v>
      </c>
      <c r="D933" t="s">
        <v>3917</v>
      </c>
      <c r="E933" s="3" t="str">
        <f t="array" ref="E933">IF(OR(EXACT(A933,'ESO Dungeon constants'!$D$3:$D$987)),"X","")</f>
        <v/>
      </c>
      <c r="F933" s="3" t="str">
        <f t="shared" si="56"/>
        <v/>
      </c>
      <c r="G933" s="3" t="str">
        <f t="shared" si="57"/>
        <v>Galen</v>
      </c>
      <c r="H933" s="17">
        <f t="shared" si="58"/>
        <v>1382</v>
      </c>
      <c r="I933" s="17">
        <f t="shared" si="59"/>
        <v>1383</v>
      </c>
      <c r="J933">
        <v>0</v>
      </c>
      <c r="K933" s="3" t="str">
        <f>VLOOKUP(J933,'LibSets constants'!$A$4:$B$1012,2,FALSE)</f>
        <v>DLC_BASE_GAME</v>
      </c>
      <c r="L933" s="3" t="str">
        <f>VLOOKUP(J933,'LibSets constants'!$A$4:$C$1012,3,FALSE)</f>
        <v>Included in base game</v>
      </c>
    </row>
    <row r="934" spans="1:12" x14ac:dyDescent="0.25">
      <c r="A934" s="5">
        <v>1383</v>
      </c>
      <c r="B934" s="5">
        <v>929</v>
      </c>
      <c r="C934" s="5">
        <v>1383</v>
      </c>
      <c r="D934" t="s">
        <v>3470</v>
      </c>
      <c r="E934" s="3" t="str">
        <f t="array" ref="E934">IF(OR(EXACT(A934,'ESO Dungeon constants'!$D$3:$D$987)),"X","")</f>
        <v/>
      </c>
      <c r="F934" s="3" t="str">
        <f t="shared" si="56"/>
        <v>X</v>
      </c>
      <c r="G934" s="3" t="str">
        <f t="shared" si="57"/>
        <v/>
      </c>
      <c r="H934" s="17">
        <f t="shared" si="58"/>
        <v>1383</v>
      </c>
      <c r="I934" s="17">
        <f t="shared" si="59"/>
        <v>1383</v>
      </c>
      <c r="J934">
        <v>6</v>
      </c>
      <c r="K934" s="3" t="str">
        <f>VLOOKUP(J934,'LibSets constants'!$A$4:$B$1012,2,FALSE)</f>
        <v>DLC_MORROWIND</v>
      </c>
      <c r="L934" s="3" t="str">
        <f>VLOOKUP(J934,'LibSets constants'!$A$4:$C$1012,3,FALSE)</f>
        <v>Morrowind</v>
      </c>
    </row>
    <row r="935" spans="1:12" x14ac:dyDescent="0.25">
      <c r="A935" s="5">
        <v>1385</v>
      </c>
      <c r="B935" s="5">
        <v>930</v>
      </c>
      <c r="C935" s="5">
        <v>1383</v>
      </c>
      <c r="D935" t="s">
        <v>3469</v>
      </c>
      <c r="E935" s="3" t="str">
        <f t="array" ref="E935">IF(OR(EXACT(A935,'ESO Dungeon constants'!$D$3:$D$987)),"X","")</f>
        <v/>
      </c>
      <c r="F935" s="3" t="str">
        <f t="shared" si="56"/>
        <v/>
      </c>
      <c r="G935" s="3" t="str">
        <f t="shared" si="57"/>
        <v>Galen</v>
      </c>
      <c r="H935" s="17">
        <f t="shared" si="58"/>
        <v>1385</v>
      </c>
      <c r="I935" s="17">
        <f t="shared" si="59"/>
        <v>1383</v>
      </c>
      <c r="J935">
        <v>6</v>
      </c>
      <c r="K935" s="3" t="str">
        <f>VLOOKUP(J935,'LibSets constants'!$A$4:$B$1012,2,FALSE)</f>
        <v>DLC_MORROWIND</v>
      </c>
      <c r="L935" s="3" t="str">
        <f>VLOOKUP(J935,'LibSets constants'!$A$4:$C$1012,3,FALSE)</f>
        <v>Morrowind</v>
      </c>
    </row>
    <row r="936" spans="1:12" x14ac:dyDescent="0.25">
      <c r="A936" s="5">
        <v>1386</v>
      </c>
      <c r="B936" s="5">
        <v>931</v>
      </c>
      <c r="C936" s="5">
        <v>1383</v>
      </c>
      <c r="D936" t="s">
        <v>3460</v>
      </c>
      <c r="E936" s="3" t="str">
        <f t="array" ref="E936">IF(OR(EXACT(A936,'ESO Dungeon constants'!$D$3:$D$987)),"X","")</f>
        <v/>
      </c>
      <c r="F936" s="3" t="str">
        <f t="shared" si="56"/>
        <v/>
      </c>
      <c r="G936" s="3" t="str">
        <f t="shared" si="57"/>
        <v>Galen</v>
      </c>
      <c r="H936" s="17">
        <f t="shared" si="58"/>
        <v>1386</v>
      </c>
      <c r="I936" s="17">
        <f t="shared" si="59"/>
        <v>1383</v>
      </c>
      <c r="J936">
        <v>8</v>
      </c>
      <c r="K936" s="3" t="str">
        <f>VLOOKUP(J936,'LibSets constants'!$A$4:$B$1012,2,FALSE)</f>
        <v>DLC_CLOCKWORK_CITY</v>
      </c>
      <c r="L936" s="3" t="str">
        <f>VLOOKUP(J936,'LibSets constants'!$A$4:$C$1012,3,FALSE)</f>
        <v>Clockwork City</v>
      </c>
    </row>
    <row r="937" spans="1:12" x14ac:dyDescent="0.25">
      <c r="A937" s="5">
        <v>1387</v>
      </c>
      <c r="B937" s="5">
        <v>932</v>
      </c>
      <c r="C937" s="5">
        <v>1383</v>
      </c>
      <c r="D937" t="s">
        <v>3468</v>
      </c>
      <c r="E937" s="3" t="str">
        <f t="array" ref="E937">IF(OR(EXACT(A937,'ESO Dungeon constants'!$D$3:$D$987)),"X","")</f>
        <v/>
      </c>
      <c r="F937" s="3" t="str">
        <f t="shared" si="56"/>
        <v/>
      </c>
      <c r="G937" s="3" t="str">
        <f t="shared" si="57"/>
        <v>Galen</v>
      </c>
      <c r="H937" s="17">
        <f t="shared" si="58"/>
        <v>1387</v>
      </c>
      <c r="I937" s="17">
        <f t="shared" si="59"/>
        <v>1383</v>
      </c>
      <c r="J937">
        <v>8</v>
      </c>
      <c r="K937" s="3" t="str">
        <f>VLOOKUP(J937,'LibSets constants'!$A$4:$B$1012,2,FALSE)</f>
        <v>DLC_CLOCKWORK_CITY</v>
      </c>
      <c r="L937" s="3" t="str">
        <f>VLOOKUP(J937,'LibSets constants'!$A$4:$C$1012,3,FALSE)</f>
        <v>Clockwork City</v>
      </c>
    </row>
    <row r="938" spans="1:12" x14ac:dyDescent="0.25">
      <c r="A938" s="5">
        <v>1389</v>
      </c>
      <c r="B938" s="5">
        <v>933</v>
      </c>
      <c r="C938" s="5">
        <v>41</v>
      </c>
      <c r="D938" t="s">
        <v>3555</v>
      </c>
      <c r="E938" s="3" t="str">
        <f t="array" ref="E938">IF(OR(EXACT(A938,'ESO Dungeon constants'!$D$3:$D$987)),"X","")</f>
        <v>X</v>
      </c>
      <c r="F938" s="3" t="str">
        <f t="shared" si="56"/>
        <v/>
      </c>
      <c r="G938" s="3" t="str">
        <f t="shared" si="57"/>
        <v>Stonefalls</v>
      </c>
      <c r="H938" s="17">
        <f t="shared" si="58"/>
        <v>1389</v>
      </c>
      <c r="I938" s="17">
        <f t="shared" si="59"/>
        <v>41</v>
      </c>
      <c r="J938">
        <v>8</v>
      </c>
      <c r="K938" s="3" t="str">
        <f>VLOOKUP(J938,'LibSets constants'!$A$4:$B$1012,2,FALSE)</f>
        <v>DLC_CLOCKWORK_CITY</v>
      </c>
      <c r="L938" s="3" t="str">
        <f>VLOOKUP(J938,'LibSets constants'!$A$4:$C$1012,3,FALSE)</f>
        <v>Clockwork City</v>
      </c>
    </row>
    <row r="939" spans="1:12" x14ac:dyDescent="0.25">
      <c r="A939" s="5">
        <v>1390</v>
      </c>
      <c r="B939" s="5">
        <v>934</v>
      </c>
      <c r="C939" s="5">
        <v>103</v>
      </c>
      <c r="D939" t="s">
        <v>3584</v>
      </c>
      <c r="E939" s="3" t="str">
        <f t="array" ref="E939">IF(OR(EXACT(A939,'ESO Dungeon constants'!$D$3:$D$987)),"X","")</f>
        <v>X</v>
      </c>
      <c r="F939" s="3" t="str">
        <f t="shared" si="56"/>
        <v/>
      </c>
      <c r="G939" s="3" t="str">
        <f t="shared" si="57"/>
        <v>The Rift</v>
      </c>
      <c r="H939" s="17">
        <f t="shared" si="58"/>
        <v>1390</v>
      </c>
      <c r="I939" s="17">
        <f t="shared" si="59"/>
        <v>103</v>
      </c>
      <c r="J939">
        <v>8</v>
      </c>
      <c r="K939" s="3" t="str">
        <f>VLOOKUP(J939,'LibSets constants'!$A$4:$B$1012,2,FALSE)</f>
        <v>DLC_CLOCKWORK_CITY</v>
      </c>
      <c r="L939" s="3" t="str">
        <f>VLOOKUP(J939,'LibSets constants'!$A$4:$C$1012,3,FALSE)</f>
        <v>Clockwork City</v>
      </c>
    </row>
    <row r="940" spans="1:12" x14ac:dyDescent="0.25">
      <c r="A940" s="5">
        <v>1391</v>
      </c>
      <c r="B940" s="5">
        <v>935</v>
      </c>
      <c r="C940" s="5">
        <v>537</v>
      </c>
      <c r="D940" t="s">
        <v>3583</v>
      </c>
      <c r="E940" s="3" t="str">
        <f t="array" ref="E940">IF(OR(EXACT(A940,'ESO Dungeon constants'!$D$3:$D$987)),"X","")</f>
        <v/>
      </c>
      <c r="F940" s="3" t="str">
        <f t="shared" si="56"/>
        <v/>
      </c>
      <c r="G940" s="3" t="str">
        <f t="shared" si="57"/>
        <v>Khenarthi's Roost</v>
      </c>
      <c r="H940" s="17">
        <f t="shared" si="58"/>
        <v>1391</v>
      </c>
      <c r="I940" s="17">
        <f t="shared" si="59"/>
        <v>537</v>
      </c>
      <c r="J940">
        <v>6</v>
      </c>
      <c r="K940" s="3" t="str">
        <f>VLOOKUP(J940,'LibSets constants'!$A$4:$B$1012,2,FALSE)</f>
        <v>DLC_MORROWIND</v>
      </c>
      <c r="L940" s="3" t="str">
        <f>VLOOKUP(J940,'LibSets constants'!$A$4:$C$1012,3,FALSE)</f>
        <v>Morrowind</v>
      </c>
    </row>
    <row r="941" spans="1:12" x14ac:dyDescent="0.25">
      <c r="A941" s="5">
        <v>1392</v>
      </c>
      <c r="B941" s="5">
        <v>936</v>
      </c>
      <c r="C941" s="5">
        <v>537</v>
      </c>
      <c r="D941" t="s">
        <v>3582</v>
      </c>
      <c r="E941" s="3" t="str">
        <f t="array" ref="E941">IF(OR(EXACT(A941,'ESO Dungeon constants'!$D$3:$D$987)),"X","")</f>
        <v/>
      </c>
      <c r="F941" s="3" t="str">
        <f t="shared" si="56"/>
        <v/>
      </c>
      <c r="G941" s="3" t="str">
        <f t="shared" si="57"/>
        <v>Khenarthi's Roost</v>
      </c>
      <c r="H941" s="17">
        <f t="shared" si="58"/>
        <v>1392</v>
      </c>
      <c r="I941" s="17">
        <f t="shared" si="59"/>
        <v>537</v>
      </c>
      <c r="J941">
        <v>6</v>
      </c>
      <c r="K941" s="3" t="str">
        <f>VLOOKUP(J941,'LibSets constants'!$A$4:$B$1012,2,FALSE)</f>
        <v>DLC_MORROWIND</v>
      </c>
      <c r="L941" s="3" t="str">
        <f>VLOOKUP(J941,'LibSets constants'!$A$4:$C$1012,3,FALSE)</f>
        <v>Morrowind</v>
      </c>
    </row>
    <row r="942" spans="1:12" x14ac:dyDescent="0.25">
      <c r="A942" s="5">
        <v>1393</v>
      </c>
      <c r="B942" s="5">
        <v>937</v>
      </c>
      <c r="C942" s="5">
        <v>1414</v>
      </c>
      <c r="D942" t="s">
        <v>3714</v>
      </c>
      <c r="E942" s="3" t="str">
        <f t="array" ref="E942">IF(OR(EXACT(A942,'ESO Dungeon constants'!$D$3:$D$987)),"X","")</f>
        <v/>
      </c>
      <c r="F942" s="3" t="str">
        <f t="shared" si="56"/>
        <v/>
      </c>
      <c r="G942" s="3" t="str">
        <f t="shared" si="57"/>
        <v>Telvanni Peninsula</v>
      </c>
      <c r="H942" s="17">
        <f t="shared" si="58"/>
        <v>1393</v>
      </c>
      <c r="I942" s="17">
        <f t="shared" si="59"/>
        <v>1414</v>
      </c>
      <c r="J942">
        <v>7</v>
      </c>
      <c r="K942" s="3" t="str">
        <f>VLOOKUP(J942,'LibSets constants'!$A$4:$B$1012,2,FALSE)</f>
        <v>DLC_HORNS_OF_THE_REACH</v>
      </c>
      <c r="L942" s="3" t="str">
        <f>VLOOKUP(J942,'LibSets constants'!$A$4:$C$1012,3,FALSE)</f>
        <v>Horns of the Reach</v>
      </c>
    </row>
    <row r="943" spans="1:12" x14ac:dyDescent="0.25">
      <c r="A943" s="5">
        <v>1394</v>
      </c>
      <c r="B943" s="5">
        <v>938</v>
      </c>
      <c r="C943" s="5">
        <v>1414</v>
      </c>
      <c r="D943" t="s">
        <v>3713</v>
      </c>
      <c r="E943" s="3" t="str">
        <f t="array" ref="E943">IF(OR(EXACT(A943,'ESO Dungeon constants'!$D$3:$D$987)),"X","")</f>
        <v/>
      </c>
      <c r="F943" s="3" t="str">
        <f t="shared" si="56"/>
        <v/>
      </c>
      <c r="G943" s="3" t="str">
        <f t="shared" si="57"/>
        <v>Telvanni Peninsula</v>
      </c>
      <c r="H943" s="17">
        <f t="shared" si="58"/>
        <v>1394</v>
      </c>
      <c r="I943" s="17">
        <f t="shared" si="59"/>
        <v>1414</v>
      </c>
      <c r="J943">
        <v>7</v>
      </c>
      <c r="K943" s="3" t="str">
        <f>VLOOKUP(J943,'LibSets constants'!$A$4:$B$1012,2,FALSE)</f>
        <v>DLC_HORNS_OF_THE_REACH</v>
      </c>
      <c r="L943" s="3" t="str">
        <f>VLOOKUP(J943,'LibSets constants'!$A$4:$C$1012,3,FALSE)</f>
        <v>Horns of the Reach</v>
      </c>
    </row>
    <row r="944" spans="1:12" x14ac:dyDescent="0.25">
      <c r="A944" s="5">
        <v>1395</v>
      </c>
      <c r="B944" s="5">
        <v>939</v>
      </c>
      <c r="C944" s="5">
        <v>1414</v>
      </c>
      <c r="D944" t="s">
        <v>3713</v>
      </c>
      <c r="E944" s="3" t="str">
        <f t="array" ref="E944">IF(OR(EXACT(A944,'ESO Dungeon constants'!$D$3:$D$987)),"X","")</f>
        <v/>
      </c>
      <c r="F944" s="3" t="str">
        <f t="shared" si="56"/>
        <v/>
      </c>
      <c r="G944" s="3" t="str">
        <f t="shared" si="57"/>
        <v>Telvanni Peninsula</v>
      </c>
      <c r="H944" s="17">
        <f t="shared" si="58"/>
        <v>1395</v>
      </c>
      <c r="I944" s="17">
        <f t="shared" si="59"/>
        <v>1414</v>
      </c>
      <c r="J944">
        <v>6</v>
      </c>
      <c r="K944" s="3" t="str">
        <f>VLOOKUP(J944,'LibSets constants'!$A$4:$B$1012,2,FALSE)</f>
        <v>DLC_MORROWIND</v>
      </c>
      <c r="L944" s="3" t="str">
        <f>VLOOKUP(J944,'LibSets constants'!$A$4:$C$1012,3,FALSE)</f>
        <v>Morrowind</v>
      </c>
    </row>
    <row r="945" spans="1:12" x14ac:dyDescent="0.25">
      <c r="A945" s="5">
        <v>1396</v>
      </c>
      <c r="B945" s="5">
        <v>940</v>
      </c>
      <c r="C945" s="5">
        <v>1414</v>
      </c>
      <c r="D945" t="s">
        <v>3712</v>
      </c>
      <c r="E945" s="3" t="str">
        <f t="array" ref="E945">IF(OR(EXACT(A945,'ESO Dungeon constants'!$D$3:$D$987)),"X","")</f>
        <v/>
      </c>
      <c r="F945" s="3" t="str">
        <f t="shared" si="56"/>
        <v/>
      </c>
      <c r="G945" s="3" t="str">
        <f t="shared" si="57"/>
        <v>Telvanni Peninsula</v>
      </c>
      <c r="H945" s="17">
        <f t="shared" si="58"/>
        <v>1396</v>
      </c>
      <c r="I945" s="17">
        <f t="shared" si="59"/>
        <v>1414</v>
      </c>
      <c r="J945">
        <v>6</v>
      </c>
      <c r="K945" s="3" t="str">
        <f>VLOOKUP(J945,'LibSets constants'!$A$4:$B$1012,2,FALSE)</f>
        <v>DLC_MORROWIND</v>
      </c>
      <c r="L945" s="3" t="str">
        <f>VLOOKUP(J945,'LibSets constants'!$A$4:$C$1012,3,FALSE)</f>
        <v>Morrowind</v>
      </c>
    </row>
    <row r="946" spans="1:12" x14ac:dyDescent="0.25">
      <c r="A946" s="5">
        <v>1397</v>
      </c>
      <c r="B946" s="5">
        <v>941</v>
      </c>
      <c r="C946" s="5">
        <v>1414</v>
      </c>
      <c r="D946" t="s">
        <v>3688</v>
      </c>
      <c r="E946" s="3" t="str">
        <f t="array" ref="E946">IF(OR(EXACT(A946,'ESO Dungeon constants'!$D$3:$D$987)),"X","")</f>
        <v/>
      </c>
      <c r="F946" s="3" t="str">
        <f t="shared" si="56"/>
        <v/>
      </c>
      <c r="G946" s="3" t="str">
        <f t="shared" si="57"/>
        <v>Telvanni Peninsula</v>
      </c>
      <c r="H946" s="17">
        <f t="shared" si="58"/>
        <v>1397</v>
      </c>
      <c r="I946" s="17">
        <f t="shared" si="59"/>
        <v>1414</v>
      </c>
      <c r="J946">
        <v>0</v>
      </c>
      <c r="K946" s="3" t="str">
        <f>VLOOKUP(J946,'LibSets constants'!$A$4:$B$1012,2,FALSE)</f>
        <v>DLC_BASE_GAME</v>
      </c>
      <c r="L946" s="3" t="str">
        <f>VLOOKUP(J946,'LibSets constants'!$A$4:$C$1012,3,FALSE)</f>
        <v>Included in base game</v>
      </c>
    </row>
    <row r="947" spans="1:12" x14ac:dyDescent="0.25">
      <c r="A947" s="5">
        <v>1398</v>
      </c>
      <c r="B947" s="5">
        <v>942</v>
      </c>
      <c r="C947" s="5">
        <v>1414</v>
      </c>
      <c r="D947" t="s">
        <v>3711</v>
      </c>
      <c r="E947" s="3" t="str">
        <f t="array" ref="E947">IF(OR(EXACT(A947,'ESO Dungeon constants'!$D$3:$D$987)),"X","")</f>
        <v/>
      </c>
      <c r="F947" s="3" t="str">
        <f t="shared" si="56"/>
        <v/>
      </c>
      <c r="G947" s="3" t="str">
        <f t="shared" si="57"/>
        <v>Telvanni Peninsula</v>
      </c>
      <c r="H947" s="17">
        <f t="shared" si="58"/>
        <v>1398</v>
      </c>
      <c r="I947" s="17">
        <f t="shared" si="59"/>
        <v>1414</v>
      </c>
      <c r="J947">
        <v>6</v>
      </c>
      <c r="K947" s="3" t="str">
        <f>VLOOKUP(J947,'LibSets constants'!$A$4:$B$1012,2,FALSE)</f>
        <v>DLC_MORROWIND</v>
      </c>
      <c r="L947" s="3" t="str">
        <f>VLOOKUP(J947,'LibSets constants'!$A$4:$C$1012,3,FALSE)</f>
        <v>Morrowind</v>
      </c>
    </row>
    <row r="948" spans="1:12" x14ac:dyDescent="0.25">
      <c r="A948" s="5">
        <v>1399</v>
      </c>
      <c r="B948" s="5">
        <v>943</v>
      </c>
      <c r="C948" s="5">
        <v>1414</v>
      </c>
      <c r="D948" t="s">
        <v>3710</v>
      </c>
      <c r="E948" s="3" t="str">
        <f t="array" ref="E948">IF(OR(EXACT(A948,'ESO Dungeon constants'!$D$3:$D$987)),"X","")</f>
        <v/>
      </c>
      <c r="F948" s="3" t="str">
        <f t="shared" si="56"/>
        <v/>
      </c>
      <c r="G948" s="3" t="str">
        <f t="shared" si="57"/>
        <v>Telvanni Peninsula</v>
      </c>
      <c r="H948" s="17">
        <f t="shared" si="58"/>
        <v>1399</v>
      </c>
      <c r="I948" s="17">
        <f t="shared" si="59"/>
        <v>1414</v>
      </c>
      <c r="J948">
        <v>6</v>
      </c>
      <c r="K948" s="3" t="str">
        <f>VLOOKUP(J948,'LibSets constants'!$A$4:$B$1012,2,FALSE)</f>
        <v>DLC_MORROWIND</v>
      </c>
      <c r="L948" s="3" t="str">
        <f>VLOOKUP(J948,'LibSets constants'!$A$4:$C$1012,3,FALSE)</f>
        <v>Morrowind</v>
      </c>
    </row>
    <row r="949" spans="1:12" x14ac:dyDescent="0.25">
      <c r="A949" s="5">
        <v>1400</v>
      </c>
      <c r="B949" s="5">
        <v>944</v>
      </c>
      <c r="C949" s="5">
        <v>1414</v>
      </c>
      <c r="D949" t="s">
        <v>3709</v>
      </c>
      <c r="E949" s="3" t="str">
        <f t="array" ref="E949">IF(OR(EXACT(A949,'ESO Dungeon constants'!$D$3:$D$987)),"X","")</f>
        <v/>
      </c>
      <c r="F949" s="3" t="str">
        <f t="shared" si="56"/>
        <v/>
      </c>
      <c r="G949" s="3" t="str">
        <f t="shared" si="57"/>
        <v>Telvanni Peninsula</v>
      </c>
      <c r="H949" s="17">
        <f t="shared" si="58"/>
        <v>1400</v>
      </c>
      <c r="I949" s="17">
        <f t="shared" si="59"/>
        <v>1414</v>
      </c>
      <c r="J949">
        <v>6</v>
      </c>
      <c r="K949" s="3" t="str">
        <f>VLOOKUP(J949,'LibSets constants'!$A$4:$B$1012,2,FALSE)</f>
        <v>DLC_MORROWIND</v>
      </c>
      <c r="L949" s="3" t="str">
        <f>VLOOKUP(J949,'LibSets constants'!$A$4:$C$1012,3,FALSE)</f>
        <v>Morrowind</v>
      </c>
    </row>
    <row r="950" spans="1:12" x14ac:dyDescent="0.25">
      <c r="A950" s="5">
        <v>1401</v>
      </c>
      <c r="B950" s="5">
        <v>945</v>
      </c>
      <c r="C950" s="5">
        <v>1414</v>
      </c>
      <c r="D950" t="s">
        <v>3708</v>
      </c>
      <c r="E950" s="3" t="str">
        <f t="array" ref="E950">IF(OR(EXACT(A950,'ESO Dungeon constants'!$D$3:$D$987)),"X","")</f>
        <v/>
      </c>
      <c r="F950" s="3" t="str">
        <f t="shared" si="56"/>
        <v/>
      </c>
      <c r="G950" s="3" t="str">
        <f t="shared" si="57"/>
        <v>Telvanni Peninsula</v>
      </c>
      <c r="H950" s="17">
        <f t="shared" si="58"/>
        <v>1401</v>
      </c>
      <c r="I950" s="17">
        <f t="shared" si="59"/>
        <v>1414</v>
      </c>
      <c r="J950">
        <v>6</v>
      </c>
      <c r="K950" s="3" t="str">
        <f>VLOOKUP(J950,'LibSets constants'!$A$4:$B$1012,2,FALSE)</f>
        <v>DLC_MORROWIND</v>
      </c>
      <c r="L950" s="3" t="str">
        <f>VLOOKUP(J950,'LibSets constants'!$A$4:$C$1012,3,FALSE)</f>
        <v>Morrowind</v>
      </c>
    </row>
    <row r="951" spans="1:12" x14ac:dyDescent="0.25">
      <c r="A951" s="5">
        <v>1402</v>
      </c>
      <c r="B951" s="5">
        <v>946</v>
      </c>
      <c r="C951" s="5">
        <v>1414</v>
      </c>
      <c r="D951" t="s">
        <v>3707</v>
      </c>
      <c r="E951" s="3" t="str">
        <f t="array" ref="E951">IF(OR(EXACT(A951,'ESO Dungeon constants'!$D$3:$D$987)),"X","")</f>
        <v/>
      </c>
      <c r="F951" s="3" t="str">
        <f t="shared" si="56"/>
        <v/>
      </c>
      <c r="G951" s="3" t="str">
        <f t="shared" si="57"/>
        <v>Telvanni Peninsula</v>
      </c>
      <c r="H951" s="17">
        <f t="shared" si="58"/>
        <v>1402</v>
      </c>
      <c r="I951" s="17">
        <f t="shared" si="59"/>
        <v>1414</v>
      </c>
      <c r="J951">
        <v>6</v>
      </c>
      <c r="K951" s="3" t="str">
        <f>VLOOKUP(J951,'LibSets constants'!$A$4:$B$1012,2,FALSE)</f>
        <v>DLC_MORROWIND</v>
      </c>
      <c r="L951" s="3" t="str">
        <f>VLOOKUP(J951,'LibSets constants'!$A$4:$C$1012,3,FALSE)</f>
        <v>Morrowind</v>
      </c>
    </row>
    <row r="952" spans="1:12" x14ac:dyDescent="0.25">
      <c r="A952" s="5">
        <v>1403</v>
      </c>
      <c r="B952" s="5">
        <v>947</v>
      </c>
      <c r="C952" s="5">
        <v>1414</v>
      </c>
      <c r="D952" t="s">
        <v>3706</v>
      </c>
      <c r="E952" s="3" t="str">
        <f t="array" ref="E952">IF(OR(EXACT(A952,'ESO Dungeon constants'!$D$3:$D$987)),"X","")</f>
        <v/>
      </c>
      <c r="F952" s="3" t="str">
        <f t="shared" si="56"/>
        <v/>
      </c>
      <c r="G952" s="3" t="str">
        <f t="shared" si="57"/>
        <v>Telvanni Peninsula</v>
      </c>
      <c r="H952" s="17">
        <f t="shared" si="58"/>
        <v>1403</v>
      </c>
      <c r="I952" s="17">
        <f t="shared" si="59"/>
        <v>1414</v>
      </c>
      <c r="J952">
        <v>6</v>
      </c>
      <c r="K952" s="3" t="str">
        <f>VLOOKUP(J952,'LibSets constants'!$A$4:$B$1012,2,FALSE)</f>
        <v>DLC_MORROWIND</v>
      </c>
      <c r="L952" s="3" t="str">
        <f>VLOOKUP(J952,'LibSets constants'!$A$4:$C$1012,3,FALSE)</f>
        <v>Morrowind</v>
      </c>
    </row>
    <row r="953" spans="1:12" x14ac:dyDescent="0.25">
      <c r="A953" s="5">
        <v>1404</v>
      </c>
      <c r="B953" s="5">
        <v>948</v>
      </c>
      <c r="C953" s="5">
        <v>1414</v>
      </c>
      <c r="D953" t="s">
        <v>3715</v>
      </c>
      <c r="E953" s="3" t="str">
        <f t="array" ref="E953">IF(OR(EXACT(A953,'ESO Dungeon constants'!$D$3:$D$987)),"X","")</f>
        <v/>
      </c>
      <c r="F953" s="3" t="str">
        <f t="shared" si="56"/>
        <v/>
      </c>
      <c r="G953" s="3" t="str">
        <f t="shared" si="57"/>
        <v>Telvanni Peninsula</v>
      </c>
      <c r="H953" s="17">
        <f t="shared" si="58"/>
        <v>1404</v>
      </c>
      <c r="I953" s="17">
        <f t="shared" si="59"/>
        <v>1414</v>
      </c>
      <c r="J953">
        <v>6</v>
      </c>
      <c r="K953" s="3" t="str">
        <f>VLOOKUP(J953,'LibSets constants'!$A$4:$B$1012,2,FALSE)</f>
        <v>DLC_MORROWIND</v>
      </c>
      <c r="L953" s="3" t="str">
        <f>VLOOKUP(J953,'LibSets constants'!$A$4:$C$1012,3,FALSE)</f>
        <v>Morrowind</v>
      </c>
    </row>
    <row r="954" spans="1:12" x14ac:dyDescent="0.25">
      <c r="A954" s="5">
        <v>1405</v>
      </c>
      <c r="B954" s="5">
        <v>949</v>
      </c>
      <c r="C954" s="5">
        <v>1414</v>
      </c>
      <c r="D954" t="s">
        <v>3716</v>
      </c>
      <c r="E954" s="3" t="str">
        <f t="array" ref="E954">IF(OR(EXACT(A954,'ESO Dungeon constants'!$D$3:$D$987)),"X","")</f>
        <v/>
      </c>
      <c r="F954" s="3" t="str">
        <f t="shared" si="56"/>
        <v/>
      </c>
      <c r="G954" s="3" t="str">
        <f t="shared" si="57"/>
        <v>Telvanni Peninsula</v>
      </c>
      <c r="H954" s="17">
        <f t="shared" si="58"/>
        <v>1405</v>
      </c>
      <c r="I954" s="17">
        <f t="shared" si="59"/>
        <v>1414</v>
      </c>
      <c r="J954">
        <v>6</v>
      </c>
      <c r="K954" s="3" t="str">
        <f>VLOOKUP(J954,'LibSets constants'!$A$4:$B$1012,2,FALSE)</f>
        <v>DLC_MORROWIND</v>
      </c>
      <c r="L954" s="3" t="str">
        <f>VLOOKUP(J954,'LibSets constants'!$A$4:$C$1012,3,FALSE)</f>
        <v>Morrowind</v>
      </c>
    </row>
    <row r="955" spans="1:12" x14ac:dyDescent="0.25">
      <c r="A955" s="5">
        <v>1406</v>
      </c>
      <c r="B955" s="5">
        <v>950</v>
      </c>
      <c r="C955" s="5">
        <v>1414</v>
      </c>
      <c r="D955" t="s">
        <v>3717</v>
      </c>
      <c r="E955" s="3" t="str">
        <f t="array" ref="E955">IF(OR(EXACT(A955,'ESO Dungeon constants'!$D$3:$D$987)),"X","")</f>
        <v/>
      </c>
      <c r="F955" s="3" t="str">
        <f t="shared" si="56"/>
        <v/>
      </c>
      <c r="G955" s="3" t="str">
        <f t="shared" si="57"/>
        <v>Telvanni Peninsula</v>
      </c>
      <c r="H955" s="17">
        <f t="shared" si="58"/>
        <v>1406</v>
      </c>
      <c r="I955" s="17">
        <f t="shared" si="59"/>
        <v>1414</v>
      </c>
      <c r="J955">
        <v>6</v>
      </c>
      <c r="K955" s="3" t="str">
        <f>VLOOKUP(J955,'LibSets constants'!$A$4:$B$1012,2,FALSE)</f>
        <v>DLC_MORROWIND</v>
      </c>
      <c r="L955" s="3" t="str">
        <f>VLOOKUP(J955,'LibSets constants'!$A$4:$C$1012,3,FALSE)</f>
        <v>Morrowind</v>
      </c>
    </row>
    <row r="956" spans="1:12" x14ac:dyDescent="0.25">
      <c r="A956" s="5">
        <v>1407</v>
      </c>
      <c r="B956" s="5">
        <v>951</v>
      </c>
      <c r="C956" s="5">
        <v>1414</v>
      </c>
      <c r="D956" t="s">
        <v>3705</v>
      </c>
      <c r="E956" s="3" t="str">
        <f t="array" ref="E956">IF(OR(EXACT(A956,'ESO Dungeon constants'!$D$3:$D$987)),"X","")</f>
        <v/>
      </c>
      <c r="F956" s="3" t="str">
        <f t="shared" si="56"/>
        <v/>
      </c>
      <c r="G956" s="3" t="str">
        <f t="shared" si="57"/>
        <v>Telvanni Peninsula</v>
      </c>
      <c r="H956" s="17">
        <f t="shared" si="58"/>
        <v>1407</v>
      </c>
      <c r="I956" s="17">
        <f t="shared" si="59"/>
        <v>1414</v>
      </c>
      <c r="J956">
        <v>6</v>
      </c>
      <c r="K956" s="3" t="str">
        <f>VLOOKUP(J956,'LibSets constants'!$A$4:$B$1012,2,FALSE)</f>
        <v>DLC_MORROWIND</v>
      </c>
      <c r="L956" s="3" t="str">
        <f>VLOOKUP(J956,'LibSets constants'!$A$4:$C$1012,3,FALSE)</f>
        <v>Morrowind</v>
      </c>
    </row>
    <row r="957" spans="1:12" x14ac:dyDescent="0.25">
      <c r="A957" s="5">
        <v>1408</v>
      </c>
      <c r="B957" s="5">
        <v>952</v>
      </c>
      <c r="C957" s="5">
        <v>1414</v>
      </c>
      <c r="D957" t="s">
        <v>3689</v>
      </c>
      <c r="E957" s="3" t="str">
        <f t="array" ref="E957">IF(OR(EXACT(A957,'ESO Dungeon constants'!$D$3:$D$987)),"X","")</f>
        <v/>
      </c>
      <c r="F957" s="3" t="str">
        <f t="shared" si="56"/>
        <v/>
      </c>
      <c r="G957" s="3" t="str">
        <f t="shared" si="57"/>
        <v>Telvanni Peninsula</v>
      </c>
      <c r="H957" s="17">
        <f t="shared" si="58"/>
        <v>1408</v>
      </c>
      <c r="I957" s="17">
        <f t="shared" si="59"/>
        <v>1414</v>
      </c>
      <c r="J957">
        <v>0</v>
      </c>
      <c r="K957" s="3" t="str">
        <f>VLOOKUP(J957,'LibSets constants'!$A$4:$B$1012,2,FALSE)</f>
        <v>DLC_BASE_GAME</v>
      </c>
      <c r="L957" s="3" t="str">
        <f>VLOOKUP(J957,'LibSets constants'!$A$4:$C$1012,3,FALSE)</f>
        <v>Included in base game</v>
      </c>
    </row>
    <row r="958" spans="1:12" x14ac:dyDescent="0.25">
      <c r="A958" s="5">
        <v>1409</v>
      </c>
      <c r="B958" s="5">
        <v>953</v>
      </c>
      <c r="C958" s="5">
        <v>1414</v>
      </c>
      <c r="D958" t="s">
        <v>3704</v>
      </c>
      <c r="E958" s="3" t="str">
        <f t="array" ref="E958">IF(OR(EXACT(A958,'ESO Dungeon constants'!$D$3:$D$987)),"X","")</f>
        <v/>
      </c>
      <c r="F958" s="3" t="str">
        <f t="shared" si="56"/>
        <v/>
      </c>
      <c r="G958" s="3" t="str">
        <f t="shared" si="57"/>
        <v>Telvanni Peninsula</v>
      </c>
      <c r="H958" s="17">
        <f t="shared" si="58"/>
        <v>1409</v>
      </c>
      <c r="I958" s="17">
        <f t="shared" si="59"/>
        <v>1414</v>
      </c>
      <c r="J958">
        <v>6</v>
      </c>
      <c r="K958" s="3" t="str">
        <f>VLOOKUP(J958,'LibSets constants'!$A$4:$B$1012,2,FALSE)</f>
        <v>DLC_MORROWIND</v>
      </c>
      <c r="L958" s="3" t="str">
        <f>VLOOKUP(J958,'LibSets constants'!$A$4:$C$1012,3,FALSE)</f>
        <v>Morrowind</v>
      </c>
    </row>
    <row r="959" spans="1:12" x14ac:dyDescent="0.25">
      <c r="A959" s="5">
        <v>1410</v>
      </c>
      <c r="B959" s="5">
        <v>954</v>
      </c>
      <c r="C959" s="5">
        <v>1414</v>
      </c>
      <c r="D959" t="s">
        <v>3703</v>
      </c>
      <c r="E959" s="3" t="str">
        <f t="array" ref="E959">IF(OR(EXACT(A959,'ESO Dungeon constants'!$D$3:$D$987)),"X","")</f>
        <v/>
      </c>
      <c r="F959" s="3" t="str">
        <f t="shared" si="56"/>
        <v/>
      </c>
      <c r="G959" s="3" t="str">
        <f t="shared" si="57"/>
        <v>Telvanni Peninsula</v>
      </c>
      <c r="H959" s="17">
        <f t="shared" si="58"/>
        <v>1410</v>
      </c>
      <c r="I959" s="17">
        <f t="shared" si="59"/>
        <v>1414</v>
      </c>
      <c r="J959">
        <v>6</v>
      </c>
      <c r="K959" s="3" t="str">
        <f>VLOOKUP(J959,'LibSets constants'!$A$4:$B$1012,2,FALSE)</f>
        <v>DLC_MORROWIND</v>
      </c>
      <c r="L959" s="3" t="str">
        <f>VLOOKUP(J959,'LibSets constants'!$A$4:$C$1012,3,FALSE)</f>
        <v>Morrowind</v>
      </c>
    </row>
    <row r="960" spans="1:12" x14ac:dyDescent="0.25">
      <c r="A960" s="5">
        <v>1411</v>
      </c>
      <c r="B960" s="5">
        <v>955</v>
      </c>
      <c r="C960" s="5">
        <v>1414</v>
      </c>
      <c r="D960" t="s">
        <v>3702</v>
      </c>
      <c r="E960" s="3" t="str">
        <f t="array" ref="E960">IF(OR(EXACT(A960,'ESO Dungeon constants'!$D$3:$D$987)),"X","")</f>
        <v/>
      </c>
      <c r="F960" s="3" t="str">
        <f t="shared" si="56"/>
        <v/>
      </c>
      <c r="G960" s="3" t="str">
        <f t="shared" si="57"/>
        <v>Telvanni Peninsula</v>
      </c>
      <c r="H960" s="17">
        <f t="shared" si="58"/>
        <v>1411</v>
      </c>
      <c r="I960" s="17">
        <f t="shared" si="59"/>
        <v>1414</v>
      </c>
      <c r="J960">
        <v>6</v>
      </c>
      <c r="K960" s="3" t="str">
        <f>VLOOKUP(J960,'LibSets constants'!$A$4:$B$1012,2,FALSE)</f>
        <v>DLC_MORROWIND</v>
      </c>
      <c r="L960" s="3" t="str">
        <f>VLOOKUP(J960,'LibSets constants'!$A$4:$C$1012,3,FALSE)</f>
        <v>Morrowind</v>
      </c>
    </row>
    <row r="961" spans="1:12" x14ac:dyDescent="0.25">
      <c r="A961" s="5">
        <v>1412</v>
      </c>
      <c r="B961" s="5">
        <v>956</v>
      </c>
      <c r="C961" s="5">
        <v>1414</v>
      </c>
      <c r="D961" t="s">
        <v>3701</v>
      </c>
      <c r="E961" s="3" t="str">
        <f t="array" ref="E961">IF(OR(EXACT(A961,'ESO Dungeon constants'!$D$3:$D$987)),"X","")</f>
        <v/>
      </c>
      <c r="F961" s="3" t="str">
        <f t="shared" si="56"/>
        <v/>
      </c>
      <c r="G961" s="3" t="str">
        <f t="shared" si="57"/>
        <v>Telvanni Peninsula</v>
      </c>
      <c r="H961" s="17">
        <f t="shared" si="58"/>
        <v>1412</v>
      </c>
      <c r="I961" s="17">
        <f t="shared" si="59"/>
        <v>1414</v>
      </c>
      <c r="J961">
        <v>6</v>
      </c>
      <c r="K961" s="3" t="str">
        <f>VLOOKUP(J961,'LibSets constants'!$A$4:$B$1012,2,FALSE)</f>
        <v>DLC_MORROWIND</v>
      </c>
      <c r="L961" s="3" t="str">
        <f>VLOOKUP(J961,'LibSets constants'!$A$4:$C$1012,3,FALSE)</f>
        <v>Morrowind</v>
      </c>
    </row>
    <row r="962" spans="1:12" x14ac:dyDescent="0.25">
      <c r="A962" s="5">
        <v>1413</v>
      </c>
      <c r="B962" s="5">
        <v>957</v>
      </c>
      <c r="C962" s="5">
        <v>1414</v>
      </c>
      <c r="D962" t="s">
        <v>3628</v>
      </c>
      <c r="E962" s="3" t="str">
        <f t="array" ref="E962">IF(OR(EXACT(A962,'ESO Dungeon constants'!$D$3:$D$987)),"X","")</f>
        <v/>
      </c>
      <c r="F962" s="3" t="str">
        <f t="shared" si="56"/>
        <v/>
      </c>
      <c r="G962" s="3" t="str">
        <f t="shared" si="57"/>
        <v>Telvanni Peninsula</v>
      </c>
      <c r="H962" s="17">
        <f t="shared" si="58"/>
        <v>1413</v>
      </c>
      <c r="I962" s="17">
        <f t="shared" si="59"/>
        <v>1414</v>
      </c>
      <c r="J962">
        <v>6</v>
      </c>
      <c r="K962" s="3" t="str">
        <f>VLOOKUP(J962,'LibSets constants'!$A$4:$B$1012,2,FALSE)</f>
        <v>DLC_MORROWIND</v>
      </c>
      <c r="L962" s="3" t="str">
        <f>VLOOKUP(J962,'LibSets constants'!$A$4:$C$1012,3,FALSE)</f>
        <v>Morrowind</v>
      </c>
    </row>
    <row r="963" spans="1:12" x14ac:dyDescent="0.25">
      <c r="A963" s="5">
        <v>1414</v>
      </c>
      <c r="B963" s="5">
        <v>958</v>
      </c>
      <c r="C963" s="5">
        <v>1414</v>
      </c>
      <c r="D963" t="s">
        <v>3700</v>
      </c>
      <c r="E963" s="3" t="str">
        <f t="array" ref="E963">IF(OR(EXACT(A963,'ESO Dungeon constants'!$D$3:$D$987)),"X","")</f>
        <v/>
      </c>
      <c r="F963" s="3" t="str">
        <f t="shared" si="56"/>
        <v>X</v>
      </c>
      <c r="G963" s="3" t="str">
        <f t="shared" si="57"/>
        <v/>
      </c>
      <c r="H963" s="17">
        <f t="shared" si="58"/>
        <v>1414</v>
      </c>
      <c r="I963" s="17">
        <f t="shared" si="59"/>
        <v>1414</v>
      </c>
      <c r="J963">
        <v>6</v>
      </c>
      <c r="K963" s="3" t="str">
        <f>VLOOKUP(J963,'LibSets constants'!$A$4:$B$1012,2,FALSE)</f>
        <v>DLC_MORROWIND</v>
      </c>
      <c r="L963" s="3" t="str">
        <f>VLOOKUP(J963,'LibSets constants'!$A$4:$C$1012,3,FALSE)</f>
        <v>Morrowind</v>
      </c>
    </row>
    <row r="964" spans="1:12" x14ac:dyDescent="0.25">
      <c r="A964" s="5">
        <v>1415</v>
      </c>
      <c r="B964" s="5">
        <v>959</v>
      </c>
      <c r="C964" s="5">
        <v>1414</v>
      </c>
      <c r="D964" t="s">
        <v>3690</v>
      </c>
      <c r="E964" s="3" t="str">
        <f t="array" ref="E964">IF(OR(EXACT(A964,'ESO Dungeon constants'!$D$3:$D$987)),"X","")</f>
        <v/>
      </c>
      <c r="F964" s="3" t="str">
        <f t="shared" si="56"/>
        <v/>
      </c>
      <c r="G964" s="3" t="str">
        <f t="shared" si="57"/>
        <v>Telvanni Peninsula</v>
      </c>
      <c r="H964" s="17">
        <f t="shared" si="58"/>
        <v>1415</v>
      </c>
      <c r="I964" s="17">
        <f t="shared" si="59"/>
        <v>1414</v>
      </c>
      <c r="J964">
        <v>0</v>
      </c>
      <c r="K964" s="3" t="str">
        <f>VLOOKUP(J964,'LibSets constants'!$A$4:$B$1012,2,FALSE)</f>
        <v>DLC_BASE_GAME</v>
      </c>
      <c r="L964" s="3" t="str">
        <f>VLOOKUP(J964,'LibSets constants'!$A$4:$C$1012,3,FALSE)</f>
        <v>Included in base game</v>
      </c>
    </row>
    <row r="965" spans="1:12" x14ac:dyDescent="0.25">
      <c r="A965" s="5">
        <v>1416</v>
      </c>
      <c r="B965" s="5">
        <v>960</v>
      </c>
      <c r="C965" s="5">
        <v>1414</v>
      </c>
      <c r="D965" t="s">
        <v>3699</v>
      </c>
      <c r="E965" s="3" t="str">
        <f t="array" ref="E965">IF(OR(EXACT(A965,'ESO Dungeon constants'!$D$3:$D$987)),"X","")</f>
        <v/>
      </c>
      <c r="F965" s="3" t="str">
        <f t="shared" ref="F965:F987" si="60">IF(EXACT(A965,C965),"X","")</f>
        <v/>
      </c>
      <c r="G965" s="3" t="str">
        <f t="shared" ref="G965:G987" si="61">IF(A965&lt;&gt;C965,VLOOKUP(C965,$A$5:$D$9954,4,FALSE),"")</f>
        <v>Telvanni Peninsula</v>
      </c>
      <c r="H965" s="17">
        <f t="shared" ref="H965:H987" si="62">A965</f>
        <v>1416</v>
      </c>
      <c r="I965" s="17">
        <f t="shared" ref="I965:I987" si="63">C965</f>
        <v>1414</v>
      </c>
      <c r="J965">
        <v>6</v>
      </c>
      <c r="K965" s="3" t="str">
        <f>VLOOKUP(J965,'LibSets constants'!$A$4:$B$1012,2,FALSE)</f>
        <v>DLC_MORROWIND</v>
      </c>
      <c r="L965" s="3" t="str">
        <f>VLOOKUP(J965,'LibSets constants'!$A$4:$C$1012,3,FALSE)</f>
        <v>Morrowind</v>
      </c>
    </row>
    <row r="966" spans="1:12" x14ac:dyDescent="0.25">
      <c r="A966" s="5">
        <v>1417</v>
      </c>
      <c r="B966" s="5">
        <v>961</v>
      </c>
      <c r="C966" s="5">
        <v>1414</v>
      </c>
      <c r="D966" t="s">
        <v>3698</v>
      </c>
      <c r="E966" s="3" t="str">
        <f t="array" ref="E966">IF(OR(EXACT(A966,'ESO Dungeon constants'!$D$3:$D$987)),"X","")</f>
        <v/>
      </c>
      <c r="F966" s="3" t="str">
        <f t="shared" si="60"/>
        <v/>
      </c>
      <c r="G966" s="3" t="str">
        <f t="shared" si="61"/>
        <v>Telvanni Peninsula</v>
      </c>
      <c r="H966" s="17">
        <f t="shared" si="62"/>
        <v>1417</v>
      </c>
      <c r="I966" s="17">
        <f t="shared" si="63"/>
        <v>1414</v>
      </c>
      <c r="J966">
        <v>6</v>
      </c>
      <c r="K966" s="3" t="str">
        <f>VLOOKUP(J966,'LibSets constants'!$A$4:$B$1012,2,FALSE)</f>
        <v>DLC_MORROWIND</v>
      </c>
      <c r="L966" s="3" t="str">
        <f>VLOOKUP(J966,'LibSets constants'!$A$4:$C$1012,3,FALSE)</f>
        <v>Morrowind</v>
      </c>
    </row>
    <row r="967" spans="1:12" x14ac:dyDescent="0.25">
      <c r="A967" s="5">
        <v>1420</v>
      </c>
      <c r="B967" s="5">
        <v>962</v>
      </c>
      <c r="C967" s="5">
        <v>1414</v>
      </c>
      <c r="D967" t="s">
        <v>3697</v>
      </c>
      <c r="E967" s="3" t="str">
        <f t="array" ref="E967">IF(OR(EXACT(A967,'ESO Dungeon constants'!$D$3:$D$987)),"X","")</f>
        <v/>
      </c>
      <c r="F967" s="3" t="str">
        <f t="shared" si="60"/>
        <v/>
      </c>
      <c r="G967" s="3" t="str">
        <f t="shared" si="61"/>
        <v>Telvanni Peninsula</v>
      </c>
      <c r="H967" s="17">
        <f t="shared" si="62"/>
        <v>1420</v>
      </c>
      <c r="I967" s="17">
        <f t="shared" si="63"/>
        <v>1414</v>
      </c>
      <c r="J967">
        <v>6</v>
      </c>
      <c r="K967" s="3" t="str">
        <f>VLOOKUP(J967,'LibSets constants'!$A$4:$B$1012,2,FALSE)</f>
        <v>DLC_MORROWIND</v>
      </c>
      <c r="L967" s="3" t="str">
        <f>VLOOKUP(J967,'LibSets constants'!$A$4:$C$1012,3,FALSE)</f>
        <v>Morrowind</v>
      </c>
    </row>
    <row r="968" spans="1:12" x14ac:dyDescent="0.25">
      <c r="A968" s="5">
        <v>1421</v>
      </c>
      <c r="B968" s="5">
        <v>963</v>
      </c>
      <c r="C968" s="5">
        <v>1414</v>
      </c>
      <c r="D968" t="s">
        <v>3696</v>
      </c>
      <c r="E968" s="3" t="str">
        <f t="array" ref="E968">IF(OR(EXACT(A968,'ESO Dungeon constants'!$D$3:$D$987)),"X","")</f>
        <v/>
      </c>
      <c r="F968" s="3" t="str">
        <f t="shared" si="60"/>
        <v/>
      </c>
      <c r="G968" s="3" t="str">
        <f t="shared" si="61"/>
        <v>Telvanni Peninsula</v>
      </c>
      <c r="H968" s="17">
        <f t="shared" si="62"/>
        <v>1421</v>
      </c>
      <c r="I968" s="17">
        <f t="shared" si="63"/>
        <v>1414</v>
      </c>
      <c r="J968">
        <v>6</v>
      </c>
      <c r="K968" s="3" t="str">
        <f>VLOOKUP(J968,'LibSets constants'!$A$4:$B$1012,2,FALSE)</f>
        <v>DLC_MORROWIND</v>
      </c>
      <c r="L968" s="3" t="str">
        <f>VLOOKUP(J968,'LibSets constants'!$A$4:$C$1012,3,FALSE)</f>
        <v>Morrowind</v>
      </c>
    </row>
    <row r="969" spans="1:12" x14ac:dyDescent="0.25">
      <c r="A969" s="5">
        <v>1422</v>
      </c>
      <c r="B969" s="5">
        <v>964</v>
      </c>
      <c r="C969" s="5">
        <v>1414</v>
      </c>
      <c r="D969" t="s">
        <v>3695</v>
      </c>
      <c r="E969" s="3" t="str">
        <f t="array" ref="E969">IF(OR(EXACT(A969,'ESO Dungeon constants'!$D$3:$D$987)),"X","")</f>
        <v/>
      </c>
      <c r="F969" s="3" t="str">
        <f t="shared" si="60"/>
        <v/>
      </c>
      <c r="G969" s="3" t="str">
        <f t="shared" si="61"/>
        <v>Telvanni Peninsula</v>
      </c>
      <c r="H969" s="17">
        <f t="shared" si="62"/>
        <v>1422</v>
      </c>
      <c r="I969" s="17">
        <f t="shared" si="63"/>
        <v>1414</v>
      </c>
      <c r="J969">
        <v>6</v>
      </c>
      <c r="K969" s="3" t="str">
        <f>VLOOKUP(J969,'LibSets constants'!$A$4:$B$1012,2,FALSE)</f>
        <v>DLC_MORROWIND</v>
      </c>
      <c r="L969" s="3" t="str">
        <f>VLOOKUP(J969,'LibSets constants'!$A$4:$C$1012,3,FALSE)</f>
        <v>Morrowind</v>
      </c>
    </row>
    <row r="970" spans="1:12" x14ac:dyDescent="0.25">
      <c r="A970" s="5">
        <v>1423</v>
      </c>
      <c r="B970" s="5">
        <v>965</v>
      </c>
      <c r="C970" s="5">
        <v>1414</v>
      </c>
      <c r="D970" t="s">
        <v>3694</v>
      </c>
      <c r="E970" s="3" t="str">
        <f t="array" ref="E970">IF(OR(EXACT(A970,'ESO Dungeon constants'!$D$3:$D$987)),"X","")</f>
        <v/>
      </c>
      <c r="F970" s="3" t="str">
        <f t="shared" si="60"/>
        <v/>
      </c>
      <c r="G970" s="3" t="str">
        <f t="shared" si="61"/>
        <v>Telvanni Peninsula</v>
      </c>
      <c r="H970" s="17">
        <f t="shared" si="62"/>
        <v>1423</v>
      </c>
      <c r="I970" s="17">
        <f t="shared" si="63"/>
        <v>1414</v>
      </c>
      <c r="J970">
        <v>0</v>
      </c>
      <c r="K970" s="3" t="str">
        <f>VLOOKUP(J970,'LibSets constants'!$A$4:$B$1012,2,FALSE)</f>
        <v>DLC_BASE_GAME</v>
      </c>
      <c r="L970" s="3" t="str">
        <f>VLOOKUP(J970,'LibSets constants'!$A$4:$C$1012,3,FALSE)</f>
        <v>Included in base game</v>
      </c>
    </row>
    <row r="971" spans="1:12" x14ac:dyDescent="0.25">
      <c r="A971" s="5">
        <v>1424</v>
      </c>
      <c r="B971" s="5">
        <v>966</v>
      </c>
      <c r="C971" s="5">
        <v>1414</v>
      </c>
      <c r="D971" t="s">
        <v>3693</v>
      </c>
      <c r="E971" s="3" t="str">
        <f t="array" ref="E971">IF(OR(EXACT(A971,'ESO Dungeon constants'!$D$3:$D$987)),"X","")</f>
        <v/>
      </c>
      <c r="F971" s="3" t="str">
        <f t="shared" si="60"/>
        <v/>
      </c>
      <c r="G971" s="3" t="str">
        <f t="shared" si="61"/>
        <v>Telvanni Peninsula</v>
      </c>
      <c r="H971" s="17">
        <f t="shared" si="62"/>
        <v>1424</v>
      </c>
      <c r="I971" s="17">
        <f t="shared" si="63"/>
        <v>1414</v>
      </c>
      <c r="J971">
        <v>0</v>
      </c>
      <c r="K971" s="3" t="str">
        <f>VLOOKUP(J971,'LibSets constants'!$A$4:$B$1012,2,FALSE)</f>
        <v>DLC_BASE_GAME</v>
      </c>
      <c r="L971" s="3" t="str">
        <f>VLOOKUP(J971,'LibSets constants'!$A$4:$C$1012,3,FALSE)</f>
        <v>Included in base game</v>
      </c>
    </row>
    <row r="972" spans="1:12" x14ac:dyDescent="0.25">
      <c r="A972" s="5">
        <v>1425</v>
      </c>
      <c r="B972" s="5">
        <v>967</v>
      </c>
      <c r="C972" s="5">
        <v>1414</v>
      </c>
      <c r="D972" t="s">
        <v>3692</v>
      </c>
      <c r="E972" s="3" t="str">
        <f t="array" ref="E972">IF(OR(EXACT(A972,'ESO Dungeon constants'!$D$3:$D$987)),"X","")</f>
        <v/>
      </c>
      <c r="F972" s="3" t="str">
        <f t="shared" si="60"/>
        <v/>
      </c>
      <c r="G972" s="3" t="str">
        <f t="shared" si="61"/>
        <v>Telvanni Peninsula</v>
      </c>
      <c r="H972" s="17">
        <f t="shared" si="62"/>
        <v>1425</v>
      </c>
      <c r="I972" s="17">
        <f t="shared" si="63"/>
        <v>1414</v>
      </c>
      <c r="J972">
        <v>0</v>
      </c>
      <c r="K972" s="3" t="str">
        <f>VLOOKUP(J972,'LibSets constants'!$A$4:$B$1012,2,FALSE)</f>
        <v>DLC_BASE_GAME</v>
      </c>
      <c r="L972" s="3" t="str">
        <f>VLOOKUP(J972,'LibSets constants'!$A$4:$C$1012,3,FALSE)</f>
        <v>Included in base game</v>
      </c>
    </row>
    <row r="973" spans="1:12" x14ac:dyDescent="0.25">
      <c r="A973" s="5">
        <v>1427</v>
      </c>
      <c r="B973" s="5">
        <v>968</v>
      </c>
      <c r="C973" s="5">
        <v>1414</v>
      </c>
      <c r="D973" t="s">
        <v>3691</v>
      </c>
      <c r="E973" s="3" t="str">
        <f t="array" ref="E973">IF(OR(EXACT(A973,'ESO Dungeon constants'!$D$3:$D$987)),"X","")</f>
        <v>X</v>
      </c>
      <c r="F973" s="3" t="str">
        <f t="shared" si="60"/>
        <v/>
      </c>
      <c r="G973" s="3" t="str">
        <f t="shared" si="61"/>
        <v>Telvanni Peninsula</v>
      </c>
      <c r="H973" s="17">
        <f t="shared" si="62"/>
        <v>1427</v>
      </c>
      <c r="I973" s="17">
        <f t="shared" si="63"/>
        <v>1414</v>
      </c>
      <c r="J973">
        <v>0</v>
      </c>
      <c r="K973" s="3" t="str">
        <f>VLOOKUP(J973,'LibSets constants'!$A$4:$B$1012,2,FALSE)</f>
        <v>DLC_BASE_GAME</v>
      </c>
      <c r="L973" s="3" t="str">
        <f>VLOOKUP(J973,'LibSets constants'!$A$4:$C$1012,3,FALSE)</f>
        <v>Included in base game</v>
      </c>
    </row>
    <row r="974" spans="1:12" x14ac:dyDescent="0.25">
      <c r="A974" s="5">
        <v>1432</v>
      </c>
      <c r="B974" s="5">
        <v>969</v>
      </c>
      <c r="C974" s="5">
        <v>1318</v>
      </c>
      <c r="D974" t="s">
        <v>3570</v>
      </c>
      <c r="E974" s="3" t="str">
        <f t="array" ref="E974">IF(OR(EXACT(A974,'ESO Dungeon constants'!$D$3:$D$987)),"X","")</f>
        <v/>
      </c>
      <c r="F974" s="3" t="str">
        <f t="shared" si="60"/>
        <v/>
      </c>
      <c r="G974" s="3" t="str">
        <f t="shared" si="61"/>
        <v>High Isle</v>
      </c>
      <c r="H974" s="17">
        <f t="shared" si="62"/>
        <v>1432</v>
      </c>
      <c r="I974" s="17">
        <f t="shared" si="63"/>
        <v>1318</v>
      </c>
      <c r="J974">
        <v>0</v>
      </c>
      <c r="K974" s="3" t="str">
        <f>VLOOKUP(J974,'LibSets constants'!$A$4:$B$1012,2,FALSE)</f>
        <v>DLC_BASE_GAME</v>
      </c>
      <c r="L974" s="3" t="str">
        <f>VLOOKUP(J974,'LibSets constants'!$A$4:$C$1012,3,FALSE)</f>
        <v>Included in base game</v>
      </c>
    </row>
    <row r="975" spans="1:12" x14ac:dyDescent="0.25">
      <c r="A975" s="5">
        <v>1433</v>
      </c>
      <c r="B975" s="5">
        <v>970</v>
      </c>
      <c r="C975" s="5">
        <v>1414</v>
      </c>
      <c r="D975" t="s">
        <v>3685</v>
      </c>
      <c r="E975" s="3" t="str">
        <f t="array" ref="E975">IF(OR(EXACT(A975,'ESO Dungeon constants'!$D$3:$D$987)),"X","")</f>
        <v/>
      </c>
      <c r="F975" s="3" t="str">
        <f t="shared" si="60"/>
        <v/>
      </c>
      <c r="G975" s="3" t="str">
        <f t="shared" si="61"/>
        <v>Telvanni Peninsula</v>
      </c>
      <c r="H975" s="17">
        <f t="shared" si="62"/>
        <v>1433</v>
      </c>
      <c r="I975" s="17">
        <f t="shared" si="63"/>
        <v>1414</v>
      </c>
      <c r="J975">
        <v>0</v>
      </c>
      <c r="K975" s="3" t="str">
        <f>VLOOKUP(J975,'LibSets constants'!$A$4:$B$1012,2,FALSE)</f>
        <v>DLC_BASE_GAME</v>
      </c>
      <c r="L975" s="3" t="str">
        <f>VLOOKUP(J975,'LibSets constants'!$A$4:$C$1012,3,FALSE)</f>
        <v>Included in base game</v>
      </c>
    </row>
    <row r="976" spans="1:12" x14ac:dyDescent="0.25">
      <c r="A976" s="5">
        <v>1434</v>
      </c>
      <c r="B976" s="5">
        <v>971</v>
      </c>
      <c r="C976" s="5">
        <v>1414</v>
      </c>
      <c r="D976" t="s">
        <v>3686</v>
      </c>
      <c r="E976" s="3" t="str">
        <f t="array" ref="E976">IF(OR(EXACT(A976,'ESO Dungeon constants'!$D$3:$D$987)),"X","")</f>
        <v/>
      </c>
      <c r="F976" s="3" t="str">
        <f t="shared" si="60"/>
        <v/>
      </c>
      <c r="G976" s="3" t="str">
        <f t="shared" si="61"/>
        <v>Telvanni Peninsula</v>
      </c>
      <c r="H976" s="17">
        <f t="shared" si="62"/>
        <v>1434</v>
      </c>
      <c r="I976" s="17">
        <f t="shared" si="63"/>
        <v>1414</v>
      </c>
      <c r="J976">
        <v>0</v>
      </c>
      <c r="K976" s="3" t="str">
        <f>VLOOKUP(J976,'LibSets constants'!$A$4:$B$1012,2,FALSE)</f>
        <v>DLC_BASE_GAME</v>
      </c>
      <c r="L976" s="3" t="str">
        <f>VLOOKUP(J976,'LibSets constants'!$A$4:$C$1012,3,FALSE)</f>
        <v>Included in base game</v>
      </c>
    </row>
    <row r="977" spans="1:12" x14ac:dyDescent="0.25">
      <c r="A977" s="5">
        <v>1435</v>
      </c>
      <c r="B977" s="5">
        <v>972</v>
      </c>
      <c r="C977" s="5">
        <v>1383</v>
      </c>
      <c r="D977" t="s">
        <v>3684</v>
      </c>
      <c r="E977" s="3" t="str">
        <f t="array" ref="E977">IF(OR(EXACT(A977,'ESO Dungeon constants'!$D$3:$D$987)),"X","")</f>
        <v/>
      </c>
      <c r="F977" s="3" t="str">
        <f t="shared" si="60"/>
        <v/>
      </c>
      <c r="G977" s="3" t="str">
        <f t="shared" si="61"/>
        <v>Galen</v>
      </c>
      <c r="H977" s="17">
        <f t="shared" si="62"/>
        <v>1435</v>
      </c>
      <c r="I977" s="17">
        <f t="shared" si="63"/>
        <v>1383</v>
      </c>
      <c r="J977">
        <v>0</v>
      </c>
      <c r="K977" s="3" t="str">
        <f>VLOOKUP(J977,'LibSets constants'!$A$4:$B$1012,2,FALSE)</f>
        <v>DLC_BASE_GAME</v>
      </c>
      <c r="L977" s="3" t="str">
        <f>VLOOKUP(J977,'LibSets constants'!$A$4:$C$1012,3,FALSE)</f>
        <v>Included in base game</v>
      </c>
    </row>
    <row r="978" spans="1:12" x14ac:dyDescent="0.25">
      <c r="A978" s="5">
        <v>1436</v>
      </c>
      <c r="B978" s="5">
        <v>973</v>
      </c>
      <c r="C978" s="5">
        <v>1413</v>
      </c>
      <c r="D978" t="s">
        <v>3921</v>
      </c>
      <c r="E978" s="3" t="str">
        <f t="array" ref="E978">IF(OR(EXACT(A978,'ESO Dungeon constants'!$D$3:$D$987)),"X","")</f>
        <v>X</v>
      </c>
      <c r="F978" s="3" t="str">
        <f t="shared" si="60"/>
        <v/>
      </c>
      <c r="G978" s="3" t="str">
        <f t="shared" si="61"/>
        <v>Apocrypha</v>
      </c>
      <c r="H978" s="17">
        <f t="shared" si="62"/>
        <v>1436</v>
      </c>
      <c r="I978" s="17">
        <f t="shared" si="63"/>
        <v>1413</v>
      </c>
      <c r="J978">
        <v>0</v>
      </c>
      <c r="K978" s="3" t="str">
        <f>VLOOKUP(J978,'LibSets constants'!$A$4:$B$1012,2,FALSE)</f>
        <v>DLC_BASE_GAME</v>
      </c>
      <c r="L978" s="3" t="str">
        <f>VLOOKUP(J978,'LibSets constants'!$A$4:$C$1012,3,FALSE)</f>
        <v>Included in base game</v>
      </c>
    </row>
    <row r="979" spans="1:12" x14ac:dyDescent="0.25">
      <c r="A979" s="5">
        <v>1437</v>
      </c>
      <c r="B979" s="5">
        <v>974</v>
      </c>
      <c r="C979" s="5">
        <v>981</v>
      </c>
      <c r="D979" t="s">
        <v>3780</v>
      </c>
      <c r="E979" s="3" t="str">
        <f t="array" ref="E979">IF(OR(EXACT(A979,'ESO Dungeon constants'!$D$3:$D$987)),"X","")</f>
        <v/>
      </c>
      <c r="F979" s="3" t="str">
        <f t="shared" si="60"/>
        <v/>
      </c>
      <c r="G979" s="3" t="str">
        <f t="shared" si="61"/>
        <v>The Brass Fortress</v>
      </c>
      <c r="H979" s="17">
        <f t="shared" si="62"/>
        <v>1437</v>
      </c>
      <c r="I979" s="17">
        <f t="shared" si="63"/>
        <v>981</v>
      </c>
      <c r="J979">
        <v>0</v>
      </c>
      <c r="K979" s="3" t="str">
        <f>VLOOKUP(J979,'LibSets constants'!$A$4:$B$1012,2,FALSE)</f>
        <v>DLC_BASE_GAME</v>
      </c>
      <c r="L979" s="3" t="str">
        <f>VLOOKUP(J979,'LibSets constants'!$A$4:$C$1012,3,FALSE)</f>
        <v>Included in base game</v>
      </c>
    </row>
    <row r="980" spans="1:12" x14ac:dyDescent="0.25">
      <c r="A980" s="5">
        <v>1438</v>
      </c>
      <c r="B980" s="5">
        <v>975</v>
      </c>
      <c r="C980" s="5">
        <v>104</v>
      </c>
      <c r="D980" t="s">
        <v>3920</v>
      </c>
      <c r="E980" s="3" t="str">
        <f t="array" ref="E980">IF(OR(EXACT(A980,'ESO Dungeon constants'!$D$3:$D$987)),"X","")</f>
        <v/>
      </c>
      <c r="F980" s="3" t="str">
        <f t="shared" si="60"/>
        <v/>
      </c>
      <c r="G980" s="3" t="str">
        <f t="shared" si="61"/>
        <v>Alik'r Desert</v>
      </c>
      <c r="H980" s="17">
        <f t="shared" si="62"/>
        <v>1438</v>
      </c>
      <c r="I980" s="17">
        <f t="shared" si="63"/>
        <v>104</v>
      </c>
      <c r="J980">
        <v>0</v>
      </c>
      <c r="K980" s="3" t="str">
        <f>VLOOKUP(J980,'LibSets constants'!$A$4:$B$1012,2,FALSE)</f>
        <v>DLC_BASE_GAME</v>
      </c>
      <c r="L980" s="3" t="str">
        <f>VLOOKUP(J980,'LibSets constants'!$A$4:$C$1012,3,FALSE)</f>
        <v>Included in base game</v>
      </c>
    </row>
    <row r="981" spans="1:12" x14ac:dyDescent="0.25">
      <c r="A981" s="5">
        <v>1439</v>
      </c>
      <c r="B981" s="5">
        <v>976</v>
      </c>
      <c r="C981" s="5">
        <v>849</v>
      </c>
      <c r="D981" t="s">
        <v>3919</v>
      </c>
      <c r="E981" s="3" t="str">
        <f t="array" ref="E981">IF(OR(EXACT(A981,'ESO Dungeon constants'!$D$3:$D$987)),"X","")</f>
        <v/>
      </c>
      <c r="F981" s="3" t="str">
        <f t="shared" si="60"/>
        <v/>
      </c>
      <c r="G981" s="3" t="str">
        <f t="shared" si="61"/>
        <v>Vvardenfell</v>
      </c>
      <c r="H981" s="17">
        <f t="shared" si="62"/>
        <v>1439</v>
      </c>
      <c r="I981" s="17">
        <f t="shared" si="63"/>
        <v>849</v>
      </c>
      <c r="J981">
        <v>0</v>
      </c>
      <c r="K981" s="3" t="str">
        <f>VLOOKUP(J981,'LibSets constants'!$A$4:$B$1012,2,FALSE)</f>
        <v>DLC_BASE_GAME</v>
      </c>
      <c r="L981" s="3" t="str">
        <f>VLOOKUP(J981,'LibSets constants'!$A$4:$C$1012,3,FALSE)</f>
        <v>Included in base game</v>
      </c>
    </row>
    <row r="982" spans="1:12" x14ac:dyDescent="0.25">
      <c r="A982" s="5">
        <v>1468</v>
      </c>
      <c r="B982" s="5">
        <v>977</v>
      </c>
      <c r="C982" s="5">
        <v>1414</v>
      </c>
      <c r="D982" t="s">
        <v>3779</v>
      </c>
      <c r="E982" s="3" t="str">
        <f t="array" ref="E982">IF(OR(EXACT(A982,'ESO Dungeon constants'!$D$3:$D$987)),"X","")</f>
        <v/>
      </c>
      <c r="F982" s="3" t="str">
        <f t="shared" si="60"/>
        <v/>
      </c>
      <c r="G982" s="3" t="str">
        <f t="shared" si="61"/>
        <v>Telvanni Peninsula</v>
      </c>
      <c r="H982" s="17">
        <f t="shared" si="62"/>
        <v>1468</v>
      </c>
      <c r="I982" s="17">
        <f t="shared" si="63"/>
        <v>1414</v>
      </c>
      <c r="J982">
        <v>0</v>
      </c>
      <c r="K982" s="3" t="str">
        <f>VLOOKUP(J982,'LibSets constants'!$A$4:$B$1012,2,FALSE)</f>
        <v>DLC_BASE_GAME</v>
      </c>
      <c r="L982" s="3" t="str">
        <f>VLOOKUP(J982,'LibSets constants'!$A$4:$C$1012,3,FALSE)</f>
        <v>Included in base game</v>
      </c>
    </row>
    <row r="983" spans="1:12" x14ac:dyDescent="0.25">
      <c r="A983" s="5">
        <v>1470</v>
      </c>
      <c r="B983" s="5">
        <v>978</v>
      </c>
      <c r="C983" s="5">
        <v>1207</v>
      </c>
      <c r="D983" t="s">
        <v>3895</v>
      </c>
      <c r="E983" s="3" t="str">
        <f t="array" ref="E983">IF(OR(EXACT(A983,'ESO Dungeon constants'!$D$3:$D$987)),"X","")</f>
        <v>X</v>
      </c>
      <c r="F983" s="3" t="str">
        <f t="shared" si="60"/>
        <v/>
      </c>
      <c r="G983" s="3" t="str">
        <f t="shared" si="61"/>
        <v>The Reach</v>
      </c>
      <c r="H983" s="17">
        <f t="shared" si="62"/>
        <v>1470</v>
      </c>
      <c r="I983" s="17">
        <f t="shared" si="63"/>
        <v>1207</v>
      </c>
      <c r="J983">
        <v>0</v>
      </c>
      <c r="K983" s="3" t="str">
        <f>VLOOKUP(J983,'LibSets constants'!$A$4:$B$1012,2,FALSE)</f>
        <v>DLC_BASE_GAME</v>
      </c>
      <c r="L983" s="3" t="str">
        <f>VLOOKUP(J983,'LibSets constants'!$A$4:$C$1012,3,FALSE)</f>
        <v>Included in base game</v>
      </c>
    </row>
    <row r="984" spans="1:12" x14ac:dyDescent="0.25">
      <c r="A984" s="5">
        <v>1471</v>
      </c>
      <c r="B984" s="5">
        <v>979</v>
      </c>
      <c r="C984" s="5">
        <v>684</v>
      </c>
      <c r="D984" t="s">
        <v>3896</v>
      </c>
      <c r="E984" s="3" t="str">
        <f t="array" ref="E984">IF(OR(EXACT(A984,'ESO Dungeon constants'!$D$3:$D$987)),"X","")</f>
        <v>X</v>
      </c>
      <c r="F984" s="3" t="str">
        <f t="shared" si="60"/>
        <v/>
      </c>
      <c r="G984" s="3" t="str">
        <f t="shared" si="61"/>
        <v>Wrothgar</v>
      </c>
      <c r="H984" s="17">
        <f t="shared" si="62"/>
        <v>1471</v>
      </c>
      <c r="I984" s="17">
        <f t="shared" si="63"/>
        <v>684</v>
      </c>
      <c r="J984">
        <v>0</v>
      </c>
      <c r="K984" s="3" t="str">
        <f>VLOOKUP(J984,'LibSets constants'!$A$4:$B$1012,2,FALSE)</f>
        <v>DLC_BASE_GAME</v>
      </c>
      <c r="L984" s="3" t="str">
        <f>VLOOKUP(J984,'LibSets constants'!$A$4:$C$1012,3,FALSE)</f>
        <v>Included in base game</v>
      </c>
    </row>
    <row r="985" spans="1:12" x14ac:dyDescent="0.25">
      <c r="A985" s="5">
        <v>1472</v>
      </c>
      <c r="B985" s="5">
        <v>980</v>
      </c>
      <c r="C985" s="5">
        <v>1383</v>
      </c>
      <c r="D985" t="s">
        <v>3781</v>
      </c>
      <c r="E985" s="3" t="str">
        <f t="array" ref="E985">IF(OR(EXACT(A985,'ESO Dungeon constants'!$D$3:$D$987)),"X","")</f>
        <v/>
      </c>
      <c r="F985" s="3" t="str">
        <f t="shared" si="60"/>
        <v/>
      </c>
      <c r="G985" s="3" t="str">
        <f t="shared" si="61"/>
        <v>Galen</v>
      </c>
      <c r="H985" s="17">
        <f t="shared" si="62"/>
        <v>1472</v>
      </c>
      <c r="I985" s="17">
        <f t="shared" si="63"/>
        <v>1383</v>
      </c>
      <c r="J985">
        <v>0</v>
      </c>
      <c r="K985" s="3" t="str">
        <f>VLOOKUP(J985,'LibSets constants'!$A$4:$B$1012,2,FALSE)</f>
        <v>DLC_BASE_GAME</v>
      </c>
      <c r="L985" s="3" t="str">
        <f>VLOOKUP(J985,'LibSets constants'!$A$4:$C$1012,3,FALSE)</f>
        <v>Included in base game</v>
      </c>
    </row>
    <row r="986" spans="1:12" x14ac:dyDescent="0.25">
      <c r="A986" s="5">
        <v>1473</v>
      </c>
      <c r="B986" s="5">
        <v>981</v>
      </c>
      <c r="C986" s="5">
        <v>1413</v>
      </c>
      <c r="D986" t="s">
        <v>3782</v>
      </c>
      <c r="E986" s="3" t="str">
        <f t="array" ref="E986">IF(OR(EXACT(A986,'ESO Dungeon constants'!$D$3:$D$987)),"X","")</f>
        <v/>
      </c>
      <c r="F986" s="3" t="str">
        <f t="shared" si="60"/>
        <v/>
      </c>
      <c r="G986" s="3" t="str">
        <f t="shared" si="61"/>
        <v>Apocrypha</v>
      </c>
      <c r="H986" s="17">
        <f t="shared" si="62"/>
        <v>1473</v>
      </c>
      <c r="I986" s="17">
        <f t="shared" si="63"/>
        <v>1413</v>
      </c>
      <c r="J986">
        <v>0</v>
      </c>
      <c r="K986" s="3" t="str">
        <f>VLOOKUP(J986,'LibSets constants'!$A$4:$B$1012,2,FALSE)</f>
        <v>DLC_BASE_GAME</v>
      </c>
      <c r="L986" s="3" t="str">
        <f>VLOOKUP(J986,'LibSets constants'!$A$4:$C$1012,3,FALSE)</f>
        <v>Included in base game</v>
      </c>
    </row>
    <row r="987" spans="1:12" x14ac:dyDescent="0.25">
      <c r="A987" s="5">
        <v>1479</v>
      </c>
      <c r="B987" s="5">
        <v>982</v>
      </c>
      <c r="C987" s="5">
        <v>1261</v>
      </c>
      <c r="D987" t="s">
        <v>3918</v>
      </c>
      <c r="E987" s="3" t="str">
        <f t="array" ref="E987">IF(OR(EXACT(A987,'ESO Dungeon constants'!$D$3:$D$987)),"X","")</f>
        <v/>
      </c>
      <c r="F987" s="3" t="str">
        <f t="shared" si="60"/>
        <v/>
      </c>
      <c r="G987" s="3" t="str">
        <f t="shared" si="61"/>
        <v>Blackwood</v>
      </c>
      <c r="H987" s="17">
        <f t="shared" si="62"/>
        <v>1479</v>
      </c>
      <c r="I987" s="17">
        <f t="shared" si="63"/>
        <v>1261</v>
      </c>
      <c r="J987">
        <v>0</v>
      </c>
      <c r="K987" s="3" t="str">
        <f>VLOOKUP(J987,'LibSets constants'!$A$4:$B$1012,2,FALSE)</f>
        <v>DLC_BASE_GAME</v>
      </c>
      <c r="L987" s="3" t="str">
        <f>VLOOKUP(J987,'LibSets constants'!$A$4:$C$1012,3,FALSE)</f>
        <v>Included in base game</v>
      </c>
    </row>
  </sheetData>
  <autoFilter ref="A2:L987" xr:uid="{00000000-0009-0000-0000-000005000000}">
    <sortState xmlns:xlrd2="http://schemas.microsoft.com/office/spreadsheetml/2017/richdata2" ref="A3:L987">
      <sortCondition ref="A2:A983"/>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4"/>
  <sheetViews>
    <sheetView workbookViewId="0">
      <pane xSplit="5" ySplit="2" topLeftCell="H3" activePane="bottomRight" state="frozen"/>
      <selection pane="topRight" activeCell="F1" sqref="F1"/>
      <selection pane="bottomLeft" activeCell="A2" sqref="A2"/>
      <selection pane="bottomRight" activeCell="A2" sqref="A2"/>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18" t="s">
        <v>3929</v>
      </c>
      <c r="B1" s="118"/>
      <c r="C1" s="118"/>
      <c r="D1" s="118"/>
      <c r="E1" s="118"/>
    </row>
    <row r="2" spans="1:11" s="1" customFormat="1" x14ac:dyDescent="0.25">
      <c r="A2" s="1" t="s">
        <v>94</v>
      </c>
      <c r="B2" s="1" t="s">
        <v>101</v>
      </c>
      <c r="C2" s="1" t="s">
        <v>98</v>
      </c>
      <c r="D2" s="1" t="s">
        <v>99</v>
      </c>
      <c r="E2" s="1" t="s">
        <v>725</v>
      </c>
      <c r="F2" s="1" t="s">
        <v>1372</v>
      </c>
      <c r="G2" s="1" t="s">
        <v>1371</v>
      </c>
      <c r="H2" s="1" t="s">
        <v>1417</v>
      </c>
      <c r="I2" s="1" t="s">
        <v>1506</v>
      </c>
      <c r="J2" s="1" t="s">
        <v>1418</v>
      </c>
      <c r="K2" s="102" t="s">
        <v>3872</v>
      </c>
    </row>
    <row r="3" spans="1:11" x14ac:dyDescent="0.25">
      <c r="A3">
        <v>308</v>
      </c>
      <c r="B3">
        <v>120</v>
      </c>
      <c r="C3">
        <v>104</v>
      </c>
      <c r="D3" t="s">
        <v>206</v>
      </c>
      <c r="E3" t="s">
        <v>112</v>
      </c>
      <c r="F3">
        <v>308</v>
      </c>
      <c r="G3">
        <v>104</v>
      </c>
      <c r="H3">
        <v>0</v>
      </c>
      <c r="I3" t="s">
        <v>1439</v>
      </c>
      <c r="J3" t="s">
        <v>84</v>
      </c>
      <c r="K3" s="21" t="str">
        <f>"["&amp;A3&amp;"]={parentZoneId="&amp;C3&amp;", DLCID="&amp;I3&amp;"},   --"&amp;D3</f>
        <v>[308]={parentZoneId=104, DLCID=DLC_BASE_GAME},   --Lost City of the Na-Totambu</v>
      </c>
    </row>
    <row r="4" spans="1:11" x14ac:dyDescent="0.25">
      <c r="A4">
        <v>486</v>
      </c>
      <c r="B4">
        <v>267</v>
      </c>
      <c r="C4">
        <v>381</v>
      </c>
      <c r="D4" t="s">
        <v>350</v>
      </c>
      <c r="E4" t="s">
        <v>262</v>
      </c>
      <c r="F4">
        <v>486</v>
      </c>
      <c r="G4">
        <v>381</v>
      </c>
      <c r="H4">
        <v>0</v>
      </c>
      <c r="I4" t="s">
        <v>1439</v>
      </c>
      <c r="J4" t="s">
        <v>84</v>
      </c>
      <c r="K4" s="21" t="str">
        <f t="shared" ref="K4:K34" si="0">"["&amp;A4&amp;"]={parentZoneId="&amp;C4&amp;", DLCID="&amp;I4&amp;"},   --"&amp;D4</f>
        <v>[486]={parentZoneId=381, DLCID=DLC_BASE_GAME},   --Toothmaul Gully</v>
      </c>
    </row>
    <row r="5" spans="1:11" x14ac:dyDescent="0.25">
      <c r="A5">
        <v>169</v>
      </c>
      <c r="B5">
        <v>35</v>
      </c>
      <c r="C5">
        <v>92</v>
      </c>
      <c r="D5" t="s">
        <v>124</v>
      </c>
      <c r="E5" t="s">
        <v>109</v>
      </c>
      <c r="F5">
        <v>169</v>
      </c>
      <c r="G5">
        <v>92</v>
      </c>
      <c r="H5">
        <v>0</v>
      </c>
      <c r="I5" t="s">
        <v>1439</v>
      </c>
      <c r="J5" t="s">
        <v>84</v>
      </c>
      <c r="K5" s="21" t="str">
        <f t="shared" si="0"/>
        <v>[169]={parentZoneId=92, DLCID=DLC_BASE_GAME},   --Razak's Wheel</v>
      </c>
    </row>
    <row r="6" spans="1:11" x14ac:dyDescent="0.25">
      <c r="A6">
        <v>557</v>
      </c>
      <c r="B6">
        <v>323</v>
      </c>
      <c r="C6">
        <v>347</v>
      </c>
      <c r="D6" t="s">
        <v>402</v>
      </c>
      <c r="E6" t="s">
        <v>239</v>
      </c>
      <c r="F6">
        <v>557</v>
      </c>
      <c r="G6">
        <v>347</v>
      </c>
      <c r="H6">
        <v>0</v>
      </c>
      <c r="I6" t="s">
        <v>1439</v>
      </c>
      <c r="J6" t="s">
        <v>84</v>
      </c>
      <c r="K6" s="21" t="str">
        <f t="shared" si="0"/>
        <v>[557]={parentZoneId=347, DLCID=DLC_BASE_GAME},   --Village of the Lost</v>
      </c>
    </row>
    <row r="7" spans="1:11" x14ac:dyDescent="0.25">
      <c r="A7">
        <v>306</v>
      </c>
      <c r="B7">
        <v>119</v>
      </c>
      <c r="C7">
        <v>57</v>
      </c>
      <c r="D7" t="s">
        <v>205</v>
      </c>
      <c r="E7" t="s">
        <v>107</v>
      </c>
      <c r="F7">
        <v>306</v>
      </c>
      <c r="G7">
        <v>57</v>
      </c>
      <c r="H7">
        <v>0</v>
      </c>
      <c r="I7" t="s">
        <v>1439</v>
      </c>
      <c r="J7" t="s">
        <v>84</v>
      </c>
      <c r="K7" s="21" t="str">
        <f t="shared" si="0"/>
        <v>[306]={parentZoneId=57, DLCID=DLC_BASE_GAME},   --Forgotten Crypts</v>
      </c>
    </row>
    <row r="8" spans="1:11" x14ac:dyDescent="0.25">
      <c r="A8">
        <v>339</v>
      </c>
      <c r="B8">
        <v>151</v>
      </c>
      <c r="C8">
        <v>101</v>
      </c>
      <c r="D8" t="s">
        <v>236</v>
      </c>
      <c r="E8" t="s">
        <v>110</v>
      </c>
      <c r="F8">
        <v>339</v>
      </c>
      <c r="G8">
        <v>101</v>
      </c>
      <c r="H8">
        <v>0</v>
      </c>
      <c r="I8" t="s">
        <v>1439</v>
      </c>
      <c r="J8" t="s">
        <v>84</v>
      </c>
      <c r="K8" s="21" t="str">
        <f t="shared" si="0"/>
        <v>[339]={parentZoneId=101, DLCID=DLC_BASE_GAME},   --Hall of the Dead</v>
      </c>
    </row>
    <row r="9" spans="1:11" x14ac:dyDescent="0.25">
      <c r="A9">
        <v>284</v>
      </c>
      <c r="B9">
        <v>112</v>
      </c>
      <c r="C9">
        <v>3</v>
      </c>
      <c r="D9" t="s">
        <v>198</v>
      </c>
      <c r="E9" t="s">
        <v>103</v>
      </c>
      <c r="F9">
        <v>284</v>
      </c>
      <c r="G9">
        <v>3</v>
      </c>
      <c r="H9">
        <v>0</v>
      </c>
      <c r="I9" t="s">
        <v>1439</v>
      </c>
      <c r="J9" t="s">
        <v>84</v>
      </c>
      <c r="K9" s="21" t="str">
        <f t="shared" si="0"/>
        <v>[284]={parentZoneId=3, DLCID=DLC_BASE_GAME},   --Bad Man's Hallows</v>
      </c>
    </row>
    <row r="10" spans="1:11" x14ac:dyDescent="0.25">
      <c r="A10">
        <v>124</v>
      </c>
      <c r="B10">
        <v>20</v>
      </c>
      <c r="C10">
        <v>383</v>
      </c>
      <c r="D10" t="s">
        <v>115</v>
      </c>
      <c r="E10" t="s">
        <v>264</v>
      </c>
      <c r="F10">
        <v>124</v>
      </c>
      <c r="G10">
        <v>383</v>
      </c>
      <c r="H10">
        <v>0</v>
      </c>
      <c r="I10" t="s">
        <v>1439</v>
      </c>
      <c r="J10" t="s">
        <v>84</v>
      </c>
      <c r="K10" s="21" t="str">
        <f t="shared" si="0"/>
        <v>[124]={parentZoneId=383, DLCID=DLC_BASE_GAME},   --Root Sunder Ruins</v>
      </c>
    </row>
    <row r="11" spans="1:11" x14ac:dyDescent="0.25">
      <c r="A11">
        <v>137</v>
      </c>
      <c r="B11">
        <v>25</v>
      </c>
      <c r="C11">
        <v>108</v>
      </c>
      <c r="D11" t="s">
        <v>117</v>
      </c>
      <c r="E11" t="s">
        <v>113</v>
      </c>
      <c r="F11">
        <v>137</v>
      </c>
      <c r="G11">
        <v>108</v>
      </c>
      <c r="H11">
        <v>0</v>
      </c>
      <c r="I11" t="s">
        <v>1439</v>
      </c>
      <c r="J11" t="s">
        <v>84</v>
      </c>
      <c r="K11" s="21" t="str">
        <f t="shared" si="0"/>
        <v>[137]={parentZoneId=108, DLCID=DLC_BASE_GAME},   --Rulanyil's Fall</v>
      </c>
    </row>
    <row r="12" spans="1:11" x14ac:dyDescent="0.25">
      <c r="A12">
        <v>138</v>
      </c>
      <c r="B12">
        <v>26</v>
      </c>
      <c r="C12">
        <v>58</v>
      </c>
      <c r="D12" t="s">
        <v>118</v>
      </c>
      <c r="E12" t="s">
        <v>108</v>
      </c>
      <c r="F12">
        <v>138</v>
      </c>
      <c r="G12">
        <v>58</v>
      </c>
      <c r="H12">
        <v>0</v>
      </c>
      <c r="I12" t="s">
        <v>1439</v>
      </c>
      <c r="J12" t="s">
        <v>84</v>
      </c>
      <c r="K12" s="21" t="str">
        <f t="shared" si="0"/>
        <v>[138]={parentZoneId=58, DLCID=DLC_BASE_GAME},   --Crimson Cove</v>
      </c>
    </row>
    <row r="13" spans="1:11" x14ac:dyDescent="0.25">
      <c r="A13">
        <v>487</v>
      </c>
      <c r="B13">
        <v>268</v>
      </c>
      <c r="C13">
        <v>382</v>
      </c>
      <c r="D13" t="s">
        <v>351</v>
      </c>
      <c r="E13" t="s">
        <v>263</v>
      </c>
      <c r="F13">
        <v>487</v>
      </c>
      <c r="G13">
        <v>382</v>
      </c>
      <c r="H13">
        <v>0</v>
      </c>
      <c r="I13" t="s">
        <v>1439</v>
      </c>
      <c r="J13" t="s">
        <v>84</v>
      </c>
      <c r="K13" s="21" t="str">
        <f t="shared" si="0"/>
        <v>[487]={parentZoneId=382, DLCID=DLC_BASE_GAME},   --The Vile Manse</v>
      </c>
    </row>
    <row r="14" spans="1:11" x14ac:dyDescent="0.25">
      <c r="A14">
        <v>162</v>
      </c>
      <c r="B14">
        <v>32</v>
      </c>
      <c r="C14">
        <v>20</v>
      </c>
      <c r="D14" t="s">
        <v>121</v>
      </c>
      <c r="E14" t="s">
        <v>105</v>
      </c>
      <c r="F14">
        <v>162</v>
      </c>
      <c r="G14">
        <v>20</v>
      </c>
      <c r="H14">
        <v>0</v>
      </c>
      <c r="I14" t="s">
        <v>1439</v>
      </c>
      <c r="J14" t="s">
        <v>84</v>
      </c>
      <c r="K14" s="21" t="str">
        <f t="shared" si="0"/>
        <v>[162]={parentZoneId=20, DLCID=DLC_BASE_GAME},   --Obsidian Scar</v>
      </c>
    </row>
    <row r="15" spans="1:11" x14ac:dyDescent="0.25">
      <c r="A15">
        <v>134</v>
      </c>
      <c r="B15">
        <v>24</v>
      </c>
      <c r="C15">
        <v>117</v>
      </c>
      <c r="D15" t="s">
        <v>116</v>
      </c>
      <c r="E15" t="s">
        <v>114</v>
      </c>
      <c r="F15">
        <v>134</v>
      </c>
      <c r="G15">
        <v>117</v>
      </c>
      <c r="H15">
        <v>0</v>
      </c>
      <c r="I15" t="s">
        <v>1439</v>
      </c>
      <c r="J15" t="s">
        <v>84</v>
      </c>
      <c r="K15" s="21" t="str">
        <f t="shared" si="0"/>
        <v>[134]={parentZoneId=117, DLCID=DLC_BASE_GAME},   --Sanguine's Demesne</v>
      </c>
    </row>
    <row r="16" spans="1:11" x14ac:dyDescent="0.25">
      <c r="A16">
        <v>216</v>
      </c>
      <c r="B16">
        <v>56</v>
      </c>
      <c r="C16">
        <v>41</v>
      </c>
      <c r="D16" t="s">
        <v>144</v>
      </c>
      <c r="E16" t="s">
        <v>106</v>
      </c>
      <c r="F16">
        <v>216</v>
      </c>
      <c r="G16">
        <v>41</v>
      </c>
      <c r="H16">
        <v>0</v>
      </c>
      <c r="I16" t="s">
        <v>1439</v>
      </c>
      <c r="J16" t="s">
        <v>84</v>
      </c>
      <c r="K16" s="21" t="str">
        <f t="shared" si="0"/>
        <v>[216]={parentZoneId=41, DLCID=DLC_BASE_GAME},   --Crow's Wood</v>
      </c>
    </row>
    <row r="17" spans="1:11" x14ac:dyDescent="0.25">
      <c r="A17">
        <v>142</v>
      </c>
      <c r="B17">
        <v>27</v>
      </c>
      <c r="C17">
        <v>19</v>
      </c>
      <c r="D17" t="s">
        <v>119</v>
      </c>
      <c r="E17" t="s">
        <v>104</v>
      </c>
      <c r="F17">
        <v>142</v>
      </c>
      <c r="G17">
        <v>19</v>
      </c>
      <c r="H17">
        <v>0</v>
      </c>
      <c r="I17" t="s">
        <v>1439</v>
      </c>
      <c r="J17" t="s">
        <v>84</v>
      </c>
      <c r="K17" s="21" t="str">
        <f t="shared" si="0"/>
        <v>[142]={parentZoneId=19, DLCID=DLC_BASE_GAME},   --Bonesnap Ruins</v>
      </c>
    </row>
    <row r="18" spans="1:11" x14ac:dyDescent="0.25">
      <c r="A18">
        <v>341</v>
      </c>
      <c r="B18">
        <v>152</v>
      </c>
      <c r="C18">
        <v>103</v>
      </c>
      <c r="D18" t="s">
        <v>237</v>
      </c>
      <c r="E18" t="s">
        <v>111</v>
      </c>
      <c r="F18">
        <v>341</v>
      </c>
      <c r="G18">
        <v>103</v>
      </c>
      <c r="H18">
        <v>0</v>
      </c>
      <c r="I18" t="s">
        <v>1439</v>
      </c>
      <c r="J18" t="s">
        <v>84</v>
      </c>
      <c r="K18" s="21" t="str">
        <f t="shared" si="0"/>
        <v>[341]={parentZoneId=103, DLCID=DLC_BASE_GAME},   --The Lion's Den</v>
      </c>
    </row>
    <row r="19" spans="1:11" x14ac:dyDescent="0.25">
      <c r="A19">
        <v>706</v>
      </c>
      <c r="B19">
        <v>396</v>
      </c>
      <c r="C19">
        <v>684</v>
      </c>
      <c r="D19" t="s">
        <v>466</v>
      </c>
      <c r="E19" t="s">
        <v>450</v>
      </c>
      <c r="F19">
        <v>706</v>
      </c>
      <c r="G19">
        <v>684</v>
      </c>
      <c r="H19">
        <v>2</v>
      </c>
      <c r="I19" t="s">
        <v>1441</v>
      </c>
      <c r="J19" t="s">
        <v>726</v>
      </c>
      <c r="K19" s="21" t="str">
        <f t="shared" si="0"/>
        <v>[706]={parentZoneId=684, DLCID=DLC_ORSINIUM},   --Old Orsinium</v>
      </c>
    </row>
    <row r="20" spans="1:11" x14ac:dyDescent="0.25">
      <c r="A20">
        <v>705</v>
      </c>
      <c r="B20">
        <v>395</v>
      </c>
      <c r="C20">
        <v>684</v>
      </c>
      <c r="D20" t="s">
        <v>465</v>
      </c>
      <c r="E20" t="s">
        <v>450</v>
      </c>
      <c r="F20">
        <v>705</v>
      </c>
      <c r="G20">
        <v>684</v>
      </c>
      <c r="H20">
        <v>2</v>
      </c>
      <c r="I20" t="s">
        <v>1441</v>
      </c>
      <c r="J20" t="s">
        <v>726</v>
      </c>
      <c r="K20" s="21" t="str">
        <f t="shared" si="0"/>
        <v>[705]={parentZoneId=684, DLCID=DLC_ORSINIUM},   --Rkindaleft</v>
      </c>
    </row>
    <row r="21" spans="1:11" x14ac:dyDescent="0.25">
      <c r="A21">
        <v>919</v>
      </c>
      <c r="B21">
        <v>530</v>
      </c>
      <c r="C21">
        <v>849</v>
      </c>
      <c r="D21" t="s">
        <v>591</v>
      </c>
      <c r="E21" t="s">
        <v>530</v>
      </c>
      <c r="F21">
        <v>919</v>
      </c>
      <c r="G21">
        <v>849</v>
      </c>
      <c r="H21">
        <v>6</v>
      </c>
      <c r="I21" t="s">
        <v>1445</v>
      </c>
      <c r="J21" t="s">
        <v>727</v>
      </c>
      <c r="K21" s="21" t="str">
        <f t="shared" si="0"/>
        <v>[919]={parentZoneId=849, DLCID=DLC_MORROWIND},   --Forgotten Wastes</v>
      </c>
    </row>
    <row r="22" spans="1:11" x14ac:dyDescent="0.25">
      <c r="A22">
        <v>918</v>
      </c>
      <c r="B22">
        <v>529</v>
      </c>
      <c r="C22">
        <v>849</v>
      </c>
      <c r="D22" t="s">
        <v>590</v>
      </c>
      <c r="E22" t="s">
        <v>530</v>
      </c>
      <c r="F22">
        <v>918</v>
      </c>
      <c r="G22">
        <v>849</v>
      </c>
      <c r="H22">
        <v>6</v>
      </c>
      <c r="I22" t="s">
        <v>1445</v>
      </c>
      <c r="J22" t="s">
        <v>727</v>
      </c>
      <c r="K22" s="21" t="str">
        <f t="shared" si="0"/>
        <v>[918]={parentZoneId=849, DLCID=DLC_MORROWIND},   --Nchuleftingth</v>
      </c>
    </row>
    <row r="23" spans="1:11" x14ac:dyDescent="0.25">
      <c r="A23">
        <v>1020</v>
      </c>
      <c r="B23">
        <v>625</v>
      </c>
      <c r="C23">
        <v>1011</v>
      </c>
      <c r="D23" t="s">
        <v>672</v>
      </c>
      <c r="E23" t="s">
        <v>79</v>
      </c>
      <c r="F23">
        <v>1020</v>
      </c>
      <c r="G23">
        <v>1011</v>
      </c>
      <c r="H23">
        <v>10</v>
      </c>
      <c r="I23" t="s">
        <v>1449</v>
      </c>
      <c r="J23" t="s">
        <v>79</v>
      </c>
      <c r="K23" s="21" t="str">
        <f t="shared" si="0"/>
        <v>[1020]={parentZoneId=1011, DLCID=DLC_SUMMERSET},   --Karnwasten</v>
      </c>
    </row>
    <row r="24" spans="1:11" x14ac:dyDescent="0.25">
      <c r="A24">
        <v>1021</v>
      </c>
      <c r="B24">
        <v>626</v>
      </c>
      <c r="C24">
        <v>1011</v>
      </c>
      <c r="D24" t="s">
        <v>673</v>
      </c>
      <c r="E24" t="s">
        <v>79</v>
      </c>
      <c r="F24">
        <v>1021</v>
      </c>
      <c r="G24">
        <v>1011</v>
      </c>
      <c r="H24">
        <v>10</v>
      </c>
      <c r="I24" t="s">
        <v>1449</v>
      </c>
      <c r="J24" t="s">
        <v>79</v>
      </c>
      <c r="K24" s="21" t="str">
        <f t="shared" si="0"/>
        <v>[1021]={parentZoneId=1011, DLCID=DLC_SUMMERSET},   --Sunhold</v>
      </c>
    </row>
    <row r="25" spans="1:11" x14ac:dyDescent="0.25">
      <c r="A25">
        <v>1090</v>
      </c>
      <c r="B25">
        <v>684</v>
      </c>
      <c r="C25">
        <v>1086</v>
      </c>
      <c r="D25" t="s">
        <v>1388</v>
      </c>
      <c r="E25" t="s">
        <v>1386</v>
      </c>
      <c r="F25">
        <v>1090</v>
      </c>
      <c r="G25">
        <v>1086</v>
      </c>
      <c r="H25">
        <v>14</v>
      </c>
      <c r="I25" t="s">
        <v>1453</v>
      </c>
      <c r="J25" t="s">
        <v>728</v>
      </c>
      <c r="K25" s="21" t="str">
        <f t="shared" si="0"/>
        <v>[1090]={parentZoneId=1086, DLCID=DLC_ELSWEYR},   --Orcrest</v>
      </c>
    </row>
    <row r="26" spans="1:11" x14ac:dyDescent="0.25">
      <c r="A26">
        <v>1089</v>
      </c>
      <c r="B26">
        <v>683</v>
      </c>
      <c r="C26">
        <v>1086</v>
      </c>
      <c r="D26" t="s">
        <v>1387</v>
      </c>
      <c r="E26" t="s">
        <v>1386</v>
      </c>
      <c r="F26">
        <v>1089</v>
      </c>
      <c r="G26">
        <v>1086</v>
      </c>
      <c r="H26">
        <v>14</v>
      </c>
      <c r="I26" t="s">
        <v>1453</v>
      </c>
      <c r="J26" t="s">
        <v>728</v>
      </c>
      <c r="K26" s="21" t="str">
        <f t="shared" si="0"/>
        <v>[1089]={parentZoneId=1086, DLCID=DLC_ELSWEYR},   --Rimmen Necropolis</v>
      </c>
    </row>
    <row r="27" spans="1:11" x14ac:dyDescent="0.25">
      <c r="A27">
        <v>1187</v>
      </c>
      <c r="B27">
        <v>767</v>
      </c>
      <c r="C27">
        <v>1161</v>
      </c>
      <c r="D27" t="s">
        <v>1700</v>
      </c>
      <c r="E27" t="s">
        <v>1714</v>
      </c>
      <c r="F27">
        <v>1187</v>
      </c>
      <c r="G27">
        <v>1161</v>
      </c>
      <c r="H27">
        <v>18</v>
      </c>
      <c r="I27" t="s">
        <v>1606</v>
      </c>
      <c r="J27" t="s">
        <v>1607</v>
      </c>
      <c r="K27" s="21" t="str">
        <f t="shared" si="0"/>
        <v>[1187]={parentZoneId=1161, DLCID=DLC_GREYMOOR},   --Nchuthnkarst</v>
      </c>
    </row>
    <row r="28" spans="1:11" x14ac:dyDescent="0.25">
      <c r="A28">
        <v>1186</v>
      </c>
      <c r="B28">
        <v>766</v>
      </c>
      <c r="C28">
        <v>1160</v>
      </c>
      <c r="D28" t="s">
        <v>1707</v>
      </c>
      <c r="E28" t="s">
        <v>1684</v>
      </c>
      <c r="F28">
        <v>1186</v>
      </c>
      <c r="G28">
        <v>1160</v>
      </c>
      <c r="H28">
        <v>18</v>
      </c>
      <c r="I28" t="s">
        <v>1606</v>
      </c>
      <c r="J28" t="s">
        <v>1607</v>
      </c>
      <c r="K28" s="21" t="str">
        <f t="shared" si="0"/>
        <v>[1186]={parentZoneId=1160, DLCID=DLC_GREYMOOR},   --Labyrinthian</v>
      </c>
    </row>
    <row r="29" spans="1:11" x14ac:dyDescent="0.25">
      <c r="A29">
        <v>1260</v>
      </c>
      <c r="B29">
        <v>833</v>
      </c>
      <c r="C29">
        <v>1261</v>
      </c>
      <c r="D29" t="s">
        <v>2440</v>
      </c>
      <c r="E29" t="s">
        <v>2385</v>
      </c>
      <c r="F29">
        <v>1260</v>
      </c>
      <c r="G29">
        <v>1261</v>
      </c>
      <c r="H29">
        <v>22</v>
      </c>
      <c r="I29" t="s">
        <v>2384</v>
      </c>
      <c r="J29" t="s">
        <v>2385</v>
      </c>
      <c r="K29" s="21" t="str">
        <f t="shared" si="0"/>
        <v>[1260]={parentZoneId=1261, DLCID=DLC_BLACKWOOD},   --The Silent Halls</v>
      </c>
    </row>
    <row r="30" spans="1:11" x14ac:dyDescent="0.25">
      <c r="A30">
        <v>1259</v>
      </c>
      <c r="B30">
        <v>832</v>
      </c>
      <c r="C30">
        <v>1261</v>
      </c>
      <c r="D30" t="s">
        <v>2439</v>
      </c>
      <c r="E30" t="s">
        <v>2385</v>
      </c>
      <c r="F30">
        <v>1259</v>
      </c>
      <c r="G30">
        <v>1261</v>
      </c>
      <c r="H30">
        <v>22</v>
      </c>
      <c r="I30" t="s">
        <v>2384</v>
      </c>
      <c r="J30" t="s">
        <v>2385</v>
      </c>
      <c r="K30" s="21" t="str">
        <f t="shared" si="0"/>
        <v>[1259]={parentZoneId=1261, DLCID=DLC_BLACKWOOD},   --Zenithar's Abbey</v>
      </c>
    </row>
    <row r="31" spans="1:11" x14ac:dyDescent="0.25">
      <c r="A31">
        <v>1338</v>
      </c>
      <c r="B31">
        <v>901</v>
      </c>
      <c r="C31">
        <v>1318</v>
      </c>
      <c r="D31" t="s">
        <v>3359</v>
      </c>
      <c r="E31" t="s">
        <v>3327</v>
      </c>
      <c r="F31">
        <v>1338</v>
      </c>
      <c r="G31">
        <v>1318</v>
      </c>
      <c r="H31">
        <v>26</v>
      </c>
      <c r="I31" t="s">
        <v>3328</v>
      </c>
      <c r="J31" t="s">
        <v>3327</v>
      </c>
      <c r="K31" s="21" t="str">
        <f t="shared" si="0"/>
        <v>[1338]={parentZoneId=1318, DLCID=DLC_HIGH_ISLE},   --Ghost Haven Bay</v>
      </c>
    </row>
    <row r="32" spans="1:11" x14ac:dyDescent="0.25">
      <c r="A32">
        <v>1337</v>
      </c>
      <c r="B32">
        <v>900</v>
      </c>
      <c r="C32">
        <v>1318</v>
      </c>
      <c r="D32" t="s">
        <v>3360</v>
      </c>
      <c r="E32" t="s">
        <v>3327</v>
      </c>
      <c r="F32">
        <v>1337</v>
      </c>
      <c r="G32">
        <v>1318</v>
      </c>
      <c r="H32">
        <v>26</v>
      </c>
      <c r="I32" t="s">
        <v>3328</v>
      </c>
      <c r="J32" t="s">
        <v>3327</v>
      </c>
      <c r="K32" s="21" t="str">
        <f t="shared" si="0"/>
        <v>[1337]={parentZoneId=1318, DLCID=DLC_HIGH_ISLE},   --Spire of the Crimson Coin</v>
      </c>
    </row>
    <row r="33" spans="1:11" x14ac:dyDescent="0.25">
      <c r="A33">
        <v>1416</v>
      </c>
      <c r="B33">
        <v>960</v>
      </c>
      <c r="C33">
        <v>1413</v>
      </c>
      <c r="D33" t="s">
        <v>3699</v>
      </c>
      <c r="E33" t="s">
        <v>3628</v>
      </c>
      <c r="F33">
        <v>1416</v>
      </c>
      <c r="G33">
        <v>1413</v>
      </c>
      <c r="H33">
        <v>30</v>
      </c>
      <c r="I33" t="s">
        <v>3648</v>
      </c>
      <c r="J33" t="s">
        <v>3649</v>
      </c>
      <c r="K33" s="21" t="str">
        <f t="shared" si="0"/>
        <v>[1416]={parentZoneId=1413, DLCID=DLC_NECROM},   --The Underweave</v>
      </c>
    </row>
    <row r="34" spans="1:11" x14ac:dyDescent="0.25">
      <c r="A34">
        <v>1415</v>
      </c>
      <c r="B34">
        <v>959</v>
      </c>
      <c r="C34">
        <v>1414</v>
      </c>
      <c r="D34" t="s">
        <v>3690</v>
      </c>
      <c r="E34" t="s">
        <v>3700</v>
      </c>
      <c r="F34">
        <v>1415</v>
      </c>
      <c r="G34">
        <v>1414</v>
      </c>
      <c r="H34">
        <v>30</v>
      </c>
      <c r="I34" t="s">
        <v>3648</v>
      </c>
      <c r="J34" t="s">
        <v>3649</v>
      </c>
      <c r="K34" s="21" t="str">
        <f t="shared" si="0"/>
        <v>[1415]={parentZoneId=1414, DLCID=DLC_NECROM},   --Gorne</v>
      </c>
    </row>
  </sheetData>
  <autoFilter ref="A2:J2" xr:uid="{DC33C5AE-75C2-45CC-8E86-2ECA7DDDD7AB}">
    <sortState xmlns:xlrd2="http://schemas.microsoft.com/office/spreadsheetml/2017/richdata2" ref="A3:J34">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12" sqref="C12"/>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5.140625" style="5" bestFit="1" customWidth="1"/>
    <col min="6" max="6" width="21.85546875" bestFit="1" customWidth="1"/>
    <col min="7" max="7" width="11.42578125" style="36"/>
  </cols>
  <sheetData>
    <row r="1" spans="1:17" s="36" customFormat="1" x14ac:dyDescent="0.25">
      <c r="A1"/>
      <c r="B1"/>
      <c r="C1" s="51" t="s">
        <v>3784</v>
      </c>
      <c r="D1"/>
      <c r="E1" s="70"/>
      <c r="F1" s="70"/>
      <c r="G1" s="70"/>
      <c r="H1" s="70"/>
      <c r="I1" s="70"/>
      <c r="J1" s="53"/>
      <c r="K1" s="53"/>
      <c r="L1" s="53"/>
      <c r="M1" s="53"/>
      <c r="N1" s="53"/>
      <c r="O1" s="53"/>
      <c r="P1" s="53"/>
      <c r="Q1" s="53"/>
    </row>
    <row r="2" spans="1:17" s="1" customFormat="1" x14ac:dyDescent="0.25">
      <c r="A2" t="s">
        <v>1365</v>
      </c>
      <c r="B2" t="s">
        <v>1366</v>
      </c>
      <c r="C2" t="s">
        <v>1368</v>
      </c>
      <c r="D2" t="s">
        <v>94</v>
      </c>
      <c r="E2" s="3" t="s">
        <v>1369</v>
      </c>
      <c r="F2" s="3" t="s">
        <v>101</v>
      </c>
      <c r="G2"/>
      <c r="H2"/>
    </row>
    <row r="3" spans="1:17" x14ac:dyDescent="0.25">
      <c r="A3">
        <v>1</v>
      </c>
      <c r="B3">
        <v>2</v>
      </c>
      <c r="C3" t="s">
        <v>103</v>
      </c>
      <c r="D3">
        <v>3</v>
      </c>
      <c r="E3" s="3" t="str">
        <f>VLOOKUP(D3,'ESO zone constants'!$A$5:$D$10001,4,FALSE)</f>
        <v>Glenumbra</v>
      </c>
      <c r="F3" s="3">
        <f>VLOOKUP(D3,'ESO zone constants'!$A$5:$B$10001,2,FALSE)</f>
        <v>2</v>
      </c>
      <c r="G3"/>
    </row>
    <row r="4" spans="1:17" x14ac:dyDescent="0.25">
      <c r="A4">
        <v>7</v>
      </c>
      <c r="B4">
        <v>11</v>
      </c>
      <c r="C4" t="s">
        <v>106</v>
      </c>
      <c r="D4">
        <v>41</v>
      </c>
      <c r="E4" s="3" t="str">
        <f>VLOOKUP(D4,'ESO zone constants'!$A$5:$D$10001,4,FALSE)</f>
        <v>Stonefalls</v>
      </c>
      <c r="F4" s="3">
        <f>VLOOKUP(D4,'ESO zone constants'!$A$5:$B$10001,2,FALSE)</f>
        <v>9</v>
      </c>
      <c r="G4"/>
    </row>
    <row r="5" spans="1:17" x14ac:dyDescent="0.25">
      <c r="A5">
        <v>9</v>
      </c>
      <c r="B5">
        <v>7</v>
      </c>
      <c r="C5" t="s">
        <v>264</v>
      </c>
      <c r="D5">
        <v>383</v>
      </c>
      <c r="E5" s="3" t="str">
        <f>VLOOKUP(D5,'ESO zone constants'!$A$5:$D$10001,4,FALSE)</f>
        <v>Grahtwood</v>
      </c>
      <c r="F5" s="3">
        <f>VLOOKUP(D5,'ESO zone constants'!$A$5:$B$10001,2,FALSE)</f>
        <v>181</v>
      </c>
      <c r="G5"/>
    </row>
    <row r="6" spans="1:17" x14ac:dyDescent="0.25">
      <c r="A6">
        <v>10</v>
      </c>
      <c r="B6">
        <v>3</v>
      </c>
      <c r="C6" t="s">
        <v>105</v>
      </c>
      <c r="D6">
        <v>20</v>
      </c>
      <c r="E6" s="3" t="str">
        <f>VLOOKUP(D6,'ESO zone constants'!$A$5:$D$10001,4,FALSE)</f>
        <v>Rivenspire</v>
      </c>
      <c r="F6" s="3">
        <f>VLOOKUP(D6,'ESO zone constants'!$A$5:$B$10001,2,FALSE)</f>
        <v>5</v>
      </c>
      <c r="G6"/>
    </row>
    <row r="7" spans="1:17" x14ac:dyDescent="0.25">
      <c r="A7">
        <v>12</v>
      </c>
      <c r="B7">
        <v>4</v>
      </c>
      <c r="C7" t="s">
        <v>104</v>
      </c>
      <c r="D7">
        <v>19</v>
      </c>
      <c r="E7" s="3" t="str">
        <f>VLOOKUP(D7,'ESO zone constants'!$A$5:$D$10001,4,FALSE)</f>
        <v>Stormhaven</v>
      </c>
      <c r="F7" s="3">
        <f>VLOOKUP(D7,'ESO zone constants'!$A$5:$B$10001,2,FALSE)</f>
        <v>4</v>
      </c>
      <c r="G7"/>
    </row>
    <row r="8" spans="1:17" x14ac:dyDescent="0.25">
      <c r="A8">
        <v>13</v>
      </c>
      <c r="B8">
        <v>10</v>
      </c>
      <c r="C8" t="s">
        <v>107</v>
      </c>
      <c r="D8">
        <v>57</v>
      </c>
      <c r="E8" s="3" t="str">
        <f>VLOOKUP(D8,'ESO zone constants'!$A$5:$D$10001,4,FALSE)</f>
        <v>Deshaan</v>
      </c>
      <c r="F8" s="3">
        <f>VLOOKUP(D8,'ESO zone constants'!$A$5:$B$10001,2,FALSE)</f>
        <v>10</v>
      </c>
      <c r="G8"/>
    </row>
    <row r="9" spans="1:17" x14ac:dyDescent="0.25">
      <c r="A9">
        <v>16</v>
      </c>
      <c r="B9">
        <v>14</v>
      </c>
      <c r="C9" t="s">
        <v>125</v>
      </c>
      <c r="D9">
        <v>181</v>
      </c>
      <c r="E9" s="3" t="str">
        <f>VLOOKUP(D9,'ESO zone constants'!$A$5:$D$10001,4,FALSE)</f>
        <v>Cyrodiil</v>
      </c>
      <c r="F9" s="3">
        <f>VLOOKUP(D9,'ESO zone constants'!$A$5:$B$10001,2,FALSE)</f>
        <v>38</v>
      </c>
      <c r="G9"/>
    </row>
    <row r="10" spans="1:17" x14ac:dyDescent="0.25">
      <c r="A10">
        <v>20</v>
      </c>
      <c r="B10">
        <v>6</v>
      </c>
      <c r="C10" t="s">
        <v>109</v>
      </c>
      <c r="D10">
        <v>92</v>
      </c>
      <c r="E10" s="3" t="str">
        <f>VLOOKUP(D10,'ESO zone constants'!$A$5:$D$10001,4,FALSE)</f>
        <v>Bangkorai</v>
      </c>
      <c r="F10" s="3">
        <f>VLOOKUP(D10,'ESO zone constants'!$A$5:$B$10001,2,FALSE)</f>
        <v>14</v>
      </c>
      <c r="G10"/>
    </row>
    <row r="11" spans="1:17" x14ac:dyDescent="0.25">
      <c r="A11">
        <v>22</v>
      </c>
      <c r="B11">
        <v>8</v>
      </c>
      <c r="C11" t="s">
        <v>108</v>
      </c>
      <c r="D11">
        <v>58</v>
      </c>
      <c r="E11" s="3" t="str">
        <f>VLOOKUP(D11,'ESO zone constants'!$A$5:$D$10001,4,FALSE)</f>
        <v>Malabal Tor</v>
      </c>
      <c r="F11" s="3">
        <f>VLOOKUP(D11,'ESO zone constants'!$A$5:$B$10001,2,FALSE)</f>
        <v>11</v>
      </c>
      <c r="G11"/>
    </row>
    <row r="12" spans="1:17" x14ac:dyDescent="0.25">
      <c r="A12">
        <v>26</v>
      </c>
      <c r="B12">
        <v>9</v>
      </c>
      <c r="C12" t="s">
        <v>114</v>
      </c>
      <c r="D12">
        <v>117</v>
      </c>
      <c r="E12" s="3" t="str">
        <f>VLOOKUP(D12,'ESO zone constants'!$A$5:$D$10001,4,FALSE)</f>
        <v>Shadowfen</v>
      </c>
      <c r="F12" s="3">
        <f>VLOOKUP(D12,'ESO zone constants'!$A$5:$B$10001,2,FALSE)</f>
        <v>19</v>
      </c>
      <c r="G12"/>
    </row>
    <row r="13" spans="1:17" x14ac:dyDescent="0.25">
      <c r="A13">
        <v>30</v>
      </c>
      <c r="B13">
        <v>5</v>
      </c>
      <c r="C13" t="s">
        <v>112</v>
      </c>
      <c r="D13">
        <v>104</v>
      </c>
      <c r="E13" s="3" t="str">
        <f>VLOOKUP(D13,'ESO zone constants'!$A$5:$D$10001,4,FALSE)</f>
        <v>Alik'r Desert</v>
      </c>
      <c r="F13" s="3">
        <f>VLOOKUP(D13,'ESO zone constants'!$A$5:$B$10001,2,FALSE)</f>
        <v>17</v>
      </c>
      <c r="G13"/>
    </row>
    <row r="14" spans="1:17" x14ac:dyDescent="0.25">
      <c r="A14">
        <v>61</v>
      </c>
      <c r="B14">
        <v>13</v>
      </c>
      <c r="C14" t="s">
        <v>110</v>
      </c>
      <c r="D14">
        <v>101</v>
      </c>
      <c r="E14" s="3" t="str">
        <f>VLOOKUP(D14,'ESO zone constants'!$A$5:$D$10001,4,FALSE)</f>
        <v>Eastmarch</v>
      </c>
      <c r="F14" s="3">
        <f>VLOOKUP(D14,'ESO zone constants'!$A$5:$B$10001,2,FALSE)</f>
        <v>15</v>
      </c>
      <c r="G14"/>
    </row>
    <row r="15" spans="1:17" x14ac:dyDescent="0.25">
      <c r="A15">
        <v>74</v>
      </c>
      <c r="B15">
        <v>22</v>
      </c>
      <c r="C15" t="s">
        <v>196</v>
      </c>
      <c r="D15">
        <v>280</v>
      </c>
      <c r="E15" s="3" t="str">
        <f>VLOOKUP(D15,'ESO zone constants'!$A$5:$D$10001,4,FALSE)</f>
        <v>Bleakrock Isle</v>
      </c>
      <c r="F15" s="3">
        <f>VLOOKUP(D15,'ESO zone constants'!$A$5:$B$10001,2,FALSE)</f>
        <v>110</v>
      </c>
      <c r="G15"/>
    </row>
    <row r="16" spans="1:17" x14ac:dyDescent="0.25">
      <c r="A16">
        <v>75</v>
      </c>
      <c r="B16">
        <v>18</v>
      </c>
      <c r="C16" t="s">
        <v>197</v>
      </c>
      <c r="D16">
        <v>281</v>
      </c>
      <c r="E16" s="3" t="str">
        <f>VLOOKUP(D16,'ESO zone constants'!$A$5:$D$10001,4,FALSE)</f>
        <v>Bal Foyen</v>
      </c>
      <c r="F16" s="3">
        <f>VLOOKUP(D16,'ESO zone constants'!$A$5:$B$10001,2,FALSE)</f>
        <v>111</v>
      </c>
      <c r="G16"/>
    </row>
    <row r="17" spans="1:7" x14ac:dyDescent="0.25">
      <c r="A17">
        <v>125</v>
      </c>
      <c r="B17">
        <v>12</v>
      </c>
      <c r="C17" t="s">
        <v>111</v>
      </c>
      <c r="D17">
        <v>103</v>
      </c>
      <c r="E17" s="3" t="str">
        <f>VLOOKUP(D17,'ESO zone constants'!$A$5:$D$10001,4,FALSE)</f>
        <v>The Rift</v>
      </c>
      <c r="F17" s="3">
        <f>VLOOKUP(D17,'ESO zone constants'!$A$5:$B$10001,2,FALSE)</f>
        <v>16</v>
      </c>
      <c r="G17"/>
    </row>
    <row r="18" spans="1:7" x14ac:dyDescent="0.25">
      <c r="A18">
        <v>143</v>
      </c>
      <c r="B18">
        <v>15</v>
      </c>
      <c r="C18" t="s">
        <v>262</v>
      </c>
      <c r="D18">
        <v>381</v>
      </c>
      <c r="E18" s="3" t="str">
        <f>VLOOKUP(D18,'ESO zone constants'!$A$5:$D$10001,4,FALSE)</f>
        <v>Auridon</v>
      </c>
      <c r="F18" s="3">
        <f>VLOOKUP(D18,'ESO zone constants'!$A$5:$B$10001,2,FALSE)</f>
        <v>179</v>
      </c>
      <c r="G18"/>
    </row>
    <row r="19" spans="1:7" x14ac:dyDescent="0.25">
      <c r="A19">
        <v>201</v>
      </c>
      <c r="B19">
        <v>19</v>
      </c>
      <c r="C19" t="s">
        <v>383</v>
      </c>
      <c r="D19">
        <v>534</v>
      </c>
      <c r="E19" s="3" t="str">
        <f>VLOOKUP(D19,'ESO zone constants'!$A$5:$D$10001,4,FALSE)</f>
        <v>Stros M'Kai</v>
      </c>
      <c r="F19" s="3">
        <f>VLOOKUP(D19,'ESO zone constants'!$A$5:$B$10001,2,FALSE)</f>
        <v>305</v>
      </c>
      <c r="G19"/>
    </row>
    <row r="20" spans="1:7" x14ac:dyDescent="0.25">
      <c r="A20">
        <v>227</v>
      </c>
      <c r="B20">
        <v>20</v>
      </c>
      <c r="C20" t="s">
        <v>384</v>
      </c>
      <c r="D20">
        <v>535</v>
      </c>
      <c r="E20" s="3" t="str">
        <f>VLOOKUP(D20,'ESO zone constants'!$A$5:$D$10001,4,FALSE)</f>
        <v>Betnikh</v>
      </c>
      <c r="F20" s="3">
        <f>VLOOKUP(D20,'ESO zone constants'!$A$5:$B$10001,2,FALSE)</f>
        <v>306</v>
      </c>
      <c r="G20"/>
    </row>
    <row r="21" spans="1:7" x14ac:dyDescent="0.25">
      <c r="A21">
        <v>255</v>
      </c>
      <c r="B21">
        <v>23</v>
      </c>
      <c r="C21" t="s">
        <v>239</v>
      </c>
      <c r="D21">
        <v>347</v>
      </c>
      <c r="E21" s="3" t="str">
        <f>VLOOKUP(D21,'ESO zone constants'!$A$5:$D$10001,4,FALSE)</f>
        <v>Coldharbour</v>
      </c>
      <c r="F21" s="3">
        <f>VLOOKUP(D21,'ESO zone constants'!$A$5:$B$10001,2,FALSE)</f>
        <v>155</v>
      </c>
      <c r="G21"/>
    </row>
    <row r="22" spans="1:7" x14ac:dyDescent="0.25">
      <c r="A22">
        <v>256</v>
      </c>
      <c r="B22">
        <v>17</v>
      </c>
      <c r="C22" t="s">
        <v>263</v>
      </c>
      <c r="D22">
        <v>382</v>
      </c>
      <c r="E22" s="3" t="str">
        <f>VLOOKUP(D22,'ESO zone constants'!$A$5:$D$10001,4,FALSE)</f>
        <v>Reaper's March</v>
      </c>
      <c r="F22" s="3">
        <f>VLOOKUP(D22,'ESO zone constants'!$A$5:$B$10001,2,FALSE)</f>
        <v>180</v>
      </c>
      <c r="G22"/>
    </row>
    <row r="23" spans="1:7" x14ac:dyDescent="0.25">
      <c r="A23">
        <v>258</v>
      </c>
      <c r="B23">
        <v>21</v>
      </c>
      <c r="C23" t="s">
        <v>385</v>
      </c>
      <c r="D23">
        <v>537</v>
      </c>
      <c r="E23" s="3" t="str">
        <f>VLOOKUP(D23,'ESO zone constants'!$A$5:$D$10001,4,FALSE)</f>
        <v>Khenarthi's Roost</v>
      </c>
      <c r="F23" s="3">
        <f>VLOOKUP(D23,'ESO zone constants'!$A$5:$B$10001,2,FALSE)</f>
        <v>307</v>
      </c>
      <c r="G23"/>
    </row>
    <row r="24" spans="1:7" x14ac:dyDescent="0.25">
      <c r="A24">
        <v>300</v>
      </c>
      <c r="B24">
        <v>16</v>
      </c>
      <c r="C24" t="s">
        <v>113</v>
      </c>
      <c r="D24">
        <v>108</v>
      </c>
      <c r="E24" s="3" t="str">
        <f>VLOOKUP(D24,'ESO zone constants'!$A$5:$D$10001,4,FALSE)</f>
        <v>Greenshade</v>
      </c>
      <c r="F24" s="3">
        <f>VLOOKUP(D24,'ESO zone constants'!$A$5:$B$10001,2,FALSE)</f>
        <v>18</v>
      </c>
      <c r="G24"/>
    </row>
    <row r="25" spans="1:7" x14ac:dyDescent="0.25">
      <c r="A25">
        <v>660</v>
      </c>
      <c r="B25">
        <v>26</v>
      </c>
      <c r="C25" t="s">
        <v>39</v>
      </c>
      <c r="D25">
        <v>584</v>
      </c>
      <c r="E25" s="3" t="str">
        <f>VLOOKUP(D25,'ESO zone constants'!$A$5:$D$10001,4,FALSE)</f>
        <v>Imperial City</v>
      </c>
      <c r="F25" s="3">
        <f>VLOOKUP(D25,'ESO zone constants'!$A$5:$B$10001,2,FALSE)</f>
        <v>347</v>
      </c>
      <c r="G25"/>
    </row>
    <row r="26" spans="1:7" x14ac:dyDescent="0.25">
      <c r="A26">
        <v>667</v>
      </c>
      <c r="B26">
        <v>27</v>
      </c>
      <c r="C26" t="s">
        <v>450</v>
      </c>
      <c r="D26">
        <v>684</v>
      </c>
      <c r="E26" s="3" t="str">
        <f>VLOOKUP(D26,'ESO zone constants'!$A$5:$D$10001,4,FALSE)</f>
        <v>Wrothgar</v>
      </c>
      <c r="F26" s="3">
        <f>VLOOKUP(D26,'ESO zone constants'!$A$5:$B$10001,2,FALSE)</f>
        <v>380</v>
      </c>
      <c r="G26"/>
    </row>
    <row r="27" spans="1:7" x14ac:dyDescent="0.25">
      <c r="A27">
        <v>994</v>
      </c>
      <c r="B27">
        <v>28</v>
      </c>
      <c r="C27" t="s">
        <v>507</v>
      </c>
      <c r="D27">
        <v>816</v>
      </c>
      <c r="E27" s="3" t="str">
        <f>VLOOKUP(D27,'ESO zone constants'!$A$5:$D$10001,4,FALSE)</f>
        <v>Hew's Bane</v>
      </c>
      <c r="F27" s="3">
        <f>VLOOKUP(D27,'ESO zone constants'!$A$5:$B$10001,2,FALSE)</f>
        <v>443</v>
      </c>
      <c r="G27"/>
    </row>
    <row r="28" spans="1:7" x14ac:dyDescent="0.25">
      <c r="A28">
        <v>1006</v>
      </c>
      <c r="B28">
        <v>29</v>
      </c>
      <c r="C28" t="s">
        <v>513</v>
      </c>
      <c r="D28">
        <v>823</v>
      </c>
      <c r="E28" s="3" t="str">
        <f>VLOOKUP(D28,'ESO zone constants'!$A$5:$D$10001,4,FALSE)</f>
        <v>Gold Coast</v>
      </c>
      <c r="F28" s="3">
        <f>VLOOKUP(D28,'ESO zone constants'!$A$5:$B$10001,2,FALSE)</f>
        <v>449</v>
      </c>
      <c r="G28"/>
    </row>
    <row r="29" spans="1:7" x14ac:dyDescent="0.25">
      <c r="A29">
        <v>1060</v>
      </c>
      <c r="B29">
        <v>30</v>
      </c>
      <c r="C29" t="s">
        <v>530</v>
      </c>
      <c r="D29">
        <v>849</v>
      </c>
      <c r="E29" s="3" t="str">
        <f>VLOOKUP(D29,'ESO zone constants'!$A$5:$D$10001,4,FALSE)</f>
        <v>Vvardenfell</v>
      </c>
      <c r="F29" s="3">
        <f>VLOOKUP(D29,'ESO zone constants'!$A$5:$B$10001,2,FALSE)</f>
        <v>468</v>
      </c>
      <c r="G29"/>
    </row>
    <row r="30" spans="1:7" x14ac:dyDescent="0.25">
      <c r="A30">
        <v>1126</v>
      </c>
      <c r="B30">
        <v>25</v>
      </c>
      <c r="C30" t="s">
        <v>563</v>
      </c>
      <c r="D30">
        <v>888</v>
      </c>
      <c r="E30" s="3" t="str">
        <f>VLOOKUP(D30,'ESO zone constants'!$A$5:$D$10001,4,FALSE)</f>
        <v>Craglorn</v>
      </c>
      <c r="F30" s="3">
        <f>VLOOKUP(D30,'ESO zone constants'!$A$5:$B$10001,2,FALSE)</f>
        <v>501</v>
      </c>
      <c r="G30"/>
    </row>
    <row r="31" spans="1:7" x14ac:dyDescent="0.25">
      <c r="A31">
        <v>1313</v>
      </c>
      <c r="B31">
        <v>31</v>
      </c>
      <c r="C31" t="s">
        <v>78</v>
      </c>
      <c r="D31">
        <v>980</v>
      </c>
      <c r="E31" s="3" t="str">
        <f>VLOOKUP(D31,'ESO zone constants'!$A$5:$D$10001,4,FALSE)</f>
        <v>Clockwork City</v>
      </c>
      <c r="F31" s="3">
        <f>VLOOKUP(D31,'ESO zone constants'!$A$5:$B$10001,2,FALSE)</f>
        <v>590</v>
      </c>
      <c r="G31"/>
    </row>
    <row r="32" spans="1:7" x14ac:dyDescent="0.25">
      <c r="A32">
        <v>1349</v>
      </c>
      <c r="B32">
        <v>32</v>
      </c>
      <c r="C32" t="s">
        <v>79</v>
      </c>
      <c r="D32">
        <v>1011</v>
      </c>
      <c r="E32" s="3" t="str">
        <f>VLOOKUP(D32,'ESO zone constants'!$A$5:$D$10001,4,FALSE)</f>
        <v>Summerset</v>
      </c>
      <c r="F32" s="3">
        <f>VLOOKUP(D32,'ESO zone constants'!$A$5:$B$10001,2,FALSE)</f>
        <v>617</v>
      </c>
      <c r="G32"/>
    </row>
    <row r="33" spans="1:7" x14ac:dyDescent="0.25">
      <c r="A33">
        <v>1429</v>
      </c>
      <c r="B33">
        <v>33</v>
      </c>
      <c r="C33" t="s">
        <v>679</v>
      </c>
      <c r="D33">
        <v>1027</v>
      </c>
      <c r="E33" s="3" t="str">
        <f>VLOOKUP(D33,'ESO zone constants'!$A$5:$D$10001,4,FALSE)</f>
        <v>Artaeum</v>
      </c>
      <c r="F33" s="3">
        <f>VLOOKUP(D33,'ESO zone constants'!$A$5:$B$10001,2,FALSE)</f>
        <v>633</v>
      </c>
      <c r="G33"/>
    </row>
    <row r="34" spans="1:7" x14ac:dyDescent="0.25">
      <c r="A34">
        <v>1484</v>
      </c>
      <c r="B34">
        <v>34</v>
      </c>
      <c r="C34" t="s">
        <v>80</v>
      </c>
      <c r="D34">
        <v>726</v>
      </c>
      <c r="E34" s="3" t="str">
        <f>VLOOKUP(D34,'ESO zone constants'!$A$5:$D$10001,4,FALSE)</f>
        <v>Murkmire</v>
      </c>
      <c r="F34" s="3">
        <f>VLOOKUP(D34,'ESO zone constants'!$A$5:$B$10001,2,FALSE)</f>
        <v>408</v>
      </c>
      <c r="G34"/>
    </row>
    <row r="35" spans="1:7" x14ac:dyDescent="0.25">
      <c r="A35">
        <v>1552</v>
      </c>
      <c r="B35">
        <v>35</v>
      </c>
      <c r="C35" t="s">
        <v>713</v>
      </c>
      <c r="D35">
        <v>1072</v>
      </c>
      <c r="E35" s="3" t="str">
        <f>VLOOKUP(D35,'ESO zone constants'!$A$5:$D$10001,4,FALSE)</f>
        <v>Norg-Tzel</v>
      </c>
      <c r="F35" s="3">
        <f>VLOOKUP(D35,'ESO zone constants'!$A$5:$B$10001,2,FALSE)</f>
        <v>669</v>
      </c>
      <c r="G35"/>
    </row>
    <row r="36" spans="1:7" x14ac:dyDescent="0.25">
      <c r="A36">
        <v>1555</v>
      </c>
      <c r="B36">
        <v>36</v>
      </c>
      <c r="C36" t="s">
        <v>1386</v>
      </c>
      <c r="D36">
        <v>1086</v>
      </c>
      <c r="E36" s="3" t="str">
        <f>VLOOKUP(D36,'ESO zone constants'!$A$5:$D$10001,4,FALSE)</f>
        <v>Northern Elsweyr</v>
      </c>
      <c r="F36" s="3">
        <f>VLOOKUP(D36,'ESO zone constants'!$A$5:$B$10001,2,FALSE)</f>
        <v>682</v>
      </c>
      <c r="G36"/>
    </row>
    <row r="37" spans="1:7" x14ac:dyDescent="0.25">
      <c r="A37">
        <v>1654</v>
      </c>
      <c r="B37">
        <v>37</v>
      </c>
      <c r="C37" t="s">
        <v>1580</v>
      </c>
      <c r="D37">
        <v>1133</v>
      </c>
      <c r="E37" s="3" t="str">
        <f>VLOOKUP(D37,'ESO zone constants'!$A$5:$D$10001,4,FALSE)</f>
        <v>Southern Elsweyr</v>
      </c>
      <c r="F37" s="3">
        <f>VLOOKUP(D37,'ESO zone constants'!$A$5:$B$10001,2,FALSE)</f>
        <v>721</v>
      </c>
      <c r="G37"/>
    </row>
    <row r="38" spans="1:7" x14ac:dyDescent="0.25">
      <c r="A38">
        <v>1719</v>
      </c>
      <c r="B38">
        <v>38</v>
      </c>
      <c r="C38" t="s">
        <v>1684</v>
      </c>
      <c r="D38">
        <v>1160</v>
      </c>
      <c r="E38" s="3" t="str">
        <f>VLOOKUP(D38,'ESO zone constants'!$A$5:$D$10001,4,FALSE)</f>
        <v>Western Skyrim</v>
      </c>
      <c r="F38" s="3">
        <f>VLOOKUP(D38,'ESO zone constants'!$A$5:$B$10001,2,FALSE)</f>
        <v>744</v>
      </c>
      <c r="G38"/>
    </row>
    <row r="39" spans="1:7" x14ac:dyDescent="0.25">
      <c r="A39">
        <v>1747</v>
      </c>
      <c r="B39">
        <v>39</v>
      </c>
      <c r="C39" t="s">
        <v>1714</v>
      </c>
      <c r="D39">
        <v>1161</v>
      </c>
      <c r="E39" s="3" t="str">
        <f>VLOOKUP(D39,'ESO zone constants'!$A$5:$D$10001,4,FALSE)</f>
        <v>Blackreach: Greymoor Caverns</v>
      </c>
      <c r="F39" s="3">
        <f>VLOOKUP(D39,'ESO zone constants'!$A$5:$B$10001,2,FALSE)</f>
        <v>745</v>
      </c>
      <c r="G39"/>
    </row>
    <row r="40" spans="1:7" x14ac:dyDescent="0.25">
      <c r="A40">
        <v>1814</v>
      </c>
      <c r="B40">
        <v>42</v>
      </c>
      <c r="C40" t="s">
        <v>2210</v>
      </c>
      <c r="D40">
        <v>1207</v>
      </c>
      <c r="E40" s="3" t="str">
        <f>VLOOKUP(D40,'ESO zone constants'!$A$5:$D$10001,4,FALSE)</f>
        <v>The Reach</v>
      </c>
      <c r="F40" s="3">
        <f>VLOOKUP(D40,'ESO zone constants'!$A$5:$B$10001,2,FALSE)</f>
        <v>784</v>
      </c>
      <c r="G40"/>
    </row>
    <row r="41" spans="1:7" x14ac:dyDescent="0.25">
      <c r="A41">
        <v>1850</v>
      </c>
      <c r="B41">
        <v>41</v>
      </c>
      <c r="C41" t="s">
        <v>2211</v>
      </c>
      <c r="D41">
        <v>1208</v>
      </c>
      <c r="E41" s="3" t="str">
        <f>VLOOKUP(D41,'ESO zone constants'!$A$5:$D$10001,4,FALSE)</f>
        <v>Blackreach: Arkthzand Cavern</v>
      </c>
      <c r="F41" s="3">
        <f>VLOOKUP(D41,'ESO zone constants'!$A$5:$B$10001,2,FALSE)</f>
        <v>785</v>
      </c>
      <c r="G41"/>
    </row>
    <row r="42" spans="1:7" x14ac:dyDescent="0.25">
      <c r="A42">
        <v>1887</v>
      </c>
      <c r="B42">
        <v>43</v>
      </c>
      <c r="C42" t="s">
        <v>2385</v>
      </c>
      <c r="D42">
        <v>1261</v>
      </c>
      <c r="E42" s="3" t="str">
        <f>VLOOKUP(D42,'ESO zone constants'!$A$5:$D$10001,4,FALSE)</f>
        <v>Blackwood</v>
      </c>
      <c r="F42" s="3">
        <f>VLOOKUP(D42,'ESO zone constants'!$A$5:$B$10001,2,FALSE)</f>
        <v>835</v>
      </c>
      <c r="G42"/>
    </row>
    <row r="43" spans="1:7" x14ac:dyDescent="0.25">
      <c r="A43">
        <v>2021</v>
      </c>
      <c r="B43">
        <v>45</v>
      </c>
      <c r="C43" t="s">
        <v>2442</v>
      </c>
      <c r="D43">
        <v>1286</v>
      </c>
      <c r="E43" s="3" t="str">
        <f>VLOOKUP(D43,'ESO zone constants'!$A$5:$D$10001,4,FALSE)</f>
        <v>The Deadlands</v>
      </c>
      <c r="F43" s="3">
        <f>VLOOKUP(D43,'ESO zone constants'!$A$5:$B$10001,2,FALSE)</f>
        <v>858</v>
      </c>
      <c r="G43"/>
    </row>
    <row r="44" spans="1:7" x14ac:dyDescent="0.25">
      <c r="A44">
        <v>2035</v>
      </c>
      <c r="B44">
        <v>47</v>
      </c>
      <c r="C44" t="s">
        <v>3413</v>
      </c>
      <c r="D44">
        <v>1282</v>
      </c>
      <c r="E44" s="3" t="str">
        <f>VLOOKUP(D44,'ESO zone constants'!$A$5:$D$10001,4,FALSE)</f>
        <v>Fargrave</v>
      </c>
      <c r="F44" s="3">
        <f>VLOOKUP(D44,'ESO zone constants'!$A$5:$B$10001,2,FALSE)</f>
        <v>854</v>
      </c>
      <c r="G44"/>
    </row>
    <row r="45" spans="1:7" x14ac:dyDescent="0.25">
      <c r="A45">
        <v>2114</v>
      </c>
      <c r="B45">
        <v>46</v>
      </c>
      <c r="C45" t="s">
        <v>3350</v>
      </c>
      <c r="D45">
        <v>1318</v>
      </c>
      <c r="E45" s="3" t="str">
        <f>VLOOKUP(D45,'ESO zone constants'!$A$5:$D$10001,4,FALSE)</f>
        <v>High Isle</v>
      </c>
      <c r="F45" s="3">
        <f>VLOOKUP(D45,'ESO zone constants'!$A$5:$B$10001,2,FALSE)</f>
        <v>884</v>
      </c>
      <c r="G45"/>
    </row>
    <row r="46" spans="1:7" x14ac:dyDescent="0.25">
      <c r="A46">
        <v>2119</v>
      </c>
      <c r="B46">
        <v>44</v>
      </c>
      <c r="C46" t="s">
        <v>2678</v>
      </c>
      <c r="D46">
        <v>1283</v>
      </c>
      <c r="E46" s="3" t="str">
        <f>VLOOKUP(D46,'ESO zone constants'!$A$5:$D$10001,4,FALSE)</f>
        <v>The Shambles</v>
      </c>
      <c r="F46" s="3">
        <f>VLOOKUP(D46,'ESO zone constants'!$A$5:$B$10001,2,FALSE)</f>
        <v>855</v>
      </c>
    </row>
    <row r="47" spans="1:7" x14ac:dyDescent="0.25">
      <c r="A47">
        <v>2212</v>
      </c>
      <c r="B47">
        <v>48</v>
      </c>
      <c r="C47" t="s">
        <v>3475</v>
      </c>
      <c r="D47">
        <v>1383</v>
      </c>
      <c r="E47" s="3" t="str">
        <f>VLOOKUP(D47,'ESO zone constants'!$A$5:$D$10001,4,FALSE)</f>
        <v>Galen</v>
      </c>
      <c r="F47" s="3">
        <f>VLOOKUP(D47,'ESO zone constants'!$A$5:$B$10001,2,FALSE)</f>
        <v>929</v>
      </c>
    </row>
    <row r="48" spans="1:7" x14ac:dyDescent="0.25">
      <c r="A48" s="5">
        <v>2274</v>
      </c>
      <c r="B48" s="5">
        <v>49</v>
      </c>
      <c r="C48" s="5" t="s">
        <v>3700</v>
      </c>
      <c r="D48" s="5">
        <v>1414</v>
      </c>
      <c r="E48" s="3" t="s">
        <v>3700</v>
      </c>
      <c r="F48" s="3">
        <f>VLOOKUP(D48,'ESO zone constants'!$A$5:$B$10001,2,FALSE)</f>
        <v>958</v>
      </c>
    </row>
    <row r="49" spans="1:6" x14ac:dyDescent="0.25">
      <c r="A49" s="5">
        <v>2275</v>
      </c>
      <c r="B49" s="5">
        <v>50</v>
      </c>
      <c r="C49" s="5" t="s">
        <v>3628</v>
      </c>
      <c r="D49" s="5">
        <v>1413</v>
      </c>
      <c r="E49" s="3" t="s">
        <v>3628</v>
      </c>
      <c r="F49" s="3">
        <f>VLOOKUP(D49,'ESO zone constants'!$A$5:$B$10001,2,FALSE)</f>
        <v>957</v>
      </c>
    </row>
    <row r="50" spans="1:6" x14ac:dyDescent="0.25">
      <c r="E50" s="3"/>
      <c r="F50" s="3"/>
    </row>
    <row r="51" spans="1:6" x14ac:dyDescent="0.25">
      <c r="E51" s="3"/>
      <c r="F51" s="3"/>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49">
      <sortCondition ref="A2:A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37"/>
  <sheetViews>
    <sheetView zoomScale="85" zoomScaleNormal="85" workbookViewId="0">
      <pane ySplit="2" topLeftCell="A504" activePane="bottomLeft" state="frozen"/>
      <selection pane="bottomLeft" activeCell="J3" sqref="J3:J537"/>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101" t="s">
        <v>3784</v>
      </c>
      <c r="J1" s="30"/>
      <c r="K1" s="3"/>
      <c r="L1" s="3"/>
      <c r="M1" s="3"/>
      <c r="N1" s="3"/>
    </row>
    <row r="2" spans="1:14" x14ac:dyDescent="0.25">
      <c r="A2" s="54" t="s">
        <v>1715</v>
      </c>
      <c r="B2" s="1" t="s">
        <v>1716</v>
      </c>
      <c r="C2" s="1" t="s">
        <v>1717</v>
      </c>
      <c r="D2" s="1" t="s">
        <v>1718</v>
      </c>
      <c r="E2" s="1" t="s">
        <v>1720</v>
      </c>
      <c r="F2" s="1" t="s">
        <v>1719</v>
      </c>
      <c r="G2" s="1" t="s">
        <v>1721</v>
      </c>
      <c r="H2" s="1" t="s">
        <v>1722</v>
      </c>
      <c r="I2" s="1" t="s">
        <v>3193</v>
      </c>
      <c r="J2" s="30" t="s">
        <v>2402</v>
      </c>
      <c r="K2" s="3" t="s">
        <v>1715</v>
      </c>
      <c r="L2" s="3" t="s">
        <v>1370</v>
      </c>
      <c r="M2" s="3" t="s">
        <v>1367</v>
      </c>
      <c r="N2" s="3" t="s">
        <v>99</v>
      </c>
    </row>
    <row r="3" spans="1:14" x14ac:dyDescent="0.25">
      <c r="A3" s="94">
        <v>1</v>
      </c>
      <c r="B3">
        <v>2</v>
      </c>
      <c r="C3">
        <v>1</v>
      </c>
      <c r="D3" t="s">
        <v>103</v>
      </c>
      <c r="E3">
        <v>2</v>
      </c>
      <c r="F3">
        <v>3</v>
      </c>
      <c r="G3" t="s">
        <v>103</v>
      </c>
      <c r="H3">
        <v>1</v>
      </c>
      <c r="I3" t="s">
        <v>2779</v>
      </c>
      <c r="J3" s="30" t="str">
        <f t="shared" ref="J3:J66" si="0">IF(A3&lt;&gt;"",IF(F3&lt;&gt;"",IF(OR(ISNA(A3),ISNA(F3)),"","["&amp;A3&amp;"]="&amp;F3&amp;","),""),"")</f>
        <v>[1]=3,</v>
      </c>
      <c r="K3" s="3">
        <f t="shared" ref="K3:K66" si="1">A3</f>
        <v>1</v>
      </c>
      <c r="L3" s="3">
        <f t="shared" ref="L3:L66" si="2">F3</f>
        <v>3</v>
      </c>
      <c r="M3" s="8" t="str">
        <f>VLOOKUP(A3,'ESO wayshrine names'!$A$3:$B$9991,2,)</f>
        <v>Wyrd Tree Wayshrine</v>
      </c>
      <c r="N3" s="3" t="str">
        <f>VLOOKUP(F3,'ESO zone constants'!$A$5:$D$10001,4,FALSE)</f>
        <v>Glenumbra</v>
      </c>
    </row>
    <row r="4" spans="1:14" x14ac:dyDescent="0.25">
      <c r="A4" s="94">
        <v>2</v>
      </c>
      <c r="B4">
        <v>2</v>
      </c>
      <c r="C4">
        <v>1</v>
      </c>
      <c r="D4" t="s">
        <v>103</v>
      </c>
      <c r="E4">
        <v>2</v>
      </c>
      <c r="F4">
        <v>3</v>
      </c>
      <c r="G4" t="s">
        <v>103</v>
      </c>
      <c r="H4">
        <v>1</v>
      </c>
      <c r="I4" t="s">
        <v>2780</v>
      </c>
      <c r="J4" s="30" t="str">
        <f t="shared" si="0"/>
        <v>[2]=3,</v>
      </c>
      <c r="K4" s="3">
        <f t="shared" si="1"/>
        <v>2</v>
      </c>
      <c r="L4" s="3">
        <f t="shared" si="2"/>
        <v>3</v>
      </c>
      <c r="M4" s="8" t="str">
        <f>VLOOKUP(A4,'ESO wayshrine names'!$A$3:$B$9991,2,)</f>
        <v>Aldcroft Wayshrine</v>
      </c>
      <c r="N4" s="3" t="str">
        <f>VLOOKUP(F4,'ESO zone constants'!$A$5:$D$10001,4,FALSE)</f>
        <v>Glenumbra</v>
      </c>
    </row>
    <row r="5" spans="1:14" x14ac:dyDescent="0.25">
      <c r="A5" s="94">
        <v>3</v>
      </c>
      <c r="B5">
        <v>2</v>
      </c>
      <c r="C5">
        <v>1</v>
      </c>
      <c r="D5" t="s">
        <v>103</v>
      </c>
      <c r="E5">
        <v>2</v>
      </c>
      <c r="F5">
        <v>3</v>
      </c>
      <c r="G5" t="s">
        <v>103</v>
      </c>
      <c r="H5">
        <v>1</v>
      </c>
      <c r="I5" t="s">
        <v>2781</v>
      </c>
      <c r="J5" s="30" t="str">
        <f t="shared" si="0"/>
        <v>[3]=3,</v>
      </c>
      <c r="K5" s="3">
        <f t="shared" si="1"/>
        <v>3</v>
      </c>
      <c r="L5" s="3">
        <f t="shared" si="2"/>
        <v>3</v>
      </c>
      <c r="M5" s="8" t="str">
        <f>VLOOKUP(A5,'ESO wayshrine names'!$A$3:$B$9991,2,)</f>
        <v>Deleyn's Mill Wayshrine</v>
      </c>
      <c r="N5" s="3" t="str">
        <f>VLOOKUP(F5,'ESO zone constants'!$A$5:$D$10001,4,FALSE)</f>
        <v>Glenumbra</v>
      </c>
    </row>
    <row r="6" spans="1:14" x14ac:dyDescent="0.25">
      <c r="A6" s="94">
        <v>4</v>
      </c>
      <c r="B6">
        <v>2</v>
      </c>
      <c r="C6">
        <v>1</v>
      </c>
      <c r="D6" t="s">
        <v>103</v>
      </c>
      <c r="E6">
        <v>2</v>
      </c>
      <c r="F6">
        <v>3</v>
      </c>
      <c r="G6" t="s">
        <v>103</v>
      </c>
      <c r="H6">
        <v>1</v>
      </c>
      <c r="I6" t="s">
        <v>2782</v>
      </c>
      <c r="J6" s="30" t="str">
        <f t="shared" si="0"/>
        <v>[4]=3,</v>
      </c>
      <c r="K6" s="3">
        <f t="shared" si="1"/>
        <v>4</v>
      </c>
      <c r="L6" s="3">
        <f t="shared" si="2"/>
        <v>3</v>
      </c>
      <c r="M6" s="8" t="str">
        <f>VLOOKUP(A6,'ESO wayshrine names'!$A$3:$B$9991,2,)</f>
        <v>Eagle's Brook Wayshrine</v>
      </c>
      <c r="N6" s="3" t="str">
        <f>VLOOKUP(F6,'ESO zone constants'!$A$5:$D$10001,4,FALSE)</f>
        <v>Glenumbra</v>
      </c>
    </row>
    <row r="7" spans="1:14" x14ac:dyDescent="0.25">
      <c r="A7" s="94">
        <v>5</v>
      </c>
      <c r="B7">
        <v>2</v>
      </c>
      <c r="C7">
        <v>1</v>
      </c>
      <c r="D7" t="s">
        <v>103</v>
      </c>
      <c r="E7">
        <v>2</v>
      </c>
      <c r="F7">
        <v>3</v>
      </c>
      <c r="G7" t="s">
        <v>103</v>
      </c>
      <c r="H7">
        <v>1</v>
      </c>
      <c r="I7" t="s">
        <v>3787</v>
      </c>
      <c r="J7" s="30" t="str">
        <f t="shared" si="0"/>
        <v>[5]=3,</v>
      </c>
      <c r="K7" s="3">
        <f t="shared" si="1"/>
        <v>5</v>
      </c>
      <c r="L7" s="3">
        <f t="shared" si="2"/>
        <v>3</v>
      </c>
      <c r="M7" s="8" t="str">
        <f>VLOOKUP(A7,'ESO wayshrine names'!$A$3:$B$9991,2,)</f>
        <v>North Hag Fen Wayshrine</v>
      </c>
      <c r="N7" s="3" t="str">
        <f>VLOOKUP(F7,'ESO zone constants'!$A$5:$D$10001,4,FALSE)</f>
        <v>Glenumbra</v>
      </c>
    </row>
    <row r="8" spans="1:14" x14ac:dyDescent="0.25">
      <c r="A8" s="94">
        <v>6</v>
      </c>
      <c r="B8">
        <v>2</v>
      </c>
      <c r="C8">
        <v>1</v>
      </c>
      <c r="D8" t="s">
        <v>103</v>
      </c>
      <c r="E8">
        <v>2</v>
      </c>
      <c r="F8">
        <v>3</v>
      </c>
      <c r="G8" t="s">
        <v>103</v>
      </c>
      <c r="H8">
        <v>1</v>
      </c>
      <c r="I8" t="s">
        <v>2783</v>
      </c>
      <c r="J8" s="30" t="str">
        <f t="shared" si="0"/>
        <v>[6]=3,</v>
      </c>
      <c r="K8" s="3">
        <f t="shared" si="1"/>
        <v>6</v>
      </c>
      <c r="L8" s="3">
        <f t="shared" si="2"/>
        <v>3</v>
      </c>
      <c r="M8" s="8" t="str">
        <f>VLOOKUP(A8,'ESO wayshrine names'!$A$3:$B$9991,2,)</f>
        <v>Lion Guard Redoubt Wayshrine</v>
      </c>
      <c r="N8" s="3" t="str">
        <f>VLOOKUP(F8,'ESO zone constants'!$A$5:$D$10001,4,FALSE)</f>
        <v>Glenumbra</v>
      </c>
    </row>
    <row r="9" spans="1:14" x14ac:dyDescent="0.25">
      <c r="A9" s="94">
        <v>7</v>
      </c>
      <c r="B9">
        <v>2</v>
      </c>
      <c r="C9">
        <v>1</v>
      </c>
      <c r="D9" t="s">
        <v>103</v>
      </c>
      <c r="E9">
        <v>2</v>
      </c>
      <c r="F9">
        <v>3</v>
      </c>
      <c r="G9" t="s">
        <v>103</v>
      </c>
      <c r="H9">
        <v>1</v>
      </c>
      <c r="I9" t="s">
        <v>2784</v>
      </c>
      <c r="J9" s="30" t="str">
        <f t="shared" si="0"/>
        <v>[7]=3,</v>
      </c>
      <c r="K9" s="3">
        <f t="shared" si="1"/>
        <v>7</v>
      </c>
      <c r="L9" s="3">
        <f t="shared" si="2"/>
        <v>3</v>
      </c>
      <c r="M9" s="8" t="str">
        <f>VLOOKUP(A9,'ESO wayshrine names'!$A$3:$B$9991,2,)</f>
        <v>Crosswych Wayshrine</v>
      </c>
      <c r="N9" s="3" t="str">
        <f>VLOOKUP(F9,'ESO zone constants'!$A$5:$D$10001,4,FALSE)</f>
        <v>Glenumbra</v>
      </c>
    </row>
    <row r="10" spans="1:14" x14ac:dyDescent="0.25">
      <c r="A10" s="94">
        <v>8</v>
      </c>
      <c r="B10">
        <v>2</v>
      </c>
      <c r="C10">
        <v>1</v>
      </c>
      <c r="D10" t="s">
        <v>103</v>
      </c>
      <c r="E10">
        <v>2</v>
      </c>
      <c r="F10">
        <v>3</v>
      </c>
      <c r="G10" t="s">
        <v>103</v>
      </c>
      <c r="H10">
        <v>1</v>
      </c>
      <c r="I10" t="s">
        <v>2785</v>
      </c>
      <c r="J10" s="30" t="str">
        <f t="shared" si="0"/>
        <v>[8]=3,</v>
      </c>
      <c r="K10" s="3">
        <f t="shared" si="1"/>
        <v>8</v>
      </c>
      <c r="L10" s="3">
        <f t="shared" si="2"/>
        <v>3</v>
      </c>
      <c r="M10" s="8" t="str">
        <f>VLOOKUP(A10,'ESO wayshrine names'!$A$3:$B$9991,2,)</f>
        <v>Farwatch Wayshrine</v>
      </c>
      <c r="N10" s="3" t="str">
        <f>VLOOKUP(F10,'ESO zone constants'!$A$5:$D$10001,4,FALSE)</f>
        <v>Glenumbra</v>
      </c>
    </row>
    <row r="11" spans="1:14" x14ac:dyDescent="0.25">
      <c r="A11" s="94">
        <v>9</v>
      </c>
      <c r="B11">
        <v>3</v>
      </c>
      <c r="C11">
        <v>10</v>
      </c>
      <c r="D11" t="s">
        <v>2305</v>
      </c>
      <c r="E11">
        <v>5</v>
      </c>
      <c r="F11">
        <v>20</v>
      </c>
      <c r="G11" t="s">
        <v>2305</v>
      </c>
      <c r="H11">
        <v>1</v>
      </c>
      <c r="I11" t="s">
        <v>2786</v>
      </c>
      <c r="J11" s="30" t="str">
        <f t="shared" si="0"/>
        <v>[9]=20,</v>
      </c>
      <c r="K11" s="3">
        <f t="shared" si="1"/>
        <v>9</v>
      </c>
      <c r="L11" s="3">
        <f t="shared" si="2"/>
        <v>20</v>
      </c>
      <c r="M11" s="8" t="str">
        <f>VLOOKUP(A11,'ESO wayshrine names'!$A$3:$B$9991,2,)</f>
        <v>Oldgate Wayshrine</v>
      </c>
      <c r="N11" s="3" t="str">
        <f>VLOOKUP(F11,'ESO zone constants'!$A$5:$D$10001,4,FALSE)</f>
        <v>Rivenspire</v>
      </c>
    </row>
    <row r="12" spans="1:14" x14ac:dyDescent="0.25">
      <c r="A12" s="94">
        <v>10</v>
      </c>
      <c r="B12">
        <v>3</v>
      </c>
      <c r="C12">
        <v>10</v>
      </c>
      <c r="D12" t="s">
        <v>2305</v>
      </c>
      <c r="E12">
        <v>5</v>
      </c>
      <c r="F12">
        <v>20</v>
      </c>
      <c r="G12" t="s">
        <v>2305</v>
      </c>
      <c r="H12">
        <v>1</v>
      </c>
      <c r="I12" t="s">
        <v>2787</v>
      </c>
      <c r="J12" s="30" t="str">
        <f t="shared" si="0"/>
        <v>[10]=20,</v>
      </c>
      <c r="K12" s="3">
        <f t="shared" si="1"/>
        <v>10</v>
      </c>
      <c r="L12" s="3">
        <f t="shared" si="2"/>
        <v>20</v>
      </c>
      <c r="M12" s="8" t="str">
        <f>VLOOKUP(A12,'ESO wayshrine names'!$A$3:$B$9991,2,)</f>
        <v>Crestshade Wayshrine</v>
      </c>
      <c r="N12" s="3" t="str">
        <f>VLOOKUP(F12,'ESO zone constants'!$A$5:$D$10001,4,FALSE)</f>
        <v>Rivenspire</v>
      </c>
    </row>
    <row r="13" spans="1:14" x14ac:dyDescent="0.25">
      <c r="A13" s="94">
        <v>11</v>
      </c>
      <c r="B13">
        <v>3</v>
      </c>
      <c r="C13">
        <v>10</v>
      </c>
      <c r="D13" t="s">
        <v>2305</v>
      </c>
      <c r="E13">
        <v>5</v>
      </c>
      <c r="F13">
        <v>20</v>
      </c>
      <c r="G13" t="s">
        <v>2305</v>
      </c>
      <c r="H13">
        <v>1</v>
      </c>
      <c r="I13" t="s">
        <v>2788</v>
      </c>
      <c r="J13" s="30" t="str">
        <f t="shared" si="0"/>
        <v>[11]=20,</v>
      </c>
      <c r="K13" s="3">
        <f t="shared" si="1"/>
        <v>11</v>
      </c>
      <c r="L13" s="3">
        <f t="shared" si="2"/>
        <v>20</v>
      </c>
      <c r="M13" s="8" t="str">
        <f>VLOOKUP(A13,'ESO wayshrine names'!$A$3:$B$9991,2,)</f>
        <v>Tamrith Camp Wayshrine</v>
      </c>
      <c r="N13" s="3" t="str">
        <f>VLOOKUP(F13,'ESO zone constants'!$A$5:$D$10001,4,FALSE)</f>
        <v>Rivenspire</v>
      </c>
    </row>
    <row r="14" spans="1:14" x14ac:dyDescent="0.25">
      <c r="A14" s="94">
        <v>12</v>
      </c>
      <c r="B14">
        <v>3</v>
      </c>
      <c r="C14">
        <v>10</v>
      </c>
      <c r="D14" t="s">
        <v>2305</v>
      </c>
      <c r="E14">
        <v>5</v>
      </c>
      <c r="F14">
        <v>20</v>
      </c>
      <c r="G14" t="s">
        <v>2305</v>
      </c>
      <c r="H14">
        <v>1</v>
      </c>
      <c r="I14" t="s">
        <v>2789</v>
      </c>
      <c r="J14" s="30" t="str">
        <f t="shared" si="0"/>
        <v>[12]=20,</v>
      </c>
      <c r="K14" s="3">
        <f t="shared" si="1"/>
        <v>12</v>
      </c>
      <c r="L14" s="3">
        <f t="shared" si="2"/>
        <v>20</v>
      </c>
      <c r="M14" s="8" t="str">
        <f>VLOOKUP(A14,'ESO wayshrine names'!$A$3:$B$9991,2,)</f>
        <v>Boralis Wayshrine</v>
      </c>
      <c r="N14" s="3" t="str">
        <f>VLOOKUP(F14,'ESO zone constants'!$A$5:$D$10001,4,FALSE)</f>
        <v>Rivenspire</v>
      </c>
    </row>
    <row r="15" spans="1:14" x14ac:dyDescent="0.25">
      <c r="A15" s="94">
        <v>13</v>
      </c>
      <c r="B15">
        <v>3</v>
      </c>
      <c r="C15">
        <v>10</v>
      </c>
      <c r="D15" t="s">
        <v>2305</v>
      </c>
      <c r="E15">
        <v>5</v>
      </c>
      <c r="F15">
        <v>20</v>
      </c>
      <c r="G15" t="s">
        <v>2305</v>
      </c>
      <c r="H15">
        <v>1</v>
      </c>
      <c r="I15" t="s">
        <v>2790</v>
      </c>
      <c r="J15" s="30" t="str">
        <f t="shared" si="0"/>
        <v>[13]=20,</v>
      </c>
      <c r="K15" s="3">
        <f t="shared" si="1"/>
        <v>13</v>
      </c>
      <c r="L15" s="3">
        <f t="shared" si="2"/>
        <v>20</v>
      </c>
      <c r="M15" s="8" t="str">
        <f>VLOOKUP(A15,'ESO wayshrine names'!$A$3:$B$9991,2,)</f>
        <v>Staging Grounds Wayshrine</v>
      </c>
      <c r="N15" s="3" t="str">
        <f>VLOOKUP(F15,'ESO zone constants'!$A$5:$D$10001,4,FALSE)</f>
        <v>Rivenspire</v>
      </c>
    </row>
    <row r="16" spans="1:14" x14ac:dyDescent="0.25">
      <c r="A16" s="94">
        <v>14</v>
      </c>
      <c r="B16">
        <v>4</v>
      </c>
      <c r="C16">
        <v>12</v>
      </c>
      <c r="D16" t="s">
        <v>2306</v>
      </c>
      <c r="E16">
        <v>4</v>
      </c>
      <c r="F16">
        <v>19</v>
      </c>
      <c r="G16" t="s">
        <v>2306</v>
      </c>
      <c r="H16">
        <v>1</v>
      </c>
      <c r="I16" t="s">
        <v>3788</v>
      </c>
      <c r="J16" s="30" t="str">
        <f t="shared" si="0"/>
        <v>[14]=19,</v>
      </c>
      <c r="K16" s="3">
        <f t="shared" si="1"/>
        <v>14</v>
      </c>
      <c r="L16" s="3">
        <f t="shared" si="2"/>
        <v>19</v>
      </c>
      <c r="M16" s="8" t="str">
        <f>VLOOKUP(A16,'ESO wayshrine names'!$A$3:$B$9991,2,)</f>
        <v>Koeglin Village Wayshrine</v>
      </c>
      <c r="N16" s="3" t="str">
        <f>VLOOKUP(F16,'ESO zone constants'!$A$5:$D$10001,4,FALSE)</f>
        <v>Stormhaven</v>
      </c>
    </row>
    <row r="17" spans="1:14" x14ac:dyDescent="0.25">
      <c r="A17" s="94">
        <v>15</v>
      </c>
      <c r="B17">
        <v>4</v>
      </c>
      <c r="C17">
        <v>12</v>
      </c>
      <c r="D17" t="s">
        <v>2306</v>
      </c>
      <c r="E17">
        <v>4</v>
      </c>
      <c r="F17">
        <v>19</v>
      </c>
      <c r="G17" t="s">
        <v>2306</v>
      </c>
      <c r="H17">
        <v>1</v>
      </c>
      <c r="I17" t="s">
        <v>3789</v>
      </c>
      <c r="J17" s="30" t="str">
        <f t="shared" si="0"/>
        <v>[15]=19,</v>
      </c>
      <c r="K17" s="3">
        <f t="shared" si="1"/>
        <v>15</v>
      </c>
      <c r="L17" s="3">
        <f t="shared" si="2"/>
        <v>19</v>
      </c>
      <c r="M17" s="8" t="str">
        <f>VLOOKUP(A17,'ESO wayshrine names'!$A$3:$B$9991,2,)</f>
        <v>Alcaire Castle Wayshrine</v>
      </c>
      <c r="N17" s="3" t="str">
        <f>VLOOKUP(F17,'ESO zone constants'!$A$5:$D$10001,4,FALSE)</f>
        <v>Stormhaven</v>
      </c>
    </row>
    <row r="18" spans="1:14" x14ac:dyDescent="0.25">
      <c r="A18" s="94">
        <v>16</v>
      </c>
      <c r="B18">
        <v>4</v>
      </c>
      <c r="C18">
        <v>12</v>
      </c>
      <c r="D18" t="s">
        <v>2306</v>
      </c>
      <c r="E18">
        <v>4</v>
      </c>
      <c r="F18">
        <v>19</v>
      </c>
      <c r="G18" t="s">
        <v>2306</v>
      </c>
      <c r="H18">
        <v>1</v>
      </c>
      <c r="I18" t="s">
        <v>3790</v>
      </c>
      <c r="J18" s="30" t="str">
        <f t="shared" si="0"/>
        <v>[16]=19,</v>
      </c>
      <c r="K18" s="3">
        <f t="shared" si="1"/>
        <v>16</v>
      </c>
      <c r="L18" s="3">
        <f t="shared" si="2"/>
        <v>19</v>
      </c>
      <c r="M18" s="8" t="str">
        <f>VLOOKUP(A18,'ESO wayshrine names'!$A$3:$B$9991,2,)</f>
        <v>Firebrand Keep Wayshrine</v>
      </c>
      <c r="N18" s="3" t="str">
        <f>VLOOKUP(F18,'ESO zone constants'!$A$5:$D$10001,4,FALSE)</f>
        <v>Stormhaven</v>
      </c>
    </row>
    <row r="19" spans="1:14" x14ac:dyDescent="0.25">
      <c r="A19" s="94">
        <v>17</v>
      </c>
      <c r="B19">
        <v>4</v>
      </c>
      <c r="C19">
        <v>12</v>
      </c>
      <c r="D19" t="s">
        <v>2306</v>
      </c>
      <c r="E19">
        <v>4</v>
      </c>
      <c r="F19">
        <v>19</v>
      </c>
      <c r="G19" t="s">
        <v>2306</v>
      </c>
      <c r="H19">
        <v>1</v>
      </c>
      <c r="I19" t="s">
        <v>3791</v>
      </c>
      <c r="J19" s="30" t="str">
        <f t="shared" si="0"/>
        <v>[17]=19,</v>
      </c>
      <c r="K19" s="3">
        <f t="shared" si="1"/>
        <v>17</v>
      </c>
      <c r="L19" s="3">
        <f t="shared" si="2"/>
        <v>19</v>
      </c>
      <c r="M19" s="8" t="str">
        <f>VLOOKUP(A19,'ESO wayshrine names'!$A$3:$B$9991,2,)</f>
        <v>Bonesnap Ruins Wayshrine</v>
      </c>
      <c r="N19" s="3" t="str">
        <f>VLOOKUP(F19,'ESO zone constants'!$A$5:$D$10001,4,FALSE)</f>
        <v>Stormhaven</v>
      </c>
    </row>
    <row r="20" spans="1:14" x14ac:dyDescent="0.25">
      <c r="A20" s="94">
        <v>18</v>
      </c>
      <c r="B20">
        <v>4</v>
      </c>
      <c r="C20">
        <v>12</v>
      </c>
      <c r="D20" t="s">
        <v>2306</v>
      </c>
      <c r="E20">
        <v>4</v>
      </c>
      <c r="F20">
        <v>19</v>
      </c>
      <c r="G20" t="s">
        <v>2306</v>
      </c>
      <c r="H20">
        <v>1</v>
      </c>
      <c r="I20" t="s">
        <v>3792</v>
      </c>
      <c r="J20" s="30" t="str">
        <f t="shared" si="0"/>
        <v>[18]=19,</v>
      </c>
      <c r="K20" s="3">
        <f t="shared" si="1"/>
        <v>18</v>
      </c>
      <c r="L20" s="3">
        <f t="shared" si="2"/>
        <v>19</v>
      </c>
      <c r="M20" s="8" t="str">
        <f>VLOOKUP(A20,'ESO wayshrine names'!$A$3:$B$9991,2,)</f>
        <v>Soulshriven Wayshrine</v>
      </c>
      <c r="N20" s="3" t="str">
        <f>VLOOKUP(F20,'ESO zone constants'!$A$5:$D$10001,4,FALSE)</f>
        <v>Stormhaven</v>
      </c>
    </row>
    <row r="21" spans="1:14" x14ac:dyDescent="0.25">
      <c r="A21" s="94">
        <v>19</v>
      </c>
      <c r="B21">
        <v>4</v>
      </c>
      <c r="C21">
        <v>12</v>
      </c>
      <c r="D21" t="s">
        <v>2306</v>
      </c>
      <c r="E21">
        <v>4</v>
      </c>
      <c r="F21">
        <v>19</v>
      </c>
      <c r="G21" t="s">
        <v>2306</v>
      </c>
      <c r="H21">
        <v>1</v>
      </c>
      <c r="I21" t="s">
        <v>3793</v>
      </c>
      <c r="J21" s="30" t="str">
        <f t="shared" si="0"/>
        <v>[19]=19,</v>
      </c>
      <c r="K21" s="3">
        <f t="shared" si="1"/>
        <v>19</v>
      </c>
      <c r="L21" s="3">
        <f t="shared" si="2"/>
        <v>19</v>
      </c>
      <c r="M21" s="8" t="str">
        <f>VLOOKUP(A21,'ESO wayshrine names'!$A$3:$B$9991,2,)</f>
        <v>Pariah Abbey Wayshrine</v>
      </c>
      <c r="N21" s="3" t="str">
        <f>VLOOKUP(F21,'ESO zone constants'!$A$5:$D$10001,4,FALSE)</f>
        <v>Stormhaven</v>
      </c>
    </row>
    <row r="22" spans="1:14" x14ac:dyDescent="0.25">
      <c r="A22" s="94">
        <v>20</v>
      </c>
      <c r="B22">
        <v>2</v>
      </c>
      <c r="C22">
        <v>1</v>
      </c>
      <c r="D22" t="s">
        <v>103</v>
      </c>
      <c r="E22">
        <v>2</v>
      </c>
      <c r="F22">
        <v>3</v>
      </c>
      <c r="G22" t="s">
        <v>103</v>
      </c>
      <c r="H22">
        <v>1</v>
      </c>
      <c r="I22" t="s">
        <v>2791</v>
      </c>
      <c r="J22" s="30" t="str">
        <f t="shared" si="0"/>
        <v>[20]=3,</v>
      </c>
      <c r="K22" s="3">
        <f t="shared" si="1"/>
        <v>20</v>
      </c>
      <c r="L22" s="3">
        <f t="shared" si="2"/>
        <v>3</v>
      </c>
      <c r="M22" s="8" t="str">
        <f>VLOOKUP(A22,'ESO wayshrine names'!$A$3:$B$9991,2,)</f>
        <v>Baelborne Rock Wayshrine</v>
      </c>
      <c r="N22" s="3" t="str">
        <f>VLOOKUP(F22,'ESO zone constants'!$A$5:$D$10001,4,FALSE)</f>
        <v>Glenumbra</v>
      </c>
    </row>
    <row r="23" spans="1:14" x14ac:dyDescent="0.25">
      <c r="A23" s="94">
        <v>21</v>
      </c>
      <c r="B23">
        <v>7</v>
      </c>
      <c r="C23">
        <v>9</v>
      </c>
      <c r="D23" t="s">
        <v>2289</v>
      </c>
      <c r="E23">
        <v>181</v>
      </c>
      <c r="F23">
        <v>383</v>
      </c>
      <c r="G23" t="s">
        <v>2289</v>
      </c>
      <c r="H23">
        <v>1</v>
      </c>
      <c r="I23" t="s">
        <v>2792</v>
      </c>
      <c r="J23" s="30" t="str">
        <f t="shared" si="0"/>
        <v>[21]=383,</v>
      </c>
      <c r="K23" s="3">
        <f t="shared" si="1"/>
        <v>21</v>
      </c>
      <c r="L23" s="3">
        <f t="shared" si="2"/>
        <v>383</v>
      </c>
      <c r="M23" s="8" t="str">
        <f>VLOOKUP(A23,'ESO wayshrine names'!$A$3:$B$9991,2,)</f>
        <v>Elden Root Temple Wayshrine</v>
      </c>
      <c r="N23" s="3" t="str">
        <f>VLOOKUP(F23,'ESO zone constants'!$A$5:$D$10001,4,FALSE)</f>
        <v>Grahtwood</v>
      </c>
    </row>
    <row r="24" spans="1:14" x14ac:dyDescent="0.25">
      <c r="A24" s="94">
        <v>22</v>
      </c>
      <c r="B24">
        <v>4</v>
      </c>
      <c r="C24">
        <v>12</v>
      </c>
      <c r="D24" t="s">
        <v>2306</v>
      </c>
      <c r="E24">
        <v>4</v>
      </c>
      <c r="F24">
        <v>19</v>
      </c>
      <c r="G24" t="s">
        <v>2306</v>
      </c>
      <c r="H24">
        <v>1</v>
      </c>
      <c r="I24" t="s">
        <v>3794</v>
      </c>
      <c r="J24" s="30" t="str">
        <f t="shared" si="0"/>
        <v>[22]=19,</v>
      </c>
      <c r="K24" s="3">
        <f t="shared" si="1"/>
        <v>22</v>
      </c>
      <c r="L24" s="3">
        <f t="shared" si="2"/>
        <v>19</v>
      </c>
      <c r="M24" s="8" t="str">
        <f>VLOOKUP(A24,'ESO wayshrine names'!$A$3:$B$9991,2,)</f>
        <v>Wind Keep Wayshrine</v>
      </c>
      <c r="N24" s="3" t="str">
        <f>VLOOKUP(F24,'ESO zone constants'!$A$5:$D$10001,4,FALSE)</f>
        <v>Stormhaven</v>
      </c>
    </row>
    <row r="25" spans="1:14" x14ac:dyDescent="0.25">
      <c r="A25" s="94">
        <v>23</v>
      </c>
      <c r="B25">
        <v>4</v>
      </c>
      <c r="C25">
        <v>12</v>
      </c>
      <c r="D25" t="s">
        <v>2306</v>
      </c>
      <c r="E25">
        <v>4</v>
      </c>
      <c r="F25">
        <v>19</v>
      </c>
      <c r="G25" t="s">
        <v>2306</v>
      </c>
      <c r="H25">
        <v>1</v>
      </c>
      <c r="I25" t="s">
        <v>3795</v>
      </c>
      <c r="J25" s="30" t="str">
        <f t="shared" si="0"/>
        <v>[23]=19,</v>
      </c>
      <c r="K25" s="3">
        <f t="shared" si="1"/>
        <v>23</v>
      </c>
      <c r="L25" s="3">
        <f t="shared" si="2"/>
        <v>19</v>
      </c>
      <c r="M25" s="8" t="str">
        <f>VLOOKUP(A25,'ESO wayshrine names'!$A$3:$B$9991,2,)</f>
        <v>Dro-Dara Plantation Wayshrine</v>
      </c>
      <c r="N25" s="3" t="str">
        <f>VLOOKUP(F25,'ESO zone constants'!$A$5:$D$10001,4,FALSE)</f>
        <v>Stormhaven</v>
      </c>
    </row>
    <row r="26" spans="1:14" x14ac:dyDescent="0.25">
      <c r="A26" s="94">
        <v>24</v>
      </c>
      <c r="B26">
        <v>10</v>
      </c>
      <c r="C26">
        <v>13</v>
      </c>
      <c r="D26" t="s">
        <v>107</v>
      </c>
      <c r="E26">
        <v>10</v>
      </c>
      <c r="F26">
        <v>57</v>
      </c>
      <c r="G26" t="s">
        <v>107</v>
      </c>
      <c r="H26">
        <v>1</v>
      </c>
      <c r="I26" t="s">
        <v>2793</v>
      </c>
      <c r="J26" s="30" t="str">
        <f t="shared" si="0"/>
        <v>[24]=57,</v>
      </c>
      <c r="K26" s="3">
        <f t="shared" si="1"/>
        <v>24</v>
      </c>
      <c r="L26" s="3">
        <f t="shared" si="2"/>
        <v>57</v>
      </c>
      <c r="M26" s="8" t="str">
        <f>VLOOKUP(A26,'ESO wayshrine names'!$A$3:$B$9991,2,)</f>
        <v>West Narsis Wayshrine</v>
      </c>
      <c r="N26" s="3" t="str">
        <f>VLOOKUP(F26,'ESO zone constants'!$A$5:$D$10001,4,FALSE)</f>
        <v>Deshaan</v>
      </c>
    </row>
    <row r="27" spans="1:14" x14ac:dyDescent="0.25">
      <c r="A27" s="94">
        <v>25</v>
      </c>
      <c r="B27">
        <v>10</v>
      </c>
      <c r="C27">
        <v>13</v>
      </c>
      <c r="D27" t="s">
        <v>107</v>
      </c>
      <c r="E27">
        <v>10</v>
      </c>
      <c r="F27">
        <v>57</v>
      </c>
      <c r="G27" t="s">
        <v>107</v>
      </c>
      <c r="H27">
        <v>1</v>
      </c>
      <c r="I27" t="s">
        <v>2794</v>
      </c>
      <c r="J27" s="30" t="str">
        <f t="shared" si="0"/>
        <v>[25]=57,</v>
      </c>
      <c r="K27" s="3">
        <f t="shared" si="1"/>
        <v>25</v>
      </c>
      <c r="L27" s="3">
        <f t="shared" si="2"/>
        <v>57</v>
      </c>
      <c r="M27" s="8" t="str">
        <f>VLOOKUP(A27,'ESO wayshrine names'!$A$3:$B$9991,2,)</f>
        <v>Muth Gnaar Hills Wayshrine</v>
      </c>
      <c r="N27" s="3" t="str">
        <f>VLOOKUP(F27,'ESO zone constants'!$A$5:$D$10001,4,FALSE)</f>
        <v>Deshaan</v>
      </c>
    </row>
    <row r="28" spans="1:14" x14ac:dyDescent="0.25">
      <c r="A28" s="94">
        <v>26</v>
      </c>
      <c r="B28">
        <v>10</v>
      </c>
      <c r="C28">
        <v>13</v>
      </c>
      <c r="D28" t="s">
        <v>107</v>
      </c>
      <c r="E28">
        <v>10</v>
      </c>
      <c r="F28">
        <v>57</v>
      </c>
      <c r="G28" t="s">
        <v>107</v>
      </c>
      <c r="H28">
        <v>1</v>
      </c>
      <c r="I28" t="s">
        <v>2795</v>
      </c>
      <c r="J28" s="30" t="str">
        <f t="shared" si="0"/>
        <v>[26]=57,</v>
      </c>
      <c r="K28" s="3">
        <f t="shared" si="1"/>
        <v>26</v>
      </c>
      <c r="L28" s="3">
        <f t="shared" si="2"/>
        <v>57</v>
      </c>
      <c r="M28" s="8" t="str">
        <f>VLOOKUP(A28,'ESO wayshrine names'!$A$3:$B$9991,2,)</f>
        <v>Quarantine Serk Wayshrine</v>
      </c>
      <c r="N28" s="3" t="str">
        <f>VLOOKUP(F28,'ESO zone constants'!$A$5:$D$10001,4,FALSE)</f>
        <v>Deshaan</v>
      </c>
    </row>
    <row r="29" spans="1:14" x14ac:dyDescent="0.25">
      <c r="A29" s="94">
        <v>27</v>
      </c>
      <c r="B29">
        <v>10</v>
      </c>
      <c r="C29">
        <v>13</v>
      </c>
      <c r="D29" t="s">
        <v>107</v>
      </c>
      <c r="E29">
        <v>10</v>
      </c>
      <c r="F29">
        <v>57</v>
      </c>
      <c r="G29" t="s">
        <v>107</v>
      </c>
      <c r="H29">
        <v>1</v>
      </c>
      <c r="I29" t="s">
        <v>2796</v>
      </c>
      <c r="J29" s="30" t="str">
        <f t="shared" si="0"/>
        <v>[27]=57,</v>
      </c>
      <c r="K29" s="3">
        <f t="shared" si="1"/>
        <v>27</v>
      </c>
      <c r="L29" s="3">
        <f t="shared" si="2"/>
        <v>57</v>
      </c>
      <c r="M29" s="8" t="str">
        <f>VLOOKUP(A29,'ESO wayshrine names'!$A$3:$B$9991,2,)</f>
        <v>Ghost Snake Vale Wayshrine</v>
      </c>
      <c r="N29" s="3" t="str">
        <f>VLOOKUP(F29,'ESO zone constants'!$A$5:$D$10001,4,FALSE)</f>
        <v>Deshaan</v>
      </c>
    </row>
    <row r="30" spans="1:14" x14ac:dyDescent="0.25">
      <c r="A30" s="94">
        <v>28</v>
      </c>
      <c r="B30">
        <v>10</v>
      </c>
      <c r="C30">
        <v>13</v>
      </c>
      <c r="D30" t="s">
        <v>107</v>
      </c>
      <c r="E30">
        <v>10</v>
      </c>
      <c r="F30">
        <v>57</v>
      </c>
      <c r="G30" t="s">
        <v>107</v>
      </c>
      <c r="H30">
        <v>1</v>
      </c>
      <c r="I30" t="s">
        <v>2797</v>
      </c>
      <c r="J30" s="30" t="str">
        <f t="shared" si="0"/>
        <v>[28]=57,</v>
      </c>
      <c r="K30" s="3">
        <f t="shared" si="1"/>
        <v>28</v>
      </c>
      <c r="L30" s="3">
        <f t="shared" si="2"/>
        <v>57</v>
      </c>
      <c r="M30" s="8" t="str">
        <f>VLOOKUP(A30,'ESO wayshrine names'!$A$3:$B$9991,2,)</f>
        <v>Mournhold Wayshrine</v>
      </c>
      <c r="N30" s="3" t="str">
        <f>VLOOKUP(F30,'ESO zone constants'!$A$5:$D$10001,4,FALSE)</f>
        <v>Deshaan</v>
      </c>
    </row>
    <row r="31" spans="1:14" x14ac:dyDescent="0.25">
      <c r="A31" s="94">
        <v>29</v>
      </c>
      <c r="B31">
        <v>10</v>
      </c>
      <c r="C31">
        <v>13</v>
      </c>
      <c r="D31" t="s">
        <v>107</v>
      </c>
      <c r="E31">
        <v>10</v>
      </c>
      <c r="F31">
        <v>57</v>
      </c>
      <c r="G31" t="s">
        <v>107</v>
      </c>
      <c r="H31">
        <v>1</v>
      </c>
      <c r="I31" t="s">
        <v>3186</v>
      </c>
      <c r="J31" s="30" t="str">
        <f t="shared" si="0"/>
        <v>[29]=57,</v>
      </c>
      <c r="K31" s="3">
        <f t="shared" si="1"/>
        <v>29</v>
      </c>
      <c r="L31" s="3">
        <f t="shared" si="2"/>
        <v>57</v>
      </c>
      <c r="M31" s="8" t="str">
        <f>VLOOKUP(A31,'ESO wayshrine names'!$A$3:$B$9991,2,)</f>
        <v>Tal'Deic Grounds Wayshrine</v>
      </c>
      <c r="N31" s="3" t="str">
        <f>VLOOKUP(F31,'ESO zone constants'!$A$5:$D$10001,4,FALSE)</f>
        <v>Deshaan</v>
      </c>
    </row>
    <row r="32" spans="1:14" x14ac:dyDescent="0.25">
      <c r="A32" s="94">
        <v>30</v>
      </c>
      <c r="B32">
        <v>10</v>
      </c>
      <c r="C32">
        <v>13</v>
      </c>
      <c r="D32" t="s">
        <v>107</v>
      </c>
      <c r="E32">
        <v>10</v>
      </c>
      <c r="F32">
        <v>57</v>
      </c>
      <c r="G32" t="s">
        <v>107</v>
      </c>
      <c r="H32">
        <v>1</v>
      </c>
      <c r="I32" t="s">
        <v>2798</v>
      </c>
      <c r="J32" s="30" t="str">
        <f t="shared" si="0"/>
        <v>[30]=57,</v>
      </c>
      <c r="K32" s="3">
        <f t="shared" si="1"/>
        <v>30</v>
      </c>
      <c r="L32" s="3">
        <f t="shared" si="2"/>
        <v>57</v>
      </c>
      <c r="M32" s="8" t="str">
        <f>VLOOKUP(A32,'ESO wayshrine names'!$A$3:$B$9991,2,)</f>
        <v>Obsidian Gorge Wayshrine</v>
      </c>
      <c r="N32" s="3" t="str">
        <f>VLOOKUP(F32,'ESO zone constants'!$A$5:$D$10001,4,FALSE)</f>
        <v>Deshaan</v>
      </c>
    </row>
    <row r="33" spans="1:14" x14ac:dyDescent="0.25">
      <c r="A33" s="94">
        <v>31</v>
      </c>
      <c r="B33">
        <v>4</v>
      </c>
      <c r="C33">
        <v>12</v>
      </c>
      <c r="D33" t="s">
        <v>2306</v>
      </c>
      <c r="E33">
        <v>4</v>
      </c>
      <c r="F33">
        <v>19</v>
      </c>
      <c r="G33" t="s">
        <v>2306</v>
      </c>
      <c r="H33">
        <v>1</v>
      </c>
      <c r="I33" t="s">
        <v>3796</v>
      </c>
      <c r="J33" s="30" t="str">
        <f t="shared" si="0"/>
        <v>[31]=19,</v>
      </c>
      <c r="K33" s="3">
        <f t="shared" si="1"/>
        <v>31</v>
      </c>
      <c r="L33" s="3">
        <f t="shared" si="2"/>
        <v>19</v>
      </c>
      <c r="M33" s="8" t="str">
        <f>VLOOKUP(A33,'ESO wayshrine names'!$A$3:$B$9991,2,)</f>
        <v>Weeping Giant Wayshrine</v>
      </c>
      <c r="N33" s="3" t="str">
        <f>VLOOKUP(F33,'ESO zone constants'!$A$5:$D$10001,4,FALSE)</f>
        <v>Stormhaven</v>
      </c>
    </row>
    <row r="34" spans="1:14" x14ac:dyDescent="0.25">
      <c r="A34" s="94">
        <v>32</v>
      </c>
      <c r="B34">
        <v>10</v>
      </c>
      <c r="C34">
        <v>13</v>
      </c>
      <c r="D34" t="s">
        <v>107</v>
      </c>
      <c r="E34">
        <v>10</v>
      </c>
      <c r="F34">
        <v>57</v>
      </c>
      <c r="G34" t="s">
        <v>107</v>
      </c>
      <c r="H34">
        <v>1</v>
      </c>
      <c r="I34" t="s">
        <v>2799</v>
      </c>
      <c r="J34" s="30" t="str">
        <f t="shared" si="0"/>
        <v>[32]=57,</v>
      </c>
      <c r="K34" s="3">
        <f t="shared" si="1"/>
        <v>32</v>
      </c>
      <c r="L34" s="3">
        <f t="shared" si="2"/>
        <v>57</v>
      </c>
      <c r="M34" s="8" t="str">
        <f>VLOOKUP(A34,'ESO wayshrine names'!$A$3:$B$9991,2,)</f>
        <v>Mzithumz Wayshrine</v>
      </c>
      <c r="N34" s="3" t="str">
        <f>VLOOKUP(F34,'ESO zone constants'!$A$5:$D$10001,4,FALSE)</f>
        <v>Deshaan</v>
      </c>
    </row>
    <row r="35" spans="1:14" x14ac:dyDescent="0.25">
      <c r="A35" s="94">
        <v>33</v>
      </c>
      <c r="B35">
        <v>6</v>
      </c>
      <c r="C35">
        <v>20</v>
      </c>
      <c r="D35" t="s">
        <v>109</v>
      </c>
      <c r="E35">
        <v>14</v>
      </c>
      <c r="F35">
        <v>92</v>
      </c>
      <c r="G35" t="s">
        <v>109</v>
      </c>
      <c r="H35">
        <v>1</v>
      </c>
      <c r="I35" t="s">
        <v>2800</v>
      </c>
      <c r="J35" s="30" t="str">
        <f t="shared" si="0"/>
        <v>[33]=92,</v>
      </c>
      <c r="K35" s="3">
        <f t="shared" si="1"/>
        <v>33</v>
      </c>
      <c r="L35" s="3">
        <f t="shared" si="2"/>
        <v>92</v>
      </c>
      <c r="M35" s="8" t="str">
        <f>VLOOKUP(A35,'ESO wayshrine names'!$A$3:$B$9991,2,)</f>
        <v>Evermore Wayshrine</v>
      </c>
      <c r="N35" s="3" t="str">
        <f>VLOOKUP(F35,'ESO zone constants'!$A$5:$D$10001,4,FALSE)</f>
        <v>Bangkorai</v>
      </c>
    </row>
    <row r="36" spans="1:14" x14ac:dyDescent="0.25">
      <c r="A36" s="94">
        <v>34</v>
      </c>
      <c r="B36">
        <v>6</v>
      </c>
      <c r="C36">
        <v>20</v>
      </c>
      <c r="D36" t="s">
        <v>109</v>
      </c>
      <c r="E36">
        <v>14</v>
      </c>
      <c r="F36">
        <v>92</v>
      </c>
      <c r="G36" t="s">
        <v>109</v>
      </c>
      <c r="H36">
        <v>1</v>
      </c>
      <c r="I36" t="s">
        <v>2801</v>
      </c>
      <c r="J36" s="30" t="str">
        <f t="shared" si="0"/>
        <v>[34]=92,</v>
      </c>
      <c r="K36" s="3">
        <f t="shared" si="1"/>
        <v>34</v>
      </c>
      <c r="L36" s="3">
        <f t="shared" si="2"/>
        <v>92</v>
      </c>
      <c r="M36" s="8" t="str">
        <f>VLOOKUP(A36,'ESO wayshrine names'!$A$3:$B$9991,2,)</f>
        <v>Troll's Toothpick Wayshrine</v>
      </c>
      <c r="N36" s="3" t="str">
        <f>VLOOKUP(F36,'ESO zone constants'!$A$5:$D$10001,4,FALSE)</f>
        <v>Bangkorai</v>
      </c>
    </row>
    <row r="37" spans="1:14" x14ac:dyDescent="0.25">
      <c r="A37" s="94">
        <v>35</v>
      </c>
      <c r="B37">
        <v>6</v>
      </c>
      <c r="C37">
        <v>20</v>
      </c>
      <c r="D37" t="s">
        <v>109</v>
      </c>
      <c r="E37">
        <v>14</v>
      </c>
      <c r="F37">
        <v>92</v>
      </c>
      <c r="G37" t="s">
        <v>109</v>
      </c>
      <c r="H37">
        <v>1</v>
      </c>
      <c r="I37" t="s">
        <v>2802</v>
      </c>
      <c r="J37" s="30" t="str">
        <f t="shared" si="0"/>
        <v>[35]=92,</v>
      </c>
      <c r="K37" s="3">
        <f t="shared" si="1"/>
        <v>35</v>
      </c>
      <c r="L37" s="3">
        <f t="shared" si="2"/>
        <v>92</v>
      </c>
      <c r="M37" s="8" t="str">
        <f>VLOOKUP(A37,'ESO wayshrine names'!$A$3:$B$9991,2,)</f>
        <v>Viridian Woods Wayshrine</v>
      </c>
      <c r="N37" s="3" t="str">
        <f>VLOOKUP(F37,'ESO zone constants'!$A$5:$D$10001,4,FALSE)</f>
        <v>Bangkorai</v>
      </c>
    </row>
    <row r="38" spans="1:14" x14ac:dyDescent="0.25">
      <c r="A38" s="94">
        <v>36</v>
      </c>
      <c r="B38">
        <v>6</v>
      </c>
      <c r="C38">
        <v>20</v>
      </c>
      <c r="D38" t="s">
        <v>109</v>
      </c>
      <c r="E38">
        <v>14</v>
      </c>
      <c r="F38">
        <v>92</v>
      </c>
      <c r="G38" t="s">
        <v>109</v>
      </c>
      <c r="H38">
        <v>1</v>
      </c>
      <c r="I38" t="s">
        <v>2803</v>
      </c>
      <c r="J38" s="30" t="str">
        <f t="shared" si="0"/>
        <v>[36]=92,</v>
      </c>
      <c r="K38" s="3">
        <f t="shared" si="1"/>
        <v>36</v>
      </c>
      <c r="L38" s="3">
        <f t="shared" si="2"/>
        <v>92</v>
      </c>
      <c r="M38" s="8" t="str">
        <f>VLOOKUP(A38,'ESO wayshrine names'!$A$3:$B$9991,2,)</f>
        <v>Bangkorai Pass Wayshrine</v>
      </c>
      <c r="N38" s="3" t="str">
        <f>VLOOKUP(F38,'ESO zone constants'!$A$5:$D$10001,4,FALSE)</f>
        <v>Bangkorai</v>
      </c>
    </row>
    <row r="39" spans="1:14" x14ac:dyDescent="0.25">
      <c r="A39" s="94">
        <v>37</v>
      </c>
      <c r="B39">
        <v>6</v>
      </c>
      <c r="C39">
        <v>20</v>
      </c>
      <c r="D39" t="s">
        <v>109</v>
      </c>
      <c r="E39">
        <v>14</v>
      </c>
      <c r="F39">
        <v>92</v>
      </c>
      <c r="G39" t="s">
        <v>109</v>
      </c>
      <c r="H39">
        <v>1</v>
      </c>
      <c r="I39" t="s">
        <v>2804</v>
      </c>
      <c r="J39" s="30" t="str">
        <f t="shared" si="0"/>
        <v>[37]=92,</v>
      </c>
      <c r="K39" s="3">
        <f t="shared" si="1"/>
        <v>37</v>
      </c>
      <c r="L39" s="3">
        <f t="shared" si="2"/>
        <v>92</v>
      </c>
      <c r="M39" s="8" t="str">
        <f>VLOOKUP(A39,'ESO wayshrine names'!$A$3:$B$9991,2,)</f>
        <v>Nilata Ruins Wayshrine</v>
      </c>
      <c r="N39" s="3" t="str">
        <f>VLOOKUP(F39,'ESO zone constants'!$A$5:$D$10001,4,FALSE)</f>
        <v>Bangkorai</v>
      </c>
    </row>
    <row r="40" spans="1:14" x14ac:dyDescent="0.25">
      <c r="A40" s="94">
        <v>38</v>
      </c>
      <c r="B40">
        <v>6</v>
      </c>
      <c r="C40">
        <v>20</v>
      </c>
      <c r="D40" t="s">
        <v>109</v>
      </c>
      <c r="E40">
        <v>14</v>
      </c>
      <c r="F40">
        <v>92</v>
      </c>
      <c r="G40" t="s">
        <v>109</v>
      </c>
      <c r="H40">
        <v>1</v>
      </c>
      <c r="I40" t="s">
        <v>2805</v>
      </c>
      <c r="J40" s="30" t="str">
        <f t="shared" si="0"/>
        <v>[38]=92,</v>
      </c>
      <c r="K40" s="3">
        <f t="shared" si="1"/>
        <v>38</v>
      </c>
      <c r="L40" s="3">
        <f t="shared" si="2"/>
        <v>92</v>
      </c>
      <c r="M40" s="8" t="str">
        <f>VLOOKUP(A40,'ESO wayshrine names'!$A$3:$B$9991,2,)</f>
        <v>Hallin's Stand Wayshrine</v>
      </c>
      <c r="N40" s="3" t="str">
        <f>VLOOKUP(F40,'ESO zone constants'!$A$5:$D$10001,4,FALSE)</f>
        <v>Bangkorai</v>
      </c>
    </row>
    <row r="41" spans="1:14" x14ac:dyDescent="0.25">
      <c r="A41" s="94">
        <v>39</v>
      </c>
      <c r="B41">
        <v>6</v>
      </c>
      <c r="C41">
        <v>20</v>
      </c>
      <c r="D41" t="s">
        <v>109</v>
      </c>
      <c r="E41">
        <v>14</v>
      </c>
      <c r="F41">
        <v>92</v>
      </c>
      <c r="G41" t="s">
        <v>109</v>
      </c>
      <c r="H41">
        <v>1</v>
      </c>
      <c r="I41" t="s">
        <v>2806</v>
      </c>
      <c r="J41" s="30" t="str">
        <f t="shared" si="0"/>
        <v>[39]=92,</v>
      </c>
      <c r="K41" s="3">
        <f t="shared" si="1"/>
        <v>39</v>
      </c>
      <c r="L41" s="3">
        <f t="shared" si="2"/>
        <v>92</v>
      </c>
      <c r="M41" s="8" t="str">
        <f>VLOOKUP(A41,'ESO wayshrine names'!$A$3:$B$9991,2,)</f>
        <v>Old Tower Wayshrine</v>
      </c>
      <c r="N41" s="3" t="str">
        <f>VLOOKUP(F41,'ESO zone constants'!$A$5:$D$10001,4,FALSE)</f>
        <v>Bangkorai</v>
      </c>
    </row>
    <row r="42" spans="1:14" x14ac:dyDescent="0.25">
      <c r="A42" s="94">
        <v>40</v>
      </c>
      <c r="B42">
        <v>6</v>
      </c>
      <c r="C42">
        <v>20</v>
      </c>
      <c r="D42" t="s">
        <v>109</v>
      </c>
      <c r="E42">
        <v>14</v>
      </c>
      <c r="F42">
        <v>92</v>
      </c>
      <c r="G42" t="s">
        <v>109</v>
      </c>
      <c r="H42">
        <v>1</v>
      </c>
      <c r="I42" t="s">
        <v>2807</v>
      </c>
      <c r="J42" s="30" t="str">
        <f t="shared" si="0"/>
        <v>[40]=92,</v>
      </c>
      <c r="K42" s="3">
        <f t="shared" si="1"/>
        <v>40</v>
      </c>
      <c r="L42" s="3">
        <f t="shared" si="2"/>
        <v>92</v>
      </c>
      <c r="M42" s="8" t="str">
        <f>VLOOKUP(A42,'ESO wayshrine names'!$A$3:$B$9991,2,)</f>
        <v>Onsi's Breath Wayshrine</v>
      </c>
      <c r="N42" s="3" t="str">
        <f>VLOOKUP(F42,'ESO zone constants'!$A$5:$D$10001,4,FALSE)</f>
        <v>Bangkorai</v>
      </c>
    </row>
    <row r="43" spans="1:14" x14ac:dyDescent="0.25">
      <c r="A43" s="94">
        <v>41</v>
      </c>
      <c r="B43">
        <v>11</v>
      </c>
      <c r="C43">
        <v>7</v>
      </c>
      <c r="D43" t="s">
        <v>2310</v>
      </c>
      <c r="E43">
        <v>9</v>
      </c>
      <c r="F43">
        <v>41</v>
      </c>
      <c r="G43" t="s">
        <v>2310</v>
      </c>
      <c r="H43">
        <v>1</v>
      </c>
      <c r="I43" t="s">
        <v>2808</v>
      </c>
      <c r="J43" s="30" t="str">
        <f t="shared" si="0"/>
        <v>[41]=41,</v>
      </c>
      <c r="K43" s="3">
        <f t="shared" si="1"/>
        <v>41</v>
      </c>
      <c r="L43" s="3">
        <f t="shared" si="2"/>
        <v>41</v>
      </c>
      <c r="M43" s="8" t="str">
        <f>VLOOKUP(A43,'ESO wayshrine names'!$A$3:$B$9991,2,)</f>
        <v>Fort Arand Wayshrine</v>
      </c>
      <c r="N43" s="3" t="str">
        <f>VLOOKUP(F43,'ESO zone constants'!$A$5:$D$10001,4,FALSE)</f>
        <v>Stonefalls</v>
      </c>
    </row>
    <row r="44" spans="1:14" x14ac:dyDescent="0.25">
      <c r="A44" s="94">
        <v>42</v>
      </c>
      <c r="B44">
        <v>5</v>
      </c>
      <c r="C44">
        <v>30</v>
      </c>
      <c r="D44" t="s">
        <v>3187</v>
      </c>
      <c r="E44">
        <v>17</v>
      </c>
      <c r="F44">
        <v>104</v>
      </c>
      <c r="G44" t="s">
        <v>2304</v>
      </c>
      <c r="H44">
        <v>1</v>
      </c>
      <c r="I44" t="s">
        <v>2809</v>
      </c>
      <c r="J44" s="30" t="str">
        <f t="shared" si="0"/>
        <v>[42]=104,</v>
      </c>
      <c r="K44" s="3">
        <f t="shared" si="1"/>
        <v>42</v>
      </c>
      <c r="L44" s="3">
        <f t="shared" si="2"/>
        <v>104</v>
      </c>
      <c r="M44" s="8" t="str">
        <f>VLOOKUP(A44,'ESO wayshrine names'!$A$3:$B$9991,2,)</f>
        <v>Morwha's Bounty Wayshrine</v>
      </c>
      <c r="N44" s="3" t="str">
        <f>VLOOKUP(F44,'ESO zone constants'!$A$5:$D$10001,4,FALSE)</f>
        <v>Alik'r Desert</v>
      </c>
    </row>
    <row r="45" spans="1:14" x14ac:dyDescent="0.25">
      <c r="A45" s="94">
        <v>43</v>
      </c>
      <c r="B45">
        <v>5</v>
      </c>
      <c r="C45">
        <v>30</v>
      </c>
      <c r="D45" t="s">
        <v>3187</v>
      </c>
      <c r="E45">
        <v>17</v>
      </c>
      <c r="F45">
        <v>104</v>
      </c>
      <c r="G45" t="s">
        <v>2304</v>
      </c>
      <c r="H45">
        <v>1</v>
      </c>
      <c r="I45" t="s">
        <v>2810</v>
      </c>
      <c r="J45" s="30" t="str">
        <f t="shared" si="0"/>
        <v>[43]=104,</v>
      </c>
      <c r="K45" s="3">
        <f t="shared" si="1"/>
        <v>43</v>
      </c>
      <c r="L45" s="3">
        <f t="shared" si="2"/>
        <v>104</v>
      </c>
      <c r="M45" s="8" t="str">
        <f>VLOOKUP(A45,'ESO wayshrine names'!$A$3:$B$9991,2,)</f>
        <v>Sentinel Wayshrine</v>
      </c>
      <c r="N45" s="3" t="str">
        <f>VLOOKUP(F45,'ESO zone constants'!$A$5:$D$10001,4,FALSE)</f>
        <v>Alik'r Desert</v>
      </c>
    </row>
    <row r="46" spans="1:14" x14ac:dyDescent="0.25">
      <c r="A46" s="94">
        <v>44</v>
      </c>
      <c r="B46">
        <v>5</v>
      </c>
      <c r="C46">
        <v>30</v>
      </c>
      <c r="D46" t="s">
        <v>3187</v>
      </c>
      <c r="E46">
        <v>17</v>
      </c>
      <c r="F46">
        <v>104</v>
      </c>
      <c r="G46" t="s">
        <v>2304</v>
      </c>
      <c r="H46">
        <v>1</v>
      </c>
      <c r="I46" t="s">
        <v>2811</v>
      </c>
      <c r="J46" s="30" t="str">
        <f t="shared" si="0"/>
        <v>[44]=104,</v>
      </c>
      <c r="K46" s="3">
        <f t="shared" si="1"/>
        <v>44</v>
      </c>
      <c r="L46" s="3">
        <f t="shared" si="2"/>
        <v>104</v>
      </c>
      <c r="M46" s="8" t="str">
        <f>VLOOKUP(A46,'ESO wayshrine names'!$A$3:$B$9991,2,)</f>
        <v>Bergama Wayshrine</v>
      </c>
      <c r="N46" s="3" t="str">
        <f>VLOOKUP(F46,'ESO zone constants'!$A$5:$D$10001,4,FALSE)</f>
        <v>Alik'r Desert</v>
      </c>
    </row>
    <row r="47" spans="1:14" x14ac:dyDescent="0.25">
      <c r="A47" s="94">
        <v>45</v>
      </c>
      <c r="B47">
        <v>5</v>
      </c>
      <c r="C47">
        <v>30</v>
      </c>
      <c r="D47" t="s">
        <v>3187</v>
      </c>
      <c r="E47">
        <v>17</v>
      </c>
      <c r="F47">
        <v>104</v>
      </c>
      <c r="G47" t="s">
        <v>2304</v>
      </c>
      <c r="H47">
        <v>1</v>
      </c>
      <c r="I47" t="s">
        <v>2812</v>
      </c>
      <c r="J47" s="30" t="str">
        <f t="shared" si="0"/>
        <v>[45]=104,</v>
      </c>
      <c r="K47" s="3">
        <f t="shared" si="1"/>
        <v>45</v>
      </c>
      <c r="L47" s="3">
        <f t="shared" si="2"/>
        <v>104</v>
      </c>
      <c r="M47" s="8" t="str">
        <f>VLOOKUP(A47,'ESO wayshrine names'!$A$3:$B$9991,2,)</f>
        <v>Leki's Blade Wayshrine</v>
      </c>
      <c r="N47" s="3" t="str">
        <f>VLOOKUP(F47,'ESO zone constants'!$A$5:$D$10001,4,FALSE)</f>
        <v>Alik'r Desert</v>
      </c>
    </row>
    <row r="48" spans="1:14" x14ac:dyDescent="0.25">
      <c r="A48" s="94">
        <v>46</v>
      </c>
      <c r="B48">
        <v>5</v>
      </c>
      <c r="C48">
        <v>30</v>
      </c>
      <c r="D48" t="s">
        <v>3187</v>
      </c>
      <c r="E48">
        <v>17</v>
      </c>
      <c r="F48">
        <v>104</v>
      </c>
      <c r="G48" t="s">
        <v>2304</v>
      </c>
      <c r="H48">
        <v>1</v>
      </c>
      <c r="I48" t="s">
        <v>2813</v>
      </c>
      <c r="J48" s="30" t="str">
        <f t="shared" si="0"/>
        <v>[46]=104,</v>
      </c>
      <c r="K48" s="3">
        <f t="shared" si="1"/>
        <v>46</v>
      </c>
      <c r="L48" s="3">
        <f t="shared" si="2"/>
        <v>104</v>
      </c>
      <c r="M48" s="8" t="str">
        <f>VLOOKUP(A48,'ESO wayshrine names'!$A$3:$B$9991,2,)</f>
        <v>Satakalaam Wayshrine</v>
      </c>
      <c r="N48" s="3" t="str">
        <f>VLOOKUP(F48,'ESO zone constants'!$A$5:$D$10001,4,FALSE)</f>
        <v>Alik'r Desert</v>
      </c>
    </row>
    <row r="49" spans="1:14" x14ac:dyDescent="0.25">
      <c r="A49" s="94">
        <v>47</v>
      </c>
      <c r="B49">
        <v>9</v>
      </c>
      <c r="C49">
        <v>26</v>
      </c>
      <c r="D49" t="s">
        <v>2309</v>
      </c>
      <c r="E49">
        <v>19</v>
      </c>
      <c r="F49">
        <v>117</v>
      </c>
      <c r="G49" t="s">
        <v>2309</v>
      </c>
      <c r="H49">
        <v>1</v>
      </c>
      <c r="I49" t="s">
        <v>2814</v>
      </c>
      <c r="J49" s="30" t="str">
        <f t="shared" si="0"/>
        <v>[47]=117,</v>
      </c>
      <c r="K49" s="3">
        <f t="shared" si="1"/>
        <v>47</v>
      </c>
      <c r="L49" s="3">
        <f t="shared" si="2"/>
        <v>117</v>
      </c>
      <c r="M49" s="8" t="str">
        <f>VLOOKUP(A49,'ESO wayshrine names'!$A$3:$B$9991,2,)</f>
        <v>Stillrise Wayshrine</v>
      </c>
      <c r="N49" s="3" t="str">
        <f>VLOOKUP(F49,'ESO zone constants'!$A$5:$D$10001,4,FALSE)</f>
        <v>Shadowfen</v>
      </c>
    </row>
    <row r="50" spans="1:14" x14ac:dyDescent="0.25">
      <c r="A50" s="94">
        <v>48</v>
      </c>
      <c r="B50">
        <v>9</v>
      </c>
      <c r="C50">
        <v>26</v>
      </c>
      <c r="D50" t="s">
        <v>2309</v>
      </c>
      <c r="E50">
        <v>19</v>
      </c>
      <c r="F50">
        <v>117</v>
      </c>
      <c r="G50" t="s">
        <v>2309</v>
      </c>
      <c r="H50">
        <v>1</v>
      </c>
      <c r="I50" t="s">
        <v>2815</v>
      </c>
      <c r="J50" s="30" t="str">
        <f t="shared" si="0"/>
        <v>[48]=117,</v>
      </c>
      <c r="K50" s="3">
        <f t="shared" si="1"/>
        <v>48</v>
      </c>
      <c r="L50" s="3">
        <f t="shared" si="2"/>
        <v>117</v>
      </c>
      <c r="M50" s="8" t="str">
        <f>VLOOKUP(A50,'ESO wayshrine names'!$A$3:$B$9991,2,)</f>
        <v>Stormhold Wayshrine</v>
      </c>
      <c r="N50" s="3" t="str">
        <f>VLOOKUP(F50,'ESO zone constants'!$A$5:$D$10001,4,FALSE)</f>
        <v>Shadowfen</v>
      </c>
    </row>
    <row r="51" spans="1:14" x14ac:dyDescent="0.25">
      <c r="A51" s="94">
        <v>49</v>
      </c>
      <c r="B51">
        <v>9</v>
      </c>
      <c r="C51">
        <v>26</v>
      </c>
      <c r="D51" t="s">
        <v>2309</v>
      </c>
      <c r="E51">
        <v>19</v>
      </c>
      <c r="F51">
        <v>117</v>
      </c>
      <c r="G51" t="s">
        <v>2309</v>
      </c>
      <c r="H51">
        <v>1</v>
      </c>
      <c r="I51" t="s">
        <v>2816</v>
      </c>
      <c r="J51" s="30" t="str">
        <f t="shared" si="0"/>
        <v>[49]=117,</v>
      </c>
      <c r="K51" s="3">
        <f t="shared" si="1"/>
        <v>49</v>
      </c>
      <c r="L51" s="3">
        <f t="shared" si="2"/>
        <v>117</v>
      </c>
      <c r="M51" s="8" t="str">
        <f>VLOOKUP(A51,'ESO wayshrine names'!$A$3:$B$9991,2,)</f>
        <v>Hatching Pools Wayshrine</v>
      </c>
      <c r="N51" s="3" t="str">
        <f>VLOOKUP(F51,'ESO zone constants'!$A$5:$D$10001,4,FALSE)</f>
        <v>Shadowfen</v>
      </c>
    </row>
    <row r="52" spans="1:14" x14ac:dyDescent="0.25">
      <c r="A52" s="94">
        <v>50</v>
      </c>
      <c r="B52">
        <v>9</v>
      </c>
      <c r="C52">
        <v>26</v>
      </c>
      <c r="D52" t="s">
        <v>2309</v>
      </c>
      <c r="E52">
        <v>19</v>
      </c>
      <c r="F52">
        <v>117</v>
      </c>
      <c r="G52" t="s">
        <v>2309</v>
      </c>
      <c r="H52">
        <v>1</v>
      </c>
      <c r="I52" t="s">
        <v>2817</v>
      </c>
      <c r="J52" s="30" t="str">
        <f t="shared" si="0"/>
        <v>[50]=117,</v>
      </c>
      <c r="K52" s="3">
        <f t="shared" si="1"/>
        <v>50</v>
      </c>
      <c r="L52" s="3">
        <f t="shared" si="2"/>
        <v>117</v>
      </c>
      <c r="M52" s="8" t="str">
        <f>VLOOKUP(A52,'ESO wayshrine names'!$A$3:$B$9991,2,)</f>
        <v>Alten Corimont Wayshrine</v>
      </c>
      <c r="N52" s="3" t="str">
        <f>VLOOKUP(F52,'ESO zone constants'!$A$5:$D$10001,4,FALSE)</f>
        <v>Shadowfen</v>
      </c>
    </row>
    <row r="53" spans="1:14" x14ac:dyDescent="0.25">
      <c r="A53" s="94">
        <v>51</v>
      </c>
      <c r="B53">
        <v>9</v>
      </c>
      <c r="C53">
        <v>26</v>
      </c>
      <c r="D53" t="s">
        <v>2309</v>
      </c>
      <c r="E53">
        <v>19</v>
      </c>
      <c r="F53">
        <v>117</v>
      </c>
      <c r="G53" t="s">
        <v>2309</v>
      </c>
      <c r="H53">
        <v>1</v>
      </c>
      <c r="I53" t="s">
        <v>2818</v>
      </c>
      <c r="J53" s="30" t="str">
        <f t="shared" si="0"/>
        <v>[51]=117,</v>
      </c>
      <c r="K53" s="3">
        <f t="shared" si="1"/>
        <v>51</v>
      </c>
      <c r="L53" s="3">
        <f t="shared" si="2"/>
        <v>117</v>
      </c>
      <c r="M53" s="8" t="str">
        <f>VLOOKUP(A53,'ESO wayshrine names'!$A$3:$B$9991,2,)</f>
        <v>Percolating Mire Wayshrine</v>
      </c>
      <c r="N53" s="3" t="str">
        <f>VLOOKUP(F53,'ESO zone constants'!$A$5:$D$10001,4,FALSE)</f>
        <v>Shadowfen</v>
      </c>
    </row>
    <row r="54" spans="1:14" x14ac:dyDescent="0.25">
      <c r="A54" s="94">
        <v>52</v>
      </c>
      <c r="B54">
        <v>9</v>
      </c>
      <c r="C54">
        <v>26</v>
      </c>
      <c r="D54" t="s">
        <v>2309</v>
      </c>
      <c r="E54">
        <v>19</v>
      </c>
      <c r="F54">
        <v>117</v>
      </c>
      <c r="G54" t="s">
        <v>2309</v>
      </c>
      <c r="H54">
        <v>1</v>
      </c>
      <c r="I54" t="s">
        <v>2819</v>
      </c>
      <c r="J54" s="30" t="str">
        <f t="shared" si="0"/>
        <v>[52]=117,</v>
      </c>
      <c r="K54" s="3">
        <f t="shared" si="1"/>
        <v>52</v>
      </c>
      <c r="L54" s="3">
        <f t="shared" si="2"/>
        <v>117</v>
      </c>
      <c r="M54" s="8" t="str">
        <f>VLOOKUP(A54,'ESO wayshrine names'!$A$3:$B$9991,2,)</f>
        <v>Hissmir Wayshrine</v>
      </c>
      <c r="N54" s="3" t="str">
        <f>VLOOKUP(F54,'ESO zone constants'!$A$5:$D$10001,4,FALSE)</f>
        <v>Shadowfen</v>
      </c>
    </row>
    <row r="55" spans="1:14" x14ac:dyDescent="0.25">
      <c r="A55" s="94">
        <v>53</v>
      </c>
      <c r="B55">
        <v>9</v>
      </c>
      <c r="C55">
        <v>26</v>
      </c>
      <c r="D55" t="s">
        <v>2309</v>
      </c>
      <c r="E55">
        <v>19</v>
      </c>
      <c r="F55">
        <v>117</v>
      </c>
      <c r="G55" t="s">
        <v>2309</v>
      </c>
      <c r="H55">
        <v>1</v>
      </c>
      <c r="I55" t="s">
        <v>2820</v>
      </c>
      <c r="J55" s="30" t="str">
        <f t="shared" si="0"/>
        <v>[53]=117,</v>
      </c>
      <c r="K55" s="3">
        <f t="shared" si="1"/>
        <v>53</v>
      </c>
      <c r="L55" s="3">
        <f t="shared" si="2"/>
        <v>117</v>
      </c>
      <c r="M55" s="8" t="str">
        <f>VLOOKUP(A55,'ESO wayshrine names'!$A$3:$B$9991,2,)</f>
        <v>Loriasel Wayshrine</v>
      </c>
      <c r="N55" s="3" t="str">
        <f>VLOOKUP(F55,'ESO zone constants'!$A$5:$D$10001,4,FALSE)</f>
        <v>Shadowfen</v>
      </c>
    </row>
    <row r="56" spans="1:14" x14ac:dyDescent="0.25">
      <c r="A56" s="94">
        <v>55</v>
      </c>
      <c r="B56">
        <v>3</v>
      </c>
      <c r="C56">
        <v>10</v>
      </c>
      <c r="D56" t="s">
        <v>2305</v>
      </c>
      <c r="E56">
        <v>5</v>
      </c>
      <c r="F56">
        <v>20</v>
      </c>
      <c r="G56" t="s">
        <v>2305</v>
      </c>
      <c r="H56">
        <v>1</v>
      </c>
      <c r="I56" t="s">
        <v>2821</v>
      </c>
      <c r="J56" s="30" t="str">
        <f t="shared" si="0"/>
        <v>[55]=20,</v>
      </c>
      <c r="K56" s="3">
        <f t="shared" si="1"/>
        <v>55</v>
      </c>
      <c r="L56" s="3">
        <f t="shared" si="2"/>
        <v>20</v>
      </c>
      <c r="M56" s="8" t="str">
        <f>VLOOKUP(A56,'ESO wayshrine names'!$A$3:$B$9991,2,)</f>
        <v>Shornhelm Wayshrine</v>
      </c>
      <c r="N56" s="3" t="str">
        <f>VLOOKUP(F56,'ESO zone constants'!$A$5:$D$10001,4,FALSE)</f>
        <v>Rivenspire</v>
      </c>
    </row>
    <row r="57" spans="1:14" x14ac:dyDescent="0.25">
      <c r="A57" s="94">
        <v>56</v>
      </c>
      <c r="B57">
        <v>4</v>
      </c>
      <c r="C57">
        <v>12</v>
      </c>
      <c r="D57" t="s">
        <v>2306</v>
      </c>
      <c r="E57">
        <v>4</v>
      </c>
      <c r="F57">
        <v>19</v>
      </c>
      <c r="G57" t="s">
        <v>2306</v>
      </c>
      <c r="H57">
        <v>1</v>
      </c>
      <c r="I57" t="s">
        <v>3797</v>
      </c>
      <c r="J57" s="30" t="str">
        <f t="shared" si="0"/>
        <v>[56]=19,</v>
      </c>
      <c r="K57" s="3">
        <f t="shared" si="1"/>
        <v>56</v>
      </c>
      <c r="L57" s="3">
        <f t="shared" si="2"/>
        <v>19</v>
      </c>
      <c r="M57" s="8" t="str">
        <f>VLOOKUP(A57,'ESO wayshrine names'!$A$3:$B$9991,2,)</f>
        <v>Wayrest Wayshrine</v>
      </c>
      <c r="N57" s="3" t="str">
        <f>VLOOKUP(F57,'ESO zone constants'!$A$5:$D$10001,4,FALSE)</f>
        <v>Stormhaven</v>
      </c>
    </row>
    <row r="58" spans="1:14" x14ac:dyDescent="0.25">
      <c r="A58" s="94">
        <v>57</v>
      </c>
      <c r="B58">
        <v>5</v>
      </c>
      <c r="C58">
        <v>30</v>
      </c>
      <c r="D58" t="s">
        <v>3187</v>
      </c>
      <c r="E58">
        <v>17</v>
      </c>
      <c r="F58">
        <v>104</v>
      </c>
      <c r="G58" t="s">
        <v>2304</v>
      </c>
      <c r="H58">
        <v>1</v>
      </c>
      <c r="I58" t="s">
        <v>2822</v>
      </c>
      <c r="J58" s="30" t="str">
        <f t="shared" si="0"/>
        <v>[57]=104,</v>
      </c>
      <c r="K58" s="3">
        <f t="shared" si="1"/>
        <v>57</v>
      </c>
      <c r="L58" s="3">
        <f t="shared" si="2"/>
        <v>104</v>
      </c>
      <c r="M58" s="8" t="str">
        <f>VLOOKUP(A58,'ESO wayshrine names'!$A$3:$B$9991,2,)</f>
        <v>Divad's Chagrin Mine Wayshrine</v>
      </c>
      <c r="N58" s="3" t="str">
        <f>VLOOKUP(F58,'ESO zone constants'!$A$5:$D$10001,4,FALSE)</f>
        <v>Alik'r Desert</v>
      </c>
    </row>
    <row r="59" spans="1:14" x14ac:dyDescent="0.25">
      <c r="A59" s="94">
        <v>58</v>
      </c>
      <c r="B59">
        <v>5</v>
      </c>
      <c r="C59">
        <v>30</v>
      </c>
      <c r="D59" t="s">
        <v>3187</v>
      </c>
      <c r="E59">
        <v>17</v>
      </c>
      <c r="F59">
        <v>104</v>
      </c>
      <c r="G59" t="s">
        <v>2304</v>
      </c>
      <c r="H59">
        <v>1</v>
      </c>
      <c r="I59" t="s">
        <v>2823</v>
      </c>
      <c r="J59" s="30" t="str">
        <f t="shared" si="0"/>
        <v>[58]=104,</v>
      </c>
      <c r="K59" s="3">
        <f t="shared" si="1"/>
        <v>58</v>
      </c>
      <c r="L59" s="3">
        <f t="shared" si="2"/>
        <v>104</v>
      </c>
      <c r="M59" s="8" t="str">
        <f>VLOOKUP(A59,'ESO wayshrine names'!$A$3:$B$9991,2,)</f>
        <v>Kulati Mines Wayshrine</v>
      </c>
      <c r="N59" s="3" t="str">
        <f>VLOOKUP(F59,'ESO zone constants'!$A$5:$D$10001,4,FALSE)</f>
        <v>Alik'r Desert</v>
      </c>
    </row>
    <row r="60" spans="1:14" x14ac:dyDescent="0.25">
      <c r="A60" s="94">
        <v>59</v>
      </c>
      <c r="B60">
        <v>5</v>
      </c>
      <c r="C60">
        <v>30</v>
      </c>
      <c r="D60" t="s">
        <v>3187</v>
      </c>
      <c r="E60">
        <v>17</v>
      </c>
      <c r="F60">
        <v>104</v>
      </c>
      <c r="G60" t="s">
        <v>2304</v>
      </c>
      <c r="H60">
        <v>1</v>
      </c>
      <c r="I60" t="s">
        <v>2824</v>
      </c>
      <c r="J60" s="30" t="str">
        <f t="shared" si="0"/>
        <v>[59]=104,</v>
      </c>
      <c r="K60" s="3">
        <f t="shared" si="1"/>
        <v>59</v>
      </c>
      <c r="L60" s="3">
        <f t="shared" si="2"/>
        <v>104</v>
      </c>
      <c r="M60" s="8" t="str">
        <f>VLOOKUP(A60,'ESO wayshrine names'!$A$3:$B$9991,2,)</f>
        <v>Aswala Stables Wayshrine</v>
      </c>
      <c r="N60" s="3" t="str">
        <f>VLOOKUP(F60,'ESO zone constants'!$A$5:$D$10001,4,FALSE)</f>
        <v>Alik'r Desert</v>
      </c>
    </row>
    <row r="61" spans="1:14" x14ac:dyDescent="0.25">
      <c r="A61" s="94">
        <v>60</v>
      </c>
      <c r="B61">
        <v>5</v>
      </c>
      <c r="C61">
        <v>30</v>
      </c>
      <c r="D61" t="s">
        <v>3187</v>
      </c>
      <c r="E61">
        <v>17</v>
      </c>
      <c r="F61">
        <v>104</v>
      </c>
      <c r="G61" t="s">
        <v>2304</v>
      </c>
      <c r="H61">
        <v>1</v>
      </c>
      <c r="I61" t="s">
        <v>2825</v>
      </c>
      <c r="J61" s="30" t="str">
        <f t="shared" si="0"/>
        <v>[60]=104,</v>
      </c>
      <c r="K61" s="3">
        <f t="shared" si="1"/>
        <v>60</v>
      </c>
      <c r="L61" s="3">
        <f t="shared" si="2"/>
        <v>104</v>
      </c>
      <c r="M61" s="8" t="str">
        <f>VLOOKUP(A61,'ESO wayshrine names'!$A$3:$B$9991,2,)</f>
        <v>Shrikes' Aerie Wayshrine</v>
      </c>
      <c r="N61" s="3" t="str">
        <f>VLOOKUP(F61,'ESO zone constants'!$A$5:$D$10001,4,FALSE)</f>
        <v>Alik'r Desert</v>
      </c>
    </row>
    <row r="62" spans="1:14" x14ac:dyDescent="0.25">
      <c r="A62" s="94">
        <v>61</v>
      </c>
      <c r="B62">
        <v>5</v>
      </c>
      <c r="C62">
        <v>30</v>
      </c>
      <c r="D62" t="s">
        <v>3187</v>
      </c>
      <c r="E62">
        <v>17</v>
      </c>
      <c r="F62">
        <v>104</v>
      </c>
      <c r="G62" t="s">
        <v>2304</v>
      </c>
      <c r="H62">
        <v>1</v>
      </c>
      <c r="I62" t="s">
        <v>2826</v>
      </c>
      <c r="J62" s="30" t="str">
        <f t="shared" si="0"/>
        <v>[61]=104,</v>
      </c>
      <c r="K62" s="3">
        <f t="shared" si="1"/>
        <v>61</v>
      </c>
      <c r="L62" s="3">
        <f t="shared" si="2"/>
        <v>104</v>
      </c>
      <c r="M62" s="8" t="str">
        <f>VLOOKUP(A62,'ESO wayshrine names'!$A$3:$B$9991,2,)</f>
        <v>HoonDing's Watch Wayshrine</v>
      </c>
      <c r="N62" s="3" t="str">
        <f>VLOOKUP(F62,'ESO zone constants'!$A$5:$D$10001,4,FALSE)</f>
        <v>Alik'r Desert</v>
      </c>
    </row>
    <row r="63" spans="1:14" x14ac:dyDescent="0.25">
      <c r="A63" s="94">
        <v>62</v>
      </c>
      <c r="B63">
        <v>2</v>
      </c>
      <c r="C63">
        <v>1</v>
      </c>
      <c r="D63" t="s">
        <v>103</v>
      </c>
      <c r="E63">
        <v>2</v>
      </c>
      <c r="F63">
        <v>3</v>
      </c>
      <c r="G63" t="s">
        <v>103</v>
      </c>
      <c r="H63">
        <v>1</v>
      </c>
      <c r="I63" t="s">
        <v>2827</v>
      </c>
      <c r="J63" s="30" t="str">
        <f t="shared" si="0"/>
        <v>[62]=3,</v>
      </c>
      <c r="K63" s="3">
        <f t="shared" si="1"/>
        <v>62</v>
      </c>
      <c r="L63" s="3">
        <f t="shared" si="2"/>
        <v>3</v>
      </c>
      <c r="M63" s="8" t="str">
        <f>VLOOKUP(A63,'ESO wayshrine names'!$A$3:$B$9991,2,)</f>
        <v>Daggerfall Wayshrine</v>
      </c>
      <c r="N63" s="3" t="str">
        <f>VLOOKUP(F63,'ESO zone constants'!$A$5:$D$10001,4,FALSE)</f>
        <v>Glenumbra</v>
      </c>
    </row>
    <row r="64" spans="1:14" x14ac:dyDescent="0.25">
      <c r="A64" s="94">
        <v>63</v>
      </c>
      <c r="B64">
        <v>6</v>
      </c>
      <c r="C64">
        <v>20</v>
      </c>
      <c r="D64" t="s">
        <v>109</v>
      </c>
      <c r="E64">
        <v>14</v>
      </c>
      <c r="F64">
        <v>92</v>
      </c>
      <c r="G64" t="s">
        <v>109</v>
      </c>
      <c r="H64">
        <v>1</v>
      </c>
      <c r="I64" t="s">
        <v>2828</v>
      </c>
      <c r="J64" s="30" t="str">
        <f t="shared" si="0"/>
        <v>[63]=92,</v>
      </c>
      <c r="K64" s="3">
        <f t="shared" si="1"/>
        <v>63</v>
      </c>
      <c r="L64" s="3">
        <f t="shared" si="2"/>
        <v>92</v>
      </c>
      <c r="M64" s="8" t="str">
        <f>VLOOKUP(A64,'ESO wayshrine names'!$A$3:$B$9991,2,)</f>
        <v>Sunken Road Wayshrine</v>
      </c>
      <c r="N64" s="3" t="str">
        <f>VLOOKUP(F64,'ESO zone constants'!$A$5:$D$10001,4,FALSE)</f>
        <v>Bangkorai</v>
      </c>
    </row>
    <row r="65" spans="1:14" x14ac:dyDescent="0.25">
      <c r="A65" s="94">
        <v>64</v>
      </c>
      <c r="B65">
        <v>2</v>
      </c>
      <c r="C65">
        <v>1</v>
      </c>
      <c r="D65" t="s">
        <v>103</v>
      </c>
      <c r="E65">
        <v>2</v>
      </c>
      <c r="F65">
        <v>3</v>
      </c>
      <c r="G65" t="s">
        <v>103</v>
      </c>
      <c r="H65">
        <v>1</v>
      </c>
      <c r="I65" t="s">
        <v>2829</v>
      </c>
      <c r="J65" s="30" t="str">
        <f t="shared" si="0"/>
        <v>[64]=3,</v>
      </c>
      <c r="K65" s="3">
        <f t="shared" si="1"/>
        <v>64</v>
      </c>
      <c r="L65" s="3">
        <f t="shared" si="2"/>
        <v>3</v>
      </c>
      <c r="M65" s="8" t="str">
        <f>VLOOKUP(A65,'ESO wayshrine names'!$A$3:$B$9991,2,)</f>
        <v>Burial Tombs Wayshrine</v>
      </c>
      <c r="N65" s="3" t="str">
        <f>VLOOKUP(F65,'ESO zone constants'!$A$5:$D$10001,4,FALSE)</f>
        <v>Glenumbra</v>
      </c>
    </row>
    <row r="66" spans="1:14" x14ac:dyDescent="0.25">
      <c r="A66" s="94">
        <v>65</v>
      </c>
      <c r="B66">
        <v>11</v>
      </c>
      <c r="C66">
        <v>7</v>
      </c>
      <c r="D66" t="s">
        <v>2310</v>
      </c>
      <c r="E66">
        <v>9</v>
      </c>
      <c r="F66">
        <v>41</v>
      </c>
      <c r="G66" t="s">
        <v>2310</v>
      </c>
      <c r="H66">
        <v>1</v>
      </c>
      <c r="I66" t="s">
        <v>2830</v>
      </c>
      <c r="J66" s="30" t="str">
        <f t="shared" si="0"/>
        <v>[65]=41,</v>
      </c>
      <c r="K66" s="3">
        <f t="shared" si="1"/>
        <v>65</v>
      </c>
      <c r="L66" s="3">
        <f t="shared" si="2"/>
        <v>41</v>
      </c>
      <c r="M66" s="8" t="str">
        <f>VLOOKUP(A66,'ESO wayshrine names'!$A$3:$B$9991,2,)</f>
        <v>Davon's Watch Wayshrine</v>
      </c>
      <c r="N66" s="3" t="str">
        <f>VLOOKUP(F66,'ESO zone constants'!$A$5:$D$10001,4,FALSE)</f>
        <v>Stonefalls</v>
      </c>
    </row>
    <row r="67" spans="1:14" x14ac:dyDescent="0.25">
      <c r="A67" s="94">
        <v>66</v>
      </c>
      <c r="B67">
        <v>11</v>
      </c>
      <c r="C67">
        <v>7</v>
      </c>
      <c r="D67" t="s">
        <v>2310</v>
      </c>
      <c r="E67">
        <v>9</v>
      </c>
      <c r="F67">
        <v>41</v>
      </c>
      <c r="G67" t="s">
        <v>2310</v>
      </c>
      <c r="H67">
        <v>1</v>
      </c>
      <c r="I67" t="s">
        <v>2831</v>
      </c>
      <c r="J67" s="30" t="str">
        <f t="shared" ref="J67:J130" si="3">IF(A67&lt;&gt;"",IF(F67&lt;&gt;"",IF(OR(ISNA(A67),ISNA(F67)),"","["&amp;A67&amp;"]="&amp;F67&amp;","),""),"")</f>
        <v>[66]=41,</v>
      </c>
      <c r="K67" s="3">
        <f t="shared" ref="K67:K130" si="4">A67</f>
        <v>66</v>
      </c>
      <c r="L67" s="3">
        <f t="shared" ref="L67:L130" si="5">F67</f>
        <v>41</v>
      </c>
      <c r="M67" s="8" t="str">
        <f>VLOOKUP(A67,'ESO wayshrine names'!$A$3:$B$9991,2,)</f>
        <v>Othrenis Wayshrine</v>
      </c>
      <c r="N67" s="3" t="str">
        <f>VLOOKUP(F67,'ESO zone constants'!$A$5:$D$10001,4,FALSE)</f>
        <v>Stonefalls</v>
      </c>
    </row>
    <row r="68" spans="1:14" x14ac:dyDescent="0.25">
      <c r="A68" s="94">
        <v>67</v>
      </c>
      <c r="B68">
        <v>11</v>
      </c>
      <c r="C68">
        <v>7</v>
      </c>
      <c r="D68" t="s">
        <v>2310</v>
      </c>
      <c r="E68">
        <v>9</v>
      </c>
      <c r="F68">
        <v>41</v>
      </c>
      <c r="G68" t="s">
        <v>2310</v>
      </c>
      <c r="H68">
        <v>1</v>
      </c>
      <c r="I68" t="s">
        <v>2832</v>
      </c>
      <c r="J68" s="30" t="str">
        <f t="shared" si="3"/>
        <v>[67]=41,</v>
      </c>
      <c r="K68" s="3">
        <f t="shared" si="4"/>
        <v>67</v>
      </c>
      <c r="L68" s="3">
        <f t="shared" si="5"/>
        <v>41</v>
      </c>
      <c r="M68" s="8" t="str">
        <f>VLOOKUP(A68,'ESO wayshrine names'!$A$3:$B$9991,2,)</f>
        <v>Ebonheart Wayshrine</v>
      </c>
      <c r="N68" s="3" t="str">
        <f>VLOOKUP(F68,'ESO zone constants'!$A$5:$D$10001,4,FALSE)</f>
        <v>Stonefalls</v>
      </c>
    </row>
    <row r="69" spans="1:14" x14ac:dyDescent="0.25">
      <c r="A69" s="94">
        <v>68</v>
      </c>
      <c r="B69">
        <v>11</v>
      </c>
      <c r="C69">
        <v>7</v>
      </c>
      <c r="D69" t="s">
        <v>2310</v>
      </c>
      <c r="E69">
        <v>9</v>
      </c>
      <c r="F69">
        <v>41</v>
      </c>
      <c r="G69" t="s">
        <v>2310</v>
      </c>
      <c r="H69">
        <v>1</v>
      </c>
      <c r="I69" t="s">
        <v>2833</v>
      </c>
      <c r="J69" s="30" t="str">
        <f t="shared" si="3"/>
        <v>[68]=41,</v>
      </c>
      <c r="K69" s="3">
        <f t="shared" si="4"/>
        <v>68</v>
      </c>
      <c r="L69" s="3">
        <f t="shared" si="5"/>
        <v>41</v>
      </c>
      <c r="M69" s="8" t="str">
        <f>VLOOKUP(A69,'ESO wayshrine names'!$A$3:$B$9991,2,)</f>
        <v>Vivec's Antlers Wayshrine</v>
      </c>
      <c r="N69" s="3" t="str">
        <f>VLOOKUP(F69,'ESO zone constants'!$A$5:$D$10001,4,FALSE)</f>
        <v>Stonefalls</v>
      </c>
    </row>
    <row r="70" spans="1:14" x14ac:dyDescent="0.25">
      <c r="A70" s="94">
        <v>69</v>
      </c>
      <c r="B70">
        <v>11</v>
      </c>
      <c r="C70">
        <v>7</v>
      </c>
      <c r="D70" t="s">
        <v>2310</v>
      </c>
      <c r="E70">
        <v>9</v>
      </c>
      <c r="F70">
        <v>41</v>
      </c>
      <c r="G70" t="s">
        <v>2310</v>
      </c>
      <c r="H70">
        <v>1</v>
      </c>
      <c r="I70" t="s">
        <v>2834</v>
      </c>
      <c r="J70" s="30" t="str">
        <f t="shared" si="3"/>
        <v>[69]=41,</v>
      </c>
      <c r="K70" s="3">
        <f t="shared" si="4"/>
        <v>69</v>
      </c>
      <c r="L70" s="3">
        <f t="shared" si="5"/>
        <v>41</v>
      </c>
      <c r="M70" s="8" t="str">
        <f>VLOOKUP(A70,'ESO wayshrine names'!$A$3:$B$9991,2,)</f>
        <v>Sulfur Pools Wayshrine</v>
      </c>
      <c r="N70" s="3" t="str">
        <f>VLOOKUP(F70,'ESO zone constants'!$A$5:$D$10001,4,FALSE)</f>
        <v>Stonefalls</v>
      </c>
    </row>
    <row r="71" spans="1:14" x14ac:dyDescent="0.25">
      <c r="A71" s="94">
        <v>71</v>
      </c>
      <c r="B71">
        <v>11</v>
      </c>
      <c r="C71">
        <v>7</v>
      </c>
      <c r="D71" t="s">
        <v>2310</v>
      </c>
      <c r="E71">
        <v>9</v>
      </c>
      <c r="F71">
        <v>41</v>
      </c>
      <c r="G71" t="s">
        <v>2310</v>
      </c>
      <c r="H71">
        <v>1</v>
      </c>
      <c r="I71" t="s">
        <v>2835</v>
      </c>
      <c r="J71" s="30" t="str">
        <f t="shared" si="3"/>
        <v>[71]=41,</v>
      </c>
      <c r="K71" s="3">
        <f t="shared" si="4"/>
        <v>71</v>
      </c>
      <c r="L71" s="3">
        <f t="shared" si="5"/>
        <v>41</v>
      </c>
      <c r="M71" s="8" t="str">
        <f>VLOOKUP(A71,'ESO wayshrine names'!$A$3:$B$9991,2,)</f>
        <v>Brothers of Strife Wayshrine</v>
      </c>
      <c r="N71" s="3" t="str">
        <f>VLOOKUP(F71,'ESO zone constants'!$A$5:$D$10001,4,FALSE)</f>
        <v>Stonefalls</v>
      </c>
    </row>
    <row r="72" spans="1:14" x14ac:dyDescent="0.25">
      <c r="A72" s="94">
        <v>72</v>
      </c>
      <c r="B72">
        <v>11</v>
      </c>
      <c r="C72">
        <v>7</v>
      </c>
      <c r="D72" t="s">
        <v>2310</v>
      </c>
      <c r="E72">
        <v>9</v>
      </c>
      <c r="F72">
        <v>41</v>
      </c>
      <c r="G72" t="s">
        <v>2310</v>
      </c>
      <c r="H72">
        <v>1</v>
      </c>
      <c r="I72" t="s">
        <v>2836</v>
      </c>
      <c r="J72" s="30" t="str">
        <f t="shared" si="3"/>
        <v>[72]=41,</v>
      </c>
      <c r="K72" s="3">
        <f t="shared" si="4"/>
        <v>72</v>
      </c>
      <c r="L72" s="3">
        <f t="shared" si="5"/>
        <v>41</v>
      </c>
      <c r="M72" s="8" t="str">
        <f>VLOOKUP(A72,'ESO wayshrine names'!$A$3:$B$9991,2,)</f>
        <v>Hrogar's Hold Wayshrine</v>
      </c>
      <c r="N72" s="3" t="str">
        <f>VLOOKUP(F72,'ESO zone constants'!$A$5:$D$10001,4,FALSE)</f>
        <v>Stonefalls</v>
      </c>
    </row>
    <row r="73" spans="1:14" x14ac:dyDescent="0.25">
      <c r="A73" s="94">
        <v>73</v>
      </c>
      <c r="B73">
        <v>11</v>
      </c>
      <c r="C73">
        <v>7</v>
      </c>
      <c r="D73" t="s">
        <v>2310</v>
      </c>
      <c r="E73">
        <v>9</v>
      </c>
      <c r="F73">
        <v>41</v>
      </c>
      <c r="G73" t="s">
        <v>2310</v>
      </c>
      <c r="H73">
        <v>1</v>
      </c>
      <c r="I73" t="s">
        <v>2837</v>
      </c>
      <c r="J73" s="30" t="str">
        <f t="shared" si="3"/>
        <v>[73]=41,</v>
      </c>
      <c r="K73" s="3">
        <f t="shared" si="4"/>
        <v>73</v>
      </c>
      <c r="L73" s="3">
        <f t="shared" si="5"/>
        <v>41</v>
      </c>
      <c r="M73" s="8" t="str">
        <f>VLOOKUP(A73,'ESO wayshrine names'!$A$3:$B$9991,2,)</f>
        <v>Fort Virak Wayshrine</v>
      </c>
      <c r="N73" s="3" t="str">
        <f>VLOOKUP(F73,'ESO zone constants'!$A$5:$D$10001,4,FALSE)</f>
        <v>Stonefalls</v>
      </c>
    </row>
    <row r="74" spans="1:14" x14ac:dyDescent="0.25">
      <c r="A74" s="94">
        <v>74</v>
      </c>
      <c r="B74">
        <v>11</v>
      </c>
      <c r="C74">
        <v>7</v>
      </c>
      <c r="D74" t="s">
        <v>2310</v>
      </c>
      <c r="E74">
        <v>9</v>
      </c>
      <c r="F74">
        <v>41</v>
      </c>
      <c r="G74" t="s">
        <v>2310</v>
      </c>
      <c r="H74">
        <v>1</v>
      </c>
      <c r="I74" t="s">
        <v>2838</v>
      </c>
      <c r="J74" s="30" t="str">
        <f t="shared" si="3"/>
        <v>[74]=41,</v>
      </c>
      <c r="K74" s="3">
        <f t="shared" si="4"/>
        <v>74</v>
      </c>
      <c r="L74" s="3">
        <f t="shared" si="5"/>
        <v>41</v>
      </c>
      <c r="M74" s="8" t="str">
        <f>VLOOKUP(A74,'ESO wayshrine names'!$A$3:$B$9991,2,)</f>
        <v>Iliath Temple Wayshrine</v>
      </c>
      <c r="N74" s="3" t="str">
        <f>VLOOKUP(F74,'ESO zone constants'!$A$5:$D$10001,4,FALSE)</f>
        <v>Stonefalls</v>
      </c>
    </row>
    <row r="75" spans="1:14" x14ac:dyDescent="0.25">
      <c r="A75" s="94">
        <v>75</v>
      </c>
      <c r="B75">
        <v>11</v>
      </c>
      <c r="C75">
        <v>7</v>
      </c>
      <c r="D75" t="s">
        <v>2310</v>
      </c>
      <c r="E75">
        <v>9</v>
      </c>
      <c r="F75">
        <v>41</v>
      </c>
      <c r="G75" t="s">
        <v>2310</v>
      </c>
      <c r="H75">
        <v>1</v>
      </c>
      <c r="I75" t="s">
        <v>2839</v>
      </c>
      <c r="J75" s="30" t="str">
        <f t="shared" si="3"/>
        <v>[75]=41,</v>
      </c>
      <c r="K75" s="3">
        <f t="shared" si="4"/>
        <v>75</v>
      </c>
      <c r="L75" s="3">
        <f t="shared" si="5"/>
        <v>41</v>
      </c>
      <c r="M75" s="8" t="str">
        <f>VLOOKUP(A75,'ESO wayshrine names'!$A$3:$B$9991,2,)</f>
        <v>Sathram Plantation Wayshrine</v>
      </c>
      <c r="N75" s="3" t="str">
        <f>VLOOKUP(F75,'ESO zone constants'!$A$5:$D$10001,4,FALSE)</f>
        <v>Stonefalls</v>
      </c>
    </row>
    <row r="76" spans="1:14" x14ac:dyDescent="0.25">
      <c r="A76" s="94">
        <v>76</v>
      </c>
      <c r="B76">
        <v>11</v>
      </c>
      <c r="C76">
        <v>7</v>
      </c>
      <c r="D76" t="s">
        <v>2310</v>
      </c>
      <c r="E76">
        <v>9</v>
      </c>
      <c r="F76">
        <v>41</v>
      </c>
      <c r="G76" t="s">
        <v>2310</v>
      </c>
      <c r="H76">
        <v>1</v>
      </c>
      <c r="I76" t="s">
        <v>2840</v>
      </c>
      <c r="J76" s="30" t="str">
        <f t="shared" si="3"/>
        <v>[76]=41,</v>
      </c>
      <c r="K76" s="3">
        <f t="shared" si="4"/>
        <v>76</v>
      </c>
      <c r="L76" s="3">
        <f t="shared" si="5"/>
        <v>41</v>
      </c>
      <c r="M76" s="8" t="str">
        <f>VLOOKUP(A76,'ESO wayshrine names'!$A$3:$B$9991,2,)</f>
        <v>Kragenmoor Wayshrine</v>
      </c>
      <c r="N76" s="3" t="str">
        <f>VLOOKUP(F76,'ESO zone constants'!$A$5:$D$10001,4,FALSE)</f>
        <v>Stonefalls</v>
      </c>
    </row>
    <row r="77" spans="1:14" x14ac:dyDescent="0.25">
      <c r="A77" s="94">
        <v>77</v>
      </c>
      <c r="B77">
        <v>11</v>
      </c>
      <c r="C77">
        <v>7</v>
      </c>
      <c r="D77" t="s">
        <v>2310</v>
      </c>
      <c r="E77">
        <v>9</v>
      </c>
      <c r="F77">
        <v>41</v>
      </c>
      <c r="G77" t="s">
        <v>2310</v>
      </c>
      <c r="H77">
        <v>1</v>
      </c>
      <c r="I77" t="s">
        <v>2841</v>
      </c>
      <c r="J77" s="30" t="str">
        <f t="shared" si="3"/>
        <v>[77]=41,</v>
      </c>
      <c r="K77" s="3">
        <f t="shared" si="4"/>
        <v>77</v>
      </c>
      <c r="L77" s="3">
        <f t="shared" si="5"/>
        <v>41</v>
      </c>
      <c r="M77" s="8" t="str">
        <f>VLOOKUP(A77,'ESO wayshrine names'!$A$3:$B$9991,2,)</f>
        <v>Ashen Road Wayshrine</v>
      </c>
      <c r="N77" s="3" t="str">
        <f>VLOOKUP(F77,'ESO zone constants'!$A$5:$D$10001,4,FALSE)</f>
        <v>Stonefalls</v>
      </c>
    </row>
    <row r="78" spans="1:14" x14ac:dyDescent="0.25">
      <c r="A78" s="94">
        <v>78</v>
      </c>
      <c r="B78">
        <v>9</v>
      </c>
      <c r="C78">
        <v>26</v>
      </c>
      <c r="D78" t="s">
        <v>2309</v>
      </c>
      <c r="E78">
        <v>19</v>
      </c>
      <c r="F78">
        <v>117</v>
      </c>
      <c r="G78" t="s">
        <v>2309</v>
      </c>
      <c r="H78">
        <v>1</v>
      </c>
      <c r="I78" t="s">
        <v>2842</v>
      </c>
      <c r="J78" s="30" t="str">
        <f t="shared" si="3"/>
        <v>[78]=117,</v>
      </c>
      <c r="K78" s="3">
        <f t="shared" si="4"/>
        <v>78</v>
      </c>
      <c r="L78" s="3">
        <f t="shared" si="5"/>
        <v>117</v>
      </c>
      <c r="M78" s="8" t="str">
        <f>VLOOKUP(A78,'ESO wayshrine names'!$A$3:$B$9991,2,)</f>
        <v>Venomous Fens Wayshrine</v>
      </c>
      <c r="N78" s="3" t="str">
        <f>VLOOKUP(F78,'ESO zone constants'!$A$5:$D$10001,4,FALSE)</f>
        <v>Shadowfen</v>
      </c>
    </row>
    <row r="79" spans="1:14" x14ac:dyDescent="0.25">
      <c r="A79" s="94">
        <v>79</v>
      </c>
      <c r="B79">
        <v>10</v>
      </c>
      <c r="C79">
        <v>13</v>
      </c>
      <c r="D79" t="s">
        <v>107</v>
      </c>
      <c r="E79">
        <v>10</v>
      </c>
      <c r="F79">
        <v>57</v>
      </c>
      <c r="G79" t="s">
        <v>107</v>
      </c>
      <c r="H79">
        <v>1</v>
      </c>
      <c r="I79" t="s">
        <v>2843</v>
      </c>
      <c r="J79" s="30" t="str">
        <f t="shared" si="3"/>
        <v>[79]=57,</v>
      </c>
      <c r="K79" s="3">
        <f t="shared" si="4"/>
        <v>79</v>
      </c>
      <c r="L79" s="3">
        <f t="shared" si="5"/>
        <v>57</v>
      </c>
      <c r="M79" s="8" t="str">
        <f>VLOOKUP(A79,'ESO wayshrine names'!$A$3:$B$9991,2,)</f>
        <v>Selfora Wayshrine</v>
      </c>
      <c r="N79" s="3" t="str">
        <f>VLOOKUP(F79,'ESO zone constants'!$A$5:$D$10001,4,FALSE)</f>
        <v>Deshaan</v>
      </c>
    </row>
    <row r="80" spans="1:14" x14ac:dyDescent="0.25">
      <c r="A80" s="94">
        <v>80</v>
      </c>
      <c r="B80">
        <v>10</v>
      </c>
      <c r="C80">
        <v>13</v>
      </c>
      <c r="D80" t="s">
        <v>107</v>
      </c>
      <c r="E80">
        <v>10</v>
      </c>
      <c r="F80">
        <v>57</v>
      </c>
      <c r="G80" t="s">
        <v>107</v>
      </c>
      <c r="H80">
        <v>1</v>
      </c>
      <c r="I80" t="s">
        <v>2844</v>
      </c>
      <c r="J80" s="30" t="str">
        <f t="shared" si="3"/>
        <v>[80]=57,</v>
      </c>
      <c r="K80" s="3">
        <f t="shared" si="4"/>
        <v>80</v>
      </c>
      <c r="L80" s="3">
        <f t="shared" si="5"/>
        <v>57</v>
      </c>
      <c r="M80" s="8" t="str">
        <f>VLOOKUP(A80,'ESO wayshrine names'!$A$3:$B$9991,2,)</f>
        <v>Silent Mire Wayshrine</v>
      </c>
      <c r="N80" s="3" t="str">
        <f>VLOOKUP(F80,'ESO zone constants'!$A$5:$D$10001,4,FALSE)</f>
        <v>Deshaan</v>
      </c>
    </row>
    <row r="81" spans="1:14" x14ac:dyDescent="0.25">
      <c r="A81" s="94">
        <v>81</v>
      </c>
      <c r="B81">
        <v>10</v>
      </c>
      <c r="C81">
        <v>13</v>
      </c>
      <c r="D81" t="s">
        <v>107</v>
      </c>
      <c r="E81">
        <v>10</v>
      </c>
      <c r="F81">
        <v>57</v>
      </c>
      <c r="G81" t="s">
        <v>107</v>
      </c>
      <c r="H81">
        <v>1</v>
      </c>
      <c r="I81" t="s">
        <v>2845</v>
      </c>
      <c r="J81" s="30" t="str">
        <f t="shared" si="3"/>
        <v>[81]=57,</v>
      </c>
      <c r="K81" s="3">
        <f t="shared" si="4"/>
        <v>81</v>
      </c>
      <c r="L81" s="3">
        <f t="shared" si="5"/>
        <v>57</v>
      </c>
      <c r="M81" s="8" t="str">
        <f>VLOOKUP(A81,'ESO wayshrine names'!$A$3:$B$9991,2,)</f>
        <v>Eidolon's Hollow Wayshrine</v>
      </c>
      <c r="N81" s="3" t="str">
        <f>VLOOKUP(F81,'ESO zone constants'!$A$5:$D$10001,4,FALSE)</f>
        <v>Deshaan</v>
      </c>
    </row>
    <row r="82" spans="1:14" x14ac:dyDescent="0.25">
      <c r="A82" s="94">
        <v>82</v>
      </c>
      <c r="B82">
        <v>3</v>
      </c>
      <c r="C82">
        <v>10</v>
      </c>
      <c r="D82" t="s">
        <v>2305</v>
      </c>
      <c r="E82">
        <v>5</v>
      </c>
      <c r="F82">
        <v>20</v>
      </c>
      <c r="G82" t="s">
        <v>2305</v>
      </c>
      <c r="H82">
        <v>1</v>
      </c>
      <c r="I82" t="s">
        <v>2846</v>
      </c>
      <c r="J82" s="30" t="str">
        <f t="shared" si="3"/>
        <v>[82]=20,</v>
      </c>
      <c r="K82" s="3">
        <f t="shared" si="4"/>
        <v>82</v>
      </c>
      <c r="L82" s="3">
        <f t="shared" si="5"/>
        <v>20</v>
      </c>
      <c r="M82" s="8" t="str">
        <f>VLOOKUP(A82,'ESO wayshrine names'!$A$3:$B$9991,2,)</f>
        <v>Northpoint Wayshrine</v>
      </c>
      <c r="N82" s="3" t="str">
        <f>VLOOKUP(F82,'ESO zone constants'!$A$5:$D$10001,4,FALSE)</f>
        <v>Rivenspire</v>
      </c>
    </row>
    <row r="83" spans="1:14" x14ac:dyDescent="0.25">
      <c r="A83" s="94">
        <v>83</v>
      </c>
      <c r="B83">
        <v>3</v>
      </c>
      <c r="C83">
        <v>10</v>
      </c>
      <c r="D83" t="s">
        <v>2305</v>
      </c>
      <c r="E83">
        <v>5</v>
      </c>
      <c r="F83">
        <v>20</v>
      </c>
      <c r="G83" t="s">
        <v>2305</v>
      </c>
      <c r="H83">
        <v>1</v>
      </c>
      <c r="I83" t="s">
        <v>2847</v>
      </c>
      <c r="J83" s="30" t="str">
        <f t="shared" si="3"/>
        <v>[83]=20,</v>
      </c>
      <c r="K83" s="3">
        <f t="shared" si="4"/>
        <v>83</v>
      </c>
      <c r="L83" s="3">
        <f t="shared" si="5"/>
        <v>20</v>
      </c>
      <c r="M83" s="8" t="str">
        <f>VLOOKUP(A83,'ESO wayshrine names'!$A$3:$B$9991,2,)</f>
        <v>Fell's Run Wayshrine</v>
      </c>
      <c r="N83" s="3" t="str">
        <f>VLOOKUP(F83,'ESO zone constants'!$A$5:$D$10001,4,FALSE)</f>
        <v>Rivenspire</v>
      </c>
    </row>
    <row r="84" spans="1:14" x14ac:dyDescent="0.25">
      <c r="A84" s="94">
        <v>84</v>
      </c>
      <c r="B84">
        <v>3</v>
      </c>
      <c r="C84">
        <v>10</v>
      </c>
      <c r="D84" t="s">
        <v>2305</v>
      </c>
      <c r="E84">
        <v>5</v>
      </c>
      <c r="F84">
        <v>20</v>
      </c>
      <c r="G84" t="s">
        <v>2305</v>
      </c>
      <c r="H84">
        <v>1</v>
      </c>
      <c r="I84" t="s">
        <v>2848</v>
      </c>
      <c r="J84" s="30" t="str">
        <f t="shared" si="3"/>
        <v>[84]=20,</v>
      </c>
      <c r="K84" s="3">
        <f t="shared" si="4"/>
        <v>84</v>
      </c>
      <c r="L84" s="3">
        <f t="shared" si="5"/>
        <v>20</v>
      </c>
      <c r="M84" s="8" t="str">
        <f>VLOOKUP(A84,'ESO wayshrine names'!$A$3:$B$9991,2,)</f>
        <v>Hoarfrost Downs Wayshrine</v>
      </c>
      <c r="N84" s="3" t="str">
        <f>VLOOKUP(F84,'ESO zone constants'!$A$5:$D$10001,4,FALSE)</f>
        <v>Rivenspire</v>
      </c>
    </row>
    <row r="85" spans="1:14" x14ac:dyDescent="0.25">
      <c r="A85" s="94">
        <v>85</v>
      </c>
      <c r="B85">
        <v>9</v>
      </c>
      <c r="C85">
        <v>26</v>
      </c>
      <c r="D85" t="s">
        <v>2309</v>
      </c>
      <c r="E85">
        <v>19</v>
      </c>
      <c r="F85">
        <v>117</v>
      </c>
      <c r="G85" t="s">
        <v>2309</v>
      </c>
      <c r="H85">
        <v>1</v>
      </c>
      <c r="I85" t="s">
        <v>2849</v>
      </c>
      <c r="J85" s="30" t="str">
        <f t="shared" si="3"/>
        <v>[85]=117,</v>
      </c>
      <c r="K85" s="3">
        <f t="shared" si="4"/>
        <v>85</v>
      </c>
      <c r="L85" s="3">
        <f t="shared" si="5"/>
        <v>117</v>
      </c>
      <c r="M85" s="8" t="str">
        <f>VLOOKUP(A85,'ESO wayshrine names'!$A$3:$B$9991,2,)</f>
        <v>Forsaken Hamlet Wayshrine</v>
      </c>
      <c r="N85" s="3" t="str">
        <f>VLOOKUP(F85,'ESO zone constants'!$A$5:$D$10001,4,FALSE)</f>
        <v>Shadowfen</v>
      </c>
    </row>
    <row r="86" spans="1:14" x14ac:dyDescent="0.25">
      <c r="A86" s="94">
        <v>86</v>
      </c>
      <c r="B86">
        <v>3</v>
      </c>
      <c r="C86">
        <v>10</v>
      </c>
      <c r="D86" t="s">
        <v>2305</v>
      </c>
      <c r="E86">
        <v>5</v>
      </c>
      <c r="F86">
        <v>20</v>
      </c>
      <c r="G86" t="s">
        <v>2305</v>
      </c>
      <c r="H86">
        <v>1</v>
      </c>
      <c r="I86" t="s">
        <v>2850</v>
      </c>
      <c r="J86" s="30" t="str">
        <f t="shared" si="3"/>
        <v>[86]=20,</v>
      </c>
      <c r="K86" s="3">
        <f t="shared" si="4"/>
        <v>86</v>
      </c>
      <c r="L86" s="3">
        <f t="shared" si="5"/>
        <v>20</v>
      </c>
      <c r="M86" s="8" t="str">
        <f>VLOOKUP(A86,'ESO wayshrine names'!$A$3:$B$9991,2,)</f>
        <v>Sanguine Barrows Wayshrine</v>
      </c>
      <c r="N86" s="3" t="str">
        <f>VLOOKUP(F86,'ESO zone constants'!$A$5:$D$10001,4,FALSE)</f>
        <v>Rivenspire</v>
      </c>
    </row>
    <row r="87" spans="1:14" x14ac:dyDescent="0.25">
      <c r="A87" s="94">
        <v>87</v>
      </c>
      <c r="B87">
        <v>13</v>
      </c>
      <c r="C87">
        <v>61</v>
      </c>
      <c r="D87" t="s">
        <v>2307</v>
      </c>
      <c r="E87">
        <v>15</v>
      </c>
      <c r="F87">
        <v>101</v>
      </c>
      <c r="G87" t="s">
        <v>2307</v>
      </c>
      <c r="H87">
        <v>1</v>
      </c>
      <c r="I87" t="s">
        <v>3257</v>
      </c>
      <c r="J87" s="30" t="str">
        <f t="shared" si="3"/>
        <v>[87]=101,</v>
      </c>
      <c r="K87" s="3">
        <f t="shared" si="4"/>
        <v>87</v>
      </c>
      <c r="L87" s="3">
        <f t="shared" si="5"/>
        <v>101</v>
      </c>
      <c r="M87" s="8" t="str">
        <f>VLOOKUP(A87,'ESO wayshrine names'!$A$3:$B$9991,2,)</f>
        <v>Windhelm Wayshrine</v>
      </c>
      <c r="N87" s="3" t="str">
        <f>VLOOKUP(F87,'ESO zone constants'!$A$5:$D$10001,4,FALSE)</f>
        <v>Eastmarch</v>
      </c>
    </row>
    <row r="88" spans="1:14" x14ac:dyDescent="0.25">
      <c r="A88" s="94">
        <v>88</v>
      </c>
      <c r="B88">
        <v>13</v>
      </c>
      <c r="C88">
        <v>61</v>
      </c>
      <c r="D88" t="s">
        <v>2307</v>
      </c>
      <c r="E88">
        <v>15</v>
      </c>
      <c r="F88">
        <v>101</v>
      </c>
      <c r="G88" t="s">
        <v>2307</v>
      </c>
      <c r="H88">
        <v>1</v>
      </c>
      <c r="I88" t="s">
        <v>3254</v>
      </c>
      <c r="J88" s="30" t="str">
        <f t="shared" si="3"/>
        <v>[88]=101,</v>
      </c>
      <c r="K88" s="3">
        <f t="shared" si="4"/>
        <v>88</v>
      </c>
      <c r="L88" s="3">
        <f t="shared" si="5"/>
        <v>101</v>
      </c>
      <c r="M88" s="8" t="str">
        <f>VLOOKUP(A88,'ESO wayshrine names'!$A$3:$B$9991,2,)</f>
        <v>Fort Morvunskar Wayshrine</v>
      </c>
      <c r="N88" s="3" t="str">
        <f>VLOOKUP(F88,'ESO zone constants'!$A$5:$D$10001,4,FALSE)</f>
        <v>Eastmarch</v>
      </c>
    </row>
    <row r="89" spans="1:14" x14ac:dyDescent="0.25">
      <c r="A89" s="94">
        <v>89</v>
      </c>
      <c r="B89">
        <v>13</v>
      </c>
      <c r="C89">
        <v>61</v>
      </c>
      <c r="D89" t="s">
        <v>2307</v>
      </c>
      <c r="E89">
        <v>15</v>
      </c>
      <c r="F89">
        <v>101</v>
      </c>
      <c r="G89" t="s">
        <v>2307</v>
      </c>
      <c r="H89">
        <v>1</v>
      </c>
      <c r="I89" t="s">
        <v>3259</v>
      </c>
      <c r="J89" s="30" t="str">
        <f t="shared" si="3"/>
        <v>[89]=101,</v>
      </c>
      <c r="K89" s="3">
        <f t="shared" si="4"/>
        <v>89</v>
      </c>
      <c r="L89" s="3">
        <f t="shared" si="5"/>
        <v>101</v>
      </c>
      <c r="M89" s="8" t="str">
        <f>VLOOKUP(A89,'ESO wayshrine names'!$A$3:$B$9991,2,)</f>
        <v>Kynesgrove Wayshrine</v>
      </c>
      <c r="N89" s="3" t="str">
        <f>VLOOKUP(F89,'ESO zone constants'!$A$5:$D$10001,4,FALSE)</f>
        <v>Eastmarch</v>
      </c>
    </row>
    <row r="90" spans="1:14" x14ac:dyDescent="0.25">
      <c r="A90" s="94">
        <v>90</v>
      </c>
      <c r="B90">
        <v>13</v>
      </c>
      <c r="C90">
        <v>61</v>
      </c>
      <c r="D90" t="s">
        <v>2307</v>
      </c>
      <c r="E90">
        <v>15</v>
      </c>
      <c r="F90">
        <v>101</v>
      </c>
      <c r="G90" t="s">
        <v>2307</v>
      </c>
      <c r="H90">
        <v>1</v>
      </c>
      <c r="I90" t="s">
        <v>3260</v>
      </c>
      <c r="J90" s="30" t="str">
        <f t="shared" si="3"/>
        <v>[90]=101,</v>
      </c>
      <c r="K90" s="3">
        <f t="shared" si="4"/>
        <v>90</v>
      </c>
      <c r="L90" s="3">
        <f t="shared" si="5"/>
        <v>101</v>
      </c>
      <c r="M90" s="8" t="str">
        <f>VLOOKUP(A90,'ESO wayshrine names'!$A$3:$B$9991,2,)</f>
        <v>Voljar Meadery Wayshrine</v>
      </c>
      <c r="N90" s="3" t="str">
        <f>VLOOKUP(F90,'ESO zone constants'!$A$5:$D$10001,4,FALSE)</f>
        <v>Eastmarch</v>
      </c>
    </row>
    <row r="91" spans="1:14" x14ac:dyDescent="0.25">
      <c r="A91" s="94">
        <v>91</v>
      </c>
      <c r="B91">
        <v>13</v>
      </c>
      <c r="C91">
        <v>61</v>
      </c>
      <c r="D91" t="s">
        <v>2307</v>
      </c>
      <c r="E91">
        <v>15</v>
      </c>
      <c r="F91">
        <v>101</v>
      </c>
      <c r="G91" t="s">
        <v>2307</v>
      </c>
      <c r="H91">
        <v>1</v>
      </c>
      <c r="I91" t="s">
        <v>3261</v>
      </c>
      <c r="J91" s="30" t="str">
        <f t="shared" si="3"/>
        <v>[91]=101,</v>
      </c>
      <c r="K91" s="3">
        <f t="shared" si="4"/>
        <v>91</v>
      </c>
      <c r="L91" s="3">
        <f t="shared" si="5"/>
        <v>101</v>
      </c>
      <c r="M91" s="8" t="str">
        <f>VLOOKUP(A91,'ESO wayshrine names'!$A$3:$B$9991,2,)</f>
        <v>Cradlecrush Wayshrine</v>
      </c>
      <c r="N91" s="3" t="str">
        <f>VLOOKUP(F91,'ESO zone constants'!$A$5:$D$10001,4,FALSE)</f>
        <v>Eastmarch</v>
      </c>
    </row>
    <row r="92" spans="1:14" x14ac:dyDescent="0.25">
      <c r="A92" s="94">
        <v>92</v>
      </c>
      <c r="B92">
        <v>13</v>
      </c>
      <c r="C92">
        <v>61</v>
      </c>
      <c r="D92" t="s">
        <v>2307</v>
      </c>
      <c r="E92">
        <v>15</v>
      </c>
      <c r="F92">
        <v>101</v>
      </c>
      <c r="G92" t="s">
        <v>2307</v>
      </c>
      <c r="H92">
        <v>1</v>
      </c>
      <c r="I92" t="s">
        <v>3256</v>
      </c>
      <c r="J92" s="30" t="str">
        <f t="shared" si="3"/>
        <v>[92]=101,</v>
      </c>
      <c r="K92" s="3">
        <f t="shared" si="4"/>
        <v>92</v>
      </c>
      <c r="L92" s="3">
        <f t="shared" si="5"/>
        <v>101</v>
      </c>
      <c r="M92" s="8" t="str">
        <f>VLOOKUP(A92,'ESO wayshrine names'!$A$3:$B$9991,2,)</f>
        <v>Fort Amol Wayshrine</v>
      </c>
      <c r="N92" s="3" t="str">
        <f>VLOOKUP(F92,'ESO zone constants'!$A$5:$D$10001,4,FALSE)</f>
        <v>Eastmarch</v>
      </c>
    </row>
    <row r="93" spans="1:14" x14ac:dyDescent="0.25">
      <c r="A93" s="94">
        <v>93</v>
      </c>
      <c r="B93">
        <v>13</v>
      </c>
      <c r="C93">
        <v>61</v>
      </c>
      <c r="D93" t="s">
        <v>2307</v>
      </c>
      <c r="E93">
        <v>15</v>
      </c>
      <c r="F93">
        <v>101</v>
      </c>
      <c r="G93" t="s">
        <v>2307</v>
      </c>
      <c r="H93">
        <v>1</v>
      </c>
      <c r="I93" t="s">
        <v>3263</v>
      </c>
      <c r="J93" s="30" t="str">
        <f t="shared" si="3"/>
        <v>[93]=101,</v>
      </c>
      <c r="K93" s="3">
        <f t="shared" si="4"/>
        <v>93</v>
      </c>
      <c r="L93" s="3">
        <f t="shared" si="5"/>
        <v>101</v>
      </c>
      <c r="M93" s="8" t="str">
        <f>VLOOKUP(A93,'ESO wayshrine names'!$A$3:$B$9991,2,)</f>
        <v>Wittestadr Wayshrine</v>
      </c>
      <c r="N93" s="3" t="str">
        <f>VLOOKUP(F93,'ESO zone constants'!$A$5:$D$10001,4,FALSE)</f>
        <v>Eastmarch</v>
      </c>
    </row>
    <row r="94" spans="1:14" x14ac:dyDescent="0.25">
      <c r="A94" s="94">
        <v>94</v>
      </c>
      <c r="B94">
        <v>13</v>
      </c>
      <c r="C94">
        <v>61</v>
      </c>
      <c r="D94" t="s">
        <v>2307</v>
      </c>
      <c r="E94">
        <v>15</v>
      </c>
      <c r="F94">
        <v>101</v>
      </c>
      <c r="G94" t="s">
        <v>2307</v>
      </c>
      <c r="H94">
        <v>1</v>
      </c>
      <c r="I94" t="s">
        <v>3264</v>
      </c>
      <c r="J94" s="30" t="str">
        <f t="shared" si="3"/>
        <v>[94]=101,</v>
      </c>
      <c r="K94" s="3">
        <f t="shared" si="4"/>
        <v>94</v>
      </c>
      <c r="L94" s="3">
        <f t="shared" si="5"/>
        <v>101</v>
      </c>
      <c r="M94" s="8" t="str">
        <f>VLOOKUP(A94,'ESO wayshrine names'!$A$3:$B$9991,2,)</f>
        <v>Mistwatch Wayshrine</v>
      </c>
      <c r="N94" s="3" t="str">
        <f>VLOOKUP(F94,'ESO zone constants'!$A$5:$D$10001,4,FALSE)</f>
        <v>Eastmarch</v>
      </c>
    </row>
    <row r="95" spans="1:14" x14ac:dyDescent="0.25">
      <c r="A95" s="94">
        <v>95</v>
      </c>
      <c r="B95">
        <v>13</v>
      </c>
      <c r="C95">
        <v>61</v>
      </c>
      <c r="D95" t="s">
        <v>2307</v>
      </c>
      <c r="E95">
        <v>15</v>
      </c>
      <c r="F95">
        <v>101</v>
      </c>
      <c r="G95" t="s">
        <v>2307</v>
      </c>
      <c r="H95">
        <v>1</v>
      </c>
      <c r="I95" t="s">
        <v>3265</v>
      </c>
      <c r="J95" s="30" t="str">
        <f t="shared" si="3"/>
        <v>[95]=101,</v>
      </c>
      <c r="K95" s="3">
        <f t="shared" si="4"/>
        <v>95</v>
      </c>
      <c r="L95" s="3">
        <f t="shared" si="5"/>
        <v>101</v>
      </c>
      <c r="M95" s="8" t="str">
        <f>VLOOKUP(A95,'ESO wayshrine names'!$A$3:$B$9991,2,)</f>
        <v>Jorunn's Stand Wayshrine</v>
      </c>
      <c r="N95" s="3" t="str">
        <f>VLOOKUP(F95,'ESO zone constants'!$A$5:$D$10001,4,FALSE)</f>
        <v>Eastmarch</v>
      </c>
    </row>
    <row r="96" spans="1:14" x14ac:dyDescent="0.25">
      <c r="A96" s="94">
        <v>96</v>
      </c>
      <c r="B96">
        <v>13</v>
      </c>
      <c r="C96">
        <v>61</v>
      </c>
      <c r="D96" t="s">
        <v>2307</v>
      </c>
      <c r="E96">
        <v>15</v>
      </c>
      <c r="F96">
        <v>101</v>
      </c>
      <c r="G96" t="s">
        <v>2307</v>
      </c>
      <c r="H96">
        <v>1</v>
      </c>
      <c r="I96" t="s">
        <v>3250</v>
      </c>
      <c r="J96" s="30" t="str">
        <f t="shared" si="3"/>
        <v>[96]=101,</v>
      </c>
      <c r="K96" s="3">
        <f t="shared" si="4"/>
        <v>96</v>
      </c>
      <c r="L96" s="3">
        <f t="shared" si="5"/>
        <v>101</v>
      </c>
      <c r="M96" s="8" t="str">
        <f>VLOOKUP(A96,'ESO wayshrine names'!$A$3:$B$9991,2,)</f>
        <v>Logging Camp Wayshrine</v>
      </c>
      <c r="N96" s="3" t="str">
        <f>VLOOKUP(F96,'ESO zone constants'!$A$5:$D$10001,4,FALSE)</f>
        <v>Eastmarch</v>
      </c>
    </row>
    <row r="97" spans="1:14" x14ac:dyDescent="0.25">
      <c r="A97" s="94">
        <v>97</v>
      </c>
      <c r="B97">
        <v>13</v>
      </c>
      <c r="C97">
        <v>61</v>
      </c>
      <c r="D97" t="s">
        <v>2307</v>
      </c>
      <c r="E97">
        <v>15</v>
      </c>
      <c r="F97">
        <v>101</v>
      </c>
      <c r="G97" t="s">
        <v>2307</v>
      </c>
      <c r="H97">
        <v>1</v>
      </c>
      <c r="I97" t="s">
        <v>3251</v>
      </c>
      <c r="J97" s="30" t="str">
        <f t="shared" si="3"/>
        <v>[97]=101,</v>
      </c>
      <c r="K97" s="3">
        <f t="shared" si="4"/>
        <v>97</v>
      </c>
      <c r="L97" s="3">
        <f t="shared" si="5"/>
        <v>101</v>
      </c>
      <c r="M97" s="8" t="str">
        <f>VLOOKUP(A97,'ESO wayshrine names'!$A$3:$B$9991,2,)</f>
        <v>Skuldafn Wayshrine</v>
      </c>
      <c r="N97" s="3" t="str">
        <f>VLOOKUP(F97,'ESO zone constants'!$A$5:$D$10001,4,FALSE)</f>
        <v>Eastmarch</v>
      </c>
    </row>
    <row r="98" spans="1:14" x14ac:dyDescent="0.25">
      <c r="A98" s="94">
        <v>98</v>
      </c>
      <c r="B98">
        <v>11</v>
      </c>
      <c r="C98">
        <v>7</v>
      </c>
      <c r="D98" t="s">
        <v>2310</v>
      </c>
      <c r="E98">
        <v>9</v>
      </c>
      <c r="F98">
        <v>41</v>
      </c>
      <c r="G98" t="s">
        <v>2310</v>
      </c>
      <c r="H98">
        <v>6</v>
      </c>
      <c r="I98" t="s">
        <v>2851</v>
      </c>
      <c r="J98" s="30" t="str">
        <f t="shared" si="3"/>
        <v>[98]=41,</v>
      </c>
      <c r="K98" s="3">
        <f t="shared" si="4"/>
        <v>98</v>
      </c>
      <c r="L98" s="3">
        <f t="shared" si="5"/>
        <v>41</v>
      </c>
      <c r="M98" s="8" t="str">
        <f>VLOOKUP(A98,'ESO wayshrine names'!$A$3:$B$9991,2,)</f>
        <v>Dungeon: Fungal Grotto I</v>
      </c>
      <c r="N98" s="3" t="str">
        <f>VLOOKUP(F98,'ESO zone constants'!$A$5:$D$10001,4,FALSE)</f>
        <v>Stonefalls</v>
      </c>
    </row>
    <row r="99" spans="1:14" x14ac:dyDescent="0.25">
      <c r="A99" s="94">
        <v>99</v>
      </c>
      <c r="B99">
        <v>8</v>
      </c>
      <c r="C99">
        <v>22</v>
      </c>
      <c r="D99" t="s">
        <v>108</v>
      </c>
      <c r="E99">
        <v>11</v>
      </c>
      <c r="F99">
        <v>58</v>
      </c>
      <c r="G99" t="s">
        <v>108</v>
      </c>
      <c r="H99">
        <v>1</v>
      </c>
      <c r="I99" t="s">
        <v>2852</v>
      </c>
      <c r="J99" s="30" t="str">
        <f t="shared" si="3"/>
        <v>[99]=58,</v>
      </c>
      <c r="K99" s="3">
        <f t="shared" si="4"/>
        <v>99</v>
      </c>
      <c r="L99" s="3">
        <f t="shared" si="5"/>
        <v>58</v>
      </c>
      <c r="M99" s="8" t="str">
        <f>VLOOKUP(A99,'ESO wayshrine names'!$A$3:$B$9991,2,)</f>
        <v>Ilayas Ruins Wayshrine</v>
      </c>
      <c r="N99" s="3" t="str">
        <f>VLOOKUP(F99,'ESO zone constants'!$A$5:$D$10001,4,FALSE)</f>
        <v>Malabal Tor</v>
      </c>
    </row>
    <row r="100" spans="1:14" x14ac:dyDescent="0.25">
      <c r="A100" s="94">
        <v>100</v>
      </c>
      <c r="B100">
        <v>8</v>
      </c>
      <c r="C100">
        <v>22</v>
      </c>
      <c r="D100" t="s">
        <v>108</v>
      </c>
      <c r="E100">
        <v>11</v>
      </c>
      <c r="F100">
        <v>58</v>
      </c>
      <c r="G100" t="s">
        <v>108</v>
      </c>
      <c r="H100">
        <v>1</v>
      </c>
      <c r="I100" t="s">
        <v>2853</v>
      </c>
      <c r="J100" s="30" t="str">
        <f t="shared" si="3"/>
        <v>[100]=58,</v>
      </c>
      <c r="K100" s="3">
        <f t="shared" si="4"/>
        <v>100</v>
      </c>
      <c r="L100" s="3">
        <f t="shared" si="5"/>
        <v>58</v>
      </c>
      <c r="M100" s="8" t="str">
        <f>VLOOKUP(A100,'ESO wayshrine names'!$A$3:$B$9991,2,)</f>
        <v>Vulkwasten Wayshrine</v>
      </c>
      <c r="N100" s="3" t="str">
        <f>VLOOKUP(F100,'ESO zone constants'!$A$5:$D$10001,4,FALSE)</f>
        <v>Malabal Tor</v>
      </c>
    </row>
    <row r="101" spans="1:14" x14ac:dyDescent="0.25">
      <c r="A101" s="94">
        <v>101</v>
      </c>
      <c r="B101">
        <v>8</v>
      </c>
      <c r="C101">
        <v>22</v>
      </c>
      <c r="D101" t="s">
        <v>108</v>
      </c>
      <c r="E101">
        <v>11</v>
      </c>
      <c r="F101">
        <v>58</v>
      </c>
      <c r="G101" t="s">
        <v>108</v>
      </c>
      <c r="H101">
        <v>1</v>
      </c>
      <c r="I101" t="s">
        <v>3188</v>
      </c>
      <c r="J101" s="30" t="str">
        <f t="shared" si="3"/>
        <v>[101]=58,</v>
      </c>
      <c r="K101" s="3">
        <f t="shared" si="4"/>
        <v>101</v>
      </c>
      <c r="L101" s="3">
        <f t="shared" si="5"/>
        <v>58</v>
      </c>
      <c r="M101" s="8" t="str">
        <f>VLOOKUP(A101,'ESO wayshrine names'!$A$3:$B$9991,2,)</f>
        <v>Dra'bul Wayshrine</v>
      </c>
      <c r="N101" s="3" t="str">
        <f>VLOOKUP(F101,'ESO zone constants'!$A$5:$D$10001,4,FALSE)</f>
        <v>Malabal Tor</v>
      </c>
    </row>
    <row r="102" spans="1:14" x14ac:dyDescent="0.25">
      <c r="A102" s="94">
        <v>102</v>
      </c>
      <c r="B102">
        <v>8</v>
      </c>
      <c r="C102">
        <v>22</v>
      </c>
      <c r="D102" t="s">
        <v>108</v>
      </c>
      <c r="E102">
        <v>11</v>
      </c>
      <c r="F102">
        <v>58</v>
      </c>
      <c r="G102" t="s">
        <v>108</v>
      </c>
      <c r="H102">
        <v>1</v>
      </c>
      <c r="I102" t="s">
        <v>2854</v>
      </c>
      <c r="J102" s="30" t="str">
        <f t="shared" si="3"/>
        <v>[102]=58,</v>
      </c>
      <c r="K102" s="3">
        <f t="shared" si="4"/>
        <v>102</v>
      </c>
      <c r="L102" s="3">
        <f t="shared" si="5"/>
        <v>58</v>
      </c>
      <c r="M102" s="8" t="str">
        <f>VLOOKUP(A102,'ESO wayshrine names'!$A$3:$B$9991,2,)</f>
        <v>Velyn Harbor Wayshrine</v>
      </c>
      <c r="N102" s="3" t="str">
        <f>VLOOKUP(F102,'ESO zone constants'!$A$5:$D$10001,4,FALSE)</f>
        <v>Malabal Tor</v>
      </c>
    </row>
    <row r="103" spans="1:14" x14ac:dyDescent="0.25">
      <c r="A103" s="94">
        <v>103</v>
      </c>
      <c r="B103">
        <v>8</v>
      </c>
      <c r="C103">
        <v>22</v>
      </c>
      <c r="D103" t="s">
        <v>108</v>
      </c>
      <c r="E103">
        <v>11</v>
      </c>
      <c r="F103">
        <v>58</v>
      </c>
      <c r="G103" t="s">
        <v>108</v>
      </c>
      <c r="H103">
        <v>1</v>
      </c>
      <c r="I103" t="s">
        <v>2855</v>
      </c>
      <c r="J103" s="30" t="str">
        <f t="shared" si="3"/>
        <v>[103]=58,</v>
      </c>
      <c r="K103" s="3">
        <f t="shared" si="4"/>
        <v>103</v>
      </c>
      <c r="L103" s="3">
        <f t="shared" si="5"/>
        <v>58</v>
      </c>
      <c r="M103" s="8" t="str">
        <f>VLOOKUP(A103,'ESO wayshrine names'!$A$3:$B$9991,2,)</f>
        <v>Bloodtoil Wayshrine</v>
      </c>
      <c r="N103" s="3" t="str">
        <f>VLOOKUP(F103,'ESO zone constants'!$A$5:$D$10001,4,FALSE)</f>
        <v>Malabal Tor</v>
      </c>
    </row>
    <row r="104" spans="1:14" x14ac:dyDescent="0.25">
      <c r="A104" s="94">
        <v>104</v>
      </c>
      <c r="B104">
        <v>8</v>
      </c>
      <c r="C104">
        <v>22</v>
      </c>
      <c r="D104" t="s">
        <v>108</v>
      </c>
      <c r="E104">
        <v>11</v>
      </c>
      <c r="F104">
        <v>58</v>
      </c>
      <c r="G104" t="s">
        <v>108</v>
      </c>
      <c r="H104">
        <v>1</v>
      </c>
      <c r="I104" t="s">
        <v>2856</v>
      </c>
      <c r="J104" s="30" t="str">
        <f t="shared" si="3"/>
        <v>[104]=58,</v>
      </c>
      <c r="K104" s="3">
        <f t="shared" si="4"/>
        <v>104</v>
      </c>
      <c r="L104" s="3">
        <f t="shared" si="5"/>
        <v>58</v>
      </c>
      <c r="M104" s="8" t="str">
        <f>VLOOKUP(A104,'ESO wayshrine names'!$A$3:$B$9991,2,)</f>
        <v>Abamath Wayshrine</v>
      </c>
      <c r="N104" s="3" t="str">
        <f>VLOOKUP(F104,'ESO zone constants'!$A$5:$D$10001,4,FALSE)</f>
        <v>Malabal Tor</v>
      </c>
    </row>
    <row r="105" spans="1:14" x14ac:dyDescent="0.25">
      <c r="A105" s="94">
        <v>105</v>
      </c>
      <c r="B105">
        <v>8</v>
      </c>
      <c r="C105">
        <v>22</v>
      </c>
      <c r="D105" t="s">
        <v>108</v>
      </c>
      <c r="E105">
        <v>11</v>
      </c>
      <c r="F105">
        <v>58</v>
      </c>
      <c r="G105" t="s">
        <v>108</v>
      </c>
      <c r="H105">
        <v>1</v>
      </c>
      <c r="I105" t="s">
        <v>2857</v>
      </c>
      <c r="J105" s="30" t="str">
        <f t="shared" si="3"/>
        <v>[105]=58,</v>
      </c>
      <c r="K105" s="3">
        <f t="shared" si="4"/>
        <v>105</v>
      </c>
      <c r="L105" s="3">
        <f t="shared" si="5"/>
        <v>58</v>
      </c>
      <c r="M105" s="8" t="str">
        <f>VLOOKUP(A105,'ESO wayshrine names'!$A$3:$B$9991,2,)</f>
        <v>Wilding Run Wayshrine</v>
      </c>
      <c r="N105" s="3" t="str">
        <f>VLOOKUP(F105,'ESO zone constants'!$A$5:$D$10001,4,FALSE)</f>
        <v>Malabal Tor</v>
      </c>
    </row>
    <row r="106" spans="1:14" x14ac:dyDescent="0.25">
      <c r="A106" s="94">
        <v>106</v>
      </c>
      <c r="B106">
        <v>8</v>
      </c>
      <c r="C106">
        <v>22</v>
      </c>
      <c r="D106" t="s">
        <v>108</v>
      </c>
      <c r="E106">
        <v>11</v>
      </c>
      <c r="F106">
        <v>58</v>
      </c>
      <c r="G106" t="s">
        <v>108</v>
      </c>
      <c r="H106">
        <v>1</v>
      </c>
      <c r="I106" t="s">
        <v>3798</v>
      </c>
      <c r="J106" s="30" t="str">
        <f t="shared" si="3"/>
        <v>[106]=58,</v>
      </c>
      <c r="K106" s="3">
        <f t="shared" si="4"/>
        <v>106</v>
      </c>
      <c r="L106" s="3">
        <f t="shared" si="5"/>
        <v>58</v>
      </c>
      <c r="M106" s="8" t="str">
        <f>VLOOKUP(A106,'ESO wayshrine names'!$A$3:$B$9991,2,)</f>
        <v>Baandari Market Wayshrine</v>
      </c>
      <c r="N106" s="3" t="str">
        <f>VLOOKUP(F106,'ESO zone constants'!$A$5:$D$10001,4,FALSE)</f>
        <v>Malabal Tor</v>
      </c>
    </row>
    <row r="107" spans="1:14" x14ac:dyDescent="0.25">
      <c r="A107" s="94">
        <v>107</v>
      </c>
      <c r="B107">
        <v>8</v>
      </c>
      <c r="C107">
        <v>22</v>
      </c>
      <c r="D107" t="s">
        <v>108</v>
      </c>
      <c r="E107">
        <v>11</v>
      </c>
      <c r="F107">
        <v>58</v>
      </c>
      <c r="G107" t="s">
        <v>108</v>
      </c>
      <c r="H107">
        <v>1</v>
      </c>
      <c r="I107" t="s">
        <v>2858</v>
      </c>
      <c r="J107" s="30" t="str">
        <f t="shared" si="3"/>
        <v>[107]=58,</v>
      </c>
      <c r="K107" s="3">
        <f t="shared" si="4"/>
        <v>107</v>
      </c>
      <c r="L107" s="3">
        <f t="shared" si="5"/>
        <v>58</v>
      </c>
      <c r="M107" s="8" t="str">
        <f>VLOOKUP(A107,'ESO wayshrine names'!$A$3:$B$9991,2,)</f>
        <v>Valeguard Wayshrine</v>
      </c>
      <c r="N107" s="3" t="str">
        <f>VLOOKUP(F107,'ESO zone constants'!$A$5:$D$10001,4,FALSE)</f>
        <v>Malabal Tor</v>
      </c>
    </row>
    <row r="108" spans="1:14" x14ac:dyDescent="0.25">
      <c r="A108" s="94">
        <v>108</v>
      </c>
      <c r="B108">
        <v>11</v>
      </c>
      <c r="C108">
        <v>7</v>
      </c>
      <c r="D108" t="s">
        <v>2310</v>
      </c>
      <c r="E108">
        <v>9</v>
      </c>
      <c r="F108">
        <v>41</v>
      </c>
      <c r="G108" t="s">
        <v>2310</v>
      </c>
      <c r="H108">
        <v>1</v>
      </c>
      <c r="I108" t="s">
        <v>2859</v>
      </c>
      <c r="J108" s="30" t="str">
        <f t="shared" si="3"/>
        <v>[108]=41,</v>
      </c>
      <c r="K108" s="3">
        <f t="shared" si="4"/>
        <v>108</v>
      </c>
      <c r="L108" s="3">
        <f t="shared" si="5"/>
        <v>41</v>
      </c>
      <c r="M108" s="8" t="str">
        <f>VLOOKUP(A108,'ESO wayshrine names'!$A$3:$B$9991,2,)</f>
        <v>Senie Wayshrine</v>
      </c>
      <c r="N108" s="3" t="str">
        <f>VLOOKUP(F108,'ESO zone constants'!$A$5:$D$10001,4,FALSE)</f>
        <v>Stonefalls</v>
      </c>
    </row>
    <row r="109" spans="1:14" x14ac:dyDescent="0.25">
      <c r="A109" s="94">
        <v>109</v>
      </c>
      <c r="B109">
        <v>12</v>
      </c>
      <c r="C109">
        <v>125</v>
      </c>
      <c r="D109" t="s">
        <v>2308</v>
      </c>
      <c r="E109">
        <v>16</v>
      </c>
      <c r="F109">
        <v>103</v>
      </c>
      <c r="G109" t="s">
        <v>2308</v>
      </c>
      <c r="H109">
        <v>1</v>
      </c>
      <c r="I109" t="s">
        <v>2860</v>
      </c>
      <c r="J109" s="30" t="str">
        <f t="shared" si="3"/>
        <v>[109]=103,</v>
      </c>
      <c r="K109" s="3">
        <f t="shared" si="4"/>
        <v>109</v>
      </c>
      <c r="L109" s="3">
        <f t="shared" si="5"/>
        <v>103</v>
      </c>
      <c r="M109" s="8" t="str">
        <f>VLOOKUP(A109,'ESO wayshrine names'!$A$3:$B$9991,2,)</f>
        <v>Riften Wayshrine</v>
      </c>
      <c r="N109" s="3" t="str">
        <f>VLOOKUP(F109,'ESO zone constants'!$A$5:$D$10001,4,FALSE)</f>
        <v>The Rift</v>
      </c>
    </row>
    <row r="110" spans="1:14" x14ac:dyDescent="0.25">
      <c r="A110" s="94">
        <v>110</v>
      </c>
      <c r="B110">
        <v>12</v>
      </c>
      <c r="C110">
        <v>125</v>
      </c>
      <c r="D110" t="s">
        <v>2308</v>
      </c>
      <c r="E110">
        <v>16</v>
      </c>
      <c r="F110">
        <v>103</v>
      </c>
      <c r="G110" t="s">
        <v>2308</v>
      </c>
      <c r="H110">
        <v>1</v>
      </c>
      <c r="I110" t="s">
        <v>2861</v>
      </c>
      <c r="J110" s="30" t="str">
        <f t="shared" si="3"/>
        <v>[110]=103,</v>
      </c>
      <c r="K110" s="3">
        <f t="shared" si="4"/>
        <v>110</v>
      </c>
      <c r="L110" s="3">
        <f t="shared" si="5"/>
        <v>103</v>
      </c>
      <c r="M110" s="8" t="str">
        <f>VLOOKUP(A110,'ESO wayshrine names'!$A$3:$B$9991,2,)</f>
        <v>Skald's Retreat Wayshrine</v>
      </c>
      <c r="N110" s="3" t="str">
        <f>VLOOKUP(F110,'ESO zone constants'!$A$5:$D$10001,4,FALSE)</f>
        <v>The Rift</v>
      </c>
    </row>
    <row r="111" spans="1:14" x14ac:dyDescent="0.25">
      <c r="A111" s="94">
        <v>111</v>
      </c>
      <c r="B111">
        <v>12</v>
      </c>
      <c r="C111">
        <v>125</v>
      </c>
      <c r="D111" t="s">
        <v>2308</v>
      </c>
      <c r="E111">
        <v>16</v>
      </c>
      <c r="F111">
        <v>103</v>
      </c>
      <c r="G111" t="s">
        <v>2308</v>
      </c>
      <c r="H111">
        <v>1</v>
      </c>
      <c r="I111" t="s">
        <v>2862</v>
      </c>
      <c r="J111" s="30" t="str">
        <f t="shared" si="3"/>
        <v>[111]=103,</v>
      </c>
      <c r="K111" s="3">
        <f t="shared" si="4"/>
        <v>111</v>
      </c>
      <c r="L111" s="3">
        <f t="shared" si="5"/>
        <v>103</v>
      </c>
      <c r="M111" s="8" t="str">
        <f>VLOOKUP(A111,'ESO wayshrine names'!$A$3:$B$9991,2,)</f>
        <v>Trolhetta Wayshrine</v>
      </c>
      <c r="N111" s="3" t="str">
        <f>VLOOKUP(F111,'ESO zone constants'!$A$5:$D$10001,4,FALSE)</f>
        <v>The Rift</v>
      </c>
    </row>
    <row r="112" spans="1:14" x14ac:dyDescent="0.25">
      <c r="A112" s="94">
        <v>112</v>
      </c>
      <c r="B112">
        <v>12</v>
      </c>
      <c r="C112">
        <v>125</v>
      </c>
      <c r="D112" t="s">
        <v>2308</v>
      </c>
      <c r="E112">
        <v>16</v>
      </c>
      <c r="F112">
        <v>103</v>
      </c>
      <c r="G112" t="s">
        <v>2308</v>
      </c>
      <c r="H112">
        <v>1</v>
      </c>
      <c r="I112" t="s">
        <v>2863</v>
      </c>
      <c r="J112" s="30" t="str">
        <f t="shared" si="3"/>
        <v>[112]=103,</v>
      </c>
      <c r="K112" s="3">
        <f t="shared" si="4"/>
        <v>112</v>
      </c>
      <c r="L112" s="3">
        <f t="shared" si="5"/>
        <v>103</v>
      </c>
      <c r="M112" s="8" t="str">
        <f>VLOOKUP(A112,'ESO wayshrine names'!$A$3:$B$9991,2,)</f>
        <v>Trolhetta Summit Wayshrine</v>
      </c>
      <c r="N112" s="3" t="str">
        <f>VLOOKUP(F112,'ESO zone constants'!$A$5:$D$10001,4,FALSE)</f>
        <v>The Rift</v>
      </c>
    </row>
    <row r="113" spans="1:14" x14ac:dyDescent="0.25">
      <c r="A113" s="94">
        <v>113</v>
      </c>
      <c r="B113">
        <v>12</v>
      </c>
      <c r="C113">
        <v>125</v>
      </c>
      <c r="D113" t="s">
        <v>2308</v>
      </c>
      <c r="E113">
        <v>16</v>
      </c>
      <c r="F113">
        <v>103</v>
      </c>
      <c r="G113" t="s">
        <v>2308</v>
      </c>
      <c r="H113">
        <v>1</v>
      </c>
      <c r="I113" t="s">
        <v>2864</v>
      </c>
      <c r="J113" s="30" t="str">
        <f t="shared" si="3"/>
        <v>[113]=103,</v>
      </c>
      <c r="K113" s="3">
        <f t="shared" si="4"/>
        <v>113</v>
      </c>
      <c r="L113" s="3">
        <f t="shared" si="5"/>
        <v>103</v>
      </c>
      <c r="M113" s="8" t="str">
        <f>VLOOKUP(A113,'ESO wayshrine names'!$A$3:$B$9991,2,)</f>
        <v>Honrich Tower Wayshrine</v>
      </c>
      <c r="N113" s="3" t="str">
        <f>VLOOKUP(F113,'ESO zone constants'!$A$5:$D$10001,4,FALSE)</f>
        <v>The Rift</v>
      </c>
    </row>
    <row r="114" spans="1:14" x14ac:dyDescent="0.25">
      <c r="A114" s="94">
        <v>114</v>
      </c>
      <c r="B114">
        <v>12</v>
      </c>
      <c r="C114">
        <v>125</v>
      </c>
      <c r="D114" t="s">
        <v>2308</v>
      </c>
      <c r="E114">
        <v>16</v>
      </c>
      <c r="F114">
        <v>103</v>
      </c>
      <c r="G114" t="s">
        <v>2308</v>
      </c>
      <c r="H114">
        <v>1</v>
      </c>
      <c r="I114" t="s">
        <v>2865</v>
      </c>
      <c r="J114" s="30" t="str">
        <f t="shared" si="3"/>
        <v>[114]=103,</v>
      </c>
      <c r="K114" s="3">
        <f t="shared" si="4"/>
        <v>114</v>
      </c>
      <c r="L114" s="3">
        <f t="shared" si="5"/>
        <v>103</v>
      </c>
      <c r="M114" s="8" t="str">
        <f>VLOOKUP(A114,'ESO wayshrine names'!$A$3:$B$9991,2,)</f>
        <v>Fallowstone Hall Wayshrine</v>
      </c>
      <c r="N114" s="3" t="str">
        <f>VLOOKUP(F114,'ESO zone constants'!$A$5:$D$10001,4,FALSE)</f>
        <v>The Rift</v>
      </c>
    </row>
    <row r="115" spans="1:14" x14ac:dyDescent="0.25">
      <c r="A115" s="94">
        <v>115</v>
      </c>
      <c r="B115">
        <v>12</v>
      </c>
      <c r="C115">
        <v>125</v>
      </c>
      <c r="D115" t="s">
        <v>2308</v>
      </c>
      <c r="E115">
        <v>16</v>
      </c>
      <c r="F115">
        <v>103</v>
      </c>
      <c r="G115" t="s">
        <v>2308</v>
      </c>
      <c r="H115">
        <v>1</v>
      </c>
      <c r="I115" t="s">
        <v>2866</v>
      </c>
      <c r="J115" s="30" t="str">
        <f t="shared" si="3"/>
        <v>[115]=103,</v>
      </c>
      <c r="K115" s="3">
        <f t="shared" si="4"/>
        <v>115</v>
      </c>
      <c r="L115" s="3">
        <f t="shared" si="5"/>
        <v>103</v>
      </c>
      <c r="M115" s="8" t="str">
        <f>VLOOKUP(A115,'ESO wayshrine names'!$A$3:$B$9991,2,)</f>
        <v>Northwind Mine Wayshrine</v>
      </c>
      <c r="N115" s="3" t="str">
        <f>VLOOKUP(F115,'ESO zone constants'!$A$5:$D$10001,4,FALSE)</f>
        <v>The Rift</v>
      </c>
    </row>
    <row r="116" spans="1:14" x14ac:dyDescent="0.25">
      <c r="A116" s="94">
        <v>116</v>
      </c>
      <c r="B116">
        <v>12</v>
      </c>
      <c r="C116">
        <v>125</v>
      </c>
      <c r="D116" t="s">
        <v>2308</v>
      </c>
      <c r="E116">
        <v>16</v>
      </c>
      <c r="F116">
        <v>103</v>
      </c>
      <c r="G116" t="s">
        <v>2308</v>
      </c>
      <c r="H116">
        <v>1</v>
      </c>
      <c r="I116" t="s">
        <v>2867</v>
      </c>
      <c r="J116" s="30" t="str">
        <f t="shared" si="3"/>
        <v>[116]=103,</v>
      </c>
      <c r="K116" s="3">
        <f t="shared" si="4"/>
        <v>116</v>
      </c>
      <c r="L116" s="3">
        <f t="shared" si="5"/>
        <v>103</v>
      </c>
      <c r="M116" s="8" t="str">
        <f>VLOOKUP(A116,'ESO wayshrine names'!$A$3:$B$9991,2,)</f>
        <v>Geirmund's Hall Wayshrine</v>
      </c>
      <c r="N116" s="3" t="str">
        <f>VLOOKUP(F116,'ESO zone constants'!$A$5:$D$10001,4,FALSE)</f>
        <v>The Rift</v>
      </c>
    </row>
    <row r="117" spans="1:14" x14ac:dyDescent="0.25">
      <c r="A117" s="94">
        <v>117</v>
      </c>
      <c r="B117">
        <v>12</v>
      </c>
      <c r="C117">
        <v>125</v>
      </c>
      <c r="D117" t="s">
        <v>2308</v>
      </c>
      <c r="E117">
        <v>16</v>
      </c>
      <c r="F117">
        <v>103</v>
      </c>
      <c r="G117" t="s">
        <v>2308</v>
      </c>
      <c r="H117">
        <v>1</v>
      </c>
      <c r="I117" t="s">
        <v>2868</v>
      </c>
      <c r="J117" s="30" t="str">
        <f t="shared" si="3"/>
        <v>[117]=103,</v>
      </c>
      <c r="K117" s="3">
        <f t="shared" si="4"/>
        <v>117</v>
      </c>
      <c r="L117" s="3">
        <f t="shared" si="5"/>
        <v>103</v>
      </c>
      <c r="M117" s="8" t="str">
        <f>VLOOKUP(A117,'ESO wayshrine names'!$A$3:$B$9991,2,)</f>
        <v>Taarengrav Wayshrine</v>
      </c>
      <c r="N117" s="3" t="str">
        <f>VLOOKUP(F117,'ESO zone constants'!$A$5:$D$10001,4,FALSE)</f>
        <v>The Rift</v>
      </c>
    </row>
    <row r="118" spans="1:14" x14ac:dyDescent="0.25">
      <c r="A118" s="94">
        <v>118</v>
      </c>
      <c r="B118">
        <v>12</v>
      </c>
      <c r="C118">
        <v>125</v>
      </c>
      <c r="D118" t="s">
        <v>2308</v>
      </c>
      <c r="E118">
        <v>16</v>
      </c>
      <c r="F118">
        <v>103</v>
      </c>
      <c r="G118" t="s">
        <v>2308</v>
      </c>
      <c r="H118">
        <v>1</v>
      </c>
      <c r="I118" t="s">
        <v>2869</v>
      </c>
      <c r="J118" s="30" t="str">
        <f t="shared" si="3"/>
        <v>[118]=103,</v>
      </c>
      <c r="K118" s="3">
        <f t="shared" si="4"/>
        <v>118</v>
      </c>
      <c r="L118" s="3">
        <f t="shared" si="5"/>
        <v>103</v>
      </c>
      <c r="M118" s="8" t="str">
        <f>VLOOKUP(A118,'ESO wayshrine names'!$A$3:$B$9991,2,)</f>
        <v>Nimalten Wayshrine</v>
      </c>
      <c r="N118" s="3" t="str">
        <f>VLOOKUP(F118,'ESO zone constants'!$A$5:$D$10001,4,FALSE)</f>
        <v>The Rift</v>
      </c>
    </row>
    <row r="119" spans="1:14" x14ac:dyDescent="0.25">
      <c r="A119" s="94">
        <v>119</v>
      </c>
      <c r="B119">
        <v>12</v>
      </c>
      <c r="C119">
        <v>125</v>
      </c>
      <c r="D119" t="s">
        <v>2308</v>
      </c>
      <c r="E119">
        <v>16</v>
      </c>
      <c r="F119">
        <v>103</v>
      </c>
      <c r="G119" t="s">
        <v>2308</v>
      </c>
      <c r="H119">
        <v>1</v>
      </c>
      <c r="I119" t="s">
        <v>2870</v>
      </c>
      <c r="J119" s="30" t="str">
        <f t="shared" si="3"/>
        <v>[119]=103,</v>
      </c>
      <c r="K119" s="3">
        <f t="shared" si="4"/>
        <v>119</v>
      </c>
      <c r="L119" s="3">
        <f t="shared" si="5"/>
        <v>103</v>
      </c>
      <c r="M119" s="8" t="str">
        <f>VLOOKUP(A119,'ESO wayshrine names'!$A$3:$B$9991,2,)</f>
        <v>Ragged Hills Wayshrine</v>
      </c>
      <c r="N119" s="3" t="str">
        <f>VLOOKUP(F119,'ESO zone constants'!$A$5:$D$10001,4,FALSE)</f>
        <v>The Rift</v>
      </c>
    </row>
    <row r="120" spans="1:14" x14ac:dyDescent="0.25">
      <c r="A120" s="94">
        <v>120</v>
      </c>
      <c r="B120">
        <v>12</v>
      </c>
      <c r="C120">
        <v>125</v>
      </c>
      <c r="D120" t="s">
        <v>2308</v>
      </c>
      <c r="E120">
        <v>16</v>
      </c>
      <c r="F120">
        <v>103</v>
      </c>
      <c r="G120" t="s">
        <v>2308</v>
      </c>
      <c r="H120">
        <v>1</v>
      </c>
      <c r="I120" t="s">
        <v>2871</v>
      </c>
      <c r="J120" s="30" t="str">
        <f t="shared" si="3"/>
        <v>[120]=103,</v>
      </c>
      <c r="K120" s="3">
        <f t="shared" si="4"/>
        <v>120</v>
      </c>
      <c r="L120" s="3">
        <f t="shared" si="5"/>
        <v>103</v>
      </c>
      <c r="M120" s="8" t="str">
        <f>VLOOKUP(A120,'ESO wayshrine names'!$A$3:$B$9991,2,)</f>
        <v>Fullhelm Fort Wayshrine</v>
      </c>
      <c r="N120" s="3" t="str">
        <f>VLOOKUP(F120,'ESO zone constants'!$A$5:$D$10001,4,FALSE)</f>
        <v>The Rift</v>
      </c>
    </row>
    <row r="121" spans="1:14" x14ac:dyDescent="0.25">
      <c r="A121" s="94">
        <v>121</v>
      </c>
      <c r="B121">
        <v>15</v>
      </c>
      <c r="C121">
        <v>143</v>
      </c>
      <c r="D121" t="s">
        <v>262</v>
      </c>
      <c r="E121">
        <v>179</v>
      </c>
      <c r="F121">
        <v>381</v>
      </c>
      <c r="G121" t="s">
        <v>262</v>
      </c>
      <c r="H121">
        <v>1</v>
      </c>
      <c r="I121" t="s">
        <v>2872</v>
      </c>
      <c r="J121" s="30" t="str">
        <f t="shared" si="3"/>
        <v>[121]=381,</v>
      </c>
      <c r="K121" s="3">
        <f t="shared" si="4"/>
        <v>121</v>
      </c>
      <c r="L121" s="3">
        <f t="shared" si="5"/>
        <v>381</v>
      </c>
      <c r="M121" s="8" t="str">
        <f>VLOOKUP(A121,'ESO wayshrine names'!$A$3:$B$9991,2,)</f>
        <v>Skywatch Wayshrine</v>
      </c>
      <c r="N121" s="3" t="str">
        <f>VLOOKUP(F121,'ESO zone constants'!$A$5:$D$10001,4,FALSE)</f>
        <v>Auridon</v>
      </c>
    </row>
    <row r="122" spans="1:14" x14ac:dyDescent="0.25">
      <c r="A122" s="94">
        <v>122</v>
      </c>
      <c r="B122">
        <v>15</v>
      </c>
      <c r="C122">
        <v>143</v>
      </c>
      <c r="D122" t="s">
        <v>262</v>
      </c>
      <c r="E122">
        <v>179</v>
      </c>
      <c r="F122">
        <v>381</v>
      </c>
      <c r="G122" t="s">
        <v>262</v>
      </c>
      <c r="H122">
        <v>1</v>
      </c>
      <c r="I122" t="s">
        <v>2873</v>
      </c>
      <c r="J122" s="30" t="str">
        <f t="shared" si="3"/>
        <v>[122]=381,</v>
      </c>
      <c r="K122" s="3">
        <f t="shared" si="4"/>
        <v>122</v>
      </c>
      <c r="L122" s="3">
        <f t="shared" si="5"/>
        <v>381</v>
      </c>
      <c r="M122" s="8" t="str">
        <f>VLOOKUP(A122,'ESO wayshrine names'!$A$3:$B$9991,2,)</f>
        <v>Quendeluun Wayshrine</v>
      </c>
      <c r="N122" s="3" t="str">
        <f>VLOOKUP(F122,'ESO zone constants'!$A$5:$D$10001,4,FALSE)</f>
        <v>Auridon</v>
      </c>
    </row>
    <row r="123" spans="1:14" x14ac:dyDescent="0.25">
      <c r="A123" s="94">
        <v>123</v>
      </c>
      <c r="B123">
        <v>15</v>
      </c>
      <c r="C123">
        <v>143</v>
      </c>
      <c r="D123" t="s">
        <v>262</v>
      </c>
      <c r="E123">
        <v>179</v>
      </c>
      <c r="F123">
        <v>381</v>
      </c>
      <c r="G123" t="s">
        <v>262</v>
      </c>
      <c r="H123">
        <v>1</v>
      </c>
      <c r="I123" t="s">
        <v>2874</v>
      </c>
      <c r="J123" s="30" t="str">
        <f t="shared" si="3"/>
        <v>[123]=381,</v>
      </c>
      <c r="K123" s="3">
        <f t="shared" si="4"/>
        <v>123</v>
      </c>
      <c r="L123" s="3">
        <f t="shared" si="5"/>
        <v>381</v>
      </c>
      <c r="M123" s="8" t="str">
        <f>VLOOKUP(A123,'ESO wayshrine names'!$A$3:$B$9991,2,)</f>
        <v>College Wayshrine</v>
      </c>
      <c r="N123" s="3" t="str">
        <f>VLOOKUP(F123,'ESO zone constants'!$A$5:$D$10001,4,FALSE)</f>
        <v>Auridon</v>
      </c>
    </row>
    <row r="124" spans="1:14" x14ac:dyDescent="0.25">
      <c r="A124" s="94">
        <v>124</v>
      </c>
      <c r="B124">
        <v>15</v>
      </c>
      <c r="C124">
        <v>143</v>
      </c>
      <c r="D124" t="s">
        <v>262</v>
      </c>
      <c r="E124">
        <v>179</v>
      </c>
      <c r="F124">
        <v>381</v>
      </c>
      <c r="G124" t="s">
        <v>262</v>
      </c>
      <c r="H124">
        <v>1</v>
      </c>
      <c r="I124" t="s">
        <v>2875</v>
      </c>
      <c r="J124" s="30" t="str">
        <f t="shared" si="3"/>
        <v>[124]=381,</v>
      </c>
      <c r="K124" s="3">
        <f t="shared" si="4"/>
        <v>124</v>
      </c>
      <c r="L124" s="3">
        <f t="shared" si="5"/>
        <v>381</v>
      </c>
      <c r="M124" s="8" t="str">
        <f>VLOOKUP(A124,'ESO wayshrine names'!$A$3:$B$9991,2,)</f>
        <v>Greenwater Wayshrine</v>
      </c>
      <c r="N124" s="3" t="str">
        <f>VLOOKUP(F124,'ESO zone constants'!$A$5:$D$10001,4,FALSE)</f>
        <v>Auridon</v>
      </c>
    </row>
    <row r="125" spans="1:14" x14ac:dyDescent="0.25">
      <c r="A125" s="94">
        <v>125</v>
      </c>
      <c r="B125">
        <v>18</v>
      </c>
      <c r="C125">
        <v>75</v>
      </c>
      <c r="D125" t="s">
        <v>197</v>
      </c>
      <c r="E125">
        <v>111</v>
      </c>
      <c r="F125">
        <v>281</v>
      </c>
      <c r="G125" t="s">
        <v>197</v>
      </c>
      <c r="H125">
        <v>1</v>
      </c>
      <c r="I125" t="s">
        <v>2876</v>
      </c>
      <c r="J125" s="30" t="str">
        <f t="shared" si="3"/>
        <v>[125]=281,</v>
      </c>
      <c r="K125" s="3">
        <f t="shared" si="4"/>
        <v>125</v>
      </c>
      <c r="L125" s="3">
        <f t="shared" si="5"/>
        <v>281</v>
      </c>
      <c r="M125" s="8" t="str">
        <f>VLOOKUP(A125,'ESO wayshrine names'!$A$3:$B$9991,2,)</f>
        <v>Fort Zeren Wayshrine</v>
      </c>
      <c r="N125" s="3" t="str">
        <f>VLOOKUP(F125,'ESO zone constants'!$A$5:$D$10001,4,FALSE)</f>
        <v>Bal Foyen</v>
      </c>
    </row>
    <row r="126" spans="1:14" x14ac:dyDescent="0.25">
      <c r="A126" s="94">
        <v>126</v>
      </c>
      <c r="B126">
        <v>18</v>
      </c>
      <c r="C126">
        <v>75</v>
      </c>
      <c r="D126" t="s">
        <v>197</v>
      </c>
      <c r="E126">
        <v>111</v>
      </c>
      <c r="F126">
        <v>281</v>
      </c>
      <c r="G126" t="s">
        <v>197</v>
      </c>
      <c r="H126">
        <v>1</v>
      </c>
      <c r="I126" t="s">
        <v>2877</v>
      </c>
      <c r="J126" s="30" t="str">
        <f t="shared" si="3"/>
        <v>[126]=281,</v>
      </c>
      <c r="K126" s="3">
        <f t="shared" si="4"/>
        <v>126</v>
      </c>
      <c r="L126" s="3">
        <f t="shared" si="5"/>
        <v>281</v>
      </c>
      <c r="M126" s="8" t="str">
        <f>VLOOKUP(A126,'ESO wayshrine names'!$A$3:$B$9991,2,)</f>
        <v>Foyen Docks Wayshrine</v>
      </c>
      <c r="N126" s="3" t="str">
        <f>VLOOKUP(F126,'ESO zone constants'!$A$5:$D$10001,4,FALSE)</f>
        <v>Bal Foyen</v>
      </c>
    </row>
    <row r="127" spans="1:14" x14ac:dyDescent="0.25">
      <c r="A127" s="94">
        <v>127</v>
      </c>
      <c r="B127">
        <v>15</v>
      </c>
      <c r="C127">
        <v>143</v>
      </c>
      <c r="D127" t="s">
        <v>262</v>
      </c>
      <c r="E127">
        <v>179</v>
      </c>
      <c r="F127">
        <v>381</v>
      </c>
      <c r="G127" t="s">
        <v>262</v>
      </c>
      <c r="H127">
        <v>1</v>
      </c>
      <c r="I127" t="s">
        <v>2878</v>
      </c>
      <c r="J127" s="30" t="str">
        <f t="shared" si="3"/>
        <v>[127]=381,</v>
      </c>
      <c r="K127" s="3">
        <f t="shared" si="4"/>
        <v>127</v>
      </c>
      <c r="L127" s="3">
        <f t="shared" si="5"/>
        <v>381</v>
      </c>
      <c r="M127" s="8" t="str">
        <f>VLOOKUP(A127,'ESO wayshrine names'!$A$3:$B$9991,2,)</f>
        <v>Windy Glade Wayshrine</v>
      </c>
      <c r="N127" s="3" t="str">
        <f>VLOOKUP(F127,'ESO zone constants'!$A$5:$D$10001,4,FALSE)</f>
        <v>Auridon</v>
      </c>
    </row>
    <row r="128" spans="1:14" x14ac:dyDescent="0.25">
      <c r="A128" s="94">
        <v>128</v>
      </c>
      <c r="B128">
        <v>23</v>
      </c>
      <c r="C128">
        <v>255</v>
      </c>
      <c r="D128" t="s">
        <v>2366</v>
      </c>
      <c r="E128">
        <v>155</v>
      </c>
      <c r="F128">
        <v>347</v>
      </c>
      <c r="G128" t="s">
        <v>2366</v>
      </c>
      <c r="H128">
        <v>1</v>
      </c>
      <c r="I128" t="s">
        <v>2879</v>
      </c>
      <c r="J128" s="30" t="str">
        <f t="shared" si="3"/>
        <v>[128]=347,</v>
      </c>
      <c r="K128" s="3">
        <f t="shared" si="4"/>
        <v>128</v>
      </c>
      <c r="L128" s="3">
        <f t="shared" si="5"/>
        <v>347</v>
      </c>
      <c r="M128" s="8" t="str">
        <f>VLOOKUP(A128,'ESO wayshrine names'!$A$3:$B$9991,2,)</f>
        <v>Library of Dusk Wayshrine</v>
      </c>
      <c r="N128" s="3" t="str">
        <f>VLOOKUP(F128,'ESO zone constants'!$A$5:$D$10001,4,FALSE)</f>
        <v>Coldharbour</v>
      </c>
    </row>
    <row r="129" spans="1:14" x14ac:dyDescent="0.25">
      <c r="A129" s="94">
        <v>129</v>
      </c>
      <c r="B129">
        <v>23</v>
      </c>
      <c r="C129">
        <v>255</v>
      </c>
      <c r="D129" t="s">
        <v>2366</v>
      </c>
      <c r="E129">
        <v>155</v>
      </c>
      <c r="F129">
        <v>347</v>
      </c>
      <c r="G129" t="s">
        <v>2366</v>
      </c>
      <c r="H129">
        <v>1</v>
      </c>
      <c r="I129" t="s">
        <v>2880</v>
      </c>
      <c r="J129" s="30" t="str">
        <f t="shared" si="3"/>
        <v>[129]=347,</v>
      </c>
      <c r="K129" s="3">
        <f t="shared" si="4"/>
        <v>129</v>
      </c>
      <c r="L129" s="3">
        <f t="shared" si="5"/>
        <v>347</v>
      </c>
      <c r="M129" s="8" t="str">
        <f>VLOOKUP(A129,'ESO wayshrine names'!$A$3:$B$9991,2,)</f>
        <v>Great Shackle Wayshrine</v>
      </c>
      <c r="N129" s="3" t="str">
        <f>VLOOKUP(F129,'ESO zone constants'!$A$5:$D$10001,4,FALSE)</f>
        <v>Coldharbour</v>
      </c>
    </row>
    <row r="130" spans="1:14" x14ac:dyDescent="0.25">
      <c r="A130" s="94">
        <v>130</v>
      </c>
      <c r="B130">
        <v>23</v>
      </c>
      <c r="C130">
        <v>255</v>
      </c>
      <c r="D130" t="s">
        <v>2366</v>
      </c>
      <c r="E130">
        <v>155</v>
      </c>
      <c r="F130">
        <v>347</v>
      </c>
      <c r="G130" t="s">
        <v>2366</v>
      </c>
      <c r="H130">
        <v>1</v>
      </c>
      <c r="I130" t="s">
        <v>2881</v>
      </c>
      <c r="J130" s="30" t="str">
        <f t="shared" si="3"/>
        <v>[130]=347,</v>
      </c>
      <c r="K130" s="3">
        <f t="shared" si="4"/>
        <v>130</v>
      </c>
      <c r="L130" s="3">
        <f t="shared" si="5"/>
        <v>347</v>
      </c>
      <c r="M130" s="8" t="str">
        <f>VLOOKUP(A130,'ESO wayshrine names'!$A$3:$B$9991,2,)</f>
        <v>The Chasm Wayshrine</v>
      </c>
      <c r="N130" s="3" t="str">
        <f>VLOOKUP(F130,'ESO zone constants'!$A$5:$D$10001,4,FALSE)</f>
        <v>Coldharbour</v>
      </c>
    </row>
    <row r="131" spans="1:14" x14ac:dyDescent="0.25">
      <c r="A131" s="94">
        <v>131</v>
      </c>
      <c r="B131">
        <v>23</v>
      </c>
      <c r="C131">
        <v>255</v>
      </c>
      <c r="D131" t="s">
        <v>2366</v>
      </c>
      <c r="E131">
        <v>155</v>
      </c>
      <c r="F131">
        <v>347</v>
      </c>
      <c r="G131" t="s">
        <v>2366</v>
      </c>
      <c r="H131">
        <v>1</v>
      </c>
      <c r="I131" t="s">
        <v>2882</v>
      </c>
      <c r="J131" s="30" t="str">
        <f t="shared" ref="J131:J194" si="6">IF(A131&lt;&gt;"",IF(F131&lt;&gt;"",IF(OR(ISNA(A131),ISNA(F131)),"","["&amp;A131&amp;"]="&amp;F131&amp;","),""),"")</f>
        <v>[131]=347,</v>
      </c>
      <c r="K131" s="3">
        <f t="shared" ref="K131:K194" si="7">A131</f>
        <v>131</v>
      </c>
      <c r="L131" s="3">
        <f t="shared" ref="L131:L194" si="8">F131</f>
        <v>347</v>
      </c>
      <c r="M131" s="8" t="str">
        <f>VLOOKUP(A131,'ESO wayshrine names'!$A$3:$B$9991,2,)</f>
        <v>Hollow City Wayshrine</v>
      </c>
      <c r="N131" s="3" t="str">
        <f>VLOOKUP(F131,'ESO zone constants'!$A$5:$D$10001,4,FALSE)</f>
        <v>Coldharbour</v>
      </c>
    </row>
    <row r="132" spans="1:14" x14ac:dyDescent="0.25">
      <c r="A132" s="94">
        <v>132</v>
      </c>
      <c r="B132">
        <v>23</v>
      </c>
      <c r="C132">
        <v>255</v>
      </c>
      <c r="D132" t="s">
        <v>2366</v>
      </c>
      <c r="E132">
        <v>155</v>
      </c>
      <c r="F132">
        <v>347</v>
      </c>
      <c r="G132" t="s">
        <v>2366</v>
      </c>
      <c r="H132">
        <v>1</v>
      </c>
      <c r="I132" t="s">
        <v>2883</v>
      </c>
      <c r="J132" s="30" t="str">
        <f t="shared" si="6"/>
        <v>[132]=347,</v>
      </c>
      <c r="K132" s="3">
        <f t="shared" si="7"/>
        <v>132</v>
      </c>
      <c r="L132" s="3">
        <f t="shared" si="8"/>
        <v>347</v>
      </c>
      <c r="M132" s="8" t="str">
        <f>VLOOKUP(A132,'ESO wayshrine names'!$A$3:$B$9991,2,)</f>
        <v>Endless Stair Wayshrine</v>
      </c>
      <c r="N132" s="3" t="str">
        <f>VLOOKUP(F132,'ESO zone constants'!$A$5:$D$10001,4,FALSE)</f>
        <v>Coldharbour</v>
      </c>
    </row>
    <row r="133" spans="1:14" x14ac:dyDescent="0.25">
      <c r="A133" s="94">
        <v>133</v>
      </c>
      <c r="B133">
        <v>23</v>
      </c>
      <c r="C133">
        <v>255</v>
      </c>
      <c r="D133" t="s">
        <v>2366</v>
      </c>
      <c r="E133">
        <v>155</v>
      </c>
      <c r="F133">
        <v>347</v>
      </c>
      <c r="G133" t="s">
        <v>2366</v>
      </c>
      <c r="H133">
        <v>1</v>
      </c>
      <c r="I133" t="s">
        <v>2884</v>
      </c>
      <c r="J133" s="30" t="str">
        <f t="shared" si="6"/>
        <v>[133]=347,</v>
      </c>
      <c r="K133" s="3">
        <f t="shared" si="7"/>
        <v>133</v>
      </c>
      <c r="L133" s="3">
        <f t="shared" si="8"/>
        <v>347</v>
      </c>
      <c r="M133" s="8" t="str">
        <f>VLOOKUP(A133,'ESO wayshrine names'!$A$3:$B$9991,2,)</f>
        <v>Everfull Flagon Wayshrine</v>
      </c>
      <c r="N133" s="3" t="str">
        <f>VLOOKUP(F133,'ESO zone constants'!$A$5:$D$10001,4,FALSE)</f>
        <v>Coldharbour</v>
      </c>
    </row>
    <row r="134" spans="1:14" x14ac:dyDescent="0.25">
      <c r="A134" s="94">
        <v>134</v>
      </c>
      <c r="B134">
        <v>23</v>
      </c>
      <c r="C134">
        <v>255</v>
      </c>
      <c r="D134" t="s">
        <v>2366</v>
      </c>
      <c r="E134">
        <v>155</v>
      </c>
      <c r="F134">
        <v>347</v>
      </c>
      <c r="G134" t="s">
        <v>2366</v>
      </c>
      <c r="H134">
        <v>1</v>
      </c>
      <c r="I134" t="s">
        <v>2885</v>
      </c>
      <c r="J134" s="30" t="str">
        <f t="shared" si="6"/>
        <v>[134]=347,</v>
      </c>
      <c r="K134" s="3">
        <f t="shared" si="7"/>
        <v>134</v>
      </c>
      <c r="L134" s="3">
        <f t="shared" si="8"/>
        <v>347</v>
      </c>
      <c r="M134" s="8" t="str">
        <f>VLOOKUP(A134,'ESO wayshrine names'!$A$3:$B$9991,2,)</f>
        <v>Moonless Walk Wayshrine</v>
      </c>
      <c r="N134" s="3" t="str">
        <f>VLOOKUP(F134,'ESO zone constants'!$A$5:$D$10001,4,FALSE)</f>
        <v>Coldharbour</v>
      </c>
    </row>
    <row r="135" spans="1:14" x14ac:dyDescent="0.25">
      <c r="A135" s="94">
        <v>135</v>
      </c>
      <c r="B135">
        <v>23</v>
      </c>
      <c r="C135">
        <v>255</v>
      </c>
      <c r="D135" t="s">
        <v>2366</v>
      </c>
      <c r="E135">
        <v>155</v>
      </c>
      <c r="F135">
        <v>347</v>
      </c>
      <c r="G135" t="s">
        <v>2366</v>
      </c>
      <c r="H135">
        <v>1</v>
      </c>
      <c r="I135" t="s">
        <v>2886</v>
      </c>
      <c r="J135" s="30" t="str">
        <f t="shared" si="6"/>
        <v>[135]=347,</v>
      </c>
      <c r="K135" s="3">
        <f t="shared" si="7"/>
        <v>135</v>
      </c>
      <c r="L135" s="3">
        <f t="shared" si="8"/>
        <v>347</v>
      </c>
      <c r="M135" s="8" t="str">
        <f>VLOOKUP(A135,'ESO wayshrine names'!$A$3:$B$9991,2,)</f>
        <v>Haj Uxith Wayshrine</v>
      </c>
      <c r="N135" s="3" t="str">
        <f>VLOOKUP(F135,'ESO zone constants'!$A$5:$D$10001,4,FALSE)</f>
        <v>Coldharbour</v>
      </c>
    </row>
    <row r="136" spans="1:14" x14ac:dyDescent="0.25">
      <c r="A136" s="94">
        <v>136</v>
      </c>
      <c r="B136">
        <v>23</v>
      </c>
      <c r="C136">
        <v>255</v>
      </c>
      <c r="D136" t="s">
        <v>2366</v>
      </c>
      <c r="E136">
        <v>155</v>
      </c>
      <c r="F136">
        <v>347</v>
      </c>
      <c r="G136" t="s">
        <v>2366</v>
      </c>
      <c r="H136">
        <v>1</v>
      </c>
      <c r="I136" t="s">
        <v>2887</v>
      </c>
      <c r="J136" s="30" t="str">
        <f t="shared" si="6"/>
        <v>[136]=347,</v>
      </c>
      <c r="K136" s="3">
        <f t="shared" si="7"/>
        <v>136</v>
      </c>
      <c r="L136" s="3">
        <f t="shared" si="8"/>
        <v>347</v>
      </c>
      <c r="M136" s="8" t="str">
        <f>VLOOKUP(A136,'ESO wayshrine names'!$A$3:$B$9991,2,)</f>
        <v>Manor of Revelry Wayshrine</v>
      </c>
      <c r="N136" s="3" t="str">
        <f>VLOOKUP(F136,'ESO zone constants'!$A$5:$D$10001,4,FALSE)</f>
        <v>Coldharbour</v>
      </c>
    </row>
    <row r="137" spans="1:14" x14ac:dyDescent="0.25">
      <c r="A137" s="94">
        <v>137</v>
      </c>
      <c r="B137">
        <v>5</v>
      </c>
      <c r="C137">
        <v>30</v>
      </c>
      <c r="D137" t="s">
        <v>3187</v>
      </c>
      <c r="E137">
        <v>17</v>
      </c>
      <c r="F137">
        <v>104</v>
      </c>
      <c r="G137" t="s">
        <v>2304</v>
      </c>
      <c r="H137">
        <v>1</v>
      </c>
      <c r="I137" t="s">
        <v>2888</v>
      </c>
      <c r="J137" s="30" t="str">
        <f t="shared" si="6"/>
        <v>[137]=104,</v>
      </c>
      <c r="K137" s="3">
        <f t="shared" si="7"/>
        <v>137</v>
      </c>
      <c r="L137" s="3">
        <f t="shared" si="8"/>
        <v>104</v>
      </c>
      <c r="M137" s="8" t="str">
        <f>VLOOKUP(A137,'ESO wayshrine names'!$A$3:$B$9991,2,)</f>
        <v>Sep's Spine Wayshrine</v>
      </c>
      <c r="N137" s="3" t="str">
        <f>VLOOKUP(F137,'ESO zone constants'!$A$5:$D$10001,4,FALSE)</f>
        <v>Alik'r Desert</v>
      </c>
    </row>
    <row r="138" spans="1:14" x14ac:dyDescent="0.25">
      <c r="A138" s="94">
        <v>138</v>
      </c>
      <c r="B138">
        <v>19</v>
      </c>
      <c r="C138">
        <v>201</v>
      </c>
      <c r="D138" t="s">
        <v>383</v>
      </c>
      <c r="E138">
        <v>305</v>
      </c>
      <c r="F138">
        <v>534</v>
      </c>
      <c r="G138" t="s">
        <v>383</v>
      </c>
      <c r="H138">
        <v>1</v>
      </c>
      <c r="I138" t="s">
        <v>2889</v>
      </c>
      <c r="J138" s="30" t="str">
        <f t="shared" si="6"/>
        <v>[138]=534,</v>
      </c>
      <c r="K138" s="3">
        <f t="shared" si="7"/>
        <v>138</v>
      </c>
      <c r="L138" s="3">
        <f t="shared" si="8"/>
        <v>534</v>
      </c>
      <c r="M138" s="8" t="str">
        <f>VLOOKUP(A138,'ESO wayshrine names'!$A$3:$B$9991,2,)</f>
        <v>Port Hunding Wayshrine</v>
      </c>
      <c r="N138" s="3" t="str">
        <f>VLOOKUP(F138,'ESO zone constants'!$A$5:$D$10001,4,FALSE)</f>
        <v>Stros M'Kai</v>
      </c>
    </row>
    <row r="139" spans="1:14" x14ac:dyDescent="0.25">
      <c r="A139" s="94">
        <v>139</v>
      </c>
      <c r="B139">
        <v>23</v>
      </c>
      <c r="C139">
        <v>255</v>
      </c>
      <c r="D139" t="s">
        <v>2366</v>
      </c>
      <c r="E139">
        <v>155</v>
      </c>
      <c r="F139">
        <v>347</v>
      </c>
      <c r="G139" t="s">
        <v>2366</v>
      </c>
      <c r="H139">
        <v>1</v>
      </c>
      <c r="I139" t="s">
        <v>2890</v>
      </c>
      <c r="J139" s="30" t="str">
        <f t="shared" si="6"/>
        <v>[139]=347,</v>
      </c>
      <c r="K139" s="3">
        <f t="shared" si="7"/>
        <v>139</v>
      </c>
      <c r="L139" s="3">
        <f t="shared" si="8"/>
        <v>347</v>
      </c>
      <c r="M139" s="8" t="str">
        <f>VLOOKUP(A139,'ESO wayshrine names'!$A$3:$B$9991,2,)</f>
        <v>Reaver Citadel Wayshrine</v>
      </c>
      <c r="N139" s="3" t="str">
        <f>VLOOKUP(F139,'ESO zone constants'!$A$5:$D$10001,4,FALSE)</f>
        <v>Coldharbour</v>
      </c>
    </row>
    <row r="140" spans="1:14" x14ac:dyDescent="0.25">
      <c r="A140" s="94">
        <v>140</v>
      </c>
      <c r="B140">
        <v>23</v>
      </c>
      <c r="C140">
        <v>255</v>
      </c>
      <c r="D140" t="s">
        <v>2366</v>
      </c>
      <c r="E140">
        <v>155</v>
      </c>
      <c r="F140">
        <v>347</v>
      </c>
      <c r="G140" t="s">
        <v>2366</v>
      </c>
      <c r="H140">
        <v>1</v>
      </c>
      <c r="I140" t="s">
        <v>2891</v>
      </c>
      <c r="J140" s="30" t="str">
        <f t="shared" si="6"/>
        <v>[140]=347,</v>
      </c>
      <c r="K140" s="3">
        <f t="shared" si="7"/>
        <v>140</v>
      </c>
      <c r="L140" s="3">
        <f t="shared" si="8"/>
        <v>347</v>
      </c>
      <c r="M140" s="8" t="str">
        <f>VLOOKUP(A140,'ESO wayshrine names'!$A$3:$B$9991,2,)</f>
        <v>The Orchard Wayshrine</v>
      </c>
      <c r="N140" s="3" t="str">
        <f>VLOOKUP(F140,'ESO zone constants'!$A$5:$D$10001,4,FALSE)</f>
        <v>Coldharbour</v>
      </c>
    </row>
    <row r="141" spans="1:14" x14ac:dyDescent="0.25">
      <c r="A141" s="94">
        <v>141</v>
      </c>
      <c r="B141">
        <v>21</v>
      </c>
      <c r="C141">
        <v>258</v>
      </c>
      <c r="D141" t="s">
        <v>2892</v>
      </c>
      <c r="E141">
        <v>307</v>
      </c>
      <c r="F141">
        <v>537</v>
      </c>
      <c r="G141" t="s">
        <v>2892</v>
      </c>
      <c r="H141">
        <v>1</v>
      </c>
      <c r="I141" t="s">
        <v>2893</v>
      </c>
      <c r="J141" s="30" t="str">
        <f t="shared" si="6"/>
        <v>[141]=537,</v>
      </c>
      <c r="K141" s="3">
        <f t="shared" si="7"/>
        <v>141</v>
      </c>
      <c r="L141" s="3">
        <f t="shared" si="8"/>
        <v>537</v>
      </c>
      <c r="M141" s="8" t="str">
        <f>VLOOKUP(A141,'ESO wayshrine names'!$A$3:$B$9991,2,)</f>
        <v>Khenarthi's Roost Wayshrine</v>
      </c>
      <c r="N141" s="3" t="str">
        <f>VLOOKUP(F141,'ESO zone constants'!$A$5:$D$10001,4,FALSE)</f>
        <v>Khenarthi's Roost</v>
      </c>
    </row>
    <row r="142" spans="1:14" x14ac:dyDescent="0.25">
      <c r="A142" s="94">
        <v>142</v>
      </c>
      <c r="B142">
        <v>21</v>
      </c>
      <c r="C142">
        <v>258</v>
      </c>
      <c r="D142" t="s">
        <v>2892</v>
      </c>
      <c r="E142">
        <v>307</v>
      </c>
      <c r="F142">
        <v>537</v>
      </c>
      <c r="G142" t="s">
        <v>2892</v>
      </c>
      <c r="H142">
        <v>1</v>
      </c>
      <c r="I142" t="s">
        <v>2894</v>
      </c>
      <c r="J142" s="30" t="str">
        <f t="shared" si="6"/>
        <v>[142]=537,</v>
      </c>
      <c r="K142" s="3">
        <f t="shared" si="7"/>
        <v>142</v>
      </c>
      <c r="L142" s="3">
        <f t="shared" si="8"/>
        <v>537</v>
      </c>
      <c r="M142" s="8" t="str">
        <f>VLOOKUP(A142,'ESO wayshrine names'!$A$3:$B$9991,2,)</f>
        <v>Mistral Wayshrine</v>
      </c>
      <c r="N142" s="3" t="str">
        <f>VLOOKUP(F142,'ESO zone constants'!$A$5:$D$10001,4,FALSE)</f>
        <v>Khenarthi's Roost</v>
      </c>
    </row>
    <row r="143" spans="1:14" x14ac:dyDescent="0.25">
      <c r="A143" s="94">
        <v>143</v>
      </c>
      <c r="B143">
        <v>16</v>
      </c>
      <c r="C143">
        <v>300</v>
      </c>
      <c r="D143" t="s">
        <v>2291</v>
      </c>
      <c r="E143">
        <v>18</v>
      </c>
      <c r="F143">
        <v>108</v>
      </c>
      <c r="G143" t="s">
        <v>2291</v>
      </c>
      <c r="H143">
        <v>1</v>
      </c>
      <c r="I143" t="s">
        <v>2895</v>
      </c>
      <c r="J143" s="30" t="str">
        <f t="shared" si="6"/>
        <v>[143]=108,</v>
      </c>
      <c r="K143" s="3">
        <f t="shared" si="7"/>
        <v>143</v>
      </c>
      <c r="L143" s="3">
        <f t="shared" si="8"/>
        <v>108</v>
      </c>
      <c r="M143" s="8" t="str">
        <f>VLOOKUP(A143,'ESO wayshrine names'!$A$3:$B$9991,2,)</f>
        <v>Marbruk Wayshrine</v>
      </c>
      <c r="N143" s="3" t="str">
        <f>VLOOKUP(F143,'ESO zone constants'!$A$5:$D$10001,4,FALSE)</f>
        <v>Greenshade</v>
      </c>
    </row>
    <row r="144" spans="1:14" x14ac:dyDescent="0.25">
      <c r="A144" s="94">
        <v>144</v>
      </c>
      <c r="B144">
        <v>17</v>
      </c>
      <c r="C144">
        <v>256</v>
      </c>
      <c r="D144" t="s">
        <v>2292</v>
      </c>
      <c r="E144">
        <v>180</v>
      </c>
      <c r="F144">
        <v>382</v>
      </c>
      <c r="G144" t="s">
        <v>2292</v>
      </c>
      <c r="H144">
        <v>1</v>
      </c>
      <c r="I144" t="s">
        <v>2896</v>
      </c>
      <c r="J144" s="30" t="str">
        <f t="shared" si="6"/>
        <v>[144]=382,</v>
      </c>
      <c r="K144" s="3">
        <f t="shared" si="7"/>
        <v>144</v>
      </c>
      <c r="L144" s="3">
        <f t="shared" si="8"/>
        <v>382</v>
      </c>
      <c r="M144" s="8" t="str">
        <f>VLOOKUP(A144,'ESO wayshrine names'!$A$3:$B$9991,2,)</f>
        <v>Vinedusk Wayshrine</v>
      </c>
      <c r="N144" s="3" t="str">
        <f>VLOOKUP(F144,'ESO zone constants'!$A$5:$D$10001,4,FALSE)</f>
        <v>Reaper's March</v>
      </c>
    </row>
    <row r="145" spans="1:14" x14ac:dyDescent="0.25">
      <c r="A145" s="94">
        <v>145</v>
      </c>
      <c r="B145">
        <v>23</v>
      </c>
      <c r="C145">
        <v>255</v>
      </c>
      <c r="D145" t="s">
        <v>2366</v>
      </c>
      <c r="E145">
        <v>155</v>
      </c>
      <c r="F145">
        <v>347</v>
      </c>
      <c r="G145" t="s">
        <v>2366</v>
      </c>
      <c r="H145">
        <v>1</v>
      </c>
      <c r="I145" t="s">
        <v>2897</v>
      </c>
      <c r="J145" s="30" t="str">
        <f t="shared" si="6"/>
        <v>[145]=347,</v>
      </c>
      <c r="K145" s="3">
        <f t="shared" si="7"/>
        <v>145</v>
      </c>
      <c r="L145" s="3">
        <f t="shared" si="8"/>
        <v>347</v>
      </c>
      <c r="M145" s="8" t="str">
        <f>VLOOKUP(A145,'ESO wayshrine names'!$A$3:$B$9991,2,)</f>
        <v>Shrouded Plains Wayshrine</v>
      </c>
      <c r="N145" s="3" t="str">
        <f>VLOOKUP(F145,'ESO zone constants'!$A$5:$D$10001,4,FALSE)</f>
        <v>Coldharbour</v>
      </c>
    </row>
    <row r="146" spans="1:14" x14ac:dyDescent="0.25">
      <c r="A146" s="94">
        <v>146</v>
      </c>
      <c r="B146">
        <v>23</v>
      </c>
      <c r="C146">
        <v>255</v>
      </c>
      <c r="D146" t="s">
        <v>2366</v>
      </c>
      <c r="E146">
        <v>155</v>
      </c>
      <c r="F146">
        <v>347</v>
      </c>
      <c r="G146" t="s">
        <v>2366</v>
      </c>
      <c r="H146">
        <v>1</v>
      </c>
      <c r="I146" t="s">
        <v>2898</v>
      </c>
      <c r="J146" s="30" t="str">
        <f t="shared" si="6"/>
        <v>[146]=347,</v>
      </c>
      <c r="K146" s="3">
        <f t="shared" si="7"/>
        <v>146</v>
      </c>
      <c r="L146" s="3">
        <f t="shared" si="8"/>
        <v>347</v>
      </c>
      <c r="M146" s="8" t="str">
        <f>VLOOKUP(A146,'ESO wayshrine names'!$A$3:$B$9991,2,)</f>
        <v>Court of Contempt Wayshrine</v>
      </c>
      <c r="N146" s="3" t="str">
        <f>VLOOKUP(F146,'ESO zone constants'!$A$5:$D$10001,4,FALSE)</f>
        <v>Coldharbour</v>
      </c>
    </row>
    <row r="147" spans="1:14" x14ac:dyDescent="0.25">
      <c r="A147" s="94">
        <v>147</v>
      </c>
      <c r="B147">
        <v>16</v>
      </c>
      <c r="C147">
        <v>300</v>
      </c>
      <c r="D147" t="s">
        <v>2291</v>
      </c>
      <c r="E147">
        <v>18</v>
      </c>
      <c r="F147">
        <v>108</v>
      </c>
      <c r="G147" t="s">
        <v>2291</v>
      </c>
      <c r="H147">
        <v>1</v>
      </c>
      <c r="I147" t="s">
        <v>2899</v>
      </c>
      <c r="J147" s="30" t="str">
        <f t="shared" si="6"/>
        <v>[147]=108,</v>
      </c>
      <c r="K147" s="3">
        <f t="shared" si="7"/>
        <v>147</v>
      </c>
      <c r="L147" s="3">
        <f t="shared" si="8"/>
        <v>108</v>
      </c>
      <c r="M147" s="8" t="str">
        <f>VLOOKUP(A147,'ESO wayshrine names'!$A$3:$B$9991,2,)</f>
        <v>Greenheart Wayshrine</v>
      </c>
      <c r="N147" s="3" t="str">
        <f>VLOOKUP(F147,'ESO zone constants'!$A$5:$D$10001,4,FALSE)</f>
        <v>Greenshade</v>
      </c>
    </row>
    <row r="148" spans="1:14" x14ac:dyDescent="0.25">
      <c r="A148" s="94">
        <v>148</v>
      </c>
      <c r="B148">
        <v>16</v>
      </c>
      <c r="C148">
        <v>300</v>
      </c>
      <c r="D148" t="s">
        <v>2291</v>
      </c>
      <c r="E148">
        <v>18</v>
      </c>
      <c r="F148">
        <v>108</v>
      </c>
      <c r="G148" t="s">
        <v>2291</v>
      </c>
      <c r="H148">
        <v>1</v>
      </c>
      <c r="I148" t="s">
        <v>2900</v>
      </c>
      <c r="J148" s="30" t="str">
        <f t="shared" si="6"/>
        <v>[148]=108,</v>
      </c>
      <c r="K148" s="3">
        <f t="shared" si="7"/>
        <v>148</v>
      </c>
      <c r="L148" s="3">
        <f t="shared" si="8"/>
        <v>108</v>
      </c>
      <c r="M148" s="8" t="str">
        <f>VLOOKUP(A148,'ESO wayshrine names'!$A$3:$B$9991,2,)</f>
        <v>Labyrinth Wayshrine</v>
      </c>
      <c r="N148" s="3" t="str">
        <f>VLOOKUP(F148,'ESO zone constants'!$A$5:$D$10001,4,FALSE)</f>
        <v>Greenshade</v>
      </c>
    </row>
    <row r="149" spans="1:14" x14ac:dyDescent="0.25">
      <c r="A149" s="94">
        <v>149</v>
      </c>
      <c r="B149">
        <v>16</v>
      </c>
      <c r="C149">
        <v>300</v>
      </c>
      <c r="D149" t="s">
        <v>2291</v>
      </c>
      <c r="E149">
        <v>18</v>
      </c>
      <c r="F149">
        <v>108</v>
      </c>
      <c r="G149" t="s">
        <v>2291</v>
      </c>
      <c r="H149">
        <v>1</v>
      </c>
      <c r="I149" t="s">
        <v>2901</v>
      </c>
      <c r="J149" s="30" t="str">
        <f t="shared" si="6"/>
        <v>[149]=108,</v>
      </c>
      <c r="K149" s="3">
        <f t="shared" si="7"/>
        <v>149</v>
      </c>
      <c r="L149" s="3">
        <f t="shared" si="8"/>
        <v>108</v>
      </c>
      <c r="M149" s="8" t="str">
        <f>VLOOKUP(A149,'ESO wayshrine names'!$A$3:$B$9991,2,)</f>
        <v>Falinesti Wayshrine</v>
      </c>
      <c r="N149" s="3" t="str">
        <f>VLOOKUP(F149,'ESO zone constants'!$A$5:$D$10001,4,FALSE)</f>
        <v>Greenshade</v>
      </c>
    </row>
    <row r="150" spans="1:14" x14ac:dyDescent="0.25">
      <c r="A150" s="94">
        <v>150</v>
      </c>
      <c r="B150">
        <v>16</v>
      </c>
      <c r="C150">
        <v>300</v>
      </c>
      <c r="D150" t="s">
        <v>2291</v>
      </c>
      <c r="E150">
        <v>18</v>
      </c>
      <c r="F150">
        <v>108</v>
      </c>
      <c r="G150" t="s">
        <v>2291</v>
      </c>
      <c r="H150">
        <v>1</v>
      </c>
      <c r="I150" t="s">
        <v>2902</v>
      </c>
      <c r="J150" s="30" t="str">
        <f t="shared" si="6"/>
        <v>[150]=108,</v>
      </c>
      <c r="K150" s="3">
        <f t="shared" si="7"/>
        <v>150</v>
      </c>
      <c r="L150" s="3">
        <f t="shared" si="8"/>
        <v>108</v>
      </c>
      <c r="M150" s="8" t="str">
        <f>VLOOKUP(A150,'ESO wayshrine names'!$A$3:$B$9991,2,)</f>
        <v>Seaside Sanctuary</v>
      </c>
      <c r="N150" s="3" t="str">
        <f>VLOOKUP(F150,'ESO zone constants'!$A$5:$D$10001,4,FALSE)</f>
        <v>Greenshade</v>
      </c>
    </row>
    <row r="151" spans="1:14" x14ac:dyDescent="0.25">
      <c r="A151" s="94">
        <v>151</v>
      </c>
      <c r="B151">
        <v>16</v>
      </c>
      <c r="C151">
        <v>300</v>
      </c>
      <c r="D151" t="s">
        <v>2291</v>
      </c>
      <c r="E151">
        <v>18</v>
      </c>
      <c r="F151">
        <v>108</v>
      </c>
      <c r="G151" t="s">
        <v>2291</v>
      </c>
      <c r="H151">
        <v>1</v>
      </c>
      <c r="I151" t="s">
        <v>2903</v>
      </c>
      <c r="J151" s="30" t="str">
        <f t="shared" si="6"/>
        <v>[151]=108,</v>
      </c>
      <c r="K151" s="3">
        <f t="shared" si="7"/>
        <v>151</v>
      </c>
      <c r="L151" s="3">
        <f t="shared" si="8"/>
        <v>108</v>
      </c>
      <c r="M151" s="8" t="str">
        <f>VLOOKUP(A151,'ESO wayshrine names'!$A$3:$B$9991,2,)</f>
        <v>Verrant Morass Wayshrine</v>
      </c>
      <c r="N151" s="3" t="str">
        <f>VLOOKUP(F151,'ESO zone constants'!$A$5:$D$10001,4,FALSE)</f>
        <v>Greenshade</v>
      </c>
    </row>
    <row r="152" spans="1:14" x14ac:dyDescent="0.25">
      <c r="A152" s="94">
        <v>152</v>
      </c>
      <c r="B152">
        <v>16</v>
      </c>
      <c r="C152">
        <v>300</v>
      </c>
      <c r="D152" t="s">
        <v>2291</v>
      </c>
      <c r="E152">
        <v>18</v>
      </c>
      <c r="F152">
        <v>108</v>
      </c>
      <c r="G152" t="s">
        <v>2291</v>
      </c>
      <c r="H152">
        <v>1</v>
      </c>
      <c r="I152" t="s">
        <v>2904</v>
      </c>
      <c r="J152" s="30" t="str">
        <f t="shared" si="6"/>
        <v>[152]=108,</v>
      </c>
      <c r="K152" s="3">
        <f t="shared" si="7"/>
        <v>152</v>
      </c>
      <c r="L152" s="3">
        <f t="shared" si="8"/>
        <v>108</v>
      </c>
      <c r="M152" s="8" t="str">
        <f>VLOOKUP(A152,'ESO wayshrine names'!$A$3:$B$9991,2,)</f>
        <v>Woodhearth Wayshrine</v>
      </c>
      <c r="N152" s="3" t="str">
        <f>VLOOKUP(F152,'ESO zone constants'!$A$5:$D$10001,4,FALSE)</f>
        <v>Greenshade</v>
      </c>
    </row>
    <row r="153" spans="1:14" x14ac:dyDescent="0.25">
      <c r="A153" s="94">
        <v>153</v>
      </c>
      <c r="B153">
        <v>16</v>
      </c>
      <c r="C153">
        <v>300</v>
      </c>
      <c r="D153" t="s">
        <v>2291</v>
      </c>
      <c r="E153">
        <v>18</v>
      </c>
      <c r="F153">
        <v>108</v>
      </c>
      <c r="G153" t="s">
        <v>2291</v>
      </c>
      <c r="H153">
        <v>1</v>
      </c>
      <c r="I153" t="s">
        <v>2905</v>
      </c>
      <c r="J153" s="30" t="str">
        <f t="shared" si="6"/>
        <v>[153]=108,</v>
      </c>
      <c r="K153" s="3">
        <f t="shared" si="7"/>
        <v>153</v>
      </c>
      <c r="L153" s="3">
        <f t="shared" si="8"/>
        <v>108</v>
      </c>
      <c r="M153" s="8" t="str">
        <f>VLOOKUP(A153,'ESO wayshrine names'!$A$3:$B$9991,2,)</f>
        <v>Moonhenge Wayshrine</v>
      </c>
      <c r="N153" s="3" t="str">
        <f>VLOOKUP(F153,'ESO zone constants'!$A$5:$D$10001,4,FALSE)</f>
        <v>Greenshade</v>
      </c>
    </row>
    <row r="154" spans="1:14" x14ac:dyDescent="0.25">
      <c r="A154" s="94">
        <v>154</v>
      </c>
      <c r="B154">
        <v>16</v>
      </c>
      <c r="C154">
        <v>300</v>
      </c>
      <c r="D154" t="s">
        <v>2291</v>
      </c>
      <c r="E154">
        <v>18</v>
      </c>
      <c r="F154">
        <v>108</v>
      </c>
      <c r="G154" t="s">
        <v>2291</v>
      </c>
      <c r="H154">
        <v>1</v>
      </c>
      <c r="I154" t="s">
        <v>2906</v>
      </c>
      <c r="J154" s="30" t="str">
        <f t="shared" si="6"/>
        <v>[154]=108,</v>
      </c>
      <c r="K154" s="3">
        <f t="shared" si="7"/>
        <v>154</v>
      </c>
      <c r="L154" s="3">
        <f t="shared" si="8"/>
        <v>108</v>
      </c>
      <c r="M154" s="8" t="str">
        <f>VLOOKUP(A154,'ESO wayshrine names'!$A$3:$B$9991,2,)</f>
        <v>Serpent's Grotto Wayshrine</v>
      </c>
      <c r="N154" s="3" t="str">
        <f>VLOOKUP(F154,'ESO zone constants'!$A$5:$D$10001,4,FALSE)</f>
        <v>Greenshade</v>
      </c>
    </row>
    <row r="155" spans="1:14" x14ac:dyDescent="0.25">
      <c r="A155" s="94">
        <v>155</v>
      </c>
      <c r="B155">
        <v>5</v>
      </c>
      <c r="C155">
        <v>30</v>
      </c>
      <c r="D155" t="s">
        <v>3187</v>
      </c>
      <c r="E155">
        <v>17</v>
      </c>
      <c r="F155">
        <v>104</v>
      </c>
      <c r="G155" t="s">
        <v>2304</v>
      </c>
      <c r="H155">
        <v>1</v>
      </c>
      <c r="I155" t="s">
        <v>2907</v>
      </c>
      <c r="J155" s="30" t="str">
        <f t="shared" si="6"/>
        <v>[155]=104,</v>
      </c>
      <c r="K155" s="3">
        <f t="shared" si="7"/>
        <v>155</v>
      </c>
      <c r="L155" s="3">
        <f t="shared" si="8"/>
        <v>104</v>
      </c>
      <c r="M155" s="8" t="str">
        <f>VLOOKUP(A155,'ESO wayshrine names'!$A$3:$B$9991,2,)</f>
        <v>Goat's Head Oasis Wayshrine</v>
      </c>
      <c r="N155" s="3" t="str">
        <f>VLOOKUP(F155,'ESO zone constants'!$A$5:$D$10001,4,FALSE)</f>
        <v>Alik'r Desert</v>
      </c>
    </row>
    <row r="156" spans="1:14" x14ac:dyDescent="0.25">
      <c r="A156" s="94">
        <v>156</v>
      </c>
      <c r="B156">
        <v>17</v>
      </c>
      <c r="C156">
        <v>256</v>
      </c>
      <c r="D156" t="s">
        <v>2292</v>
      </c>
      <c r="E156">
        <v>180</v>
      </c>
      <c r="F156">
        <v>382</v>
      </c>
      <c r="G156" t="s">
        <v>2292</v>
      </c>
      <c r="H156">
        <v>1</v>
      </c>
      <c r="I156" t="s">
        <v>2908</v>
      </c>
      <c r="J156" s="30" t="str">
        <f t="shared" si="6"/>
        <v>[156]=382,</v>
      </c>
      <c r="K156" s="3">
        <f t="shared" si="7"/>
        <v>156</v>
      </c>
      <c r="L156" s="3">
        <f t="shared" si="8"/>
        <v>382</v>
      </c>
      <c r="M156" s="8" t="str">
        <f>VLOOKUP(A156,'ESO wayshrine names'!$A$3:$B$9991,2,)</f>
        <v>Fort Grimwatch Wayshrine</v>
      </c>
      <c r="N156" s="3" t="str">
        <f>VLOOKUP(F156,'ESO zone constants'!$A$5:$D$10001,4,FALSE)</f>
        <v>Reaper's March</v>
      </c>
    </row>
    <row r="157" spans="1:14" x14ac:dyDescent="0.25">
      <c r="A157" s="94">
        <v>157</v>
      </c>
      <c r="B157">
        <v>17</v>
      </c>
      <c r="C157">
        <v>256</v>
      </c>
      <c r="D157" t="s">
        <v>2292</v>
      </c>
      <c r="E157">
        <v>180</v>
      </c>
      <c r="F157">
        <v>382</v>
      </c>
      <c r="G157" t="s">
        <v>2292</v>
      </c>
      <c r="H157">
        <v>1</v>
      </c>
      <c r="I157" t="s">
        <v>2909</v>
      </c>
      <c r="J157" s="30" t="str">
        <f t="shared" si="6"/>
        <v>[157]=382,</v>
      </c>
      <c r="K157" s="3">
        <f t="shared" si="7"/>
        <v>157</v>
      </c>
      <c r="L157" s="3">
        <f t="shared" si="8"/>
        <v>382</v>
      </c>
      <c r="M157" s="8" t="str">
        <f>VLOOKUP(A157,'ESO wayshrine names'!$A$3:$B$9991,2,)</f>
        <v>Fort Sphinxmoth Wayshrine</v>
      </c>
      <c r="N157" s="3" t="str">
        <f>VLOOKUP(F157,'ESO zone constants'!$A$5:$D$10001,4,FALSE)</f>
        <v>Reaper's March</v>
      </c>
    </row>
    <row r="158" spans="1:14" x14ac:dyDescent="0.25">
      <c r="A158" s="94">
        <v>158</v>
      </c>
      <c r="B158">
        <v>17</v>
      </c>
      <c r="C158">
        <v>256</v>
      </c>
      <c r="D158" t="s">
        <v>2292</v>
      </c>
      <c r="E158">
        <v>180</v>
      </c>
      <c r="F158">
        <v>382</v>
      </c>
      <c r="G158" t="s">
        <v>2292</v>
      </c>
      <c r="H158">
        <v>1</v>
      </c>
      <c r="I158" t="s">
        <v>2910</v>
      </c>
      <c r="J158" s="30" t="str">
        <f t="shared" si="6"/>
        <v>[158]=382,</v>
      </c>
      <c r="K158" s="3">
        <f t="shared" si="7"/>
        <v>158</v>
      </c>
      <c r="L158" s="3">
        <f t="shared" si="8"/>
        <v>382</v>
      </c>
      <c r="M158" s="8" t="str">
        <f>VLOOKUP(A158,'ESO wayshrine names'!$A$3:$B$9991,2,)</f>
        <v>Arenthia Wayshrine</v>
      </c>
      <c r="N158" s="3" t="str">
        <f>VLOOKUP(F158,'ESO zone constants'!$A$5:$D$10001,4,FALSE)</f>
        <v>Reaper's March</v>
      </c>
    </row>
    <row r="159" spans="1:14" x14ac:dyDescent="0.25">
      <c r="A159" s="94">
        <v>159</v>
      </c>
      <c r="B159">
        <v>17</v>
      </c>
      <c r="C159">
        <v>256</v>
      </c>
      <c r="D159" t="s">
        <v>2292</v>
      </c>
      <c r="E159">
        <v>180</v>
      </c>
      <c r="F159">
        <v>382</v>
      </c>
      <c r="G159" t="s">
        <v>2292</v>
      </c>
      <c r="H159">
        <v>1</v>
      </c>
      <c r="I159" t="s">
        <v>2911</v>
      </c>
      <c r="J159" s="30" t="str">
        <f t="shared" si="6"/>
        <v>[159]=382,</v>
      </c>
      <c r="K159" s="3">
        <f t="shared" si="7"/>
        <v>159</v>
      </c>
      <c r="L159" s="3">
        <f t="shared" si="8"/>
        <v>382</v>
      </c>
      <c r="M159" s="8" t="str">
        <f>VLOOKUP(A159,'ESO wayshrine names'!$A$3:$B$9991,2,)</f>
        <v>Dune Wayshrine</v>
      </c>
      <c r="N159" s="3" t="str">
        <f>VLOOKUP(F159,'ESO zone constants'!$A$5:$D$10001,4,FALSE)</f>
        <v>Reaper's March</v>
      </c>
    </row>
    <row r="160" spans="1:14" x14ac:dyDescent="0.25">
      <c r="A160" s="94">
        <v>160</v>
      </c>
      <c r="B160">
        <v>17</v>
      </c>
      <c r="C160">
        <v>256</v>
      </c>
      <c r="D160" t="s">
        <v>2292</v>
      </c>
      <c r="E160">
        <v>180</v>
      </c>
      <c r="F160">
        <v>382</v>
      </c>
      <c r="G160" t="s">
        <v>2292</v>
      </c>
      <c r="H160">
        <v>1</v>
      </c>
      <c r="I160" t="s">
        <v>2912</v>
      </c>
      <c r="J160" s="30" t="str">
        <f t="shared" si="6"/>
        <v>[160]=382,</v>
      </c>
      <c r="K160" s="3">
        <f t="shared" si="7"/>
        <v>160</v>
      </c>
      <c r="L160" s="3">
        <f t="shared" si="8"/>
        <v>382</v>
      </c>
      <c r="M160" s="8" t="str">
        <f>VLOOKUP(A160,'ESO wayshrine names'!$A$3:$B$9991,2,)</f>
        <v>Willowgrove Wayshrine</v>
      </c>
      <c r="N160" s="3" t="str">
        <f>VLOOKUP(F160,'ESO zone constants'!$A$5:$D$10001,4,FALSE)</f>
        <v>Reaper's March</v>
      </c>
    </row>
    <row r="161" spans="1:14" x14ac:dyDescent="0.25">
      <c r="A161" s="94">
        <v>161</v>
      </c>
      <c r="B161">
        <v>17</v>
      </c>
      <c r="C161">
        <v>256</v>
      </c>
      <c r="D161" t="s">
        <v>2292</v>
      </c>
      <c r="E161">
        <v>180</v>
      </c>
      <c r="F161">
        <v>382</v>
      </c>
      <c r="G161" t="s">
        <v>2292</v>
      </c>
      <c r="H161">
        <v>1</v>
      </c>
      <c r="I161" t="s">
        <v>2913</v>
      </c>
      <c r="J161" s="30" t="str">
        <f t="shared" si="6"/>
        <v>[161]=382,</v>
      </c>
      <c r="K161" s="3">
        <f t="shared" si="7"/>
        <v>161</v>
      </c>
      <c r="L161" s="3">
        <f t="shared" si="8"/>
        <v>382</v>
      </c>
      <c r="M161" s="8" t="str">
        <f>VLOOKUP(A161,'ESO wayshrine names'!$A$3:$B$9991,2,)</f>
        <v>Moonmont Wayshrine</v>
      </c>
      <c r="N161" s="3" t="str">
        <f>VLOOKUP(F161,'ESO zone constants'!$A$5:$D$10001,4,FALSE)</f>
        <v>Reaper's March</v>
      </c>
    </row>
    <row r="162" spans="1:14" x14ac:dyDescent="0.25">
      <c r="A162" s="94">
        <v>162</v>
      </c>
      <c r="B162">
        <v>17</v>
      </c>
      <c r="C162">
        <v>256</v>
      </c>
      <c r="D162" t="s">
        <v>2292</v>
      </c>
      <c r="E162">
        <v>180</v>
      </c>
      <c r="F162">
        <v>382</v>
      </c>
      <c r="G162" t="s">
        <v>2292</v>
      </c>
      <c r="H162">
        <v>1</v>
      </c>
      <c r="I162" t="s">
        <v>3189</v>
      </c>
      <c r="J162" s="30" t="str">
        <f t="shared" si="6"/>
        <v>[162]=382,</v>
      </c>
      <c r="K162" s="3">
        <f t="shared" si="7"/>
        <v>162</v>
      </c>
      <c r="L162" s="3">
        <f t="shared" si="8"/>
        <v>382</v>
      </c>
      <c r="M162" s="8" t="str">
        <f>VLOOKUP(A162,'ESO wayshrine names'!$A$3:$B$9991,2,)</f>
        <v>Rawl'kha Wayshrine</v>
      </c>
      <c r="N162" s="3" t="str">
        <f>VLOOKUP(F162,'ESO zone constants'!$A$5:$D$10001,4,FALSE)</f>
        <v>Reaper's March</v>
      </c>
    </row>
    <row r="163" spans="1:14" x14ac:dyDescent="0.25">
      <c r="A163" s="94">
        <v>163</v>
      </c>
      <c r="B163">
        <v>17</v>
      </c>
      <c r="C163">
        <v>256</v>
      </c>
      <c r="D163" t="s">
        <v>2292</v>
      </c>
      <c r="E163">
        <v>180</v>
      </c>
      <c r="F163">
        <v>382</v>
      </c>
      <c r="G163" t="s">
        <v>2292</v>
      </c>
      <c r="H163">
        <v>1</v>
      </c>
      <c r="I163" t="s">
        <v>3190</v>
      </c>
      <c r="J163" s="30" t="str">
        <f t="shared" si="6"/>
        <v>[163]=382,</v>
      </c>
      <c r="K163" s="3">
        <f t="shared" si="7"/>
        <v>163</v>
      </c>
      <c r="L163" s="3">
        <f t="shared" si="8"/>
        <v>382</v>
      </c>
      <c r="M163" s="8" t="str">
        <f>VLOOKUP(A163,'ESO wayshrine names'!$A$3:$B$9991,2,)</f>
        <v>S'ren-ja Wayshrine</v>
      </c>
      <c r="N163" s="3" t="str">
        <f>VLOOKUP(F163,'ESO zone constants'!$A$5:$D$10001,4,FALSE)</f>
        <v>Reaper's March</v>
      </c>
    </row>
    <row r="164" spans="1:14" x14ac:dyDescent="0.25">
      <c r="A164" s="94">
        <v>164</v>
      </c>
      <c r="B164">
        <v>7</v>
      </c>
      <c r="C164">
        <v>9</v>
      </c>
      <c r="D164" t="s">
        <v>2289</v>
      </c>
      <c r="E164">
        <v>181</v>
      </c>
      <c r="F164">
        <v>383</v>
      </c>
      <c r="G164" t="s">
        <v>2289</v>
      </c>
      <c r="H164">
        <v>1</v>
      </c>
      <c r="I164" t="s">
        <v>2914</v>
      </c>
      <c r="J164" s="30" t="str">
        <f t="shared" si="6"/>
        <v>[164]=383,</v>
      </c>
      <c r="K164" s="3">
        <f t="shared" si="7"/>
        <v>164</v>
      </c>
      <c r="L164" s="3">
        <f t="shared" si="8"/>
        <v>383</v>
      </c>
      <c r="M164" s="8" t="str">
        <f>VLOOKUP(A164,'ESO wayshrine names'!$A$3:$B$9991,2,)</f>
        <v>Gil-Var-Delle Wayshrine</v>
      </c>
      <c r="N164" s="3" t="str">
        <f>VLOOKUP(F164,'ESO zone constants'!$A$5:$D$10001,4,FALSE)</f>
        <v>Grahtwood</v>
      </c>
    </row>
    <row r="165" spans="1:14" x14ac:dyDescent="0.25">
      <c r="A165" s="94">
        <v>165</v>
      </c>
      <c r="B165">
        <v>7</v>
      </c>
      <c r="C165">
        <v>9</v>
      </c>
      <c r="D165" t="s">
        <v>2289</v>
      </c>
      <c r="E165">
        <v>181</v>
      </c>
      <c r="F165">
        <v>383</v>
      </c>
      <c r="G165" t="s">
        <v>2289</v>
      </c>
      <c r="H165">
        <v>1</v>
      </c>
      <c r="I165" t="s">
        <v>2915</v>
      </c>
      <c r="J165" s="30" t="str">
        <f t="shared" si="6"/>
        <v>[165]=383,</v>
      </c>
      <c r="K165" s="3">
        <f t="shared" si="7"/>
        <v>165</v>
      </c>
      <c r="L165" s="3">
        <f t="shared" si="8"/>
        <v>383</v>
      </c>
      <c r="M165" s="8" t="str">
        <f>VLOOKUP(A165,'ESO wayshrine names'!$A$3:$B$9991,2,)</f>
        <v>Haven Wayshrine</v>
      </c>
      <c r="N165" s="3" t="str">
        <f>VLOOKUP(F165,'ESO zone constants'!$A$5:$D$10001,4,FALSE)</f>
        <v>Grahtwood</v>
      </c>
    </row>
    <row r="166" spans="1:14" x14ac:dyDescent="0.25">
      <c r="A166" s="94">
        <v>166</v>
      </c>
      <c r="B166">
        <v>7</v>
      </c>
      <c r="C166">
        <v>9</v>
      </c>
      <c r="D166" t="s">
        <v>2289</v>
      </c>
      <c r="E166">
        <v>181</v>
      </c>
      <c r="F166">
        <v>383</v>
      </c>
      <c r="G166" t="s">
        <v>2289</v>
      </c>
      <c r="H166">
        <v>1</v>
      </c>
      <c r="I166" t="s">
        <v>2916</v>
      </c>
      <c r="J166" s="30" t="str">
        <f t="shared" si="6"/>
        <v>[166]=383,</v>
      </c>
      <c r="K166" s="3">
        <f t="shared" si="7"/>
        <v>166</v>
      </c>
      <c r="L166" s="3">
        <f t="shared" si="8"/>
        <v>383</v>
      </c>
      <c r="M166" s="8" t="str">
        <f>VLOOKUP(A166,'ESO wayshrine names'!$A$3:$B$9991,2,)</f>
        <v>Redfur Trading Post Wayshrine</v>
      </c>
      <c r="N166" s="3" t="str">
        <f>VLOOKUP(F166,'ESO zone constants'!$A$5:$D$10001,4,FALSE)</f>
        <v>Grahtwood</v>
      </c>
    </row>
    <row r="167" spans="1:14" x14ac:dyDescent="0.25">
      <c r="A167" s="94">
        <v>167</v>
      </c>
      <c r="B167">
        <v>7</v>
      </c>
      <c r="C167">
        <v>9</v>
      </c>
      <c r="D167" t="s">
        <v>2289</v>
      </c>
      <c r="E167">
        <v>181</v>
      </c>
      <c r="F167">
        <v>383</v>
      </c>
      <c r="G167" t="s">
        <v>2289</v>
      </c>
      <c r="H167">
        <v>1</v>
      </c>
      <c r="I167" t="s">
        <v>2917</v>
      </c>
      <c r="J167" s="30" t="str">
        <f t="shared" si="6"/>
        <v>[167]=383,</v>
      </c>
      <c r="K167" s="3">
        <f t="shared" si="7"/>
        <v>167</v>
      </c>
      <c r="L167" s="3">
        <f t="shared" si="8"/>
        <v>383</v>
      </c>
      <c r="M167" s="8" t="str">
        <f>VLOOKUP(A167,'ESO wayshrine names'!$A$3:$B$9991,2,)</f>
        <v>Southpoint Wayshrine</v>
      </c>
      <c r="N167" s="3" t="str">
        <f>VLOOKUP(F167,'ESO zone constants'!$A$5:$D$10001,4,FALSE)</f>
        <v>Grahtwood</v>
      </c>
    </row>
    <row r="168" spans="1:14" x14ac:dyDescent="0.25">
      <c r="A168" s="94">
        <v>168</v>
      </c>
      <c r="B168">
        <v>7</v>
      </c>
      <c r="C168">
        <v>9</v>
      </c>
      <c r="D168" t="s">
        <v>2289</v>
      </c>
      <c r="E168">
        <v>181</v>
      </c>
      <c r="F168">
        <v>383</v>
      </c>
      <c r="G168" t="s">
        <v>2289</v>
      </c>
      <c r="H168">
        <v>1</v>
      </c>
      <c r="I168" t="s">
        <v>2918</v>
      </c>
      <c r="J168" s="30" t="str">
        <f t="shared" si="6"/>
        <v>[168]=383,</v>
      </c>
      <c r="K168" s="3">
        <f t="shared" si="7"/>
        <v>168</v>
      </c>
      <c r="L168" s="3">
        <f t="shared" si="8"/>
        <v>383</v>
      </c>
      <c r="M168" s="8" t="str">
        <f>VLOOKUP(A168,'ESO wayshrine names'!$A$3:$B$9991,2,)</f>
        <v>Cormount Wayshrine</v>
      </c>
      <c r="N168" s="3" t="str">
        <f>VLOOKUP(F168,'ESO zone constants'!$A$5:$D$10001,4,FALSE)</f>
        <v>Grahtwood</v>
      </c>
    </row>
    <row r="169" spans="1:14" x14ac:dyDescent="0.25">
      <c r="A169" s="94">
        <v>169</v>
      </c>
      <c r="B169">
        <v>7</v>
      </c>
      <c r="C169">
        <v>9</v>
      </c>
      <c r="D169" t="s">
        <v>2289</v>
      </c>
      <c r="E169">
        <v>181</v>
      </c>
      <c r="F169">
        <v>383</v>
      </c>
      <c r="G169" t="s">
        <v>2289</v>
      </c>
      <c r="H169">
        <v>1</v>
      </c>
      <c r="I169" t="s">
        <v>2919</v>
      </c>
      <c r="J169" s="30" t="str">
        <f t="shared" si="6"/>
        <v>[169]=383,</v>
      </c>
      <c r="K169" s="3">
        <f t="shared" si="7"/>
        <v>169</v>
      </c>
      <c r="L169" s="3">
        <f t="shared" si="8"/>
        <v>383</v>
      </c>
      <c r="M169" s="8" t="str">
        <f>VLOOKUP(A169,'ESO wayshrine names'!$A$3:$B$9991,2,)</f>
        <v>Ossuary Wayshrine</v>
      </c>
      <c r="N169" s="3" t="str">
        <f>VLOOKUP(F169,'ESO zone constants'!$A$5:$D$10001,4,FALSE)</f>
        <v>Grahtwood</v>
      </c>
    </row>
    <row r="170" spans="1:14" x14ac:dyDescent="0.25">
      <c r="A170" s="94">
        <v>170</v>
      </c>
      <c r="B170">
        <v>14</v>
      </c>
      <c r="C170">
        <v>16</v>
      </c>
      <c r="D170" t="s">
        <v>125</v>
      </c>
      <c r="E170">
        <v>38</v>
      </c>
      <c r="F170">
        <v>181</v>
      </c>
      <c r="G170" t="s">
        <v>125</v>
      </c>
      <c r="H170">
        <v>1</v>
      </c>
      <c r="I170" t="s">
        <v>2920</v>
      </c>
      <c r="J170" s="30" t="str">
        <f t="shared" si="6"/>
        <v>[170]=181,</v>
      </c>
      <c r="K170" s="3">
        <f t="shared" si="7"/>
        <v>170</v>
      </c>
      <c r="L170" s="3">
        <f t="shared" si="8"/>
        <v>181</v>
      </c>
      <c r="M170" s="8" t="str">
        <f>VLOOKUP(A170,'ESO wayshrine names'!$A$3:$B$9991,2,)</f>
        <v>Northern High Rock Wayshrine</v>
      </c>
      <c r="N170" s="3" t="str">
        <f>VLOOKUP(F170,'ESO zone constants'!$A$5:$D$10001,4,FALSE)</f>
        <v>Cyrodiil</v>
      </c>
    </row>
    <row r="171" spans="1:14" x14ac:dyDescent="0.25">
      <c r="A171" s="94">
        <v>171</v>
      </c>
      <c r="B171">
        <v>9</v>
      </c>
      <c r="C171">
        <v>26</v>
      </c>
      <c r="D171" t="s">
        <v>2309</v>
      </c>
      <c r="E171">
        <v>19</v>
      </c>
      <c r="F171">
        <v>117</v>
      </c>
      <c r="G171" t="s">
        <v>2309</v>
      </c>
      <c r="H171">
        <v>1</v>
      </c>
      <c r="I171" t="s">
        <v>2921</v>
      </c>
      <c r="J171" s="30" t="str">
        <f t="shared" si="6"/>
        <v>[171]=117,</v>
      </c>
      <c r="K171" s="3">
        <f t="shared" si="7"/>
        <v>171</v>
      </c>
      <c r="L171" s="3">
        <f t="shared" si="8"/>
        <v>117</v>
      </c>
      <c r="M171" s="8" t="str">
        <f>VLOOKUP(A171,'ESO wayshrine names'!$A$3:$B$9991,2,)</f>
        <v>Bogmother Wayshrine</v>
      </c>
      <c r="N171" s="3" t="str">
        <f>VLOOKUP(F171,'ESO zone constants'!$A$5:$D$10001,4,FALSE)</f>
        <v>Shadowfen</v>
      </c>
    </row>
    <row r="172" spans="1:14" x14ac:dyDescent="0.25">
      <c r="A172" s="94">
        <v>172</v>
      </c>
      <c r="B172">
        <v>22</v>
      </c>
      <c r="C172">
        <v>74</v>
      </c>
      <c r="D172" t="s">
        <v>3799</v>
      </c>
      <c r="E172">
        <v>110</v>
      </c>
      <c r="F172">
        <v>280</v>
      </c>
      <c r="G172" t="s">
        <v>3799</v>
      </c>
      <c r="H172">
        <v>1</v>
      </c>
      <c r="I172" t="s">
        <v>3800</v>
      </c>
      <c r="J172" s="30" t="str">
        <f t="shared" si="6"/>
        <v>[172]=280,</v>
      </c>
      <c r="K172" s="3">
        <f t="shared" si="7"/>
        <v>172</v>
      </c>
      <c r="L172" s="3">
        <f t="shared" si="8"/>
        <v>280</v>
      </c>
      <c r="M172" s="8" t="str">
        <f>VLOOKUP(A172,'ESO wayshrine names'!$A$3:$B$9991,2,)</f>
        <v>Bleakrock Wayshrine</v>
      </c>
      <c r="N172" s="3" t="str">
        <f>VLOOKUP(F172,'ESO zone constants'!$A$5:$D$10001,4,FALSE)</f>
        <v>Bleakrock Isle</v>
      </c>
    </row>
    <row r="173" spans="1:14" x14ac:dyDescent="0.25">
      <c r="A173" s="94">
        <v>173</v>
      </c>
      <c r="B173">
        <v>18</v>
      </c>
      <c r="C173">
        <v>75</v>
      </c>
      <c r="D173" t="s">
        <v>197</v>
      </c>
      <c r="E173">
        <v>111</v>
      </c>
      <c r="F173">
        <v>281</v>
      </c>
      <c r="G173" t="s">
        <v>197</v>
      </c>
      <c r="H173">
        <v>1</v>
      </c>
      <c r="I173" t="s">
        <v>2922</v>
      </c>
      <c r="J173" s="30" t="str">
        <f t="shared" si="6"/>
        <v>[173]=281,</v>
      </c>
      <c r="K173" s="3">
        <f t="shared" si="7"/>
        <v>173</v>
      </c>
      <c r="L173" s="3">
        <f t="shared" si="8"/>
        <v>281</v>
      </c>
      <c r="M173" s="8" t="str">
        <f>VLOOKUP(A173,'ESO wayshrine names'!$A$3:$B$9991,2,)</f>
        <v>Dhalmora Wayshrine</v>
      </c>
      <c r="N173" s="3" t="str">
        <f>VLOOKUP(F173,'ESO zone constants'!$A$5:$D$10001,4,FALSE)</f>
        <v>Bal Foyen</v>
      </c>
    </row>
    <row r="174" spans="1:14" x14ac:dyDescent="0.25">
      <c r="A174" s="94">
        <v>174</v>
      </c>
      <c r="B174">
        <v>15</v>
      </c>
      <c r="C174">
        <v>143</v>
      </c>
      <c r="D174" t="s">
        <v>262</v>
      </c>
      <c r="E174">
        <v>179</v>
      </c>
      <c r="F174">
        <v>381</v>
      </c>
      <c r="G174" t="s">
        <v>262</v>
      </c>
      <c r="H174">
        <v>1</v>
      </c>
      <c r="I174" t="s">
        <v>2923</v>
      </c>
      <c r="J174" s="30" t="str">
        <f t="shared" si="6"/>
        <v>[174]=381,</v>
      </c>
      <c r="K174" s="3">
        <f t="shared" si="7"/>
        <v>174</v>
      </c>
      <c r="L174" s="3">
        <f t="shared" si="8"/>
        <v>381</v>
      </c>
      <c r="M174" s="8" t="str">
        <f>VLOOKUP(A174,'ESO wayshrine names'!$A$3:$B$9991,2,)</f>
        <v>Tanzelwil Wayshrine</v>
      </c>
      <c r="N174" s="3" t="str">
        <f>VLOOKUP(F174,'ESO zone constants'!$A$5:$D$10001,4,FALSE)</f>
        <v>Auridon</v>
      </c>
    </row>
    <row r="175" spans="1:14" x14ac:dyDescent="0.25">
      <c r="A175" s="94">
        <v>175</v>
      </c>
      <c r="B175">
        <v>15</v>
      </c>
      <c r="C175">
        <v>143</v>
      </c>
      <c r="D175" t="s">
        <v>262</v>
      </c>
      <c r="E175">
        <v>179</v>
      </c>
      <c r="F175">
        <v>381</v>
      </c>
      <c r="G175" t="s">
        <v>262</v>
      </c>
      <c r="H175">
        <v>1</v>
      </c>
      <c r="I175" t="s">
        <v>2924</v>
      </c>
      <c r="J175" s="30" t="str">
        <f t="shared" si="6"/>
        <v>[175]=381,</v>
      </c>
      <c r="K175" s="3">
        <f t="shared" si="7"/>
        <v>175</v>
      </c>
      <c r="L175" s="3">
        <f t="shared" si="8"/>
        <v>381</v>
      </c>
      <c r="M175" s="8" t="str">
        <f>VLOOKUP(A175,'ESO wayshrine names'!$A$3:$B$9991,2,)</f>
        <v>Firsthold Wayshrine</v>
      </c>
      <c r="N175" s="3" t="str">
        <f>VLOOKUP(F175,'ESO zone constants'!$A$5:$D$10001,4,FALSE)</f>
        <v>Auridon</v>
      </c>
    </row>
    <row r="176" spans="1:14" x14ac:dyDescent="0.25">
      <c r="A176" s="94">
        <v>176</v>
      </c>
      <c r="B176">
        <v>15</v>
      </c>
      <c r="C176">
        <v>143</v>
      </c>
      <c r="D176" t="s">
        <v>262</v>
      </c>
      <c r="E176">
        <v>179</v>
      </c>
      <c r="F176">
        <v>381</v>
      </c>
      <c r="G176" t="s">
        <v>262</v>
      </c>
      <c r="H176">
        <v>1</v>
      </c>
      <c r="I176" t="s">
        <v>2925</v>
      </c>
      <c r="J176" s="30" t="str">
        <f t="shared" si="6"/>
        <v>[176]=381,</v>
      </c>
      <c r="K176" s="3">
        <f t="shared" si="7"/>
        <v>176</v>
      </c>
      <c r="L176" s="3">
        <f t="shared" si="8"/>
        <v>381</v>
      </c>
      <c r="M176" s="8" t="str">
        <f>VLOOKUP(A176,'ESO wayshrine names'!$A$3:$B$9991,2,)</f>
        <v>Mathiisen Wayshrine</v>
      </c>
      <c r="N176" s="3" t="str">
        <f>VLOOKUP(F176,'ESO zone constants'!$A$5:$D$10001,4,FALSE)</f>
        <v>Auridon</v>
      </c>
    </row>
    <row r="177" spans="1:14" x14ac:dyDescent="0.25">
      <c r="A177" s="94">
        <v>177</v>
      </c>
      <c r="B177">
        <v>15</v>
      </c>
      <c r="C177">
        <v>143</v>
      </c>
      <c r="D177" t="s">
        <v>262</v>
      </c>
      <c r="E177">
        <v>179</v>
      </c>
      <c r="F177">
        <v>381</v>
      </c>
      <c r="G177" t="s">
        <v>262</v>
      </c>
      <c r="H177">
        <v>1</v>
      </c>
      <c r="I177" t="s">
        <v>2926</v>
      </c>
      <c r="J177" s="30" t="str">
        <f t="shared" si="6"/>
        <v>[177]=381,</v>
      </c>
      <c r="K177" s="3">
        <f t="shared" si="7"/>
        <v>177</v>
      </c>
      <c r="L177" s="3">
        <f t="shared" si="8"/>
        <v>381</v>
      </c>
      <c r="M177" s="8" t="str">
        <f>VLOOKUP(A177,'ESO wayshrine names'!$A$3:$B$9991,2,)</f>
        <v>Vulkhel Guard Wayshrine</v>
      </c>
      <c r="N177" s="3" t="str">
        <f>VLOOKUP(F177,'ESO zone constants'!$A$5:$D$10001,4,FALSE)</f>
        <v>Auridon</v>
      </c>
    </row>
    <row r="178" spans="1:14" x14ac:dyDescent="0.25">
      <c r="A178" s="94">
        <v>178</v>
      </c>
      <c r="B178">
        <v>15</v>
      </c>
      <c r="C178">
        <v>143</v>
      </c>
      <c r="D178" t="s">
        <v>262</v>
      </c>
      <c r="E178">
        <v>179</v>
      </c>
      <c r="F178">
        <v>381</v>
      </c>
      <c r="G178" t="s">
        <v>262</v>
      </c>
      <c r="H178">
        <v>1</v>
      </c>
      <c r="I178" t="s">
        <v>2927</v>
      </c>
      <c r="J178" s="30" t="str">
        <f t="shared" si="6"/>
        <v>[178]=381,</v>
      </c>
      <c r="K178" s="3">
        <f t="shared" si="7"/>
        <v>178</v>
      </c>
      <c r="L178" s="3">
        <f t="shared" si="8"/>
        <v>381</v>
      </c>
      <c r="M178" s="8" t="str">
        <f>VLOOKUP(A178,'ESO wayshrine names'!$A$3:$B$9991,2,)</f>
        <v>Phaer Wayshrine</v>
      </c>
      <c r="N178" s="3" t="str">
        <f>VLOOKUP(F178,'ESO zone constants'!$A$5:$D$10001,4,FALSE)</f>
        <v>Auridon</v>
      </c>
    </row>
    <row r="179" spans="1:14" x14ac:dyDescent="0.25">
      <c r="A179" s="94">
        <v>179</v>
      </c>
      <c r="B179">
        <v>19</v>
      </c>
      <c r="C179">
        <v>201</v>
      </c>
      <c r="D179" t="s">
        <v>383</v>
      </c>
      <c r="E179">
        <v>305</v>
      </c>
      <c r="F179">
        <v>534</v>
      </c>
      <c r="G179" t="s">
        <v>383</v>
      </c>
      <c r="H179">
        <v>1</v>
      </c>
      <c r="I179" t="s">
        <v>2928</v>
      </c>
      <c r="J179" s="30" t="str">
        <f t="shared" si="6"/>
        <v>[179]=534,</v>
      </c>
      <c r="K179" s="3">
        <f t="shared" si="7"/>
        <v>179</v>
      </c>
      <c r="L179" s="3">
        <f t="shared" si="8"/>
        <v>534</v>
      </c>
      <c r="M179" s="8" t="str">
        <f>VLOOKUP(A179,'ESO wayshrine names'!$A$3:$B$9991,2,)</f>
        <v>Sandy Grotto Wayshrine</v>
      </c>
      <c r="N179" s="3" t="str">
        <f>VLOOKUP(F179,'ESO zone constants'!$A$5:$D$10001,4,FALSE)</f>
        <v>Stros M'Kai</v>
      </c>
    </row>
    <row r="180" spans="1:14" x14ac:dyDescent="0.25">
      <c r="A180" s="94">
        <v>180</v>
      </c>
      <c r="B180">
        <v>19</v>
      </c>
      <c r="C180">
        <v>201</v>
      </c>
      <c r="D180" t="s">
        <v>383</v>
      </c>
      <c r="E180">
        <v>305</v>
      </c>
      <c r="F180">
        <v>534</v>
      </c>
      <c r="G180" t="s">
        <v>383</v>
      </c>
      <c r="H180">
        <v>1</v>
      </c>
      <c r="I180" t="s">
        <v>2929</v>
      </c>
      <c r="J180" s="30" t="str">
        <f t="shared" si="6"/>
        <v>[180]=534,</v>
      </c>
      <c r="K180" s="3">
        <f t="shared" si="7"/>
        <v>180</v>
      </c>
      <c r="L180" s="3">
        <f t="shared" si="8"/>
        <v>534</v>
      </c>
      <c r="M180" s="8" t="str">
        <f>VLOOKUP(A180,'ESO wayshrine names'!$A$3:$B$9991,2,)</f>
        <v>Saintsport Wayshrine</v>
      </c>
      <c r="N180" s="3" t="str">
        <f>VLOOKUP(F180,'ESO zone constants'!$A$5:$D$10001,4,FALSE)</f>
        <v>Stros M'Kai</v>
      </c>
    </row>
    <row r="181" spans="1:14" x14ac:dyDescent="0.25">
      <c r="A181" s="94">
        <v>181</v>
      </c>
      <c r="B181">
        <v>20</v>
      </c>
      <c r="C181">
        <v>227</v>
      </c>
      <c r="D181" t="s">
        <v>384</v>
      </c>
      <c r="E181">
        <v>306</v>
      </c>
      <c r="F181">
        <v>535</v>
      </c>
      <c r="G181" t="s">
        <v>384</v>
      </c>
      <c r="H181">
        <v>1</v>
      </c>
      <c r="I181" t="s">
        <v>2930</v>
      </c>
      <c r="J181" s="30" t="str">
        <f t="shared" si="6"/>
        <v>[181]=535,</v>
      </c>
      <c r="K181" s="3">
        <f t="shared" si="7"/>
        <v>181</v>
      </c>
      <c r="L181" s="3">
        <f t="shared" si="8"/>
        <v>535</v>
      </c>
      <c r="M181" s="8" t="str">
        <f>VLOOKUP(A181,'ESO wayshrine names'!$A$3:$B$9991,2,)</f>
        <v>Stonetooth Wayshrine</v>
      </c>
      <c r="N181" s="3" t="str">
        <f>VLOOKUP(F181,'ESO zone constants'!$A$5:$D$10001,4,FALSE)</f>
        <v>Betnikh</v>
      </c>
    </row>
    <row r="182" spans="1:14" x14ac:dyDescent="0.25">
      <c r="A182" s="94">
        <v>182</v>
      </c>
      <c r="B182">
        <v>20</v>
      </c>
      <c r="C182">
        <v>227</v>
      </c>
      <c r="D182" t="s">
        <v>384</v>
      </c>
      <c r="E182">
        <v>306</v>
      </c>
      <c r="F182">
        <v>535</v>
      </c>
      <c r="G182" t="s">
        <v>384</v>
      </c>
      <c r="H182">
        <v>1</v>
      </c>
      <c r="I182" t="s">
        <v>2931</v>
      </c>
      <c r="J182" s="30" t="str">
        <f t="shared" si="6"/>
        <v>[182]=535,</v>
      </c>
      <c r="K182" s="3">
        <f t="shared" si="7"/>
        <v>182</v>
      </c>
      <c r="L182" s="3">
        <f t="shared" si="8"/>
        <v>535</v>
      </c>
      <c r="M182" s="8" t="str">
        <f>VLOOKUP(A182,'ESO wayshrine names'!$A$3:$B$9991,2,)</f>
        <v>Grimfield Wayshrine</v>
      </c>
      <c r="N182" s="3" t="str">
        <f>VLOOKUP(F182,'ESO zone constants'!$A$5:$D$10001,4,FALSE)</f>
        <v>Betnikh</v>
      </c>
    </row>
    <row r="183" spans="1:14" x14ac:dyDescent="0.25">
      <c r="A183" s="94">
        <v>183</v>
      </c>
      <c r="B183">
        <v>20</v>
      </c>
      <c r="C183">
        <v>227</v>
      </c>
      <c r="D183" t="s">
        <v>384</v>
      </c>
      <c r="E183">
        <v>306</v>
      </c>
      <c r="F183">
        <v>535</v>
      </c>
      <c r="G183" t="s">
        <v>384</v>
      </c>
      <c r="H183">
        <v>1</v>
      </c>
      <c r="I183" t="s">
        <v>2932</v>
      </c>
      <c r="J183" s="30" t="str">
        <f t="shared" si="6"/>
        <v>[183]=535,</v>
      </c>
      <c r="K183" s="3">
        <f t="shared" si="7"/>
        <v>183</v>
      </c>
      <c r="L183" s="3">
        <f t="shared" si="8"/>
        <v>535</v>
      </c>
      <c r="M183" s="8" t="str">
        <f>VLOOKUP(A183,'ESO wayshrine names'!$A$3:$B$9991,2,)</f>
        <v>Carved Hills Wayshrine</v>
      </c>
      <c r="N183" s="3" t="str">
        <f>VLOOKUP(F183,'ESO zone constants'!$A$5:$D$10001,4,FALSE)</f>
        <v>Betnikh</v>
      </c>
    </row>
    <row r="184" spans="1:14" x14ac:dyDescent="0.25">
      <c r="A184" s="94">
        <v>184</v>
      </c>
      <c r="B184">
        <v>23</v>
      </c>
      <c r="C184">
        <v>255</v>
      </c>
      <c r="D184" t="s">
        <v>2366</v>
      </c>
      <c r="E184">
        <v>155</v>
      </c>
      <c r="F184">
        <v>347</v>
      </c>
      <c r="G184" t="s">
        <v>2366</v>
      </c>
      <c r="H184">
        <v>6</v>
      </c>
      <c r="I184" t="s">
        <v>2933</v>
      </c>
      <c r="J184" s="30" t="str">
        <f t="shared" si="6"/>
        <v>[184]=347,</v>
      </c>
      <c r="K184" s="3">
        <f t="shared" si="7"/>
        <v>184</v>
      </c>
      <c r="L184" s="3">
        <f t="shared" si="8"/>
        <v>347</v>
      </c>
      <c r="M184" s="8" t="str">
        <f>VLOOKUP(A184,'ESO wayshrine names'!$A$3:$B$9991,2,)</f>
        <v>Dungeon: Vaults of Madness</v>
      </c>
      <c r="N184" s="3" t="str">
        <f>VLOOKUP(F184,'ESO zone constants'!$A$5:$D$10001,4,FALSE)</f>
        <v>Coldharbour</v>
      </c>
    </row>
    <row r="185" spans="1:14" x14ac:dyDescent="0.25">
      <c r="A185" s="94">
        <v>185</v>
      </c>
      <c r="B185">
        <v>17</v>
      </c>
      <c r="C185">
        <v>256</v>
      </c>
      <c r="D185" t="s">
        <v>2292</v>
      </c>
      <c r="E185">
        <v>180</v>
      </c>
      <c r="F185">
        <v>382</v>
      </c>
      <c r="G185" t="s">
        <v>2292</v>
      </c>
      <c r="H185">
        <v>6</v>
      </c>
      <c r="I185" t="s">
        <v>2934</v>
      </c>
      <c r="J185" s="30" t="str">
        <f t="shared" si="6"/>
        <v>[185]=382,</v>
      </c>
      <c r="K185" s="3">
        <f t="shared" si="7"/>
        <v>185</v>
      </c>
      <c r="L185" s="3">
        <f t="shared" si="8"/>
        <v>382</v>
      </c>
      <c r="M185" s="8" t="str">
        <f>VLOOKUP(A185,'ESO wayshrine names'!$A$3:$B$9991,2,)</f>
        <v>Dungeon: Selene's Web</v>
      </c>
      <c r="N185" s="3" t="str">
        <f>VLOOKUP(F185,'ESO zone constants'!$A$5:$D$10001,4,FALSE)</f>
        <v>Reaper's March</v>
      </c>
    </row>
    <row r="186" spans="1:14" x14ac:dyDescent="0.25">
      <c r="A186" s="94">
        <v>186</v>
      </c>
      <c r="B186">
        <v>6</v>
      </c>
      <c r="C186">
        <v>20</v>
      </c>
      <c r="D186" t="s">
        <v>109</v>
      </c>
      <c r="E186">
        <v>14</v>
      </c>
      <c r="F186">
        <v>92</v>
      </c>
      <c r="G186" t="s">
        <v>109</v>
      </c>
      <c r="H186">
        <v>6</v>
      </c>
      <c r="I186" t="s">
        <v>2935</v>
      </c>
      <c r="J186" s="30" t="str">
        <f t="shared" si="6"/>
        <v>[186]=92,</v>
      </c>
      <c r="K186" s="3">
        <f t="shared" si="7"/>
        <v>186</v>
      </c>
      <c r="L186" s="3">
        <f t="shared" si="8"/>
        <v>92</v>
      </c>
      <c r="M186" s="8" t="str">
        <f>VLOOKUP(A186,'ESO wayshrine names'!$A$3:$B$9991,2,)</f>
        <v>Dungeon: Blackheart Haven</v>
      </c>
      <c r="N186" s="3" t="str">
        <f>VLOOKUP(F186,'ESO zone constants'!$A$5:$D$10001,4,FALSE)</f>
        <v>Bangkorai</v>
      </c>
    </row>
    <row r="187" spans="1:14" x14ac:dyDescent="0.25">
      <c r="A187" s="94">
        <v>187</v>
      </c>
      <c r="B187">
        <v>12</v>
      </c>
      <c r="C187">
        <v>125</v>
      </c>
      <c r="D187" t="s">
        <v>2308</v>
      </c>
      <c r="E187">
        <v>16</v>
      </c>
      <c r="F187">
        <v>103</v>
      </c>
      <c r="G187" t="s">
        <v>2308</v>
      </c>
      <c r="H187">
        <v>6</v>
      </c>
      <c r="I187" t="s">
        <v>2936</v>
      </c>
      <c r="J187" s="30" t="str">
        <f t="shared" si="6"/>
        <v>[187]=103,</v>
      </c>
      <c r="K187" s="3">
        <f t="shared" si="7"/>
        <v>187</v>
      </c>
      <c r="L187" s="3">
        <f t="shared" si="8"/>
        <v>103</v>
      </c>
      <c r="M187" s="8" t="str">
        <f>VLOOKUP(A187,'ESO wayshrine names'!$A$3:$B$9991,2,)</f>
        <v>Dungeon: Blessed Crucible</v>
      </c>
      <c r="N187" s="3" t="str">
        <f>VLOOKUP(F187,'ESO zone constants'!$A$5:$D$10001,4,FALSE)</f>
        <v>The Rift</v>
      </c>
    </row>
    <row r="188" spans="1:14" x14ac:dyDescent="0.25">
      <c r="A188" s="94">
        <v>188</v>
      </c>
      <c r="B188">
        <v>8</v>
      </c>
      <c r="C188">
        <v>22</v>
      </c>
      <c r="D188" t="s">
        <v>108</v>
      </c>
      <c r="E188">
        <v>11</v>
      </c>
      <c r="F188">
        <v>58</v>
      </c>
      <c r="G188" t="s">
        <v>108</v>
      </c>
      <c r="H188">
        <v>6</v>
      </c>
      <c r="I188" t="s">
        <v>2937</v>
      </c>
      <c r="J188" s="30" t="str">
        <f t="shared" si="6"/>
        <v>[188]=58,</v>
      </c>
      <c r="K188" s="3">
        <f t="shared" si="7"/>
        <v>188</v>
      </c>
      <c r="L188" s="3">
        <f t="shared" si="8"/>
        <v>58</v>
      </c>
      <c r="M188" s="8" t="str">
        <f>VLOOKUP(A188,'ESO wayshrine names'!$A$3:$B$9991,2,)</f>
        <v>Dungeon: Tempest Island</v>
      </c>
      <c r="N188" s="3" t="str">
        <f>VLOOKUP(F188,'ESO zone constants'!$A$5:$D$10001,4,FALSE)</f>
        <v>Malabal Tor</v>
      </c>
    </row>
    <row r="189" spans="1:14" x14ac:dyDescent="0.25">
      <c r="A189" s="94">
        <v>189</v>
      </c>
      <c r="B189">
        <v>4</v>
      </c>
      <c r="C189">
        <v>12</v>
      </c>
      <c r="D189" t="s">
        <v>2306</v>
      </c>
      <c r="E189">
        <v>4</v>
      </c>
      <c r="F189">
        <v>19</v>
      </c>
      <c r="G189" t="s">
        <v>2306</v>
      </c>
      <c r="H189">
        <v>6</v>
      </c>
      <c r="I189" t="s">
        <v>3801</v>
      </c>
      <c r="J189" s="30" t="str">
        <f t="shared" si="6"/>
        <v>[189]=19,</v>
      </c>
      <c r="K189" s="3">
        <f t="shared" si="7"/>
        <v>189</v>
      </c>
      <c r="L189" s="3">
        <f t="shared" si="8"/>
        <v>19</v>
      </c>
      <c r="M189" s="8" t="str">
        <f>VLOOKUP(A189,'ESO wayshrine names'!$A$3:$B$9991,2,)</f>
        <v>Dungeon: Wayrest Sewers I</v>
      </c>
      <c r="N189" s="3" t="str">
        <f>VLOOKUP(F189,'ESO zone constants'!$A$5:$D$10001,4,FALSE)</f>
        <v>Stormhaven</v>
      </c>
    </row>
    <row r="190" spans="1:14" x14ac:dyDescent="0.25">
      <c r="A190" s="94">
        <v>190</v>
      </c>
      <c r="B190">
        <v>3</v>
      </c>
      <c r="C190">
        <v>10</v>
      </c>
      <c r="D190" t="s">
        <v>2305</v>
      </c>
      <c r="E190">
        <v>5</v>
      </c>
      <c r="F190">
        <v>20</v>
      </c>
      <c r="G190" t="s">
        <v>2305</v>
      </c>
      <c r="H190">
        <v>6</v>
      </c>
      <c r="I190" t="s">
        <v>2938</v>
      </c>
      <c r="J190" s="30" t="str">
        <f t="shared" si="6"/>
        <v>[190]=20,</v>
      </c>
      <c r="K190" s="3">
        <f t="shared" si="7"/>
        <v>190</v>
      </c>
      <c r="L190" s="3">
        <f t="shared" si="8"/>
        <v>20</v>
      </c>
      <c r="M190" s="8" t="str">
        <f>VLOOKUP(A190,'ESO wayshrine names'!$A$3:$B$9991,2,)</f>
        <v>Dungeon: Crypt of Hearts I</v>
      </c>
      <c r="N190" s="3" t="str">
        <f>VLOOKUP(F190,'ESO zone constants'!$A$5:$D$10001,4,FALSE)</f>
        <v>Rivenspire</v>
      </c>
    </row>
    <row r="191" spans="1:14" x14ac:dyDescent="0.25">
      <c r="A191" s="94">
        <v>191</v>
      </c>
      <c r="B191">
        <v>7</v>
      </c>
      <c r="C191">
        <v>9</v>
      </c>
      <c r="D191" t="s">
        <v>2289</v>
      </c>
      <c r="E191">
        <v>181</v>
      </c>
      <c r="F191">
        <v>383</v>
      </c>
      <c r="G191" t="s">
        <v>2289</v>
      </c>
      <c r="H191">
        <v>6</v>
      </c>
      <c r="I191" t="s">
        <v>2939</v>
      </c>
      <c r="J191" s="30" t="str">
        <f t="shared" si="6"/>
        <v>[191]=383,</v>
      </c>
      <c r="K191" s="3">
        <f t="shared" si="7"/>
        <v>191</v>
      </c>
      <c r="L191" s="3">
        <f t="shared" si="8"/>
        <v>383</v>
      </c>
      <c r="M191" s="8" t="str">
        <f>VLOOKUP(A191,'ESO wayshrine names'!$A$3:$B$9991,2,)</f>
        <v>Dungeon: Elden Hollow I</v>
      </c>
      <c r="N191" s="3" t="str">
        <f>VLOOKUP(F191,'ESO zone constants'!$A$5:$D$10001,4,FALSE)</f>
        <v>Grahtwood</v>
      </c>
    </row>
    <row r="192" spans="1:14" x14ac:dyDescent="0.25">
      <c r="A192" s="94">
        <v>192</v>
      </c>
      <c r="B192">
        <v>9</v>
      </c>
      <c r="C192">
        <v>26</v>
      </c>
      <c r="D192" t="s">
        <v>2309</v>
      </c>
      <c r="E192">
        <v>19</v>
      </c>
      <c r="F192">
        <v>117</v>
      </c>
      <c r="G192" t="s">
        <v>2309</v>
      </c>
      <c r="H192">
        <v>6</v>
      </c>
      <c r="I192" t="s">
        <v>2940</v>
      </c>
      <c r="J192" s="30" t="str">
        <f t="shared" si="6"/>
        <v>[192]=117,</v>
      </c>
      <c r="K192" s="3">
        <f t="shared" si="7"/>
        <v>192</v>
      </c>
      <c r="L192" s="3">
        <f t="shared" si="8"/>
        <v>117</v>
      </c>
      <c r="M192" s="8" t="str">
        <f>VLOOKUP(A192,'ESO wayshrine names'!$A$3:$B$9991,2,)</f>
        <v>Dungeon: Arx Corinium</v>
      </c>
      <c r="N192" s="3" t="str">
        <f>VLOOKUP(F192,'ESO zone constants'!$A$5:$D$10001,4,FALSE)</f>
        <v>Shadowfen</v>
      </c>
    </row>
    <row r="193" spans="1:14" x14ac:dyDescent="0.25">
      <c r="A193" s="94">
        <v>193</v>
      </c>
      <c r="B193">
        <v>2</v>
      </c>
      <c r="C193">
        <v>1</v>
      </c>
      <c r="D193" t="s">
        <v>103</v>
      </c>
      <c r="E193">
        <v>2</v>
      </c>
      <c r="F193">
        <v>3</v>
      </c>
      <c r="G193" t="s">
        <v>103</v>
      </c>
      <c r="H193">
        <v>6</v>
      </c>
      <c r="I193" t="s">
        <v>2941</v>
      </c>
      <c r="J193" s="30" t="str">
        <f t="shared" si="6"/>
        <v>[193]=3,</v>
      </c>
      <c r="K193" s="3">
        <f t="shared" si="7"/>
        <v>193</v>
      </c>
      <c r="L193" s="3">
        <f t="shared" si="8"/>
        <v>3</v>
      </c>
      <c r="M193" s="8" t="str">
        <f>VLOOKUP(A193,'ESO wayshrine names'!$A$3:$B$9991,2,)</f>
        <v>Dungeon: Spindleclutch I</v>
      </c>
      <c r="N193" s="3" t="str">
        <f>VLOOKUP(F193,'ESO zone constants'!$A$5:$D$10001,4,FALSE)</f>
        <v>Glenumbra</v>
      </c>
    </row>
    <row r="194" spans="1:14" x14ac:dyDescent="0.25">
      <c r="A194" s="94">
        <v>194</v>
      </c>
      <c r="B194">
        <v>15</v>
      </c>
      <c r="C194">
        <v>143</v>
      </c>
      <c r="D194" t="s">
        <v>262</v>
      </c>
      <c r="E194">
        <v>179</v>
      </c>
      <c r="F194">
        <v>381</v>
      </c>
      <c r="G194" t="s">
        <v>262</v>
      </c>
      <c r="H194">
        <v>6</v>
      </c>
      <c r="I194" t="s">
        <v>2942</v>
      </c>
      <c r="J194" s="30" t="str">
        <f t="shared" si="6"/>
        <v>[194]=381,</v>
      </c>
      <c r="K194" s="3">
        <f t="shared" si="7"/>
        <v>194</v>
      </c>
      <c r="L194" s="3">
        <f t="shared" si="8"/>
        <v>381</v>
      </c>
      <c r="M194" s="8" t="str">
        <f>VLOOKUP(A194,'ESO wayshrine names'!$A$3:$B$9991,2,)</f>
        <v>Dungeon: The Banished Cells I</v>
      </c>
      <c r="N194" s="3" t="str">
        <f>VLOOKUP(F194,'ESO zone constants'!$A$5:$D$10001,4,FALSE)</f>
        <v>Auridon</v>
      </c>
    </row>
    <row r="195" spans="1:14" x14ac:dyDescent="0.25">
      <c r="A195" s="94">
        <v>195</v>
      </c>
      <c r="B195">
        <v>13</v>
      </c>
      <c r="C195">
        <v>61</v>
      </c>
      <c r="D195" t="s">
        <v>2307</v>
      </c>
      <c r="E195">
        <v>15</v>
      </c>
      <c r="F195">
        <v>101</v>
      </c>
      <c r="G195" t="s">
        <v>2307</v>
      </c>
      <c r="H195">
        <v>6</v>
      </c>
      <c r="I195" t="s">
        <v>3253</v>
      </c>
      <c r="J195" s="30" t="str">
        <f t="shared" ref="J195:J258" si="9">IF(A195&lt;&gt;"",IF(F195&lt;&gt;"",IF(OR(ISNA(A195),ISNA(F195)),"","["&amp;A195&amp;"]="&amp;F195&amp;","),""),"")</f>
        <v>[195]=101,</v>
      </c>
      <c r="K195" s="3">
        <f t="shared" ref="K195:K258" si="10">A195</f>
        <v>195</v>
      </c>
      <c r="L195" s="3">
        <f t="shared" ref="L195:L258" si="11">F195</f>
        <v>101</v>
      </c>
      <c r="M195" s="8" t="str">
        <f>VLOOKUP(A195,'ESO wayshrine names'!$A$3:$B$9991,2,)</f>
        <v>Dungeon: Direfrost Keep</v>
      </c>
      <c r="N195" s="3" t="str">
        <f>VLOOKUP(F195,'ESO zone constants'!$A$5:$D$10001,4,FALSE)</f>
        <v>Eastmarch</v>
      </c>
    </row>
    <row r="196" spans="1:14" x14ac:dyDescent="0.25">
      <c r="A196" s="94">
        <v>196</v>
      </c>
      <c r="B196">
        <v>5</v>
      </c>
      <c r="C196">
        <v>30</v>
      </c>
      <c r="D196" t="s">
        <v>3187</v>
      </c>
      <c r="E196">
        <v>17</v>
      </c>
      <c r="F196">
        <v>104</v>
      </c>
      <c r="G196" t="s">
        <v>2304</v>
      </c>
      <c r="H196">
        <v>6</v>
      </c>
      <c r="I196" t="s">
        <v>2943</v>
      </c>
      <c r="J196" s="30" t="str">
        <f t="shared" si="9"/>
        <v>[196]=104,</v>
      </c>
      <c r="K196" s="3">
        <f t="shared" si="10"/>
        <v>196</v>
      </c>
      <c r="L196" s="3">
        <f t="shared" si="11"/>
        <v>104</v>
      </c>
      <c r="M196" s="8" t="str">
        <f>VLOOKUP(A196,'ESO wayshrine names'!$A$3:$B$9991,2,)</f>
        <v>Dungeon: Volenfell</v>
      </c>
      <c r="N196" s="3" t="str">
        <f>VLOOKUP(F196,'ESO zone constants'!$A$5:$D$10001,4,FALSE)</f>
        <v>Alik'r Desert</v>
      </c>
    </row>
    <row r="197" spans="1:14" x14ac:dyDescent="0.25">
      <c r="A197" s="94">
        <v>197</v>
      </c>
      <c r="B197">
        <v>16</v>
      </c>
      <c r="C197">
        <v>300</v>
      </c>
      <c r="D197" t="s">
        <v>2291</v>
      </c>
      <c r="E197">
        <v>18</v>
      </c>
      <c r="F197">
        <v>108</v>
      </c>
      <c r="G197" t="s">
        <v>2291</v>
      </c>
      <c r="H197">
        <v>6</v>
      </c>
      <c r="I197" t="s">
        <v>2944</v>
      </c>
      <c r="J197" s="30" t="str">
        <f t="shared" si="9"/>
        <v>[197]=108,</v>
      </c>
      <c r="K197" s="3">
        <f t="shared" si="10"/>
        <v>197</v>
      </c>
      <c r="L197" s="3">
        <f t="shared" si="11"/>
        <v>108</v>
      </c>
      <c r="M197" s="8" t="str">
        <f>VLOOKUP(A197,'ESO wayshrine names'!$A$3:$B$9991,2,)</f>
        <v>Dungeon: City of Ash I</v>
      </c>
      <c r="N197" s="3" t="str">
        <f>VLOOKUP(F197,'ESO zone constants'!$A$5:$D$10001,4,FALSE)</f>
        <v>Greenshade</v>
      </c>
    </row>
    <row r="198" spans="1:14" x14ac:dyDescent="0.25">
      <c r="A198" s="94">
        <v>198</v>
      </c>
      <c r="B198">
        <v>10</v>
      </c>
      <c r="C198">
        <v>13</v>
      </c>
      <c r="D198" t="s">
        <v>107</v>
      </c>
      <c r="E198">
        <v>10</v>
      </c>
      <c r="F198">
        <v>57</v>
      </c>
      <c r="G198" t="s">
        <v>107</v>
      </c>
      <c r="H198">
        <v>6</v>
      </c>
      <c r="I198" t="s">
        <v>2945</v>
      </c>
      <c r="J198" s="30" t="str">
        <f t="shared" si="9"/>
        <v>[198]=57,</v>
      </c>
      <c r="K198" s="3">
        <f t="shared" si="10"/>
        <v>198</v>
      </c>
      <c r="L198" s="3">
        <f t="shared" si="11"/>
        <v>57</v>
      </c>
      <c r="M198" s="8" t="str">
        <f>VLOOKUP(A198,'ESO wayshrine names'!$A$3:$B$9991,2,)</f>
        <v>Dungeon: Darkshade Caverns I</v>
      </c>
      <c r="N198" s="3" t="str">
        <f>VLOOKUP(F198,'ESO zone constants'!$A$5:$D$10001,4,FALSE)</f>
        <v>Deshaan</v>
      </c>
    </row>
    <row r="199" spans="1:14" x14ac:dyDescent="0.25">
      <c r="A199" s="94">
        <v>199</v>
      </c>
      <c r="B199">
        <v>14</v>
      </c>
      <c r="C199">
        <v>16</v>
      </c>
      <c r="D199" t="s">
        <v>125</v>
      </c>
      <c r="E199">
        <v>38</v>
      </c>
      <c r="F199">
        <v>181</v>
      </c>
      <c r="G199" t="s">
        <v>125</v>
      </c>
      <c r="H199">
        <v>1</v>
      </c>
      <c r="I199" t="s">
        <v>2946</v>
      </c>
      <c r="J199" s="30" t="str">
        <f t="shared" si="9"/>
        <v>[199]=181,</v>
      </c>
      <c r="K199" s="3">
        <f t="shared" si="10"/>
        <v>199</v>
      </c>
      <c r="L199" s="3">
        <f t="shared" si="11"/>
        <v>181</v>
      </c>
      <c r="M199" s="8" t="str">
        <f>VLOOKUP(A199,'ESO wayshrine names'!$A$3:$B$9991,2,)</f>
        <v>Southern High Rock Wayshrine</v>
      </c>
      <c r="N199" s="3" t="str">
        <f>VLOOKUP(F199,'ESO zone constants'!$A$5:$D$10001,4,FALSE)</f>
        <v>Cyrodiil</v>
      </c>
    </row>
    <row r="200" spans="1:14" x14ac:dyDescent="0.25">
      <c r="A200" s="94">
        <v>200</v>
      </c>
      <c r="B200">
        <v>14</v>
      </c>
      <c r="C200">
        <v>16</v>
      </c>
      <c r="D200" t="s">
        <v>125</v>
      </c>
      <c r="E200">
        <v>38</v>
      </c>
      <c r="F200">
        <v>181</v>
      </c>
      <c r="G200" t="s">
        <v>125</v>
      </c>
      <c r="H200">
        <v>1</v>
      </c>
      <c r="I200" t="s">
        <v>2947</v>
      </c>
      <c r="J200" s="30" t="str">
        <f t="shared" si="9"/>
        <v>[200]=181,</v>
      </c>
      <c r="K200" s="3">
        <f t="shared" si="10"/>
        <v>200</v>
      </c>
      <c r="L200" s="3">
        <f t="shared" si="11"/>
        <v>181</v>
      </c>
      <c r="M200" s="8" t="str">
        <f>VLOOKUP(A200,'ESO wayshrine names'!$A$3:$B$9991,2,)</f>
        <v>Eastern Elsweyr Wayshrine</v>
      </c>
      <c r="N200" s="3" t="str">
        <f>VLOOKUP(F200,'ESO zone constants'!$A$5:$D$10001,4,FALSE)</f>
        <v>Cyrodiil</v>
      </c>
    </row>
    <row r="201" spans="1:14" x14ac:dyDescent="0.25">
      <c r="A201" s="94">
        <v>201</v>
      </c>
      <c r="B201">
        <v>14</v>
      </c>
      <c r="C201">
        <v>16</v>
      </c>
      <c r="D201" t="s">
        <v>125</v>
      </c>
      <c r="E201">
        <v>38</v>
      </c>
      <c r="F201">
        <v>181</v>
      </c>
      <c r="G201" t="s">
        <v>125</v>
      </c>
      <c r="H201">
        <v>1</v>
      </c>
      <c r="I201" t="s">
        <v>2948</v>
      </c>
      <c r="J201" s="30" t="str">
        <f t="shared" si="9"/>
        <v>[201]=181,</v>
      </c>
      <c r="K201" s="3">
        <f t="shared" si="10"/>
        <v>201</v>
      </c>
      <c r="L201" s="3">
        <f t="shared" si="11"/>
        <v>181</v>
      </c>
      <c r="M201" s="8" t="str">
        <f>VLOOKUP(A201,'ESO wayshrine names'!$A$3:$B$9991,2,)</f>
        <v>Western Elsweyr Wayshrine</v>
      </c>
      <c r="N201" s="3" t="str">
        <f>VLOOKUP(F201,'ESO zone constants'!$A$5:$D$10001,4,FALSE)</f>
        <v>Cyrodiil</v>
      </c>
    </row>
    <row r="202" spans="1:14" x14ac:dyDescent="0.25">
      <c r="A202" s="94">
        <v>202</v>
      </c>
      <c r="B202">
        <v>14</v>
      </c>
      <c r="C202">
        <v>16</v>
      </c>
      <c r="D202" t="s">
        <v>125</v>
      </c>
      <c r="E202">
        <v>38</v>
      </c>
      <c r="F202">
        <v>181</v>
      </c>
      <c r="G202" t="s">
        <v>125</v>
      </c>
      <c r="H202">
        <v>1</v>
      </c>
      <c r="I202" t="s">
        <v>2949</v>
      </c>
      <c r="J202" s="30" t="str">
        <f t="shared" si="9"/>
        <v>[202]=181,</v>
      </c>
      <c r="K202" s="3">
        <f t="shared" si="10"/>
        <v>202</v>
      </c>
      <c r="L202" s="3">
        <f t="shared" si="11"/>
        <v>181</v>
      </c>
      <c r="M202" s="8" t="str">
        <f>VLOOKUP(A202,'ESO wayshrine names'!$A$3:$B$9991,2,)</f>
        <v>North Morrowind Wayshrine</v>
      </c>
      <c r="N202" s="3" t="str">
        <f>VLOOKUP(F202,'ESO zone constants'!$A$5:$D$10001,4,FALSE)</f>
        <v>Cyrodiil</v>
      </c>
    </row>
    <row r="203" spans="1:14" x14ac:dyDescent="0.25">
      <c r="A203" s="94">
        <v>203</v>
      </c>
      <c r="B203">
        <v>14</v>
      </c>
      <c r="C203">
        <v>16</v>
      </c>
      <c r="D203" t="s">
        <v>125</v>
      </c>
      <c r="E203">
        <v>38</v>
      </c>
      <c r="F203">
        <v>181</v>
      </c>
      <c r="G203" t="s">
        <v>125</v>
      </c>
      <c r="H203">
        <v>1</v>
      </c>
      <c r="I203" t="s">
        <v>2950</v>
      </c>
      <c r="J203" s="30" t="str">
        <f t="shared" si="9"/>
        <v>[203]=181,</v>
      </c>
      <c r="K203" s="3">
        <f t="shared" si="10"/>
        <v>203</v>
      </c>
      <c r="L203" s="3">
        <f t="shared" si="11"/>
        <v>181</v>
      </c>
      <c r="M203" s="8" t="str">
        <f>VLOOKUP(A203,'ESO wayshrine names'!$A$3:$B$9991,2,)</f>
        <v>South Morrowind Wayshrine</v>
      </c>
      <c r="N203" s="3" t="str">
        <f>VLOOKUP(F203,'ESO zone constants'!$A$5:$D$10001,4,FALSE)</f>
        <v>Cyrodiil</v>
      </c>
    </row>
    <row r="204" spans="1:14" x14ac:dyDescent="0.25">
      <c r="A204" s="94">
        <v>204</v>
      </c>
      <c r="B204">
        <v>6</v>
      </c>
      <c r="C204">
        <v>20</v>
      </c>
      <c r="D204" t="s">
        <v>109</v>
      </c>
      <c r="E204">
        <v>14</v>
      </c>
      <c r="F204">
        <v>92</v>
      </c>
      <c r="G204" t="s">
        <v>109</v>
      </c>
      <c r="H204">
        <v>1</v>
      </c>
      <c r="I204" t="s">
        <v>2951</v>
      </c>
      <c r="J204" s="30" t="str">
        <f t="shared" si="9"/>
        <v>[204]=92,</v>
      </c>
      <c r="K204" s="3">
        <f t="shared" si="10"/>
        <v>204</v>
      </c>
      <c r="L204" s="3">
        <f t="shared" si="11"/>
        <v>92</v>
      </c>
      <c r="M204" s="8" t="str">
        <f>VLOOKUP(A204,'ESO wayshrine names'!$A$3:$B$9991,2,)</f>
        <v>Eastern Evermore Wayshrine</v>
      </c>
      <c r="N204" s="3" t="str">
        <f>VLOOKUP(F204,'ESO zone constants'!$A$5:$D$10001,4,FALSE)</f>
        <v>Bangkorai</v>
      </c>
    </row>
    <row r="205" spans="1:14" x14ac:dyDescent="0.25">
      <c r="A205" s="94">
        <v>205</v>
      </c>
      <c r="B205">
        <v>10</v>
      </c>
      <c r="C205">
        <v>13</v>
      </c>
      <c r="D205" t="s">
        <v>107</v>
      </c>
      <c r="E205">
        <v>10</v>
      </c>
      <c r="F205">
        <v>57</v>
      </c>
      <c r="G205" t="s">
        <v>107</v>
      </c>
      <c r="H205">
        <v>1</v>
      </c>
      <c r="I205" t="s">
        <v>2952</v>
      </c>
      <c r="J205" s="30" t="str">
        <f t="shared" si="9"/>
        <v>[205]=57,</v>
      </c>
      <c r="K205" s="3">
        <f t="shared" si="10"/>
        <v>205</v>
      </c>
      <c r="L205" s="3">
        <f t="shared" si="11"/>
        <v>57</v>
      </c>
      <c r="M205" s="8" t="str">
        <f>VLOOKUP(A205,'ESO wayshrine names'!$A$3:$B$9991,2,)</f>
        <v>Shad Astula Wayshrine</v>
      </c>
      <c r="N205" s="3" t="str">
        <f>VLOOKUP(F205,'ESO zone constants'!$A$5:$D$10001,4,FALSE)</f>
        <v>Deshaan</v>
      </c>
    </row>
    <row r="206" spans="1:14" x14ac:dyDescent="0.25">
      <c r="A206" s="94">
        <v>206</v>
      </c>
      <c r="B206">
        <v>6</v>
      </c>
      <c r="C206">
        <v>20</v>
      </c>
      <c r="D206" t="s">
        <v>109</v>
      </c>
      <c r="E206">
        <v>14</v>
      </c>
      <c r="F206">
        <v>92</v>
      </c>
      <c r="G206" t="s">
        <v>109</v>
      </c>
      <c r="H206">
        <v>1</v>
      </c>
      <c r="I206" t="s">
        <v>2953</v>
      </c>
      <c r="J206" s="30" t="str">
        <f t="shared" si="9"/>
        <v>[206]=92,</v>
      </c>
      <c r="K206" s="3">
        <f t="shared" si="10"/>
        <v>206</v>
      </c>
      <c r="L206" s="3">
        <f t="shared" si="11"/>
        <v>92</v>
      </c>
      <c r="M206" s="8" t="str">
        <f>VLOOKUP(A206,'ESO wayshrine names'!$A$3:$B$9991,2,)</f>
        <v>Halcyon Lake Wayshrine</v>
      </c>
      <c r="N206" s="3" t="str">
        <f>VLOOKUP(F206,'ESO zone constants'!$A$5:$D$10001,4,FALSE)</f>
        <v>Bangkorai</v>
      </c>
    </row>
    <row r="207" spans="1:14" x14ac:dyDescent="0.25">
      <c r="A207" s="94">
        <v>207</v>
      </c>
      <c r="B207">
        <v>7</v>
      </c>
      <c r="C207">
        <v>9</v>
      </c>
      <c r="D207" t="s">
        <v>2289</v>
      </c>
      <c r="E207">
        <v>181</v>
      </c>
      <c r="F207">
        <v>383</v>
      </c>
      <c r="G207" t="s">
        <v>2289</v>
      </c>
      <c r="H207">
        <v>1</v>
      </c>
      <c r="I207" t="s">
        <v>2954</v>
      </c>
      <c r="J207" s="30" t="str">
        <f t="shared" si="9"/>
        <v>[207]=383,</v>
      </c>
      <c r="K207" s="3">
        <f t="shared" si="10"/>
        <v>207</v>
      </c>
      <c r="L207" s="3">
        <f t="shared" si="11"/>
        <v>383</v>
      </c>
      <c r="M207" s="8" t="str">
        <f>VLOOKUP(A207,'ESO wayshrine names'!$A$3:$B$9991,2,)</f>
        <v>Gray Mire Wayshrine</v>
      </c>
      <c r="N207" s="3" t="str">
        <f>VLOOKUP(F207,'ESO zone constants'!$A$5:$D$10001,4,FALSE)</f>
        <v>Grahtwood</v>
      </c>
    </row>
    <row r="208" spans="1:14" x14ac:dyDescent="0.25">
      <c r="A208" s="94">
        <v>208</v>
      </c>
      <c r="B208">
        <v>3</v>
      </c>
      <c r="C208">
        <v>10</v>
      </c>
      <c r="D208" t="s">
        <v>2305</v>
      </c>
      <c r="E208">
        <v>5</v>
      </c>
      <c r="F208">
        <v>20</v>
      </c>
      <c r="G208" t="s">
        <v>2305</v>
      </c>
      <c r="H208">
        <v>1</v>
      </c>
      <c r="I208" t="s">
        <v>2955</v>
      </c>
      <c r="J208" s="30" t="str">
        <f t="shared" si="9"/>
        <v>[208]=20,</v>
      </c>
      <c r="K208" s="3">
        <f t="shared" si="10"/>
        <v>208</v>
      </c>
      <c r="L208" s="3">
        <f t="shared" si="11"/>
        <v>20</v>
      </c>
      <c r="M208" s="8" t="str">
        <f>VLOOKUP(A208,'ESO wayshrine names'!$A$3:$B$9991,2,)</f>
        <v>Shrouded Pass Wayshrine</v>
      </c>
      <c r="N208" s="3" t="str">
        <f>VLOOKUP(F208,'ESO zone constants'!$A$5:$D$10001,4,FALSE)</f>
        <v>Rivenspire</v>
      </c>
    </row>
    <row r="209" spans="1:14" x14ac:dyDescent="0.25">
      <c r="A209" s="94">
        <v>210</v>
      </c>
      <c r="B209">
        <v>2</v>
      </c>
      <c r="C209">
        <v>1</v>
      </c>
      <c r="D209" t="s">
        <v>103</v>
      </c>
      <c r="E209">
        <v>2</v>
      </c>
      <c r="F209">
        <v>3</v>
      </c>
      <c r="G209" t="s">
        <v>103</v>
      </c>
      <c r="H209">
        <v>1</v>
      </c>
      <c r="I209" t="s">
        <v>2956</v>
      </c>
      <c r="J209" s="30" t="str">
        <f t="shared" si="9"/>
        <v>[210]=3,</v>
      </c>
      <c r="K209" s="3">
        <f t="shared" si="10"/>
        <v>210</v>
      </c>
      <c r="L209" s="3">
        <f t="shared" si="11"/>
        <v>3</v>
      </c>
      <c r="M209" s="8" t="str">
        <f>VLOOKUP(A209,'ESO wayshrine names'!$A$3:$B$9991,2,)</f>
        <v>The Harborage</v>
      </c>
      <c r="N209" s="3" t="str">
        <f>VLOOKUP(F209,'ESO zone constants'!$A$5:$D$10001,4,FALSE)</f>
        <v>Glenumbra</v>
      </c>
    </row>
    <row r="210" spans="1:14" x14ac:dyDescent="0.25">
      <c r="A210" s="94">
        <v>211</v>
      </c>
      <c r="B210">
        <v>15</v>
      </c>
      <c r="C210">
        <v>143</v>
      </c>
      <c r="D210" t="s">
        <v>262</v>
      </c>
      <c r="E210">
        <v>179</v>
      </c>
      <c r="F210">
        <v>381</v>
      </c>
      <c r="G210" t="s">
        <v>262</v>
      </c>
      <c r="H210">
        <v>1</v>
      </c>
      <c r="I210" t="s">
        <v>2956</v>
      </c>
      <c r="J210" s="30" t="str">
        <f t="shared" si="9"/>
        <v>[211]=381,</v>
      </c>
      <c r="K210" s="3">
        <f t="shared" si="10"/>
        <v>211</v>
      </c>
      <c r="L210" s="3">
        <f t="shared" si="11"/>
        <v>381</v>
      </c>
      <c r="M210" s="8" t="str">
        <f>VLOOKUP(A210,'ESO wayshrine names'!$A$3:$B$9991,2,)</f>
        <v>The Harborage</v>
      </c>
      <c r="N210" s="3" t="str">
        <f>VLOOKUP(F210,'ESO zone constants'!$A$5:$D$10001,4,FALSE)</f>
        <v>Auridon</v>
      </c>
    </row>
    <row r="211" spans="1:14" x14ac:dyDescent="0.25">
      <c r="A211" s="94">
        <v>212</v>
      </c>
      <c r="B211">
        <v>11</v>
      </c>
      <c r="C211">
        <v>7</v>
      </c>
      <c r="D211" t="s">
        <v>2310</v>
      </c>
      <c r="E211">
        <v>9</v>
      </c>
      <c r="F211">
        <v>41</v>
      </c>
      <c r="G211" t="s">
        <v>2310</v>
      </c>
      <c r="H211">
        <v>1</v>
      </c>
      <c r="I211" t="s">
        <v>2956</v>
      </c>
      <c r="J211" s="30" t="str">
        <f t="shared" si="9"/>
        <v>[212]=41,</v>
      </c>
      <c r="K211" s="3">
        <f t="shared" si="10"/>
        <v>212</v>
      </c>
      <c r="L211" s="3">
        <f t="shared" si="11"/>
        <v>41</v>
      </c>
      <c r="M211" s="8" t="str">
        <f>VLOOKUP(A211,'ESO wayshrine names'!$A$3:$B$9991,2,)</f>
        <v>The Harborage</v>
      </c>
      <c r="N211" s="3" t="str">
        <f>VLOOKUP(F211,'ESO zone constants'!$A$5:$D$10001,4,FALSE)</f>
        <v>Stonefalls</v>
      </c>
    </row>
    <row r="212" spans="1:14" x14ac:dyDescent="0.25">
      <c r="A212" s="94">
        <v>213</v>
      </c>
      <c r="B212">
        <v>7</v>
      </c>
      <c r="C212">
        <v>9</v>
      </c>
      <c r="D212" t="s">
        <v>2289</v>
      </c>
      <c r="E212">
        <v>181</v>
      </c>
      <c r="F212">
        <v>383</v>
      </c>
      <c r="G212" t="s">
        <v>2289</v>
      </c>
      <c r="H212">
        <v>1</v>
      </c>
      <c r="I212" t="s">
        <v>2957</v>
      </c>
      <c r="J212" s="30" t="str">
        <f t="shared" si="9"/>
        <v>[213]=383,</v>
      </c>
      <c r="K212" s="3">
        <f t="shared" si="10"/>
        <v>213</v>
      </c>
      <c r="L212" s="3">
        <f t="shared" si="11"/>
        <v>383</v>
      </c>
      <c r="M212" s="8" t="str">
        <f>VLOOKUP(A212,'ESO wayshrine names'!$A$3:$B$9991,2,)</f>
        <v>Falinesti Winter Wayshrine</v>
      </c>
      <c r="N212" s="3" t="str">
        <f>VLOOKUP(F212,'ESO zone constants'!$A$5:$D$10001,4,FALSE)</f>
        <v>Grahtwood</v>
      </c>
    </row>
    <row r="213" spans="1:14" x14ac:dyDescent="0.25">
      <c r="A213" s="94">
        <v>214</v>
      </c>
      <c r="B213">
        <v>7</v>
      </c>
      <c r="C213">
        <v>9</v>
      </c>
      <c r="D213" t="s">
        <v>2289</v>
      </c>
      <c r="E213">
        <v>181</v>
      </c>
      <c r="F213">
        <v>383</v>
      </c>
      <c r="G213" t="s">
        <v>2289</v>
      </c>
      <c r="H213">
        <v>1</v>
      </c>
      <c r="I213" t="s">
        <v>2958</v>
      </c>
      <c r="J213" s="30" t="str">
        <f t="shared" si="9"/>
        <v>[214]=383,</v>
      </c>
      <c r="K213" s="3">
        <f t="shared" si="10"/>
        <v>214</v>
      </c>
      <c r="L213" s="3">
        <f t="shared" si="11"/>
        <v>383</v>
      </c>
      <c r="M213" s="8" t="str">
        <f>VLOOKUP(A213,'ESO wayshrine names'!$A$3:$B$9991,2,)</f>
        <v>Elden Root Wayshrine</v>
      </c>
      <c r="N213" s="3" t="str">
        <f>VLOOKUP(F213,'ESO zone constants'!$A$5:$D$10001,4,FALSE)</f>
        <v>Grahtwood</v>
      </c>
    </row>
    <row r="214" spans="1:14" x14ac:dyDescent="0.25">
      <c r="A214" s="94">
        <v>216</v>
      </c>
      <c r="B214">
        <v>2</v>
      </c>
      <c r="C214">
        <v>1</v>
      </c>
      <c r="D214" t="s">
        <v>103</v>
      </c>
      <c r="E214">
        <v>2</v>
      </c>
      <c r="F214">
        <v>3</v>
      </c>
      <c r="G214" t="s">
        <v>103</v>
      </c>
      <c r="H214">
        <v>1</v>
      </c>
      <c r="I214" t="s">
        <v>2959</v>
      </c>
      <c r="J214" s="30" t="str">
        <f t="shared" si="9"/>
        <v>[216]=3,</v>
      </c>
      <c r="K214" s="3">
        <f t="shared" si="10"/>
        <v>216</v>
      </c>
      <c r="L214" s="3">
        <f t="shared" si="11"/>
        <v>3</v>
      </c>
      <c r="M214" s="8" t="str">
        <f>VLOOKUP(A214,'ESO wayshrine names'!$A$3:$B$9991,2,)</f>
        <v>Hag Fen Wayshrine</v>
      </c>
      <c r="N214" s="3" t="str">
        <f>VLOOKUP(F214,'ESO zone constants'!$A$5:$D$10001,4,FALSE)</f>
        <v>Glenumbra</v>
      </c>
    </row>
    <row r="215" spans="1:14" x14ac:dyDescent="0.25">
      <c r="A215" s="94">
        <v>217</v>
      </c>
      <c r="B215">
        <v>25</v>
      </c>
      <c r="C215">
        <v>1126</v>
      </c>
      <c r="D215" t="s">
        <v>2367</v>
      </c>
      <c r="E215">
        <v>501</v>
      </c>
      <c r="F215">
        <v>888</v>
      </c>
      <c r="G215" t="s">
        <v>2367</v>
      </c>
      <c r="H215">
        <v>1</v>
      </c>
      <c r="I215" t="s">
        <v>3802</v>
      </c>
      <c r="J215" s="30" t="str">
        <f t="shared" si="9"/>
        <v>[217]=888,</v>
      </c>
      <c r="K215" s="3">
        <f t="shared" si="10"/>
        <v>217</v>
      </c>
      <c r="L215" s="3">
        <f t="shared" si="11"/>
        <v>888</v>
      </c>
      <c r="M215" s="8" t="str">
        <f>VLOOKUP(A215,'ESO wayshrine names'!$A$3:$B$9991,2,)</f>
        <v>Seeker's Archive Wayshrine</v>
      </c>
      <c r="N215" s="3" t="str">
        <f>VLOOKUP(F215,'ESO zone constants'!$A$5:$D$10001,4,FALSE)</f>
        <v>Craglorn</v>
      </c>
    </row>
    <row r="216" spans="1:14" x14ac:dyDescent="0.25">
      <c r="A216" s="94">
        <v>218</v>
      </c>
      <c r="B216">
        <v>25</v>
      </c>
      <c r="C216">
        <v>1126</v>
      </c>
      <c r="D216" t="s">
        <v>2367</v>
      </c>
      <c r="E216">
        <v>501</v>
      </c>
      <c r="F216">
        <v>888</v>
      </c>
      <c r="G216" t="s">
        <v>2367</v>
      </c>
      <c r="H216">
        <v>1</v>
      </c>
      <c r="I216" t="s">
        <v>3803</v>
      </c>
      <c r="J216" s="30" t="str">
        <f t="shared" si="9"/>
        <v>[218]=888,</v>
      </c>
      <c r="K216" s="3">
        <f t="shared" si="10"/>
        <v>218</v>
      </c>
      <c r="L216" s="3">
        <f t="shared" si="11"/>
        <v>888</v>
      </c>
      <c r="M216" s="8" t="str">
        <f>VLOOKUP(A216,'ESO wayshrine names'!$A$3:$B$9991,2,)</f>
        <v>Shada's Tear Wayshrine</v>
      </c>
      <c r="N216" s="3" t="str">
        <f>VLOOKUP(F216,'ESO zone constants'!$A$5:$D$10001,4,FALSE)</f>
        <v>Craglorn</v>
      </c>
    </row>
    <row r="217" spans="1:14" x14ac:dyDescent="0.25">
      <c r="A217" s="94">
        <v>219</v>
      </c>
      <c r="B217">
        <v>25</v>
      </c>
      <c r="C217">
        <v>1126</v>
      </c>
      <c r="D217" t="s">
        <v>2367</v>
      </c>
      <c r="E217">
        <v>501</v>
      </c>
      <c r="F217">
        <v>888</v>
      </c>
      <c r="G217" t="s">
        <v>2367</v>
      </c>
      <c r="H217">
        <v>1</v>
      </c>
      <c r="I217" t="s">
        <v>3804</v>
      </c>
      <c r="J217" s="30" t="str">
        <f t="shared" si="9"/>
        <v>[219]=888,</v>
      </c>
      <c r="K217" s="3">
        <f t="shared" si="10"/>
        <v>219</v>
      </c>
      <c r="L217" s="3">
        <f t="shared" si="11"/>
        <v>888</v>
      </c>
      <c r="M217" s="8" t="str">
        <f>VLOOKUP(A217,'ESO wayshrine names'!$A$3:$B$9991,2,)</f>
        <v>Sandy Path Wayshrine</v>
      </c>
      <c r="N217" s="3" t="str">
        <f>VLOOKUP(F217,'ESO zone constants'!$A$5:$D$10001,4,FALSE)</f>
        <v>Craglorn</v>
      </c>
    </row>
    <row r="218" spans="1:14" x14ac:dyDescent="0.25">
      <c r="A218" s="94">
        <v>220</v>
      </c>
      <c r="B218">
        <v>25</v>
      </c>
      <c r="C218">
        <v>1126</v>
      </c>
      <c r="D218" t="s">
        <v>2367</v>
      </c>
      <c r="E218">
        <v>501</v>
      </c>
      <c r="F218">
        <v>888</v>
      </c>
      <c r="G218" t="s">
        <v>2367</v>
      </c>
      <c r="H218">
        <v>1</v>
      </c>
      <c r="I218" t="s">
        <v>3805</v>
      </c>
      <c r="J218" s="30" t="str">
        <f t="shared" si="9"/>
        <v>[220]=888,</v>
      </c>
      <c r="K218" s="3">
        <f t="shared" si="10"/>
        <v>220</v>
      </c>
      <c r="L218" s="3">
        <f t="shared" si="11"/>
        <v>888</v>
      </c>
      <c r="M218" s="8" t="str">
        <f>VLOOKUP(A218,'ESO wayshrine names'!$A$3:$B$9991,2,)</f>
        <v>Belkarth Wayshrine</v>
      </c>
      <c r="N218" s="3" t="str">
        <f>VLOOKUP(F218,'ESO zone constants'!$A$5:$D$10001,4,FALSE)</f>
        <v>Craglorn</v>
      </c>
    </row>
    <row r="219" spans="1:14" x14ac:dyDescent="0.25">
      <c r="A219" s="94">
        <v>225</v>
      </c>
      <c r="B219">
        <v>25</v>
      </c>
      <c r="C219">
        <v>1126</v>
      </c>
      <c r="D219" t="s">
        <v>2367</v>
      </c>
      <c r="E219">
        <v>501</v>
      </c>
      <c r="F219">
        <v>888</v>
      </c>
      <c r="G219" t="s">
        <v>2367</v>
      </c>
      <c r="H219">
        <v>1</v>
      </c>
      <c r="I219" t="s">
        <v>3806</v>
      </c>
      <c r="J219" s="30" t="str">
        <f t="shared" si="9"/>
        <v>[225]=888,</v>
      </c>
      <c r="K219" s="3">
        <f t="shared" si="10"/>
        <v>225</v>
      </c>
      <c r="L219" s="3">
        <f t="shared" si="11"/>
        <v>888</v>
      </c>
      <c r="M219" s="8" t="str">
        <f>VLOOKUP(A219,'ESO wayshrine names'!$A$3:$B$9991,2,)</f>
        <v>Spellscar Wayshrine</v>
      </c>
      <c r="N219" s="3" t="str">
        <f>VLOOKUP(F219,'ESO zone constants'!$A$5:$D$10001,4,FALSE)</f>
        <v>Craglorn</v>
      </c>
    </row>
    <row r="220" spans="1:14" x14ac:dyDescent="0.25">
      <c r="A220" s="94">
        <v>226</v>
      </c>
      <c r="B220">
        <v>25</v>
      </c>
      <c r="C220">
        <v>1126</v>
      </c>
      <c r="D220" t="s">
        <v>2367</v>
      </c>
      <c r="E220">
        <v>501</v>
      </c>
      <c r="F220">
        <v>888</v>
      </c>
      <c r="G220" t="s">
        <v>2367</v>
      </c>
      <c r="H220">
        <v>1</v>
      </c>
      <c r="I220" t="s">
        <v>3807</v>
      </c>
      <c r="J220" s="30" t="str">
        <f t="shared" si="9"/>
        <v>[226]=888,</v>
      </c>
      <c r="K220" s="3">
        <f t="shared" si="10"/>
        <v>226</v>
      </c>
      <c r="L220" s="3">
        <f t="shared" si="11"/>
        <v>888</v>
      </c>
      <c r="M220" s="8" t="str">
        <f>VLOOKUP(A220,'ESO wayshrine names'!$A$3:$B$9991,2,)</f>
        <v>Mountain Overlook Wayshrine</v>
      </c>
      <c r="N220" s="3" t="str">
        <f>VLOOKUP(F220,'ESO zone constants'!$A$5:$D$10001,4,FALSE)</f>
        <v>Craglorn</v>
      </c>
    </row>
    <row r="221" spans="1:14" x14ac:dyDescent="0.25">
      <c r="A221" s="94">
        <v>227</v>
      </c>
      <c r="B221">
        <v>25</v>
      </c>
      <c r="C221">
        <v>1126</v>
      </c>
      <c r="D221" t="s">
        <v>2367</v>
      </c>
      <c r="E221">
        <v>501</v>
      </c>
      <c r="F221">
        <v>888</v>
      </c>
      <c r="G221" t="s">
        <v>2367</v>
      </c>
      <c r="H221">
        <v>1</v>
      </c>
      <c r="I221" t="s">
        <v>3808</v>
      </c>
      <c r="J221" s="30" t="str">
        <f t="shared" si="9"/>
        <v>[227]=888,</v>
      </c>
      <c r="K221" s="3">
        <f t="shared" si="10"/>
        <v>227</v>
      </c>
      <c r="L221" s="3">
        <f t="shared" si="11"/>
        <v>888</v>
      </c>
      <c r="M221" s="8" t="str">
        <f>VLOOKUP(A221,'ESO wayshrine names'!$A$3:$B$9991,2,)</f>
        <v>Inazzur's Hold Wayshrine</v>
      </c>
      <c r="N221" s="3" t="str">
        <f>VLOOKUP(F221,'ESO zone constants'!$A$5:$D$10001,4,FALSE)</f>
        <v>Craglorn</v>
      </c>
    </row>
    <row r="222" spans="1:14" x14ac:dyDescent="0.25">
      <c r="A222" s="94">
        <v>229</v>
      </c>
      <c r="B222">
        <v>25</v>
      </c>
      <c r="C222">
        <v>1126</v>
      </c>
      <c r="D222" t="s">
        <v>2367</v>
      </c>
      <c r="E222">
        <v>501</v>
      </c>
      <c r="F222">
        <v>888</v>
      </c>
      <c r="G222" t="s">
        <v>2367</v>
      </c>
      <c r="H222">
        <v>1</v>
      </c>
      <c r="I222" t="s">
        <v>3809</v>
      </c>
      <c r="J222" s="30" t="str">
        <f t="shared" si="9"/>
        <v>[229]=888,</v>
      </c>
      <c r="K222" s="3">
        <f t="shared" si="10"/>
        <v>229</v>
      </c>
      <c r="L222" s="3">
        <f t="shared" si="11"/>
        <v>888</v>
      </c>
      <c r="M222" s="8" t="str">
        <f>VLOOKUP(A222,'ESO wayshrine names'!$A$3:$B$9991,2,)</f>
        <v>Elinhir Wayshrine</v>
      </c>
      <c r="N222" s="3" t="str">
        <f>VLOOKUP(F222,'ESO zone constants'!$A$5:$D$10001,4,FALSE)</f>
        <v>Craglorn</v>
      </c>
    </row>
    <row r="223" spans="1:14" x14ac:dyDescent="0.25">
      <c r="A223" s="94">
        <v>230</v>
      </c>
      <c r="B223">
        <v>25</v>
      </c>
      <c r="C223">
        <v>1126</v>
      </c>
      <c r="D223" t="s">
        <v>2367</v>
      </c>
      <c r="E223">
        <v>501</v>
      </c>
      <c r="F223">
        <v>888</v>
      </c>
      <c r="G223" t="s">
        <v>2367</v>
      </c>
      <c r="H223">
        <v>3</v>
      </c>
      <c r="I223" t="s">
        <v>3810</v>
      </c>
      <c r="J223" s="30" t="str">
        <f t="shared" si="9"/>
        <v>[230]=888,</v>
      </c>
      <c r="K223" s="3">
        <f t="shared" si="10"/>
        <v>230</v>
      </c>
      <c r="L223" s="3">
        <f t="shared" si="11"/>
        <v>888</v>
      </c>
      <c r="M223" s="8" t="str">
        <f>VLOOKUP(A223,'ESO wayshrine names'!$A$3:$B$9991,2,)</f>
        <v>Trial: Hel Ra Citadel</v>
      </c>
      <c r="N223" s="3" t="str">
        <f>VLOOKUP(F223,'ESO zone constants'!$A$5:$D$10001,4,FALSE)</f>
        <v>Craglorn</v>
      </c>
    </row>
    <row r="224" spans="1:14" x14ac:dyDescent="0.25">
      <c r="A224" s="94">
        <v>231</v>
      </c>
      <c r="B224">
        <v>25</v>
      </c>
      <c r="C224">
        <v>1126</v>
      </c>
      <c r="D224" t="s">
        <v>2367</v>
      </c>
      <c r="E224">
        <v>501</v>
      </c>
      <c r="F224">
        <v>888</v>
      </c>
      <c r="G224" t="s">
        <v>2367</v>
      </c>
      <c r="H224">
        <v>3</v>
      </c>
      <c r="I224" t="s">
        <v>3811</v>
      </c>
      <c r="J224" s="30" t="str">
        <f t="shared" si="9"/>
        <v>[231]=888,</v>
      </c>
      <c r="K224" s="3">
        <f t="shared" si="10"/>
        <v>231</v>
      </c>
      <c r="L224" s="3">
        <f t="shared" si="11"/>
        <v>888</v>
      </c>
      <c r="M224" s="8" t="str">
        <f>VLOOKUP(A224,'ESO wayshrine names'!$A$3:$B$9991,2,)</f>
        <v>Trial: Aetherian Archive</v>
      </c>
      <c r="N224" s="3" t="str">
        <f>VLOOKUP(F224,'ESO zone constants'!$A$5:$D$10001,4,FALSE)</f>
        <v>Craglorn</v>
      </c>
    </row>
    <row r="225" spans="1:14" x14ac:dyDescent="0.25">
      <c r="A225" s="94">
        <v>232</v>
      </c>
      <c r="B225">
        <v>25</v>
      </c>
      <c r="C225">
        <v>1126</v>
      </c>
      <c r="D225" t="s">
        <v>2367</v>
      </c>
      <c r="E225">
        <v>501</v>
      </c>
      <c r="F225">
        <v>888</v>
      </c>
      <c r="G225" t="s">
        <v>2367</v>
      </c>
      <c r="H225">
        <v>3</v>
      </c>
      <c r="I225" t="s">
        <v>3812</v>
      </c>
      <c r="J225" s="30" t="str">
        <f t="shared" si="9"/>
        <v>[232]=888,</v>
      </c>
      <c r="K225" s="3">
        <f t="shared" si="10"/>
        <v>232</v>
      </c>
      <c r="L225" s="3">
        <f t="shared" si="11"/>
        <v>888</v>
      </c>
      <c r="M225" s="8" t="str">
        <f>VLOOKUP(A225,'ESO wayshrine names'!$A$3:$B$9991,2,)</f>
        <v>Trial: Sanctum Ophidia</v>
      </c>
      <c r="N225" s="3" t="str">
        <f>VLOOKUP(F225,'ESO zone constants'!$A$5:$D$10001,4,FALSE)</f>
        <v>Craglorn</v>
      </c>
    </row>
    <row r="226" spans="1:14" x14ac:dyDescent="0.25">
      <c r="A226" s="94">
        <v>233</v>
      </c>
      <c r="B226">
        <v>25</v>
      </c>
      <c r="C226">
        <v>1126</v>
      </c>
      <c r="D226" t="s">
        <v>2367</v>
      </c>
      <c r="E226">
        <v>501</v>
      </c>
      <c r="F226">
        <v>888</v>
      </c>
      <c r="G226" t="s">
        <v>2367</v>
      </c>
      <c r="H226">
        <v>1</v>
      </c>
      <c r="I226" t="s">
        <v>3813</v>
      </c>
      <c r="J226" s="30" t="str">
        <f t="shared" si="9"/>
        <v>[233]=888,</v>
      </c>
      <c r="K226" s="3">
        <f t="shared" si="10"/>
        <v>233</v>
      </c>
      <c r="L226" s="3">
        <f t="shared" si="11"/>
        <v>888</v>
      </c>
      <c r="M226" s="8" t="str">
        <f>VLOOKUP(A226,'ESO wayshrine names'!$A$3:$B$9991,2,)</f>
        <v>Dragonstar Wayshrine</v>
      </c>
      <c r="N226" s="3" t="str">
        <f>VLOOKUP(F226,'ESO zone constants'!$A$5:$D$10001,4,FALSE)</f>
        <v>Craglorn</v>
      </c>
    </row>
    <row r="227" spans="1:14" x14ac:dyDescent="0.25">
      <c r="A227" s="94">
        <v>234</v>
      </c>
      <c r="B227">
        <v>25</v>
      </c>
      <c r="C227">
        <v>1126</v>
      </c>
      <c r="D227" t="s">
        <v>2367</v>
      </c>
      <c r="E227">
        <v>501</v>
      </c>
      <c r="F227">
        <v>888</v>
      </c>
      <c r="G227" t="s">
        <v>2367</v>
      </c>
      <c r="H227">
        <v>1</v>
      </c>
      <c r="I227" t="s">
        <v>3814</v>
      </c>
      <c r="J227" s="30" t="str">
        <f t="shared" si="9"/>
        <v>[234]=888,</v>
      </c>
      <c r="K227" s="3">
        <f t="shared" si="10"/>
        <v>234</v>
      </c>
      <c r="L227" s="3">
        <f t="shared" si="11"/>
        <v>888</v>
      </c>
      <c r="M227" s="8" t="str">
        <f>VLOOKUP(A227,'ESO wayshrine names'!$A$3:$B$9991,2,)</f>
        <v>Skyreach Wayshrine</v>
      </c>
      <c r="N227" s="3" t="str">
        <f>VLOOKUP(F227,'ESO zone constants'!$A$5:$D$10001,4,FALSE)</f>
        <v>Craglorn</v>
      </c>
    </row>
    <row r="228" spans="1:14" x14ac:dyDescent="0.25">
      <c r="A228" s="94">
        <v>235</v>
      </c>
      <c r="B228">
        <v>25</v>
      </c>
      <c r="C228">
        <v>1126</v>
      </c>
      <c r="D228" t="s">
        <v>2367</v>
      </c>
      <c r="E228">
        <v>501</v>
      </c>
      <c r="F228">
        <v>888</v>
      </c>
      <c r="G228" t="s">
        <v>2367</v>
      </c>
      <c r="H228">
        <v>1</v>
      </c>
      <c r="I228" t="s">
        <v>3815</v>
      </c>
      <c r="J228" s="30" t="str">
        <f t="shared" si="9"/>
        <v>[235]=888,</v>
      </c>
      <c r="K228" s="3">
        <f t="shared" si="10"/>
        <v>235</v>
      </c>
      <c r="L228" s="3">
        <f t="shared" si="11"/>
        <v>888</v>
      </c>
      <c r="M228" s="8" t="str">
        <f>VLOOKUP(A228,'ESO wayshrine names'!$A$3:$B$9991,2,)</f>
        <v>Valley of Scars Wayshrine</v>
      </c>
      <c r="N228" s="3" t="str">
        <f>VLOOKUP(F228,'ESO zone constants'!$A$5:$D$10001,4,FALSE)</f>
        <v>Craglorn</v>
      </c>
    </row>
    <row r="229" spans="1:14" x14ac:dyDescent="0.25">
      <c r="A229" s="94">
        <v>236</v>
      </c>
      <c r="B229">
        <v>14</v>
      </c>
      <c r="C229">
        <v>16</v>
      </c>
      <c r="D229" t="s">
        <v>125</v>
      </c>
      <c r="E229">
        <v>38</v>
      </c>
      <c r="F229">
        <v>181</v>
      </c>
      <c r="G229" t="s">
        <v>125</v>
      </c>
      <c r="H229">
        <v>6</v>
      </c>
      <c r="I229" t="s">
        <v>2960</v>
      </c>
      <c r="J229" s="30" t="str">
        <f t="shared" si="9"/>
        <v>[236]=181,</v>
      </c>
      <c r="K229" s="3">
        <f t="shared" si="10"/>
        <v>236</v>
      </c>
      <c r="L229" s="3">
        <f t="shared" si="11"/>
        <v>181</v>
      </c>
      <c r="M229" s="8" t="str">
        <f>VLOOKUP(A229,'ESO wayshrine names'!$A$3:$B$9991,2,)</f>
        <v>Dungeon: Imperial City Prison</v>
      </c>
      <c r="N229" s="3" t="str">
        <f>VLOOKUP(F229,'ESO zone constants'!$A$5:$D$10001,4,FALSE)</f>
        <v>Cyrodiil</v>
      </c>
    </row>
    <row r="230" spans="1:14" x14ac:dyDescent="0.25">
      <c r="A230">
        <v>237</v>
      </c>
      <c r="B230">
        <v>27</v>
      </c>
      <c r="C230">
        <v>667</v>
      </c>
      <c r="D230" t="s">
        <v>450</v>
      </c>
      <c r="E230">
        <v>380</v>
      </c>
      <c r="F230">
        <v>684</v>
      </c>
      <c r="G230" t="s">
        <v>450</v>
      </c>
      <c r="H230">
        <v>1</v>
      </c>
      <c r="I230" t="s">
        <v>2029</v>
      </c>
      <c r="J230" s="30" t="str">
        <f t="shared" si="9"/>
        <v>[237]=684,</v>
      </c>
      <c r="K230" s="3">
        <f t="shared" si="10"/>
        <v>237</v>
      </c>
      <c r="L230" s="3">
        <f t="shared" si="11"/>
        <v>684</v>
      </c>
      <c r="M230" s="8" t="str">
        <f>VLOOKUP(A230,'ESO wayshrine names'!$A$3:$B$9991,2,)</f>
        <v>Shatul Wayshrine</v>
      </c>
      <c r="N230" s="3" t="str">
        <f>VLOOKUP(F230,'ESO zone constants'!$A$5:$D$10001,4,FALSE)</f>
        <v>Wrothgar</v>
      </c>
    </row>
    <row r="231" spans="1:14" x14ac:dyDescent="0.25">
      <c r="A231">
        <v>238</v>
      </c>
      <c r="B231">
        <v>27</v>
      </c>
      <c r="C231">
        <v>667</v>
      </c>
      <c r="D231" t="s">
        <v>450</v>
      </c>
      <c r="E231">
        <v>380</v>
      </c>
      <c r="F231">
        <v>684</v>
      </c>
      <c r="G231" t="s">
        <v>450</v>
      </c>
      <c r="H231">
        <v>1</v>
      </c>
      <c r="I231" t="s">
        <v>2030</v>
      </c>
      <c r="J231" s="30" t="str">
        <f t="shared" si="9"/>
        <v>[238]=684,</v>
      </c>
      <c r="K231" s="3">
        <f t="shared" si="10"/>
        <v>238</v>
      </c>
      <c r="L231" s="3">
        <f t="shared" si="11"/>
        <v>684</v>
      </c>
      <c r="M231" s="8" t="str">
        <f>VLOOKUP(A231,'ESO wayshrine names'!$A$3:$B$9991,2,)</f>
        <v>Icy Shore Wayshrine</v>
      </c>
      <c r="N231" s="3" t="str">
        <f>VLOOKUP(F231,'ESO zone constants'!$A$5:$D$10001,4,FALSE)</f>
        <v>Wrothgar</v>
      </c>
    </row>
    <row r="232" spans="1:14" x14ac:dyDescent="0.25">
      <c r="A232">
        <v>239</v>
      </c>
      <c r="B232">
        <v>27</v>
      </c>
      <c r="C232">
        <v>667</v>
      </c>
      <c r="D232" t="s">
        <v>450</v>
      </c>
      <c r="E232">
        <v>380</v>
      </c>
      <c r="F232">
        <v>684</v>
      </c>
      <c r="G232" t="s">
        <v>450</v>
      </c>
      <c r="H232">
        <v>1</v>
      </c>
      <c r="I232" t="s">
        <v>2031</v>
      </c>
      <c r="J232" s="30" t="str">
        <f t="shared" si="9"/>
        <v>[239]=684,</v>
      </c>
      <c r="K232" s="3">
        <f t="shared" si="10"/>
        <v>239</v>
      </c>
      <c r="L232" s="3">
        <f t="shared" si="11"/>
        <v>684</v>
      </c>
      <c r="M232" s="8" t="str">
        <f>VLOOKUP(A232,'ESO wayshrine names'!$A$3:$B$9991,2,)</f>
        <v>Two Rivers Wayshrine</v>
      </c>
      <c r="N232" s="3" t="str">
        <f>VLOOKUP(F232,'ESO zone constants'!$A$5:$D$10001,4,FALSE)</f>
        <v>Wrothgar</v>
      </c>
    </row>
    <row r="233" spans="1:14" x14ac:dyDescent="0.25">
      <c r="A233">
        <v>240</v>
      </c>
      <c r="B233">
        <v>27</v>
      </c>
      <c r="C233">
        <v>667</v>
      </c>
      <c r="D233" t="s">
        <v>450</v>
      </c>
      <c r="E233">
        <v>380</v>
      </c>
      <c r="F233">
        <v>684</v>
      </c>
      <c r="G233" t="s">
        <v>450</v>
      </c>
      <c r="H233">
        <v>1</v>
      </c>
      <c r="I233" t="s">
        <v>2032</v>
      </c>
      <c r="J233" s="30" t="str">
        <f t="shared" si="9"/>
        <v>[240]=684,</v>
      </c>
      <c r="K233" s="3">
        <f t="shared" si="10"/>
        <v>240</v>
      </c>
      <c r="L233" s="3">
        <f t="shared" si="11"/>
        <v>684</v>
      </c>
      <c r="M233" s="8" t="str">
        <f>VLOOKUP(A233,'ESO wayshrine names'!$A$3:$B$9991,2,)</f>
        <v>Morkul Plain Wayshrine</v>
      </c>
      <c r="N233" s="3" t="str">
        <f>VLOOKUP(F233,'ESO zone constants'!$A$5:$D$10001,4,FALSE)</f>
        <v>Wrothgar</v>
      </c>
    </row>
    <row r="234" spans="1:14" x14ac:dyDescent="0.25">
      <c r="A234">
        <v>241</v>
      </c>
      <c r="B234">
        <v>27</v>
      </c>
      <c r="C234">
        <v>667</v>
      </c>
      <c r="D234" t="s">
        <v>450</v>
      </c>
      <c r="E234">
        <v>380</v>
      </c>
      <c r="F234">
        <v>684</v>
      </c>
      <c r="G234" t="s">
        <v>450</v>
      </c>
      <c r="H234">
        <v>1</v>
      </c>
      <c r="I234" t="s">
        <v>2033</v>
      </c>
      <c r="J234" s="30" t="str">
        <f t="shared" si="9"/>
        <v>[241]=684,</v>
      </c>
      <c r="K234" s="3">
        <f t="shared" si="10"/>
        <v>241</v>
      </c>
      <c r="L234" s="3">
        <f t="shared" si="11"/>
        <v>684</v>
      </c>
      <c r="M234" s="8" t="str">
        <f>VLOOKUP(A234,'ESO wayshrine names'!$A$3:$B$9991,2,)</f>
        <v>Great Bay Wayshrine</v>
      </c>
      <c r="N234" s="3" t="str">
        <f>VLOOKUP(F234,'ESO zone constants'!$A$5:$D$10001,4,FALSE)</f>
        <v>Wrothgar</v>
      </c>
    </row>
    <row r="235" spans="1:14" x14ac:dyDescent="0.25">
      <c r="A235">
        <v>242</v>
      </c>
      <c r="B235">
        <v>27</v>
      </c>
      <c r="C235">
        <v>667</v>
      </c>
      <c r="D235" t="s">
        <v>450</v>
      </c>
      <c r="E235">
        <v>380</v>
      </c>
      <c r="F235">
        <v>684</v>
      </c>
      <c r="G235" t="s">
        <v>450</v>
      </c>
      <c r="H235">
        <v>1</v>
      </c>
      <c r="I235" t="s">
        <v>2034</v>
      </c>
      <c r="J235" s="30" t="str">
        <f t="shared" si="9"/>
        <v>[242]=684,</v>
      </c>
      <c r="K235" s="3">
        <f t="shared" si="10"/>
        <v>242</v>
      </c>
      <c r="L235" s="3">
        <f t="shared" si="11"/>
        <v>684</v>
      </c>
      <c r="M235" s="8" t="str">
        <f>VLOOKUP(A235,'ESO wayshrine names'!$A$3:$B$9991,2,)</f>
        <v>Frostbreak Ridge Wayshrine</v>
      </c>
      <c r="N235" s="3" t="str">
        <f>VLOOKUP(F235,'ESO zone constants'!$A$5:$D$10001,4,FALSE)</f>
        <v>Wrothgar</v>
      </c>
    </row>
    <row r="236" spans="1:14" x14ac:dyDescent="0.25">
      <c r="A236">
        <v>243</v>
      </c>
      <c r="B236">
        <v>27</v>
      </c>
      <c r="C236">
        <v>667</v>
      </c>
      <c r="D236" t="s">
        <v>450</v>
      </c>
      <c r="E236">
        <v>380</v>
      </c>
      <c r="F236">
        <v>684</v>
      </c>
      <c r="G236" t="s">
        <v>450</v>
      </c>
      <c r="H236">
        <v>1</v>
      </c>
      <c r="I236" t="s">
        <v>2035</v>
      </c>
      <c r="J236" s="30" t="str">
        <f t="shared" si="9"/>
        <v>[243]=684,</v>
      </c>
      <c r="K236" s="3">
        <f t="shared" si="10"/>
        <v>243</v>
      </c>
      <c r="L236" s="3">
        <f t="shared" si="11"/>
        <v>684</v>
      </c>
      <c r="M236" s="8" t="str">
        <f>VLOOKUP(A236,'ESO wayshrine names'!$A$3:$B$9991,2,)</f>
        <v>Siege Road Wayshrine</v>
      </c>
      <c r="N236" s="3" t="str">
        <f>VLOOKUP(F236,'ESO zone constants'!$A$5:$D$10001,4,FALSE)</f>
        <v>Wrothgar</v>
      </c>
    </row>
    <row r="237" spans="1:14" x14ac:dyDescent="0.25">
      <c r="A237">
        <v>244</v>
      </c>
      <c r="B237">
        <v>27</v>
      </c>
      <c r="C237">
        <v>667</v>
      </c>
      <c r="D237" t="s">
        <v>450</v>
      </c>
      <c r="E237">
        <v>380</v>
      </c>
      <c r="F237">
        <v>684</v>
      </c>
      <c r="G237" t="s">
        <v>450</v>
      </c>
      <c r="H237">
        <v>1</v>
      </c>
      <c r="I237" t="s">
        <v>2036</v>
      </c>
      <c r="J237" s="30" t="str">
        <f t="shared" si="9"/>
        <v>[244]=684,</v>
      </c>
      <c r="K237" s="3">
        <f t="shared" si="10"/>
        <v>244</v>
      </c>
      <c r="L237" s="3">
        <f t="shared" si="11"/>
        <v>684</v>
      </c>
      <c r="M237" s="8" t="str">
        <f>VLOOKUP(A237,'ESO wayshrine names'!$A$3:$B$9991,2,)</f>
        <v>Orsinium Wayshrine</v>
      </c>
      <c r="N237" s="3" t="str">
        <f>VLOOKUP(F237,'ESO zone constants'!$A$5:$D$10001,4,FALSE)</f>
        <v>Wrothgar</v>
      </c>
    </row>
    <row r="238" spans="1:14" x14ac:dyDescent="0.25">
      <c r="A238">
        <v>245</v>
      </c>
      <c r="B238">
        <v>27</v>
      </c>
      <c r="C238">
        <v>667</v>
      </c>
      <c r="D238" t="s">
        <v>450</v>
      </c>
      <c r="E238">
        <v>380</v>
      </c>
      <c r="F238">
        <v>684</v>
      </c>
      <c r="G238" t="s">
        <v>450</v>
      </c>
      <c r="H238">
        <v>1</v>
      </c>
      <c r="I238" t="s">
        <v>2037</v>
      </c>
      <c r="J238" s="30" t="str">
        <f t="shared" si="9"/>
        <v>[245]=684,</v>
      </c>
      <c r="K238" s="3">
        <f t="shared" si="10"/>
        <v>245</v>
      </c>
      <c r="L238" s="3">
        <f t="shared" si="11"/>
        <v>684</v>
      </c>
      <c r="M238" s="8" t="str">
        <f>VLOOKUP(A238,'ESO wayshrine names'!$A$3:$B$9991,2,)</f>
        <v>Trader's Road Wayshrine</v>
      </c>
      <c r="N238" s="3" t="str">
        <f>VLOOKUP(F238,'ESO zone constants'!$A$5:$D$10001,4,FALSE)</f>
        <v>Wrothgar</v>
      </c>
    </row>
    <row r="239" spans="1:14" x14ac:dyDescent="0.25">
      <c r="A239">
        <v>246</v>
      </c>
      <c r="B239">
        <v>27</v>
      </c>
      <c r="C239">
        <v>667</v>
      </c>
      <c r="D239" t="s">
        <v>450</v>
      </c>
      <c r="E239">
        <v>380</v>
      </c>
      <c r="F239">
        <v>684</v>
      </c>
      <c r="G239" t="s">
        <v>450</v>
      </c>
      <c r="H239">
        <v>1</v>
      </c>
      <c r="I239" t="s">
        <v>2038</v>
      </c>
      <c r="J239" s="30" t="str">
        <f t="shared" si="9"/>
        <v>[246]=684,</v>
      </c>
      <c r="K239" s="3">
        <f t="shared" si="10"/>
        <v>246</v>
      </c>
      <c r="L239" s="3">
        <f t="shared" si="11"/>
        <v>684</v>
      </c>
      <c r="M239" s="8" t="str">
        <f>VLOOKUP(A239,'ESO wayshrine names'!$A$3:$B$9991,2,)</f>
        <v>Merchant's Gate Wayshrine</v>
      </c>
      <c r="N239" s="3" t="str">
        <f>VLOOKUP(F239,'ESO zone constants'!$A$5:$D$10001,4,FALSE)</f>
        <v>Wrothgar</v>
      </c>
    </row>
    <row r="240" spans="1:14" x14ac:dyDescent="0.25">
      <c r="A240" s="94">
        <v>247</v>
      </c>
      <c r="B240">
        <v>14</v>
      </c>
      <c r="C240">
        <v>16</v>
      </c>
      <c r="D240" t="s">
        <v>125</v>
      </c>
      <c r="E240">
        <v>38</v>
      </c>
      <c r="F240">
        <v>181</v>
      </c>
      <c r="G240" t="s">
        <v>125</v>
      </c>
      <c r="H240">
        <v>6</v>
      </c>
      <c r="I240" t="s">
        <v>2961</v>
      </c>
      <c r="J240" s="30" t="str">
        <f t="shared" si="9"/>
        <v>[247]=181,</v>
      </c>
      <c r="K240" s="3">
        <f t="shared" si="10"/>
        <v>247</v>
      </c>
      <c r="L240" s="3">
        <f t="shared" si="11"/>
        <v>181</v>
      </c>
      <c r="M240" s="8" t="str">
        <f>VLOOKUP(A240,'ESO wayshrine names'!$A$3:$B$9991,2,)</f>
        <v>Dungeon: White-Gold Tower</v>
      </c>
      <c r="N240" s="3" t="str">
        <f>VLOOKUP(F240,'ESO zone constants'!$A$5:$D$10001,4,FALSE)</f>
        <v>Cyrodiil</v>
      </c>
    </row>
    <row r="241" spans="1:14" x14ac:dyDescent="0.25">
      <c r="A241">
        <v>249</v>
      </c>
      <c r="B241">
        <v>27</v>
      </c>
      <c r="C241">
        <v>667</v>
      </c>
      <c r="D241" t="s">
        <v>450</v>
      </c>
      <c r="E241">
        <v>380</v>
      </c>
      <c r="F241">
        <v>684</v>
      </c>
      <c r="G241" t="s">
        <v>450</v>
      </c>
      <c r="H241">
        <v>0</v>
      </c>
      <c r="I241" t="s">
        <v>449</v>
      </c>
      <c r="J241" s="30" t="str">
        <f t="shared" si="9"/>
        <v>[249]=684,</v>
      </c>
      <c r="K241" s="3">
        <f t="shared" si="10"/>
        <v>249</v>
      </c>
      <c r="L241" s="3">
        <f t="shared" si="11"/>
        <v>684</v>
      </c>
      <c r="M241" s="8" t="str">
        <f>VLOOKUP(A241,'ESO wayshrine names'!$A$3:$B$9991,2,)</f>
        <v>Maelstrom Arena</v>
      </c>
      <c r="N241" s="3" t="str">
        <f>VLOOKUP(F241,'ESO zone constants'!$A$5:$D$10001,4,FALSE)</f>
        <v>Wrothgar</v>
      </c>
    </row>
    <row r="242" spans="1:14" x14ac:dyDescent="0.25">
      <c r="A242">
        <v>250</v>
      </c>
      <c r="B242">
        <v>27</v>
      </c>
      <c r="C242">
        <v>667</v>
      </c>
      <c r="D242" t="s">
        <v>450</v>
      </c>
      <c r="E242">
        <v>380</v>
      </c>
      <c r="F242">
        <v>684</v>
      </c>
      <c r="G242" t="s">
        <v>450</v>
      </c>
      <c r="H242">
        <v>0</v>
      </c>
      <c r="I242" t="s">
        <v>449</v>
      </c>
      <c r="J242" s="30" t="str">
        <f t="shared" si="9"/>
        <v>[250]=684,</v>
      </c>
      <c r="K242" s="3">
        <f t="shared" si="10"/>
        <v>250</v>
      </c>
      <c r="L242" s="3">
        <f t="shared" si="11"/>
        <v>684</v>
      </c>
      <c r="M242" s="8" t="str">
        <f>VLOOKUP(A242,'ESO wayshrine names'!$A$3:$B$9991,2,)</f>
        <v>Maelstrom Arena</v>
      </c>
      <c r="N242" s="3" t="str">
        <f>VLOOKUP(F242,'ESO zone constants'!$A$5:$D$10001,4,FALSE)</f>
        <v>Wrothgar</v>
      </c>
    </row>
    <row r="243" spans="1:14" x14ac:dyDescent="0.25">
      <c r="A243" s="94">
        <v>251</v>
      </c>
      <c r="B243">
        <v>29</v>
      </c>
      <c r="C243">
        <v>1006</v>
      </c>
      <c r="D243" t="s">
        <v>2311</v>
      </c>
      <c r="E243">
        <v>449</v>
      </c>
      <c r="F243">
        <v>823</v>
      </c>
      <c r="G243" t="s">
        <v>2962</v>
      </c>
      <c r="H243">
        <v>1</v>
      </c>
      <c r="I243" t="s">
        <v>2963</v>
      </c>
      <c r="J243" s="30" t="str">
        <f t="shared" si="9"/>
        <v>[251]=823,</v>
      </c>
      <c r="K243" s="3">
        <f t="shared" si="10"/>
        <v>251</v>
      </c>
      <c r="L243" s="3">
        <f t="shared" si="11"/>
        <v>823</v>
      </c>
      <c r="M243" s="8" t="str">
        <f>VLOOKUP(A243,'ESO wayshrine names'!$A$3:$B$9991,2,)</f>
        <v>Anvil Wayshrine</v>
      </c>
      <c r="N243" s="3" t="str">
        <f>VLOOKUP(F243,'ESO zone constants'!$A$5:$D$10001,4,FALSE)</f>
        <v>Gold Coast</v>
      </c>
    </row>
    <row r="244" spans="1:14" x14ac:dyDescent="0.25">
      <c r="A244" s="94">
        <v>252</v>
      </c>
      <c r="B244">
        <v>29</v>
      </c>
      <c r="C244">
        <v>1006</v>
      </c>
      <c r="D244" t="s">
        <v>2311</v>
      </c>
      <c r="E244">
        <v>449</v>
      </c>
      <c r="F244">
        <v>823</v>
      </c>
      <c r="G244" t="s">
        <v>2962</v>
      </c>
      <c r="H244">
        <v>1</v>
      </c>
      <c r="I244" t="s">
        <v>2964</v>
      </c>
      <c r="J244" s="30" t="str">
        <f t="shared" si="9"/>
        <v>[252]=823,</v>
      </c>
      <c r="K244" s="3">
        <f t="shared" si="10"/>
        <v>252</v>
      </c>
      <c r="L244" s="3">
        <f t="shared" si="11"/>
        <v>823</v>
      </c>
      <c r="M244" s="8" t="str">
        <f>VLOOKUP(A244,'ESO wayshrine names'!$A$3:$B$9991,2,)</f>
        <v>Kvatch Wayshrine</v>
      </c>
      <c r="N244" s="3" t="str">
        <f>VLOOKUP(F244,'ESO zone constants'!$A$5:$D$10001,4,FALSE)</f>
        <v>Gold Coast</v>
      </c>
    </row>
    <row r="245" spans="1:14" x14ac:dyDescent="0.25">
      <c r="A245" s="94">
        <v>253</v>
      </c>
      <c r="B245">
        <v>29</v>
      </c>
      <c r="C245">
        <v>1006</v>
      </c>
      <c r="D245" t="s">
        <v>2311</v>
      </c>
      <c r="E245">
        <v>449</v>
      </c>
      <c r="F245">
        <v>823</v>
      </c>
      <c r="G245" t="s">
        <v>2962</v>
      </c>
      <c r="H245">
        <v>1</v>
      </c>
      <c r="I245" t="s">
        <v>2965</v>
      </c>
      <c r="J245" s="30" t="str">
        <f t="shared" si="9"/>
        <v>[253]=823,</v>
      </c>
      <c r="K245" s="3">
        <f t="shared" si="10"/>
        <v>253</v>
      </c>
      <c r="L245" s="3">
        <f t="shared" si="11"/>
        <v>823</v>
      </c>
      <c r="M245" s="8" t="str">
        <f>VLOOKUP(A245,'ESO wayshrine names'!$A$3:$B$9991,2,)</f>
        <v>Strid River Wayshrine</v>
      </c>
      <c r="N245" s="3" t="str">
        <f>VLOOKUP(F245,'ESO zone constants'!$A$5:$D$10001,4,FALSE)</f>
        <v>Gold Coast</v>
      </c>
    </row>
    <row r="246" spans="1:14" x14ac:dyDescent="0.25">
      <c r="A246" s="94">
        <v>254</v>
      </c>
      <c r="B246">
        <v>29</v>
      </c>
      <c r="C246">
        <v>1006</v>
      </c>
      <c r="D246" t="s">
        <v>2311</v>
      </c>
      <c r="E246">
        <v>449</v>
      </c>
      <c r="F246">
        <v>823</v>
      </c>
      <c r="G246" t="s">
        <v>2962</v>
      </c>
      <c r="H246">
        <v>1</v>
      </c>
      <c r="I246" t="s">
        <v>2966</v>
      </c>
      <c r="J246" s="30" t="str">
        <f t="shared" si="9"/>
        <v>[254]=823,</v>
      </c>
      <c r="K246" s="3">
        <f t="shared" si="10"/>
        <v>254</v>
      </c>
      <c r="L246" s="3">
        <f t="shared" si="11"/>
        <v>823</v>
      </c>
      <c r="M246" s="8" t="str">
        <f>VLOOKUP(A246,'ESO wayshrine names'!$A$3:$B$9991,2,)</f>
        <v>Gold Coast Wayshrine</v>
      </c>
      <c r="N246" s="3" t="str">
        <f>VLOOKUP(F246,'ESO zone constants'!$A$5:$D$10001,4,FALSE)</f>
        <v>Gold Coast</v>
      </c>
    </row>
    <row r="247" spans="1:14" x14ac:dyDescent="0.25">
      <c r="A247" s="94">
        <v>255</v>
      </c>
      <c r="B247">
        <v>28</v>
      </c>
      <c r="C247">
        <v>994</v>
      </c>
      <c r="D247" t="s">
        <v>2312</v>
      </c>
      <c r="E247">
        <v>443</v>
      </c>
      <c r="F247">
        <v>816</v>
      </c>
      <c r="G247" t="s">
        <v>2312</v>
      </c>
      <c r="H247">
        <v>1</v>
      </c>
      <c r="I247" t="s">
        <v>2967</v>
      </c>
      <c r="J247" s="30" t="str">
        <f t="shared" si="9"/>
        <v>[255]=816,</v>
      </c>
      <c r="K247" s="3">
        <f t="shared" si="10"/>
        <v>255</v>
      </c>
      <c r="L247" s="3">
        <f t="shared" si="11"/>
        <v>816</v>
      </c>
      <c r="M247" s="8" t="str">
        <f>VLOOKUP(A247,'ESO wayshrine names'!$A$3:$B$9991,2,)</f>
        <v>Abah's Landing Wayshrine</v>
      </c>
      <c r="N247" s="3" t="str">
        <f>VLOOKUP(F247,'ESO zone constants'!$A$5:$D$10001,4,FALSE)</f>
        <v>Hew's Bane</v>
      </c>
    </row>
    <row r="248" spans="1:14" x14ac:dyDescent="0.25">
      <c r="A248" s="94">
        <v>256</v>
      </c>
      <c r="B248">
        <v>28</v>
      </c>
      <c r="C248">
        <v>994</v>
      </c>
      <c r="D248" t="s">
        <v>2312</v>
      </c>
      <c r="E248">
        <v>443</v>
      </c>
      <c r="F248">
        <v>816</v>
      </c>
      <c r="G248" t="s">
        <v>2312</v>
      </c>
      <c r="H248">
        <v>1</v>
      </c>
      <c r="I248" t="s">
        <v>2968</v>
      </c>
      <c r="J248" s="30" t="str">
        <f t="shared" si="9"/>
        <v>[256]=816,</v>
      </c>
      <c r="K248" s="3">
        <f t="shared" si="10"/>
        <v>256</v>
      </c>
      <c r="L248" s="3">
        <f t="shared" si="11"/>
        <v>816</v>
      </c>
      <c r="M248" s="8" t="str">
        <f>VLOOKUP(A248,'ESO wayshrine names'!$A$3:$B$9991,2,)</f>
        <v>Zeht's Displeasure Wayshrine</v>
      </c>
      <c r="N248" s="3" t="str">
        <f>VLOOKUP(F248,'ESO zone constants'!$A$5:$D$10001,4,FALSE)</f>
        <v>Hew's Bane</v>
      </c>
    </row>
    <row r="249" spans="1:14" x14ac:dyDescent="0.25">
      <c r="A249" s="94">
        <v>257</v>
      </c>
      <c r="B249">
        <v>28</v>
      </c>
      <c r="C249">
        <v>994</v>
      </c>
      <c r="D249" t="s">
        <v>2312</v>
      </c>
      <c r="E249">
        <v>443</v>
      </c>
      <c r="F249">
        <v>816</v>
      </c>
      <c r="G249" t="s">
        <v>2312</v>
      </c>
      <c r="H249">
        <v>1</v>
      </c>
      <c r="I249" t="s">
        <v>2969</v>
      </c>
      <c r="J249" s="30" t="str">
        <f t="shared" si="9"/>
        <v>[257]=816,</v>
      </c>
      <c r="K249" s="3">
        <f t="shared" si="10"/>
        <v>257</v>
      </c>
      <c r="L249" s="3">
        <f t="shared" si="11"/>
        <v>816</v>
      </c>
      <c r="M249" s="8" t="str">
        <f>VLOOKUP(A249,'ESO wayshrine names'!$A$3:$B$9991,2,)</f>
        <v>No Shira Citadel Wayshrine</v>
      </c>
      <c r="N249" s="3" t="str">
        <f>VLOOKUP(F249,'ESO zone constants'!$A$5:$D$10001,4,FALSE)</f>
        <v>Hew's Bane</v>
      </c>
    </row>
    <row r="250" spans="1:14" x14ac:dyDescent="0.25">
      <c r="A250" s="94">
        <v>258</v>
      </c>
      <c r="B250">
        <v>17</v>
      </c>
      <c r="C250">
        <v>256</v>
      </c>
      <c r="D250" t="s">
        <v>2292</v>
      </c>
      <c r="E250">
        <v>180</v>
      </c>
      <c r="F250">
        <v>382</v>
      </c>
      <c r="G250" t="s">
        <v>2292</v>
      </c>
      <c r="H250">
        <v>3</v>
      </c>
      <c r="I250" t="s">
        <v>2970</v>
      </c>
      <c r="J250" s="30" t="str">
        <f t="shared" si="9"/>
        <v>[258]=382,</v>
      </c>
      <c r="K250" s="3">
        <f t="shared" si="10"/>
        <v>258</v>
      </c>
      <c r="L250" s="3">
        <f t="shared" si="11"/>
        <v>382</v>
      </c>
      <c r="M250" s="8" t="str">
        <f>VLOOKUP(A250,'ESO wayshrine names'!$A$3:$B$9991,2,)</f>
        <v>Trial: Maw of Lorkhaj</v>
      </c>
      <c r="N250" s="3" t="str">
        <f>VLOOKUP(F250,'ESO zone constants'!$A$5:$D$10001,4,FALSE)</f>
        <v>Reaper's March</v>
      </c>
    </row>
    <row r="251" spans="1:14" x14ac:dyDescent="0.25">
      <c r="A251" s="94">
        <v>260</v>
      </c>
      <c r="B251">
        <v>9</v>
      </c>
      <c r="C251">
        <v>26</v>
      </c>
      <c r="D251" t="s">
        <v>2309</v>
      </c>
      <c r="E251">
        <v>19</v>
      </c>
      <c r="F251">
        <v>117</v>
      </c>
      <c r="G251" t="s">
        <v>2309</v>
      </c>
      <c r="H251">
        <v>6</v>
      </c>
      <c r="I251" t="s">
        <v>2971</v>
      </c>
      <c r="J251" s="30" t="str">
        <f t="shared" si="9"/>
        <v>[260]=117,</v>
      </c>
      <c r="K251" s="3">
        <f t="shared" si="10"/>
        <v>260</v>
      </c>
      <c r="L251" s="3">
        <f t="shared" si="11"/>
        <v>117</v>
      </c>
      <c r="M251" s="8" t="str">
        <f>VLOOKUP(A251,'ESO wayshrine names'!$A$3:$B$9991,2,)</f>
        <v>Dungeon: Ruins of Mazzatun</v>
      </c>
      <c r="N251" s="3" t="str">
        <f>VLOOKUP(F251,'ESO zone constants'!$A$5:$D$10001,4,FALSE)</f>
        <v>Shadowfen</v>
      </c>
    </row>
    <row r="252" spans="1:14" x14ac:dyDescent="0.25">
      <c r="A252" s="94">
        <v>261</v>
      </c>
      <c r="B252">
        <v>9</v>
      </c>
      <c r="C252">
        <v>26</v>
      </c>
      <c r="D252" t="s">
        <v>2309</v>
      </c>
      <c r="E252">
        <v>19</v>
      </c>
      <c r="F252">
        <v>117</v>
      </c>
      <c r="G252" t="s">
        <v>2309</v>
      </c>
      <c r="H252">
        <v>6</v>
      </c>
      <c r="I252" t="s">
        <v>2972</v>
      </c>
      <c r="J252" s="30" t="str">
        <f t="shared" si="9"/>
        <v>[261]=117,</v>
      </c>
      <c r="K252" s="3">
        <f t="shared" si="10"/>
        <v>261</v>
      </c>
      <c r="L252" s="3">
        <f t="shared" si="11"/>
        <v>117</v>
      </c>
      <c r="M252" s="8" t="str">
        <f>VLOOKUP(A252,'ESO wayshrine names'!$A$3:$B$9991,2,)</f>
        <v>Dungeon: Cradle of Shadows</v>
      </c>
      <c r="N252" s="3" t="str">
        <f>VLOOKUP(F252,'ESO zone constants'!$A$5:$D$10001,4,FALSE)</f>
        <v>Shadowfen</v>
      </c>
    </row>
    <row r="253" spans="1:14" x14ac:dyDescent="0.25">
      <c r="A253" s="94">
        <v>262</v>
      </c>
      <c r="B253">
        <v>15</v>
      </c>
      <c r="C253">
        <v>143</v>
      </c>
      <c r="D253" t="s">
        <v>262</v>
      </c>
      <c r="E253">
        <v>179</v>
      </c>
      <c r="F253">
        <v>381</v>
      </c>
      <c r="G253" t="s">
        <v>262</v>
      </c>
      <c r="H253">
        <v>6</v>
      </c>
      <c r="I253" t="s">
        <v>2973</v>
      </c>
      <c r="J253" s="30" t="str">
        <f t="shared" si="9"/>
        <v>[262]=381,</v>
      </c>
      <c r="K253" s="3">
        <f t="shared" si="10"/>
        <v>262</v>
      </c>
      <c r="L253" s="3">
        <f t="shared" si="11"/>
        <v>381</v>
      </c>
      <c r="M253" s="8" t="str">
        <f>VLOOKUP(A253,'ESO wayshrine names'!$A$3:$B$9991,2,)</f>
        <v>Dungeon: The Banished Cells II</v>
      </c>
      <c r="N253" s="3" t="str">
        <f>VLOOKUP(F253,'ESO zone constants'!$A$5:$D$10001,4,FALSE)</f>
        <v>Auridon</v>
      </c>
    </row>
    <row r="254" spans="1:14" x14ac:dyDescent="0.25">
      <c r="A254" s="94">
        <v>263</v>
      </c>
      <c r="B254">
        <v>4</v>
      </c>
      <c r="C254">
        <v>12</v>
      </c>
      <c r="D254" t="s">
        <v>2306</v>
      </c>
      <c r="E254">
        <v>4</v>
      </c>
      <c r="F254">
        <v>19</v>
      </c>
      <c r="G254" t="s">
        <v>2306</v>
      </c>
      <c r="H254">
        <v>6</v>
      </c>
      <c r="I254" t="s">
        <v>3816</v>
      </c>
      <c r="J254" s="30" t="str">
        <f t="shared" si="9"/>
        <v>[263]=19,</v>
      </c>
      <c r="K254" s="3">
        <f t="shared" si="10"/>
        <v>263</v>
      </c>
      <c r="L254" s="3">
        <f t="shared" si="11"/>
        <v>19</v>
      </c>
      <c r="M254" s="8" t="str">
        <f>VLOOKUP(A254,'ESO wayshrine names'!$A$3:$B$9991,2,)</f>
        <v>Dungeon: Wayrest Sewers II</v>
      </c>
      <c r="N254" s="3" t="str">
        <f>VLOOKUP(F254,'ESO zone constants'!$A$5:$D$10001,4,FALSE)</f>
        <v>Stormhaven</v>
      </c>
    </row>
    <row r="255" spans="1:14" x14ac:dyDescent="0.25">
      <c r="A255" s="94">
        <v>264</v>
      </c>
      <c r="B255">
        <v>10</v>
      </c>
      <c r="C255">
        <v>13</v>
      </c>
      <c r="D255" t="s">
        <v>107</v>
      </c>
      <c r="E255">
        <v>10</v>
      </c>
      <c r="F255">
        <v>57</v>
      </c>
      <c r="G255" t="s">
        <v>107</v>
      </c>
      <c r="H255">
        <v>6</v>
      </c>
      <c r="I255" t="s">
        <v>2974</v>
      </c>
      <c r="J255" s="30" t="str">
        <f t="shared" si="9"/>
        <v>[264]=57,</v>
      </c>
      <c r="K255" s="3">
        <f t="shared" si="10"/>
        <v>264</v>
      </c>
      <c r="L255" s="3">
        <f t="shared" si="11"/>
        <v>57</v>
      </c>
      <c r="M255" s="8" t="str">
        <f>VLOOKUP(A255,'ESO wayshrine names'!$A$3:$B$9991,2,)</f>
        <v>Dungeon: Darkshade Caverns II</v>
      </c>
      <c r="N255" s="3" t="str">
        <f>VLOOKUP(F255,'ESO zone constants'!$A$5:$D$10001,4,FALSE)</f>
        <v>Deshaan</v>
      </c>
    </row>
    <row r="256" spans="1:14" x14ac:dyDescent="0.25">
      <c r="A256" s="94">
        <v>265</v>
      </c>
      <c r="B256">
        <v>7</v>
      </c>
      <c r="C256">
        <v>9</v>
      </c>
      <c r="D256" t="s">
        <v>2289</v>
      </c>
      <c r="E256">
        <v>181</v>
      </c>
      <c r="F256">
        <v>383</v>
      </c>
      <c r="G256" t="s">
        <v>2289</v>
      </c>
      <c r="H256">
        <v>6</v>
      </c>
      <c r="I256" t="s">
        <v>2975</v>
      </c>
      <c r="J256" s="30" t="str">
        <f t="shared" si="9"/>
        <v>[265]=383,</v>
      </c>
      <c r="K256" s="3">
        <f t="shared" si="10"/>
        <v>265</v>
      </c>
      <c r="L256" s="3">
        <f t="shared" si="11"/>
        <v>383</v>
      </c>
      <c r="M256" s="8" t="str">
        <f>VLOOKUP(A256,'ESO wayshrine names'!$A$3:$B$9991,2,)</f>
        <v>Dungeon: Elden Hollow II</v>
      </c>
      <c r="N256" s="3" t="str">
        <f>VLOOKUP(F256,'ESO zone constants'!$A$5:$D$10001,4,FALSE)</f>
        <v>Grahtwood</v>
      </c>
    </row>
    <row r="257" spans="1:14" x14ac:dyDescent="0.25">
      <c r="A257" s="94">
        <v>266</v>
      </c>
      <c r="B257">
        <v>11</v>
      </c>
      <c r="C257">
        <v>7</v>
      </c>
      <c r="D257" t="s">
        <v>2310</v>
      </c>
      <c r="E257">
        <v>9</v>
      </c>
      <c r="F257">
        <v>41</v>
      </c>
      <c r="G257" t="s">
        <v>2310</v>
      </c>
      <c r="H257">
        <v>6</v>
      </c>
      <c r="I257" t="s">
        <v>2976</v>
      </c>
      <c r="J257" s="30" t="str">
        <f t="shared" si="9"/>
        <v>[266]=41,</v>
      </c>
      <c r="K257" s="3">
        <f t="shared" si="10"/>
        <v>266</v>
      </c>
      <c r="L257" s="3">
        <f t="shared" si="11"/>
        <v>41</v>
      </c>
      <c r="M257" s="8" t="str">
        <f>VLOOKUP(A257,'ESO wayshrine names'!$A$3:$B$9991,2,)</f>
        <v>Dungeon: Fungal Grotto II</v>
      </c>
      <c r="N257" s="3" t="str">
        <f>VLOOKUP(F257,'ESO zone constants'!$A$5:$D$10001,4,FALSE)</f>
        <v>Stonefalls</v>
      </c>
    </row>
    <row r="258" spans="1:14" x14ac:dyDescent="0.25">
      <c r="A258" s="94">
        <v>267</v>
      </c>
      <c r="B258">
        <v>2</v>
      </c>
      <c r="C258">
        <v>1</v>
      </c>
      <c r="D258" t="s">
        <v>103</v>
      </c>
      <c r="E258">
        <v>2</v>
      </c>
      <c r="F258">
        <v>3</v>
      </c>
      <c r="G258" t="s">
        <v>103</v>
      </c>
      <c r="H258">
        <v>6</v>
      </c>
      <c r="I258" t="s">
        <v>2977</v>
      </c>
      <c r="J258" s="30" t="str">
        <f t="shared" si="9"/>
        <v>[267]=3,</v>
      </c>
      <c r="K258" s="3">
        <f t="shared" si="10"/>
        <v>267</v>
      </c>
      <c r="L258" s="3">
        <f t="shared" si="11"/>
        <v>3</v>
      </c>
      <c r="M258" s="8" t="str">
        <f>VLOOKUP(A258,'ESO wayshrine names'!$A$3:$B$9991,2,)</f>
        <v>Dungeon: Spindleclutch II</v>
      </c>
      <c r="N258" s="3" t="str">
        <f>VLOOKUP(F258,'ESO zone constants'!$A$5:$D$10001,4,FALSE)</f>
        <v>Glenumbra</v>
      </c>
    </row>
    <row r="259" spans="1:14" x14ac:dyDescent="0.25">
      <c r="A259" s="94">
        <v>268</v>
      </c>
      <c r="B259">
        <v>16</v>
      </c>
      <c r="C259">
        <v>300</v>
      </c>
      <c r="D259" t="s">
        <v>2291</v>
      </c>
      <c r="E259">
        <v>18</v>
      </c>
      <c r="F259">
        <v>108</v>
      </c>
      <c r="G259" t="s">
        <v>2291</v>
      </c>
      <c r="H259">
        <v>6</v>
      </c>
      <c r="I259" t="s">
        <v>2978</v>
      </c>
      <c r="J259" s="30" t="str">
        <f t="shared" ref="J259:J322" si="12">IF(A259&lt;&gt;"",IF(F259&lt;&gt;"",IF(OR(ISNA(A259),ISNA(F259)),"","["&amp;A259&amp;"]="&amp;F259&amp;","),""),"")</f>
        <v>[268]=108,</v>
      </c>
      <c r="K259" s="3">
        <f t="shared" ref="K259:K322" si="13">A259</f>
        <v>268</v>
      </c>
      <c r="L259" s="3">
        <f t="shared" ref="L259:L322" si="14">F259</f>
        <v>108</v>
      </c>
      <c r="M259" s="8" t="str">
        <f>VLOOKUP(A259,'ESO wayshrine names'!$A$3:$B$9991,2,)</f>
        <v>Dungeon: City of Ash II</v>
      </c>
      <c r="N259" s="3" t="str">
        <f>VLOOKUP(F259,'ESO zone constants'!$A$5:$D$10001,4,FALSE)</f>
        <v>Greenshade</v>
      </c>
    </row>
    <row r="260" spans="1:14" x14ac:dyDescent="0.25">
      <c r="A260" s="94">
        <v>269</v>
      </c>
      <c r="B260">
        <v>3</v>
      </c>
      <c r="C260">
        <v>10</v>
      </c>
      <c r="D260" t="s">
        <v>2305</v>
      </c>
      <c r="E260">
        <v>5</v>
      </c>
      <c r="F260">
        <v>20</v>
      </c>
      <c r="G260" t="s">
        <v>2305</v>
      </c>
      <c r="H260">
        <v>6</v>
      </c>
      <c r="I260" t="s">
        <v>2979</v>
      </c>
      <c r="J260" s="30" t="str">
        <f t="shared" si="12"/>
        <v>[269]=20,</v>
      </c>
      <c r="K260" s="3">
        <f t="shared" si="13"/>
        <v>269</v>
      </c>
      <c r="L260" s="3">
        <f t="shared" si="14"/>
        <v>20</v>
      </c>
      <c r="M260" s="8" t="str">
        <f>VLOOKUP(A260,'ESO wayshrine names'!$A$3:$B$9991,2,)</f>
        <v>Dungeon: Crypt of Hearts II</v>
      </c>
      <c r="N260" s="3" t="str">
        <f>VLOOKUP(F260,'ESO zone constants'!$A$5:$D$10001,4,FALSE)</f>
        <v>Rivenspire</v>
      </c>
    </row>
    <row r="261" spans="1:14" x14ac:dyDescent="0.25">
      <c r="A261" s="94">
        <v>270</v>
      </c>
      <c r="B261">
        <v>25</v>
      </c>
      <c r="C261">
        <v>1126</v>
      </c>
      <c r="D261" t="s">
        <v>2367</v>
      </c>
      <c r="E261">
        <v>501</v>
      </c>
      <c r="F261">
        <v>888</v>
      </c>
      <c r="G261" t="s">
        <v>2367</v>
      </c>
      <c r="H261">
        <v>2</v>
      </c>
      <c r="I261" t="s">
        <v>3817</v>
      </c>
      <c r="J261" s="30" t="str">
        <f t="shared" si="12"/>
        <v>[270]=888,</v>
      </c>
      <c r="K261" s="3">
        <f t="shared" si="13"/>
        <v>270</v>
      </c>
      <c r="L261" s="3">
        <f t="shared" si="14"/>
        <v>888</v>
      </c>
      <c r="M261" s="8" t="str">
        <f>VLOOKUP(A261,'ESO wayshrine names'!$A$3:$B$9991,2,)</f>
        <v>Dragonstar Arena</v>
      </c>
      <c r="N261" s="3" t="str">
        <f>VLOOKUP(F261,'ESO zone constants'!$A$5:$D$10001,4,FALSE)</f>
        <v>Craglorn</v>
      </c>
    </row>
    <row r="262" spans="1:14" x14ac:dyDescent="0.25">
      <c r="A262" s="94">
        <v>272</v>
      </c>
      <c r="B262">
        <v>30</v>
      </c>
      <c r="C262">
        <v>1060</v>
      </c>
      <c r="D262" t="s">
        <v>530</v>
      </c>
      <c r="E262">
        <v>468</v>
      </c>
      <c r="F262">
        <v>849</v>
      </c>
      <c r="G262" t="s">
        <v>530</v>
      </c>
      <c r="H262">
        <v>1</v>
      </c>
      <c r="I262" t="s">
        <v>2980</v>
      </c>
      <c r="J262" s="30" t="str">
        <f t="shared" si="12"/>
        <v>[272]=849,</v>
      </c>
      <c r="K262" s="3">
        <f t="shared" si="13"/>
        <v>272</v>
      </c>
      <c r="L262" s="3">
        <f t="shared" si="14"/>
        <v>849</v>
      </c>
      <c r="M262" s="8" t="str">
        <f>VLOOKUP(A262,'ESO wayshrine names'!$A$3:$B$9991,2,)</f>
        <v>Seyda Neen Wayshrine</v>
      </c>
      <c r="N262" s="3" t="str">
        <f>VLOOKUP(F262,'ESO zone constants'!$A$5:$D$10001,4,FALSE)</f>
        <v>Vvardenfell</v>
      </c>
    </row>
    <row r="263" spans="1:14" x14ac:dyDescent="0.25">
      <c r="A263" s="94">
        <v>273</v>
      </c>
      <c r="B263">
        <v>30</v>
      </c>
      <c r="C263">
        <v>1060</v>
      </c>
      <c r="D263" t="s">
        <v>530</v>
      </c>
      <c r="E263">
        <v>468</v>
      </c>
      <c r="F263">
        <v>849</v>
      </c>
      <c r="G263" t="s">
        <v>530</v>
      </c>
      <c r="H263">
        <v>1</v>
      </c>
      <c r="I263" t="s">
        <v>2981</v>
      </c>
      <c r="J263" s="30" t="str">
        <f t="shared" si="12"/>
        <v>[273]=849,</v>
      </c>
      <c r="K263" s="3">
        <f t="shared" si="13"/>
        <v>273</v>
      </c>
      <c r="L263" s="3">
        <f t="shared" si="14"/>
        <v>849</v>
      </c>
      <c r="M263" s="8" t="str">
        <f>VLOOKUP(A263,'ESO wayshrine names'!$A$3:$B$9991,2,)</f>
        <v>Gnisis Wayshrine</v>
      </c>
      <c r="N263" s="3" t="str">
        <f>VLOOKUP(F263,'ESO zone constants'!$A$5:$D$10001,4,FALSE)</f>
        <v>Vvardenfell</v>
      </c>
    </row>
    <row r="264" spans="1:14" x14ac:dyDescent="0.25">
      <c r="A264" s="94">
        <v>274</v>
      </c>
      <c r="B264">
        <v>30</v>
      </c>
      <c r="C264">
        <v>1060</v>
      </c>
      <c r="D264" t="s">
        <v>530</v>
      </c>
      <c r="E264">
        <v>468</v>
      </c>
      <c r="F264">
        <v>849</v>
      </c>
      <c r="G264" t="s">
        <v>530</v>
      </c>
      <c r="H264">
        <v>1</v>
      </c>
      <c r="I264" t="s">
        <v>3191</v>
      </c>
      <c r="J264" s="30" t="str">
        <f t="shared" si="12"/>
        <v>[274]=849,</v>
      </c>
      <c r="K264" s="3">
        <f t="shared" si="13"/>
        <v>274</v>
      </c>
      <c r="L264" s="3">
        <f t="shared" si="14"/>
        <v>849</v>
      </c>
      <c r="M264" s="8" t="str">
        <f>VLOOKUP(A264,'ESO wayshrine names'!$A$3:$B$9991,2,)</f>
        <v>Ald'ruhn Wayshrine</v>
      </c>
      <c r="N264" s="3" t="str">
        <f>VLOOKUP(F264,'ESO zone constants'!$A$5:$D$10001,4,FALSE)</f>
        <v>Vvardenfell</v>
      </c>
    </row>
    <row r="265" spans="1:14" x14ac:dyDescent="0.25">
      <c r="A265" s="94">
        <v>275</v>
      </c>
      <c r="B265">
        <v>30</v>
      </c>
      <c r="C265">
        <v>1060</v>
      </c>
      <c r="D265" t="s">
        <v>530</v>
      </c>
      <c r="E265">
        <v>468</v>
      </c>
      <c r="F265">
        <v>849</v>
      </c>
      <c r="G265" t="s">
        <v>530</v>
      </c>
      <c r="H265">
        <v>1</v>
      </c>
      <c r="I265" t="s">
        <v>2982</v>
      </c>
      <c r="J265" s="30" t="str">
        <f t="shared" si="12"/>
        <v>[275]=849,</v>
      </c>
      <c r="K265" s="3">
        <f t="shared" si="13"/>
        <v>275</v>
      </c>
      <c r="L265" s="3">
        <f t="shared" si="14"/>
        <v>849</v>
      </c>
      <c r="M265" s="8" t="str">
        <f>VLOOKUP(A265,'ESO wayshrine names'!$A$3:$B$9991,2,)</f>
        <v>Balmora Wayshrine</v>
      </c>
      <c r="N265" s="3" t="str">
        <f>VLOOKUP(F265,'ESO zone constants'!$A$5:$D$10001,4,FALSE)</f>
        <v>Vvardenfell</v>
      </c>
    </row>
    <row r="266" spans="1:14" x14ac:dyDescent="0.25">
      <c r="A266" s="94">
        <v>276</v>
      </c>
      <c r="B266">
        <v>30</v>
      </c>
      <c r="C266">
        <v>1060</v>
      </c>
      <c r="D266" t="s">
        <v>530</v>
      </c>
      <c r="E266">
        <v>468</v>
      </c>
      <c r="F266">
        <v>849</v>
      </c>
      <c r="G266" t="s">
        <v>530</v>
      </c>
      <c r="H266">
        <v>1</v>
      </c>
      <c r="I266" t="s">
        <v>2983</v>
      </c>
      <c r="J266" s="30" t="str">
        <f t="shared" si="12"/>
        <v>[276]=849,</v>
      </c>
      <c r="K266" s="3">
        <f t="shared" si="13"/>
        <v>276</v>
      </c>
      <c r="L266" s="3">
        <f t="shared" si="14"/>
        <v>849</v>
      </c>
      <c r="M266" s="8" t="str">
        <f>VLOOKUP(A266,'ESO wayshrine names'!$A$3:$B$9991,2,)</f>
        <v>Suran Wayshrine</v>
      </c>
      <c r="N266" s="3" t="str">
        <f>VLOOKUP(F266,'ESO zone constants'!$A$5:$D$10001,4,FALSE)</f>
        <v>Vvardenfell</v>
      </c>
    </row>
    <row r="267" spans="1:14" x14ac:dyDescent="0.25">
      <c r="A267" s="94">
        <v>277</v>
      </c>
      <c r="B267">
        <v>30</v>
      </c>
      <c r="C267">
        <v>1060</v>
      </c>
      <c r="D267" t="s">
        <v>530</v>
      </c>
      <c r="E267">
        <v>468</v>
      </c>
      <c r="F267">
        <v>849</v>
      </c>
      <c r="G267" t="s">
        <v>530</v>
      </c>
      <c r="H267">
        <v>1</v>
      </c>
      <c r="I267" t="s">
        <v>2984</v>
      </c>
      <c r="J267" s="30" t="str">
        <f t="shared" si="12"/>
        <v>[277]=849,</v>
      </c>
      <c r="K267" s="3">
        <f t="shared" si="13"/>
        <v>277</v>
      </c>
      <c r="L267" s="3">
        <f t="shared" si="14"/>
        <v>849</v>
      </c>
      <c r="M267" s="8" t="str">
        <f>VLOOKUP(A267,'ESO wayshrine names'!$A$3:$B$9991,2,)</f>
        <v>Molag Mar Wayshrine</v>
      </c>
      <c r="N267" s="3" t="str">
        <f>VLOOKUP(F267,'ESO zone constants'!$A$5:$D$10001,4,FALSE)</f>
        <v>Vvardenfell</v>
      </c>
    </row>
    <row r="268" spans="1:14" x14ac:dyDescent="0.25">
      <c r="A268" s="94">
        <v>278</v>
      </c>
      <c r="B268">
        <v>30</v>
      </c>
      <c r="C268">
        <v>1060</v>
      </c>
      <c r="D268" t="s">
        <v>530</v>
      </c>
      <c r="E268">
        <v>468</v>
      </c>
      <c r="F268">
        <v>849</v>
      </c>
      <c r="G268" t="s">
        <v>530</v>
      </c>
      <c r="H268">
        <v>1</v>
      </c>
      <c r="I268" t="s">
        <v>2985</v>
      </c>
      <c r="J268" s="30" t="str">
        <f t="shared" si="12"/>
        <v>[278]=849,</v>
      </c>
      <c r="K268" s="3">
        <f t="shared" si="13"/>
        <v>278</v>
      </c>
      <c r="L268" s="3">
        <f t="shared" si="14"/>
        <v>849</v>
      </c>
      <c r="M268" s="8" t="str">
        <f>VLOOKUP(A268,'ESO wayshrine names'!$A$3:$B$9991,2,)</f>
        <v>Tel Branora Wayshrine</v>
      </c>
      <c r="N268" s="3" t="str">
        <f>VLOOKUP(F268,'ESO zone constants'!$A$5:$D$10001,4,FALSE)</f>
        <v>Vvardenfell</v>
      </c>
    </row>
    <row r="269" spans="1:14" x14ac:dyDescent="0.25">
      <c r="A269" s="94">
        <v>279</v>
      </c>
      <c r="B269">
        <v>30</v>
      </c>
      <c r="C269">
        <v>1060</v>
      </c>
      <c r="D269" t="s">
        <v>530</v>
      </c>
      <c r="E269">
        <v>468</v>
      </c>
      <c r="F269">
        <v>849</v>
      </c>
      <c r="G269" t="s">
        <v>530</v>
      </c>
      <c r="H269">
        <v>1</v>
      </c>
      <c r="I269" t="s">
        <v>2986</v>
      </c>
      <c r="J269" s="30" t="str">
        <f t="shared" si="12"/>
        <v>[279]=849,</v>
      </c>
      <c r="K269" s="3">
        <f t="shared" si="13"/>
        <v>279</v>
      </c>
      <c r="L269" s="3">
        <f t="shared" si="14"/>
        <v>849</v>
      </c>
      <c r="M269" s="8" t="str">
        <f>VLOOKUP(A269,'ESO wayshrine names'!$A$3:$B$9991,2,)</f>
        <v>Nchuleftingth Wayshrine</v>
      </c>
      <c r="N269" s="3" t="str">
        <f>VLOOKUP(F269,'ESO zone constants'!$A$5:$D$10001,4,FALSE)</f>
        <v>Vvardenfell</v>
      </c>
    </row>
    <row r="270" spans="1:14" x14ac:dyDescent="0.25">
      <c r="A270" s="94">
        <v>280</v>
      </c>
      <c r="B270">
        <v>30</v>
      </c>
      <c r="C270">
        <v>1060</v>
      </c>
      <c r="D270" t="s">
        <v>530</v>
      </c>
      <c r="E270">
        <v>468</v>
      </c>
      <c r="F270">
        <v>849</v>
      </c>
      <c r="G270" t="s">
        <v>530</v>
      </c>
      <c r="H270">
        <v>1</v>
      </c>
      <c r="I270" t="s">
        <v>2987</v>
      </c>
      <c r="J270" s="30" t="str">
        <f t="shared" si="12"/>
        <v>[280]=849,</v>
      </c>
      <c r="K270" s="3">
        <f t="shared" si="13"/>
        <v>280</v>
      </c>
      <c r="L270" s="3">
        <f t="shared" si="14"/>
        <v>849</v>
      </c>
      <c r="M270" s="8" t="str">
        <f>VLOOKUP(A270,'ESO wayshrine names'!$A$3:$B$9991,2,)</f>
        <v>Tel Mora Wayshrine</v>
      </c>
      <c r="N270" s="3" t="str">
        <f>VLOOKUP(F270,'ESO zone constants'!$A$5:$D$10001,4,FALSE)</f>
        <v>Vvardenfell</v>
      </c>
    </row>
    <row r="271" spans="1:14" x14ac:dyDescent="0.25">
      <c r="A271" s="94">
        <v>281</v>
      </c>
      <c r="B271">
        <v>30</v>
      </c>
      <c r="C271">
        <v>1060</v>
      </c>
      <c r="D271" t="s">
        <v>530</v>
      </c>
      <c r="E271">
        <v>468</v>
      </c>
      <c r="F271">
        <v>849</v>
      </c>
      <c r="G271" t="s">
        <v>530</v>
      </c>
      <c r="H271">
        <v>1</v>
      </c>
      <c r="I271" t="s">
        <v>2988</v>
      </c>
      <c r="J271" s="30" t="str">
        <f t="shared" si="12"/>
        <v>[281]=849,</v>
      </c>
      <c r="K271" s="3">
        <f t="shared" si="13"/>
        <v>281</v>
      </c>
      <c r="L271" s="3">
        <f t="shared" si="14"/>
        <v>849</v>
      </c>
      <c r="M271" s="8" t="str">
        <f>VLOOKUP(A271,'ESO wayshrine names'!$A$3:$B$9991,2,)</f>
        <v>Sadrith Mora Wayshrine</v>
      </c>
      <c r="N271" s="3" t="str">
        <f>VLOOKUP(F271,'ESO zone constants'!$A$5:$D$10001,4,FALSE)</f>
        <v>Vvardenfell</v>
      </c>
    </row>
    <row r="272" spans="1:14" x14ac:dyDescent="0.25">
      <c r="A272" s="94">
        <v>282</v>
      </c>
      <c r="B272">
        <v>30</v>
      </c>
      <c r="C272">
        <v>1060</v>
      </c>
      <c r="D272" t="s">
        <v>530</v>
      </c>
      <c r="E272">
        <v>468</v>
      </c>
      <c r="F272">
        <v>849</v>
      </c>
      <c r="G272" t="s">
        <v>530</v>
      </c>
      <c r="H272">
        <v>1</v>
      </c>
      <c r="I272" t="s">
        <v>2989</v>
      </c>
      <c r="J272" s="30" t="str">
        <f t="shared" si="12"/>
        <v>[282]=849,</v>
      </c>
      <c r="K272" s="3">
        <f t="shared" si="13"/>
        <v>282</v>
      </c>
      <c r="L272" s="3">
        <f t="shared" si="14"/>
        <v>849</v>
      </c>
      <c r="M272" s="8" t="str">
        <f>VLOOKUP(A272,'ESO wayshrine names'!$A$3:$B$9991,2,)</f>
        <v>Valley of the Wind Wayshrine</v>
      </c>
      <c r="N272" s="3" t="str">
        <f>VLOOKUP(F272,'ESO zone constants'!$A$5:$D$10001,4,FALSE)</f>
        <v>Vvardenfell</v>
      </c>
    </row>
    <row r="273" spans="1:14" x14ac:dyDescent="0.25">
      <c r="A273" s="94">
        <v>284</v>
      </c>
      <c r="B273">
        <v>30</v>
      </c>
      <c r="C273">
        <v>1060</v>
      </c>
      <c r="D273" t="s">
        <v>530</v>
      </c>
      <c r="E273">
        <v>468</v>
      </c>
      <c r="F273">
        <v>849</v>
      </c>
      <c r="G273" t="s">
        <v>530</v>
      </c>
      <c r="H273">
        <v>1</v>
      </c>
      <c r="I273" t="s">
        <v>2990</v>
      </c>
      <c r="J273" s="30" t="str">
        <f t="shared" si="12"/>
        <v>[284]=849,</v>
      </c>
      <c r="K273" s="3">
        <f t="shared" si="13"/>
        <v>284</v>
      </c>
      <c r="L273" s="3">
        <f t="shared" si="14"/>
        <v>849</v>
      </c>
      <c r="M273" s="8" t="str">
        <f>VLOOKUP(A273,'ESO wayshrine names'!$A$3:$B$9991,2,)</f>
        <v>Vivec City Wayshrine</v>
      </c>
      <c r="N273" s="3" t="str">
        <f>VLOOKUP(F273,'ESO zone constants'!$A$5:$D$10001,4,FALSE)</f>
        <v>Vvardenfell</v>
      </c>
    </row>
    <row r="274" spans="1:14" x14ac:dyDescent="0.25">
      <c r="A274" s="94">
        <v>285</v>
      </c>
      <c r="B274">
        <v>15</v>
      </c>
      <c r="C274">
        <v>143</v>
      </c>
      <c r="D274" t="s">
        <v>262</v>
      </c>
      <c r="E274">
        <v>179</v>
      </c>
      <c r="F274">
        <v>381</v>
      </c>
      <c r="G274" t="s">
        <v>262</v>
      </c>
      <c r="H274">
        <v>7</v>
      </c>
      <c r="I274" t="s">
        <v>2991</v>
      </c>
      <c r="J274" s="30" t="str">
        <f t="shared" si="12"/>
        <v>[285]=381,</v>
      </c>
      <c r="K274" s="3">
        <f t="shared" si="13"/>
        <v>285</v>
      </c>
      <c r="L274" s="3">
        <f t="shared" si="14"/>
        <v>381</v>
      </c>
      <c r="M274" s="8" t="str">
        <f>VLOOKUP(A274,'ESO wayshrine names'!$A$3:$B$9991,2,)</f>
        <v>Barbed Hook Private Room</v>
      </c>
      <c r="N274" s="3" t="str">
        <f>VLOOKUP(F274,'ESO zone constants'!$A$5:$D$10001,4,FALSE)</f>
        <v>Auridon</v>
      </c>
    </row>
    <row r="275" spans="1:14" x14ac:dyDescent="0.25">
      <c r="A275" s="94">
        <v>286</v>
      </c>
      <c r="B275">
        <v>5</v>
      </c>
      <c r="C275">
        <v>30</v>
      </c>
      <c r="D275" t="s">
        <v>3187</v>
      </c>
      <c r="E275">
        <v>17</v>
      </c>
      <c r="F275">
        <v>104</v>
      </c>
      <c r="G275" t="s">
        <v>2304</v>
      </c>
      <c r="H275">
        <v>7</v>
      </c>
      <c r="I275" t="s">
        <v>2992</v>
      </c>
      <c r="J275" s="30" t="str">
        <f t="shared" si="12"/>
        <v>[286]=104,</v>
      </c>
      <c r="K275" s="3">
        <f t="shared" si="13"/>
        <v>286</v>
      </c>
      <c r="L275" s="3">
        <f t="shared" si="14"/>
        <v>104</v>
      </c>
      <c r="M275" s="8" t="str">
        <f>VLOOKUP(A275,'ESO wayshrine names'!$A$3:$B$9991,2,)</f>
        <v>Sisters of the Sands Apartment</v>
      </c>
      <c r="N275" s="3" t="str">
        <f>VLOOKUP(F275,'ESO zone constants'!$A$5:$D$10001,4,FALSE)</f>
        <v>Alik'r Desert</v>
      </c>
    </row>
    <row r="276" spans="1:14" x14ac:dyDescent="0.25">
      <c r="A276" s="94">
        <v>287</v>
      </c>
      <c r="B276">
        <v>10</v>
      </c>
      <c r="C276">
        <v>13</v>
      </c>
      <c r="D276" t="s">
        <v>107</v>
      </c>
      <c r="E276">
        <v>10</v>
      </c>
      <c r="F276">
        <v>57</v>
      </c>
      <c r="G276" t="s">
        <v>107</v>
      </c>
      <c r="H276">
        <v>7</v>
      </c>
      <c r="I276" t="s">
        <v>2993</v>
      </c>
      <c r="J276" s="30" t="str">
        <f t="shared" si="12"/>
        <v>[287]=57,</v>
      </c>
      <c r="K276" s="3">
        <f t="shared" si="13"/>
        <v>287</v>
      </c>
      <c r="L276" s="3">
        <f t="shared" si="14"/>
        <v>57</v>
      </c>
      <c r="M276" s="8" t="str">
        <f>VLOOKUP(A276,'ESO wayshrine names'!$A$3:$B$9991,2,)</f>
        <v>Flaming Nix Deluxe Garret</v>
      </c>
      <c r="N276" s="3" t="str">
        <f>VLOOKUP(F276,'ESO zone constants'!$A$5:$D$10001,4,FALSE)</f>
        <v>Deshaan</v>
      </c>
    </row>
    <row r="277" spans="1:14" x14ac:dyDescent="0.25">
      <c r="A277" s="94">
        <v>288</v>
      </c>
      <c r="B277">
        <v>15</v>
      </c>
      <c r="C277">
        <v>143</v>
      </c>
      <c r="D277" t="s">
        <v>262</v>
      </c>
      <c r="E277">
        <v>179</v>
      </c>
      <c r="F277">
        <v>381</v>
      </c>
      <c r="G277" t="s">
        <v>262</v>
      </c>
      <c r="H277">
        <v>7</v>
      </c>
      <c r="I277" t="s">
        <v>2994</v>
      </c>
      <c r="J277" s="30" t="str">
        <f t="shared" si="12"/>
        <v>[288]=381,</v>
      </c>
      <c r="K277" s="3">
        <f t="shared" si="13"/>
        <v>288</v>
      </c>
      <c r="L277" s="3">
        <f t="shared" si="14"/>
        <v>381</v>
      </c>
      <c r="M277" s="8" t="str">
        <f>VLOOKUP(A277,'ESO wayshrine names'!$A$3:$B$9991,2,)</f>
        <v>Mara's Kiss Public House</v>
      </c>
      <c r="N277" s="3" t="str">
        <f>VLOOKUP(F277,'ESO zone constants'!$A$5:$D$10001,4,FALSE)</f>
        <v>Auridon</v>
      </c>
    </row>
    <row r="278" spans="1:14" x14ac:dyDescent="0.25">
      <c r="A278" s="94">
        <v>289</v>
      </c>
      <c r="B278">
        <v>2</v>
      </c>
      <c r="C278">
        <v>1</v>
      </c>
      <c r="D278" t="s">
        <v>103</v>
      </c>
      <c r="E278">
        <v>2</v>
      </c>
      <c r="F278">
        <v>3</v>
      </c>
      <c r="G278" t="s">
        <v>103</v>
      </c>
      <c r="H278">
        <v>7</v>
      </c>
      <c r="I278" t="s">
        <v>2995</v>
      </c>
      <c r="J278" s="30" t="str">
        <f t="shared" si="12"/>
        <v>[289]=3,</v>
      </c>
      <c r="K278" s="3">
        <f t="shared" si="13"/>
        <v>289</v>
      </c>
      <c r="L278" s="3">
        <f t="shared" si="14"/>
        <v>3</v>
      </c>
      <c r="M278" s="8" t="str">
        <f>VLOOKUP(A278,'ESO wayshrine names'!$A$3:$B$9991,2,)</f>
        <v>The Rosy Lion</v>
      </c>
      <c r="N278" s="3" t="str">
        <f>VLOOKUP(F278,'ESO zone constants'!$A$5:$D$10001,4,FALSE)</f>
        <v>Glenumbra</v>
      </c>
    </row>
    <row r="279" spans="1:14" x14ac:dyDescent="0.25">
      <c r="A279" s="94">
        <v>290</v>
      </c>
      <c r="B279">
        <v>11</v>
      </c>
      <c r="C279">
        <v>7</v>
      </c>
      <c r="D279" t="s">
        <v>2310</v>
      </c>
      <c r="E279">
        <v>9</v>
      </c>
      <c r="F279">
        <v>41</v>
      </c>
      <c r="G279" t="s">
        <v>2310</v>
      </c>
      <c r="H279">
        <v>7</v>
      </c>
      <c r="I279" t="s">
        <v>2996</v>
      </c>
      <c r="J279" s="30" t="str">
        <f t="shared" si="12"/>
        <v>[290]=41,</v>
      </c>
      <c r="K279" s="3">
        <f t="shared" si="13"/>
        <v>290</v>
      </c>
      <c r="L279" s="3">
        <f t="shared" si="14"/>
        <v>41</v>
      </c>
      <c r="M279" s="8" t="str">
        <f>VLOOKUP(A279,'ESO wayshrine names'!$A$3:$B$9991,2,)</f>
        <v>The Ebony Flask Inn Room</v>
      </c>
      <c r="N279" s="3" t="str">
        <f>VLOOKUP(F279,'ESO zone constants'!$A$5:$D$10001,4,FALSE)</f>
        <v>Stonefalls</v>
      </c>
    </row>
    <row r="280" spans="1:14" x14ac:dyDescent="0.25">
      <c r="A280" s="94">
        <v>291</v>
      </c>
      <c r="B280">
        <v>17</v>
      </c>
      <c r="C280">
        <v>256</v>
      </c>
      <c r="D280" t="s">
        <v>2292</v>
      </c>
      <c r="E280">
        <v>180</v>
      </c>
      <c r="F280">
        <v>382</v>
      </c>
      <c r="G280" t="s">
        <v>2292</v>
      </c>
      <c r="H280">
        <v>7</v>
      </c>
      <c r="I280" t="s">
        <v>2997</v>
      </c>
      <c r="J280" s="30" t="str">
        <f t="shared" si="12"/>
        <v>[291]=382,</v>
      </c>
      <c r="K280" s="3">
        <f t="shared" si="13"/>
        <v>291</v>
      </c>
      <c r="L280" s="3">
        <f t="shared" si="14"/>
        <v>382</v>
      </c>
      <c r="M280" s="8" t="str">
        <f>VLOOKUP(A280,'ESO wayshrine names'!$A$3:$B$9991,2,)</f>
        <v>Serenity Falls Estate</v>
      </c>
      <c r="N280" s="3" t="str">
        <f>VLOOKUP(F280,'ESO zone constants'!$A$5:$D$10001,4,FALSE)</f>
        <v>Reaper's March</v>
      </c>
    </row>
    <row r="281" spans="1:14" x14ac:dyDescent="0.25">
      <c r="A281" s="94">
        <v>292</v>
      </c>
      <c r="B281">
        <v>2</v>
      </c>
      <c r="C281">
        <v>1</v>
      </c>
      <c r="D281" t="s">
        <v>103</v>
      </c>
      <c r="E281">
        <v>2</v>
      </c>
      <c r="F281">
        <v>3</v>
      </c>
      <c r="G281" t="s">
        <v>103</v>
      </c>
      <c r="H281">
        <v>7</v>
      </c>
      <c r="I281" t="s">
        <v>2998</v>
      </c>
      <c r="J281" s="30" t="str">
        <f t="shared" si="12"/>
        <v>[292]=3,</v>
      </c>
      <c r="K281" s="3">
        <f t="shared" si="13"/>
        <v>292</v>
      </c>
      <c r="L281" s="3">
        <f t="shared" si="14"/>
        <v>3</v>
      </c>
      <c r="M281" s="8" t="str">
        <f>VLOOKUP(A281,'ESO wayshrine names'!$A$3:$B$9991,2,)</f>
        <v>Daggerfall Overlook</v>
      </c>
      <c r="N281" s="3" t="str">
        <f>VLOOKUP(F281,'ESO zone constants'!$A$5:$D$10001,4,FALSE)</f>
        <v>Glenumbra</v>
      </c>
    </row>
    <row r="282" spans="1:14" x14ac:dyDescent="0.25">
      <c r="A282" s="94">
        <v>293</v>
      </c>
      <c r="B282">
        <v>11</v>
      </c>
      <c r="C282">
        <v>7</v>
      </c>
      <c r="D282" t="s">
        <v>2310</v>
      </c>
      <c r="E282">
        <v>9</v>
      </c>
      <c r="F282">
        <v>41</v>
      </c>
      <c r="G282" t="s">
        <v>2310</v>
      </c>
      <c r="H282">
        <v>7</v>
      </c>
      <c r="I282" t="s">
        <v>2999</v>
      </c>
      <c r="J282" s="30" t="str">
        <f t="shared" si="12"/>
        <v>[293]=41,</v>
      </c>
      <c r="K282" s="3">
        <f t="shared" si="13"/>
        <v>293</v>
      </c>
      <c r="L282" s="3">
        <f t="shared" si="14"/>
        <v>41</v>
      </c>
      <c r="M282" s="8" t="str">
        <f>VLOOKUP(A282,'ESO wayshrine names'!$A$3:$B$9991,2,)</f>
        <v>Ebonheart Chateau</v>
      </c>
      <c r="N282" s="3" t="str">
        <f>VLOOKUP(F282,'ESO zone constants'!$A$5:$D$10001,4,FALSE)</f>
        <v>Stonefalls</v>
      </c>
    </row>
    <row r="283" spans="1:14" x14ac:dyDescent="0.25">
      <c r="A283" s="94">
        <v>294</v>
      </c>
      <c r="B283">
        <v>8</v>
      </c>
      <c r="C283">
        <v>22</v>
      </c>
      <c r="D283" t="s">
        <v>108</v>
      </c>
      <c r="E283">
        <v>11</v>
      </c>
      <c r="F283">
        <v>58</v>
      </c>
      <c r="G283" t="s">
        <v>108</v>
      </c>
      <c r="H283">
        <v>7</v>
      </c>
      <c r="I283" t="s">
        <v>3000</v>
      </c>
      <c r="J283" s="30" t="str">
        <f t="shared" si="12"/>
        <v>[294]=58,</v>
      </c>
      <c r="K283" s="3">
        <f t="shared" si="13"/>
        <v>294</v>
      </c>
      <c r="L283" s="3">
        <f t="shared" si="14"/>
        <v>58</v>
      </c>
      <c r="M283" s="8" t="str">
        <f>VLOOKUP(A283,'ESO wayshrine names'!$A$3:$B$9991,2,)</f>
        <v>Black Vine Villa</v>
      </c>
      <c r="N283" s="3" t="str">
        <f>VLOOKUP(F283,'ESO zone constants'!$A$5:$D$10001,4,FALSE)</f>
        <v>Malabal Tor</v>
      </c>
    </row>
    <row r="284" spans="1:14" x14ac:dyDescent="0.25">
      <c r="A284" s="94">
        <v>295</v>
      </c>
      <c r="B284">
        <v>18</v>
      </c>
      <c r="C284">
        <v>75</v>
      </c>
      <c r="D284" t="s">
        <v>197</v>
      </c>
      <c r="E284">
        <v>111</v>
      </c>
      <c r="F284">
        <v>281</v>
      </c>
      <c r="G284" t="s">
        <v>197</v>
      </c>
      <c r="H284">
        <v>7</v>
      </c>
      <c r="I284" t="s">
        <v>3001</v>
      </c>
      <c r="J284" s="30" t="str">
        <f t="shared" si="12"/>
        <v>[295]=281,</v>
      </c>
      <c r="K284" s="3">
        <f t="shared" si="13"/>
        <v>295</v>
      </c>
      <c r="L284" s="3">
        <f t="shared" si="14"/>
        <v>281</v>
      </c>
      <c r="M284" s="8" t="str">
        <f>VLOOKUP(A284,'ESO wayshrine names'!$A$3:$B$9991,2,)</f>
        <v>Humblemud</v>
      </c>
      <c r="N284" s="3" t="str">
        <f>VLOOKUP(F284,'ESO zone constants'!$A$5:$D$10001,4,FALSE)</f>
        <v>Bal Foyen</v>
      </c>
    </row>
    <row r="285" spans="1:14" x14ac:dyDescent="0.25">
      <c r="A285" s="94">
        <v>296</v>
      </c>
      <c r="B285">
        <v>7</v>
      </c>
      <c r="C285">
        <v>9</v>
      </c>
      <c r="D285" t="s">
        <v>2289</v>
      </c>
      <c r="E285">
        <v>181</v>
      </c>
      <c r="F285">
        <v>383</v>
      </c>
      <c r="G285" t="s">
        <v>2289</v>
      </c>
      <c r="H285">
        <v>7</v>
      </c>
      <c r="I285" t="s">
        <v>3002</v>
      </c>
      <c r="J285" s="30" t="str">
        <f t="shared" si="12"/>
        <v>[296]=383,</v>
      </c>
      <c r="K285" s="3">
        <f t="shared" si="13"/>
        <v>296</v>
      </c>
      <c r="L285" s="3">
        <f t="shared" si="14"/>
        <v>383</v>
      </c>
      <c r="M285" s="8" t="str">
        <f>VLOOKUP(A285,'ESO wayshrine names'!$A$3:$B$9991,2,)</f>
        <v>Snugpod</v>
      </c>
      <c r="N285" s="3" t="str">
        <f>VLOOKUP(F285,'ESO zone constants'!$A$5:$D$10001,4,FALSE)</f>
        <v>Grahtwood</v>
      </c>
    </row>
    <row r="286" spans="1:14" x14ac:dyDescent="0.25">
      <c r="A286" s="94">
        <v>297</v>
      </c>
      <c r="B286">
        <v>2</v>
      </c>
      <c r="C286">
        <v>1</v>
      </c>
      <c r="D286" t="s">
        <v>103</v>
      </c>
      <c r="E286">
        <v>2</v>
      </c>
      <c r="F286">
        <v>3</v>
      </c>
      <c r="G286" t="s">
        <v>103</v>
      </c>
      <c r="H286">
        <v>7</v>
      </c>
      <c r="I286" t="s">
        <v>3192</v>
      </c>
      <c r="J286" s="30" t="str">
        <f t="shared" si="12"/>
        <v>[297]=3,</v>
      </c>
      <c r="K286" s="3">
        <f t="shared" si="13"/>
        <v>297</v>
      </c>
      <c r="L286" s="3">
        <f t="shared" si="14"/>
        <v>3</v>
      </c>
      <c r="M286" s="8" t="str">
        <f>VLOOKUP(A286,'ESO wayshrine names'!$A$3:$B$9991,2,)</f>
        <v>Captain Margaux's Place</v>
      </c>
      <c r="N286" s="3" t="str">
        <f>VLOOKUP(F286,'ESO zone constants'!$A$5:$D$10001,4,FALSE)</f>
        <v>Glenumbra</v>
      </c>
    </row>
    <row r="287" spans="1:14" x14ac:dyDescent="0.25">
      <c r="A287" s="94">
        <v>298</v>
      </c>
      <c r="B287">
        <v>11</v>
      </c>
      <c r="C287">
        <v>7</v>
      </c>
      <c r="D287" t="s">
        <v>2310</v>
      </c>
      <c r="E287">
        <v>9</v>
      </c>
      <c r="F287">
        <v>41</v>
      </c>
      <c r="G287" t="s">
        <v>2310</v>
      </c>
      <c r="H287">
        <v>7</v>
      </c>
      <c r="I287" t="s">
        <v>3003</v>
      </c>
      <c r="J287" s="30" t="str">
        <f t="shared" si="12"/>
        <v>[298]=41,</v>
      </c>
      <c r="K287" s="3">
        <f t="shared" si="13"/>
        <v>298</v>
      </c>
      <c r="L287" s="3">
        <f t="shared" si="14"/>
        <v>41</v>
      </c>
      <c r="M287" s="8" t="str">
        <f>VLOOKUP(A287,'ESO wayshrine names'!$A$3:$B$9991,2,)</f>
        <v>Kragenhome</v>
      </c>
      <c r="N287" s="3" t="str">
        <f>VLOOKUP(F287,'ESO zone constants'!$A$5:$D$10001,4,FALSE)</f>
        <v>Stonefalls</v>
      </c>
    </row>
    <row r="288" spans="1:14" x14ac:dyDescent="0.25">
      <c r="A288" s="94">
        <v>299</v>
      </c>
      <c r="B288">
        <v>8</v>
      </c>
      <c r="C288">
        <v>22</v>
      </c>
      <c r="D288" t="s">
        <v>108</v>
      </c>
      <c r="E288">
        <v>11</v>
      </c>
      <c r="F288">
        <v>58</v>
      </c>
      <c r="G288" t="s">
        <v>108</v>
      </c>
      <c r="H288">
        <v>7</v>
      </c>
      <c r="I288" t="s">
        <v>3004</v>
      </c>
      <c r="J288" s="30" t="str">
        <f t="shared" si="12"/>
        <v>[299]=58,</v>
      </c>
      <c r="K288" s="3">
        <f t="shared" si="13"/>
        <v>299</v>
      </c>
      <c r="L288" s="3">
        <f t="shared" si="14"/>
        <v>58</v>
      </c>
      <c r="M288" s="8" t="str">
        <f>VLOOKUP(A288,'ESO wayshrine names'!$A$3:$B$9991,2,)</f>
        <v>Cyrodilic Jungle House</v>
      </c>
      <c r="N288" s="3" t="str">
        <f>VLOOKUP(F288,'ESO zone constants'!$A$5:$D$10001,4,FALSE)</f>
        <v>Malabal Tor</v>
      </c>
    </row>
    <row r="289" spans="1:14" x14ac:dyDescent="0.25">
      <c r="A289" s="94">
        <v>300</v>
      </c>
      <c r="B289">
        <v>21</v>
      </c>
      <c r="C289">
        <v>258</v>
      </c>
      <c r="D289" t="s">
        <v>2892</v>
      </c>
      <c r="E289">
        <v>307</v>
      </c>
      <c r="F289">
        <v>537</v>
      </c>
      <c r="G289" t="s">
        <v>2892</v>
      </c>
      <c r="H289">
        <v>7</v>
      </c>
      <c r="I289" t="s">
        <v>3005</v>
      </c>
      <c r="J289" s="30" t="str">
        <f t="shared" si="12"/>
        <v>[300]=537,</v>
      </c>
      <c r="K289" s="3">
        <f t="shared" si="13"/>
        <v>300</v>
      </c>
      <c r="L289" s="3">
        <f t="shared" si="14"/>
        <v>537</v>
      </c>
      <c r="M289" s="8" t="str">
        <f>VLOOKUP(A289,'ESO wayshrine names'!$A$3:$B$9991,2,)</f>
        <v>Moonmirth House</v>
      </c>
      <c r="N289" s="3" t="str">
        <f>VLOOKUP(F289,'ESO zone constants'!$A$5:$D$10001,4,FALSE)</f>
        <v>Khenarthi's Roost</v>
      </c>
    </row>
    <row r="290" spans="1:14" x14ac:dyDescent="0.25">
      <c r="A290" s="94">
        <v>301</v>
      </c>
      <c r="B290">
        <v>12</v>
      </c>
      <c r="C290">
        <v>125</v>
      </c>
      <c r="D290" t="s">
        <v>2308</v>
      </c>
      <c r="E290">
        <v>16</v>
      </c>
      <c r="F290">
        <v>103</v>
      </c>
      <c r="G290" t="s">
        <v>2308</v>
      </c>
      <c r="H290">
        <v>7</v>
      </c>
      <c r="I290" t="s">
        <v>3006</v>
      </c>
      <c r="J290" s="30" t="str">
        <f t="shared" si="12"/>
        <v>[301]=103,</v>
      </c>
      <c r="K290" s="3">
        <f t="shared" si="13"/>
        <v>301</v>
      </c>
      <c r="L290" s="3">
        <f t="shared" si="14"/>
        <v>103</v>
      </c>
      <c r="M290" s="8" t="str">
        <f>VLOOKUP(A290,'ESO wayshrine names'!$A$3:$B$9991,2,)</f>
        <v>Autumn's-Gate</v>
      </c>
      <c r="N290" s="3" t="str">
        <f>VLOOKUP(F290,'ESO zone constants'!$A$5:$D$10001,4,FALSE)</f>
        <v>The Rift</v>
      </c>
    </row>
    <row r="291" spans="1:14" x14ac:dyDescent="0.25">
      <c r="A291" s="94">
        <v>302</v>
      </c>
      <c r="B291">
        <v>4</v>
      </c>
      <c r="C291">
        <v>12</v>
      </c>
      <c r="D291" t="s">
        <v>2306</v>
      </c>
      <c r="E291">
        <v>4</v>
      </c>
      <c r="F291">
        <v>19</v>
      </c>
      <c r="G291" t="s">
        <v>2306</v>
      </c>
      <c r="H291">
        <v>7</v>
      </c>
      <c r="I291" t="s">
        <v>3818</v>
      </c>
      <c r="J291" s="30" t="str">
        <f t="shared" si="12"/>
        <v>[302]=19,</v>
      </c>
      <c r="K291" s="3">
        <f t="shared" si="13"/>
        <v>302</v>
      </c>
      <c r="L291" s="3">
        <f t="shared" si="14"/>
        <v>19</v>
      </c>
      <c r="M291" s="8" t="str">
        <f>VLOOKUP(A291,'ESO wayshrine names'!$A$3:$B$9991,2,)</f>
        <v>Hammerdeath Bungalow</v>
      </c>
      <c r="N291" s="3" t="str">
        <f>VLOOKUP(F291,'ESO zone constants'!$A$5:$D$10001,4,FALSE)</f>
        <v>Stormhaven</v>
      </c>
    </row>
    <row r="292" spans="1:14" x14ac:dyDescent="0.25">
      <c r="A292" s="94">
        <v>303</v>
      </c>
      <c r="B292">
        <v>6</v>
      </c>
      <c r="C292">
        <v>20</v>
      </c>
      <c r="D292" t="s">
        <v>109</v>
      </c>
      <c r="E292">
        <v>14</v>
      </c>
      <c r="F292">
        <v>92</v>
      </c>
      <c r="G292" t="s">
        <v>109</v>
      </c>
      <c r="H292">
        <v>7</v>
      </c>
      <c r="I292" t="s">
        <v>3007</v>
      </c>
      <c r="J292" s="30" t="str">
        <f t="shared" si="12"/>
        <v>[303]=92,</v>
      </c>
      <c r="K292" s="3">
        <f t="shared" si="13"/>
        <v>303</v>
      </c>
      <c r="L292" s="3">
        <f t="shared" si="14"/>
        <v>92</v>
      </c>
      <c r="M292" s="8" t="str">
        <f>VLOOKUP(A292,'ESO wayshrine names'!$A$3:$B$9991,2,)</f>
        <v>Twin Arches</v>
      </c>
      <c r="N292" s="3" t="str">
        <f>VLOOKUP(F292,'ESO zone constants'!$A$5:$D$10001,4,FALSE)</f>
        <v>Bangkorai</v>
      </c>
    </row>
    <row r="293" spans="1:14" x14ac:dyDescent="0.25">
      <c r="A293" s="94">
        <v>304</v>
      </c>
      <c r="B293">
        <v>16</v>
      </c>
      <c r="C293">
        <v>300</v>
      </c>
      <c r="D293" t="s">
        <v>2291</v>
      </c>
      <c r="E293">
        <v>18</v>
      </c>
      <c r="F293">
        <v>108</v>
      </c>
      <c r="G293" t="s">
        <v>2291</v>
      </c>
      <c r="H293">
        <v>7</v>
      </c>
      <c r="I293" t="s">
        <v>3008</v>
      </c>
      <c r="J293" s="30" t="str">
        <f t="shared" si="12"/>
        <v>[304]=108,</v>
      </c>
      <c r="K293" s="3">
        <f t="shared" si="13"/>
        <v>304</v>
      </c>
      <c r="L293" s="3">
        <f t="shared" si="14"/>
        <v>108</v>
      </c>
      <c r="M293" s="8" t="str">
        <f>VLOOKUP(A293,'ESO wayshrine names'!$A$3:$B$9991,2,)</f>
        <v>Cliffshade</v>
      </c>
      <c r="N293" s="3" t="str">
        <f>VLOOKUP(F293,'ESO zone constants'!$A$5:$D$10001,4,FALSE)</f>
        <v>Greenshade</v>
      </c>
    </row>
    <row r="294" spans="1:14" x14ac:dyDescent="0.25">
      <c r="A294" s="94">
        <v>305</v>
      </c>
      <c r="B294">
        <v>9</v>
      </c>
      <c r="C294">
        <v>26</v>
      </c>
      <c r="D294" t="s">
        <v>2309</v>
      </c>
      <c r="E294">
        <v>19</v>
      </c>
      <c r="F294">
        <v>117</v>
      </c>
      <c r="G294" t="s">
        <v>2309</v>
      </c>
      <c r="H294">
        <v>7</v>
      </c>
      <c r="I294" t="s">
        <v>3009</v>
      </c>
      <c r="J294" s="30" t="str">
        <f t="shared" si="12"/>
        <v>[305]=117,</v>
      </c>
      <c r="K294" s="3">
        <f t="shared" si="13"/>
        <v>305</v>
      </c>
      <c r="L294" s="3">
        <f t="shared" si="14"/>
        <v>117</v>
      </c>
      <c r="M294" s="8" t="str">
        <f>VLOOKUP(A294,'ESO wayshrine names'!$A$3:$B$9991,2,)</f>
        <v>The Ample Domicile</v>
      </c>
      <c r="N294" s="3" t="str">
        <f>VLOOKUP(F294,'ESO zone constants'!$A$5:$D$10001,4,FALSE)</f>
        <v>Shadowfen</v>
      </c>
    </row>
    <row r="295" spans="1:14" x14ac:dyDescent="0.25">
      <c r="A295" s="94">
        <v>306</v>
      </c>
      <c r="B295">
        <v>16</v>
      </c>
      <c r="C295">
        <v>300</v>
      </c>
      <c r="D295" t="s">
        <v>2291</v>
      </c>
      <c r="E295">
        <v>18</v>
      </c>
      <c r="F295">
        <v>108</v>
      </c>
      <c r="G295" t="s">
        <v>2291</v>
      </c>
      <c r="H295">
        <v>7</v>
      </c>
      <c r="I295" t="s">
        <v>3010</v>
      </c>
      <c r="J295" s="30" t="str">
        <f t="shared" si="12"/>
        <v>[306]=108,</v>
      </c>
      <c r="K295" s="3">
        <f t="shared" si="13"/>
        <v>306</v>
      </c>
      <c r="L295" s="3">
        <f t="shared" si="14"/>
        <v>108</v>
      </c>
      <c r="M295" s="8" t="str">
        <f>VLOOKUP(A295,'ESO wayshrine names'!$A$3:$B$9991,2,)</f>
        <v>Bouldertree Refuge</v>
      </c>
      <c r="N295" s="3" t="str">
        <f>VLOOKUP(F295,'ESO zone constants'!$A$5:$D$10001,4,FALSE)</f>
        <v>Greenshade</v>
      </c>
    </row>
    <row r="296" spans="1:14" x14ac:dyDescent="0.25">
      <c r="A296" s="94">
        <v>307</v>
      </c>
      <c r="B296">
        <v>3</v>
      </c>
      <c r="C296">
        <v>10</v>
      </c>
      <c r="D296" t="s">
        <v>2305</v>
      </c>
      <c r="E296">
        <v>5</v>
      </c>
      <c r="F296">
        <v>20</v>
      </c>
      <c r="G296" t="s">
        <v>2305</v>
      </c>
      <c r="H296">
        <v>7</v>
      </c>
      <c r="I296" t="s">
        <v>3011</v>
      </c>
      <c r="J296" s="30" t="str">
        <f t="shared" si="12"/>
        <v>[307]=20,</v>
      </c>
      <c r="K296" s="3">
        <f t="shared" si="13"/>
        <v>307</v>
      </c>
      <c r="L296" s="3">
        <f t="shared" si="14"/>
        <v>20</v>
      </c>
      <c r="M296" s="8" t="str">
        <f>VLOOKUP(A296,'ESO wayshrine names'!$A$3:$B$9991,2,)</f>
        <v>Ravenhurst</v>
      </c>
      <c r="N296" s="3" t="str">
        <f>VLOOKUP(F296,'ESO zone constants'!$A$5:$D$10001,4,FALSE)</f>
        <v>Rivenspire</v>
      </c>
    </row>
    <row r="297" spans="1:14" x14ac:dyDescent="0.25">
      <c r="A297" s="94">
        <v>309</v>
      </c>
      <c r="B297">
        <v>10</v>
      </c>
      <c r="C297">
        <v>13</v>
      </c>
      <c r="D297" t="s">
        <v>107</v>
      </c>
      <c r="E297">
        <v>10</v>
      </c>
      <c r="F297">
        <v>57</v>
      </c>
      <c r="G297" t="s">
        <v>107</v>
      </c>
      <c r="H297">
        <v>7</v>
      </c>
      <c r="I297" t="s">
        <v>3012</v>
      </c>
      <c r="J297" s="30" t="str">
        <f t="shared" si="12"/>
        <v>[309]=57,</v>
      </c>
      <c r="K297" s="3">
        <f t="shared" si="13"/>
        <v>309</v>
      </c>
      <c r="L297" s="3">
        <f t="shared" si="14"/>
        <v>57</v>
      </c>
      <c r="M297" s="8" t="str">
        <f>VLOOKUP(A297,'ESO wayshrine names'!$A$3:$B$9991,2,)</f>
        <v>Velothi Reverie</v>
      </c>
      <c r="N297" s="3" t="str">
        <f>VLOOKUP(F297,'ESO zone constants'!$A$5:$D$10001,4,FALSE)</f>
        <v>Deshaan</v>
      </c>
    </row>
    <row r="298" spans="1:14" x14ac:dyDescent="0.25">
      <c r="A298" s="94">
        <v>310</v>
      </c>
      <c r="B298">
        <v>25</v>
      </c>
      <c r="C298">
        <v>1126</v>
      </c>
      <c r="D298" t="s">
        <v>2367</v>
      </c>
      <c r="E298">
        <v>501</v>
      </c>
      <c r="F298">
        <v>888</v>
      </c>
      <c r="G298" t="s">
        <v>2367</v>
      </c>
      <c r="H298">
        <v>7</v>
      </c>
      <c r="I298" t="s">
        <v>549</v>
      </c>
      <c r="J298" s="30" t="str">
        <f t="shared" si="12"/>
        <v>[310]=888,</v>
      </c>
      <c r="K298" s="3">
        <f t="shared" si="13"/>
        <v>310</v>
      </c>
      <c r="L298" s="3">
        <f t="shared" si="14"/>
        <v>888</v>
      </c>
      <c r="M298" s="8" t="str">
        <f>VLOOKUP(A298,'ESO wayshrine names'!$A$3:$B$9991,2,)</f>
        <v>Domus Phrasticus</v>
      </c>
      <c r="N298" s="3" t="str">
        <f>VLOOKUP(F298,'ESO zone constants'!$A$5:$D$10001,4,FALSE)</f>
        <v>Craglorn</v>
      </c>
    </row>
    <row r="299" spans="1:14" x14ac:dyDescent="0.25">
      <c r="A299" s="94">
        <v>311</v>
      </c>
      <c r="B299">
        <v>17</v>
      </c>
      <c r="C299">
        <v>256</v>
      </c>
      <c r="D299" t="s">
        <v>2292</v>
      </c>
      <c r="E299">
        <v>180</v>
      </c>
      <c r="F299">
        <v>382</v>
      </c>
      <c r="G299" t="s">
        <v>2292</v>
      </c>
      <c r="H299">
        <v>7</v>
      </c>
      <c r="I299" t="s">
        <v>3013</v>
      </c>
      <c r="J299" s="30" t="str">
        <f t="shared" si="12"/>
        <v>[311]=382,</v>
      </c>
      <c r="K299" s="3">
        <f t="shared" si="13"/>
        <v>311</v>
      </c>
      <c r="L299" s="3">
        <f t="shared" si="14"/>
        <v>382</v>
      </c>
      <c r="M299" s="8" t="str">
        <f>VLOOKUP(A299,'ESO wayshrine names'!$A$3:$B$9991,2,)</f>
        <v>Sleek Creek House</v>
      </c>
      <c r="N299" s="3" t="str">
        <f>VLOOKUP(F299,'ESO zone constants'!$A$5:$D$10001,4,FALSE)</f>
        <v>Reaper's March</v>
      </c>
    </row>
    <row r="300" spans="1:14" x14ac:dyDescent="0.25">
      <c r="A300" s="94">
        <v>312</v>
      </c>
      <c r="B300">
        <v>13</v>
      </c>
      <c r="C300">
        <v>61</v>
      </c>
      <c r="D300" t="s">
        <v>2307</v>
      </c>
      <c r="E300">
        <v>15</v>
      </c>
      <c r="F300">
        <v>101</v>
      </c>
      <c r="G300" t="s">
        <v>2307</v>
      </c>
      <c r="H300">
        <v>7</v>
      </c>
      <c r="I300" t="s">
        <v>3258</v>
      </c>
      <c r="J300" s="30" t="str">
        <f t="shared" si="12"/>
        <v>[312]=101,</v>
      </c>
      <c r="K300" s="3">
        <f t="shared" si="13"/>
        <v>312</v>
      </c>
      <c r="L300" s="3">
        <f t="shared" si="14"/>
        <v>101</v>
      </c>
      <c r="M300" s="8" t="str">
        <f>VLOOKUP(A300,'ESO wayshrine names'!$A$3:$B$9991,2,)</f>
        <v>Grymharth's Woe</v>
      </c>
      <c r="N300" s="3" t="str">
        <f>VLOOKUP(F300,'ESO zone constants'!$A$5:$D$10001,4,FALSE)</f>
        <v>Eastmarch</v>
      </c>
    </row>
    <row r="301" spans="1:14" x14ac:dyDescent="0.25">
      <c r="A301" s="94">
        <v>313</v>
      </c>
      <c r="B301">
        <v>6</v>
      </c>
      <c r="C301">
        <v>20</v>
      </c>
      <c r="D301" t="s">
        <v>109</v>
      </c>
      <c r="E301">
        <v>14</v>
      </c>
      <c r="F301">
        <v>92</v>
      </c>
      <c r="G301" t="s">
        <v>109</v>
      </c>
      <c r="H301">
        <v>7</v>
      </c>
      <c r="I301" t="s">
        <v>3014</v>
      </c>
      <c r="J301" s="30" t="str">
        <f t="shared" si="12"/>
        <v>[313]=92,</v>
      </c>
      <c r="K301" s="3">
        <f t="shared" si="13"/>
        <v>313</v>
      </c>
      <c r="L301" s="3">
        <f t="shared" si="14"/>
        <v>92</v>
      </c>
      <c r="M301" s="8" t="str">
        <f>VLOOKUP(A301,'ESO wayshrine names'!$A$3:$B$9991,2,)</f>
        <v>Mournoth Keep</v>
      </c>
      <c r="N301" s="3" t="str">
        <f>VLOOKUP(F301,'ESO zone constants'!$A$5:$D$10001,4,FALSE)</f>
        <v>Bangkorai</v>
      </c>
    </row>
    <row r="302" spans="1:14" x14ac:dyDescent="0.25">
      <c r="A302" s="94">
        <v>314</v>
      </c>
      <c r="B302">
        <v>5</v>
      </c>
      <c r="C302">
        <v>30</v>
      </c>
      <c r="D302" t="s">
        <v>3187</v>
      </c>
      <c r="E302">
        <v>17</v>
      </c>
      <c r="F302">
        <v>104</v>
      </c>
      <c r="G302" t="s">
        <v>2304</v>
      </c>
      <c r="H302">
        <v>7</v>
      </c>
      <c r="I302" t="s">
        <v>3015</v>
      </c>
      <c r="J302" s="30" t="str">
        <f t="shared" si="12"/>
        <v>[314]=104,</v>
      </c>
      <c r="K302" s="3">
        <f t="shared" si="13"/>
        <v>314</v>
      </c>
      <c r="L302" s="3">
        <f t="shared" si="14"/>
        <v>104</v>
      </c>
      <c r="M302" s="8" t="str">
        <f>VLOOKUP(A302,'ESO wayshrine names'!$A$3:$B$9991,2,)</f>
        <v>House of the Silent Magnifico</v>
      </c>
      <c r="N302" s="3" t="str">
        <f>VLOOKUP(F302,'ESO zone constants'!$A$5:$D$10001,4,FALSE)</f>
        <v>Alik'r Desert</v>
      </c>
    </row>
    <row r="303" spans="1:14" x14ac:dyDescent="0.25">
      <c r="A303" s="94">
        <v>315</v>
      </c>
      <c r="B303">
        <v>15</v>
      </c>
      <c r="C303">
        <v>143</v>
      </c>
      <c r="D303" t="s">
        <v>262</v>
      </c>
      <c r="E303">
        <v>179</v>
      </c>
      <c r="F303">
        <v>381</v>
      </c>
      <c r="G303" t="s">
        <v>262</v>
      </c>
      <c r="H303">
        <v>7</v>
      </c>
      <c r="I303" t="s">
        <v>3016</v>
      </c>
      <c r="J303" s="30" t="str">
        <f t="shared" si="12"/>
        <v>[315]=381,</v>
      </c>
      <c r="K303" s="3">
        <f t="shared" si="13"/>
        <v>315</v>
      </c>
      <c r="L303" s="3">
        <f t="shared" si="14"/>
        <v>381</v>
      </c>
      <c r="M303" s="8" t="str">
        <f>VLOOKUP(A303,'ESO wayshrine names'!$A$3:$B$9991,2,)</f>
        <v>Mathiisen Manor</v>
      </c>
      <c r="N303" s="3" t="str">
        <f>VLOOKUP(F303,'ESO zone constants'!$A$5:$D$10001,4,FALSE)</f>
        <v>Auridon</v>
      </c>
    </row>
    <row r="304" spans="1:14" x14ac:dyDescent="0.25">
      <c r="A304" s="94">
        <v>316</v>
      </c>
      <c r="B304">
        <v>9</v>
      </c>
      <c r="C304">
        <v>26</v>
      </c>
      <c r="D304" t="s">
        <v>2309</v>
      </c>
      <c r="E304">
        <v>19</v>
      </c>
      <c r="F304">
        <v>117</v>
      </c>
      <c r="G304" t="s">
        <v>2309</v>
      </c>
      <c r="H304">
        <v>7</v>
      </c>
      <c r="I304" t="s">
        <v>3017</v>
      </c>
      <c r="J304" s="30" t="str">
        <f t="shared" si="12"/>
        <v>[316]=117,</v>
      </c>
      <c r="K304" s="3">
        <f t="shared" si="13"/>
        <v>316</v>
      </c>
      <c r="L304" s="3">
        <f t="shared" si="14"/>
        <v>117</v>
      </c>
      <c r="M304" s="8" t="str">
        <f>VLOOKUP(A304,'ESO wayshrine names'!$A$3:$B$9991,2,)</f>
        <v>Stay-Moist Mansion</v>
      </c>
      <c r="N304" s="3" t="str">
        <f>VLOOKUP(F304,'ESO zone constants'!$A$5:$D$10001,4,FALSE)</f>
        <v>Shadowfen</v>
      </c>
    </row>
    <row r="305" spans="1:14" x14ac:dyDescent="0.25">
      <c r="A305" s="94">
        <v>317</v>
      </c>
      <c r="B305">
        <v>7</v>
      </c>
      <c r="C305">
        <v>9</v>
      </c>
      <c r="D305" t="s">
        <v>2289</v>
      </c>
      <c r="E305">
        <v>181</v>
      </c>
      <c r="F305">
        <v>383</v>
      </c>
      <c r="G305" t="s">
        <v>2289</v>
      </c>
      <c r="H305">
        <v>7</v>
      </c>
      <c r="I305" t="s">
        <v>3018</v>
      </c>
      <c r="J305" s="30" t="str">
        <f t="shared" si="12"/>
        <v>[317]=383,</v>
      </c>
      <c r="K305" s="3">
        <f t="shared" si="13"/>
        <v>317</v>
      </c>
      <c r="L305" s="3">
        <f t="shared" si="14"/>
        <v>383</v>
      </c>
      <c r="M305" s="8" t="str">
        <f>VLOOKUP(A305,'ESO wayshrine names'!$A$3:$B$9991,2,)</f>
        <v>The Gorinir Estate</v>
      </c>
      <c r="N305" s="3" t="str">
        <f>VLOOKUP(F305,'ESO zone constants'!$A$5:$D$10001,4,FALSE)</f>
        <v>Grahtwood</v>
      </c>
    </row>
    <row r="306" spans="1:14" x14ac:dyDescent="0.25">
      <c r="A306" s="94">
        <v>318</v>
      </c>
      <c r="B306">
        <v>4</v>
      </c>
      <c r="C306">
        <v>12</v>
      </c>
      <c r="D306" t="s">
        <v>2306</v>
      </c>
      <c r="E306">
        <v>4</v>
      </c>
      <c r="F306">
        <v>19</v>
      </c>
      <c r="G306" t="s">
        <v>2306</v>
      </c>
      <c r="H306">
        <v>7</v>
      </c>
      <c r="I306" t="s">
        <v>3819</v>
      </c>
      <c r="J306" s="30" t="str">
        <f t="shared" si="12"/>
        <v>[318]=19,</v>
      </c>
      <c r="K306" s="3">
        <f t="shared" si="13"/>
        <v>318</v>
      </c>
      <c r="L306" s="3">
        <f t="shared" si="14"/>
        <v>19</v>
      </c>
      <c r="M306" s="8" t="str">
        <f>VLOOKUP(A306,'ESO wayshrine names'!$A$3:$B$9991,2,)</f>
        <v>Gardner House</v>
      </c>
      <c r="N306" s="3" t="str">
        <f>VLOOKUP(F306,'ESO zone constants'!$A$5:$D$10001,4,FALSE)</f>
        <v>Stormhaven</v>
      </c>
    </row>
    <row r="307" spans="1:14" x14ac:dyDescent="0.25">
      <c r="A307" s="94">
        <v>319</v>
      </c>
      <c r="B307">
        <v>10</v>
      </c>
      <c r="C307">
        <v>13</v>
      </c>
      <c r="D307" t="s">
        <v>107</v>
      </c>
      <c r="E307">
        <v>10</v>
      </c>
      <c r="F307">
        <v>57</v>
      </c>
      <c r="G307" t="s">
        <v>107</v>
      </c>
      <c r="H307">
        <v>7</v>
      </c>
      <c r="I307" t="s">
        <v>553</v>
      </c>
      <c r="J307" s="30" t="str">
        <f t="shared" si="12"/>
        <v>[319]=57,</v>
      </c>
      <c r="K307" s="3">
        <f t="shared" si="13"/>
        <v>319</v>
      </c>
      <c r="L307" s="3">
        <f t="shared" si="14"/>
        <v>57</v>
      </c>
      <c r="M307" s="8" t="str">
        <f>VLOOKUP(A307,'ESO wayshrine names'!$A$3:$B$9991,2,)</f>
        <v>Quondam Indorilia</v>
      </c>
      <c r="N307" s="3" t="str">
        <f>VLOOKUP(F307,'ESO zone constants'!$A$5:$D$10001,4,FALSE)</f>
        <v>Deshaan</v>
      </c>
    </row>
    <row r="308" spans="1:14" x14ac:dyDescent="0.25">
      <c r="A308" s="94">
        <v>320</v>
      </c>
      <c r="B308">
        <v>17</v>
      </c>
      <c r="C308">
        <v>256</v>
      </c>
      <c r="D308" t="s">
        <v>2292</v>
      </c>
      <c r="E308">
        <v>180</v>
      </c>
      <c r="F308">
        <v>382</v>
      </c>
      <c r="G308" t="s">
        <v>2292</v>
      </c>
      <c r="H308">
        <v>7</v>
      </c>
      <c r="I308" t="s">
        <v>3019</v>
      </c>
      <c r="J308" s="30" t="str">
        <f t="shared" si="12"/>
        <v>[320]=382,</v>
      </c>
      <c r="K308" s="3">
        <f t="shared" si="13"/>
        <v>320</v>
      </c>
      <c r="L308" s="3">
        <f t="shared" si="14"/>
        <v>382</v>
      </c>
      <c r="M308" s="8" t="str">
        <f>VLOOKUP(A308,'ESO wayshrine names'!$A$3:$B$9991,2,)</f>
        <v>Strident Springs Demesne</v>
      </c>
      <c r="N308" s="3" t="str">
        <f>VLOOKUP(F308,'ESO zone constants'!$A$5:$D$10001,4,FALSE)</f>
        <v>Reaper's March</v>
      </c>
    </row>
    <row r="309" spans="1:14" x14ac:dyDescent="0.25">
      <c r="A309" s="94">
        <v>321</v>
      </c>
      <c r="B309">
        <v>17</v>
      </c>
      <c r="C309">
        <v>256</v>
      </c>
      <c r="D309" t="s">
        <v>2292</v>
      </c>
      <c r="E309">
        <v>180</v>
      </c>
      <c r="F309">
        <v>382</v>
      </c>
      <c r="G309" t="s">
        <v>2292</v>
      </c>
      <c r="H309">
        <v>7</v>
      </c>
      <c r="I309" t="s">
        <v>3020</v>
      </c>
      <c r="J309" s="30" t="str">
        <f t="shared" si="12"/>
        <v>[321]=382,</v>
      </c>
      <c r="K309" s="3">
        <f t="shared" si="13"/>
        <v>321</v>
      </c>
      <c r="L309" s="3">
        <f t="shared" si="14"/>
        <v>382</v>
      </c>
      <c r="M309" s="8" t="str">
        <f>VLOOKUP(A309,'ESO wayshrine names'!$A$3:$B$9991,2,)</f>
        <v>Dawnshadow</v>
      </c>
      <c r="N309" s="3" t="str">
        <f>VLOOKUP(F309,'ESO zone constants'!$A$5:$D$10001,4,FALSE)</f>
        <v>Reaper's March</v>
      </c>
    </row>
    <row r="310" spans="1:14" x14ac:dyDescent="0.25">
      <c r="A310" s="94">
        <v>322</v>
      </c>
      <c r="B310">
        <v>12</v>
      </c>
      <c r="C310">
        <v>125</v>
      </c>
      <c r="D310" t="s">
        <v>2308</v>
      </c>
      <c r="E310">
        <v>16</v>
      </c>
      <c r="F310">
        <v>103</v>
      </c>
      <c r="G310" t="s">
        <v>2308</v>
      </c>
      <c r="H310">
        <v>7</v>
      </c>
      <c r="I310" t="s">
        <v>3021</v>
      </c>
      <c r="J310" s="30" t="str">
        <f t="shared" si="12"/>
        <v>[322]=103,</v>
      </c>
      <c r="K310" s="3">
        <f t="shared" si="13"/>
        <v>322</v>
      </c>
      <c r="L310" s="3">
        <f t="shared" si="14"/>
        <v>103</v>
      </c>
      <c r="M310" s="8" t="str">
        <f>VLOOKUP(A310,'ESO wayshrine names'!$A$3:$B$9991,2,)</f>
        <v>Old Mistveil Manor</v>
      </c>
      <c r="N310" s="3" t="str">
        <f>VLOOKUP(F310,'ESO zone constants'!$A$5:$D$10001,4,FALSE)</f>
        <v>The Rift</v>
      </c>
    </row>
    <row r="311" spans="1:14" x14ac:dyDescent="0.25">
      <c r="A311" s="94">
        <v>323</v>
      </c>
      <c r="B311">
        <v>6</v>
      </c>
      <c r="C311">
        <v>20</v>
      </c>
      <c r="D311" t="s">
        <v>109</v>
      </c>
      <c r="E311">
        <v>14</v>
      </c>
      <c r="F311">
        <v>92</v>
      </c>
      <c r="G311" t="s">
        <v>109</v>
      </c>
      <c r="H311">
        <v>7</v>
      </c>
      <c r="I311" t="s">
        <v>3022</v>
      </c>
      <c r="J311" s="30" t="str">
        <f t="shared" si="12"/>
        <v>[323]=92,</v>
      </c>
      <c r="K311" s="3">
        <f t="shared" si="13"/>
        <v>323</v>
      </c>
      <c r="L311" s="3">
        <f t="shared" si="14"/>
        <v>92</v>
      </c>
      <c r="M311" s="8" t="str">
        <f>VLOOKUP(A311,'ESO wayshrine names'!$A$3:$B$9991,2,)</f>
        <v>Forsaken Stronghold</v>
      </c>
      <c r="N311" s="3" t="str">
        <f>VLOOKUP(F311,'ESO zone constants'!$A$5:$D$10001,4,FALSE)</f>
        <v>Bangkorai</v>
      </c>
    </row>
    <row r="312" spans="1:14" x14ac:dyDescent="0.25">
      <c r="A312" s="94">
        <v>324</v>
      </c>
      <c r="B312">
        <v>19</v>
      </c>
      <c r="C312">
        <v>201</v>
      </c>
      <c r="D312" t="s">
        <v>383</v>
      </c>
      <c r="E312">
        <v>305</v>
      </c>
      <c r="F312">
        <v>534</v>
      </c>
      <c r="G312" t="s">
        <v>383</v>
      </c>
      <c r="H312">
        <v>7</v>
      </c>
      <c r="I312" t="s">
        <v>3023</v>
      </c>
      <c r="J312" s="30" t="str">
        <f t="shared" si="12"/>
        <v>[324]=534,</v>
      </c>
      <c r="K312" s="3">
        <f t="shared" si="13"/>
        <v>324</v>
      </c>
      <c r="L312" s="3">
        <f t="shared" si="14"/>
        <v>534</v>
      </c>
      <c r="M312" s="8" t="str">
        <f>VLOOKUP(A312,'ESO wayshrine names'!$A$3:$B$9991,2,)</f>
        <v>Hunding's Palatial Hall</v>
      </c>
      <c r="N312" s="3" t="str">
        <f>VLOOKUP(F312,'ESO zone constants'!$A$5:$D$10001,4,FALSE)</f>
        <v>Stros M'Kai</v>
      </c>
    </row>
    <row r="313" spans="1:14" x14ac:dyDescent="0.25">
      <c r="A313" s="94">
        <v>325</v>
      </c>
      <c r="B313">
        <v>7</v>
      </c>
      <c r="C313">
        <v>9</v>
      </c>
      <c r="D313" t="s">
        <v>2289</v>
      </c>
      <c r="E313">
        <v>181</v>
      </c>
      <c r="F313">
        <v>383</v>
      </c>
      <c r="G313" t="s">
        <v>2289</v>
      </c>
      <c r="H313">
        <v>7</v>
      </c>
      <c r="I313" t="s">
        <v>3024</v>
      </c>
      <c r="J313" s="30" t="str">
        <f t="shared" si="12"/>
        <v>[325]=383,</v>
      </c>
      <c r="K313" s="3">
        <f t="shared" si="13"/>
        <v>325</v>
      </c>
      <c r="L313" s="3">
        <f t="shared" si="14"/>
        <v>383</v>
      </c>
      <c r="M313" s="8" t="str">
        <f>VLOOKUP(A313,'ESO wayshrine names'!$A$3:$B$9991,2,)</f>
        <v>Grand Topal Hideaway</v>
      </c>
      <c r="N313" s="3" t="str">
        <f>VLOOKUP(F313,'ESO zone constants'!$A$5:$D$10001,4,FALSE)</f>
        <v>Grahtwood</v>
      </c>
    </row>
    <row r="314" spans="1:14" x14ac:dyDescent="0.25">
      <c r="A314" s="94">
        <v>326</v>
      </c>
      <c r="B314">
        <v>25</v>
      </c>
      <c r="C314">
        <v>1126</v>
      </c>
      <c r="D314" t="s">
        <v>2367</v>
      </c>
      <c r="E314">
        <v>501</v>
      </c>
      <c r="F314">
        <v>888</v>
      </c>
      <c r="G314" t="s">
        <v>2367</v>
      </c>
      <c r="H314">
        <v>6</v>
      </c>
      <c r="I314" t="s">
        <v>3820</v>
      </c>
      <c r="J314" s="30" t="str">
        <f t="shared" si="12"/>
        <v>[326]=888,</v>
      </c>
      <c r="K314" s="3">
        <f t="shared" si="13"/>
        <v>326</v>
      </c>
      <c r="L314" s="3">
        <f t="shared" si="14"/>
        <v>888</v>
      </c>
      <c r="M314" s="8" t="str">
        <f>VLOOKUP(A314,'ESO wayshrine names'!$A$3:$B$9991,2,)</f>
        <v>Dungeon: Bloodroot Forge</v>
      </c>
      <c r="N314" s="3" t="str">
        <f>VLOOKUP(F314,'ESO zone constants'!$A$5:$D$10001,4,FALSE)</f>
        <v>Craglorn</v>
      </c>
    </row>
    <row r="315" spans="1:14" x14ac:dyDescent="0.25">
      <c r="A315" s="94">
        <v>327</v>
      </c>
      <c r="B315">
        <v>25</v>
      </c>
      <c r="C315">
        <v>1126</v>
      </c>
      <c r="D315" t="s">
        <v>2367</v>
      </c>
      <c r="E315">
        <v>501</v>
      </c>
      <c r="F315">
        <v>888</v>
      </c>
      <c r="G315" t="s">
        <v>2367</v>
      </c>
      <c r="H315">
        <v>7</v>
      </c>
      <c r="I315" t="s">
        <v>3821</v>
      </c>
      <c r="J315" s="30" t="str">
        <f t="shared" si="12"/>
        <v>[327]=888,</v>
      </c>
      <c r="K315" s="3">
        <f t="shared" si="13"/>
        <v>327</v>
      </c>
      <c r="L315" s="3">
        <f t="shared" si="14"/>
        <v>888</v>
      </c>
      <c r="M315" s="8" t="str">
        <f>VLOOKUP(A315,'ESO wayshrine names'!$A$3:$B$9991,2,)</f>
        <v>Earthtear Cavern</v>
      </c>
      <c r="N315" s="3" t="str">
        <f>VLOOKUP(F315,'ESO zone constants'!$A$5:$D$10001,4,FALSE)</f>
        <v>Craglorn</v>
      </c>
    </row>
    <row r="316" spans="1:14" x14ac:dyDescent="0.25">
      <c r="A316" s="94">
        <v>328</v>
      </c>
      <c r="B316">
        <v>30</v>
      </c>
      <c r="C316">
        <v>1060</v>
      </c>
      <c r="D316" t="s">
        <v>530</v>
      </c>
      <c r="E316">
        <v>468</v>
      </c>
      <c r="F316">
        <v>849</v>
      </c>
      <c r="G316" t="s">
        <v>530</v>
      </c>
      <c r="H316">
        <v>1</v>
      </c>
      <c r="I316" t="s">
        <v>3025</v>
      </c>
      <c r="J316" s="30" t="str">
        <f t="shared" si="12"/>
        <v>[328]=849,</v>
      </c>
      <c r="K316" s="3">
        <f t="shared" si="13"/>
        <v>328</v>
      </c>
      <c r="L316" s="3">
        <f t="shared" si="14"/>
        <v>849</v>
      </c>
      <c r="M316" s="8" t="str">
        <f>VLOOKUP(A316,'ESO wayshrine names'!$A$3:$B$9991,2,)</f>
        <v>Vivec Temple Wayshrine</v>
      </c>
      <c r="N316" s="3" t="str">
        <f>VLOOKUP(F316,'ESO zone constants'!$A$5:$D$10001,4,FALSE)</f>
        <v>Vvardenfell</v>
      </c>
    </row>
    <row r="317" spans="1:14" x14ac:dyDescent="0.25">
      <c r="A317" s="94">
        <v>329</v>
      </c>
      <c r="B317">
        <v>30</v>
      </c>
      <c r="C317">
        <v>1060</v>
      </c>
      <c r="D317" t="s">
        <v>530</v>
      </c>
      <c r="E317">
        <v>468</v>
      </c>
      <c r="F317">
        <v>849</v>
      </c>
      <c r="G317" t="s">
        <v>530</v>
      </c>
      <c r="H317">
        <v>1</v>
      </c>
      <c r="I317" t="s">
        <v>3026</v>
      </c>
      <c r="J317" s="30" t="str">
        <f t="shared" si="12"/>
        <v>[329]=849,</v>
      </c>
      <c r="K317" s="3">
        <f t="shared" si="13"/>
        <v>329</v>
      </c>
      <c r="L317" s="3">
        <f t="shared" si="14"/>
        <v>849</v>
      </c>
      <c r="M317" s="8" t="str">
        <f>VLOOKUP(A317,'ESO wayshrine names'!$A$3:$B$9991,2,)</f>
        <v>West Gash Wayshrine</v>
      </c>
      <c r="N317" s="3" t="str">
        <f>VLOOKUP(F317,'ESO zone constants'!$A$5:$D$10001,4,FALSE)</f>
        <v>Vvardenfell</v>
      </c>
    </row>
    <row r="318" spans="1:14" x14ac:dyDescent="0.25">
      <c r="A318" s="94">
        <v>330</v>
      </c>
      <c r="B318">
        <v>30</v>
      </c>
      <c r="C318">
        <v>1060</v>
      </c>
      <c r="D318" t="s">
        <v>530</v>
      </c>
      <c r="E318">
        <v>468</v>
      </c>
      <c r="F318">
        <v>849</v>
      </c>
      <c r="G318" t="s">
        <v>530</v>
      </c>
      <c r="H318">
        <v>1</v>
      </c>
      <c r="I318" t="s">
        <v>3027</v>
      </c>
      <c r="J318" s="30" t="str">
        <f t="shared" si="12"/>
        <v>[330]=849,</v>
      </c>
      <c r="K318" s="3">
        <f t="shared" si="13"/>
        <v>330</v>
      </c>
      <c r="L318" s="3">
        <f t="shared" si="14"/>
        <v>849</v>
      </c>
      <c r="M318" s="8" t="str">
        <f>VLOOKUP(A318,'ESO wayshrine names'!$A$3:$B$9991,2,)</f>
        <v>Urshilaku Camp Wayshrine</v>
      </c>
      <c r="N318" s="3" t="str">
        <f>VLOOKUP(F318,'ESO zone constants'!$A$5:$D$10001,4,FALSE)</f>
        <v>Vvardenfell</v>
      </c>
    </row>
    <row r="319" spans="1:14" x14ac:dyDescent="0.25">
      <c r="A319" s="94">
        <v>331</v>
      </c>
      <c r="B319">
        <v>30</v>
      </c>
      <c r="C319">
        <v>1060</v>
      </c>
      <c r="D319" t="s">
        <v>530</v>
      </c>
      <c r="E319">
        <v>468</v>
      </c>
      <c r="F319">
        <v>849</v>
      </c>
      <c r="G319" t="s">
        <v>530</v>
      </c>
      <c r="H319">
        <v>3</v>
      </c>
      <c r="I319" t="s">
        <v>3028</v>
      </c>
      <c r="J319" s="30" t="str">
        <f t="shared" si="12"/>
        <v>[331]=849,</v>
      </c>
      <c r="K319" s="3">
        <f t="shared" si="13"/>
        <v>331</v>
      </c>
      <c r="L319" s="3">
        <f t="shared" si="14"/>
        <v>849</v>
      </c>
      <c r="M319" s="8" t="str">
        <f>VLOOKUP(A319,'ESO wayshrine names'!$A$3:$B$9991,2,)</f>
        <v>Trial: Halls of Fabrication</v>
      </c>
      <c r="N319" s="3" t="str">
        <f>VLOOKUP(F319,'ESO zone constants'!$A$5:$D$10001,4,FALSE)</f>
        <v>Vvardenfell</v>
      </c>
    </row>
    <row r="320" spans="1:14" x14ac:dyDescent="0.25">
      <c r="A320" s="94">
        <v>332</v>
      </c>
      <c r="B320">
        <v>25</v>
      </c>
      <c r="C320">
        <v>1126</v>
      </c>
      <c r="D320" t="s">
        <v>2367</v>
      </c>
      <c r="E320">
        <v>501</v>
      </c>
      <c r="F320">
        <v>888</v>
      </c>
      <c r="G320" t="s">
        <v>2367</v>
      </c>
      <c r="H320">
        <v>6</v>
      </c>
      <c r="I320" t="s">
        <v>3822</v>
      </c>
      <c r="J320" s="30" t="str">
        <f t="shared" si="12"/>
        <v>[332]=888,</v>
      </c>
      <c r="K320" s="3">
        <f t="shared" si="13"/>
        <v>332</v>
      </c>
      <c r="L320" s="3">
        <f t="shared" si="14"/>
        <v>888</v>
      </c>
      <c r="M320" s="8" t="str">
        <f>VLOOKUP(A320,'ESO wayshrine names'!$A$3:$B$9991,2,)</f>
        <v>Dungeon: Falkreath Hold</v>
      </c>
      <c r="N320" s="3" t="str">
        <f>VLOOKUP(F320,'ESO zone constants'!$A$5:$D$10001,4,FALSE)</f>
        <v>Craglorn</v>
      </c>
    </row>
    <row r="321" spans="1:14" x14ac:dyDescent="0.25">
      <c r="A321" s="94">
        <v>333</v>
      </c>
      <c r="B321">
        <v>30</v>
      </c>
      <c r="C321">
        <v>1060</v>
      </c>
      <c r="D321" t="s">
        <v>530</v>
      </c>
      <c r="E321">
        <v>468</v>
      </c>
      <c r="F321">
        <v>849</v>
      </c>
      <c r="G321" t="s">
        <v>530</v>
      </c>
      <c r="H321">
        <v>7</v>
      </c>
      <c r="I321" t="s">
        <v>3029</v>
      </c>
      <c r="J321" s="30" t="str">
        <f t="shared" si="12"/>
        <v>[333]=849,</v>
      </c>
      <c r="K321" s="3">
        <f t="shared" si="13"/>
        <v>333</v>
      </c>
      <c r="L321" s="3">
        <f t="shared" si="14"/>
        <v>849</v>
      </c>
      <c r="M321" s="8" t="str">
        <f>VLOOKUP(A321,'ESO wayshrine names'!$A$3:$B$9991,2,)</f>
        <v>Saint Delyn Penthouse</v>
      </c>
      <c r="N321" s="3" t="str">
        <f>VLOOKUP(F321,'ESO zone constants'!$A$5:$D$10001,4,FALSE)</f>
        <v>Vvardenfell</v>
      </c>
    </row>
    <row r="322" spans="1:14" x14ac:dyDescent="0.25">
      <c r="A322" s="94">
        <v>334</v>
      </c>
      <c r="B322">
        <v>30</v>
      </c>
      <c r="C322">
        <v>1060</v>
      </c>
      <c r="D322" t="s">
        <v>530</v>
      </c>
      <c r="E322">
        <v>468</v>
      </c>
      <c r="F322">
        <v>849</v>
      </c>
      <c r="G322" t="s">
        <v>530</v>
      </c>
      <c r="H322">
        <v>7</v>
      </c>
      <c r="I322" t="s">
        <v>3030</v>
      </c>
      <c r="J322" s="30" t="str">
        <f t="shared" si="12"/>
        <v>[334]=849,</v>
      </c>
      <c r="K322" s="3">
        <f t="shared" si="13"/>
        <v>334</v>
      </c>
      <c r="L322" s="3">
        <f t="shared" si="14"/>
        <v>849</v>
      </c>
      <c r="M322" s="8" t="str">
        <f>VLOOKUP(A322,'ESO wayshrine names'!$A$3:$B$9991,2,)</f>
        <v>Amaya Lake Lodge</v>
      </c>
      <c r="N322" s="3" t="str">
        <f>VLOOKUP(F322,'ESO zone constants'!$A$5:$D$10001,4,FALSE)</f>
        <v>Vvardenfell</v>
      </c>
    </row>
    <row r="323" spans="1:14" x14ac:dyDescent="0.25">
      <c r="A323" s="94">
        <v>335</v>
      </c>
      <c r="B323">
        <v>30</v>
      </c>
      <c r="C323">
        <v>1060</v>
      </c>
      <c r="D323" t="s">
        <v>530</v>
      </c>
      <c r="E323">
        <v>468</v>
      </c>
      <c r="F323">
        <v>849</v>
      </c>
      <c r="G323" t="s">
        <v>530</v>
      </c>
      <c r="H323">
        <v>7</v>
      </c>
      <c r="I323" t="s">
        <v>3031</v>
      </c>
      <c r="J323" s="30" t="str">
        <f t="shared" ref="J323:J386" si="15">IF(A323&lt;&gt;"",IF(F323&lt;&gt;"",IF(OR(ISNA(A323),ISNA(F323)),"","["&amp;A323&amp;"]="&amp;F323&amp;","),""),"")</f>
        <v>[335]=849,</v>
      </c>
      <c r="K323" s="3">
        <f t="shared" ref="K323:K386" si="16">A323</f>
        <v>335</v>
      </c>
      <c r="L323" s="3">
        <f t="shared" ref="L323:L386" si="17">F323</f>
        <v>849</v>
      </c>
      <c r="M323" s="8" t="str">
        <f>VLOOKUP(A323,'ESO wayshrine names'!$A$3:$B$9991,2,)</f>
        <v>Ald Velothi Harbor House</v>
      </c>
      <c r="N323" s="3" t="str">
        <f>VLOOKUP(F323,'ESO zone constants'!$A$5:$D$10001,4,FALSE)</f>
        <v>Vvardenfell</v>
      </c>
    </row>
    <row r="324" spans="1:14" x14ac:dyDescent="0.25">
      <c r="A324" s="94">
        <v>336</v>
      </c>
      <c r="B324">
        <v>30</v>
      </c>
      <c r="C324">
        <v>1060</v>
      </c>
      <c r="D324" t="s">
        <v>530</v>
      </c>
      <c r="E324">
        <v>468</v>
      </c>
      <c r="F324">
        <v>849</v>
      </c>
      <c r="G324" t="s">
        <v>530</v>
      </c>
      <c r="H324">
        <v>7</v>
      </c>
      <c r="I324" t="s">
        <v>654</v>
      </c>
      <c r="J324" s="30" t="str">
        <f t="shared" si="15"/>
        <v>[336]=849,</v>
      </c>
      <c r="K324" s="3">
        <f t="shared" si="16"/>
        <v>336</v>
      </c>
      <c r="L324" s="3">
        <f t="shared" si="17"/>
        <v>849</v>
      </c>
      <c r="M324" s="8" t="str">
        <f>VLOOKUP(A324,'ESO wayshrine names'!$A$3:$B$9991,2,)</f>
        <v>Tel Galen</v>
      </c>
      <c r="N324" s="3" t="str">
        <f>VLOOKUP(F324,'ESO zone constants'!$A$5:$D$10001,4,FALSE)</f>
        <v>Vvardenfell</v>
      </c>
    </row>
    <row r="325" spans="1:14" x14ac:dyDescent="0.25">
      <c r="A325" s="94">
        <v>337</v>
      </c>
      <c r="B325">
        <v>31</v>
      </c>
      <c r="C325">
        <v>1313</v>
      </c>
      <c r="D325" t="s">
        <v>2315</v>
      </c>
      <c r="E325">
        <v>590</v>
      </c>
      <c r="F325">
        <v>980</v>
      </c>
      <c r="G325" t="s">
        <v>3032</v>
      </c>
      <c r="H325">
        <v>1</v>
      </c>
      <c r="I325" t="s">
        <v>3033</v>
      </c>
      <c r="J325" s="30" t="str">
        <f t="shared" si="15"/>
        <v>[337]=980,</v>
      </c>
      <c r="K325" s="3">
        <f t="shared" si="16"/>
        <v>337</v>
      </c>
      <c r="L325" s="3">
        <f t="shared" si="17"/>
        <v>980</v>
      </c>
      <c r="M325" s="8" t="str">
        <f>VLOOKUP(A325,'ESO wayshrine names'!$A$3:$B$9991,2,)</f>
        <v>Brass Fortress Wayshrine</v>
      </c>
      <c r="N325" s="3" t="str">
        <f>VLOOKUP(F325,'ESO zone constants'!$A$5:$D$10001,4,FALSE)</f>
        <v>Clockwork City</v>
      </c>
    </row>
    <row r="326" spans="1:14" x14ac:dyDescent="0.25">
      <c r="A326" s="94">
        <v>338</v>
      </c>
      <c r="B326">
        <v>31</v>
      </c>
      <c r="C326">
        <v>1313</v>
      </c>
      <c r="D326" t="s">
        <v>2315</v>
      </c>
      <c r="E326">
        <v>590</v>
      </c>
      <c r="F326">
        <v>980</v>
      </c>
      <c r="G326" t="s">
        <v>3032</v>
      </c>
      <c r="H326">
        <v>1</v>
      </c>
      <c r="I326" t="s">
        <v>3034</v>
      </c>
      <c r="J326" s="30" t="str">
        <f t="shared" si="15"/>
        <v>[338]=980,</v>
      </c>
      <c r="K326" s="3">
        <f t="shared" si="16"/>
        <v>338</v>
      </c>
      <c r="L326" s="3">
        <f t="shared" si="17"/>
        <v>980</v>
      </c>
      <c r="M326" s="8" t="str">
        <f>VLOOKUP(A326,'ESO wayshrine names'!$A$3:$B$9991,2,)</f>
        <v>Clockwork Crossroads Wayshrine</v>
      </c>
      <c r="N326" s="3" t="str">
        <f>VLOOKUP(F326,'ESO zone constants'!$A$5:$D$10001,4,FALSE)</f>
        <v>Clockwork City</v>
      </c>
    </row>
    <row r="327" spans="1:14" x14ac:dyDescent="0.25">
      <c r="A327" s="94">
        <v>339</v>
      </c>
      <c r="B327">
        <v>31</v>
      </c>
      <c r="C327">
        <v>1313</v>
      </c>
      <c r="D327" t="s">
        <v>2315</v>
      </c>
      <c r="E327">
        <v>590</v>
      </c>
      <c r="F327">
        <v>980</v>
      </c>
      <c r="G327" t="s">
        <v>3032</v>
      </c>
      <c r="H327">
        <v>1</v>
      </c>
      <c r="I327" t="s">
        <v>3035</v>
      </c>
      <c r="J327" s="30" t="str">
        <f t="shared" si="15"/>
        <v>[339]=980,</v>
      </c>
      <c r="K327" s="3">
        <f t="shared" si="16"/>
        <v>339</v>
      </c>
      <c r="L327" s="3">
        <f t="shared" si="17"/>
        <v>980</v>
      </c>
      <c r="M327" s="8" t="str">
        <f>VLOOKUP(A327,'ESO wayshrine names'!$A$3:$B$9991,2,)</f>
        <v>Mire Mechanica Wayshrine</v>
      </c>
      <c r="N327" s="3" t="str">
        <f>VLOOKUP(F327,'ESO zone constants'!$A$5:$D$10001,4,FALSE)</f>
        <v>Clockwork City</v>
      </c>
    </row>
    <row r="328" spans="1:14" x14ac:dyDescent="0.25">
      <c r="A328" s="94">
        <v>340</v>
      </c>
      <c r="B328">
        <v>31</v>
      </c>
      <c r="C328">
        <v>1313</v>
      </c>
      <c r="D328" t="s">
        <v>2315</v>
      </c>
      <c r="E328">
        <v>590</v>
      </c>
      <c r="F328">
        <v>980</v>
      </c>
      <c r="G328" t="s">
        <v>3032</v>
      </c>
      <c r="H328">
        <v>1</v>
      </c>
      <c r="I328" t="s">
        <v>3036</v>
      </c>
      <c r="J328" s="30" t="str">
        <f t="shared" si="15"/>
        <v>[340]=980,</v>
      </c>
      <c r="K328" s="3">
        <f t="shared" si="16"/>
        <v>340</v>
      </c>
      <c r="L328" s="3">
        <f t="shared" si="17"/>
        <v>980</v>
      </c>
      <c r="M328" s="8" t="str">
        <f>VLOOKUP(A328,'ESO wayshrine names'!$A$3:$B$9991,2,)</f>
        <v>Sanctuary Wayshrine</v>
      </c>
      <c r="N328" s="3" t="str">
        <f>VLOOKUP(F328,'ESO zone constants'!$A$5:$D$10001,4,FALSE)</f>
        <v>Clockwork City</v>
      </c>
    </row>
    <row r="329" spans="1:14" x14ac:dyDescent="0.25">
      <c r="A329" s="94">
        <v>341</v>
      </c>
      <c r="B329">
        <v>6</v>
      </c>
      <c r="C329">
        <v>20</v>
      </c>
      <c r="D329" t="s">
        <v>109</v>
      </c>
      <c r="E329">
        <v>14</v>
      </c>
      <c r="F329">
        <v>92</v>
      </c>
      <c r="G329" t="s">
        <v>109</v>
      </c>
      <c r="H329">
        <v>6</v>
      </c>
      <c r="I329" t="s">
        <v>3037</v>
      </c>
      <c r="J329" s="30" t="str">
        <f t="shared" si="15"/>
        <v>[341]=92,</v>
      </c>
      <c r="K329" s="3">
        <f t="shared" si="16"/>
        <v>341</v>
      </c>
      <c r="L329" s="3">
        <f t="shared" si="17"/>
        <v>92</v>
      </c>
      <c r="M329" s="8" t="str">
        <f>VLOOKUP(A329,'ESO wayshrine names'!$A$3:$B$9991,2,)</f>
        <v>Dungeon: Fang Lair</v>
      </c>
      <c r="N329" s="3" t="str">
        <f>VLOOKUP(F329,'ESO zone constants'!$A$5:$D$10001,4,FALSE)</f>
        <v>Bangkorai</v>
      </c>
    </row>
    <row r="330" spans="1:14" x14ac:dyDescent="0.25">
      <c r="A330" s="94">
        <v>342</v>
      </c>
      <c r="B330">
        <v>2</v>
      </c>
      <c r="C330">
        <v>1</v>
      </c>
      <c r="D330" t="s">
        <v>103</v>
      </c>
      <c r="E330">
        <v>2</v>
      </c>
      <c r="F330">
        <v>3</v>
      </c>
      <c r="G330" t="s">
        <v>103</v>
      </c>
      <c r="H330">
        <v>7</v>
      </c>
      <c r="I330" t="s">
        <v>3038</v>
      </c>
      <c r="J330" s="30" t="str">
        <f t="shared" si="15"/>
        <v>[342]=3,</v>
      </c>
      <c r="K330" s="3">
        <f t="shared" si="16"/>
        <v>342</v>
      </c>
      <c r="L330" s="3">
        <f t="shared" si="17"/>
        <v>3</v>
      </c>
      <c r="M330" s="8" t="str">
        <f>VLOOKUP(A330,'ESO wayshrine names'!$A$3:$B$9991,2,)</f>
        <v>Exorcised Coven Cottage</v>
      </c>
      <c r="N330" s="3" t="str">
        <f>VLOOKUP(F330,'ESO zone constants'!$A$5:$D$10001,4,FALSE)</f>
        <v>Glenumbra</v>
      </c>
    </row>
    <row r="331" spans="1:14" x14ac:dyDescent="0.25">
      <c r="A331" s="94">
        <v>343</v>
      </c>
      <c r="B331">
        <v>29</v>
      </c>
      <c r="C331">
        <v>1006</v>
      </c>
      <c r="D331" t="s">
        <v>2311</v>
      </c>
      <c r="E331">
        <v>449</v>
      </c>
      <c r="F331">
        <v>823</v>
      </c>
      <c r="G331" t="s">
        <v>2962</v>
      </c>
      <c r="H331">
        <v>7</v>
      </c>
      <c r="I331" t="s">
        <v>3039</v>
      </c>
      <c r="J331" s="30" t="str">
        <f t="shared" si="15"/>
        <v>[343]=823,</v>
      </c>
      <c r="K331" s="3">
        <f t="shared" si="16"/>
        <v>343</v>
      </c>
      <c r="L331" s="3">
        <f t="shared" si="17"/>
        <v>823</v>
      </c>
      <c r="M331" s="8" t="str">
        <f>VLOOKUP(A331,'ESO wayshrine names'!$A$3:$B$9991,2,)</f>
        <v>Linchal Grand Manor</v>
      </c>
      <c r="N331" s="3" t="str">
        <f>VLOOKUP(F331,'ESO zone constants'!$A$5:$D$10001,4,FALSE)</f>
        <v>Gold Coast</v>
      </c>
    </row>
    <row r="332" spans="1:14" x14ac:dyDescent="0.25">
      <c r="A332" s="94">
        <v>344</v>
      </c>
      <c r="B332">
        <v>23</v>
      </c>
      <c r="C332">
        <v>255</v>
      </c>
      <c r="D332" t="s">
        <v>2366</v>
      </c>
      <c r="E332">
        <v>155</v>
      </c>
      <c r="F332">
        <v>347</v>
      </c>
      <c r="G332" t="s">
        <v>2366</v>
      </c>
      <c r="H332">
        <v>7</v>
      </c>
      <c r="I332" t="s">
        <v>3040</v>
      </c>
      <c r="J332" s="30" t="str">
        <f t="shared" si="15"/>
        <v>[344]=347,</v>
      </c>
      <c r="K332" s="3">
        <f t="shared" si="16"/>
        <v>344</v>
      </c>
      <c r="L332" s="3">
        <f t="shared" si="17"/>
        <v>347</v>
      </c>
      <c r="M332" s="8" t="str">
        <f>VLOOKUP(A332,'ESO wayshrine names'!$A$3:$B$9991,2,)</f>
        <v>Coldharbour Surreal Estate</v>
      </c>
      <c r="N332" s="3" t="str">
        <f>VLOOKUP(F332,'ESO zone constants'!$A$5:$D$10001,4,FALSE)</f>
        <v>Coldharbour</v>
      </c>
    </row>
    <row r="333" spans="1:14" x14ac:dyDescent="0.25">
      <c r="A333" s="94">
        <v>345</v>
      </c>
      <c r="B333">
        <v>25</v>
      </c>
      <c r="C333">
        <v>1126</v>
      </c>
      <c r="D333" t="s">
        <v>2367</v>
      </c>
      <c r="E333">
        <v>501</v>
      </c>
      <c r="F333">
        <v>888</v>
      </c>
      <c r="G333" t="s">
        <v>2367</v>
      </c>
      <c r="H333">
        <v>7</v>
      </c>
      <c r="I333" t="s">
        <v>3823</v>
      </c>
      <c r="J333" s="30" t="str">
        <f t="shared" si="15"/>
        <v>[345]=888,</v>
      </c>
      <c r="K333" s="3">
        <f t="shared" si="16"/>
        <v>345</v>
      </c>
      <c r="L333" s="3">
        <f t="shared" si="17"/>
        <v>888</v>
      </c>
      <c r="M333" s="8" t="str">
        <f>VLOOKUP(A333,'ESO wayshrine names'!$A$3:$B$9991,2,)</f>
        <v>Hakkvild's High Hall</v>
      </c>
      <c r="N333" s="3" t="str">
        <f>VLOOKUP(F333,'ESO zone constants'!$A$5:$D$10001,4,FALSE)</f>
        <v>Craglorn</v>
      </c>
    </row>
    <row r="334" spans="1:14" x14ac:dyDescent="0.25">
      <c r="A334" s="94">
        <v>346</v>
      </c>
      <c r="B334">
        <v>31</v>
      </c>
      <c r="C334">
        <v>1313</v>
      </c>
      <c r="D334" t="s">
        <v>2315</v>
      </c>
      <c r="E334">
        <v>590</v>
      </c>
      <c r="F334">
        <v>980</v>
      </c>
      <c r="G334" t="s">
        <v>3032</v>
      </c>
      <c r="H334">
        <v>3</v>
      </c>
      <c r="I334" t="s">
        <v>3041</v>
      </c>
      <c r="J334" s="30" t="str">
        <f t="shared" si="15"/>
        <v>[346]=980,</v>
      </c>
      <c r="K334" s="3">
        <f t="shared" si="16"/>
        <v>346</v>
      </c>
      <c r="L334" s="3">
        <f t="shared" si="17"/>
        <v>980</v>
      </c>
      <c r="M334" s="8" t="str">
        <f>VLOOKUP(A334,'ESO wayshrine names'!$A$3:$B$9991,2,)</f>
        <v>Trial: Asylum Sanctorium</v>
      </c>
      <c r="N334" s="3" t="str">
        <f>VLOOKUP(F334,'ESO zone constants'!$A$5:$D$10001,4,FALSE)</f>
        <v>Clockwork City</v>
      </c>
    </row>
    <row r="335" spans="1:14" x14ac:dyDescent="0.25">
      <c r="A335" s="94">
        <v>347</v>
      </c>
      <c r="B335">
        <v>31</v>
      </c>
      <c r="C335">
        <v>1313</v>
      </c>
      <c r="D335" t="s">
        <v>2315</v>
      </c>
      <c r="E335">
        <v>590</v>
      </c>
      <c r="F335">
        <v>980</v>
      </c>
      <c r="G335" t="s">
        <v>3032</v>
      </c>
      <c r="H335">
        <v>7</v>
      </c>
      <c r="I335" t="s">
        <v>3042</v>
      </c>
      <c r="J335" s="30" t="str">
        <f t="shared" si="15"/>
        <v>[347]=980,</v>
      </c>
      <c r="K335" s="3">
        <f t="shared" si="16"/>
        <v>347</v>
      </c>
      <c r="L335" s="3">
        <f t="shared" si="17"/>
        <v>980</v>
      </c>
      <c r="M335" s="8" t="str">
        <f>VLOOKUP(A335,'ESO wayshrine names'!$A$3:$B$9991,2,)</f>
        <v>The Orbservatory Prior</v>
      </c>
      <c r="N335" s="3" t="str">
        <f>VLOOKUP(F335,'ESO zone constants'!$A$5:$D$10001,4,FALSE)</f>
        <v>Clockwork City</v>
      </c>
    </row>
    <row r="336" spans="1:14" x14ac:dyDescent="0.25">
      <c r="A336">
        <v>348</v>
      </c>
      <c r="B336">
        <v>27</v>
      </c>
      <c r="C336">
        <v>667</v>
      </c>
      <c r="D336" t="s">
        <v>450</v>
      </c>
      <c r="E336">
        <v>380</v>
      </c>
      <c r="F336">
        <v>684</v>
      </c>
      <c r="G336" t="s">
        <v>450</v>
      </c>
      <c r="H336">
        <v>7</v>
      </c>
      <c r="I336" t="s">
        <v>691</v>
      </c>
      <c r="J336" s="30" t="str">
        <f t="shared" si="15"/>
        <v>[348]=684,</v>
      </c>
      <c r="K336" s="3">
        <f t="shared" si="16"/>
        <v>348</v>
      </c>
      <c r="L336" s="3">
        <f t="shared" si="17"/>
        <v>684</v>
      </c>
      <c r="M336" s="8" t="str">
        <f>VLOOKUP(A336,'ESO wayshrine names'!$A$3:$B$9991,2,)</f>
        <v>Pariah's Pinnacle</v>
      </c>
      <c r="N336" s="3" t="str">
        <f>VLOOKUP(F336,'ESO zone constants'!$A$5:$D$10001,4,FALSE)</f>
        <v>Wrothgar</v>
      </c>
    </row>
    <row r="337" spans="1:14" x14ac:dyDescent="0.25">
      <c r="A337" s="94">
        <v>349</v>
      </c>
      <c r="B337">
        <v>32</v>
      </c>
      <c r="C337">
        <v>1349</v>
      </c>
      <c r="D337" t="s">
        <v>2314</v>
      </c>
      <c r="E337">
        <v>617</v>
      </c>
      <c r="F337">
        <v>1011</v>
      </c>
      <c r="G337" t="s">
        <v>2314</v>
      </c>
      <c r="H337">
        <v>1</v>
      </c>
      <c r="I337" t="s">
        <v>3043</v>
      </c>
      <c r="J337" s="30" t="str">
        <f t="shared" si="15"/>
        <v>[349]=1011,</v>
      </c>
      <c r="K337" s="3">
        <f t="shared" si="16"/>
        <v>349</v>
      </c>
      <c r="L337" s="3">
        <f t="shared" si="17"/>
        <v>1011</v>
      </c>
      <c r="M337" s="8" t="str">
        <f>VLOOKUP(A337,'ESO wayshrine names'!$A$3:$B$9991,2,)</f>
        <v>King's Haven Pass Wayshrine</v>
      </c>
      <c r="N337" s="3" t="str">
        <f>VLOOKUP(F337,'ESO zone constants'!$A$5:$D$10001,4,FALSE)</f>
        <v>Summerset</v>
      </c>
    </row>
    <row r="338" spans="1:14" x14ac:dyDescent="0.25">
      <c r="A338" s="94">
        <v>350</v>
      </c>
      <c r="B338">
        <v>32</v>
      </c>
      <c r="C338">
        <v>1349</v>
      </c>
      <c r="D338" t="s">
        <v>2314</v>
      </c>
      <c r="E338">
        <v>617</v>
      </c>
      <c r="F338">
        <v>1011</v>
      </c>
      <c r="G338" t="s">
        <v>2314</v>
      </c>
      <c r="H338">
        <v>1</v>
      </c>
      <c r="I338" t="s">
        <v>3044</v>
      </c>
      <c r="J338" s="30" t="str">
        <f t="shared" si="15"/>
        <v>[350]=1011,</v>
      </c>
      <c r="K338" s="3">
        <f t="shared" si="16"/>
        <v>350</v>
      </c>
      <c r="L338" s="3">
        <f t="shared" si="17"/>
        <v>1011</v>
      </c>
      <c r="M338" s="8" t="str">
        <f>VLOOKUP(A338,'ESO wayshrine names'!$A$3:$B$9991,2,)</f>
        <v>Shimmerene Wayshrine</v>
      </c>
      <c r="N338" s="3" t="str">
        <f>VLOOKUP(F338,'ESO zone constants'!$A$5:$D$10001,4,FALSE)</f>
        <v>Summerset</v>
      </c>
    </row>
    <row r="339" spans="1:14" x14ac:dyDescent="0.25">
      <c r="A339" s="94">
        <v>351</v>
      </c>
      <c r="B339">
        <v>32</v>
      </c>
      <c r="C339">
        <v>1349</v>
      </c>
      <c r="D339" t="s">
        <v>2314</v>
      </c>
      <c r="E339">
        <v>617</v>
      </c>
      <c r="F339">
        <v>1011</v>
      </c>
      <c r="G339" t="s">
        <v>2314</v>
      </c>
      <c r="H339">
        <v>1</v>
      </c>
      <c r="I339" t="s">
        <v>3045</v>
      </c>
      <c r="J339" s="30" t="str">
        <f t="shared" si="15"/>
        <v>[351]=1011,</v>
      </c>
      <c r="K339" s="3">
        <f t="shared" si="16"/>
        <v>351</v>
      </c>
      <c r="L339" s="3">
        <f t="shared" si="17"/>
        <v>1011</v>
      </c>
      <c r="M339" s="8" t="str">
        <f>VLOOKUP(A339,'ESO wayshrine names'!$A$3:$B$9991,2,)</f>
        <v>Sil-Var-Woad Wayshrine</v>
      </c>
      <c r="N339" s="3" t="str">
        <f>VLOOKUP(F339,'ESO zone constants'!$A$5:$D$10001,4,FALSE)</f>
        <v>Summerset</v>
      </c>
    </row>
    <row r="340" spans="1:14" x14ac:dyDescent="0.25">
      <c r="A340" s="94">
        <v>352</v>
      </c>
      <c r="B340">
        <v>32</v>
      </c>
      <c r="C340">
        <v>1349</v>
      </c>
      <c r="D340" t="s">
        <v>2314</v>
      </c>
      <c r="E340">
        <v>617</v>
      </c>
      <c r="F340">
        <v>1011</v>
      </c>
      <c r="G340" t="s">
        <v>2314</v>
      </c>
      <c r="H340">
        <v>1</v>
      </c>
      <c r="I340" t="s">
        <v>3046</v>
      </c>
      <c r="J340" s="30" t="str">
        <f t="shared" si="15"/>
        <v>[352]=1011,</v>
      </c>
      <c r="K340" s="3">
        <f t="shared" si="16"/>
        <v>352</v>
      </c>
      <c r="L340" s="3">
        <f t="shared" si="17"/>
        <v>1011</v>
      </c>
      <c r="M340" s="8" t="str">
        <f>VLOOKUP(A340,'ESO wayshrine names'!$A$3:$B$9991,2,)</f>
        <v>Russafeld Heights Wayshrine</v>
      </c>
      <c r="N340" s="3" t="str">
        <f>VLOOKUP(F340,'ESO zone constants'!$A$5:$D$10001,4,FALSE)</f>
        <v>Summerset</v>
      </c>
    </row>
    <row r="341" spans="1:14" x14ac:dyDescent="0.25">
      <c r="A341" s="94">
        <v>353</v>
      </c>
      <c r="B341">
        <v>32</v>
      </c>
      <c r="C341">
        <v>1349</v>
      </c>
      <c r="D341" t="s">
        <v>2314</v>
      </c>
      <c r="E341">
        <v>617</v>
      </c>
      <c r="F341">
        <v>1011</v>
      </c>
      <c r="G341" t="s">
        <v>2314</v>
      </c>
      <c r="H341">
        <v>1</v>
      </c>
      <c r="I341" t="s">
        <v>3047</v>
      </c>
      <c r="J341" s="30" t="str">
        <f t="shared" si="15"/>
        <v>[353]=1011,</v>
      </c>
      <c r="K341" s="3">
        <f t="shared" si="16"/>
        <v>353</v>
      </c>
      <c r="L341" s="3">
        <f t="shared" si="17"/>
        <v>1011</v>
      </c>
      <c r="M341" s="8" t="str">
        <f>VLOOKUP(A341,'ESO wayshrine names'!$A$3:$B$9991,2,)</f>
        <v>Cey-Tarn Keep Wayshrine</v>
      </c>
      <c r="N341" s="3" t="str">
        <f>VLOOKUP(F341,'ESO zone constants'!$A$5:$D$10001,4,FALSE)</f>
        <v>Summerset</v>
      </c>
    </row>
    <row r="342" spans="1:14" x14ac:dyDescent="0.25">
      <c r="A342" s="94">
        <v>354</v>
      </c>
      <c r="B342">
        <v>32</v>
      </c>
      <c r="C342">
        <v>1349</v>
      </c>
      <c r="D342" t="s">
        <v>2314</v>
      </c>
      <c r="E342">
        <v>617</v>
      </c>
      <c r="F342">
        <v>1011</v>
      </c>
      <c r="G342" t="s">
        <v>2314</v>
      </c>
      <c r="H342">
        <v>1</v>
      </c>
      <c r="I342" t="s">
        <v>3048</v>
      </c>
      <c r="J342" s="30" t="str">
        <f t="shared" si="15"/>
        <v>[354]=1011,</v>
      </c>
      <c r="K342" s="3">
        <f t="shared" si="16"/>
        <v>354</v>
      </c>
      <c r="L342" s="3">
        <f t="shared" si="17"/>
        <v>1011</v>
      </c>
      <c r="M342" s="8" t="str">
        <f>VLOOKUP(A342,'ESO wayshrine names'!$A$3:$B$9991,2,)</f>
        <v>Ebon Stadmont Wayshrine</v>
      </c>
      <c r="N342" s="3" t="str">
        <f>VLOOKUP(F342,'ESO zone constants'!$A$5:$D$10001,4,FALSE)</f>
        <v>Summerset</v>
      </c>
    </row>
    <row r="343" spans="1:14" x14ac:dyDescent="0.25">
      <c r="A343" s="94">
        <v>355</v>
      </c>
      <c r="B343">
        <v>32</v>
      </c>
      <c r="C343">
        <v>1349</v>
      </c>
      <c r="D343" t="s">
        <v>2314</v>
      </c>
      <c r="E343">
        <v>617</v>
      </c>
      <c r="F343">
        <v>1011</v>
      </c>
      <c r="G343" t="s">
        <v>2314</v>
      </c>
      <c r="H343">
        <v>1</v>
      </c>
      <c r="I343" t="s">
        <v>3049</v>
      </c>
      <c r="J343" s="30" t="str">
        <f t="shared" si="15"/>
        <v>[355]=1011,</v>
      </c>
      <c r="K343" s="3">
        <f t="shared" si="16"/>
        <v>355</v>
      </c>
      <c r="L343" s="3">
        <f t="shared" si="17"/>
        <v>1011</v>
      </c>
      <c r="M343" s="8" t="str">
        <f>VLOOKUP(A343,'ESO wayshrine names'!$A$3:$B$9991,2,)</f>
        <v>Alinor Wayshrine</v>
      </c>
      <c r="N343" s="3" t="str">
        <f>VLOOKUP(F343,'ESO zone constants'!$A$5:$D$10001,4,FALSE)</f>
        <v>Summerset</v>
      </c>
    </row>
    <row r="344" spans="1:14" x14ac:dyDescent="0.25">
      <c r="A344" s="94">
        <v>356</v>
      </c>
      <c r="B344">
        <v>32</v>
      </c>
      <c r="C344">
        <v>1349</v>
      </c>
      <c r="D344" t="s">
        <v>2314</v>
      </c>
      <c r="E344">
        <v>617</v>
      </c>
      <c r="F344">
        <v>1011</v>
      </c>
      <c r="G344" t="s">
        <v>2314</v>
      </c>
      <c r="H344">
        <v>1</v>
      </c>
      <c r="I344" t="s">
        <v>3050</v>
      </c>
      <c r="J344" s="30" t="str">
        <f t="shared" si="15"/>
        <v>[356]=1011,</v>
      </c>
      <c r="K344" s="3">
        <f t="shared" si="16"/>
        <v>356</v>
      </c>
      <c r="L344" s="3">
        <f t="shared" si="17"/>
        <v>1011</v>
      </c>
      <c r="M344" s="8" t="str">
        <f>VLOOKUP(A344,'ESO wayshrine names'!$A$3:$B$9991,2,)</f>
        <v>Lillandril Wayshrine</v>
      </c>
      <c r="N344" s="3" t="str">
        <f>VLOOKUP(F344,'ESO zone constants'!$A$5:$D$10001,4,FALSE)</f>
        <v>Summerset</v>
      </c>
    </row>
    <row r="345" spans="1:14" x14ac:dyDescent="0.25">
      <c r="A345" s="94">
        <v>357</v>
      </c>
      <c r="B345">
        <v>32</v>
      </c>
      <c r="C345">
        <v>1349</v>
      </c>
      <c r="D345" t="s">
        <v>2314</v>
      </c>
      <c r="E345">
        <v>617</v>
      </c>
      <c r="F345">
        <v>1011</v>
      </c>
      <c r="G345" t="s">
        <v>2314</v>
      </c>
      <c r="H345">
        <v>1</v>
      </c>
      <c r="I345" t="s">
        <v>3051</v>
      </c>
      <c r="J345" s="30" t="str">
        <f t="shared" si="15"/>
        <v>[357]=1011,</v>
      </c>
      <c r="K345" s="3">
        <f t="shared" si="16"/>
        <v>357</v>
      </c>
      <c r="L345" s="3">
        <f t="shared" si="17"/>
        <v>1011</v>
      </c>
      <c r="M345" s="8" t="str">
        <f>VLOOKUP(A345,'ESO wayshrine names'!$A$3:$B$9991,2,)</f>
        <v>Eastern Pass Wayshrine</v>
      </c>
      <c r="N345" s="3" t="str">
        <f>VLOOKUP(F345,'ESO zone constants'!$A$5:$D$10001,4,FALSE)</f>
        <v>Summerset</v>
      </c>
    </row>
    <row r="346" spans="1:14" x14ac:dyDescent="0.25">
      <c r="A346" s="94">
        <v>358</v>
      </c>
      <c r="B346">
        <v>32</v>
      </c>
      <c r="C346">
        <v>1349</v>
      </c>
      <c r="D346" t="s">
        <v>2314</v>
      </c>
      <c r="E346">
        <v>617</v>
      </c>
      <c r="F346">
        <v>1011</v>
      </c>
      <c r="G346" t="s">
        <v>2314</v>
      </c>
      <c r="H346">
        <v>1</v>
      </c>
      <c r="I346" t="s">
        <v>3052</v>
      </c>
      <c r="J346" s="30" t="str">
        <f t="shared" si="15"/>
        <v>[358]=1011,</v>
      </c>
      <c r="K346" s="3">
        <f t="shared" si="16"/>
        <v>358</v>
      </c>
      <c r="L346" s="3">
        <f t="shared" si="17"/>
        <v>1011</v>
      </c>
      <c r="M346" s="8" t="str">
        <f>VLOOKUP(A346,'ESO wayshrine names'!$A$3:$B$9991,2,)</f>
        <v>The Crystal Tower Wayshrine</v>
      </c>
      <c r="N346" s="3" t="str">
        <f>VLOOKUP(F346,'ESO zone constants'!$A$5:$D$10001,4,FALSE)</f>
        <v>Summerset</v>
      </c>
    </row>
    <row r="347" spans="1:14" x14ac:dyDescent="0.25">
      <c r="A347" s="94">
        <v>359</v>
      </c>
      <c r="B347">
        <v>32</v>
      </c>
      <c r="C347">
        <v>1349</v>
      </c>
      <c r="D347" t="s">
        <v>2314</v>
      </c>
      <c r="E347">
        <v>617</v>
      </c>
      <c r="F347">
        <v>1011</v>
      </c>
      <c r="G347" t="s">
        <v>2314</v>
      </c>
      <c r="H347">
        <v>1</v>
      </c>
      <c r="I347" t="s">
        <v>3053</v>
      </c>
      <c r="J347" s="30" t="str">
        <f t="shared" si="15"/>
        <v>[359]=1011,</v>
      </c>
      <c r="K347" s="3">
        <f t="shared" si="16"/>
        <v>359</v>
      </c>
      <c r="L347" s="3">
        <f t="shared" si="17"/>
        <v>1011</v>
      </c>
      <c r="M347" s="8" t="str">
        <f>VLOOKUP(A347,'ESO wayshrine names'!$A$3:$B$9991,2,)</f>
        <v>Eldbur Ruins Wayshrine</v>
      </c>
      <c r="N347" s="3" t="str">
        <f>VLOOKUP(F347,'ESO zone constants'!$A$5:$D$10001,4,FALSE)</f>
        <v>Summerset</v>
      </c>
    </row>
    <row r="348" spans="1:14" x14ac:dyDescent="0.25">
      <c r="A348" s="94">
        <v>360</v>
      </c>
      <c r="B348">
        <v>33</v>
      </c>
      <c r="C348">
        <v>1429</v>
      </c>
      <c r="D348" t="s">
        <v>679</v>
      </c>
      <c r="E348">
        <v>633</v>
      </c>
      <c r="F348">
        <v>1027</v>
      </c>
      <c r="G348" t="s">
        <v>679</v>
      </c>
      <c r="H348">
        <v>1</v>
      </c>
      <c r="I348" t="s">
        <v>3054</v>
      </c>
      <c r="J348" s="30" t="str">
        <f t="shared" si="15"/>
        <v>[360]=1027,</v>
      </c>
      <c r="K348" s="3">
        <f t="shared" si="16"/>
        <v>360</v>
      </c>
      <c r="L348" s="3">
        <f t="shared" si="17"/>
        <v>1027</v>
      </c>
      <c r="M348" s="8" t="str">
        <f>VLOOKUP(A348,'ESO wayshrine names'!$A$3:$B$9991,2,)</f>
        <v>Artaeum Wayshrine</v>
      </c>
      <c r="N348" s="3" t="str">
        <f>VLOOKUP(F348,'ESO zone constants'!$A$5:$D$10001,4,FALSE)</f>
        <v>Artaeum</v>
      </c>
    </row>
    <row r="349" spans="1:14" x14ac:dyDescent="0.25">
      <c r="A349" s="94">
        <v>361</v>
      </c>
      <c r="B349">
        <v>28</v>
      </c>
      <c r="C349">
        <v>994</v>
      </c>
      <c r="D349" t="s">
        <v>2312</v>
      </c>
      <c r="E349">
        <v>443</v>
      </c>
      <c r="F349">
        <v>816</v>
      </c>
      <c r="G349" t="s">
        <v>2312</v>
      </c>
      <c r="H349">
        <v>7</v>
      </c>
      <c r="I349" t="s">
        <v>3055</v>
      </c>
      <c r="J349" s="30" t="str">
        <f t="shared" si="15"/>
        <v>[361]=816,</v>
      </c>
      <c r="K349" s="3">
        <f t="shared" si="16"/>
        <v>361</v>
      </c>
      <c r="L349" s="3">
        <f t="shared" si="17"/>
        <v>816</v>
      </c>
      <c r="M349" s="8" t="str">
        <f>VLOOKUP(A349,'ESO wayshrine names'!$A$3:$B$9991,2,)</f>
        <v>Princely Dawnlight Palace</v>
      </c>
      <c r="N349" s="3" t="str">
        <f>VLOOKUP(F349,'ESO zone constants'!$A$5:$D$10001,4,FALSE)</f>
        <v>Hew's Bane</v>
      </c>
    </row>
    <row r="350" spans="1:14" x14ac:dyDescent="0.25">
      <c r="A350" s="94">
        <v>362</v>
      </c>
      <c r="B350">
        <v>29</v>
      </c>
      <c r="C350">
        <v>1006</v>
      </c>
      <c r="D350" t="s">
        <v>2311</v>
      </c>
      <c r="E350">
        <v>449</v>
      </c>
      <c r="F350">
        <v>823</v>
      </c>
      <c r="G350" t="s">
        <v>2962</v>
      </c>
      <c r="H350">
        <v>7</v>
      </c>
      <c r="I350" t="s">
        <v>3056</v>
      </c>
      <c r="J350" s="30" t="str">
        <f t="shared" si="15"/>
        <v>[362]=823,</v>
      </c>
      <c r="K350" s="3">
        <f t="shared" si="16"/>
        <v>362</v>
      </c>
      <c r="L350" s="3">
        <f t="shared" si="17"/>
        <v>823</v>
      </c>
      <c r="M350" s="8" t="str">
        <f>VLOOKUP(A350,'ESO wayshrine names'!$A$3:$B$9991,2,)</f>
        <v>The Erstwhile Sanctuary</v>
      </c>
      <c r="N350" s="3" t="str">
        <f>VLOOKUP(F350,'ESO zone constants'!$A$5:$D$10001,4,FALSE)</f>
        <v>Gold Coast</v>
      </c>
    </row>
    <row r="351" spans="1:14" x14ac:dyDescent="0.25">
      <c r="A351" s="94">
        <v>363</v>
      </c>
      <c r="B351">
        <v>4</v>
      </c>
      <c r="C351">
        <v>12</v>
      </c>
      <c r="D351" t="s">
        <v>2306</v>
      </c>
      <c r="E351">
        <v>4</v>
      </c>
      <c r="F351">
        <v>19</v>
      </c>
      <c r="G351" t="s">
        <v>2306</v>
      </c>
      <c r="H351">
        <v>6</v>
      </c>
      <c r="I351" t="s">
        <v>3824</v>
      </c>
      <c r="J351" s="30" t="str">
        <f t="shared" si="15"/>
        <v>[363]=19,</v>
      </c>
      <c r="K351" s="3">
        <f t="shared" si="16"/>
        <v>363</v>
      </c>
      <c r="L351" s="3">
        <f t="shared" si="17"/>
        <v>19</v>
      </c>
      <c r="M351" s="8" t="str">
        <f>VLOOKUP(A351,'ESO wayshrine names'!$A$3:$B$9991,2,)</f>
        <v>Dungeon: Scalecaller Peak</v>
      </c>
      <c r="N351" s="3" t="str">
        <f>VLOOKUP(F351,'ESO zone constants'!$A$5:$D$10001,4,FALSE)</f>
        <v>Stormhaven</v>
      </c>
    </row>
    <row r="352" spans="1:14" x14ac:dyDescent="0.25">
      <c r="A352" s="94">
        <v>364</v>
      </c>
      <c r="B352">
        <v>32</v>
      </c>
      <c r="C352">
        <v>1349</v>
      </c>
      <c r="D352" t="s">
        <v>2314</v>
      </c>
      <c r="E352">
        <v>617</v>
      </c>
      <c r="F352">
        <v>1011</v>
      </c>
      <c r="G352" t="s">
        <v>2314</v>
      </c>
      <c r="H352">
        <v>3</v>
      </c>
      <c r="I352" t="s">
        <v>3057</v>
      </c>
      <c r="J352" s="30" t="str">
        <f t="shared" si="15"/>
        <v>[364]=1011,</v>
      </c>
      <c r="K352" s="3">
        <f t="shared" si="16"/>
        <v>364</v>
      </c>
      <c r="L352" s="3">
        <f t="shared" si="17"/>
        <v>1011</v>
      </c>
      <c r="M352" s="8" t="str">
        <f>VLOOKUP(A352,'ESO wayshrine names'!$A$3:$B$9991,2,)</f>
        <v>Trial: Cloudrest</v>
      </c>
      <c r="N352" s="3" t="str">
        <f>VLOOKUP(F352,'ESO zone constants'!$A$5:$D$10001,4,FALSE)</f>
        <v>Summerset</v>
      </c>
    </row>
    <row r="353" spans="1:14" x14ac:dyDescent="0.25">
      <c r="A353" s="94">
        <v>365</v>
      </c>
      <c r="B353">
        <v>32</v>
      </c>
      <c r="C353">
        <v>1349</v>
      </c>
      <c r="D353" t="s">
        <v>2314</v>
      </c>
      <c r="E353">
        <v>617</v>
      </c>
      <c r="F353">
        <v>1011</v>
      </c>
      <c r="G353" t="s">
        <v>2314</v>
      </c>
      <c r="H353">
        <v>1</v>
      </c>
      <c r="I353" t="s">
        <v>3058</v>
      </c>
      <c r="J353" s="30" t="str">
        <f t="shared" si="15"/>
        <v>[365]=1011,</v>
      </c>
      <c r="K353" s="3">
        <f t="shared" si="16"/>
        <v>365</v>
      </c>
      <c r="L353" s="3">
        <f t="shared" si="17"/>
        <v>1011</v>
      </c>
      <c r="M353" s="8" t="str">
        <f>VLOOKUP(A353,'ESO wayshrine names'!$A$3:$B$9991,2,)</f>
        <v>Sunhold Wayshrine</v>
      </c>
      <c r="N353" s="3" t="str">
        <f>VLOOKUP(F353,'ESO zone constants'!$A$5:$D$10001,4,FALSE)</f>
        <v>Summerset</v>
      </c>
    </row>
    <row r="354" spans="1:14" x14ac:dyDescent="0.25">
      <c r="A354" s="94">
        <v>366</v>
      </c>
      <c r="B354">
        <v>32</v>
      </c>
      <c r="C354">
        <v>1349</v>
      </c>
      <c r="D354" t="s">
        <v>2314</v>
      </c>
      <c r="E354">
        <v>617</v>
      </c>
      <c r="F354">
        <v>1011</v>
      </c>
      <c r="G354" t="s">
        <v>2314</v>
      </c>
      <c r="H354">
        <v>7</v>
      </c>
      <c r="I354" t="s">
        <v>3059</v>
      </c>
      <c r="J354" s="30" t="str">
        <f t="shared" si="15"/>
        <v>[366]=1011,</v>
      </c>
      <c r="K354" s="3">
        <f t="shared" si="16"/>
        <v>366</v>
      </c>
      <c r="L354" s="3">
        <f t="shared" si="17"/>
        <v>1011</v>
      </c>
      <c r="M354" s="8" t="str">
        <f>VLOOKUP(A354,'ESO wayshrine names'!$A$3:$B$9991,2,)</f>
        <v>Golden Gryphon Garret</v>
      </c>
      <c r="N354" s="3" t="str">
        <f>VLOOKUP(F354,'ESO zone constants'!$A$5:$D$10001,4,FALSE)</f>
        <v>Summerset</v>
      </c>
    </row>
    <row r="355" spans="1:14" x14ac:dyDescent="0.25">
      <c r="A355" s="94">
        <v>367</v>
      </c>
      <c r="B355">
        <v>32</v>
      </c>
      <c r="C355">
        <v>1349</v>
      </c>
      <c r="D355" t="s">
        <v>2314</v>
      </c>
      <c r="E355">
        <v>617</v>
      </c>
      <c r="F355">
        <v>1011</v>
      </c>
      <c r="G355" t="s">
        <v>2314</v>
      </c>
      <c r="H355">
        <v>7</v>
      </c>
      <c r="I355" t="s">
        <v>3060</v>
      </c>
      <c r="J355" s="30" t="str">
        <f t="shared" si="15"/>
        <v>[367]=1011,</v>
      </c>
      <c r="K355" s="3">
        <f t="shared" si="16"/>
        <v>367</v>
      </c>
      <c r="L355" s="3">
        <f t="shared" si="17"/>
        <v>1011</v>
      </c>
      <c r="M355" s="8" t="str">
        <f>VLOOKUP(A355,'ESO wayshrine names'!$A$3:$B$9991,2,)</f>
        <v>Alinor Crest Townhouse</v>
      </c>
      <c r="N355" s="3" t="str">
        <f>VLOOKUP(F355,'ESO zone constants'!$A$5:$D$10001,4,FALSE)</f>
        <v>Summerset</v>
      </c>
    </row>
    <row r="356" spans="1:14" x14ac:dyDescent="0.25">
      <c r="A356" s="94">
        <v>368</v>
      </c>
      <c r="B356">
        <v>32</v>
      </c>
      <c r="C356">
        <v>1349</v>
      </c>
      <c r="D356" t="s">
        <v>2314</v>
      </c>
      <c r="E356">
        <v>617</v>
      </c>
      <c r="F356">
        <v>1011</v>
      </c>
      <c r="G356" t="s">
        <v>2314</v>
      </c>
      <c r="H356">
        <v>7</v>
      </c>
      <c r="I356" t="s">
        <v>3061</v>
      </c>
      <c r="J356" s="30" t="str">
        <f t="shared" si="15"/>
        <v>[368]=1011,</v>
      </c>
      <c r="K356" s="3">
        <f t="shared" si="16"/>
        <v>368</v>
      </c>
      <c r="L356" s="3">
        <f t="shared" si="17"/>
        <v>1011</v>
      </c>
      <c r="M356" s="8" t="str">
        <f>VLOOKUP(A356,'ESO wayshrine names'!$A$3:$B$9991,2,)</f>
        <v>Colossal Aldmeri Grotto</v>
      </c>
      <c r="N356" s="3" t="str">
        <f>VLOOKUP(F356,'ESO zone constants'!$A$5:$D$10001,4,FALSE)</f>
        <v>Summerset</v>
      </c>
    </row>
    <row r="357" spans="1:14" x14ac:dyDescent="0.25">
      <c r="A357" s="94">
        <v>369</v>
      </c>
      <c r="B357">
        <v>32</v>
      </c>
      <c r="C357">
        <v>1349</v>
      </c>
      <c r="D357" t="s">
        <v>2314</v>
      </c>
      <c r="E357">
        <v>617</v>
      </c>
      <c r="F357">
        <v>1011</v>
      </c>
      <c r="G357" t="s">
        <v>2314</v>
      </c>
      <c r="H357">
        <v>1</v>
      </c>
      <c r="I357" t="s">
        <v>3062</v>
      </c>
      <c r="J357" s="30" t="str">
        <f t="shared" si="15"/>
        <v>[369]=1011,</v>
      </c>
      <c r="K357" s="3">
        <f t="shared" si="16"/>
        <v>369</v>
      </c>
      <c r="L357" s="3">
        <f t="shared" si="17"/>
        <v>1011</v>
      </c>
      <c r="M357" s="8" t="str">
        <f>VLOOKUP(A357,'ESO wayshrine names'!$A$3:$B$9991,2,)</f>
        <v>Veyond Wyte Wayshrine</v>
      </c>
      <c r="N357" s="3" t="str">
        <f>VLOOKUP(F357,'ESO zone constants'!$A$5:$D$10001,4,FALSE)</f>
        <v>Summerset</v>
      </c>
    </row>
    <row r="358" spans="1:14" x14ac:dyDescent="0.25">
      <c r="A358" s="94">
        <v>370</v>
      </c>
      <c r="B358">
        <v>16</v>
      </c>
      <c r="C358">
        <v>300</v>
      </c>
      <c r="D358" t="s">
        <v>2291</v>
      </c>
      <c r="E358">
        <v>18</v>
      </c>
      <c r="F358">
        <v>108</v>
      </c>
      <c r="G358" t="s">
        <v>2291</v>
      </c>
      <c r="H358">
        <v>6</v>
      </c>
      <c r="I358" t="s">
        <v>3063</v>
      </c>
      <c r="J358" s="30" t="str">
        <f t="shared" si="15"/>
        <v>[370]=108,</v>
      </c>
      <c r="K358" s="3">
        <f t="shared" si="16"/>
        <v>370</v>
      </c>
      <c r="L358" s="3">
        <f t="shared" si="17"/>
        <v>108</v>
      </c>
      <c r="M358" s="8" t="str">
        <f>VLOOKUP(A358,'ESO wayshrine names'!$A$3:$B$9991,2,)</f>
        <v>Dungeon: March of Sacrifices</v>
      </c>
      <c r="N358" s="3" t="str">
        <f>VLOOKUP(F358,'ESO zone constants'!$A$5:$D$10001,4,FALSE)</f>
        <v>Greenshade</v>
      </c>
    </row>
    <row r="359" spans="1:14" x14ac:dyDescent="0.25">
      <c r="A359" s="94">
        <v>371</v>
      </c>
      <c r="B359">
        <v>17</v>
      </c>
      <c r="C359">
        <v>256</v>
      </c>
      <c r="D359" t="s">
        <v>2292</v>
      </c>
      <c r="E359">
        <v>180</v>
      </c>
      <c r="F359">
        <v>382</v>
      </c>
      <c r="G359" t="s">
        <v>2292</v>
      </c>
      <c r="H359">
        <v>6</v>
      </c>
      <c r="I359" t="s">
        <v>3064</v>
      </c>
      <c r="J359" s="30" t="str">
        <f t="shared" si="15"/>
        <v>[371]=382,</v>
      </c>
      <c r="K359" s="3">
        <f t="shared" si="16"/>
        <v>371</v>
      </c>
      <c r="L359" s="3">
        <f t="shared" si="17"/>
        <v>382</v>
      </c>
      <c r="M359" s="8" t="str">
        <f>VLOOKUP(A359,'ESO wayshrine names'!$A$3:$B$9991,2,)</f>
        <v>Dungeon: Moon Hunter Keep</v>
      </c>
      <c r="N359" s="3" t="str">
        <f>VLOOKUP(F359,'ESO zone constants'!$A$5:$D$10001,4,FALSE)</f>
        <v>Reaper's March</v>
      </c>
    </row>
    <row r="360" spans="1:14" x14ac:dyDescent="0.25">
      <c r="A360" s="94">
        <v>372</v>
      </c>
      <c r="B360">
        <v>12</v>
      </c>
      <c r="C360">
        <v>125</v>
      </c>
      <c r="D360" t="s">
        <v>2308</v>
      </c>
      <c r="E360">
        <v>16</v>
      </c>
      <c r="F360">
        <v>103</v>
      </c>
      <c r="G360" t="s">
        <v>2308</v>
      </c>
      <c r="H360">
        <v>7</v>
      </c>
      <c r="I360" t="s">
        <v>3065</v>
      </c>
      <c r="J360" s="30" t="str">
        <f t="shared" si="15"/>
        <v>[372]=103,</v>
      </c>
      <c r="K360" s="3">
        <f t="shared" si="16"/>
        <v>372</v>
      </c>
      <c r="L360" s="3">
        <f t="shared" si="17"/>
        <v>103</v>
      </c>
      <c r="M360" s="8" t="str">
        <f>VLOOKUP(A360,'ESO wayshrine names'!$A$3:$B$9991,2,)</f>
        <v>Hunter's Glade</v>
      </c>
      <c r="N360" s="3" t="str">
        <f>VLOOKUP(F360,'ESO zone constants'!$A$5:$D$10001,4,FALSE)</f>
        <v>The Rift</v>
      </c>
    </row>
    <row r="361" spans="1:14" x14ac:dyDescent="0.25">
      <c r="A361" s="94">
        <v>373</v>
      </c>
      <c r="B361">
        <v>33</v>
      </c>
      <c r="C361">
        <v>1429</v>
      </c>
      <c r="D361" t="s">
        <v>679</v>
      </c>
      <c r="E361">
        <v>633</v>
      </c>
      <c r="F361">
        <v>1027</v>
      </c>
      <c r="G361" t="s">
        <v>679</v>
      </c>
      <c r="H361">
        <v>7</v>
      </c>
      <c r="I361" t="s">
        <v>3066</v>
      </c>
      <c r="J361" s="30" t="str">
        <f t="shared" si="15"/>
        <v>[373]=1027,</v>
      </c>
      <c r="K361" s="3">
        <f t="shared" si="16"/>
        <v>373</v>
      </c>
      <c r="L361" s="3">
        <f t="shared" si="17"/>
        <v>1027</v>
      </c>
      <c r="M361" s="8" t="str">
        <f>VLOOKUP(A361,'ESO wayshrine names'!$A$3:$B$9991,2,)</f>
        <v>Grand Psijic Villa</v>
      </c>
      <c r="N361" s="3" t="str">
        <f>VLOOKUP(F361,'ESO zone constants'!$A$5:$D$10001,4,FALSE)</f>
        <v>Artaeum</v>
      </c>
    </row>
    <row r="362" spans="1:14" x14ac:dyDescent="0.25">
      <c r="A362" s="94">
        <v>374</v>
      </c>
      <c r="B362">
        <v>34</v>
      </c>
      <c r="C362">
        <v>1484</v>
      </c>
      <c r="D362" t="s">
        <v>2317</v>
      </c>
      <c r="E362">
        <v>408</v>
      </c>
      <c r="F362">
        <v>726</v>
      </c>
      <c r="G362" t="s">
        <v>2317</v>
      </c>
      <c r="H362">
        <v>1</v>
      </c>
      <c r="I362" t="s">
        <v>3067</v>
      </c>
      <c r="J362" s="30" t="str">
        <f t="shared" si="15"/>
        <v>[374]=726,</v>
      </c>
      <c r="K362" s="3">
        <f t="shared" si="16"/>
        <v>374</v>
      </c>
      <c r="L362" s="3">
        <f t="shared" si="17"/>
        <v>726</v>
      </c>
      <c r="M362" s="8" t="str">
        <f>VLOOKUP(A362,'ESO wayshrine names'!$A$3:$B$9991,2,)</f>
        <v>Lilmoth Wayshrine</v>
      </c>
      <c r="N362" s="3" t="str">
        <f>VLOOKUP(F362,'ESO zone constants'!$A$5:$D$10001,4,FALSE)</f>
        <v>Murkmire</v>
      </c>
    </row>
    <row r="363" spans="1:14" x14ac:dyDescent="0.25">
      <c r="A363" s="94">
        <v>375</v>
      </c>
      <c r="B363">
        <v>34</v>
      </c>
      <c r="C363">
        <v>1484</v>
      </c>
      <c r="D363" t="s">
        <v>2317</v>
      </c>
      <c r="E363">
        <v>408</v>
      </c>
      <c r="F363">
        <v>726</v>
      </c>
      <c r="G363" t="s">
        <v>2317</v>
      </c>
      <c r="H363">
        <v>1</v>
      </c>
      <c r="I363" t="s">
        <v>3068</v>
      </c>
      <c r="J363" s="30" t="str">
        <f t="shared" si="15"/>
        <v>[375]=726,</v>
      </c>
      <c r="K363" s="3">
        <f t="shared" si="16"/>
        <v>375</v>
      </c>
      <c r="L363" s="3">
        <f t="shared" si="17"/>
        <v>726</v>
      </c>
      <c r="M363" s="8" t="str">
        <f>VLOOKUP(A363,'ESO wayshrine names'!$A$3:$B$9991,2,)</f>
        <v>Bright-Throat Wayshrine</v>
      </c>
      <c r="N363" s="3" t="str">
        <f>VLOOKUP(F363,'ESO zone constants'!$A$5:$D$10001,4,FALSE)</f>
        <v>Murkmire</v>
      </c>
    </row>
    <row r="364" spans="1:14" x14ac:dyDescent="0.25">
      <c r="A364" s="94">
        <v>376</v>
      </c>
      <c r="B364">
        <v>34</v>
      </c>
      <c r="C364">
        <v>1484</v>
      </c>
      <c r="D364" t="s">
        <v>2317</v>
      </c>
      <c r="E364">
        <v>408</v>
      </c>
      <c r="F364">
        <v>726</v>
      </c>
      <c r="G364" t="s">
        <v>2317</v>
      </c>
      <c r="H364">
        <v>1</v>
      </c>
      <c r="I364" t="s">
        <v>3069</v>
      </c>
      <c r="J364" s="30" t="str">
        <f t="shared" si="15"/>
        <v>[376]=726,</v>
      </c>
      <c r="K364" s="3">
        <f t="shared" si="16"/>
        <v>376</v>
      </c>
      <c r="L364" s="3">
        <f t="shared" si="17"/>
        <v>726</v>
      </c>
      <c r="M364" s="8" t="str">
        <f>VLOOKUP(A364,'ESO wayshrine names'!$A$3:$B$9991,2,)</f>
        <v>Dead-Water Wayshrine</v>
      </c>
      <c r="N364" s="3" t="str">
        <f>VLOOKUP(F364,'ESO zone constants'!$A$5:$D$10001,4,FALSE)</f>
        <v>Murkmire</v>
      </c>
    </row>
    <row r="365" spans="1:14" x14ac:dyDescent="0.25">
      <c r="A365" s="94">
        <v>377</v>
      </c>
      <c r="B365">
        <v>34</v>
      </c>
      <c r="C365">
        <v>1484</v>
      </c>
      <c r="D365" t="s">
        <v>2317</v>
      </c>
      <c r="E365">
        <v>408</v>
      </c>
      <c r="F365">
        <v>726</v>
      </c>
      <c r="G365" t="s">
        <v>2317</v>
      </c>
      <c r="H365">
        <v>1</v>
      </c>
      <c r="I365" t="s">
        <v>3070</v>
      </c>
      <c r="J365" s="30" t="str">
        <f t="shared" si="15"/>
        <v>[377]=726,</v>
      </c>
      <c r="K365" s="3">
        <f t="shared" si="16"/>
        <v>377</v>
      </c>
      <c r="L365" s="3">
        <f t="shared" si="17"/>
        <v>726</v>
      </c>
      <c r="M365" s="8" t="str">
        <f>VLOOKUP(A365,'ESO wayshrine names'!$A$3:$B$9991,2,)</f>
        <v>Root-Whisper Wayshrine</v>
      </c>
      <c r="N365" s="3" t="str">
        <f>VLOOKUP(F365,'ESO zone constants'!$A$5:$D$10001,4,FALSE)</f>
        <v>Murkmire</v>
      </c>
    </row>
    <row r="366" spans="1:14" x14ac:dyDescent="0.25">
      <c r="A366" s="94">
        <v>378</v>
      </c>
      <c r="B366">
        <v>34</v>
      </c>
      <c r="C366">
        <v>1484</v>
      </c>
      <c r="D366" t="s">
        <v>2317</v>
      </c>
      <c r="E366">
        <v>408</v>
      </c>
      <c r="F366">
        <v>726</v>
      </c>
      <c r="G366" t="s">
        <v>2317</v>
      </c>
      <c r="H366">
        <v>6</v>
      </c>
      <c r="I366" t="s">
        <v>3071</v>
      </c>
      <c r="J366" s="30" t="str">
        <f t="shared" si="15"/>
        <v>[378]=726,</v>
      </c>
      <c r="K366" s="3">
        <f t="shared" si="16"/>
        <v>378</v>
      </c>
      <c r="L366" s="3">
        <f t="shared" si="17"/>
        <v>726</v>
      </c>
      <c r="M366" s="8" t="str">
        <f>VLOOKUP(A366,'ESO wayshrine names'!$A$3:$B$9991,2,)</f>
        <v>Blackrose Prison</v>
      </c>
      <c r="N366" s="3" t="str">
        <f>VLOOKUP(F366,'ESO zone constants'!$A$5:$D$10001,4,FALSE)</f>
        <v>Murkmire</v>
      </c>
    </row>
    <row r="367" spans="1:14" x14ac:dyDescent="0.25">
      <c r="A367" s="94">
        <v>379</v>
      </c>
      <c r="B367">
        <v>34</v>
      </c>
      <c r="C367">
        <v>1484</v>
      </c>
      <c r="D367" t="s">
        <v>2317</v>
      </c>
      <c r="E367">
        <v>408</v>
      </c>
      <c r="F367">
        <v>726</v>
      </c>
      <c r="G367" t="s">
        <v>2317</v>
      </c>
      <c r="H367">
        <v>1</v>
      </c>
      <c r="I367" t="s">
        <v>3072</v>
      </c>
      <c r="J367" s="30" t="str">
        <f t="shared" si="15"/>
        <v>[379]=726,</v>
      </c>
      <c r="K367" s="3">
        <f t="shared" si="16"/>
        <v>379</v>
      </c>
      <c r="L367" s="3">
        <f t="shared" si="17"/>
        <v>726</v>
      </c>
      <c r="M367" s="8" t="str">
        <f>VLOOKUP(A367,'ESO wayshrine names'!$A$3:$B$9991,2,)</f>
        <v>Blackrose Prison Wayshrine</v>
      </c>
      <c r="N367" s="3" t="str">
        <f>VLOOKUP(F367,'ESO zone constants'!$A$5:$D$10001,4,FALSE)</f>
        <v>Murkmire</v>
      </c>
    </row>
    <row r="368" spans="1:14" x14ac:dyDescent="0.25">
      <c r="A368" s="94">
        <v>380</v>
      </c>
      <c r="B368">
        <v>13</v>
      </c>
      <c r="C368">
        <v>61</v>
      </c>
      <c r="D368" t="s">
        <v>2307</v>
      </c>
      <c r="E368">
        <v>15</v>
      </c>
      <c r="F368">
        <v>101</v>
      </c>
      <c r="G368" t="s">
        <v>2307</v>
      </c>
      <c r="H368">
        <v>7</v>
      </c>
      <c r="I368" t="s">
        <v>3262</v>
      </c>
      <c r="J368" s="30" t="str">
        <f t="shared" si="15"/>
        <v>[380]=101,</v>
      </c>
      <c r="K368" s="3">
        <f t="shared" si="16"/>
        <v>380</v>
      </c>
      <c r="L368" s="3">
        <f t="shared" si="17"/>
        <v>101</v>
      </c>
      <c r="M368" s="8" t="str">
        <f>VLOOKUP(A368,'ESO wayshrine names'!$A$3:$B$9991,2,)</f>
        <v>Enchanted Snow Globe Home</v>
      </c>
      <c r="N368" s="3" t="str">
        <f>VLOOKUP(F368,'ESO zone constants'!$A$5:$D$10001,4,FALSE)</f>
        <v>Eastmarch</v>
      </c>
    </row>
    <row r="369" spans="1:14" x14ac:dyDescent="0.25">
      <c r="A369" s="94">
        <v>381</v>
      </c>
      <c r="B369">
        <v>36</v>
      </c>
      <c r="C369">
        <v>1555</v>
      </c>
      <c r="D369" t="s">
        <v>3073</v>
      </c>
      <c r="E369">
        <v>682</v>
      </c>
      <c r="F369">
        <v>1086</v>
      </c>
      <c r="G369" t="s">
        <v>3073</v>
      </c>
      <c r="H369">
        <v>1</v>
      </c>
      <c r="I369" t="s">
        <v>3074</v>
      </c>
      <c r="J369" s="30" t="str">
        <f t="shared" si="15"/>
        <v>[381]=1086,</v>
      </c>
      <c r="K369" s="3">
        <f t="shared" si="16"/>
        <v>381</v>
      </c>
      <c r="L369" s="3">
        <f t="shared" si="17"/>
        <v>1086</v>
      </c>
      <c r="M369" s="8" t="str">
        <f>VLOOKUP(A369,'ESO wayshrine names'!$A$3:$B$9991,2,)</f>
        <v>Riverhold Wayshrine</v>
      </c>
      <c r="N369" s="3" t="str">
        <f>VLOOKUP(F369,'ESO zone constants'!$A$5:$D$10001,4,FALSE)</f>
        <v>Northern Elsweyr</v>
      </c>
    </row>
    <row r="370" spans="1:14" x14ac:dyDescent="0.25">
      <c r="A370" s="94">
        <v>382</v>
      </c>
      <c r="B370">
        <v>36</v>
      </c>
      <c r="C370">
        <v>1555</v>
      </c>
      <c r="D370" t="s">
        <v>3073</v>
      </c>
      <c r="E370">
        <v>682</v>
      </c>
      <c r="F370">
        <v>1086</v>
      </c>
      <c r="G370" t="s">
        <v>3073</v>
      </c>
      <c r="H370">
        <v>1</v>
      </c>
      <c r="I370" t="s">
        <v>3075</v>
      </c>
      <c r="J370" s="30" t="str">
        <f t="shared" si="15"/>
        <v>[382]=1086,</v>
      </c>
      <c r="K370" s="3">
        <f t="shared" si="16"/>
        <v>382</v>
      </c>
      <c r="L370" s="3">
        <f t="shared" si="17"/>
        <v>1086</v>
      </c>
      <c r="M370" s="8" t="str">
        <f>VLOOKUP(A370,'ESO wayshrine names'!$A$3:$B$9991,2,)</f>
        <v>Rimmen Wayshrine</v>
      </c>
      <c r="N370" s="3" t="str">
        <f>VLOOKUP(F370,'ESO zone constants'!$A$5:$D$10001,4,FALSE)</f>
        <v>Northern Elsweyr</v>
      </c>
    </row>
    <row r="371" spans="1:14" x14ac:dyDescent="0.25">
      <c r="A371" s="94">
        <v>383</v>
      </c>
      <c r="B371">
        <v>36</v>
      </c>
      <c r="C371">
        <v>1555</v>
      </c>
      <c r="D371" t="s">
        <v>3073</v>
      </c>
      <c r="E371">
        <v>682</v>
      </c>
      <c r="F371">
        <v>1086</v>
      </c>
      <c r="G371" t="s">
        <v>3073</v>
      </c>
      <c r="H371">
        <v>1</v>
      </c>
      <c r="I371" t="s">
        <v>3076</v>
      </c>
      <c r="J371" s="30" t="str">
        <f t="shared" si="15"/>
        <v>[383]=1086,</v>
      </c>
      <c r="K371" s="3">
        <f t="shared" si="16"/>
        <v>383</v>
      </c>
      <c r="L371" s="3">
        <f t="shared" si="17"/>
        <v>1086</v>
      </c>
      <c r="M371" s="8" t="str">
        <f>VLOOKUP(A371,'ESO wayshrine names'!$A$3:$B$9991,2,)</f>
        <v>The Stitches Wayshrine</v>
      </c>
      <c r="N371" s="3" t="str">
        <f>VLOOKUP(F371,'ESO zone constants'!$A$5:$D$10001,4,FALSE)</f>
        <v>Northern Elsweyr</v>
      </c>
    </row>
    <row r="372" spans="1:14" x14ac:dyDescent="0.25">
      <c r="A372" s="94">
        <v>384</v>
      </c>
      <c r="B372">
        <v>36</v>
      </c>
      <c r="C372">
        <v>1555</v>
      </c>
      <c r="D372" t="s">
        <v>3073</v>
      </c>
      <c r="E372">
        <v>682</v>
      </c>
      <c r="F372">
        <v>1086</v>
      </c>
      <c r="G372" t="s">
        <v>3073</v>
      </c>
      <c r="H372">
        <v>1</v>
      </c>
      <c r="I372" t="s">
        <v>3077</v>
      </c>
      <c r="J372" s="30" t="str">
        <f t="shared" si="15"/>
        <v>[384]=1086,</v>
      </c>
      <c r="K372" s="3">
        <f t="shared" si="16"/>
        <v>384</v>
      </c>
      <c r="L372" s="3">
        <f t="shared" si="17"/>
        <v>1086</v>
      </c>
      <c r="M372" s="8" t="str">
        <f>VLOOKUP(A372,'ESO wayshrine names'!$A$3:$B$9991,2,)</f>
        <v>Tenmar Temple Wayshrine</v>
      </c>
      <c r="N372" s="3" t="str">
        <f>VLOOKUP(F372,'ESO zone constants'!$A$5:$D$10001,4,FALSE)</f>
        <v>Northern Elsweyr</v>
      </c>
    </row>
    <row r="373" spans="1:14" x14ac:dyDescent="0.25">
      <c r="A373" s="94">
        <v>386</v>
      </c>
      <c r="B373">
        <v>36</v>
      </c>
      <c r="C373">
        <v>1555</v>
      </c>
      <c r="D373" t="s">
        <v>3073</v>
      </c>
      <c r="E373">
        <v>682</v>
      </c>
      <c r="F373">
        <v>1086</v>
      </c>
      <c r="G373" t="s">
        <v>3073</v>
      </c>
      <c r="H373">
        <v>1</v>
      </c>
      <c r="I373" t="s">
        <v>3078</v>
      </c>
      <c r="J373" s="30" t="str">
        <f t="shared" si="15"/>
        <v>[386]=1086,</v>
      </c>
      <c r="K373" s="3">
        <f t="shared" si="16"/>
        <v>386</v>
      </c>
      <c r="L373" s="3">
        <f t="shared" si="17"/>
        <v>1086</v>
      </c>
      <c r="M373" s="8" t="str">
        <f>VLOOKUP(A373,'ESO wayshrine names'!$A$3:$B$9991,2,)</f>
        <v>Scar's End Wayshrine</v>
      </c>
      <c r="N373" s="3" t="str">
        <f>VLOOKUP(F373,'ESO zone constants'!$A$5:$D$10001,4,FALSE)</f>
        <v>Northern Elsweyr</v>
      </c>
    </row>
    <row r="374" spans="1:14" x14ac:dyDescent="0.25">
      <c r="A374" s="94">
        <v>387</v>
      </c>
      <c r="B374">
        <v>36</v>
      </c>
      <c r="C374">
        <v>1555</v>
      </c>
      <c r="D374" t="s">
        <v>3073</v>
      </c>
      <c r="E374">
        <v>682</v>
      </c>
      <c r="F374">
        <v>1086</v>
      </c>
      <c r="G374" t="s">
        <v>3073</v>
      </c>
      <c r="H374">
        <v>1</v>
      </c>
      <c r="I374" t="s">
        <v>3079</v>
      </c>
      <c r="J374" s="30" t="str">
        <f t="shared" si="15"/>
        <v>[387]=1086,</v>
      </c>
      <c r="K374" s="3">
        <f t="shared" si="16"/>
        <v>387</v>
      </c>
      <c r="L374" s="3">
        <f t="shared" si="17"/>
        <v>1086</v>
      </c>
      <c r="M374" s="8" t="str">
        <f>VLOOKUP(A374,'ESO wayshrine names'!$A$3:$B$9991,2,)</f>
        <v>Hakoshae Wayshrine</v>
      </c>
      <c r="N374" s="3" t="str">
        <f>VLOOKUP(F374,'ESO zone constants'!$A$5:$D$10001,4,FALSE)</f>
        <v>Northern Elsweyr</v>
      </c>
    </row>
    <row r="375" spans="1:14" x14ac:dyDescent="0.25">
      <c r="A375" s="94">
        <v>388</v>
      </c>
      <c r="B375">
        <v>34</v>
      </c>
      <c r="C375">
        <v>1484</v>
      </c>
      <c r="D375" t="s">
        <v>2317</v>
      </c>
      <c r="E375">
        <v>408</v>
      </c>
      <c r="F375">
        <v>726</v>
      </c>
      <c r="G375" t="s">
        <v>2317</v>
      </c>
      <c r="H375">
        <v>7</v>
      </c>
      <c r="I375" t="s">
        <v>3080</v>
      </c>
      <c r="J375" s="30" t="str">
        <f t="shared" si="15"/>
        <v>[388]=726,</v>
      </c>
      <c r="K375" s="3">
        <f t="shared" si="16"/>
        <v>388</v>
      </c>
      <c r="L375" s="3">
        <f t="shared" si="17"/>
        <v>726</v>
      </c>
      <c r="M375" s="8" t="str">
        <f>VLOOKUP(A375,'ESO wayshrine names'!$A$3:$B$9991,2,)</f>
        <v>Lakemire Xanmeer Manor</v>
      </c>
      <c r="N375" s="3" t="str">
        <f>VLOOKUP(F375,'ESO zone constants'!$A$5:$D$10001,4,FALSE)</f>
        <v>Murkmire</v>
      </c>
    </row>
    <row r="376" spans="1:14" x14ac:dyDescent="0.25">
      <c r="A376" s="94">
        <v>389</v>
      </c>
      <c r="B376">
        <v>13</v>
      </c>
      <c r="C376">
        <v>61</v>
      </c>
      <c r="D376" t="s">
        <v>2307</v>
      </c>
      <c r="E376">
        <v>15</v>
      </c>
      <c r="F376">
        <v>101</v>
      </c>
      <c r="G376" t="s">
        <v>2307</v>
      </c>
      <c r="H376">
        <v>6</v>
      </c>
      <c r="I376" t="s">
        <v>3255</v>
      </c>
      <c r="J376" s="30" t="str">
        <f t="shared" si="15"/>
        <v>[389]=101,</v>
      </c>
      <c r="K376" s="3">
        <f t="shared" si="16"/>
        <v>389</v>
      </c>
      <c r="L376" s="3">
        <f t="shared" si="17"/>
        <v>101</v>
      </c>
      <c r="M376" s="8" t="str">
        <f>VLOOKUP(A376,'ESO wayshrine names'!$A$3:$B$9991,2,)</f>
        <v>Dungeon: Frostvault</v>
      </c>
      <c r="N376" s="3" t="str">
        <f>VLOOKUP(F376,'ESO zone constants'!$A$5:$D$10001,4,FALSE)</f>
        <v>Eastmarch</v>
      </c>
    </row>
    <row r="377" spans="1:14" x14ac:dyDescent="0.25">
      <c r="A377" s="94">
        <v>390</v>
      </c>
      <c r="B377">
        <v>29</v>
      </c>
      <c r="C377">
        <v>1006</v>
      </c>
      <c r="D377" t="s">
        <v>2311</v>
      </c>
      <c r="E377">
        <v>449</v>
      </c>
      <c r="F377">
        <v>823</v>
      </c>
      <c r="G377" t="s">
        <v>2962</v>
      </c>
      <c r="H377">
        <v>6</v>
      </c>
      <c r="I377" t="s">
        <v>3081</v>
      </c>
      <c r="J377" s="30" t="str">
        <f t="shared" si="15"/>
        <v>[390]=823,</v>
      </c>
      <c r="K377" s="3">
        <f t="shared" si="16"/>
        <v>390</v>
      </c>
      <c r="L377" s="3">
        <f t="shared" si="17"/>
        <v>823</v>
      </c>
      <c r="M377" s="8" t="str">
        <f>VLOOKUP(A377,'ESO wayshrine names'!$A$3:$B$9991,2,)</f>
        <v>Dungeon: Depths of Malatar</v>
      </c>
      <c r="N377" s="3" t="str">
        <f>VLOOKUP(F377,'ESO zone constants'!$A$5:$D$10001,4,FALSE)</f>
        <v>Gold Coast</v>
      </c>
    </row>
    <row r="378" spans="1:14" x14ac:dyDescent="0.25">
      <c r="A378" s="94">
        <v>391</v>
      </c>
      <c r="B378">
        <v>36</v>
      </c>
      <c r="C378">
        <v>1555</v>
      </c>
      <c r="D378" t="s">
        <v>3073</v>
      </c>
      <c r="E378">
        <v>682</v>
      </c>
      <c r="F378">
        <v>1086</v>
      </c>
      <c r="G378" t="s">
        <v>3073</v>
      </c>
      <c r="H378">
        <v>6</v>
      </c>
      <c r="I378" t="s">
        <v>3082</v>
      </c>
      <c r="J378" s="30" t="str">
        <f t="shared" si="15"/>
        <v>[391]=1086,</v>
      </c>
      <c r="K378" s="3">
        <f t="shared" si="16"/>
        <v>391</v>
      </c>
      <c r="L378" s="3">
        <f t="shared" si="17"/>
        <v>1086</v>
      </c>
      <c r="M378" s="8" t="str">
        <f>VLOOKUP(A378,'ESO wayshrine names'!$A$3:$B$9991,2,)</f>
        <v>Dungeon: Moongrave Fane</v>
      </c>
      <c r="N378" s="3" t="str">
        <f>VLOOKUP(F378,'ESO zone constants'!$A$5:$D$10001,4,FALSE)</f>
        <v>Northern Elsweyr</v>
      </c>
    </row>
    <row r="379" spans="1:14" x14ac:dyDescent="0.25">
      <c r="A379" s="94">
        <v>392</v>
      </c>
      <c r="B379">
        <v>13</v>
      </c>
      <c r="C379">
        <v>61</v>
      </c>
      <c r="D379" t="s">
        <v>2307</v>
      </c>
      <c r="E379">
        <v>15</v>
      </c>
      <c r="F379">
        <v>101</v>
      </c>
      <c r="G379" t="s">
        <v>2307</v>
      </c>
      <c r="H379">
        <v>7</v>
      </c>
      <c r="I379" t="s">
        <v>3252</v>
      </c>
      <c r="J379" s="30" t="str">
        <f t="shared" si="15"/>
        <v>[392]=101,</v>
      </c>
      <c r="K379" s="3">
        <f t="shared" si="16"/>
        <v>392</v>
      </c>
      <c r="L379" s="3">
        <f t="shared" si="17"/>
        <v>101</v>
      </c>
      <c r="M379" s="8" t="str">
        <f>VLOOKUP(A379,'ESO wayshrine names'!$A$3:$B$9991,2,)</f>
        <v>Frostvault Chasm</v>
      </c>
      <c r="N379" s="3" t="str">
        <f>VLOOKUP(F379,'ESO zone constants'!$A$5:$D$10001,4,FALSE)</f>
        <v>Eastmarch</v>
      </c>
    </row>
    <row r="380" spans="1:14" x14ac:dyDescent="0.25">
      <c r="A380" s="94">
        <v>395</v>
      </c>
      <c r="B380">
        <v>25</v>
      </c>
      <c r="C380">
        <v>1126</v>
      </c>
      <c r="D380" t="s">
        <v>2367</v>
      </c>
      <c r="E380">
        <v>501</v>
      </c>
      <c r="F380">
        <v>888</v>
      </c>
      <c r="G380" t="s">
        <v>2367</v>
      </c>
      <c r="H380">
        <v>7</v>
      </c>
      <c r="I380" t="s">
        <v>3825</v>
      </c>
      <c r="J380" s="30" t="str">
        <f t="shared" si="15"/>
        <v>[395]=888,</v>
      </c>
      <c r="K380" s="3">
        <f t="shared" si="16"/>
        <v>395</v>
      </c>
      <c r="L380" s="3">
        <f t="shared" si="17"/>
        <v>888</v>
      </c>
      <c r="M380" s="8" t="str">
        <f>VLOOKUP(A380,'ESO wayshrine names'!$A$3:$B$9991,2,)</f>
        <v>Elinhir Private Arena</v>
      </c>
      <c r="N380" s="3" t="str">
        <f>VLOOKUP(F380,'ESO zone constants'!$A$5:$D$10001,4,FALSE)</f>
        <v>Craglorn</v>
      </c>
    </row>
    <row r="381" spans="1:14" x14ac:dyDescent="0.25">
      <c r="A381" s="94">
        <v>396</v>
      </c>
      <c r="B381">
        <v>36</v>
      </c>
      <c r="C381">
        <v>1555</v>
      </c>
      <c r="D381" t="s">
        <v>3073</v>
      </c>
      <c r="E381">
        <v>682</v>
      </c>
      <c r="F381">
        <v>1086</v>
      </c>
      <c r="G381" t="s">
        <v>3073</v>
      </c>
      <c r="H381">
        <v>7</v>
      </c>
      <c r="I381" t="s">
        <v>3083</v>
      </c>
      <c r="J381" s="30" t="str">
        <f t="shared" si="15"/>
        <v>[396]=1086,</v>
      </c>
      <c r="K381" s="3">
        <f t="shared" si="16"/>
        <v>396</v>
      </c>
      <c r="L381" s="3">
        <f t="shared" si="17"/>
        <v>1086</v>
      </c>
      <c r="M381" s="8" t="str">
        <f>VLOOKUP(A381,'ESO wayshrine names'!$A$3:$B$9991,2,)</f>
        <v>Sugar Bowl Suite</v>
      </c>
      <c r="N381" s="3" t="str">
        <f>VLOOKUP(F381,'ESO zone constants'!$A$5:$D$10001,4,FALSE)</f>
        <v>Northern Elsweyr</v>
      </c>
    </row>
    <row r="382" spans="1:14" x14ac:dyDescent="0.25">
      <c r="A382" s="94">
        <v>397</v>
      </c>
      <c r="B382">
        <v>36</v>
      </c>
      <c r="C382">
        <v>1555</v>
      </c>
      <c r="D382" t="s">
        <v>3073</v>
      </c>
      <c r="E382">
        <v>682</v>
      </c>
      <c r="F382">
        <v>1086</v>
      </c>
      <c r="G382" t="s">
        <v>3073</v>
      </c>
      <c r="H382">
        <v>1</v>
      </c>
      <c r="I382" t="s">
        <v>3084</v>
      </c>
      <c r="J382" s="30" t="str">
        <f t="shared" si="15"/>
        <v>[397]=1086,</v>
      </c>
      <c r="K382" s="3">
        <f t="shared" si="16"/>
        <v>397</v>
      </c>
      <c r="L382" s="3">
        <f t="shared" si="17"/>
        <v>1086</v>
      </c>
      <c r="M382" s="8" t="str">
        <f>VLOOKUP(A382,'ESO wayshrine names'!$A$3:$B$9991,2,)</f>
        <v>Star Haven Wayshrine</v>
      </c>
      <c r="N382" s="3" t="str">
        <f>VLOOKUP(F382,'ESO zone constants'!$A$5:$D$10001,4,FALSE)</f>
        <v>Northern Elsweyr</v>
      </c>
    </row>
    <row r="383" spans="1:14" x14ac:dyDescent="0.25">
      <c r="A383" s="94">
        <v>398</v>
      </c>
      <c r="B383">
        <v>7</v>
      </c>
      <c r="C383">
        <v>9</v>
      </c>
      <c r="D383" t="s">
        <v>2289</v>
      </c>
      <c r="E383">
        <v>181</v>
      </c>
      <c r="F383">
        <v>383</v>
      </c>
      <c r="G383" t="s">
        <v>2289</v>
      </c>
      <c r="H383">
        <v>6</v>
      </c>
      <c r="I383" t="s">
        <v>3085</v>
      </c>
      <c r="J383" s="30" t="str">
        <f t="shared" si="15"/>
        <v>[398]=383,</v>
      </c>
      <c r="K383" s="3">
        <f t="shared" si="16"/>
        <v>398</v>
      </c>
      <c r="L383" s="3">
        <f t="shared" si="17"/>
        <v>383</v>
      </c>
      <c r="M383" s="8" t="str">
        <f>VLOOKUP(A383,'ESO wayshrine names'!$A$3:$B$9991,2,)</f>
        <v>Dungeon: Lair of Maarselok</v>
      </c>
      <c r="N383" s="3" t="str">
        <f>VLOOKUP(F383,'ESO zone constants'!$A$5:$D$10001,4,FALSE)</f>
        <v>Grahtwood</v>
      </c>
    </row>
    <row r="384" spans="1:14" x14ac:dyDescent="0.25">
      <c r="A384" s="94">
        <v>399</v>
      </c>
      <c r="B384">
        <v>36</v>
      </c>
      <c r="C384">
        <v>1555</v>
      </c>
      <c r="D384" t="s">
        <v>3073</v>
      </c>
      <c r="E384">
        <v>682</v>
      </c>
      <c r="F384">
        <v>1086</v>
      </c>
      <c r="G384" t="s">
        <v>3073</v>
      </c>
      <c r="H384">
        <v>3</v>
      </c>
      <c r="I384" t="s">
        <v>3086</v>
      </c>
      <c r="J384" s="30" t="str">
        <f t="shared" si="15"/>
        <v>[399]=1086,</v>
      </c>
      <c r="K384" s="3">
        <f t="shared" si="16"/>
        <v>399</v>
      </c>
      <c r="L384" s="3">
        <f t="shared" si="17"/>
        <v>1086</v>
      </c>
      <c r="M384" s="8" t="str">
        <f>VLOOKUP(A384,'ESO wayshrine names'!$A$3:$B$9991,2,)</f>
        <v>Trial: Sunspire</v>
      </c>
      <c r="N384" s="3" t="str">
        <f>VLOOKUP(F384,'ESO zone constants'!$A$5:$D$10001,4,FALSE)</f>
        <v>Northern Elsweyr</v>
      </c>
    </row>
    <row r="385" spans="1:14" x14ac:dyDescent="0.25">
      <c r="A385" s="94">
        <v>400</v>
      </c>
      <c r="B385">
        <v>36</v>
      </c>
      <c r="C385">
        <v>1555</v>
      </c>
      <c r="D385" t="s">
        <v>3073</v>
      </c>
      <c r="E385">
        <v>682</v>
      </c>
      <c r="F385">
        <v>1086</v>
      </c>
      <c r="G385" t="s">
        <v>3073</v>
      </c>
      <c r="H385">
        <v>7</v>
      </c>
      <c r="I385" t="s">
        <v>3087</v>
      </c>
      <c r="J385" s="30" t="str">
        <f t="shared" si="15"/>
        <v>[400]=1086,</v>
      </c>
      <c r="K385" s="3">
        <f t="shared" si="16"/>
        <v>400</v>
      </c>
      <c r="L385" s="3">
        <f t="shared" si="17"/>
        <v>1086</v>
      </c>
      <c r="M385" s="8" t="str">
        <f>VLOOKUP(A385,'ESO wayshrine names'!$A$3:$B$9991,2,)</f>
        <v>Hall of the Lunar Champion</v>
      </c>
      <c r="N385" s="3" t="str">
        <f>VLOOKUP(F385,'ESO zone constants'!$A$5:$D$10001,4,FALSE)</f>
        <v>Northern Elsweyr</v>
      </c>
    </row>
    <row r="386" spans="1:14" x14ac:dyDescent="0.25">
      <c r="A386" s="94">
        <v>401</v>
      </c>
      <c r="B386">
        <v>36</v>
      </c>
      <c r="C386">
        <v>1555</v>
      </c>
      <c r="D386" t="s">
        <v>3073</v>
      </c>
      <c r="E386">
        <v>682</v>
      </c>
      <c r="F386">
        <v>1086</v>
      </c>
      <c r="G386" t="s">
        <v>3073</v>
      </c>
      <c r="H386">
        <v>7</v>
      </c>
      <c r="I386" t="s">
        <v>3088</v>
      </c>
      <c r="J386" s="30" t="str">
        <f t="shared" si="15"/>
        <v>[401]=1086,</v>
      </c>
      <c r="K386" s="3">
        <f t="shared" si="16"/>
        <v>401</v>
      </c>
      <c r="L386" s="3">
        <f t="shared" si="17"/>
        <v>1086</v>
      </c>
      <c r="M386" s="8" t="str">
        <f>VLOOKUP(A386,'ESO wayshrine names'!$A$3:$B$9991,2,)</f>
        <v>Jode's Embrace</v>
      </c>
      <c r="N386" s="3" t="str">
        <f>VLOOKUP(F386,'ESO zone constants'!$A$5:$D$10001,4,FALSE)</f>
        <v>Northern Elsweyr</v>
      </c>
    </row>
    <row r="387" spans="1:14" x14ac:dyDescent="0.25">
      <c r="A387" s="94">
        <v>402</v>
      </c>
      <c r="B387">
        <v>37</v>
      </c>
      <c r="C387">
        <v>1654</v>
      </c>
      <c r="D387" t="s">
        <v>3089</v>
      </c>
      <c r="E387">
        <v>721</v>
      </c>
      <c r="F387">
        <v>1133</v>
      </c>
      <c r="G387" t="s">
        <v>3089</v>
      </c>
      <c r="H387">
        <v>1</v>
      </c>
      <c r="I387" t="s">
        <v>3090</v>
      </c>
      <c r="J387" s="30" t="str">
        <f t="shared" ref="J387:J450" si="18">IF(A387&lt;&gt;"",IF(F387&lt;&gt;"",IF(OR(ISNA(A387),ISNA(F387)),"","["&amp;A387&amp;"]="&amp;F387&amp;","),""),"")</f>
        <v>[402]=1133,</v>
      </c>
      <c r="K387" s="3">
        <f t="shared" ref="K387:K450" si="19">A387</f>
        <v>402</v>
      </c>
      <c r="L387" s="3">
        <f t="shared" ref="L387:L450" si="20">F387</f>
        <v>1133</v>
      </c>
      <c r="M387" s="8" t="str">
        <f>VLOOKUP(A387,'ESO wayshrine names'!$A$3:$B$9991,2,)</f>
        <v>Senchal Wayshrine</v>
      </c>
      <c r="N387" s="3" t="str">
        <f>VLOOKUP(F387,'ESO zone constants'!$A$5:$D$10001,4,FALSE)</f>
        <v>Southern Elsweyr</v>
      </c>
    </row>
    <row r="388" spans="1:14" x14ac:dyDescent="0.25">
      <c r="A388" s="94">
        <v>403</v>
      </c>
      <c r="B388">
        <v>37</v>
      </c>
      <c r="C388">
        <v>1654</v>
      </c>
      <c r="D388" t="s">
        <v>3089</v>
      </c>
      <c r="E388">
        <v>721</v>
      </c>
      <c r="F388">
        <v>1133</v>
      </c>
      <c r="G388" t="s">
        <v>3089</v>
      </c>
      <c r="H388">
        <v>1</v>
      </c>
      <c r="I388" t="s">
        <v>3091</v>
      </c>
      <c r="J388" s="30" t="str">
        <f t="shared" si="18"/>
        <v>[403]=1133,</v>
      </c>
      <c r="K388" s="3">
        <f t="shared" si="19"/>
        <v>403</v>
      </c>
      <c r="L388" s="3">
        <f t="shared" si="20"/>
        <v>1133</v>
      </c>
      <c r="M388" s="8" t="str">
        <f>VLOOKUP(A388,'ESO wayshrine names'!$A$3:$B$9991,2,)</f>
        <v>South Guard Ruins Wayshrine</v>
      </c>
      <c r="N388" s="3" t="str">
        <f>VLOOKUP(F388,'ESO zone constants'!$A$5:$D$10001,4,FALSE)</f>
        <v>Southern Elsweyr</v>
      </c>
    </row>
    <row r="389" spans="1:14" x14ac:dyDescent="0.25">
      <c r="A389" s="94">
        <v>404</v>
      </c>
      <c r="B389">
        <v>37</v>
      </c>
      <c r="C389">
        <v>1654</v>
      </c>
      <c r="D389" t="s">
        <v>3089</v>
      </c>
      <c r="E389">
        <v>721</v>
      </c>
      <c r="F389">
        <v>1133</v>
      </c>
      <c r="G389" t="s">
        <v>3089</v>
      </c>
      <c r="H389">
        <v>1</v>
      </c>
      <c r="I389" t="s">
        <v>3092</v>
      </c>
      <c r="J389" s="30" t="str">
        <f t="shared" si="18"/>
        <v>[404]=1133,</v>
      </c>
      <c r="K389" s="3">
        <f t="shared" si="19"/>
        <v>404</v>
      </c>
      <c r="L389" s="3">
        <f t="shared" si="20"/>
        <v>1133</v>
      </c>
      <c r="M389" s="8" t="str">
        <f>VLOOKUP(A389,'ESO wayshrine names'!$A$3:$B$9991,2,)</f>
        <v>Western Plains Wayshrine</v>
      </c>
      <c r="N389" s="3" t="str">
        <f>VLOOKUP(F389,'ESO zone constants'!$A$5:$D$10001,4,FALSE)</f>
        <v>Southern Elsweyr</v>
      </c>
    </row>
    <row r="390" spans="1:14" x14ac:dyDescent="0.25">
      <c r="A390" s="94">
        <v>405</v>
      </c>
      <c r="B390">
        <v>37</v>
      </c>
      <c r="C390">
        <v>1654</v>
      </c>
      <c r="D390" t="s">
        <v>3089</v>
      </c>
      <c r="E390">
        <v>721</v>
      </c>
      <c r="F390">
        <v>1133</v>
      </c>
      <c r="G390" t="s">
        <v>3089</v>
      </c>
      <c r="H390">
        <v>1</v>
      </c>
      <c r="I390" t="s">
        <v>3093</v>
      </c>
      <c r="J390" s="30" t="str">
        <f t="shared" si="18"/>
        <v>[405]=1133,</v>
      </c>
      <c r="K390" s="3">
        <f t="shared" si="19"/>
        <v>405</v>
      </c>
      <c r="L390" s="3">
        <f t="shared" si="20"/>
        <v>1133</v>
      </c>
      <c r="M390" s="8" t="str">
        <f>VLOOKUP(A390,'ESO wayshrine names'!$A$3:$B$9991,2,)</f>
        <v>Black Heights Wayshrine</v>
      </c>
      <c r="N390" s="3" t="str">
        <f>VLOOKUP(F390,'ESO zone constants'!$A$5:$D$10001,4,FALSE)</f>
        <v>Southern Elsweyr</v>
      </c>
    </row>
    <row r="391" spans="1:14" x14ac:dyDescent="0.25">
      <c r="A391" s="94">
        <v>406</v>
      </c>
      <c r="B391">
        <v>37</v>
      </c>
      <c r="C391">
        <v>1654</v>
      </c>
      <c r="D391" t="s">
        <v>3089</v>
      </c>
      <c r="E391">
        <v>721</v>
      </c>
      <c r="F391">
        <v>1133</v>
      </c>
      <c r="G391" t="s">
        <v>3089</v>
      </c>
      <c r="H391">
        <v>1</v>
      </c>
      <c r="I391" t="s">
        <v>3094</v>
      </c>
      <c r="J391" s="30" t="str">
        <f t="shared" si="18"/>
        <v>[406]=1133,</v>
      </c>
      <c r="K391" s="3">
        <f t="shared" si="19"/>
        <v>406</v>
      </c>
      <c r="L391" s="3">
        <f t="shared" si="20"/>
        <v>1133</v>
      </c>
      <c r="M391" s="8" t="str">
        <f>VLOOKUP(A391,'ESO wayshrine names'!$A$3:$B$9991,2,)</f>
        <v>Pridehome Wayshrine</v>
      </c>
      <c r="N391" s="3" t="str">
        <f>VLOOKUP(F391,'ESO zone constants'!$A$5:$D$10001,4,FALSE)</f>
        <v>Southern Elsweyr</v>
      </c>
    </row>
    <row r="392" spans="1:14" x14ac:dyDescent="0.25">
      <c r="A392" s="94">
        <v>407</v>
      </c>
      <c r="B392">
        <v>37</v>
      </c>
      <c r="C392">
        <v>1654</v>
      </c>
      <c r="D392" t="s">
        <v>3089</v>
      </c>
      <c r="E392">
        <v>721</v>
      </c>
      <c r="F392">
        <v>1133</v>
      </c>
      <c r="G392" t="s">
        <v>3089</v>
      </c>
      <c r="H392">
        <v>1</v>
      </c>
      <c r="I392" t="s">
        <v>3725</v>
      </c>
      <c r="J392" s="30" t="str">
        <f t="shared" si="18"/>
        <v>[407]=1133,</v>
      </c>
      <c r="K392" s="3">
        <f t="shared" si="19"/>
        <v>407</v>
      </c>
      <c r="L392" s="3">
        <f t="shared" si="20"/>
        <v>1133</v>
      </c>
      <c r="M392" s="8" t="str">
        <f>VLOOKUP(A392,'ESO wayshrine names'!$A$3:$B$9991,2,)</f>
        <v>Dragonguard Sanctum Wayshrine</v>
      </c>
      <c r="N392" s="3" t="str">
        <f>VLOOKUP(F392,'ESO zone constants'!$A$5:$D$10001,4,FALSE)</f>
        <v>Southern Elsweyr</v>
      </c>
    </row>
    <row r="393" spans="1:14" x14ac:dyDescent="0.25">
      <c r="A393" s="94">
        <v>409</v>
      </c>
      <c r="B393">
        <v>3</v>
      </c>
      <c r="C393">
        <v>10</v>
      </c>
      <c r="D393" t="s">
        <v>2305</v>
      </c>
      <c r="E393">
        <v>5</v>
      </c>
      <c r="F393">
        <v>20</v>
      </c>
      <c r="G393" t="s">
        <v>2305</v>
      </c>
      <c r="H393">
        <v>7</v>
      </c>
      <c r="I393" t="s">
        <v>3095</v>
      </c>
      <c r="J393" s="30" t="str">
        <f t="shared" si="18"/>
        <v>[409]=20,</v>
      </c>
      <c r="K393" s="3">
        <f t="shared" si="19"/>
        <v>409</v>
      </c>
      <c r="L393" s="3">
        <f t="shared" si="20"/>
        <v>20</v>
      </c>
      <c r="M393" s="8" t="str">
        <f>VLOOKUP(A393,'ESO wayshrine names'!$A$3:$B$9991,2,)</f>
        <v>Wraithhome</v>
      </c>
      <c r="N393" s="3" t="str">
        <f>VLOOKUP(F393,'ESO zone constants'!$A$5:$D$10001,4,FALSE)</f>
        <v>Rivenspire</v>
      </c>
    </row>
    <row r="394" spans="1:14" x14ac:dyDescent="0.25">
      <c r="A394" s="94">
        <v>410</v>
      </c>
      <c r="B394">
        <v>36</v>
      </c>
      <c r="C394">
        <v>1555</v>
      </c>
      <c r="D394" t="s">
        <v>3073</v>
      </c>
      <c r="E394">
        <v>682</v>
      </c>
      <c r="F394">
        <v>1086</v>
      </c>
      <c r="G394" t="s">
        <v>3073</v>
      </c>
      <c r="H394">
        <v>7</v>
      </c>
      <c r="I394" t="s">
        <v>3096</v>
      </c>
      <c r="J394" s="30" t="str">
        <f t="shared" si="18"/>
        <v>[410]=1086,</v>
      </c>
      <c r="K394" s="3">
        <f t="shared" si="19"/>
        <v>410</v>
      </c>
      <c r="L394" s="3">
        <f t="shared" si="20"/>
        <v>1086</v>
      </c>
      <c r="M394" s="8" t="str">
        <f>VLOOKUP(A394,'ESO wayshrine names'!$A$3:$B$9991,2,)</f>
        <v>Moon-Sugar Meadow</v>
      </c>
      <c r="N394" s="3" t="str">
        <f>VLOOKUP(F394,'ESO zone constants'!$A$5:$D$10001,4,FALSE)</f>
        <v>Northern Elsweyr</v>
      </c>
    </row>
    <row r="395" spans="1:14" x14ac:dyDescent="0.25">
      <c r="A395" s="94">
        <v>411</v>
      </c>
      <c r="B395">
        <v>40</v>
      </c>
      <c r="C395">
        <v>1782</v>
      </c>
      <c r="D395" t="s">
        <v>3097</v>
      </c>
      <c r="E395">
        <v>4294967296</v>
      </c>
      <c r="F395">
        <v>0</v>
      </c>
      <c r="H395">
        <v>1</v>
      </c>
      <c r="I395" t="s">
        <v>3098</v>
      </c>
      <c r="J395" s="30" t="str">
        <f t="shared" si="18"/>
        <v>[411]=0,</v>
      </c>
      <c r="K395" s="3">
        <f t="shared" si="19"/>
        <v>411</v>
      </c>
      <c r="L395" s="3">
        <f t="shared" si="20"/>
        <v>0</v>
      </c>
      <c r="M395" s="8" t="str">
        <f>VLOOKUP(A395,'ESO wayshrine names'!$A$3:$B$9991,2,)</f>
        <v>Dusktown Wayshrine</v>
      </c>
      <c r="N395" s="3" t="str">
        <f>VLOOKUP(F395,'ESO zone constants'!$A$5:$D$10001,4,FALSE)</f>
        <v>Tamriel Map</v>
      </c>
    </row>
    <row r="396" spans="1:14" x14ac:dyDescent="0.25">
      <c r="A396" s="94">
        <v>412</v>
      </c>
      <c r="B396">
        <v>40</v>
      </c>
      <c r="C396">
        <v>1782</v>
      </c>
      <c r="D396" t="s">
        <v>3097</v>
      </c>
      <c r="E396">
        <v>4294967296</v>
      </c>
      <c r="F396">
        <v>0</v>
      </c>
      <c r="H396">
        <v>1</v>
      </c>
      <c r="I396" t="s">
        <v>3099</v>
      </c>
      <c r="J396" s="30" t="str">
        <f t="shared" si="18"/>
        <v>[412]=0,</v>
      </c>
      <c r="K396" s="3">
        <f t="shared" si="19"/>
        <v>412</v>
      </c>
      <c r="L396" s="3">
        <f t="shared" si="20"/>
        <v>0</v>
      </c>
      <c r="M396" s="8" t="str">
        <f>VLOOKUP(A396,'ESO wayshrine names'!$A$3:$B$9991,2,)</f>
        <v>Greymoor Keep Wayshrine</v>
      </c>
      <c r="N396" s="3" t="str">
        <f>VLOOKUP(F396,'ESO zone constants'!$A$5:$D$10001,4,FALSE)</f>
        <v>Tamriel Map</v>
      </c>
    </row>
    <row r="397" spans="1:14" x14ac:dyDescent="0.25">
      <c r="A397" s="94">
        <v>413</v>
      </c>
      <c r="B397">
        <v>40</v>
      </c>
      <c r="C397">
        <v>1782</v>
      </c>
      <c r="D397" t="s">
        <v>3097</v>
      </c>
      <c r="E397">
        <v>4294967296</v>
      </c>
      <c r="F397">
        <v>0</v>
      </c>
      <c r="H397">
        <v>1</v>
      </c>
      <c r="I397" t="s">
        <v>3100</v>
      </c>
      <c r="J397" s="30" t="str">
        <f t="shared" si="18"/>
        <v>[413]=0,</v>
      </c>
      <c r="K397" s="3">
        <f t="shared" si="19"/>
        <v>413</v>
      </c>
      <c r="L397" s="3">
        <f t="shared" si="20"/>
        <v>0</v>
      </c>
      <c r="M397" s="8" t="str">
        <f>VLOOKUP(A397,'ESO wayshrine names'!$A$3:$B$9991,2,)</f>
        <v>Lightless Hollow Wayshrine</v>
      </c>
      <c r="N397" s="3" t="str">
        <f>VLOOKUP(F397,'ESO zone constants'!$A$5:$D$10001,4,FALSE)</f>
        <v>Tamriel Map</v>
      </c>
    </row>
    <row r="398" spans="1:14" x14ac:dyDescent="0.25">
      <c r="A398" s="94">
        <v>414</v>
      </c>
      <c r="B398">
        <v>40</v>
      </c>
      <c r="C398">
        <v>1782</v>
      </c>
      <c r="D398" t="s">
        <v>3097</v>
      </c>
      <c r="E398">
        <v>4294967296</v>
      </c>
      <c r="F398">
        <v>0</v>
      </c>
      <c r="H398">
        <v>1</v>
      </c>
      <c r="I398" t="s">
        <v>3101</v>
      </c>
      <c r="J398" s="30" t="str">
        <f t="shared" si="18"/>
        <v>[414]=0,</v>
      </c>
      <c r="K398" s="3">
        <f t="shared" si="19"/>
        <v>414</v>
      </c>
      <c r="L398" s="3">
        <f t="shared" si="20"/>
        <v>0</v>
      </c>
      <c r="M398" s="8" t="str">
        <f>VLOOKUP(A398,'ESO wayshrine names'!$A$3:$B$9991,2,)</f>
        <v>Dark Moon Grotto Wayshrine</v>
      </c>
      <c r="N398" s="3" t="str">
        <f>VLOOKUP(F398,'ESO zone constants'!$A$5:$D$10001,4,FALSE)</f>
        <v>Tamriel Map</v>
      </c>
    </row>
    <row r="399" spans="1:14" x14ac:dyDescent="0.25">
      <c r="A399" s="94">
        <v>415</v>
      </c>
      <c r="B399">
        <v>38</v>
      </c>
      <c r="C399">
        <v>1719</v>
      </c>
      <c r="D399" t="s">
        <v>3102</v>
      </c>
      <c r="E399">
        <v>744</v>
      </c>
      <c r="F399">
        <v>1160</v>
      </c>
      <c r="G399" t="s">
        <v>3102</v>
      </c>
      <c r="H399">
        <v>1</v>
      </c>
      <c r="I399" t="s">
        <v>3103</v>
      </c>
      <c r="J399" s="30" t="str">
        <f t="shared" si="18"/>
        <v>[415]=1160,</v>
      </c>
      <c r="K399" s="3">
        <f t="shared" si="19"/>
        <v>415</v>
      </c>
      <c r="L399" s="3">
        <f t="shared" si="20"/>
        <v>1160</v>
      </c>
      <c r="M399" s="8" t="str">
        <f>VLOOKUP(A399,'ESO wayshrine names'!$A$3:$B$9991,2,)</f>
        <v>Kilkreath Temple Wayshrine</v>
      </c>
      <c r="N399" s="3" t="str">
        <f>VLOOKUP(F399,'ESO zone constants'!$A$5:$D$10001,4,FALSE)</f>
        <v>Western Skyrim</v>
      </c>
    </row>
    <row r="400" spans="1:14" x14ac:dyDescent="0.25">
      <c r="A400" s="94">
        <v>416</v>
      </c>
      <c r="B400">
        <v>38</v>
      </c>
      <c r="C400">
        <v>1719</v>
      </c>
      <c r="D400" t="s">
        <v>3102</v>
      </c>
      <c r="E400">
        <v>744</v>
      </c>
      <c r="F400">
        <v>1160</v>
      </c>
      <c r="G400" t="s">
        <v>3102</v>
      </c>
      <c r="H400">
        <v>1</v>
      </c>
      <c r="I400" t="s">
        <v>3104</v>
      </c>
      <c r="J400" s="30" t="str">
        <f t="shared" si="18"/>
        <v>[416]=1160,</v>
      </c>
      <c r="K400" s="3">
        <f t="shared" si="19"/>
        <v>416</v>
      </c>
      <c r="L400" s="3">
        <f t="shared" si="20"/>
        <v>1160</v>
      </c>
      <c r="M400" s="8" t="str">
        <f>VLOOKUP(A400,'ESO wayshrine names'!$A$3:$B$9991,2,)</f>
        <v>Morthal Wayshrine</v>
      </c>
      <c r="N400" s="3" t="str">
        <f>VLOOKUP(F400,'ESO zone constants'!$A$5:$D$10001,4,FALSE)</f>
        <v>Western Skyrim</v>
      </c>
    </row>
    <row r="401" spans="1:14" x14ac:dyDescent="0.25">
      <c r="A401" s="94">
        <v>417</v>
      </c>
      <c r="B401">
        <v>38</v>
      </c>
      <c r="C401">
        <v>1719</v>
      </c>
      <c r="D401" t="s">
        <v>3102</v>
      </c>
      <c r="E401">
        <v>744</v>
      </c>
      <c r="F401">
        <v>1160</v>
      </c>
      <c r="G401" t="s">
        <v>3102</v>
      </c>
      <c r="H401">
        <v>1</v>
      </c>
      <c r="I401" t="s">
        <v>3105</v>
      </c>
      <c r="J401" s="30" t="str">
        <f t="shared" si="18"/>
        <v>[417]=1160,</v>
      </c>
      <c r="K401" s="3">
        <f t="shared" si="19"/>
        <v>417</v>
      </c>
      <c r="L401" s="3">
        <f t="shared" si="20"/>
        <v>1160</v>
      </c>
      <c r="M401" s="8" t="str">
        <f>VLOOKUP(A401,'ESO wayshrine names'!$A$3:$B$9991,2,)</f>
        <v>Mor Khazgur Wayshrine</v>
      </c>
      <c r="N401" s="3" t="str">
        <f>VLOOKUP(F401,'ESO zone constants'!$A$5:$D$10001,4,FALSE)</f>
        <v>Western Skyrim</v>
      </c>
    </row>
    <row r="402" spans="1:14" x14ac:dyDescent="0.25">
      <c r="A402" s="94">
        <v>418</v>
      </c>
      <c r="B402">
        <v>38</v>
      </c>
      <c r="C402">
        <v>1719</v>
      </c>
      <c r="D402" t="s">
        <v>3102</v>
      </c>
      <c r="E402">
        <v>744</v>
      </c>
      <c r="F402">
        <v>1160</v>
      </c>
      <c r="G402" t="s">
        <v>3102</v>
      </c>
      <c r="H402">
        <v>1</v>
      </c>
      <c r="I402" t="s">
        <v>3106</v>
      </c>
      <c r="J402" s="30" t="str">
        <f t="shared" si="18"/>
        <v>[418]=1160,</v>
      </c>
      <c r="K402" s="3">
        <f t="shared" si="19"/>
        <v>418</v>
      </c>
      <c r="L402" s="3">
        <f t="shared" si="20"/>
        <v>1160</v>
      </c>
      <c r="M402" s="8" t="str">
        <f>VLOOKUP(A402,'ESO wayshrine names'!$A$3:$B$9991,2,)</f>
        <v>Dragon Bridge Wayshrine</v>
      </c>
      <c r="N402" s="3" t="str">
        <f>VLOOKUP(F402,'ESO zone constants'!$A$5:$D$10001,4,FALSE)</f>
        <v>Western Skyrim</v>
      </c>
    </row>
    <row r="403" spans="1:14" x14ac:dyDescent="0.25">
      <c r="A403" s="94">
        <v>419</v>
      </c>
      <c r="B403">
        <v>38</v>
      </c>
      <c r="C403">
        <v>1719</v>
      </c>
      <c r="D403" t="s">
        <v>3102</v>
      </c>
      <c r="E403">
        <v>744</v>
      </c>
      <c r="F403">
        <v>1160</v>
      </c>
      <c r="G403" t="s">
        <v>3102</v>
      </c>
      <c r="H403">
        <v>1</v>
      </c>
      <c r="I403" t="s">
        <v>3107</v>
      </c>
      <c r="J403" s="30" t="str">
        <f t="shared" si="18"/>
        <v>[419]=1160,</v>
      </c>
      <c r="K403" s="3">
        <f t="shared" si="19"/>
        <v>419</v>
      </c>
      <c r="L403" s="3">
        <f t="shared" si="20"/>
        <v>1160</v>
      </c>
      <c r="M403" s="8" t="str">
        <f>VLOOKUP(A403,'ESO wayshrine names'!$A$3:$B$9991,2,)</f>
        <v>Southern Watch Wayshrine</v>
      </c>
      <c r="N403" s="3" t="str">
        <f>VLOOKUP(F403,'ESO zone constants'!$A$5:$D$10001,4,FALSE)</f>
        <v>Western Skyrim</v>
      </c>
    </row>
    <row r="404" spans="1:14" x14ac:dyDescent="0.25">
      <c r="A404" s="94">
        <v>420</v>
      </c>
      <c r="B404">
        <v>38</v>
      </c>
      <c r="C404">
        <v>1719</v>
      </c>
      <c r="D404" t="s">
        <v>3102</v>
      </c>
      <c r="E404">
        <v>744</v>
      </c>
      <c r="F404">
        <v>1160</v>
      </c>
      <c r="G404" t="s">
        <v>3102</v>
      </c>
      <c r="H404">
        <v>1</v>
      </c>
      <c r="I404" t="s">
        <v>3108</v>
      </c>
      <c r="J404" s="30" t="str">
        <f t="shared" si="18"/>
        <v>[420]=1160,</v>
      </c>
      <c r="K404" s="3">
        <f t="shared" si="19"/>
        <v>420</v>
      </c>
      <c r="L404" s="3">
        <f t="shared" si="20"/>
        <v>1160</v>
      </c>
      <c r="M404" s="8" t="str">
        <f>VLOOKUP(A404,'ESO wayshrine names'!$A$3:$B$9991,2,)</f>
        <v>Frozen Coast Wayshrine</v>
      </c>
      <c r="N404" s="3" t="str">
        <f>VLOOKUP(F404,'ESO zone constants'!$A$5:$D$10001,4,FALSE)</f>
        <v>Western Skyrim</v>
      </c>
    </row>
    <row r="405" spans="1:14" x14ac:dyDescent="0.25">
      <c r="A405" s="94">
        <v>421</v>
      </c>
      <c r="B405">
        <v>38</v>
      </c>
      <c r="C405">
        <v>1719</v>
      </c>
      <c r="D405" t="s">
        <v>3102</v>
      </c>
      <c r="E405">
        <v>744</v>
      </c>
      <c r="F405">
        <v>1160</v>
      </c>
      <c r="G405" t="s">
        <v>3102</v>
      </c>
      <c r="H405">
        <v>1</v>
      </c>
      <c r="I405" t="s">
        <v>3109</v>
      </c>
      <c r="J405" s="30" t="str">
        <f t="shared" si="18"/>
        <v>[421]=1160,</v>
      </c>
      <c r="K405" s="3">
        <f t="shared" si="19"/>
        <v>421</v>
      </c>
      <c r="L405" s="3">
        <f t="shared" si="20"/>
        <v>1160</v>
      </c>
      <c r="M405" s="8" t="str">
        <f>VLOOKUP(A405,'ESO wayshrine names'!$A$3:$B$9991,2,)</f>
        <v>Solitude Wayshrine</v>
      </c>
      <c r="N405" s="3" t="str">
        <f>VLOOKUP(F405,'ESO zone constants'!$A$5:$D$10001,4,FALSE)</f>
        <v>Western Skyrim</v>
      </c>
    </row>
    <row r="406" spans="1:14" x14ac:dyDescent="0.25">
      <c r="A406" s="94">
        <v>422</v>
      </c>
      <c r="B406">
        <v>37</v>
      </c>
      <c r="C406">
        <v>1654</v>
      </c>
      <c r="D406" t="s">
        <v>3089</v>
      </c>
      <c r="E406">
        <v>721</v>
      </c>
      <c r="F406">
        <v>1133</v>
      </c>
      <c r="G406" t="s">
        <v>3089</v>
      </c>
      <c r="H406">
        <v>7</v>
      </c>
      <c r="I406" t="s">
        <v>3110</v>
      </c>
      <c r="J406" s="30" t="str">
        <f t="shared" si="18"/>
        <v>[422]=1133,</v>
      </c>
      <c r="K406" s="3">
        <f t="shared" si="19"/>
        <v>422</v>
      </c>
      <c r="L406" s="3">
        <f t="shared" si="20"/>
        <v>1133</v>
      </c>
      <c r="M406" s="8" t="str">
        <f>VLOOKUP(A406,'ESO wayshrine names'!$A$3:$B$9991,2,)</f>
        <v>Lucky Cat Landing</v>
      </c>
      <c r="N406" s="3" t="str">
        <f>VLOOKUP(F406,'ESO zone constants'!$A$5:$D$10001,4,FALSE)</f>
        <v>Southern Elsweyr</v>
      </c>
    </row>
    <row r="407" spans="1:14" x14ac:dyDescent="0.25">
      <c r="A407" s="94">
        <v>423</v>
      </c>
      <c r="B407">
        <v>37</v>
      </c>
      <c r="C407">
        <v>1654</v>
      </c>
      <c r="D407" t="s">
        <v>3089</v>
      </c>
      <c r="E407">
        <v>721</v>
      </c>
      <c r="F407">
        <v>1133</v>
      </c>
      <c r="G407" t="s">
        <v>3089</v>
      </c>
      <c r="H407">
        <v>7</v>
      </c>
      <c r="I407" t="s">
        <v>3111</v>
      </c>
      <c r="J407" s="30" t="str">
        <f t="shared" si="18"/>
        <v>[423]=1133,</v>
      </c>
      <c r="K407" s="3">
        <f t="shared" si="19"/>
        <v>423</v>
      </c>
      <c r="L407" s="3">
        <f t="shared" si="20"/>
        <v>1133</v>
      </c>
      <c r="M407" s="8" t="str">
        <f>VLOOKUP(A407,'ESO wayshrine names'!$A$3:$B$9991,2,)</f>
        <v>Potentate's Retreat</v>
      </c>
      <c r="N407" s="3" t="str">
        <f>VLOOKUP(F407,'ESO zone constants'!$A$5:$D$10001,4,FALSE)</f>
        <v>Southern Elsweyr</v>
      </c>
    </row>
    <row r="408" spans="1:14" x14ac:dyDescent="0.25">
      <c r="A408">
        <v>424</v>
      </c>
      <c r="B408">
        <v>27</v>
      </c>
      <c r="C408">
        <v>667</v>
      </c>
      <c r="D408" t="s">
        <v>450</v>
      </c>
      <c r="E408">
        <v>380</v>
      </c>
      <c r="F408">
        <v>684</v>
      </c>
      <c r="G408" t="s">
        <v>450</v>
      </c>
      <c r="H408">
        <v>6</v>
      </c>
      <c r="I408" t="s">
        <v>2134</v>
      </c>
      <c r="J408" s="30" t="str">
        <f t="shared" si="18"/>
        <v>[424]=684,</v>
      </c>
      <c r="K408" s="3">
        <f t="shared" si="19"/>
        <v>424</v>
      </c>
      <c r="L408" s="3">
        <f t="shared" si="20"/>
        <v>684</v>
      </c>
      <c r="M408" s="8" t="str">
        <f>VLOOKUP(A408,'ESO wayshrine names'!$A$3:$B$9991,2,)</f>
        <v>Dungeon: Icereach</v>
      </c>
      <c r="N408" s="3" t="str">
        <f>VLOOKUP(F408,'ESO zone constants'!$A$5:$D$10001,4,FALSE)</f>
        <v>Wrothgar</v>
      </c>
    </row>
    <row r="409" spans="1:14" x14ac:dyDescent="0.25">
      <c r="A409" s="94">
        <v>425</v>
      </c>
      <c r="B409">
        <v>6</v>
      </c>
      <c r="C409">
        <v>20</v>
      </c>
      <c r="D409" t="s">
        <v>109</v>
      </c>
      <c r="E409">
        <v>14</v>
      </c>
      <c r="F409">
        <v>92</v>
      </c>
      <c r="G409" t="s">
        <v>109</v>
      </c>
      <c r="H409">
        <v>6</v>
      </c>
      <c r="I409" t="s">
        <v>3112</v>
      </c>
      <c r="J409" s="30" t="str">
        <f t="shared" si="18"/>
        <v>[425]=92,</v>
      </c>
      <c r="K409" s="3">
        <f t="shared" si="19"/>
        <v>425</v>
      </c>
      <c r="L409" s="3">
        <f t="shared" si="20"/>
        <v>92</v>
      </c>
      <c r="M409" s="8" t="str">
        <f>VLOOKUP(A409,'ESO wayshrine names'!$A$3:$B$9991,2,)</f>
        <v>Dungeon: Unhallowed Grave</v>
      </c>
      <c r="N409" s="3" t="str">
        <f>VLOOKUP(F409,'ESO zone constants'!$A$5:$D$10001,4,FALSE)</f>
        <v>Bangkorai</v>
      </c>
    </row>
    <row r="410" spans="1:14" x14ac:dyDescent="0.25">
      <c r="A410" s="94">
        <v>426</v>
      </c>
      <c r="B410">
        <v>38</v>
      </c>
      <c r="C410">
        <v>1719</v>
      </c>
      <c r="D410" t="s">
        <v>3102</v>
      </c>
      <c r="E410">
        <v>744</v>
      </c>
      <c r="F410">
        <v>1160</v>
      </c>
      <c r="G410" t="s">
        <v>3102</v>
      </c>
      <c r="H410">
        <v>1</v>
      </c>
      <c r="I410" t="s">
        <v>3113</v>
      </c>
      <c r="J410" s="30" t="str">
        <f t="shared" si="18"/>
        <v>[426]=1160,</v>
      </c>
      <c r="K410" s="3">
        <f t="shared" si="19"/>
        <v>426</v>
      </c>
      <c r="L410" s="3">
        <f t="shared" si="20"/>
        <v>1160</v>
      </c>
      <c r="M410" s="8" t="str">
        <f>VLOOKUP(A410,'ESO wayshrine names'!$A$3:$B$9991,2,)</f>
        <v>Solitude Docks Wayshrine</v>
      </c>
      <c r="N410" s="3" t="str">
        <f>VLOOKUP(F410,'ESO zone constants'!$A$5:$D$10001,4,FALSE)</f>
        <v>Western Skyrim</v>
      </c>
    </row>
    <row r="411" spans="1:14" x14ac:dyDescent="0.25">
      <c r="A411" s="94">
        <v>427</v>
      </c>
      <c r="B411">
        <v>6</v>
      </c>
      <c r="C411">
        <v>20</v>
      </c>
      <c r="D411" t="s">
        <v>109</v>
      </c>
      <c r="E411">
        <v>14</v>
      </c>
      <c r="F411">
        <v>92</v>
      </c>
      <c r="G411" t="s">
        <v>109</v>
      </c>
      <c r="H411">
        <v>7</v>
      </c>
      <c r="I411" t="s">
        <v>3114</v>
      </c>
      <c r="J411" s="30" t="str">
        <f t="shared" si="18"/>
        <v>[427]=92,</v>
      </c>
      <c r="K411" s="3">
        <f t="shared" si="19"/>
        <v>427</v>
      </c>
      <c r="L411" s="3">
        <f t="shared" si="20"/>
        <v>92</v>
      </c>
      <c r="M411" s="8" t="str">
        <f>VLOOKUP(A411,'ESO wayshrine names'!$A$3:$B$9991,2,)</f>
        <v>Thieves' Oasis</v>
      </c>
      <c r="N411" s="3" t="str">
        <f>VLOOKUP(F411,'ESO zone constants'!$A$5:$D$10001,4,FALSE)</f>
        <v>Bangkorai</v>
      </c>
    </row>
    <row r="412" spans="1:14" x14ac:dyDescent="0.25">
      <c r="A412">
        <v>428</v>
      </c>
      <c r="B412">
        <v>27</v>
      </c>
      <c r="C412">
        <v>667</v>
      </c>
      <c r="D412" t="s">
        <v>450</v>
      </c>
      <c r="E412">
        <v>380</v>
      </c>
      <c r="F412">
        <v>684</v>
      </c>
      <c r="G412" t="s">
        <v>450</v>
      </c>
      <c r="H412">
        <v>7</v>
      </c>
      <c r="I412" t="s">
        <v>1655</v>
      </c>
      <c r="J412" s="30" t="str">
        <f t="shared" si="18"/>
        <v>[428]=684,</v>
      </c>
      <c r="K412" s="3">
        <f t="shared" si="19"/>
        <v>428</v>
      </c>
      <c r="L412" s="3">
        <f t="shared" si="20"/>
        <v>684</v>
      </c>
      <c r="M412" s="8" t="str">
        <f>VLOOKUP(A412,'ESO wayshrine names'!$A$3:$B$9991,2,)</f>
        <v>Forgemaster Falls</v>
      </c>
      <c r="N412" s="3" t="str">
        <f>VLOOKUP(F412,'ESO zone constants'!$A$5:$D$10001,4,FALSE)</f>
        <v>Wrothgar</v>
      </c>
    </row>
    <row r="413" spans="1:14" x14ac:dyDescent="0.25">
      <c r="A413" s="94">
        <v>429</v>
      </c>
      <c r="B413">
        <v>38</v>
      </c>
      <c r="C413">
        <v>1719</v>
      </c>
      <c r="D413" t="s">
        <v>3102</v>
      </c>
      <c r="E413">
        <v>744</v>
      </c>
      <c r="F413">
        <v>1160</v>
      </c>
      <c r="G413" t="s">
        <v>3102</v>
      </c>
      <c r="H413">
        <v>1</v>
      </c>
      <c r="I413" t="s">
        <v>3115</v>
      </c>
      <c r="J413" s="30" t="str">
        <f t="shared" si="18"/>
        <v>[429]=1160,</v>
      </c>
      <c r="K413" s="3">
        <f t="shared" si="19"/>
        <v>429</v>
      </c>
      <c r="L413" s="3">
        <f t="shared" si="20"/>
        <v>1160</v>
      </c>
      <c r="M413" s="8" t="str">
        <f>VLOOKUP(A413,'ESO wayshrine names'!$A$3:$B$9991,2,)</f>
        <v>Deepwood Vale Wayshrine</v>
      </c>
      <c r="N413" s="3" t="str">
        <f>VLOOKUP(F413,'ESO zone constants'!$A$5:$D$10001,4,FALSE)</f>
        <v>Western Skyrim</v>
      </c>
    </row>
    <row r="414" spans="1:14" x14ac:dyDescent="0.25">
      <c r="A414" s="94">
        <v>430</v>
      </c>
      <c r="B414">
        <v>40</v>
      </c>
      <c r="C414">
        <v>1782</v>
      </c>
      <c r="D414" t="s">
        <v>3097</v>
      </c>
      <c r="E414">
        <v>4294967296</v>
      </c>
      <c r="F414">
        <v>0</v>
      </c>
      <c r="H414">
        <v>1</v>
      </c>
      <c r="I414" t="s">
        <v>3116</v>
      </c>
      <c r="J414" s="30" t="str">
        <f t="shared" si="18"/>
        <v>[430]=0,</v>
      </c>
      <c r="K414" s="3">
        <f t="shared" si="19"/>
        <v>430</v>
      </c>
      <c r="L414" s="3">
        <f t="shared" si="20"/>
        <v>0</v>
      </c>
      <c r="M414" s="8" t="str">
        <f>VLOOKUP(A414,'ESO wayshrine names'!$A$3:$B$9991,2,)</f>
        <v>Dwarven Run Wayshrine</v>
      </c>
      <c r="N414" s="3" t="str">
        <f>VLOOKUP(F414,'ESO zone constants'!$A$5:$D$10001,4,FALSE)</f>
        <v>Tamriel Map</v>
      </c>
    </row>
    <row r="415" spans="1:14" x14ac:dyDescent="0.25">
      <c r="A415" s="94">
        <v>431</v>
      </c>
      <c r="B415">
        <v>40</v>
      </c>
      <c r="C415">
        <v>1782</v>
      </c>
      <c r="D415" t="s">
        <v>3097</v>
      </c>
      <c r="E415">
        <v>4294967296</v>
      </c>
      <c r="F415">
        <v>0</v>
      </c>
      <c r="H415">
        <v>1</v>
      </c>
      <c r="I415" t="s">
        <v>3117</v>
      </c>
      <c r="J415" s="30" t="str">
        <f t="shared" si="18"/>
        <v>[431]=0,</v>
      </c>
      <c r="K415" s="3">
        <f t="shared" si="19"/>
        <v>431</v>
      </c>
      <c r="L415" s="3">
        <f t="shared" si="20"/>
        <v>0</v>
      </c>
      <c r="M415" s="8" t="str">
        <f>VLOOKUP(A415,'ESO wayshrine names'!$A$3:$B$9991,2,)</f>
        <v>Grotto Falls Wayshrine</v>
      </c>
      <c r="N415" s="3" t="str">
        <f>VLOOKUP(F415,'ESO zone constants'!$A$5:$D$10001,4,FALSE)</f>
        <v>Tamriel Map</v>
      </c>
    </row>
    <row r="416" spans="1:14" x14ac:dyDescent="0.25">
      <c r="A416" s="94">
        <v>432</v>
      </c>
      <c r="B416">
        <v>40</v>
      </c>
      <c r="C416">
        <v>1782</v>
      </c>
      <c r="D416" t="s">
        <v>3097</v>
      </c>
      <c r="E416">
        <v>4294967296</v>
      </c>
      <c r="F416">
        <v>0</v>
      </c>
      <c r="H416">
        <v>1</v>
      </c>
      <c r="I416" t="s">
        <v>3118</v>
      </c>
      <c r="J416" s="30" t="str">
        <f t="shared" si="18"/>
        <v>[432]=0,</v>
      </c>
      <c r="K416" s="3">
        <f t="shared" si="19"/>
        <v>432</v>
      </c>
      <c r="L416" s="3">
        <f t="shared" si="20"/>
        <v>0</v>
      </c>
      <c r="M416" s="8" t="str">
        <f>VLOOKUP(A416,'ESO wayshrine names'!$A$3:$B$9991,2,)</f>
        <v>Deep Overlook Wayshrine</v>
      </c>
      <c r="N416" s="3" t="str">
        <f>VLOOKUP(F416,'ESO zone constants'!$A$5:$D$10001,4,FALSE)</f>
        <v>Tamriel Map</v>
      </c>
    </row>
    <row r="417" spans="1:14" x14ac:dyDescent="0.25">
      <c r="A417" s="94">
        <v>433</v>
      </c>
      <c r="B417">
        <v>40</v>
      </c>
      <c r="C417">
        <v>1782</v>
      </c>
      <c r="D417" t="s">
        <v>3097</v>
      </c>
      <c r="E417">
        <v>4294967296</v>
      </c>
      <c r="F417">
        <v>0</v>
      </c>
      <c r="H417">
        <v>1</v>
      </c>
      <c r="I417" t="s">
        <v>3119</v>
      </c>
      <c r="J417" s="30" t="str">
        <f t="shared" si="18"/>
        <v>[433]=0,</v>
      </c>
      <c r="K417" s="3">
        <f t="shared" si="19"/>
        <v>433</v>
      </c>
      <c r="L417" s="3">
        <f t="shared" si="20"/>
        <v>0</v>
      </c>
      <c r="M417" s="8" t="str">
        <f>VLOOKUP(A417,'ESO wayshrine names'!$A$3:$B$9991,2,)</f>
        <v>Western Greymoor Wayshrine</v>
      </c>
      <c r="N417" s="3" t="str">
        <f>VLOOKUP(F417,'ESO zone constants'!$A$5:$D$10001,4,FALSE)</f>
        <v>Tamriel Map</v>
      </c>
    </row>
    <row r="418" spans="1:14" x14ac:dyDescent="0.25">
      <c r="A418" s="94">
        <v>434</v>
      </c>
      <c r="B418">
        <v>38</v>
      </c>
      <c r="C418">
        <v>1719</v>
      </c>
      <c r="D418" t="s">
        <v>3102</v>
      </c>
      <c r="E418">
        <v>744</v>
      </c>
      <c r="F418">
        <v>1160</v>
      </c>
      <c r="G418" t="s">
        <v>3102</v>
      </c>
      <c r="H418">
        <v>3</v>
      </c>
      <c r="I418" t="s">
        <v>3120</v>
      </c>
      <c r="J418" s="30" t="str">
        <f t="shared" si="18"/>
        <v>[434]=1160,</v>
      </c>
      <c r="K418" s="3">
        <f t="shared" si="19"/>
        <v>434</v>
      </c>
      <c r="L418" s="3">
        <f t="shared" si="20"/>
        <v>1160</v>
      </c>
      <c r="M418" s="8" t="str">
        <f>VLOOKUP(A418,'ESO wayshrine names'!$A$3:$B$9991,2,)</f>
        <v>Trial: Kyne's Aegis</v>
      </c>
      <c r="N418" s="3" t="str">
        <f>VLOOKUP(F418,'ESO zone constants'!$A$5:$D$10001,4,FALSE)</f>
        <v>Western Skyrim</v>
      </c>
    </row>
    <row r="419" spans="1:14" x14ac:dyDescent="0.25">
      <c r="A419" s="94">
        <v>435</v>
      </c>
      <c r="B419">
        <v>40</v>
      </c>
      <c r="C419">
        <v>1782</v>
      </c>
      <c r="D419" t="s">
        <v>3097</v>
      </c>
      <c r="E419">
        <v>4294967296</v>
      </c>
      <c r="F419">
        <v>0</v>
      </c>
      <c r="H419">
        <v>6</v>
      </c>
      <c r="I419" t="s">
        <v>3121</v>
      </c>
      <c r="J419" s="30" t="str">
        <f t="shared" si="18"/>
        <v>[435]=0,</v>
      </c>
      <c r="K419" s="3">
        <f t="shared" si="19"/>
        <v>435</v>
      </c>
      <c r="L419" s="3">
        <f t="shared" si="20"/>
        <v>0</v>
      </c>
      <c r="M419" s="8" t="str">
        <f>VLOOKUP(A419,'ESO wayshrine names'!$A$3:$B$9991,2,)</f>
        <v>Dungeon: Stone Garden</v>
      </c>
      <c r="N419" s="3" t="str">
        <f>VLOOKUP(F419,'ESO zone constants'!$A$5:$D$10001,4,FALSE)</f>
        <v>Tamriel Map</v>
      </c>
    </row>
    <row r="420" spans="1:14" x14ac:dyDescent="0.25">
      <c r="A420" s="94">
        <v>436</v>
      </c>
      <c r="B420">
        <v>38</v>
      </c>
      <c r="C420">
        <v>1719</v>
      </c>
      <c r="D420" t="s">
        <v>3102</v>
      </c>
      <c r="E420">
        <v>744</v>
      </c>
      <c r="F420">
        <v>1160</v>
      </c>
      <c r="G420" t="s">
        <v>3102</v>
      </c>
      <c r="H420">
        <v>6</v>
      </c>
      <c r="I420" t="s">
        <v>3122</v>
      </c>
      <c r="J420" s="30" t="str">
        <f t="shared" si="18"/>
        <v>[436]=1160,</v>
      </c>
      <c r="K420" s="3">
        <f t="shared" si="19"/>
        <v>436</v>
      </c>
      <c r="L420" s="3">
        <f t="shared" si="20"/>
        <v>1160</v>
      </c>
      <c r="M420" s="8" t="str">
        <f>VLOOKUP(A420,'ESO wayshrine names'!$A$3:$B$9991,2,)</f>
        <v>Dungeon: Castle Thorn</v>
      </c>
      <c r="N420" s="3" t="str">
        <f>VLOOKUP(F420,'ESO zone constants'!$A$5:$D$10001,4,FALSE)</f>
        <v>Western Skyrim</v>
      </c>
    </row>
    <row r="421" spans="1:14" x14ac:dyDescent="0.25">
      <c r="A421" s="94">
        <v>437</v>
      </c>
      <c r="B421">
        <v>29</v>
      </c>
      <c r="C421">
        <v>1006</v>
      </c>
      <c r="D421" t="s">
        <v>2311</v>
      </c>
      <c r="E421">
        <v>449</v>
      </c>
      <c r="F421">
        <v>823</v>
      </c>
      <c r="G421" t="s">
        <v>2962</v>
      </c>
      <c r="H421">
        <v>6</v>
      </c>
      <c r="I421" t="s">
        <v>3123</v>
      </c>
      <c r="J421" s="30" t="str">
        <f t="shared" si="18"/>
        <v>[437]=823,</v>
      </c>
      <c r="K421" s="3">
        <f t="shared" si="19"/>
        <v>437</v>
      </c>
      <c r="L421" s="3">
        <f t="shared" si="20"/>
        <v>823</v>
      </c>
      <c r="M421" s="8" t="str">
        <f>VLOOKUP(A421,'ESO wayshrine names'!$A$3:$B$9991,2,)</f>
        <v>Dungeon: Black Drake Villa</v>
      </c>
      <c r="N421" s="3" t="str">
        <f>VLOOKUP(F421,'ESO zone constants'!$A$5:$D$10001,4,FALSE)</f>
        <v>Gold Coast</v>
      </c>
    </row>
    <row r="422" spans="1:14" x14ac:dyDescent="0.25">
      <c r="A422" s="94">
        <v>438</v>
      </c>
      <c r="B422">
        <v>38</v>
      </c>
      <c r="C422">
        <v>1719</v>
      </c>
      <c r="D422" t="s">
        <v>3102</v>
      </c>
      <c r="E422">
        <v>744</v>
      </c>
      <c r="F422">
        <v>1160</v>
      </c>
      <c r="G422" t="s">
        <v>3102</v>
      </c>
      <c r="H422">
        <v>7</v>
      </c>
      <c r="I422" t="s">
        <v>3124</v>
      </c>
      <c r="J422" s="30" t="str">
        <f t="shared" si="18"/>
        <v>[438]=1160,</v>
      </c>
      <c r="K422" s="3">
        <f t="shared" si="19"/>
        <v>438</v>
      </c>
      <c r="L422" s="3">
        <f t="shared" si="20"/>
        <v>1160</v>
      </c>
      <c r="M422" s="8" t="str">
        <f>VLOOKUP(A422,'ESO wayshrine names'!$A$3:$B$9991,2,)</f>
        <v>Snowmelt Suite</v>
      </c>
      <c r="N422" s="3" t="str">
        <f>VLOOKUP(F422,'ESO zone constants'!$A$5:$D$10001,4,FALSE)</f>
        <v>Western Skyrim</v>
      </c>
    </row>
    <row r="423" spans="1:14" s="53" customFormat="1" x14ac:dyDescent="0.25">
      <c r="A423" s="94">
        <v>439</v>
      </c>
      <c r="B423">
        <v>38</v>
      </c>
      <c r="C423">
        <v>1719</v>
      </c>
      <c r="D423" t="s">
        <v>3102</v>
      </c>
      <c r="E423">
        <v>744</v>
      </c>
      <c r="F423">
        <v>1160</v>
      </c>
      <c r="G423" t="s">
        <v>3102</v>
      </c>
      <c r="H423">
        <v>7</v>
      </c>
      <c r="I423" t="s">
        <v>3125</v>
      </c>
      <c r="J423" s="30" t="str">
        <f t="shared" si="18"/>
        <v>[439]=1160,</v>
      </c>
      <c r="K423" s="3">
        <f t="shared" si="19"/>
        <v>439</v>
      </c>
      <c r="L423" s="3">
        <f t="shared" si="20"/>
        <v>1160</v>
      </c>
      <c r="M423" s="8" t="str">
        <f>VLOOKUP(A423,'ESO wayshrine names'!$A$3:$B$9991,2,)</f>
        <v>Proudspire Manor</v>
      </c>
      <c r="N423" s="3" t="str">
        <f>VLOOKUP(F423,'ESO zone constants'!$A$5:$D$10001,4,FALSE)</f>
        <v>Western Skyrim</v>
      </c>
    </row>
    <row r="424" spans="1:14" s="53" customFormat="1" x14ac:dyDescent="0.25">
      <c r="A424" s="94">
        <v>440</v>
      </c>
      <c r="B424">
        <v>40</v>
      </c>
      <c r="C424">
        <v>1782</v>
      </c>
      <c r="D424" t="s">
        <v>3097</v>
      </c>
      <c r="E424">
        <v>4294967296</v>
      </c>
      <c r="F424">
        <v>0</v>
      </c>
      <c r="G424"/>
      <c r="H424">
        <v>7</v>
      </c>
      <c r="I424" t="s">
        <v>3126</v>
      </c>
      <c r="J424" s="30" t="str">
        <f t="shared" si="18"/>
        <v>[440]=0,</v>
      </c>
      <c r="K424" s="3">
        <f t="shared" si="19"/>
        <v>440</v>
      </c>
      <c r="L424" s="3">
        <f t="shared" si="20"/>
        <v>0</v>
      </c>
      <c r="M424" s="8" t="str">
        <f>VLOOKUP(A424,'ESO wayshrine names'!$A$3:$B$9991,2,)</f>
        <v>Bastion Sanguinaris</v>
      </c>
      <c r="N424" s="3" t="str">
        <f>VLOOKUP(F424,'ESO zone constants'!$A$5:$D$10001,4,FALSE)</f>
        <v>Tamriel Map</v>
      </c>
    </row>
    <row r="425" spans="1:14" x14ac:dyDescent="0.25">
      <c r="A425">
        <v>441</v>
      </c>
      <c r="B425">
        <v>42</v>
      </c>
      <c r="C425">
        <v>1814</v>
      </c>
      <c r="D425" t="s">
        <v>2210</v>
      </c>
      <c r="E425">
        <v>784</v>
      </c>
      <c r="F425">
        <v>1207</v>
      </c>
      <c r="G425" t="s">
        <v>2210</v>
      </c>
      <c r="H425">
        <v>1</v>
      </c>
      <c r="I425" t="s">
        <v>2198</v>
      </c>
      <c r="J425" s="30" t="str">
        <f t="shared" si="18"/>
        <v>[441]=1207,</v>
      </c>
      <c r="K425" s="3">
        <f t="shared" si="19"/>
        <v>441</v>
      </c>
      <c r="L425" s="3">
        <f t="shared" si="20"/>
        <v>1207</v>
      </c>
      <c r="M425" s="8" t="str">
        <f>VLOOKUP(A425,'ESO wayshrine names'!$A$3:$B$9991,2,)</f>
        <v>Briar Rock Wayshrine</v>
      </c>
      <c r="N425" s="3" t="str">
        <f>VLOOKUP(F425,'ESO zone constants'!$A$5:$D$10001,4,FALSE)</f>
        <v>The Reach</v>
      </c>
    </row>
    <row r="426" spans="1:14" x14ac:dyDescent="0.25">
      <c r="A426">
        <v>442</v>
      </c>
      <c r="B426">
        <v>42</v>
      </c>
      <c r="C426">
        <v>1814</v>
      </c>
      <c r="D426" t="s">
        <v>2210</v>
      </c>
      <c r="E426">
        <v>784</v>
      </c>
      <c r="F426">
        <v>1207</v>
      </c>
      <c r="G426" t="s">
        <v>2210</v>
      </c>
      <c r="H426">
        <v>1</v>
      </c>
      <c r="I426" t="s">
        <v>2199</v>
      </c>
      <c r="J426" s="30" t="str">
        <f t="shared" si="18"/>
        <v>[442]=1207,</v>
      </c>
      <c r="K426" s="3">
        <f t="shared" si="19"/>
        <v>442</v>
      </c>
      <c r="L426" s="3">
        <f t="shared" si="20"/>
        <v>1207</v>
      </c>
      <c r="M426" s="8" t="str">
        <f>VLOOKUP(A426,'ESO wayshrine names'!$A$3:$B$9991,2,)</f>
        <v>Druadach Mountains Wayshrine</v>
      </c>
      <c r="N426" s="3" t="str">
        <f>VLOOKUP(F426,'ESO zone constants'!$A$5:$D$10001,4,FALSE)</f>
        <v>The Reach</v>
      </c>
    </row>
    <row r="427" spans="1:14" x14ac:dyDescent="0.25">
      <c r="A427">
        <v>443</v>
      </c>
      <c r="B427">
        <v>42</v>
      </c>
      <c r="C427">
        <v>1814</v>
      </c>
      <c r="D427" t="s">
        <v>2210</v>
      </c>
      <c r="E427">
        <v>784</v>
      </c>
      <c r="F427">
        <v>1207</v>
      </c>
      <c r="G427" t="s">
        <v>2210</v>
      </c>
      <c r="H427">
        <v>1</v>
      </c>
      <c r="I427" t="s">
        <v>2200</v>
      </c>
      <c r="J427" s="30" t="str">
        <f t="shared" si="18"/>
        <v>[443]=1207,</v>
      </c>
      <c r="K427" s="3">
        <f t="shared" si="19"/>
        <v>443</v>
      </c>
      <c r="L427" s="3">
        <f t="shared" si="20"/>
        <v>1207</v>
      </c>
      <c r="M427" s="8" t="str">
        <f>VLOOKUP(A427,'ESO wayshrine names'!$A$3:$B$9991,2,)</f>
        <v>North Markarth Wayshrine</v>
      </c>
      <c r="N427" s="3" t="str">
        <f>VLOOKUP(F427,'ESO zone constants'!$A$5:$D$10001,4,FALSE)</f>
        <v>The Reach</v>
      </c>
    </row>
    <row r="428" spans="1:14" x14ac:dyDescent="0.25">
      <c r="A428">
        <v>444</v>
      </c>
      <c r="B428">
        <v>42</v>
      </c>
      <c r="C428">
        <v>1814</v>
      </c>
      <c r="D428" t="s">
        <v>2210</v>
      </c>
      <c r="E428">
        <v>784</v>
      </c>
      <c r="F428">
        <v>1207</v>
      </c>
      <c r="G428" t="s">
        <v>2210</v>
      </c>
      <c r="H428">
        <v>1</v>
      </c>
      <c r="I428" t="s">
        <v>2201</v>
      </c>
      <c r="J428" s="30" t="str">
        <f t="shared" si="18"/>
        <v>[444]=1207,</v>
      </c>
      <c r="K428" s="3">
        <f t="shared" si="19"/>
        <v>444</v>
      </c>
      <c r="L428" s="3">
        <f t="shared" si="20"/>
        <v>1207</v>
      </c>
      <c r="M428" s="8" t="str">
        <f>VLOOKUP(A428,'ESO wayshrine names'!$A$3:$B$9991,2,)</f>
        <v>Lost Valley Wayshrine</v>
      </c>
      <c r="N428" s="3" t="str">
        <f>VLOOKUP(F428,'ESO zone constants'!$A$5:$D$10001,4,FALSE)</f>
        <v>The Reach</v>
      </c>
    </row>
    <row r="429" spans="1:14" x14ac:dyDescent="0.25">
      <c r="A429">
        <v>445</v>
      </c>
      <c r="B429">
        <v>42</v>
      </c>
      <c r="C429">
        <v>1814</v>
      </c>
      <c r="D429" t="s">
        <v>2210</v>
      </c>
      <c r="E429">
        <v>784</v>
      </c>
      <c r="F429">
        <v>1207</v>
      </c>
      <c r="G429" t="s">
        <v>2210</v>
      </c>
      <c r="H429">
        <v>1</v>
      </c>
      <c r="I429" t="s">
        <v>2202</v>
      </c>
      <c r="J429" s="30" t="str">
        <f t="shared" si="18"/>
        <v>[445]=1207,</v>
      </c>
      <c r="K429" s="3">
        <f t="shared" si="19"/>
        <v>445</v>
      </c>
      <c r="L429" s="3">
        <f t="shared" si="20"/>
        <v>1207</v>
      </c>
      <c r="M429" s="8" t="str">
        <f>VLOOKUP(A429,'ESO wayshrine names'!$A$3:$B$9991,2,)</f>
        <v>Karthwasten Wayshrine</v>
      </c>
      <c r="N429" s="3" t="str">
        <f>VLOOKUP(F429,'ESO zone constants'!$A$5:$D$10001,4,FALSE)</f>
        <v>The Reach</v>
      </c>
    </row>
    <row r="430" spans="1:14" x14ac:dyDescent="0.25">
      <c r="A430" s="94">
        <v>446</v>
      </c>
      <c r="B430">
        <v>40</v>
      </c>
      <c r="C430">
        <v>1782</v>
      </c>
      <c r="D430" t="s">
        <v>3097</v>
      </c>
      <c r="E430">
        <v>4294967296</v>
      </c>
      <c r="F430">
        <v>0</v>
      </c>
      <c r="H430">
        <v>1</v>
      </c>
      <c r="I430" t="s">
        <v>3127</v>
      </c>
      <c r="J430" s="30" t="str">
        <f t="shared" si="18"/>
        <v>[446]=0,</v>
      </c>
      <c r="K430" s="3">
        <f t="shared" si="19"/>
        <v>446</v>
      </c>
      <c r="L430" s="3">
        <f t="shared" si="20"/>
        <v>0</v>
      </c>
      <c r="M430" s="8" t="str">
        <f>VLOOKUP(A430,'ESO wayshrine names'!$A$3:$B$9991,2,)</f>
        <v>Arkthzand Wayshrine</v>
      </c>
      <c r="N430" s="3" t="str">
        <f>VLOOKUP(F430,'ESO zone constants'!$A$5:$D$10001,4,FALSE)</f>
        <v>Tamriel Map</v>
      </c>
    </row>
    <row r="431" spans="1:14" x14ac:dyDescent="0.25">
      <c r="A431">
        <v>447</v>
      </c>
      <c r="B431">
        <v>42</v>
      </c>
      <c r="C431">
        <v>1814</v>
      </c>
      <c r="D431" t="s">
        <v>2210</v>
      </c>
      <c r="E431">
        <v>784</v>
      </c>
      <c r="F431">
        <v>1207</v>
      </c>
      <c r="G431" t="s">
        <v>2210</v>
      </c>
      <c r="H431">
        <v>1</v>
      </c>
      <c r="I431" t="s">
        <v>2204</v>
      </c>
      <c r="J431" s="30" t="str">
        <f t="shared" si="18"/>
        <v>[447]=1207,</v>
      </c>
      <c r="K431" s="3">
        <f t="shared" si="19"/>
        <v>447</v>
      </c>
      <c r="L431" s="3">
        <f t="shared" si="20"/>
        <v>1207</v>
      </c>
      <c r="M431" s="8" t="str">
        <f>VLOOKUP(A431,'ESO wayshrine names'!$A$3:$B$9991,2,)</f>
        <v>Rebel's Retreat Wayshrine</v>
      </c>
      <c r="N431" s="3" t="str">
        <f>VLOOKUP(F431,'ESO zone constants'!$A$5:$D$10001,4,FALSE)</f>
        <v>The Reach</v>
      </c>
    </row>
    <row r="432" spans="1:14" x14ac:dyDescent="0.25">
      <c r="A432" s="94">
        <v>448</v>
      </c>
      <c r="B432">
        <v>40</v>
      </c>
      <c r="C432">
        <v>1782</v>
      </c>
      <c r="D432" t="s">
        <v>3097</v>
      </c>
      <c r="E432">
        <v>4294967296</v>
      </c>
      <c r="F432">
        <v>0</v>
      </c>
      <c r="H432">
        <v>1</v>
      </c>
      <c r="I432" t="s">
        <v>3128</v>
      </c>
      <c r="J432" s="30" t="str">
        <f t="shared" si="18"/>
        <v>[448]=0,</v>
      </c>
      <c r="K432" s="3">
        <f t="shared" si="19"/>
        <v>448</v>
      </c>
      <c r="L432" s="3">
        <f t="shared" si="20"/>
        <v>0</v>
      </c>
      <c r="M432" s="8" t="str">
        <f>VLOOKUP(A432,'ESO wayshrine names'!$A$3:$B$9991,2,)</f>
        <v>Nighthollow Wayshrine</v>
      </c>
      <c r="N432" s="3" t="str">
        <f>VLOOKUP(F432,'ESO zone constants'!$A$5:$D$10001,4,FALSE)</f>
        <v>Tamriel Map</v>
      </c>
    </row>
    <row r="433" spans="1:14" x14ac:dyDescent="0.25">
      <c r="A433">
        <v>449</v>
      </c>
      <c r="B433">
        <v>42</v>
      </c>
      <c r="C433">
        <v>1814</v>
      </c>
      <c r="D433" t="s">
        <v>2210</v>
      </c>
      <c r="E433">
        <v>784</v>
      </c>
      <c r="F433">
        <v>1207</v>
      </c>
      <c r="G433" t="s">
        <v>2210</v>
      </c>
      <c r="H433">
        <v>1</v>
      </c>
      <c r="I433" t="s">
        <v>2206</v>
      </c>
      <c r="J433" s="30" t="str">
        <f t="shared" si="18"/>
        <v>[449]=1207,</v>
      </c>
      <c r="K433" s="3">
        <f t="shared" si="19"/>
        <v>449</v>
      </c>
      <c r="L433" s="3">
        <f t="shared" si="20"/>
        <v>1207</v>
      </c>
      <c r="M433" s="8" t="str">
        <f>VLOOKUP(A433,'ESO wayshrine names'!$A$3:$B$9991,2,)</f>
        <v>Markarth Wayshrine</v>
      </c>
      <c r="N433" s="3" t="str">
        <f>VLOOKUP(F433,'ESO zone constants'!$A$5:$D$10001,4,FALSE)</f>
        <v>The Reach</v>
      </c>
    </row>
    <row r="434" spans="1:14" x14ac:dyDescent="0.25">
      <c r="A434" s="94">
        <v>450</v>
      </c>
      <c r="B434">
        <v>38</v>
      </c>
      <c r="C434">
        <v>1719</v>
      </c>
      <c r="D434" t="s">
        <v>3102</v>
      </c>
      <c r="E434">
        <v>744</v>
      </c>
      <c r="F434">
        <v>1160</v>
      </c>
      <c r="G434" t="s">
        <v>3102</v>
      </c>
      <c r="H434">
        <v>1</v>
      </c>
      <c r="I434" t="s">
        <v>3129</v>
      </c>
      <c r="J434" s="30" t="str">
        <f t="shared" si="18"/>
        <v>[450]=1160,</v>
      </c>
      <c r="K434" s="3">
        <f t="shared" si="19"/>
        <v>450</v>
      </c>
      <c r="L434" s="3">
        <f t="shared" si="20"/>
        <v>1160</v>
      </c>
      <c r="M434" s="8" t="str">
        <f>VLOOKUP(A434,'ESO wayshrine names'!$A$3:$B$9991,2,)</f>
        <v>Giant's Coast Wayshrine</v>
      </c>
      <c r="N434" s="3" t="str">
        <f>VLOOKUP(F434,'ESO zone constants'!$A$5:$D$10001,4,FALSE)</f>
        <v>Western Skyrim</v>
      </c>
    </row>
    <row r="435" spans="1:14" x14ac:dyDescent="0.25">
      <c r="A435" s="94">
        <v>451</v>
      </c>
      <c r="B435">
        <v>38</v>
      </c>
      <c r="C435">
        <v>1719</v>
      </c>
      <c r="D435" t="s">
        <v>3102</v>
      </c>
      <c r="E435">
        <v>744</v>
      </c>
      <c r="F435">
        <v>1160</v>
      </c>
      <c r="G435" t="s">
        <v>3102</v>
      </c>
      <c r="H435">
        <v>1</v>
      </c>
      <c r="I435" t="s">
        <v>3130</v>
      </c>
      <c r="J435" s="30" t="str">
        <f t="shared" si="18"/>
        <v>[451]=1160,</v>
      </c>
      <c r="K435" s="3">
        <f t="shared" si="19"/>
        <v>451</v>
      </c>
      <c r="L435" s="3">
        <f t="shared" si="20"/>
        <v>1160</v>
      </c>
      <c r="M435" s="8" t="str">
        <f>VLOOKUP(A435,'ESO wayshrine names'!$A$3:$B$9991,2,)</f>
        <v>Northern Watch Wayshrine</v>
      </c>
      <c r="N435" s="3" t="str">
        <f>VLOOKUP(F435,'ESO zone constants'!$A$5:$D$10001,4,FALSE)</f>
        <v>Western Skyrim</v>
      </c>
    </row>
    <row r="436" spans="1:14" x14ac:dyDescent="0.25">
      <c r="A436" s="94">
        <v>452</v>
      </c>
      <c r="B436">
        <v>38</v>
      </c>
      <c r="C436">
        <v>1719</v>
      </c>
      <c r="D436" t="s">
        <v>3102</v>
      </c>
      <c r="E436">
        <v>744</v>
      </c>
      <c r="F436">
        <v>1160</v>
      </c>
      <c r="G436" t="s">
        <v>3102</v>
      </c>
      <c r="H436">
        <v>7</v>
      </c>
      <c r="I436" t="s">
        <v>3131</v>
      </c>
      <c r="J436" s="30" t="str">
        <f t="shared" si="18"/>
        <v>[452]=1160,</v>
      </c>
      <c r="K436" s="3">
        <f t="shared" si="19"/>
        <v>452</v>
      </c>
      <c r="L436" s="3">
        <f t="shared" si="20"/>
        <v>1160</v>
      </c>
      <c r="M436" s="8" t="str">
        <f>VLOOKUP(A436,'ESO wayshrine names'!$A$3:$B$9991,2,)</f>
        <v>Antiquarian's Alpine Gallery</v>
      </c>
      <c r="N436" s="3" t="str">
        <f>VLOOKUP(F436,'ESO zone constants'!$A$5:$D$10001,4,FALSE)</f>
        <v>Western Skyrim</v>
      </c>
    </row>
    <row r="437" spans="1:14" x14ac:dyDescent="0.25">
      <c r="A437" s="94">
        <v>453</v>
      </c>
      <c r="B437">
        <v>38</v>
      </c>
      <c r="C437">
        <v>1719</v>
      </c>
      <c r="D437" t="s">
        <v>3102</v>
      </c>
      <c r="E437">
        <v>744</v>
      </c>
      <c r="F437">
        <v>1160</v>
      </c>
      <c r="G437" t="s">
        <v>3102</v>
      </c>
      <c r="H437">
        <v>7</v>
      </c>
      <c r="I437" t="s">
        <v>3132</v>
      </c>
      <c r="J437" s="30" t="str">
        <f t="shared" si="18"/>
        <v>[453]=1160,</v>
      </c>
      <c r="K437" s="3">
        <f t="shared" si="19"/>
        <v>453</v>
      </c>
      <c r="L437" s="3">
        <f t="shared" si="20"/>
        <v>1160</v>
      </c>
      <c r="M437" s="8" t="str">
        <f>VLOOKUP(A437,'ESO wayshrine names'!$A$3:$B$9991,2,)</f>
        <v>Stillwaters Retreat</v>
      </c>
      <c r="N437" s="3" t="str">
        <f>VLOOKUP(F437,'ESO zone constants'!$A$5:$D$10001,4,FALSE)</f>
        <v>Western Skyrim</v>
      </c>
    </row>
    <row r="438" spans="1:14" x14ac:dyDescent="0.25">
      <c r="A438" s="94">
        <v>454</v>
      </c>
      <c r="B438">
        <v>10</v>
      </c>
      <c r="C438">
        <v>13</v>
      </c>
      <c r="D438" t="s">
        <v>107</v>
      </c>
      <c r="E438">
        <v>10</v>
      </c>
      <c r="F438">
        <v>57</v>
      </c>
      <c r="G438" t="s">
        <v>107</v>
      </c>
      <c r="H438">
        <v>6</v>
      </c>
      <c r="I438" t="s">
        <v>3133</v>
      </c>
      <c r="J438" s="30" t="str">
        <f t="shared" si="18"/>
        <v>[454]=57,</v>
      </c>
      <c r="K438" s="3">
        <f t="shared" si="19"/>
        <v>454</v>
      </c>
      <c r="L438" s="3">
        <f t="shared" si="20"/>
        <v>57</v>
      </c>
      <c r="M438" s="8" t="str">
        <f>VLOOKUP(A438,'ESO wayshrine names'!$A$3:$B$9991,2,)</f>
        <v>Dungeon: The Cauldron</v>
      </c>
      <c r="N438" s="3" t="str">
        <f>VLOOKUP(F438,'ESO zone constants'!$A$5:$D$10001,4,FALSE)</f>
        <v>Deshaan</v>
      </c>
    </row>
    <row r="439" spans="1:14" x14ac:dyDescent="0.25">
      <c r="A439" s="94">
        <v>455</v>
      </c>
      <c r="B439">
        <v>38</v>
      </c>
      <c r="C439">
        <v>1719</v>
      </c>
      <c r="D439" t="s">
        <v>3102</v>
      </c>
      <c r="E439">
        <v>744</v>
      </c>
      <c r="F439">
        <v>1160</v>
      </c>
      <c r="G439" t="s">
        <v>3102</v>
      </c>
      <c r="H439">
        <v>7</v>
      </c>
      <c r="I439" t="s">
        <v>3134</v>
      </c>
      <c r="J439" s="30" t="str">
        <f t="shared" si="18"/>
        <v>[455]=1160,</v>
      </c>
      <c r="K439" s="3">
        <f t="shared" si="19"/>
        <v>455</v>
      </c>
      <c r="L439" s="3">
        <f t="shared" si="20"/>
        <v>1160</v>
      </c>
      <c r="M439" s="8" t="str">
        <f>VLOOKUP(A439,'ESO wayshrine names'!$A$3:$B$9991,2,)</f>
        <v>Shalidor's Shrouded Realm</v>
      </c>
      <c r="N439" s="3" t="str">
        <f>VLOOKUP(F439,'ESO zone constants'!$A$5:$D$10001,4,FALSE)</f>
        <v>Western Skyrim</v>
      </c>
    </row>
    <row r="440" spans="1:14" x14ac:dyDescent="0.25">
      <c r="A440">
        <v>456</v>
      </c>
      <c r="B440">
        <v>42</v>
      </c>
      <c r="C440">
        <v>1814</v>
      </c>
      <c r="D440" t="s">
        <v>2210</v>
      </c>
      <c r="E440">
        <v>784</v>
      </c>
      <c r="F440">
        <v>1207</v>
      </c>
      <c r="G440" t="s">
        <v>2210</v>
      </c>
      <c r="H440">
        <v>7</v>
      </c>
      <c r="I440" t="s">
        <v>2208</v>
      </c>
      <c r="J440" s="30" t="str">
        <f t="shared" si="18"/>
        <v>[456]=1207,</v>
      </c>
      <c r="K440" s="3">
        <f t="shared" si="19"/>
        <v>456</v>
      </c>
      <c r="L440" s="3">
        <f t="shared" si="20"/>
        <v>1207</v>
      </c>
      <c r="M440" s="8" t="str">
        <f>VLOOKUP(A440,'ESO wayshrine names'!$A$3:$B$9991,2,)</f>
        <v>Stone Eagle Aerie</v>
      </c>
      <c r="N440" s="3" t="str">
        <f>VLOOKUP(F440,'ESO zone constants'!$A$5:$D$10001,4,FALSE)</f>
        <v>The Reach</v>
      </c>
    </row>
    <row r="441" spans="1:14" x14ac:dyDescent="0.25">
      <c r="A441">
        <v>457</v>
      </c>
      <c r="B441">
        <v>42</v>
      </c>
      <c r="C441">
        <v>1814</v>
      </c>
      <c r="D441" t="s">
        <v>2210</v>
      </c>
      <c r="E441">
        <v>784</v>
      </c>
      <c r="F441">
        <v>1207</v>
      </c>
      <c r="G441" t="s">
        <v>2210</v>
      </c>
      <c r="H441">
        <v>0</v>
      </c>
      <c r="I441" t="s">
        <v>2209</v>
      </c>
      <c r="J441" s="30" t="str">
        <f t="shared" si="18"/>
        <v>[457]=1207,</v>
      </c>
      <c r="K441" s="3">
        <f t="shared" si="19"/>
        <v>457</v>
      </c>
      <c r="L441" s="3">
        <f t="shared" si="20"/>
        <v>1207</v>
      </c>
      <c r="M441" s="8" t="str">
        <f>VLOOKUP(A441,'ESO wayshrine names'!$A$3:$B$9991,2,)</f>
        <v>Vateshran Hollows</v>
      </c>
      <c r="N441" s="3" t="str">
        <f>VLOOKUP(F441,'ESO zone constants'!$A$5:$D$10001,4,FALSE)</f>
        <v>The Reach</v>
      </c>
    </row>
    <row r="442" spans="1:14" x14ac:dyDescent="0.25">
      <c r="A442" s="94">
        <v>458</v>
      </c>
      <c r="B442">
        <v>43</v>
      </c>
      <c r="C442">
        <v>1887</v>
      </c>
      <c r="D442" t="s">
        <v>3135</v>
      </c>
      <c r="E442">
        <v>835</v>
      </c>
      <c r="F442">
        <v>1261</v>
      </c>
      <c r="G442" t="s">
        <v>3135</v>
      </c>
      <c r="H442">
        <v>1</v>
      </c>
      <c r="I442" t="s">
        <v>3136</v>
      </c>
      <c r="J442" s="30" t="str">
        <f t="shared" si="18"/>
        <v>[458]=1261,</v>
      </c>
      <c r="K442" s="3">
        <f t="shared" si="19"/>
        <v>458</v>
      </c>
      <c r="L442" s="3">
        <f t="shared" si="20"/>
        <v>1261</v>
      </c>
      <c r="M442" s="8" t="str">
        <f>VLOOKUP(A442,'ESO wayshrine names'!$A$3:$B$9991,2,)</f>
        <v>Leyawiin Wayshrine</v>
      </c>
      <c r="N442" s="3" t="str">
        <f>VLOOKUP(F442,'ESO zone constants'!$A$5:$D$10001,4,FALSE)</f>
        <v>Blackwood</v>
      </c>
    </row>
    <row r="443" spans="1:14" x14ac:dyDescent="0.25">
      <c r="A443" s="94">
        <v>459</v>
      </c>
      <c r="B443">
        <v>43</v>
      </c>
      <c r="C443">
        <v>1887</v>
      </c>
      <c r="D443" t="s">
        <v>3135</v>
      </c>
      <c r="E443">
        <v>835</v>
      </c>
      <c r="F443">
        <v>1261</v>
      </c>
      <c r="G443" t="s">
        <v>3135</v>
      </c>
      <c r="H443">
        <v>1</v>
      </c>
      <c r="I443" t="s">
        <v>3137</v>
      </c>
      <c r="J443" s="30" t="str">
        <f t="shared" si="18"/>
        <v>[459]=1261,</v>
      </c>
      <c r="K443" s="3">
        <f t="shared" si="19"/>
        <v>459</v>
      </c>
      <c r="L443" s="3">
        <f t="shared" si="20"/>
        <v>1261</v>
      </c>
      <c r="M443" s="8" t="str">
        <f>VLOOKUP(A443,'ESO wayshrine names'!$A$3:$B$9991,2,)</f>
        <v>Gideon Wayshrine</v>
      </c>
      <c r="N443" s="3" t="str">
        <f>VLOOKUP(F443,'ESO zone constants'!$A$5:$D$10001,4,FALSE)</f>
        <v>Blackwood</v>
      </c>
    </row>
    <row r="444" spans="1:14" x14ac:dyDescent="0.25">
      <c r="A444" s="94">
        <v>460</v>
      </c>
      <c r="B444">
        <v>43</v>
      </c>
      <c r="C444">
        <v>1887</v>
      </c>
      <c r="D444" t="s">
        <v>3135</v>
      </c>
      <c r="E444">
        <v>835</v>
      </c>
      <c r="F444">
        <v>1261</v>
      </c>
      <c r="G444" t="s">
        <v>3135</v>
      </c>
      <c r="H444">
        <v>1</v>
      </c>
      <c r="I444" t="s">
        <v>3138</v>
      </c>
      <c r="J444" s="30" t="str">
        <f t="shared" si="18"/>
        <v>[460]=1261,</v>
      </c>
      <c r="K444" s="3">
        <f t="shared" si="19"/>
        <v>460</v>
      </c>
      <c r="L444" s="3">
        <f t="shared" si="20"/>
        <v>1261</v>
      </c>
      <c r="M444" s="8" t="str">
        <f>VLOOKUP(A444,'ESO wayshrine names'!$A$3:$B$9991,2,)</f>
        <v>Borderwatch Wayshrine</v>
      </c>
      <c r="N444" s="3" t="str">
        <f>VLOOKUP(F444,'ESO zone constants'!$A$5:$D$10001,4,FALSE)</f>
        <v>Blackwood</v>
      </c>
    </row>
    <row r="445" spans="1:14" x14ac:dyDescent="0.25">
      <c r="A445" s="94">
        <v>461</v>
      </c>
      <c r="B445">
        <v>43</v>
      </c>
      <c r="C445">
        <v>1887</v>
      </c>
      <c r="D445" t="s">
        <v>3135</v>
      </c>
      <c r="E445">
        <v>835</v>
      </c>
      <c r="F445">
        <v>1261</v>
      </c>
      <c r="G445" t="s">
        <v>3135</v>
      </c>
      <c r="H445">
        <v>1</v>
      </c>
      <c r="I445" t="s">
        <v>3139</v>
      </c>
      <c r="J445" s="30" t="str">
        <f t="shared" si="18"/>
        <v>[461]=1261,</v>
      </c>
      <c r="K445" s="3">
        <f t="shared" si="19"/>
        <v>461</v>
      </c>
      <c r="L445" s="3">
        <f t="shared" si="20"/>
        <v>1261</v>
      </c>
      <c r="M445" s="8" t="str">
        <f>VLOOKUP(A445,'ESO wayshrine names'!$A$3:$B$9991,2,)</f>
        <v>Fort Redmane Wayshrine</v>
      </c>
      <c r="N445" s="3" t="str">
        <f>VLOOKUP(F445,'ESO zone constants'!$A$5:$D$10001,4,FALSE)</f>
        <v>Blackwood</v>
      </c>
    </row>
    <row r="446" spans="1:14" x14ac:dyDescent="0.25">
      <c r="A446" s="94">
        <v>462</v>
      </c>
      <c r="B446">
        <v>43</v>
      </c>
      <c r="C446">
        <v>1887</v>
      </c>
      <c r="D446" t="s">
        <v>3135</v>
      </c>
      <c r="E446">
        <v>835</v>
      </c>
      <c r="F446">
        <v>1261</v>
      </c>
      <c r="G446" t="s">
        <v>3135</v>
      </c>
      <c r="H446">
        <v>1</v>
      </c>
      <c r="I446" t="s">
        <v>3140</v>
      </c>
      <c r="J446" s="30" t="str">
        <f t="shared" si="18"/>
        <v>[462]=1261,</v>
      </c>
      <c r="K446" s="3">
        <f t="shared" si="19"/>
        <v>462</v>
      </c>
      <c r="L446" s="3">
        <f t="shared" si="20"/>
        <v>1261</v>
      </c>
      <c r="M446" s="8" t="str">
        <f>VLOOKUP(A446,'ESO wayshrine names'!$A$3:$B$9991,2,)</f>
        <v>Bloodrun Wayshrine</v>
      </c>
      <c r="N446" s="3" t="str">
        <f>VLOOKUP(F446,'ESO zone constants'!$A$5:$D$10001,4,FALSE)</f>
        <v>Blackwood</v>
      </c>
    </row>
    <row r="447" spans="1:14" x14ac:dyDescent="0.25">
      <c r="A447" s="94">
        <v>463</v>
      </c>
      <c r="B447">
        <v>43</v>
      </c>
      <c r="C447">
        <v>1887</v>
      </c>
      <c r="D447" t="s">
        <v>3135</v>
      </c>
      <c r="E447">
        <v>835</v>
      </c>
      <c r="F447">
        <v>1261</v>
      </c>
      <c r="G447" t="s">
        <v>3135</v>
      </c>
      <c r="H447">
        <v>1</v>
      </c>
      <c r="I447" t="s">
        <v>3141</v>
      </c>
      <c r="J447" s="30" t="str">
        <f t="shared" si="18"/>
        <v>[463]=1261,</v>
      </c>
      <c r="K447" s="3">
        <f t="shared" si="19"/>
        <v>463</v>
      </c>
      <c r="L447" s="3">
        <f t="shared" si="20"/>
        <v>1261</v>
      </c>
      <c r="M447" s="8" t="str">
        <f>VLOOKUP(A447,'ESO wayshrine names'!$A$3:$B$9991,2,)</f>
        <v>Blueblood Wayshrine</v>
      </c>
      <c r="N447" s="3" t="str">
        <f>VLOOKUP(F447,'ESO zone constants'!$A$5:$D$10001,4,FALSE)</f>
        <v>Blackwood</v>
      </c>
    </row>
    <row r="448" spans="1:14" x14ac:dyDescent="0.25">
      <c r="A448" s="94">
        <v>464</v>
      </c>
      <c r="B448">
        <v>43</v>
      </c>
      <c r="C448">
        <v>1887</v>
      </c>
      <c r="D448" t="s">
        <v>3135</v>
      </c>
      <c r="E448">
        <v>835</v>
      </c>
      <c r="F448">
        <v>1261</v>
      </c>
      <c r="G448" t="s">
        <v>3135</v>
      </c>
      <c r="H448">
        <v>1</v>
      </c>
      <c r="I448" t="s">
        <v>3142</v>
      </c>
      <c r="J448" s="30" t="str">
        <f t="shared" si="18"/>
        <v>[464]=1261,</v>
      </c>
      <c r="K448" s="3">
        <f t="shared" si="19"/>
        <v>464</v>
      </c>
      <c r="L448" s="3">
        <f t="shared" si="20"/>
        <v>1261</v>
      </c>
      <c r="M448" s="8" t="str">
        <f>VLOOKUP(A448,'ESO wayshrine names'!$A$3:$B$9991,2,)</f>
        <v>Stonewastes Wayshrine</v>
      </c>
      <c r="N448" s="3" t="str">
        <f>VLOOKUP(F448,'ESO zone constants'!$A$5:$D$10001,4,FALSE)</f>
        <v>Blackwood</v>
      </c>
    </row>
    <row r="449" spans="1:14" x14ac:dyDescent="0.25">
      <c r="A449" s="94">
        <v>465</v>
      </c>
      <c r="B449">
        <v>30</v>
      </c>
      <c r="C449">
        <v>1060</v>
      </c>
      <c r="D449" t="s">
        <v>530</v>
      </c>
      <c r="E449">
        <v>468</v>
      </c>
      <c r="F449">
        <v>849</v>
      </c>
      <c r="G449" t="s">
        <v>530</v>
      </c>
      <c r="H449">
        <v>7</v>
      </c>
      <c r="I449" t="s">
        <v>3143</v>
      </c>
      <c r="J449" s="30" t="str">
        <f t="shared" si="18"/>
        <v>[465]=849,</v>
      </c>
      <c r="K449" s="3">
        <f t="shared" si="19"/>
        <v>465</v>
      </c>
      <c r="L449" s="3">
        <f t="shared" si="20"/>
        <v>849</v>
      </c>
      <c r="M449" s="8" t="str">
        <f>VLOOKUP(A449,'ESO wayshrine names'!$A$3:$B$9991,2,)</f>
        <v>Kushalit Sanctuary</v>
      </c>
      <c r="N449" s="3" t="str">
        <f>VLOOKUP(F449,'ESO zone constants'!$A$5:$D$10001,4,FALSE)</f>
        <v>Vvardenfell</v>
      </c>
    </row>
    <row r="450" spans="1:14" x14ac:dyDescent="0.25">
      <c r="A450" s="94">
        <v>466</v>
      </c>
      <c r="B450">
        <v>29</v>
      </c>
      <c r="C450">
        <v>1006</v>
      </c>
      <c r="D450" t="s">
        <v>2311</v>
      </c>
      <c r="E450">
        <v>449</v>
      </c>
      <c r="F450">
        <v>823</v>
      </c>
      <c r="G450" t="s">
        <v>2962</v>
      </c>
      <c r="H450">
        <v>7</v>
      </c>
      <c r="I450" t="s">
        <v>3144</v>
      </c>
      <c r="J450" s="30" t="str">
        <f t="shared" si="18"/>
        <v>[466]=823,</v>
      </c>
      <c r="K450" s="3">
        <f t="shared" si="19"/>
        <v>466</v>
      </c>
      <c r="L450" s="3">
        <f t="shared" si="20"/>
        <v>823</v>
      </c>
      <c r="M450" s="8" t="str">
        <f>VLOOKUP(A450,'ESO wayshrine names'!$A$3:$B$9991,2,)</f>
        <v>Varlaisvea Ayleid Ruins</v>
      </c>
      <c r="N450" s="3" t="str">
        <f>VLOOKUP(F450,'ESO zone constants'!$A$5:$D$10001,4,FALSE)</f>
        <v>Gold Coast</v>
      </c>
    </row>
    <row r="451" spans="1:14" x14ac:dyDescent="0.25">
      <c r="A451" s="94">
        <v>467</v>
      </c>
      <c r="B451">
        <v>43</v>
      </c>
      <c r="C451">
        <v>1887</v>
      </c>
      <c r="D451" t="s">
        <v>3135</v>
      </c>
      <c r="E451">
        <v>835</v>
      </c>
      <c r="F451">
        <v>1261</v>
      </c>
      <c r="G451" t="s">
        <v>3135</v>
      </c>
      <c r="H451">
        <v>1</v>
      </c>
      <c r="I451" t="s">
        <v>3145</v>
      </c>
      <c r="J451" s="30" t="str">
        <f t="shared" ref="J451:J514" si="21">IF(A451&lt;&gt;"",IF(F451&lt;&gt;"",IF(OR(ISNA(A451),ISNA(F451)),"","["&amp;A451&amp;"]="&amp;F451&amp;","),""),"")</f>
        <v>[467]=1261,</v>
      </c>
      <c r="K451" s="3">
        <f t="shared" ref="K451:K514" si="22">A451</f>
        <v>467</v>
      </c>
      <c r="L451" s="3">
        <f t="shared" ref="L451:L514" si="23">F451</f>
        <v>1261</v>
      </c>
      <c r="M451" s="8" t="str">
        <f>VLOOKUP(A451,'ESO wayshrine names'!$A$3:$B$9991,2,)</f>
        <v>Leyawiin Outskirts Wayshrine</v>
      </c>
      <c r="N451" s="3" t="str">
        <f>VLOOKUP(F451,'ESO zone constants'!$A$5:$D$10001,4,FALSE)</f>
        <v>Blackwood</v>
      </c>
    </row>
    <row r="452" spans="1:14" x14ac:dyDescent="0.25">
      <c r="A452" s="94">
        <v>468</v>
      </c>
      <c r="B452">
        <v>43</v>
      </c>
      <c r="C452">
        <v>1887</v>
      </c>
      <c r="D452" t="s">
        <v>3135</v>
      </c>
      <c r="E452">
        <v>835</v>
      </c>
      <c r="F452">
        <v>1261</v>
      </c>
      <c r="G452" t="s">
        <v>3135</v>
      </c>
      <c r="H452">
        <v>3</v>
      </c>
      <c r="I452" t="s">
        <v>3146</v>
      </c>
      <c r="J452" s="30" t="str">
        <f t="shared" si="21"/>
        <v>[468]=1261,</v>
      </c>
      <c r="K452" s="3">
        <f t="shared" si="22"/>
        <v>468</v>
      </c>
      <c r="L452" s="3">
        <f t="shared" si="23"/>
        <v>1261</v>
      </c>
      <c r="M452" s="8" t="str">
        <f>VLOOKUP(A452,'ESO wayshrine names'!$A$3:$B$9991,2,)</f>
        <v>Trial: Rockgrove</v>
      </c>
      <c r="N452" s="3" t="str">
        <f>VLOOKUP(F452,'ESO zone constants'!$A$5:$D$10001,4,FALSE)</f>
        <v>Blackwood</v>
      </c>
    </row>
    <row r="453" spans="1:14" x14ac:dyDescent="0.25">
      <c r="A453" s="94">
        <v>469</v>
      </c>
      <c r="B453">
        <v>43</v>
      </c>
      <c r="C453">
        <v>1887</v>
      </c>
      <c r="D453" t="s">
        <v>3135</v>
      </c>
      <c r="E453">
        <v>835</v>
      </c>
      <c r="F453">
        <v>1261</v>
      </c>
      <c r="G453" t="s">
        <v>3135</v>
      </c>
      <c r="H453">
        <v>6</v>
      </c>
      <c r="I453" t="s">
        <v>3147</v>
      </c>
      <c r="J453" s="30" t="str">
        <f t="shared" si="21"/>
        <v>[469]=1261,</v>
      </c>
      <c r="K453" s="3">
        <f t="shared" si="22"/>
        <v>469</v>
      </c>
      <c r="L453" s="3">
        <f t="shared" si="23"/>
        <v>1261</v>
      </c>
      <c r="M453" s="8" t="str">
        <f>VLOOKUP(A453,'ESO wayshrine names'!$A$3:$B$9991,2,)</f>
        <v>Dungeon: The Dread Cellar</v>
      </c>
      <c r="N453" s="3" t="str">
        <f>VLOOKUP(F453,'ESO zone constants'!$A$5:$D$10001,4,FALSE)</f>
        <v>Blackwood</v>
      </c>
    </row>
    <row r="454" spans="1:14" x14ac:dyDescent="0.25">
      <c r="A454" s="94">
        <v>470</v>
      </c>
      <c r="B454">
        <v>2</v>
      </c>
      <c r="C454">
        <v>1</v>
      </c>
      <c r="D454" t="s">
        <v>103</v>
      </c>
      <c r="E454">
        <v>2</v>
      </c>
      <c r="F454">
        <v>3</v>
      </c>
      <c r="G454" t="s">
        <v>103</v>
      </c>
      <c r="H454">
        <v>6</v>
      </c>
      <c r="I454" t="s">
        <v>3148</v>
      </c>
      <c r="J454" s="30" t="str">
        <f t="shared" si="21"/>
        <v>[470]=3,</v>
      </c>
      <c r="K454" s="3">
        <f t="shared" si="22"/>
        <v>470</v>
      </c>
      <c r="L454" s="3">
        <f t="shared" si="23"/>
        <v>3</v>
      </c>
      <c r="M454" s="8" t="str">
        <f>VLOOKUP(A454,'ESO wayshrine names'!$A$3:$B$9991,2,)</f>
        <v>Dungeon: Red Petal Bastion</v>
      </c>
      <c r="N454" s="3" t="str">
        <f>VLOOKUP(F454,'ESO zone constants'!$A$5:$D$10001,4,FALSE)</f>
        <v>Glenumbra</v>
      </c>
    </row>
    <row r="455" spans="1:14" x14ac:dyDescent="0.25">
      <c r="A455" s="94">
        <v>471</v>
      </c>
      <c r="B455">
        <v>43</v>
      </c>
      <c r="C455">
        <v>1887</v>
      </c>
      <c r="D455" t="s">
        <v>3135</v>
      </c>
      <c r="E455">
        <v>835</v>
      </c>
      <c r="F455">
        <v>1261</v>
      </c>
      <c r="G455" t="s">
        <v>3135</v>
      </c>
      <c r="H455">
        <v>7</v>
      </c>
      <c r="I455" t="s">
        <v>3149</v>
      </c>
      <c r="J455" s="30" t="str">
        <f t="shared" si="21"/>
        <v>[471]=1261,</v>
      </c>
      <c r="K455" s="3">
        <f t="shared" si="22"/>
        <v>471</v>
      </c>
      <c r="L455" s="3">
        <f t="shared" si="23"/>
        <v>1261</v>
      </c>
      <c r="M455" s="8" t="str">
        <f>VLOOKUP(A455,'ESO wayshrine names'!$A$3:$B$9991,2,)</f>
        <v>Pilgrim's Rest</v>
      </c>
      <c r="N455" s="3" t="str">
        <f>VLOOKUP(F455,'ESO zone constants'!$A$5:$D$10001,4,FALSE)</f>
        <v>Blackwood</v>
      </c>
    </row>
    <row r="456" spans="1:14" x14ac:dyDescent="0.25">
      <c r="A456" s="94">
        <v>472</v>
      </c>
      <c r="B456">
        <v>43</v>
      </c>
      <c r="C456">
        <v>1887</v>
      </c>
      <c r="D456" t="s">
        <v>3135</v>
      </c>
      <c r="E456">
        <v>835</v>
      </c>
      <c r="F456">
        <v>1261</v>
      </c>
      <c r="G456" t="s">
        <v>3135</v>
      </c>
      <c r="H456">
        <v>7</v>
      </c>
      <c r="I456" t="s">
        <v>3150</v>
      </c>
      <c r="J456" s="30" t="str">
        <f t="shared" si="21"/>
        <v>[472]=1261,</v>
      </c>
      <c r="K456" s="3">
        <f t="shared" si="22"/>
        <v>472</v>
      </c>
      <c r="L456" s="3">
        <f t="shared" si="23"/>
        <v>1261</v>
      </c>
      <c r="M456" s="8" t="str">
        <f>VLOOKUP(A456,'ESO wayshrine names'!$A$3:$B$9991,2,)</f>
        <v>Water's Edge</v>
      </c>
      <c r="N456" s="3" t="str">
        <f>VLOOKUP(F456,'ESO zone constants'!$A$5:$D$10001,4,FALSE)</f>
        <v>Blackwood</v>
      </c>
    </row>
    <row r="457" spans="1:14" x14ac:dyDescent="0.25">
      <c r="A457" s="94">
        <v>473</v>
      </c>
      <c r="B457">
        <v>43</v>
      </c>
      <c r="C457">
        <v>1887</v>
      </c>
      <c r="D457" t="s">
        <v>3135</v>
      </c>
      <c r="E457">
        <v>835</v>
      </c>
      <c r="F457">
        <v>1261</v>
      </c>
      <c r="G457" t="s">
        <v>3135</v>
      </c>
      <c r="H457">
        <v>7</v>
      </c>
      <c r="I457" t="s">
        <v>3151</v>
      </c>
      <c r="J457" s="30" t="str">
        <f t="shared" si="21"/>
        <v>[473]=1261,</v>
      </c>
      <c r="K457" s="3">
        <f t="shared" si="22"/>
        <v>473</v>
      </c>
      <c r="L457" s="3">
        <f t="shared" si="23"/>
        <v>1261</v>
      </c>
      <c r="M457" s="8" t="str">
        <f>VLOOKUP(A457,'ESO wayshrine names'!$A$3:$B$9991,2,)</f>
        <v>Pantherfang Chapel</v>
      </c>
      <c r="N457" s="3" t="str">
        <f>VLOOKUP(F457,'ESO zone constants'!$A$5:$D$10001,4,FALSE)</f>
        <v>Blackwood</v>
      </c>
    </row>
    <row r="458" spans="1:14" x14ac:dyDescent="0.25">
      <c r="A458" s="94">
        <v>476</v>
      </c>
      <c r="B458">
        <v>45</v>
      </c>
      <c r="C458">
        <v>2021</v>
      </c>
      <c r="D458" t="s">
        <v>3152</v>
      </c>
      <c r="E458">
        <v>858</v>
      </c>
      <c r="F458">
        <v>1286</v>
      </c>
      <c r="G458" t="s">
        <v>3152</v>
      </c>
      <c r="H458">
        <v>1</v>
      </c>
      <c r="I458" t="s">
        <v>3153</v>
      </c>
      <c r="J458" s="30" t="str">
        <f t="shared" si="21"/>
        <v>[476]=1286,</v>
      </c>
      <c r="K458" s="3">
        <f t="shared" si="22"/>
        <v>476</v>
      </c>
      <c r="L458" s="3">
        <f t="shared" si="23"/>
        <v>1286</v>
      </c>
      <c r="M458" s="8" t="str">
        <f>VLOOKUP(A458,'ESO wayshrine names'!$A$3:$B$9991,2,)</f>
        <v>The Blood Pit Wayshrine</v>
      </c>
      <c r="N458" s="3" t="str">
        <f>VLOOKUP(F458,'ESO zone constants'!$A$5:$D$10001,4,FALSE)</f>
        <v>The Deadlands</v>
      </c>
    </row>
    <row r="459" spans="1:14" x14ac:dyDescent="0.25">
      <c r="A459" s="94">
        <v>477</v>
      </c>
      <c r="B459">
        <v>45</v>
      </c>
      <c r="C459">
        <v>2021</v>
      </c>
      <c r="D459" t="s">
        <v>3152</v>
      </c>
      <c r="E459">
        <v>858</v>
      </c>
      <c r="F459">
        <v>1286</v>
      </c>
      <c r="G459" t="s">
        <v>3152</v>
      </c>
      <c r="H459">
        <v>1</v>
      </c>
      <c r="I459" t="s">
        <v>3154</v>
      </c>
      <c r="J459" s="30" t="str">
        <f t="shared" si="21"/>
        <v>[477]=1286,</v>
      </c>
      <c r="K459" s="3">
        <f t="shared" si="22"/>
        <v>477</v>
      </c>
      <c r="L459" s="3">
        <f t="shared" si="23"/>
        <v>1286</v>
      </c>
      <c r="M459" s="8" t="str">
        <f>VLOOKUP(A459,'ESO wayshrine names'!$A$3:$B$9991,2,)</f>
        <v>Ardent Hope Wayshrine</v>
      </c>
      <c r="N459" s="3" t="str">
        <f>VLOOKUP(F459,'ESO zone constants'!$A$5:$D$10001,4,FALSE)</f>
        <v>The Deadlands</v>
      </c>
    </row>
    <row r="460" spans="1:14" x14ac:dyDescent="0.25">
      <c r="A460" s="94">
        <v>478</v>
      </c>
      <c r="B460">
        <v>45</v>
      </c>
      <c r="C460">
        <v>2021</v>
      </c>
      <c r="D460" t="s">
        <v>3152</v>
      </c>
      <c r="E460">
        <v>858</v>
      </c>
      <c r="F460">
        <v>1286</v>
      </c>
      <c r="G460" t="s">
        <v>3152</v>
      </c>
      <c r="H460">
        <v>1</v>
      </c>
      <c r="I460" t="s">
        <v>3155</v>
      </c>
      <c r="J460" s="30" t="str">
        <f t="shared" si="21"/>
        <v>[478]=1286,</v>
      </c>
      <c r="K460" s="3">
        <f t="shared" si="22"/>
        <v>478</v>
      </c>
      <c r="L460" s="3">
        <f t="shared" si="23"/>
        <v>1286</v>
      </c>
      <c r="M460" s="8" t="str">
        <f>VLOOKUP(A460,'ESO wayshrine names'!$A$3:$B$9991,2,)</f>
        <v>Wretched Spire Wayshrine</v>
      </c>
      <c r="N460" s="3" t="str">
        <f>VLOOKUP(F460,'ESO zone constants'!$A$5:$D$10001,4,FALSE)</f>
        <v>The Deadlands</v>
      </c>
    </row>
    <row r="461" spans="1:14" x14ac:dyDescent="0.25">
      <c r="A461" s="94">
        <v>479</v>
      </c>
      <c r="B461">
        <v>45</v>
      </c>
      <c r="C461">
        <v>2021</v>
      </c>
      <c r="D461" t="s">
        <v>3152</v>
      </c>
      <c r="E461">
        <v>858</v>
      </c>
      <c r="F461">
        <v>1286</v>
      </c>
      <c r="G461" t="s">
        <v>3152</v>
      </c>
      <c r="H461">
        <v>1</v>
      </c>
      <c r="I461" t="s">
        <v>3156</v>
      </c>
      <c r="J461" s="30" t="str">
        <f t="shared" si="21"/>
        <v>[479]=1286,</v>
      </c>
      <c r="K461" s="3">
        <f t="shared" si="22"/>
        <v>479</v>
      </c>
      <c r="L461" s="3">
        <f t="shared" si="23"/>
        <v>1286</v>
      </c>
      <c r="M461" s="8" t="str">
        <f>VLOOKUP(A461,'ESO wayshrine names'!$A$3:$B$9991,2,)</f>
        <v>False Martyrs' Folly Wayshrine</v>
      </c>
      <c r="N461" s="3" t="str">
        <f>VLOOKUP(F461,'ESO zone constants'!$A$5:$D$10001,4,FALSE)</f>
        <v>The Deadlands</v>
      </c>
    </row>
    <row r="462" spans="1:14" x14ac:dyDescent="0.25">
      <c r="A462" s="94">
        <v>480</v>
      </c>
      <c r="B462">
        <v>45</v>
      </c>
      <c r="C462">
        <v>2021</v>
      </c>
      <c r="D462" t="s">
        <v>3152</v>
      </c>
      <c r="E462">
        <v>858</v>
      </c>
      <c r="F462">
        <v>1286</v>
      </c>
      <c r="G462" t="s">
        <v>3152</v>
      </c>
      <c r="H462">
        <v>1</v>
      </c>
      <c r="I462" t="s">
        <v>3157</v>
      </c>
      <c r="J462" s="30" t="str">
        <f t="shared" si="21"/>
        <v>[480]=1286,</v>
      </c>
      <c r="K462" s="3">
        <f t="shared" si="22"/>
        <v>480</v>
      </c>
      <c r="L462" s="3">
        <f t="shared" si="23"/>
        <v>1286</v>
      </c>
      <c r="M462" s="8" t="str">
        <f>VLOOKUP(A462,'ESO wayshrine names'!$A$3:$B$9991,2,)</f>
        <v>Annihilarch's Summit Wayshrine</v>
      </c>
      <c r="N462" s="3" t="str">
        <f>VLOOKUP(F462,'ESO zone constants'!$A$5:$D$10001,4,FALSE)</f>
        <v>The Deadlands</v>
      </c>
    </row>
    <row r="463" spans="1:14" x14ac:dyDescent="0.25">
      <c r="A463" s="94">
        <v>481</v>
      </c>
      <c r="B463">
        <v>43</v>
      </c>
      <c r="C463">
        <v>1887</v>
      </c>
      <c r="D463" t="s">
        <v>3135</v>
      </c>
      <c r="E463">
        <v>835</v>
      </c>
      <c r="F463">
        <v>1261</v>
      </c>
      <c r="G463" t="s">
        <v>3135</v>
      </c>
      <c r="H463">
        <v>1</v>
      </c>
      <c r="I463" t="s">
        <v>3158</v>
      </c>
      <c r="J463" s="30" t="str">
        <f t="shared" si="21"/>
        <v>[481]=1261,</v>
      </c>
      <c r="K463" s="3">
        <f t="shared" si="22"/>
        <v>481</v>
      </c>
      <c r="L463" s="3">
        <f t="shared" si="23"/>
        <v>1261</v>
      </c>
      <c r="M463" s="8" t="str">
        <f>VLOOKUP(A463,'ESO wayshrine names'!$A$3:$B$9991,2,)</f>
        <v>Doomvault Vulpinaz Wayshrine</v>
      </c>
      <c r="N463" s="3" t="str">
        <f>VLOOKUP(F463,'ESO zone constants'!$A$5:$D$10001,4,FALSE)</f>
        <v>Blackwood</v>
      </c>
    </row>
    <row r="464" spans="1:14" x14ac:dyDescent="0.25">
      <c r="A464" s="94">
        <v>482</v>
      </c>
      <c r="B464">
        <v>43</v>
      </c>
      <c r="C464">
        <v>1887</v>
      </c>
      <c r="D464" t="s">
        <v>3135</v>
      </c>
      <c r="E464">
        <v>835</v>
      </c>
      <c r="F464">
        <v>1261</v>
      </c>
      <c r="G464" t="s">
        <v>3135</v>
      </c>
      <c r="H464">
        <v>1</v>
      </c>
      <c r="I464" t="s">
        <v>3159</v>
      </c>
      <c r="J464" s="30" t="str">
        <f t="shared" si="21"/>
        <v>[482]=1261,</v>
      </c>
      <c r="K464" s="3">
        <f t="shared" si="22"/>
        <v>482</v>
      </c>
      <c r="L464" s="3">
        <f t="shared" si="23"/>
        <v>1261</v>
      </c>
      <c r="M464" s="8" t="str">
        <f>VLOOKUP(A464,'ESO wayshrine names'!$A$3:$B$9991,2,)</f>
        <v>Blackwood Crossroads Wayshrine</v>
      </c>
      <c r="N464" s="3" t="str">
        <f>VLOOKUP(F464,'ESO zone constants'!$A$5:$D$10001,4,FALSE)</f>
        <v>Blackwood</v>
      </c>
    </row>
    <row r="465" spans="1:14" x14ac:dyDescent="0.25">
      <c r="A465" s="94">
        <v>483</v>
      </c>
      <c r="B465">
        <v>43</v>
      </c>
      <c r="C465">
        <v>1887</v>
      </c>
      <c r="D465" t="s">
        <v>3135</v>
      </c>
      <c r="E465">
        <v>835</v>
      </c>
      <c r="F465">
        <v>1261</v>
      </c>
      <c r="G465" t="s">
        <v>3135</v>
      </c>
      <c r="H465">
        <v>1</v>
      </c>
      <c r="I465" t="s">
        <v>3160</v>
      </c>
      <c r="J465" s="30" t="str">
        <f t="shared" si="21"/>
        <v>[483]=1261,</v>
      </c>
      <c r="K465" s="3">
        <f t="shared" si="22"/>
        <v>483</v>
      </c>
      <c r="L465" s="3">
        <f t="shared" si="23"/>
        <v>1261</v>
      </c>
      <c r="M465" s="8" t="str">
        <f>VLOOKUP(A465,'ESO wayshrine names'!$A$3:$B$9991,2,)</f>
        <v>Hutan-Tzel Wayshrine</v>
      </c>
      <c r="N465" s="3" t="str">
        <f>VLOOKUP(F465,'ESO zone constants'!$A$5:$D$10001,4,FALSE)</f>
        <v>Blackwood</v>
      </c>
    </row>
    <row r="466" spans="1:14" x14ac:dyDescent="0.25">
      <c r="A466" s="94">
        <v>484</v>
      </c>
      <c r="B466">
        <v>43</v>
      </c>
      <c r="C466">
        <v>1887</v>
      </c>
      <c r="D466" t="s">
        <v>3135</v>
      </c>
      <c r="E466">
        <v>835</v>
      </c>
      <c r="F466">
        <v>1261</v>
      </c>
      <c r="G466" t="s">
        <v>3135</v>
      </c>
      <c r="H466">
        <v>1</v>
      </c>
      <c r="I466" t="s">
        <v>3161</v>
      </c>
      <c r="J466" s="30" t="str">
        <f t="shared" si="21"/>
        <v>[484]=1261,</v>
      </c>
      <c r="K466" s="3">
        <f t="shared" si="22"/>
        <v>484</v>
      </c>
      <c r="L466" s="3">
        <f t="shared" si="23"/>
        <v>1261</v>
      </c>
      <c r="M466" s="8" t="str">
        <f>VLOOKUP(A466,'ESO wayshrine names'!$A$3:$B$9991,2,)</f>
        <v>Vunalk Wayshrine</v>
      </c>
      <c r="N466" s="3" t="str">
        <f>VLOOKUP(F466,'ESO zone constants'!$A$5:$D$10001,4,FALSE)</f>
        <v>Blackwood</v>
      </c>
    </row>
    <row r="467" spans="1:14" x14ac:dyDescent="0.25">
      <c r="A467" s="94">
        <v>485</v>
      </c>
      <c r="B467">
        <v>8</v>
      </c>
      <c r="C467">
        <v>22</v>
      </c>
      <c r="D467" t="s">
        <v>108</v>
      </c>
      <c r="E467">
        <v>11</v>
      </c>
      <c r="F467">
        <v>58</v>
      </c>
      <c r="G467" t="s">
        <v>108</v>
      </c>
      <c r="H467">
        <v>7</v>
      </c>
      <c r="I467" t="s">
        <v>3162</v>
      </c>
      <c r="J467" s="30" t="str">
        <f t="shared" si="21"/>
        <v>[485]=58,</v>
      </c>
      <c r="K467" s="3">
        <f t="shared" si="22"/>
        <v>485</v>
      </c>
      <c r="L467" s="3">
        <f t="shared" si="23"/>
        <v>58</v>
      </c>
      <c r="M467" s="8" t="str">
        <f>VLOOKUP(A467,'ESO wayshrine names'!$A$3:$B$9991,2,)</f>
        <v>Doomchar Plateau</v>
      </c>
      <c r="N467" s="3" t="str">
        <f>VLOOKUP(F467,'ESO zone constants'!$A$5:$D$10001,4,FALSE)</f>
        <v>Malabal Tor</v>
      </c>
    </row>
    <row r="468" spans="1:14" x14ac:dyDescent="0.25">
      <c r="A468" s="94">
        <v>486</v>
      </c>
      <c r="B468">
        <v>43</v>
      </c>
      <c r="C468">
        <v>1887</v>
      </c>
      <c r="D468" t="s">
        <v>3135</v>
      </c>
      <c r="E468">
        <v>835</v>
      </c>
      <c r="F468">
        <v>1261</v>
      </c>
      <c r="G468" t="s">
        <v>3135</v>
      </c>
      <c r="H468">
        <v>7</v>
      </c>
      <c r="I468" t="s">
        <v>3163</v>
      </c>
      <c r="J468" s="30" t="str">
        <f t="shared" si="21"/>
        <v>[486]=1261,</v>
      </c>
      <c r="K468" s="3">
        <f t="shared" si="22"/>
        <v>486</v>
      </c>
      <c r="L468" s="3">
        <f t="shared" si="23"/>
        <v>1261</v>
      </c>
      <c r="M468" s="8" t="str">
        <f>VLOOKUP(A468,'ESO wayshrine names'!$A$3:$B$9991,2,)</f>
        <v>Sweetwater Cascades</v>
      </c>
      <c r="N468" s="3" t="str">
        <f>VLOOKUP(F468,'ESO zone constants'!$A$5:$D$10001,4,FALSE)</f>
        <v>Blackwood</v>
      </c>
    </row>
    <row r="469" spans="1:14" x14ac:dyDescent="0.25">
      <c r="A469" s="94">
        <v>487</v>
      </c>
      <c r="B469">
        <v>44</v>
      </c>
      <c r="C469">
        <v>2119</v>
      </c>
      <c r="D469" t="s">
        <v>2694</v>
      </c>
      <c r="E469">
        <v>855</v>
      </c>
      <c r="F469">
        <v>1283</v>
      </c>
      <c r="G469" t="s">
        <v>2695</v>
      </c>
      <c r="H469">
        <v>1</v>
      </c>
      <c r="I469" t="s">
        <v>2697</v>
      </c>
      <c r="J469" s="30" t="str">
        <f t="shared" si="21"/>
        <v>[487]=1283,</v>
      </c>
      <c r="K469" s="3">
        <f t="shared" si="22"/>
        <v>487</v>
      </c>
      <c r="L469" s="3">
        <f t="shared" si="23"/>
        <v>1283</v>
      </c>
      <c r="M469" s="8" t="str">
        <f>VLOOKUP(A469,'ESO wayshrine names'!$A$3:$B$9991,2,)</f>
        <v>Fargrave Outskirts Wayshrine</v>
      </c>
      <c r="N469" s="3" t="str">
        <f>VLOOKUP(F469,'ESO zone constants'!$A$5:$D$10001,4,FALSE)</f>
        <v>The Shambles</v>
      </c>
    </row>
    <row r="470" spans="1:14" x14ac:dyDescent="0.25">
      <c r="A470" s="94">
        <v>488</v>
      </c>
      <c r="B470">
        <v>46</v>
      </c>
      <c r="C470">
        <v>2114</v>
      </c>
      <c r="D470" t="s">
        <v>3416</v>
      </c>
      <c r="E470">
        <v>884</v>
      </c>
      <c r="F470">
        <v>1318</v>
      </c>
      <c r="G470" t="s">
        <v>3307</v>
      </c>
      <c r="H470">
        <v>3</v>
      </c>
      <c r="I470" t="s">
        <v>3313</v>
      </c>
      <c r="J470" s="30" t="str">
        <f t="shared" si="21"/>
        <v>[488]=1318,</v>
      </c>
      <c r="K470" s="3">
        <f t="shared" si="22"/>
        <v>488</v>
      </c>
      <c r="L470" s="3">
        <f t="shared" si="23"/>
        <v>1318</v>
      </c>
      <c r="M470" s="8" t="str">
        <f>VLOOKUP(A470,'ESO wayshrine names'!$A$3:$B$9991,2,)</f>
        <v>Trial: Dreadsail Reef</v>
      </c>
      <c r="N470" s="3" t="str">
        <f>VLOOKUP(F470,'ESO zone constants'!$A$5:$D$10001,4,FALSE)</f>
        <v>High Isle</v>
      </c>
    </row>
    <row r="471" spans="1:14" x14ac:dyDescent="0.25">
      <c r="A471" s="94">
        <v>489</v>
      </c>
      <c r="B471">
        <v>44</v>
      </c>
      <c r="C471">
        <v>2119</v>
      </c>
      <c r="D471" t="s">
        <v>2694</v>
      </c>
      <c r="E471">
        <v>855</v>
      </c>
      <c r="F471">
        <v>1283</v>
      </c>
      <c r="G471" t="s">
        <v>2695</v>
      </c>
      <c r="H471">
        <v>1</v>
      </c>
      <c r="I471" t="s">
        <v>3164</v>
      </c>
      <c r="J471" s="30" t="str">
        <f t="shared" si="21"/>
        <v>[489]=1283,</v>
      </c>
      <c r="K471" s="3">
        <f t="shared" si="22"/>
        <v>489</v>
      </c>
      <c r="L471" s="3">
        <f t="shared" si="23"/>
        <v>1283</v>
      </c>
      <c r="M471" s="8" t="str">
        <f>VLOOKUP(A471,'ESO wayshrine names'!$A$3:$B$9991,2,)</f>
        <v>The Shambles Wayshrine</v>
      </c>
      <c r="N471" s="3" t="str">
        <f>VLOOKUP(F471,'ESO zone constants'!$A$5:$D$10001,4,FALSE)</f>
        <v>The Shambles</v>
      </c>
    </row>
    <row r="472" spans="1:14" x14ac:dyDescent="0.25">
      <c r="A472" s="94">
        <v>490</v>
      </c>
      <c r="B472">
        <v>45</v>
      </c>
      <c r="C472">
        <v>2021</v>
      </c>
      <c r="D472" t="s">
        <v>3152</v>
      </c>
      <c r="E472">
        <v>858</v>
      </c>
      <c r="F472">
        <v>1286</v>
      </c>
      <c r="G472" t="s">
        <v>3152</v>
      </c>
      <c r="H472">
        <v>1</v>
      </c>
      <c r="I472" t="s">
        <v>3165</v>
      </c>
      <c r="J472" s="30" t="str">
        <f t="shared" si="21"/>
        <v>[490]=1286,</v>
      </c>
      <c r="K472" s="3">
        <f t="shared" si="22"/>
        <v>490</v>
      </c>
      <c r="L472" s="3">
        <f t="shared" si="23"/>
        <v>1286</v>
      </c>
      <c r="M472" s="8" t="str">
        <f>VLOOKUP(A472,'ESO wayshrine names'!$A$3:$B$9991,2,)</f>
        <v>Wounded Crossing Wayshrine</v>
      </c>
      <c r="N472" s="3" t="str">
        <f>VLOOKUP(F472,'ESO zone constants'!$A$5:$D$10001,4,FALSE)</f>
        <v>The Deadlands</v>
      </c>
    </row>
    <row r="473" spans="1:14" x14ac:dyDescent="0.25">
      <c r="A473" s="94">
        <v>491</v>
      </c>
      <c r="B473">
        <v>45</v>
      </c>
      <c r="C473">
        <v>2021</v>
      </c>
      <c r="D473" t="s">
        <v>3152</v>
      </c>
      <c r="E473">
        <v>858</v>
      </c>
      <c r="F473">
        <v>1286</v>
      </c>
      <c r="G473" t="s">
        <v>3152</v>
      </c>
      <c r="H473">
        <v>1</v>
      </c>
      <c r="I473" t="s">
        <v>3166</v>
      </c>
      <c r="J473" s="30" t="str">
        <f t="shared" si="21"/>
        <v>[491]=1286,</v>
      </c>
      <c r="K473" s="3">
        <f t="shared" si="22"/>
        <v>491</v>
      </c>
      <c r="L473" s="3">
        <f t="shared" si="23"/>
        <v>1286</v>
      </c>
      <c r="M473" s="8" t="str">
        <f>VLOOKUP(A473,'ESO wayshrine names'!$A$3:$B$9991,2,)</f>
        <v>The Scourshales Wayshrine</v>
      </c>
      <c r="N473" s="3" t="str">
        <f>VLOOKUP(F473,'ESO zone constants'!$A$5:$D$10001,4,FALSE)</f>
        <v>The Deadlands</v>
      </c>
    </row>
    <row r="474" spans="1:14" x14ac:dyDescent="0.25">
      <c r="A474" s="94">
        <v>493</v>
      </c>
      <c r="B474">
        <v>44</v>
      </c>
      <c r="C474">
        <v>2119</v>
      </c>
      <c r="D474" t="s">
        <v>2694</v>
      </c>
      <c r="E474">
        <v>855</v>
      </c>
      <c r="F474">
        <v>1283</v>
      </c>
      <c r="G474" t="s">
        <v>2695</v>
      </c>
      <c r="H474">
        <v>1</v>
      </c>
      <c r="I474" t="s">
        <v>2696</v>
      </c>
      <c r="J474" s="30" t="str">
        <f t="shared" si="21"/>
        <v>[493]=1283,</v>
      </c>
      <c r="K474" s="3">
        <f t="shared" si="22"/>
        <v>493</v>
      </c>
      <c r="L474" s="3">
        <f t="shared" si="23"/>
        <v>1283</v>
      </c>
      <c r="M474" s="8" t="str">
        <f>VLOOKUP(A474,'ESO wayshrine names'!$A$3:$B$9991,2,)</f>
        <v>Fargrave Wayshrine</v>
      </c>
      <c r="N474" s="3" t="str">
        <f>VLOOKUP(F474,'ESO zone constants'!$A$5:$D$10001,4,FALSE)</f>
        <v>The Shambles</v>
      </c>
    </row>
    <row r="475" spans="1:14" x14ac:dyDescent="0.25">
      <c r="A475" s="94">
        <v>494</v>
      </c>
      <c r="B475">
        <v>45</v>
      </c>
      <c r="C475">
        <v>2021</v>
      </c>
      <c r="D475" t="s">
        <v>3152</v>
      </c>
      <c r="E475">
        <v>858</v>
      </c>
      <c r="F475">
        <v>1286</v>
      </c>
      <c r="G475" t="s">
        <v>3152</v>
      </c>
      <c r="H475">
        <v>1</v>
      </c>
      <c r="I475" t="s">
        <v>3167</v>
      </c>
      <c r="J475" s="30" t="str">
        <f t="shared" si="21"/>
        <v>[494]=1286,</v>
      </c>
      <c r="K475" s="3">
        <f t="shared" si="22"/>
        <v>494</v>
      </c>
      <c r="L475" s="3">
        <f t="shared" si="23"/>
        <v>1286</v>
      </c>
      <c r="M475" s="8" t="str">
        <f>VLOOKUP(A475,'ESO wayshrine names'!$A$3:$B$9991,2,)</f>
        <v>Raging Coast Wayshrine</v>
      </c>
      <c r="N475" s="3" t="str">
        <f>VLOOKUP(F475,'ESO zone constants'!$A$5:$D$10001,4,FALSE)</f>
        <v>The Deadlands</v>
      </c>
    </row>
    <row r="476" spans="1:14" x14ac:dyDescent="0.25">
      <c r="A476" s="94">
        <v>495</v>
      </c>
      <c r="B476">
        <v>44</v>
      </c>
      <c r="C476">
        <v>2119</v>
      </c>
      <c r="D476" t="s">
        <v>2694</v>
      </c>
      <c r="E476">
        <v>855</v>
      </c>
      <c r="F476">
        <v>1283</v>
      </c>
      <c r="G476" t="s">
        <v>2695</v>
      </c>
      <c r="H476">
        <v>7</v>
      </c>
      <c r="I476" t="s">
        <v>2698</v>
      </c>
      <c r="J476" s="30" t="str">
        <f t="shared" si="21"/>
        <v>[495]=1283,</v>
      </c>
      <c r="K476" s="3">
        <f t="shared" si="22"/>
        <v>495</v>
      </c>
      <c r="L476" s="3">
        <f t="shared" si="23"/>
        <v>1283</v>
      </c>
      <c r="M476" s="8" t="str">
        <f>VLOOKUP(A476,'ESO wayshrine names'!$A$3:$B$9991,2,)</f>
        <v>Ossa Accentium</v>
      </c>
      <c r="N476" s="3" t="str">
        <f>VLOOKUP(F476,'ESO zone constants'!$A$5:$D$10001,4,FALSE)</f>
        <v>The Shambles</v>
      </c>
    </row>
    <row r="477" spans="1:14" x14ac:dyDescent="0.25">
      <c r="A477" s="94">
        <v>496</v>
      </c>
      <c r="B477">
        <v>45</v>
      </c>
      <c r="C477">
        <v>2021</v>
      </c>
      <c r="D477" t="s">
        <v>3152</v>
      </c>
      <c r="E477">
        <v>858</v>
      </c>
      <c r="F477">
        <v>1286</v>
      </c>
      <c r="G477" t="s">
        <v>3152</v>
      </c>
      <c r="H477">
        <v>7</v>
      </c>
      <c r="I477" t="s">
        <v>3168</v>
      </c>
      <c r="J477" s="30" t="str">
        <f t="shared" si="21"/>
        <v>[496]=1286,</v>
      </c>
      <c r="K477" s="3">
        <f t="shared" si="22"/>
        <v>496</v>
      </c>
      <c r="L477" s="3">
        <f t="shared" si="23"/>
        <v>1286</v>
      </c>
      <c r="M477" s="8" t="str">
        <f>VLOOKUP(A477,'ESO wayshrine names'!$A$3:$B$9991,2,)</f>
        <v>Agony's Ascent</v>
      </c>
      <c r="N477" s="3" t="str">
        <f>VLOOKUP(F477,'ESO zone constants'!$A$5:$D$10001,4,FALSE)</f>
        <v>The Deadlands</v>
      </c>
    </row>
    <row r="478" spans="1:14" x14ac:dyDescent="0.25">
      <c r="A478" s="94">
        <v>497</v>
      </c>
      <c r="B478">
        <v>32</v>
      </c>
      <c r="C478">
        <v>1349</v>
      </c>
      <c r="D478" t="s">
        <v>2314</v>
      </c>
      <c r="E478">
        <v>617</v>
      </c>
      <c r="F478">
        <v>1011</v>
      </c>
      <c r="G478" t="s">
        <v>2314</v>
      </c>
      <c r="H478">
        <v>6</v>
      </c>
      <c r="I478" t="s">
        <v>3169</v>
      </c>
      <c r="J478" s="30" t="str">
        <f t="shared" si="21"/>
        <v>[497]=1011,</v>
      </c>
      <c r="K478" s="3">
        <f t="shared" si="22"/>
        <v>497</v>
      </c>
      <c r="L478" s="3">
        <f t="shared" si="23"/>
        <v>1011</v>
      </c>
      <c r="M478" s="8" t="str">
        <f>VLOOKUP(A478,'ESO wayshrine names'!$A$3:$B$9991,2,)</f>
        <v>Dungeon: Coral Aerie</v>
      </c>
      <c r="N478" s="3" t="str">
        <f>VLOOKUP(F478,'ESO zone constants'!$A$5:$D$10001,4,FALSE)</f>
        <v>Summerset</v>
      </c>
    </row>
    <row r="479" spans="1:14" x14ac:dyDescent="0.25">
      <c r="A479" s="94">
        <v>498</v>
      </c>
      <c r="B479">
        <v>3</v>
      </c>
      <c r="C479">
        <v>10</v>
      </c>
      <c r="D479" t="s">
        <v>2305</v>
      </c>
      <c r="E479">
        <v>5</v>
      </c>
      <c r="F479">
        <v>20</v>
      </c>
      <c r="G479" t="s">
        <v>2305</v>
      </c>
      <c r="H479">
        <v>6</v>
      </c>
      <c r="I479" t="s">
        <v>3170</v>
      </c>
      <c r="J479" s="30" t="str">
        <f t="shared" si="21"/>
        <v>[498]=20,</v>
      </c>
      <c r="K479" s="3">
        <f t="shared" si="22"/>
        <v>498</v>
      </c>
      <c r="L479" s="3">
        <f t="shared" si="23"/>
        <v>20</v>
      </c>
      <c r="M479" s="8" t="str">
        <f>VLOOKUP(A479,'ESO wayshrine names'!$A$3:$B$9991,2,)</f>
        <v>Dungeon: Shipwright's Regret</v>
      </c>
      <c r="N479" s="3" t="str">
        <f>VLOOKUP(F479,'ESO zone constants'!$A$5:$D$10001,4,FALSE)</f>
        <v>Rivenspire</v>
      </c>
    </row>
    <row r="480" spans="1:14" x14ac:dyDescent="0.25">
      <c r="A480" s="94">
        <v>499</v>
      </c>
      <c r="B480">
        <v>20</v>
      </c>
      <c r="C480">
        <v>227</v>
      </c>
      <c r="D480" t="s">
        <v>384</v>
      </c>
      <c r="E480">
        <v>306</v>
      </c>
      <c r="F480">
        <v>535</v>
      </c>
      <c r="G480" t="s">
        <v>384</v>
      </c>
      <c r="H480">
        <v>7</v>
      </c>
      <c r="I480" t="s">
        <v>3171</v>
      </c>
      <c r="J480" s="30" t="str">
        <f t="shared" si="21"/>
        <v>[499]=535,</v>
      </c>
      <c r="K480" s="3">
        <f t="shared" si="22"/>
        <v>499</v>
      </c>
      <c r="L480" s="3">
        <f t="shared" si="23"/>
        <v>535</v>
      </c>
      <c r="M480" s="8" t="str">
        <f>VLOOKUP(A480,'ESO wayshrine names'!$A$3:$B$9991,2,)</f>
        <v>Seaveil Spire</v>
      </c>
      <c r="N480" s="3" t="str">
        <f>VLOOKUP(F480,'ESO zone constants'!$A$5:$D$10001,4,FALSE)</f>
        <v>Betnikh</v>
      </c>
    </row>
    <row r="481" spans="1:14" x14ac:dyDescent="0.25">
      <c r="A481" s="94">
        <v>501</v>
      </c>
      <c r="B481">
        <v>46</v>
      </c>
      <c r="C481">
        <v>2114</v>
      </c>
      <c r="D481" t="s">
        <v>3416</v>
      </c>
      <c r="E481">
        <v>884</v>
      </c>
      <c r="F481">
        <v>1318</v>
      </c>
      <c r="G481" t="s">
        <v>3307</v>
      </c>
      <c r="H481">
        <v>1</v>
      </c>
      <c r="I481" t="s">
        <v>3316</v>
      </c>
      <c r="J481" s="30" t="str">
        <f t="shared" si="21"/>
        <v>[501]=1318,</v>
      </c>
      <c r="K481" s="3">
        <f t="shared" si="22"/>
        <v>501</v>
      </c>
      <c r="L481" s="3">
        <f t="shared" si="23"/>
        <v>1318</v>
      </c>
      <c r="M481" s="8" t="str">
        <f>VLOOKUP(A481,'ESO wayshrine names'!$A$3:$B$9991,2,)</f>
        <v>Coral Road Wayshrine</v>
      </c>
      <c r="N481" s="3" t="str">
        <f>VLOOKUP(F481,'ESO zone constants'!$A$5:$D$10001,4,FALSE)</f>
        <v>High Isle</v>
      </c>
    </row>
    <row r="482" spans="1:14" s="53" customFormat="1" x14ac:dyDescent="0.25">
      <c r="A482" s="94">
        <v>502</v>
      </c>
      <c r="B482">
        <v>46</v>
      </c>
      <c r="C482">
        <v>2114</v>
      </c>
      <c r="D482" t="s">
        <v>3416</v>
      </c>
      <c r="E482">
        <v>884</v>
      </c>
      <c r="F482">
        <v>1318</v>
      </c>
      <c r="G482" t="s">
        <v>3307</v>
      </c>
      <c r="H482">
        <v>1</v>
      </c>
      <c r="I482" t="s">
        <v>3317</v>
      </c>
      <c r="J482" s="30" t="str">
        <f t="shared" si="21"/>
        <v>[502]=1318,</v>
      </c>
      <c r="K482" s="3">
        <f t="shared" si="22"/>
        <v>502</v>
      </c>
      <c r="L482" s="3">
        <f t="shared" si="23"/>
        <v>1318</v>
      </c>
      <c r="M482" s="8" t="str">
        <f>VLOOKUP(A482,'ESO wayshrine names'!$A$3:$B$9991,2,)</f>
        <v>Tor Draioch Wayshrine</v>
      </c>
      <c r="N482" s="3" t="str">
        <f>VLOOKUP(F482,'ESO zone constants'!$A$5:$D$10001,4,FALSE)</f>
        <v>High Isle</v>
      </c>
    </row>
    <row r="483" spans="1:14" x14ac:dyDescent="0.25">
      <c r="A483" s="94">
        <v>503</v>
      </c>
      <c r="B483">
        <v>46</v>
      </c>
      <c r="C483">
        <v>2114</v>
      </c>
      <c r="D483" t="s">
        <v>3416</v>
      </c>
      <c r="E483">
        <v>884</v>
      </c>
      <c r="F483">
        <v>1318</v>
      </c>
      <c r="G483" t="s">
        <v>3307</v>
      </c>
      <c r="H483">
        <v>1</v>
      </c>
      <c r="I483" t="s">
        <v>3318</v>
      </c>
      <c r="J483" s="30" t="str">
        <f t="shared" si="21"/>
        <v>[503]=1318,</v>
      </c>
      <c r="K483" s="3">
        <f t="shared" si="22"/>
        <v>503</v>
      </c>
      <c r="L483" s="3">
        <f t="shared" si="23"/>
        <v>1318</v>
      </c>
      <c r="M483" s="8" t="str">
        <f>VLOOKUP(A483,'ESO wayshrine names'!$A$3:$B$9991,2,)</f>
        <v>Steadfast Manor Wayshrine</v>
      </c>
      <c r="N483" s="3" t="str">
        <f>VLOOKUP(F483,'ESO zone constants'!$A$5:$D$10001,4,FALSE)</f>
        <v>High Isle</v>
      </c>
    </row>
    <row r="484" spans="1:14" x14ac:dyDescent="0.25">
      <c r="A484" s="94">
        <v>504</v>
      </c>
      <c r="B484">
        <v>46</v>
      </c>
      <c r="C484">
        <v>2114</v>
      </c>
      <c r="D484" t="s">
        <v>3416</v>
      </c>
      <c r="E484">
        <v>884</v>
      </c>
      <c r="F484">
        <v>1318</v>
      </c>
      <c r="G484" t="s">
        <v>3307</v>
      </c>
      <c r="H484">
        <v>1</v>
      </c>
      <c r="I484" t="s">
        <v>3319</v>
      </c>
      <c r="J484" s="30" t="str">
        <f t="shared" si="21"/>
        <v>[504]=1318,</v>
      </c>
      <c r="K484" s="3">
        <f t="shared" si="22"/>
        <v>504</v>
      </c>
      <c r="L484" s="3">
        <f t="shared" si="23"/>
        <v>1318</v>
      </c>
      <c r="M484" s="8" t="str">
        <f>VLOOKUP(A484,'ESO wayshrine names'!$A$3:$B$9991,2,)</f>
        <v>Castle Navire Wayshrine</v>
      </c>
      <c r="N484" s="3" t="str">
        <f>VLOOKUP(F484,'ESO zone constants'!$A$5:$D$10001,4,FALSE)</f>
        <v>High Isle</v>
      </c>
    </row>
    <row r="485" spans="1:14" x14ac:dyDescent="0.25">
      <c r="A485" s="94">
        <v>505</v>
      </c>
      <c r="B485">
        <v>46</v>
      </c>
      <c r="C485">
        <v>2114</v>
      </c>
      <c r="D485" t="s">
        <v>3416</v>
      </c>
      <c r="E485">
        <v>884</v>
      </c>
      <c r="F485">
        <v>1318</v>
      </c>
      <c r="G485" t="s">
        <v>3307</v>
      </c>
      <c r="H485">
        <v>1</v>
      </c>
      <c r="I485" t="s">
        <v>3320</v>
      </c>
      <c r="J485" s="30" t="str">
        <f t="shared" si="21"/>
        <v>[505]=1318,</v>
      </c>
      <c r="K485" s="3">
        <f t="shared" si="22"/>
        <v>505</v>
      </c>
      <c r="L485" s="3">
        <f t="shared" si="23"/>
        <v>1318</v>
      </c>
      <c r="M485" s="8" t="str">
        <f>VLOOKUP(A485,'ESO wayshrine names'!$A$3:$B$9991,2,)</f>
        <v>Garick's Rest Wayshrine</v>
      </c>
      <c r="N485" s="3" t="str">
        <f>VLOOKUP(F485,'ESO zone constants'!$A$5:$D$10001,4,FALSE)</f>
        <v>High Isle</v>
      </c>
    </row>
    <row r="486" spans="1:14" x14ac:dyDescent="0.25">
      <c r="A486" s="94">
        <v>506</v>
      </c>
      <c r="B486">
        <v>46</v>
      </c>
      <c r="C486">
        <v>2114</v>
      </c>
      <c r="D486" t="s">
        <v>3416</v>
      </c>
      <c r="E486">
        <v>884</v>
      </c>
      <c r="F486">
        <v>1318</v>
      </c>
      <c r="G486" t="s">
        <v>3307</v>
      </c>
      <c r="H486">
        <v>1</v>
      </c>
      <c r="I486" t="s">
        <v>3321</v>
      </c>
      <c r="J486" s="30" t="str">
        <f t="shared" si="21"/>
        <v>[506]=1318,</v>
      </c>
      <c r="K486" s="3">
        <f t="shared" si="22"/>
        <v>506</v>
      </c>
      <c r="L486" s="3">
        <f t="shared" si="23"/>
        <v>1318</v>
      </c>
      <c r="M486" s="8" t="str">
        <f>VLOOKUP(A486,'ESO wayshrine names'!$A$3:$B$9991,2,)</f>
        <v>Stonelore Grove Wayshrine</v>
      </c>
      <c r="N486" s="3" t="str">
        <f>VLOOKUP(F486,'ESO zone constants'!$A$5:$D$10001,4,FALSE)</f>
        <v>High Isle</v>
      </c>
    </row>
    <row r="487" spans="1:14" x14ac:dyDescent="0.25">
      <c r="A487" s="94">
        <v>507</v>
      </c>
      <c r="B487">
        <v>46</v>
      </c>
      <c r="C487">
        <v>2114</v>
      </c>
      <c r="D487" t="s">
        <v>3416</v>
      </c>
      <c r="E487">
        <v>884</v>
      </c>
      <c r="F487">
        <v>1318</v>
      </c>
      <c r="G487" t="s">
        <v>3307</v>
      </c>
      <c r="H487">
        <v>1</v>
      </c>
      <c r="I487" t="s">
        <v>3322</v>
      </c>
      <c r="J487" s="30" t="str">
        <f t="shared" si="21"/>
        <v>[507]=1318,</v>
      </c>
      <c r="K487" s="3">
        <f t="shared" si="22"/>
        <v>507</v>
      </c>
      <c r="L487" s="3">
        <f t="shared" si="23"/>
        <v>1318</v>
      </c>
      <c r="M487" s="8" t="str">
        <f>VLOOKUP(A487,'ESO wayshrine names'!$A$3:$B$9991,2,)</f>
        <v>Dufort Shipyards Wayshrine</v>
      </c>
      <c r="N487" s="3" t="str">
        <f>VLOOKUP(F487,'ESO zone constants'!$A$5:$D$10001,4,FALSE)</f>
        <v>High Isle</v>
      </c>
    </row>
    <row r="488" spans="1:14" x14ac:dyDescent="0.25">
      <c r="A488" s="94">
        <v>508</v>
      </c>
      <c r="B488">
        <v>46</v>
      </c>
      <c r="C488">
        <v>2114</v>
      </c>
      <c r="D488" t="s">
        <v>3416</v>
      </c>
      <c r="E488">
        <v>884</v>
      </c>
      <c r="F488">
        <v>1318</v>
      </c>
      <c r="G488" t="s">
        <v>3307</v>
      </c>
      <c r="H488">
        <v>1</v>
      </c>
      <c r="I488" t="s">
        <v>3323</v>
      </c>
      <c r="J488" s="30" t="str">
        <f t="shared" si="21"/>
        <v>[508]=1318,</v>
      </c>
      <c r="K488" s="3">
        <f t="shared" si="22"/>
        <v>508</v>
      </c>
      <c r="L488" s="3">
        <f t="shared" si="23"/>
        <v>1318</v>
      </c>
      <c r="M488" s="8" t="str">
        <f>VLOOKUP(A488,'ESO wayshrine names'!$A$3:$B$9991,2,)</f>
        <v>Amenos Station Wayshrine</v>
      </c>
      <c r="N488" s="3" t="str">
        <f>VLOOKUP(F488,'ESO zone constants'!$A$5:$D$10001,4,FALSE)</f>
        <v>High Isle</v>
      </c>
    </row>
    <row r="489" spans="1:14" x14ac:dyDescent="0.25">
      <c r="A489" s="94">
        <v>509</v>
      </c>
      <c r="B489">
        <v>46</v>
      </c>
      <c r="C489">
        <v>2114</v>
      </c>
      <c r="D489" t="s">
        <v>3416</v>
      </c>
      <c r="E489">
        <v>884</v>
      </c>
      <c r="F489">
        <v>1318</v>
      </c>
      <c r="G489" t="s">
        <v>3307</v>
      </c>
      <c r="H489">
        <v>1</v>
      </c>
      <c r="I489" t="s">
        <v>3324</v>
      </c>
      <c r="J489" s="30" t="str">
        <f t="shared" si="21"/>
        <v>[509]=1318,</v>
      </c>
      <c r="K489" s="3">
        <f t="shared" si="22"/>
        <v>509</v>
      </c>
      <c r="L489" s="3">
        <f t="shared" si="23"/>
        <v>1318</v>
      </c>
      <c r="M489" s="8" t="str">
        <f>VLOOKUP(A489,'ESO wayshrine names'!$A$3:$B$9991,2,)</f>
        <v>Brokerock Wayshrine</v>
      </c>
      <c r="N489" s="3" t="str">
        <f>VLOOKUP(F489,'ESO zone constants'!$A$5:$D$10001,4,FALSE)</f>
        <v>High Isle</v>
      </c>
    </row>
    <row r="490" spans="1:14" x14ac:dyDescent="0.25">
      <c r="A490" s="94">
        <v>510</v>
      </c>
      <c r="B490">
        <v>46</v>
      </c>
      <c r="C490">
        <v>2114</v>
      </c>
      <c r="D490" t="s">
        <v>3416</v>
      </c>
      <c r="E490">
        <v>884</v>
      </c>
      <c r="F490">
        <v>1318</v>
      </c>
      <c r="G490" t="s">
        <v>3307</v>
      </c>
      <c r="H490">
        <v>1</v>
      </c>
      <c r="I490" t="s">
        <v>3325</v>
      </c>
      <c r="J490" s="30" t="str">
        <f t="shared" si="21"/>
        <v>[510]=1318,</v>
      </c>
      <c r="K490" s="3">
        <f t="shared" si="22"/>
        <v>510</v>
      </c>
      <c r="L490" s="3">
        <f t="shared" si="23"/>
        <v>1318</v>
      </c>
      <c r="M490" s="8" t="str">
        <f>VLOOKUP(A490,'ESO wayshrine names'!$A$3:$B$9991,2,)</f>
        <v>All Flags Wayshrine</v>
      </c>
      <c r="N490" s="3" t="str">
        <f>VLOOKUP(F490,'ESO zone constants'!$A$5:$D$10001,4,FALSE)</f>
        <v>High Isle</v>
      </c>
    </row>
    <row r="491" spans="1:14" x14ac:dyDescent="0.25">
      <c r="A491" s="94">
        <v>511</v>
      </c>
      <c r="B491">
        <v>46</v>
      </c>
      <c r="C491">
        <v>2114</v>
      </c>
      <c r="D491" t="s">
        <v>3416</v>
      </c>
      <c r="E491">
        <v>884</v>
      </c>
      <c r="F491">
        <v>1318</v>
      </c>
      <c r="G491" t="s">
        <v>3307</v>
      </c>
      <c r="H491">
        <v>1</v>
      </c>
      <c r="I491" t="s">
        <v>3326</v>
      </c>
      <c r="J491" s="30" t="str">
        <f t="shared" si="21"/>
        <v>[511]=1318,</v>
      </c>
      <c r="K491" s="3">
        <f t="shared" si="22"/>
        <v>511</v>
      </c>
      <c r="L491" s="3">
        <f t="shared" si="23"/>
        <v>1318</v>
      </c>
      <c r="M491" s="8" t="str">
        <f>VLOOKUP(A491,'ESO wayshrine names'!$A$3:$B$9991,2,)</f>
        <v>Trappers Peak Wayshrine</v>
      </c>
      <c r="N491" s="3" t="str">
        <f>VLOOKUP(F491,'ESO zone constants'!$A$5:$D$10001,4,FALSE)</f>
        <v>High Isle</v>
      </c>
    </row>
    <row r="492" spans="1:14" x14ac:dyDescent="0.25">
      <c r="A492" s="94">
        <v>512</v>
      </c>
      <c r="B492">
        <v>46</v>
      </c>
      <c r="C492">
        <v>2114</v>
      </c>
      <c r="D492" t="s">
        <v>3416</v>
      </c>
      <c r="E492">
        <v>884</v>
      </c>
      <c r="F492">
        <v>1318</v>
      </c>
      <c r="G492" t="s">
        <v>3307</v>
      </c>
      <c r="H492">
        <v>1</v>
      </c>
      <c r="I492" t="s">
        <v>3308</v>
      </c>
      <c r="J492" s="30" t="str">
        <f t="shared" si="21"/>
        <v>[512]=1318,</v>
      </c>
      <c r="K492" s="3">
        <f t="shared" si="22"/>
        <v>512</v>
      </c>
      <c r="L492" s="3">
        <f t="shared" si="23"/>
        <v>1318</v>
      </c>
      <c r="M492" s="8" t="str">
        <f>VLOOKUP(A492,'ESO wayshrine names'!$A$3:$B$9991,2,)</f>
        <v>Westbay Wayshrine</v>
      </c>
      <c r="N492" s="3" t="str">
        <f>VLOOKUP(F492,'ESO zone constants'!$A$5:$D$10001,4,FALSE)</f>
        <v>High Isle</v>
      </c>
    </row>
    <row r="493" spans="1:14" x14ac:dyDescent="0.25">
      <c r="A493" s="94">
        <v>513</v>
      </c>
      <c r="B493">
        <v>46</v>
      </c>
      <c r="C493">
        <v>2114</v>
      </c>
      <c r="D493" t="s">
        <v>3416</v>
      </c>
      <c r="E493">
        <v>884</v>
      </c>
      <c r="F493">
        <v>1318</v>
      </c>
      <c r="G493" t="s">
        <v>3307</v>
      </c>
      <c r="H493">
        <v>1</v>
      </c>
      <c r="I493" t="s">
        <v>3309</v>
      </c>
      <c r="J493" s="30" t="str">
        <f t="shared" si="21"/>
        <v>[513]=1318,</v>
      </c>
      <c r="K493" s="3">
        <f t="shared" si="22"/>
        <v>513</v>
      </c>
      <c r="L493" s="3">
        <f t="shared" si="23"/>
        <v>1318</v>
      </c>
      <c r="M493" s="8" t="str">
        <f>VLOOKUP(A493,'ESO wayshrine names'!$A$3:$B$9991,2,)</f>
        <v>Gonfalon Square Wayshrine</v>
      </c>
      <c r="N493" s="3" t="str">
        <f>VLOOKUP(F493,'ESO zone constants'!$A$5:$D$10001,4,FALSE)</f>
        <v>High Isle</v>
      </c>
    </row>
    <row r="494" spans="1:14" x14ac:dyDescent="0.25">
      <c r="A494" s="94">
        <v>517</v>
      </c>
      <c r="B494">
        <v>46</v>
      </c>
      <c r="C494">
        <v>2114</v>
      </c>
      <c r="D494" t="s">
        <v>3416</v>
      </c>
      <c r="E494">
        <v>884</v>
      </c>
      <c r="F494">
        <v>1318</v>
      </c>
      <c r="G494" t="s">
        <v>3307</v>
      </c>
      <c r="H494">
        <v>0</v>
      </c>
      <c r="I494" t="s">
        <v>3310</v>
      </c>
      <c r="J494" s="30" t="str">
        <f t="shared" si="21"/>
        <v>[517]=1318,</v>
      </c>
      <c r="K494" s="3">
        <f t="shared" si="22"/>
        <v>517</v>
      </c>
      <c r="L494" s="3">
        <f t="shared" si="23"/>
        <v>1318</v>
      </c>
      <c r="M494" s="8" t="str">
        <f>VLOOKUP(A494,'ESO wayshrine names'!$A$3:$B$9991,2,)</f>
        <v>All Flags Islet</v>
      </c>
      <c r="N494" s="3" t="str">
        <f>VLOOKUP(F494,'ESO zone constants'!$A$5:$D$10001,4,FALSE)</f>
        <v>High Isle</v>
      </c>
    </row>
    <row r="495" spans="1:14" x14ac:dyDescent="0.25">
      <c r="A495" s="94">
        <v>518</v>
      </c>
      <c r="B495">
        <v>46</v>
      </c>
      <c r="C495">
        <v>2114</v>
      </c>
      <c r="D495" t="s">
        <v>3416</v>
      </c>
      <c r="E495">
        <v>884</v>
      </c>
      <c r="F495">
        <v>1318</v>
      </c>
      <c r="G495" t="s">
        <v>3307</v>
      </c>
      <c r="H495">
        <v>1</v>
      </c>
      <c r="I495" t="s">
        <v>3311</v>
      </c>
      <c r="J495" s="30" t="str">
        <f t="shared" si="21"/>
        <v>[518]=1318,</v>
      </c>
      <c r="K495" s="3">
        <f t="shared" si="22"/>
        <v>518</v>
      </c>
      <c r="L495" s="3">
        <f t="shared" si="23"/>
        <v>1318</v>
      </c>
      <c r="M495" s="8" t="str">
        <f>VLOOKUP(A495,'ESO wayshrine names'!$A$3:$B$9991,2,)</f>
        <v>Serpents Hollow Wayshrine</v>
      </c>
      <c r="N495" s="3" t="str">
        <f>VLOOKUP(F495,'ESO zone constants'!$A$5:$D$10001,4,FALSE)</f>
        <v>High Isle</v>
      </c>
    </row>
    <row r="496" spans="1:14" x14ac:dyDescent="0.25">
      <c r="A496" s="94">
        <v>519</v>
      </c>
      <c r="B496">
        <v>46</v>
      </c>
      <c r="C496">
        <v>2114</v>
      </c>
      <c r="D496" t="s">
        <v>3416</v>
      </c>
      <c r="E496">
        <v>884</v>
      </c>
      <c r="F496">
        <v>1318</v>
      </c>
      <c r="G496" t="s">
        <v>3307</v>
      </c>
      <c r="H496">
        <v>1</v>
      </c>
      <c r="I496" t="s">
        <v>3312</v>
      </c>
      <c r="J496" s="30" t="str">
        <f t="shared" si="21"/>
        <v>[519]=1318,</v>
      </c>
      <c r="K496" s="3">
        <f t="shared" si="22"/>
        <v>519</v>
      </c>
      <c r="L496" s="3">
        <f t="shared" si="23"/>
        <v>1318</v>
      </c>
      <c r="M496" s="8" t="str">
        <f>VLOOKUP(A496,'ESO wayshrine names'!$A$3:$B$9991,2,)</f>
        <v>Flooded Coast Wayshrine</v>
      </c>
      <c r="N496" s="3" t="str">
        <f>VLOOKUP(F496,'ESO zone constants'!$A$5:$D$10001,4,FALSE)</f>
        <v>High Isle</v>
      </c>
    </row>
    <row r="497" spans="1:14" x14ac:dyDescent="0.25">
      <c r="A497" s="94">
        <v>520</v>
      </c>
      <c r="B497">
        <v>46</v>
      </c>
      <c r="C497">
        <v>2114</v>
      </c>
      <c r="D497" t="s">
        <v>3416</v>
      </c>
      <c r="E497">
        <v>884</v>
      </c>
      <c r="F497">
        <v>1318</v>
      </c>
      <c r="G497" t="s">
        <v>3307</v>
      </c>
      <c r="H497">
        <v>6</v>
      </c>
      <c r="I497" t="s">
        <v>3417</v>
      </c>
      <c r="J497" s="30" t="str">
        <f t="shared" si="21"/>
        <v>[520]=1318,</v>
      </c>
      <c r="K497" s="3">
        <f t="shared" si="22"/>
        <v>520</v>
      </c>
      <c r="L497" s="3">
        <f t="shared" si="23"/>
        <v>1318</v>
      </c>
      <c r="M497" s="8" t="str">
        <f>VLOOKUP(A497,'ESO wayshrine names'!$A$3:$B$9991,2,)</f>
        <v>Dungeon: Earthen Root Enclave</v>
      </c>
      <c r="N497" s="3" t="str">
        <f>VLOOKUP(F497,'ESO zone constants'!$A$5:$D$10001,4,FALSE)</f>
        <v>High Isle</v>
      </c>
    </row>
    <row r="498" spans="1:14" x14ac:dyDescent="0.25">
      <c r="A498" s="94">
        <v>521</v>
      </c>
      <c r="B498">
        <v>46</v>
      </c>
      <c r="C498">
        <v>2114</v>
      </c>
      <c r="D498" t="s">
        <v>3416</v>
      </c>
      <c r="E498">
        <v>884</v>
      </c>
      <c r="F498">
        <v>1318</v>
      </c>
      <c r="G498" t="s">
        <v>3307</v>
      </c>
      <c r="H498">
        <v>6</v>
      </c>
      <c r="I498" t="s">
        <v>3410</v>
      </c>
      <c r="J498" s="30" t="str">
        <f t="shared" si="21"/>
        <v>[521]=1318,</v>
      </c>
      <c r="K498" s="3">
        <f t="shared" si="22"/>
        <v>521</v>
      </c>
      <c r="L498" s="3">
        <f t="shared" si="23"/>
        <v>1318</v>
      </c>
      <c r="M498" s="8" t="str">
        <f>VLOOKUP(A498,'ESO wayshrine names'!$A$3:$B$9991,2,)</f>
        <v>Dungeon: Graven Deep</v>
      </c>
      <c r="N498" s="3" t="str">
        <f>VLOOKUP(F498,'ESO zone constants'!$A$5:$D$10001,4,FALSE)</f>
        <v>High Isle</v>
      </c>
    </row>
    <row r="499" spans="1:14" x14ac:dyDescent="0.25">
      <c r="A499" s="94">
        <v>522</v>
      </c>
      <c r="B499">
        <v>46</v>
      </c>
      <c r="C499">
        <v>2114</v>
      </c>
      <c r="D499" t="s">
        <v>3416</v>
      </c>
      <c r="E499">
        <v>884</v>
      </c>
      <c r="F499">
        <v>1318</v>
      </c>
      <c r="G499" t="s">
        <v>3307</v>
      </c>
      <c r="H499">
        <v>7</v>
      </c>
      <c r="I499" t="s">
        <v>3314</v>
      </c>
      <c r="J499" s="30" t="str">
        <f t="shared" si="21"/>
        <v>[522]=1318,</v>
      </c>
      <c r="K499" s="3">
        <f t="shared" si="22"/>
        <v>522</v>
      </c>
      <c r="L499" s="3">
        <f t="shared" si="23"/>
        <v>1318</v>
      </c>
      <c r="M499" s="8" t="str">
        <f>VLOOKUP(A499,'ESO wayshrine names'!$A$3:$B$9991,2,)</f>
        <v>Ancient Anchor Berth</v>
      </c>
      <c r="N499" s="3" t="str">
        <f>VLOOKUP(F499,'ESO zone constants'!$A$5:$D$10001,4,FALSE)</f>
        <v>High Isle</v>
      </c>
    </row>
    <row r="500" spans="1:14" x14ac:dyDescent="0.25">
      <c r="A500" s="94">
        <v>523</v>
      </c>
      <c r="B500">
        <v>46</v>
      </c>
      <c r="C500">
        <v>2114</v>
      </c>
      <c r="D500" t="s">
        <v>3416</v>
      </c>
      <c r="E500">
        <v>884</v>
      </c>
      <c r="F500">
        <v>1318</v>
      </c>
      <c r="G500" t="s">
        <v>3307</v>
      </c>
      <c r="H500">
        <v>7</v>
      </c>
      <c r="I500" t="s">
        <v>3315</v>
      </c>
      <c r="J500" s="30" t="str">
        <f t="shared" si="21"/>
        <v>[523]=1318,</v>
      </c>
      <c r="K500" s="3">
        <f t="shared" si="22"/>
        <v>523</v>
      </c>
      <c r="L500" s="3">
        <f t="shared" si="23"/>
        <v>1318</v>
      </c>
      <c r="M500" s="8" t="str">
        <f>VLOOKUP(A500,'ESO wayshrine names'!$A$3:$B$9991,2,)</f>
        <v>Highhallow Hold</v>
      </c>
      <c r="N500" s="3" t="str">
        <f>VLOOKUP(F500,'ESO zone constants'!$A$5:$D$10001,4,FALSE)</f>
        <v>High Isle</v>
      </c>
    </row>
    <row r="501" spans="1:14" x14ac:dyDescent="0.25">
      <c r="A501" s="94">
        <v>524</v>
      </c>
      <c r="B501">
        <v>48</v>
      </c>
      <c r="C501">
        <v>2212</v>
      </c>
      <c r="D501" t="s">
        <v>3482</v>
      </c>
      <c r="E501">
        <v>929</v>
      </c>
      <c r="F501">
        <v>1383</v>
      </c>
      <c r="G501" t="s">
        <v>3470</v>
      </c>
      <c r="H501">
        <v>1</v>
      </c>
      <c r="I501" t="s">
        <v>3486</v>
      </c>
      <c r="J501" s="30" t="str">
        <f t="shared" si="21"/>
        <v>[524]=1383,</v>
      </c>
      <c r="K501" s="3">
        <f t="shared" si="22"/>
        <v>524</v>
      </c>
      <c r="L501" s="3">
        <f t="shared" si="23"/>
        <v>1383</v>
      </c>
      <c r="M501" s="8" t="str">
        <f>VLOOKUP(A501,'ESO wayshrine names'!$A$3:$B$9991,2,)</f>
        <v>Vastyr Outskirts Wayshrine</v>
      </c>
      <c r="N501" s="3" t="str">
        <f>VLOOKUP(F501,'ESO zone constants'!$A$5:$D$10001,4,FALSE)</f>
        <v>Galen</v>
      </c>
    </row>
    <row r="502" spans="1:14" x14ac:dyDescent="0.25">
      <c r="A502" s="94">
        <v>525</v>
      </c>
      <c r="B502">
        <v>48</v>
      </c>
      <c r="C502">
        <v>2212</v>
      </c>
      <c r="D502" t="s">
        <v>3482</v>
      </c>
      <c r="E502">
        <v>929</v>
      </c>
      <c r="F502">
        <v>1383</v>
      </c>
      <c r="G502" t="s">
        <v>3470</v>
      </c>
      <c r="H502">
        <v>1</v>
      </c>
      <c r="I502" t="s">
        <v>3487</v>
      </c>
      <c r="J502" s="30" t="str">
        <f t="shared" si="21"/>
        <v>[525]=1383,</v>
      </c>
      <c r="K502" s="3">
        <f t="shared" si="22"/>
        <v>525</v>
      </c>
      <c r="L502" s="3">
        <f t="shared" si="23"/>
        <v>1383</v>
      </c>
      <c r="M502" s="8" t="str">
        <f>VLOOKUP(A502,'ESO wayshrine names'!$A$3:$B$9991,2,)</f>
        <v>Glimmertarn Wayshrine</v>
      </c>
      <c r="N502" s="3" t="str">
        <f>VLOOKUP(F502,'ESO zone constants'!$A$5:$D$10001,4,FALSE)</f>
        <v>Galen</v>
      </c>
    </row>
    <row r="503" spans="1:14" x14ac:dyDescent="0.25">
      <c r="A503" s="94">
        <v>526</v>
      </c>
      <c r="B503">
        <v>48</v>
      </c>
      <c r="C503">
        <v>2212</v>
      </c>
      <c r="D503" t="s">
        <v>3482</v>
      </c>
      <c r="E503">
        <v>929</v>
      </c>
      <c r="F503">
        <v>1383</v>
      </c>
      <c r="G503" t="s">
        <v>3470</v>
      </c>
      <c r="H503">
        <v>1</v>
      </c>
      <c r="I503" t="s">
        <v>3488</v>
      </c>
      <c r="J503" s="30" t="str">
        <f t="shared" si="21"/>
        <v>[526]=1383,</v>
      </c>
      <c r="K503" s="3">
        <f t="shared" si="22"/>
        <v>526</v>
      </c>
      <c r="L503" s="3">
        <f t="shared" si="23"/>
        <v>1383</v>
      </c>
      <c r="M503" s="8" t="str">
        <f>VLOOKUP(A503,'ESO wayshrine names'!$A$3:$B$9991,2,)</f>
        <v>Embervine Wayshrine</v>
      </c>
      <c r="N503" s="3" t="str">
        <f>VLOOKUP(F503,'ESO zone constants'!$A$5:$D$10001,4,FALSE)</f>
        <v>Galen</v>
      </c>
    </row>
    <row r="504" spans="1:14" x14ac:dyDescent="0.25">
      <c r="A504" s="94">
        <v>527</v>
      </c>
      <c r="B504">
        <v>48</v>
      </c>
      <c r="C504">
        <v>2212</v>
      </c>
      <c r="D504" t="s">
        <v>3482</v>
      </c>
      <c r="E504">
        <v>929</v>
      </c>
      <c r="F504">
        <v>1383</v>
      </c>
      <c r="G504" t="s">
        <v>3470</v>
      </c>
      <c r="H504">
        <v>1</v>
      </c>
      <c r="I504" t="s">
        <v>3489</v>
      </c>
      <c r="J504" s="30" t="str">
        <f t="shared" si="21"/>
        <v>[527]=1383,</v>
      </c>
      <c r="K504" s="3">
        <f t="shared" si="22"/>
        <v>527</v>
      </c>
      <c r="L504" s="3">
        <f t="shared" si="23"/>
        <v>1383</v>
      </c>
      <c r="M504" s="8" t="str">
        <f>VLOOKUP(A504,'ESO wayshrine names'!$A$3:$B$9991,2,)</f>
        <v>Llanshara Wayshrine</v>
      </c>
      <c r="N504" s="3" t="str">
        <f>VLOOKUP(F504,'ESO zone constants'!$A$5:$D$10001,4,FALSE)</f>
        <v>Galen</v>
      </c>
    </row>
    <row r="505" spans="1:14" x14ac:dyDescent="0.25">
      <c r="A505" s="94">
        <v>528</v>
      </c>
      <c r="B505">
        <v>48</v>
      </c>
      <c r="C505">
        <v>2212</v>
      </c>
      <c r="D505" t="s">
        <v>3482</v>
      </c>
      <c r="E505">
        <v>929</v>
      </c>
      <c r="F505">
        <v>1383</v>
      </c>
      <c r="G505" t="s">
        <v>3470</v>
      </c>
      <c r="H505">
        <v>1</v>
      </c>
      <c r="I505" t="s">
        <v>3483</v>
      </c>
      <c r="J505" s="30" t="str">
        <f t="shared" si="21"/>
        <v>[528]=1383,</v>
      </c>
      <c r="K505" s="3">
        <f t="shared" si="22"/>
        <v>528</v>
      </c>
      <c r="L505" s="3">
        <f t="shared" si="23"/>
        <v>1383</v>
      </c>
      <c r="M505" s="8" t="str">
        <f>VLOOKUP(A505,'ESO wayshrine names'!$A$3:$B$9991,2,)</f>
        <v>Y'ffre's Path Wayshrine</v>
      </c>
      <c r="N505" s="3" t="str">
        <f>VLOOKUP(F505,'ESO zone constants'!$A$5:$D$10001,4,FALSE)</f>
        <v>Galen</v>
      </c>
    </row>
    <row r="506" spans="1:14" x14ac:dyDescent="0.25">
      <c r="A506" s="94">
        <v>529</v>
      </c>
      <c r="B506">
        <v>48</v>
      </c>
      <c r="C506">
        <v>2212</v>
      </c>
      <c r="D506" t="s">
        <v>3482</v>
      </c>
      <c r="E506">
        <v>929</v>
      </c>
      <c r="F506">
        <v>1383</v>
      </c>
      <c r="G506" t="s">
        <v>3470</v>
      </c>
      <c r="H506">
        <v>1</v>
      </c>
      <c r="I506" t="s">
        <v>3484</v>
      </c>
      <c r="J506" s="30" t="str">
        <f t="shared" si="21"/>
        <v>[529]=1383,</v>
      </c>
      <c r="K506" s="3">
        <f t="shared" si="22"/>
        <v>529</v>
      </c>
      <c r="L506" s="3">
        <f t="shared" si="23"/>
        <v>1383</v>
      </c>
      <c r="M506" s="8" t="str">
        <f>VLOOKUP(A506,'ESO wayshrine names'!$A$3:$B$9991,2,)</f>
        <v>Vastyr Wayshrine</v>
      </c>
      <c r="N506" s="3" t="str">
        <f>VLOOKUP(F506,'ESO zone constants'!$A$5:$D$10001,4,FALSE)</f>
        <v>Galen</v>
      </c>
    </row>
    <row r="507" spans="1:14" x14ac:dyDescent="0.25">
      <c r="A507" s="94">
        <v>530</v>
      </c>
      <c r="B507">
        <v>48</v>
      </c>
      <c r="C507">
        <v>2212</v>
      </c>
      <c r="D507" t="s">
        <v>3482</v>
      </c>
      <c r="E507">
        <v>929</v>
      </c>
      <c r="F507">
        <v>1383</v>
      </c>
      <c r="G507" t="s">
        <v>3470</v>
      </c>
      <c r="H507">
        <v>1</v>
      </c>
      <c r="I507" t="s">
        <v>3485</v>
      </c>
      <c r="J507" s="30" t="str">
        <f t="shared" si="21"/>
        <v>[530]=1383,</v>
      </c>
      <c r="K507" s="3">
        <f t="shared" si="22"/>
        <v>530</v>
      </c>
      <c r="L507" s="3">
        <f t="shared" si="23"/>
        <v>1383</v>
      </c>
      <c r="M507" s="8" t="str">
        <f>VLOOKUP(A507,'ESO wayshrine names'!$A$3:$B$9991,2,)</f>
        <v>Eastern Shores Wayshrine</v>
      </c>
      <c r="N507" s="3" t="str">
        <f>VLOOKUP(F507,'ESO zone constants'!$A$5:$D$10001,4,FALSE)</f>
        <v>Galen</v>
      </c>
    </row>
    <row r="508" spans="1:14" x14ac:dyDescent="0.25">
      <c r="A508" s="94">
        <v>531</v>
      </c>
      <c r="B508">
        <v>11</v>
      </c>
      <c r="C508">
        <v>7</v>
      </c>
      <c r="D508" t="s">
        <v>2310</v>
      </c>
      <c r="E508">
        <v>9</v>
      </c>
      <c r="F508">
        <v>41</v>
      </c>
      <c r="G508" t="s">
        <v>2310</v>
      </c>
      <c r="H508">
        <v>6</v>
      </c>
      <c r="I508" t="s">
        <v>3585</v>
      </c>
      <c r="J508" s="30" t="str">
        <f t="shared" si="21"/>
        <v>[531]=41,</v>
      </c>
      <c r="K508" s="3">
        <f t="shared" si="22"/>
        <v>531</v>
      </c>
      <c r="L508" s="3">
        <f t="shared" si="23"/>
        <v>41</v>
      </c>
      <c r="M508" s="8" t="str">
        <f>VLOOKUP(A508,'ESO wayshrine names'!$A$3:$B$9991,2,)</f>
        <v>Dungeon: Bal Sunnar</v>
      </c>
      <c r="N508" s="3" t="str">
        <f>VLOOKUP(F508,'ESO zone constants'!$A$5:$D$10001,4,FALSE)</f>
        <v>Stonefalls</v>
      </c>
    </row>
    <row r="509" spans="1:14" x14ac:dyDescent="0.25">
      <c r="A509" s="94">
        <v>532</v>
      </c>
      <c r="B509">
        <v>12</v>
      </c>
      <c r="C509">
        <v>125</v>
      </c>
      <c r="D509" t="s">
        <v>2308</v>
      </c>
      <c r="E509">
        <v>16</v>
      </c>
      <c r="F509">
        <v>103</v>
      </c>
      <c r="G509" t="s">
        <v>2308</v>
      </c>
      <c r="H509">
        <v>6</v>
      </c>
      <c r="I509" t="s">
        <v>3586</v>
      </c>
      <c r="J509" s="30" t="str">
        <f t="shared" si="21"/>
        <v>[532]=103,</v>
      </c>
      <c r="K509" s="3">
        <f t="shared" si="22"/>
        <v>532</v>
      </c>
      <c r="L509" s="3">
        <f t="shared" si="23"/>
        <v>103</v>
      </c>
      <c r="M509" s="8" t="str">
        <f>VLOOKUP(A509,'ESO wayshrine names'!$A$3:$B$9991,2,)</f>
        <v>Dungeon: Scrivener's Hall</v>
      </c>
      <c r="N509" s="3" t="str">
        <f>VLOOKUP(F509,'ESO zone constants'!$A$5:$D$10001,4,FALSE)</f>
        <v>The Rift</v>
      </c>
    </row>
    <row r="510" spans="1:14" x14ac:dyDescent="0.25">
      <c r="A510" s="94">
        <v>533</v>
      </c>
      <c r="B510">
        <v>46</v>
      </c>
      <c r="C510">
        <v>2114</v>
      </c>
      <c r="D510" t="s">
        <v>3416</v>
      </c>
      <c r="E510">
        <v>884</v>
      </c>
      <c r="F510">
        <v>1318</v>
      </c>
      <c r="G510" t="s">
        <v>3307</v>
      </c>
      <c r="H510">
        <v>7</v>
      </c>
      <c r="I510" t="s">
        <v>3826</v>
      </c>
      <c r="J510" s="30" t="str">
        <f t="shared" si="21"/>
        <v>[533]=1318,</v>
      </c>
      <c r="K510" s="3">
        <f t="shared" si="22"/>
        <v>533</v>
      </c>
      <c r="L510" s="3">
        <f t="shared" si="23"/>
        <v>1318</v>
      </c>
      <c r="M510" s="8" t="str">
        <f>VLOOKUP(A510,'ESO wayshrine names'!$A$3:$B$9991,2,)</f>
        <v>Fogbreak Lighthouse</v>
      </c>
      <c r="N510" s="3" t="str">
        <f>VLOOKUP(F510,'ESO zone constants'!$A$5:$D$10001,4,FALSE)</f>
        <v>High Isle</v>
      </c>
    </row>
    <row r="511" spans="1:14" x14ac:dyDescent="0.25">
      <c r="A511" s="94">
        <v>534</v>
      </c>
      <c r="B511">
        <v>49</v>
      </c>
      <c r="C511">
        <v>2274</v>
      </c>
      <c r="D511" t="s">
        <v>3634</v>
      </c>
      <c r="E511">
        <v>958</v>
      </c>
      <c r="F511">
        <v>1414</v>
      </c>
      <c r="G511" t="s">
        <v>3634</v>
      </c>
      <c r="H511">
        <v>3</v>
      </c>
      <c r="I511" t="s">
        <v>3639</v>
      </c>
      <c r="J511" s="30" t="str">
        <f t="shared" si="21"/>
        <v>[534]=1414,</v>
      </c>
      <c r="K511" s="3">
        <f t="shared" si="22"/>
        <v>534</v>
      </c>
      <c r="L511" s="3">
        <f t="shared" si="23"/>
        <v>1414</v>
      </c>
      <c r="M511" s="8" t="str">
        <f>VLOOKUP(A511,'ESO wayshrine names'!$A$3:$B$9991,2,)</f>
        <v>Trial: Sanity's Edge</v>
      </c>
      <c r="N511" s="3" t="str">
        <f>VLOOKUP(F511,'ESO zone constants'!$A$5:$D$10001,4,FALSE)</f>
        <v>Telvanni Peninsula</v>
      </c>
    </row>
    <row r="512" spans="1:14" x14ac:dyDescent="0.25">
      <c r="A512" s="94">
        <v>535</v>
      </c>
      <c r="B512">
        <v>49</v>
      </c>
      <c r="C512">
        <v>2274</v>
      </c>
      <c r="D512" t="s">
        <v>3634</v>
      </c>
      <c r="E512">
        <v>958</v>
      </c>
      <c r="F512">
        <v>1414</v>
      </c>
      <c r="G512" t="s">
        <v>3634</v>
      </c>
      <c r="H512">
        <v>1</v>
      </c>
      <c r="I512" t="s">
        <v>3640</v>
      </c>
      <c r="J512" s="30" t="str">
        <f t="shared" si="21"/>
        <v>[535]=1414,</v>
      </c>
      <c r="K512" s="3">
        <f t="shared" si="22"/>
        <v>535</v>
      </c>
      <c r="L512" s="3">
        <f t="shared" si="23"/>
        <v>1414</v>
      </c>
      <c r="M512" s="8" t="str">
        <f>VLOOKUP(A512,'ESO wayshrine names'!$A$3:$B$9991,2,)</f>
        <v>Necrom Outskirts Wayshrine</v>
      </c>
      <c r="N512" s="3" t="str">
        <f>VLOOKUP(F512,'ESO zone constants'!$A$5:$D$10001,4,FALSE)</f>
        <v>Telvanni Peninsula</v>
      </c>
    </row>
    <row r="513" spans="1:14" x14ac:dyDescent="0.25">
      <c r="A513" s="94">
        <v>536</v>
      </c>
      <c r="B513">
        <v>49</v>
      </c>
      <c r="C513">
        <v>2274</v>
      </c>
      <c r="D513" t="s">
        <v>3634</v>
      </c>
      <c r="E513">
        <v>958</v>
      </c>
      <c r="F513">
        <v>1414</v>
      </c>
      <c r="G513" t="s">
        <v>3634</v>
      </c>
      <c r="H513">
        <v>1</v>
      </c>
      <c r="I513" t="s">
        <v>3641</v>
      </c>
      <c r="J513" s="30" t="str">
        <f t="shared" si="21"/>
        <v>[536]=1414,</v>
      </c>
      <c r="K513" s="3">
        <f t="shared" si="22"/>
        <v>536</v>
      </c>
      <c r="L513" s="3">
        <f t="shared" si="23"/>
        <v>1414</v>
      </c>
      <c r="M513" s="8" t="str">
        <f>VLOOKUP(A513,'ESO wayshrine names'!$A$3:$B$9991,2,)</f>
        <v>Necrom Wayshrine</v>
      </c>
      <c r="N513" s="3" t="str">
        <f>VLOOKUP(F513,'ESO zone constants'!$A$5:$D$10001,4,FALSE)</f>
        <v>Telvanni Peninsula</v>
      </c>
    </row>
    <row r="514" spans="1:14" x14ac:dyDescent="0.25">
      <c r="A514" s="94">
        <v>537</v>
      </c>
      <c r="B514">
        <v>49</v>
      </c>
      <c r="C514">
        <v>2274</v>
      </c>
      <c r="D514" t="s">
        <v>3634</v>
      </c>
      <c r="E514">
        <v>958</v>
      </c>
      <c r="F514">
        <v>1414</v>
      </c>
      <c r="G514" t="s">
        <v>3634</v>
      </c>
      <c r="H514">
        <v>1</v>
      </c>
      <c r="I514" t="s">
        <v>3827</v>
      </c>
      <c r="J514" s="30" t="str">
        <f t="shared" si="21"/>
        <v>[537]=1414,</v>
      </c>
      <c r="K514" s="3">
        <f t="shared" si="22"/>
        <v>537</v>
      </c>
      <c r="L514" s="3">
        <f t="shared" si="23"/>
        <v>1414</v>
      </c>
      <c r="M514" s="8" t="str">
        <f>VLOOKUP(A514,'ESO wayshrine names'!$A$3:$B$9991,2,)</f>
        <v>Fungal Lowlands Wayshrine</v>
      </c>
      <c r="N514" s="3" t="str">
        <f>VLOOKUP(F514,'ESO zone constants'!$A$5:$D$10001,4,FALSE)</f>
        <v>Telvanni Peninsula</v>
      </c>
    </row>
    <row r="515" spans="1:14" x14ac:dyDescent="0.25">
      <c r="A515" s="94">
        <v>538</v>
      </c>
      <c r="B515">
        <v>49</v>
      </c>
      <c r="C515">
        <v>2274</v>
      </c>
      <c r="D515" t="s">
        <v>3634</v>
      </c>
      <c r="E515">
        <v>958</v>
      </c>
      <c r="F515">
        <v>1414</v>
      </c>
      <c r="G515" t="s">
        <v>3634</v>
      </c>
      <c r="H515">
        <v>1</v>
      </c>
      <c r="I515" t="s">
        <v>3642</v>
      </c>
      <c r="J515" s="30" t="str">
        <f t="shared" ref="J515:J537" si="24">IF(A515&lt;&gt;"",IF(F515&lt;&gt;"",IF(OR(ISNA(A515),ISNA(F515)),"","["&amp;A515&amp;"]="&amp;F515&amp;","),""),"")</f>
        <v>[538]=1414,</v>
      </c>
      <c r="K515" s="3">
        <f t="shared" ref="K515:K537" si="25">A515</f>
        <v>538</v>
      </c>
      <c r="L515" s="3">
        <f t="shared" ref="L515:L537" si="26">F515</f>
        <v>1414</v>
      </c>
      <c r="M515" s="8" t="str">
        <f>VLOOKUP(A515,'ESO wayshrine names'!$A$3:$B$9991,2,)</f>
        <v>Ald Isra Wayshrine</v>
      </c>
      <c r="N515" s="3" t="str">
        <f>VLOOKUP(F515,'ESO zone constants'!$A$5:$D$10001,4,FALSE)</f>
        <v>Telvanni Peninsula</v>
      </c>
    </row>
    <row r="516" spans="1:14" x14ac:dyDescent="0.25">
      <c r="A516" s="94">
        <v>539</v>
      </c>
      <c r="B516">
        <v>49</v>
      </c>
      <c r="C516">
        <v>2274</v>
      </c>
      <c r="D516" t="s">
        <v>3634</v>
      </c>
      <c r="E516">
        <v>958</v>
      </c>
      <c r="F516">
        <v>1414</v>
      </c>
      <c r="G516" t="s">
        <v>3634</v>
      </c>
      <c r="H516">
        <v>1</v>
      </c>
      <c r="I516" t="s">
        <v>3643</v>
      </c>
      <c r="J516" s="30" t="str">
        <f t="shared" si="24"/>
        <v>[539]=1414,</v>
      </c>
      <c r="K516" s="3">
        <f t="shared" si="25"/>
        <v>539</v>
      </c>
      <c r="L516" s="3">
        <f t="shared" si="26"/>
        <v>1414</v>
      </c>
      <c r="M516" s="8" t="str">
        <f>VLOOKUP(A516,'ESO wayshrine names'!$A$3:$B$9991,2,)</f>
        <v>Padomaic Crest Wayshrine</v>
      </c>
      <c r="N516" s="3" t="str">
        <f>VLOOKUP(F516,'ESO zone constants'!$A$5:$D$10001,4,FALSE)</f>
        <v>Telvanni Peninsula</v>
      </c>
    </row>
    <row r="517" spans="1:14" x14ac:dyDescent="0.25">
      <c r="A517" s="94">
        <v>540</v>
      </c>
      <c r="B517">
        <v>50</v>
      </c>
      <c r="C517">
        <v>2275</v>
      </c>
      <c r="D517" t="s">
        <v>3628</v>
      </c>
      <c r="E517">
        <v>957</v>
      </c>
      <c r="F517">
        <v>1413</v>
      </c>
      <c r="G517" t="s">
        <v>3628</v>
      </c>
      <c r="H517">
        <v>1</v>
      </c>
      <c r="I517" t="s">
        <v>3644</v>
      </c>
      <c r="J517" s="30" t="str">
        <f t="shared" si="24"/>
        <v>[540]=1413,</v>
      </c>
      <c r="K517" s="3">
        <f t="shared" si="25"/>
        <v>540</v>
      </c>
      <c r="L517" s="3">
        <f t="shared" si="26"/>
        <v>1413</v>
      </c>
      <c r="M517" s="8" t="str">
        <f>VLOOKUP(A517,'ESO wayshrine names'!$A$3:$B$9991,2,)</f>
        <v>Soundless Bight Wayshrine</v>
      </c>
      <c r="N517" s="3" t="str">
        <f>VLOOKUP(F517,'ESO zone constants'!$A$5:$D$10001,4,FALSE)</f>
        <v>Apocrypha</v>
      </c>
    </row>
    <row r="518" spans="1:14" x14ac:dyDescent="0.25">
      <c r="A518" s="94">
        <v>541</v>
      </c>
      <c r="B518">
        <v>50</v>
      </c>
      <c r="C518">
        <v>2275</v>
      </c>
      <c r="D518" t="s">
        <v>3628</v>
      </c>
      <c r="E518">
        <v>957</v>
      </c>
      <c r="F518">
        <v>1413</v>
      </c>
      <c r="G518" t="s">
        <v>3628</v>
      </c>
      <c r="H518">
        <v>1</v>
      </c>
      <c r="I518" t="s">
        <v>3645</v>
      </c>
      <c r="J518" s="30" t="str">
        <f t="shared" si="24"/>
        <v>[541]=1413,</v>
      </c>
      <c r="K518" s="3">
        <f t="shared" si="25"/>
        <v>541</v>
      </c>
      <c r="L518" s="3">
        <f t="shared" si="26"/>
        <v>1413</v>
      </c>
      <c r="M518" s="8" t="str">
        <f>VLOOKUP(A518,'ESO wayshrine names'!$A$3:$B$9991,2,)</f>
        <v>Stilled Shallows Wayshrine</v>
      </c>
      <c r="N518" s="3" t="str">
        <f>VLOOKUP(F518,'ESO zone constants'!$A$5:$D$10001,4,FALSE)</f>
        <v>Apocrypha</v>
      </c>
    </row>
    <row r="519" spans="1:14" x14ac:dyDescent="0.25">
      <c r="A519" s="94">
        <v>542</v>
      </c>
      <c r="B519">
        <v>50</v>
      </c>
      <c r="C519">
        <v>2275</v>
      </c>
      <c r="D519" t="s">
        <v>3628</v>
      </c>
      <c r="E519">
        <v>957</v>
      </c>
      <c r="F519">
        <v>1413</v>
      </c>
      <c r="G519" t="s">
        <v>3628</v>
      </c>
      <c r="H519">
        <v>1</v>
      </c>
      <c r="I519" t="s">
        <v>3646</v>
      </c>
      <c r="J519" s="30" t="str">
        <f t="shared" si="24"/>
        <v>[542]=1413,</v>
      </c>
      <c r="K519" s="3">
        <f t="shared" si="25"/>
        <v>542</v>
      </c>
      <c r="L519" s="3">
        <f t="shared" si="26"/>
        <v>1413</v>
      </c>
      <c r="M519" s="8" t="str">
        <f>VLOOKUP(A519,'ESO wayshrine names'!$A$3:$B$9991,2,)</f>
        <v>Cipher's Midden Wayshrine</v>
      </c>
      <c r="N519" s="3" t="str">
        <f>VLOOKUP(F519,'ESO zone constants'!$A$5:$D$10001,4,FALSE)</f>
        <v>Apocrypha</v>
      </c>
    </row>
    <row r="520" spans="1:14" x14ac:dyDescent="0.25">
      <c r="A520" s="94">
        <v>543</v>
      </c>
      <c r="B520">
        <v>50</v>
      </c>
      <c r="C520">
        <v>2275</v>
      </c>
      <c r="D520" t="s">
        <v>3628</v>
      </c>
      <c r="E520">
        <v>957</v>
      </c>
      <c r="F520">
        <v>1413</v>
      </c>
      <c r="G520" t="s">
        <v>3628</v>
      </c>
      <c r="H520">
        <v>1</v>
      </c>
      <c r="I520" t="s">
        <v>3647</v>
      </c>
      <c r="J520" s="30" t="str">
        <f t="shared" si="24"/>
        <v>[543]=1413,</v>
      </c>
      <c r="K520" s="3">
        <f t="shared" si="25"/>
        <v>543</v>
      </c>
      <c r="L520" s="3">
        <f t="shared" si="26"/>
        <v>1413</v>
      </c>
      <c r="M520" s="8" t="str">
        <f>VLOOKUP(A520,'ESO wayshrine names'!$A$3:$B$9991,2,)</f>
        <v>Speiran Tarn Wayshrine</v>
      </c>
      <c r="N520" s="3" t="str">
        <f>VLOOKUP(F520,'ESO zone constants'!$A$5:$D$10001,4,FALSE)</f>
        <v>Apocrypha</v>
      </c>
    </row>
    <row r="521" spans="1:14" x14ac:dyDescent="0.25">
      <c r="A521" s="94">
        <v>544</v>
      </c>
      <c r="B521">
        <v>50</v>
      </c>
      <c r="C521">
        <v>2275</v>
      </c>
      <c r="D521" t="s">
        <v>3628</v>
      </c>
      <c r="E521">
        <v>957</v>
      </c>
      <c r="F521">
        <v>1413</v>
      </c>
      <c r="G521" t="s">
        <v>3628</v>
      </c>
      <c r="H521">
        <v>1</v>
      </c>
      <c r="I521" t="s">
        <v>3629</v>
      </c>
      <c r="J521" s="30" t="str">
        <f t="shared" si="24"/>
        <v>[544]=1413,</v>
      </c>
      <c r="K521" s="3">
        <f t="shared" si="25"/>
        <v>544</v>
      </c>
      <c r="L521" s="3">
        <f t="shared" si="26"/>
        <v>1413</v>
      </c>
      <c r="M521" s="8" t="str">
        <f>VLOOKUP(A521,'ESO wayshrine names'!$A$3:$B$9991,2,)</f>
        <v>Writhing Wastes Wayshrine</v>
      </c>
      <c r="N521" s="3" t="str">
        <f>VLOOKUP(F521,'ESO zone constants'!$A$5:$D$10001,4,FALSE)</f>
        <v>Apocrypha</v>
      </c>
    </row>
    <row r="522" spans="1:14" x14ac:dyDescent="0.25">
      <c r="A522" s="94">
        <v>545</v>
      </c>
      <c r="B522">
        <v>50</v>
      </c>
      <c r="C522">
        <v>2275</v>
      </c>
      <c r="D522" t="s">
        <v>3628</v>
      </c>
      <c r="E522">
        <v>957</v>
      </c>
      <c r="F522">
        <v>1413</v>
      </c>
      <c r="G522" t="s">
        <v>3628</v>
      </c>
      <c r="H522">
        <v>1</v>
      </c>
      <c r="I522" t="s">
        <v>3630</v>
      </c>
      <c r="J522" s="30" t="str">
        <f t="shared" si="24"/>
        <v>[545]=1413,</v>
      </c>
      <c r="K522" s="3">
        <f t="shared" si="25"/>
        <v>545</v>
      </c>
      <c r="L522" s="3">
        <f t="shared" si="26"/>
        <v>1413</v>
      </c>
      <c r="M522" s="8" t="str">
        <f>VLOOKUP(A522,'ESO wayshrine names'!$A$3:$B$9991,2,)</f>
        <v>Tranquil Catalog Wayshrine</v>
      </c>
      <c r="N522" s="3" t="str">
        <f>VLOOKUP(F522,'ESO zone constants'!$A$5:$D$10001,4,FALSE)</f>
        <v>Apocrypha</v>
      </c>
    </row>
    <row r="523" spans="1:14" x14ac:dyDescent="0.25">
      <c r="A523" s="94">
        <v>546</v>
      </c>
      <c r="B523">
        <v>50</v>
      </c>
      <c r="C523">
        <v>2275</v>
      </c>
      <c r="D523" t="s">
        <v>3628</v>
      </c>
      <c r="E523">
        <v>957</v>
      </c>
      <c r="F523">
        <v>1413</v>
      </c>
      <c r="G523" t="s">
        <v>3628</v>
      </c>
      <c r="H523">
        <v>1</v>
      </c>
      <c r="I523" t="s">
        <v>3631</v>
      </c>
      <c r="J523" s="30" t="str">
        <f t="shared" si="24"/>
        <v>[546]=1413,</v>
      </c>
      <c r="K523" s="3">
        <f t="shared" si="25"/>
        <v>546</v>
      </c>
      <c r="L523" s="3">
        <f t="shared" si="26"/>
        <v>1413</v>
      </c>
      <c r="M523" s="8" t="str">
        <f>VLOOKUP(A523,'ESO wayshrine names'!$A$3:$B$9991,2,)</f>
        <v>Apogee Nadir Wayshrine</v>
      </c>
      <c r="N523" s="3" t="str">
        <f>VLOOKUP(F523,'ESO zone constants'!$A$5:$D$10001,4,FALSE)</f>
        <v>Apocrypha</v>
      </c>
    </row>
    <row r="524" spans="1:14" x14ac:dyDescent="0.25">
      <c r="A524" s="94">
        <v>547</v>
      </c>
      <c r="B524">
        <v>50</v>
      </c>
      <c r="C524">
        <v>2275</v>
      </c>
      <c r="D524" t="s">
        <v>3628</v>
      </c>
      <c r="E524">
        <v>957</v>
      </c>
      <c r="F524">
        <v>1413</v>
      </c>
      <c r="G524" t="s">
        <v>3628</v>
      </c>
      <c r="H524">
        <v>1</v>
      </c>
      <c r="I524" t="s">
        <v>3632</v>
      </c>
      <c r="J524" s="30" t="str">
        <f t="shared" si="24"/>
        <v>[547]=1413,</v>
      </c>
      <c r="K524" s="3">
        <f t="shared" si="25"/>
        <v>547</v>
      </c>
      <c r="L524" s="3">
        <f t="shared" si="26"/>
        <v>1413</v>
      </c>
      <c r="M524" s="8" t="str">
        <f>VLOOKUP(A524,'ESO wayshrine names'!$A$3:$B$9991,2,)</f>
        <v>Forlorn Palisades Wayshrine</v>
      </c>
      <c r="N524" s="3" t="str">
        <f>VLOOKUP(F524,'ESO zone constants'!$A$5:$D$10001,4,FALSE)</f>
        <v>Apocrypha</v>
      </c>
    </row>
    <row r="525" spans="1:14" x14ac:dyDescent="0.25">
      <c r="A525" s="94">
        <v>548</v>
      </c>
      <c r="B525">
        <v>50</v>
      </c>
      <c r="C525">
        <v>2275</v>
      </c>
      <c r="D525" t="s">
        <v>3628</v>
      </c>
      <c r="E525">
        <v>957</v>
      </c>
      <c r="F525">
        <v>1413</v>
      </c>
      <c r="G525" t="s">
        <v>3628</v>
      </c>
      <c r="H525">
        <v>1</v>
      </c>
      <c r="I525" t="s">
        <v>3633</v>
      </c>
      <c r="J525" s="30" t="str">
        <f t="shared" si="24"/>
        <v>[548]=1413,</v>
      </c>
      <c r="K525" s="3">
        <f t="shared" si="25"/>
        <v>548</v>
      </c>
      <c r="L525" s="3">
        <f t="shared" si="26"/>
        <v>1413</v>
      </c>
      <c r="M525" s="8" t="str">
        <f>VLOOKUP(A525,'ESO wayshrine names'!$A$3:$B$9991,2,)</f>
        <v>Feral Gallery Wayshrine</v>
      </c>
      <c r="N525" s="3" t="str">
        <f>VLOOKUP(F525,'ESO zone constants'!$A$5:$D$10001,4,FALSE)</f>
        <v>Apocrypha</v>
      </c>
    </row>
    <row r="526" spans="1:14" x14ac:dyDescent="0.25">
      <c r="A526" s="94">
        <v>549</v>
      </c>
      <c r="B526">
        <v>49</v>
      </c>
      <c r="C526">
        <v>2274</v>
      </c>
      <c r="D526" t="s">
        <v>3634</v>
      </c>
      <c r="E526">
        <v>958</v>
      </c>
      <c r="F526">
        <v>1414</v>
      </c>
      <c r="G526" t="s">
        <v>3634</v>
      </c>
      <c r="H526">
        <v>1</v>
      </c>
      <c r="I526" t="s">
        <v>3635</v>
      </c>
      <c r="J526" s="30" t="str">
        <f t="shared" si="24"/>
        <v>[549]=1414,</v>
      </c>
      <c r="K526" s="3">
        <f t="shared" si="25"/>
        <v>549</v>
      </c>
      <c r="L526" s="3">
        <f t="shared" si="26"/>
        <v>1414</v>
      </c>
      <c r="M526" s="8" t="str">
        <f>VLOOKUP(A526,'ESO wayshrine names'!$A$3:$B$9991,2,)</f>
        <v>Great Arm Wayshrine</v>
      </c>
      <c r="N526" s="3" t="str">
        <f>VLOOKUP(F526,'ESO zone constants'!$A$5:$D$10001,4,FALSE)</f>
        <v>Telvanni Peninsula</v>
      </c>
    </row>
    <row r="527" spans="1:14" x14ac:dyDescent="0.25">
      <c r="A527" s="94">
        <v>550</v>
      </c>
      <c r="B527">
        <v>50</v>
      </c>
      <c r="C527">
        <v>2275</v>
      </c>
      <c r="D527" t="s">
        <v>3628</v>
      </c>
      <c r="E527">
        <v>957</v>
      </c>
      <c r="F527">
        <v>1413</v>
      </c>
      <c r="G527" t="s">
        <v>3628</v>
      </c>
      <c r="H527">
        <v>6</v>
      </c>
      <c r="I527" t="s">
        <v>3756</v>
      </c>
      <c r="J527" s="30" t="str">
        <f t="shared" si="24"/>
        <v>[550]=1413,</v>
      </c>
      <c r="K527" s="3">
        <f t="shared" si="25"/>
        <v>550</v>
      </c>
      <c r="L527" s="3">
        <f t="shared" si="26"/>
        <v>1413</v>
      </c>
      <c r="M527" s="8" t="str">
        <f>VLOOKUP(A527,'ESO wayshrine names'!$A$3:$B$9991,2,)</f>
        <v>Infinite Archive</v>
      </c>
      <c r="N527" s="3" t="str">
        <f>VLOOKUP(F527,'ESO zone constants'!$A$5:$D$10001,4,FALSE)</f>
        <v>Apocrypha</v>
      </c>
    </row>
    <row r="528" spans="1:14" x14ac:dyDescent="0.25">
      <c r="A528" s="94">
        <v>551</v>
      </c>
      <c r="B528">
        <v>48</v>
      </c>
      <c r="C528">
        <v>2212</v>
      </c>
      <c r="D528" t="s">
        <v>3482</v>
      </c>
      <c r="E528">
        <v>929</v>
      </c>
      <c r="F528">
        <v>1383</v>
      </c>
      <c r="G528" t="s">
        <v>3470</v>
      </c>
      <c r="H528">
        <v>7</v>
      </c>
      <c r="I528" t="s">
        <v>3828</v>
      </c>
      <c r="J528" s="30" t="str">
        <f t="shared" si="24"/>
        <v>[551]=1383,</v>
      </c>
      <c r="K528" s="3">
        <f t="shared" si="25"/>
        <v>551</v>
      </c>
      <c r="L528" s="3">
        <f t="shared" si="26"/>
        <v>1383</v>
      </c>
      <c r="M528" s="8" t="str">
        <f>VLOOKUP(A528,'ESO wayshrine names'!$A$3:$B$9991,2,)</f>
        <v>The Fair Winds</v>
      </c>
      <c r="N528" s="3" t="str">
        <f>VLOOKUP(F528,'ESO zone constants'!$A$5:$D$10001,4,FALSE)</f>
        <v>Galen</v>
      </c>
    </row>
    <row r="529" spans="1:14" x14ac:dyDescent="0.25">
      <c r="A529" s="94">
        <v>552</v>
      </c>
      <c r="B529">
        <v>49</v>
      </c>
      <c r="C529">
        <v>2274</v>
      </c>
      <c r="D529" t="s">
        <v>3634</v>
      </c>
      <c r="E529">
        <v>958</v>
      </c>
      <c r="F529">
        <v>1414</v>
      </c>
      <c r="G529" t="s">
        <v>3634</v>
      </c>
      <c r="H529">
        <v>7</v>
      </c>
      <c r="I529" t="s">
        <v>3636</v>
      </c>
      <c r="J529" s="30" t="str">
        <f t="shared" si="24"/>
        <v>[552]=1414,</v>
      </c>
      <c r="K529" s="3">
        <f t="shared" si="25"/>
        <v>552</v>
      </c>
      <c r="L529" s="3">
        <f t="shared" si="26"/>
        <v>1414</v>
      </c>
      <c r="M529" s="8" t="str">
        <f>VLOOKUP(A529,'ESO wayshrine names'!$A$3:$B$9991,2,)</f>
        <v>Journey's End Lodgings</v>
      </c>
      <c r="N529" s="3" t="str">
        <f>VLOOKUP(F529,'ESO zone constants'!$A$5:$D$10001,4,FALSE)</f>
        <v>Telvanni Peninsula</v>
      </c>
    </row>
    <row r="530" spans="1:14" x14ac:dyDescent="0.25">
      <c r="A530" s="94">
        <v>553</v>
      </c>
      <c r="B530">
        <v>49</v>
      </c>
      <c r="C530">
        <v>2274</v>
      </c>
      <c r="D530" t="s">
        <v>3634</v>
      </c>
      <c r="E530">
        <v>958</v>
      </c>
      <c r="F530">
        <v>1414</v>
      </c>
      <c r="G530" t="s">
        <v>3634</v>
      </c>
      <c r="H530">
        <v>7</v>
      </c>
      <c r="I530" t="s">
        <v>3637</v>
      </c>
      <c r="J530" s="30" t="str">
        <f t="shared" si="24"/>
        <v>[553]=1414,</v>
      </c>
      <c r="K530" s="3">
        <f t="shared" si="25"/>
        <v>553</v>
      </c>
      <c r="L530" s="3">
        <f t="shared" si="26"/>
        <v>1414</v>
      </c>
      <c r="M530" s="8" t="str">
        <f>VLOOKUP(A530,'ESO wayshrine names'!$A$3:$B$9991,2,)</f>
        <v>Emissary's Enclave</v>
      </c>
      <c r="N530" s="3" t="str">
        <f>VLOOKUP(F530,'ESO zone constants'!$A$5:$D$10001,4,FALSE)</f>
        <v>Telvanni Peninsula</v>
      </c>
    </row>
    <row r="531" spans="1:14" x14ac:dyDescent="0.25">
      <c r="A531" s="94">
        <v>554</v>
      </c>
      <c r="B531">
        <v>49</v>
      </c>
      <c r="C531">
        <v>2274</v>
      </c>
      <c r="D531" t="s">
        <v>3634</v>
      </c>
      <c r="E531">
        <v>958</v>
      </c>
      <c r="F531">
        <v>1414</v>
      </c>
      <c r="G531" t="s">
        <v>3634</v>
      </c>
      <c r="H531">
        <v>1</v>
      </c>
      <c r="I531" t="s">
        <v>3638</v>
      </c>
      <c r="J531" s="30" t="str">
        <f t="shared" si="24"/>
        <v>[554]=1414,</v>
      </c>
      <c r="K531" s="3">
        <f t="shared" si="25"/>
        <v>554</v>
      </c>
      <c r="L531" s="3">
        <f t="shared" si="26"/>
        <v>1414</v>
      </c>
      <c r="M531" s="8" t="str">
        <f>VLOOKUP(A531,'ESO wayshrine names'!$A$3:$B$9991,2,)</f>
        <v>Alavelis Wayshrine</v>
      </c>
      <c r="N531" s="3" t="str">
        <f>VLOOKUP(F531,'ESO zone constants'!$A$5:$D$10001,4,FALSE)</f>
        <v>Telvanni Peninsula</v>
      </c>
    </row>
    <row r="532" spans="1:14" x14ac:dyDescent="0.25">
      <c r="A532" s="94">
        <v>555</v>
      </c>
      <c r="B532">
        <v>49</v>
      </c>
      <c r="C532">
        <v>2274</v>
      </c>
      <c r="D532" t="s">
        <v>3634</v>
      </c>
      <c r="E532">
        <v>958</v>
      </c>
      <c r="F532">
        <v>1414</v>
      </c>
      <c r="G532" t="s">
        <v>3634</v>
      </c>
      <c r="H532">
        <v>7</v>
      </c>
      <c r="I532" t="s">
        <v>3779</v>
      </c>
      <c r="J532" s="30" t="str">
        <f t="shared" si="24"/>
        <v>[555]=1414,</v>
      </c>
      <c r="K532" s="3">
        <f t="shared" si="25"/>
        <v>555</v>
      </c>
      <c r="L532" s="3">
        <f t="shared" si="26"/>
        <v>1414</v>
      </c>
      <c r="M532" s="8" t="str">
        <f>VLOOKUP(A532,'ESO wayshrine names'!$A$3:$B$9991,2,)</f>
        <v>Kelesan'ruhn</v>
      </c>
      <c r="N532" s="3" t="str">
        <f>VLOOKUP(F532,'ESO zone constants'!$A$5:$D$10001,4,FALSE)</f>
        <v>Telvanni Peninsula</v>
      </c>
    </row>
    <row r="533" spans="1:14" x14ac:dyDescent="0.25">
      <c r="A533">
        <v>556</v>
      </c>
      <c r="B533">
        <v>42</v>
      </c>
      <c r="C533">
        <v>1814</v>
      </c>
      <c r="D533" t="s">
        <v>2210</v>
      </c>
      <c r="E533">
        <v>784</v>
      </c>
      <c r="F533">
        <v>1207</v>
      </c>
      <c r="G533" t="s">
        <v>2210</v>
      </c>
      <c r="H533">
        <v>6</v>
      </c>
      <c r="I533" t="s">
        <v>3925</v>
      </c>
      <c r="J533" s="30" t="str">
        <f t="shared" si="24"/>
        <v>[556]=1207,</v>
      </c>
      <c r="K533" s="3">
        <f t="shared" si="25"/>
        <v>556</v>
      </c>
      <c r="L533" s="3">
        <f t="shared" si="26"/>
        <v>1207</v>
      </c>
      <c r="M533" s="8" t="str">
        <f>VLOOKUP(A533,'ESO wayshrine names'!$A$3:$B$9991,2,)</f>
        <v>Dungeon: Oathsworn Pit</v>
      </c>
      <c r="N533" s="3" t="str">
        <f>VLOOKUP(F533,'ESO zone constants'!$A$5:$D$10001,4,FALSE)</f>
        <v>The Reach</v>
      </c>
    </row>
    <row r="534" spans="1:14" x14ac:dyDescent="0.25">
      <c r="A534" s="94">
        <v>557</v>
      </c>
      <c r="B534">
        <v>31</v>
      </c>
      <c r="C534">
        <v>1313</v>
      </c>
      <c r="D534" t="s">
        <v>2315</v>
      </c>
      <c r="E534">
        <v>590</v>
      </c>
      <c r="F534">
        <v>980</v>
      </c>
      <c r="G534" t="s">
        <v>3032</v>
      </c>
      <c r="H534">
        <v>7</v>
      </c>
      <c r="I534" t="s">
        <v>3829</v>
      </c>
      <c r="J534" s="30" t="str">
        <f t="shared" si="24"/>
        <v>[557]=980,</v>
      </c>
      <c r="K534" s="3">
        <f t="shared" si="25"/>
        <v>557</v>
      </c>
      <c r="L534" s="3">
        <f t="shared" si="26"/>
        <v>980</v>
      </c>
      <c r="M534" s="8" t="str">
        <f>VLOOKUP(A534,'ESO wayshrine names'!$A$3:$B$9991,2,)</f>
        <v>Shadow Queen's Labyrinth</v>
      </c>
      <c r="N534" s="3" t="str">
        <f>VLOOKUP(F534,'ESO zone constants'!$A$5:$D$10001,4,FALSE)</f>
        <v>Clockwork City</v>
      </c>
    </row>
    <row r="535" spans="1:14" x14ac:dyDescent="0.25">
      <c r="A535">
        <v>565</v>
      </c>
      <c r="B535">
        <v>27</v>
      </c>
      <c r="C535">
        <v>667</v>
      </c>
      <c r="D535" t="s">
        <v>450</v>
      </c>
      <c r="E535">
        <v>380</v>
      </c>
      <c r="F535">
        <v>684</v>
      </c>
      <c r="G535" t="s">
        <v>450</v>
      </c>
      <c r="H535">
        <v>6</v>
      </c>
      <c r="I535" t="s">
        <v>3926</v>
      </c>
      <c r="J535" s="30" t="str">
        <f t="shared" si="24"/>
        <v>[565]=684,</v>
      </c>
      <c r="K535" s="3">
        <f t="shared" si="25"/>
        <v>565</v>
      </c>
      <c r="L535" s="3">
        <f t="shared" si="26"/>
        <v>684</v>
      </c>
      <c r="M535" s="8" t="str">
        <f>VLOOKUP(A535,'ESO wayshrine names'!$A$3:$B$9991,2,)</f>
        <v>Dungeon: Bedlam Veil</v>
      </c>
      <c r="N535" s="3" t="str">
        <f>VLOOKUP(F535,'ESO zone constants'!$A$5:$D$10001,4,FALSE)</f>
        <v>Wrothgar</v>
      </c>
    </row>
    <row r="536" spans="1:14" x14ac:dyDescent="0.25">
      <c r="A536" s="94">
        <v>566</v>
      </c>
      <c r="B536">
        <v>48</v>
      </c>
      <c r="C536">
        <v>2212</v>
      </c>
      <c r="D536" t="s">
        <v>3482</v>
      </c>
      <c r="E536">
        <v>929</v>
      </c>
      <c r="F536">
        <v>1383</v>
      </c>
      <c r="G536" t="s">
        <v>3470</v>
      </c>
      <c r="H536">
        <v>7</v>
      </c>
      <c r="I536" t="s">
        <v>3830</v>
      </c>
      <c r="J536" s="30" t="str">
        <f t="shared" si="24"/>
        <v>[566]=1383,</v>
      </c>
      <c r="K536" s="3">
        <f t="shared" si="25"/>
        <v>566</v>
      </c>
      <c r="L536" s="3">
        <f t="shared" si="26"/>
        <v>1383</v>
      </c>
      <c r="M536" s="8" t="str">
        <f>VLOOKUP(A536,'ESO wayshrine names'!$A$3:$B$9991,2,)</f>
        <v>Gladesong Arboretum</v>
      </c>
      <c r="N536" s="3" t="str">
        <f>VLOOKUP(F536,'ESO zone constants'!$A$5:$D$10001,4,FALSE)</f>
        <v>Galen</v>
      </c>
    </row>
    <row r="537" spans="1:14" x14ac:dyDescent="0.25">
      <c r="A537" s="94">
        <v>567</v>
      </c>
      <c r="B537">
        <v>50</v>
      </c>
      <c r="C537">
        <v>2275</v>
      </c>
      <c r="D537" t="s">
        <v>3628</v>
      </c>
      <c r="E537">
        <v>957</v>
      </c>
      <c r="F537">
        <v>1413</v>
      </c>
      <c r="G537" t="s">
        <v>3628</v>
      </c>
      <c r="H537">
        <v>7</v>
      </c>
      <c r="I537" t="s">
        <v>3831</v>
      </c>
      <c r="J537" s="30" t="str">
        <f t="shared" si="24"/>
        <v>[567]=1413,</v>
      </c>
      <c r="K537" s="3">
        <f t="shared" si="25"/>
        <v>567</v>
      </c>
      <c r="L537" s="3">
        <f t="shared" si="26"/>
        <v>1413</v>
      </c>
      <c r="M537" s="8" t="str">
        <f>VLOOKUP(A537,'ESO wayshrine names'!$A$3:$B$9991,2,)</f>
        <v>Tower of Unutterable Truths</v>
      </c>
      <c r="N537" s="3" t="str">
        <f>VLOOKUP(F537,'ESO zone constants'!$A$5:$D$10001,4,FALSE)</f>
        <v>Apocrypha</v>
      </c>
    </row>
  </sheetData>
  <autoFilter ref="A2:N511"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72"/>
  <sheetViews>
    <sheetView workbookViewId="0">
      <pane xSplit="1" ySplit="2" topLeftCell="B3" activePane="bottomRight" state="frozen"/>
      <selection pane="topRight" activeCell="B1" sqref="B1"/>
      <selection pane="bottomLeft" activeCell="A2" sqref="A2"/>
      <selection pane="bottomRight" activeCell="B1" sqref="B1"/>
    </sheetView>
  </sheetViews>
  <sheetFormatPr baseColWidth="10" defaultColWidth="11.5703125" defaultRowHeight="15" x14ac:dyDescent="0.25"/>
  <cols>
    <col min="1" max="1" width="14.7109375" style="5" customWidth="1"/>
    <col min="2" max="2" width="43.28515625" customWidth="1"/>
    <col min="4" max="4" width="27.5703125" bestFit="1" customWidth="1"/>
  </cols>
  <sheetData>
    <row r="1" spans="1:12" x14ac:dyDescent="0.25">
      <c r="A1" s="52"/>
      <c r="B1" s="51" t="s">
        <v>3784</v>
      </c>
      <c r="C1" s="51"/>
      <c r="D1" s="51" t="s">
        <v>3667</v>
      </c>
      <c r="E1" s="51"/>
      <c r="F1" s="51"/>
      <c r="G1" s="51"/>
      <c r="H1" s="51"/>
      <c r="I1" s="51"/>
      <c r="J1" s="51"/>
      <c r="K1" s="51"/>
      <c r="L1" s="51"/>
    </row>
    <row r="2" spans="1:12" s="1" customFormat="1" x14ac:dyDescent="0.25">
      <c r="A2" s="5" t="s">
        <v>1385</v>
      </c>
      <c r="B2" s="1" t="s">
        <v>82</v>
      </c>
    </row>
    <row r="3" spans="1:12" x14ac:dyDescent="0.25">
      <c r="A3">
        <v>1</v>
      </c>
      <c r="B3" t="s">
        <v>1806</v>
      </c>
    </row>
    <row r="4" spans="1:12" x14ac:dyDescent="0.25">
      <c r="A4">
        <v>2</v>
      </c>
      <c r="B4" t="s">
        <v>1807</v>
      </c>
    </row>
    <row r="5" spans="1:12" x14ac:dyDescent="0.25">
      <c r="A5">
        <v>3</v>
      </c>
      <c r="B5" t="s">
        <v>1808</v>
      </c>
    </row>
    <row r="6" spans="1:12" x14ac:dyDescent="0.25">
      <c r="A6">
        <v>4</v>
      </c>
      <c r="B6" t="s">
        <v>1809</v>
      </c>
    </row>
    <row r="7" spans="1:12" x14ac:dyDescent="0.25">
      <c r="A7">
        <v>5</v>
      </c>
      <c r="B7" t="s">
        <v>1810</v>
      </c>
    </row>
    <row r="8" spans="1:12" x14ac:dyDescent="0.25">
      <c r="A8">
        <v>6</v>
      </c>
      <c r="B8" t="s">
        <v>1811</v>
      </c>
    </row>
    <row r="9" spans="1:12" x14ac:dyDescent="0.25">
      <c r="A9">
        <v>7</v>
      </c>
      <c r="B9" t="s">
        <v>1812</v>
      </c>
    </row>
    <row r="10" spans="1:12" x14ac:dyDescent="0.25">
      <c r="A10">
        <v>8</v>
      </c>
      <c r="B10" t="s">
        <v>1813</v>
      </c>
    </row>
    <row r="11" spans="1:12" x14ac:dyDescent="0.25">
      <c r="A11">
        <v>9</v>
      </c>
      <c r="B11" t="s">
        <v>1814</v>
      </c>
    </row>
    <row r="12" spans="1:12" x14ac:dyDescent="0.25">
      <c r="A12">
        <v>10</v>
      </c>
      <c r="B12" t="s">
        <v>1815</v>
      </c>
    </row>
    <row r="13" spans="1:12" x14ac:dyDescent="0.25">
      <c r="A13">
        <v>11</v>
      </c>
      <c r="B13" t="s">
        <v>1816</v>
      </c>
    </row>
    <row r="14" spans="1:12" x14ac:dyDescent="0.25">
      <c r="A14">
        <v>12</v>
      </c>
      <c r="B14" t="s">
        <v>1817</v>
      </c>
    </row>
    <row r="15" spans="1:12" x14ac:dyDescent="0.25">
      <c r="A15">
        <v>13</v>
      </c>
      <c r="B15" t="s">
        <v>1818</v>
      </c>
    </row>
    <row r="16" spans="1:12" x14ac:dyDescent="0.25">
      <c r="A16">
        <v>14</v>
      </c>
      <c r="B16" t="s">
        <v>1819</v>
      </c>
    </row>
    <row r="17" spans="1:2" x14ac:dyDescent="0.25">
      <c r="A17">
        <v>15</v>
      </c>
      <c r="B17" t="s">
        <v>1820</v>
      </c>
    </row>
    <row r="18" spans="1:2" x14ac:dyDescent="0.25">
      <c r="A18">
        <v>16</v>
      </c>
      <c r="B18" t="s">
        <v>1821</v>
      </c>
    </row>
    <row r="19" spans="1:2" x14ac:dyDescent="0.25">
      <c r="A19">
        <v>17</v>
      </c>
      <c r="B19" t="s">
        <v>1822</v>
      </c>
    </row>
    <row r="20" spans="1:2" x14ac:dyDescent="0.25">
      <c r="A20">
        <v>18</v>
      </c>
      <c r="B20" t="s">
        <v>1823</v>
      </c>
    </row>
    <row r="21" spans="1:2" x14ac:dyDescent="0.25">
      <c r="A21">
        <v>19</v>
      </c>
      <c r="B21" t="s">
        <v>1824</v>
      </c>
    </row>
    <row r="22" spans="1:2" x14ac:dyDescent="0.25">
      <c r="A22">
        <v>20</v>
      </c>
      <c r="B22" t="s">
        <v>1825</v>
      </c>
    </row>
    <row r="23" spans="1:2" x14ac:dyDescent="0.25">
      <c r="A23">
        <v>21</v>
      </c>
      <c r="B23" t="s">
        <v>1826</v>
      </c>
    </row>
    <row r="24" spans="1:2" x14ac:dyDescent="0.25">
      <c r="A24">
        <v>22</v>
      </c>
      <c r="B24" t="s">
        <v>1827</v>
      </c>
    </row>
    <row r="25" spans="1:2" x14ac:dyDescent="0.25">
      <c r="A25">
        <v>23</v>
      </c>
      <c r="B25" t="s">
        <v>1828</v>
      </c>
    </row>
    <row r="26" spans="1:2" x14ac:dyDescent="0.25">
      <c r="A26">
        <v>24</v>
      </c>
      <c r="B26" t="s">
        <v>1829</v>
      </c>
    </row>
    <row r="27" spans="1:2" x14ac:dyDescent="0.25">
      <c r="A27">
        <v>25</v>
      </c>
      <c r="B27" t="s">
        <v>1830</v>
      </c>
    </row>
    <row r="28" spans="1:2" x14ac:dyDescent="0.25">
      <c r="A28">
        <v>26</v>
      </c>
      <c r="B28" t="s">
        <v>1831</v>
      </c>
    </row>
    <row r="29" spans="1:2" x14ac:dyDescent="0.25">
      <c r="A29">
        <v>27</v>
      </c>
      <c r="B29" t="s">
        <v>1832</v>
      </c>
    </row>
    <row r="30" spans="1:2" x14ac:dyDescent="0.25">
      <c r="A30">
        <v>28</v>
      </c>
      <c r="B30" t="s">
        <v>1833</v>
      </c>
    </row>
    <row r="31" spans="1:2" x14ac:dyDescent="0.25">
      <c r="A31">
        <v>29</v>
      </c>
      <c r="B31" t="s">
        <v>1834</v>
      </c>
    </row>
    <row r="32" spans="1:2" x14ac:dyDescent="0.25">
      <c r="A32">
        <v>30</v>
      </c>
      <c r="B32" t="s">
        <v>1835</v>
      </c>
    </row>
    <row r="33" spans="1:2" x14ac:dyDescent="0.25">
      <c r="A33">
        <v>31</v>
      </c>
      <c r="B33" t="s">
        <v>1836</v>
      </c>
    </row>
    <row r="34" spans="1:2" x14ac:dyDescent="0.25">
      <c r="A34">
        <v>32</v>
      </c>
      <c r="B34" t="s">
        <v>1837</v>
      </c>
    </row>
    <row r="35" spans="1:2" x14ac:dyDescent="0.25">
      <c r="A35">
        <v>33</v>
      </c>
      <c r="B35" t="s">
        <v>1838</v>
      </c>
    </row>
    <row r="36" spans="1:2" x14ac:dyDescent="0.25">
      <c r="A36">
        <v>34</v>
      </c>
      <c r="B36" t="s">
        <v>1839</v>
      </c>
    </row>
    <row r="37" spans="1:2" x14ac:dyDescent="0.25">
      <c r="A37">
        <v>35</v>
      </c>
      <c r="B37" t="s">
        <v>1840</v>
      </c>
    </row>
    <row r="38" spans="1:2" x14ac:dyDescent="0.25">
      <c r="A38">
        <v>36</v>
      </c>
      <c r="B38" t="s">
        <v>1841</v>
      </c>
    </row>
    <row r="39" spans="1:2" x14ac:dyDescent="0.25">
      <c r="A39">
        <v>37</v>
      </c>
      <c r="B39" t="s">
        <v>1842</v>
      </c>
    </row>
    <row r="40" spans="1:2" x14ac:dyDescent="0.25">
      <c r="A40">
        <v>38</v>
      </c>
      <c r="B40" t="s">
        <v>1843</v>
      </c>
    </row>
    <row r="41" spans="1:2" x14ac:dyDescent="0.25">
      <c r="A41">
        <v>39</v>
      </c>
      <c r="B41" t="s">
        <v>1844</v>
      </c>
    </row>
    <row r="42" spans="1:2" x14ac:dyDescent="0.25">
      <c r="A42">
        <v>40</v>
      </c>
      <c r="B42" t="s">
        <v>1845</v>
      </c>
    </row>
    <row r="43" spans="1:2" x14ac:dyDescent="0.25">
      <c r="A43">
        <v>41</v>
      </c>
      <c r="B43" t="s">
        <v>1846</v>
      </c>
    </row>
    <row r="44" spans="1:2" x14ac:dyDescent="0.25">
      <c r="A44">
        <v>42</v>
      </c>
      <c r="B44" t="s">
        <v>1847</v>
      </c>
    </row>
    <row r="45" spans="1:2" x14ac:dyDescent="0.25">
      <c r="A45">
        <v>43</v>
      </c>
      <c r="B45" t="s">
        <v>1848</v>
      </c>
    </row>
    <row r="46" spans="1:2" x14ac:dyDescent="0.25">
      <c r="A46">
        <v>44</v>
      </c>
      <c r="B46" t="s">
        <v>1849</v>
      </c>
    </row>
    <row r="47" spans="1:2" x14ac:dyDescent="0.25">
      <c r="A47">
        <v>45</v>
      </c>
      <c r="B47" t="s">
        <v>1850</v>
      </c>
    </row>
    <row r="48" spans="1:2" x14ac:dyDescent="0.25">
      <c r="A48">
        <v>46</v>
      </c>
      <c r="B48" t="s">
        <v>1851</v>
      </c>
    </row>
    <row r="49" spans="1:2" x14ac:dyDescent="0.25">
      <c r="A49">
        <v>47</v>
      </c>
      <c r="B49" t="s">
        <v>1852</v>
      </c>
    </row>
    <row r="50" spans="1:2" x14ac:dyDescent="0.25">
      <c r="A50">
        <v>48</v>
      </c>
      <c r="B50" t="s">
        <v>1853</v>
      </c>
    </row>
    <row r="51" spans="1:2" x14ac:dyDescent="0.25">
      <c r="A51">
        <v>49</v>
      </c>
      <c r="B51" t="s">
        <v>1854</v>
      </c>
    </row>
    <row r="52" spans="1:2" x14ac:dyDescent="0.25">
      <c r="A52">
        <v>50</v>
      </c>
      <c r="B52" t="s">
        <v>1855</v>
      </c>
    </row>
    <row r="53" spans="1:2" x14ac:dyDescent="0.25">
      <c r="A53">
        <v>51</v>
      </c>
      <c r="B53" t="s">
        <v>1856</v>
      </c>
    </row>
    <row r="54" spans="1:2" x14ac:dyDescent="0.25">
      <c r="A54">
        <v>52</v>
      </c>
      <c r="B54" t="s">
        <v>1857</v>
      </c>
    </row>
    <row r="55" spans="1:2" x14ac:dyDescent="0.25">
      <c r="A55">
        <v>53</v>
      </c>
      <c r="B55" t="s">
        <v>1858</v>
      </c>
    </row>
    <row r="56" spans="1:2" x14ac:dyDescent="0.25">
      <c r="A56">
        <v>54</v>
      </c>
    </row>
    <row r="57" spans="1:2" x14ac:dyDescent="0.25">
      <c r="A57">
        <v>55</v>
      </c>
      <c r="B57" t="s">
        <v>1859</v>
      </c>
    </row>
    <row r="58" spans="1:2" x14ac:dyDescent="0.25">
      <c r="A58">
        <v>56</v>
      </c>
      <c r="B58" t="s">
        <v>1860</v>
      </c>
    </row>
    <row r="59" spans="1:2" x14ac:dyDescent="0.25">
      <c r="A59">
        <v>57</v>
      </c>
      <c r="B59" t="s">
        <v>1861</v>
      </c>
    </row>
    <row r="60" spans="1:2" x14ac:dyDescent="0.25">
      <c r="A60">
        <v>58</v>
      </c>
      <c r="B60" t="s">
        <v>1862</v>
      </c>
    </row>
    <row r="61" spans="1:2" x14ac:dyDescent="0.25">
      <c r="A61">
        <v>59</v>
      </c>
      <c r="B61" t="s">
        <v>1863</v>
      </c>
    </row>
    <row r="62" spans="1:2" x14ac:dyDescent="0.25">
      <c r="A62">
        <v>60</v>
      </c>
      <c r="B62" t="s">
        <v>1864</v>
      </c>
    </row>
    <row r="63" spans="1:2" x14ac:dyDescent="0.25">
      <c r="A63">
        <v>61</v>
      </c>
      <c r="B63" t="s">
        <v>1865</v>
      </c>
    </row>
    <row r="64" spans="1:2" x14ac:dyDescent="0.25">
      <c r="A64">
        <v>62</v>
      </c>
      <c r="B64" t="s">
        <v>1866</v>
      </c>
    </row>
    <row r="65" spans="1:2" x14ac:dyDescent="0.25">
      <c r="A65">
        <v>63</v>
      </c>
      <c r="B65" t="s">
        <v>1867</v>
      </c>
    </row>
    <row r="66" spans="1:2" x14ac:dyDescent="0.25">
      <c r="A66">
        <v>64</v>
      </c>
      <c r="B66" t="s">
        <v>1868</v>
      </c>
    </row>
    <row r="67" spans="1:2" x14ac:dyDescent="0.25">
      <c r="A67">
        <v>65</v>
      </c>
      <c r="B67" t="s">
        <v>1869</v>
      </c>
    </row>
    <row r="68" spans="1:2" x14ac:dyDescent="0.25">
      <c r="A68">
        <v>66</v>
      </c>
      <c r="B68" t="s">
        <v>1870</v>
      </c>
    </row>
    <row r="69" spans="1:2" x14ac:dyDescent="0.25">
      <c r="A69">
        <v>67</v>
      </c>
      <c r="B69" t="s">
        <v>1871</v>
      </c>
    </row>
    <row r="70" spans="1:2" x14ac:dyDescent="0.25">
      <c r="A70">
        <v>68</v>
      </c>
      <c r="B70" t="s">
        <v>1872</v>
      </c>
    </row>
    <row r="71" spans="1:2" x14ac:dyDescent="0.25">
      <c r="A71">
        <v>69</v>
      </c>
      <c r="B71" t="s">
        <v>1873</v>
      </c>
    </row>
    <row r="72" spans="1:2" x14ac:dyDescent="0.25">
      <c r="A72">
        <v>70</v>
      </c>
    </row>
    <row r="73" spans="1:2" x14ac:dyDescent="0.25">
      <c r="A73">
        <v>71</v>
      </c>
      <c r="B73" t="s">
        <v>1874</v>
      </c>
    </row>
    <row r="74" spans="1:2" x14ac:dyDescent="0.25">
      <c r="A74">
        <v>72</v>
      </c>
      <c r="B74" t="s">
        <v>1875</v>
      </c>
    </row>
    <row r="75" spans="1:2" x14ac:dyDescent="0.25">
      <c r="A75">
        <v>73</v>
      </c>
      <c r="B75" t="s">
        <v>1876</v>
      </c>
    </row>
    <row r="76" spans="1:2" x14ac:dyDescent="0.25">
      <c r="A76">
        <v>74</v>
      </c>
      <c r="B76" t="s">
        <v>1877</v>
      </c>
    </row>
    <row r="77" spans="1:2" x14ac:dyDescent="0.25">
      <c r="A77">
        <v>75</v>
      </c>
      <c r="B77" t="s">
        <v>1878</v>
      </c>
    </row>
    <row r="78" spans="1:2" x14ac:dyDescent="0.25">
      <c r="A78">
        <v>76</v>
      </c>
      <c r="B78" t="s">
        <v>1879</v>
      </c>
    </row>
    <row r="79" spans="1:2" x14ac:dyDescent="0.25">
      <c r="A79">
        <v>77</v>
      </c>
      <c r="B79" t="s">
        <v>1880</v>
      </c>
    </row>
    <row r="80" spans="1:2" x14ac:dyDescent="0.25">
      <c r="A80">
        <v>78</v>
      </c>
      <c r="B80" t="s">
        <v>1881</v>
      </c>
    </row>
    <row r="81" spans="1:2" x14ac:dyDescent="0.25">
      <c r="A81">
        <v>79</v>
      </c>
      <c r="B81" t="s">
        <v>1882</v>
      </c>
    </row>
    <row r="82" spans="1:2" x14ac:dyDescent="0.25">
      <c r="A82">
        <v>80</v>
      </c>
      <c r="B82" t="s">
        <v>1883</v>
      </c>
    </row>
    <row r="83" spans="1:2" x14ac:dyDescent="0.25">
      <c r="A83">
        <v>81</v>
      </c>
      <c r="B83" t="s">
        <v>1884</v>
      </c>
    </row>
    <row r="84" spans="1:2" x14ac:dyDescent="0.25">
      <c r="A84">
        <v>82</v>
      </c>
      <c r="B84" t="s">
        <v>1885</v>
      </c>
    </row>
    <row r="85" spans="1:2" x14ac:dyDescent="0.25">
      <c r="A85">
        <v>83</v>
      </c>
      <c r="B85" t="s">
        <v>1886</v>
      </c>
    </row>
    <row r="86" spans="1:2" x14ac:dyDescent="0.25">
      <c r="A86">
        <v>84</v>
      </c>
      <c r="B86" t="s">
        <v>1887</v>
      </c>
    </row>
    <row r="87" spans="1:2" x14ac:dyDescent="0.25">
      <c r="A87">
        <v>85</v>
      </c>
      <c r="B87" t="s">
        <v>1888</v>
      </c>
    </row>
    <row r="88" spans="1:2" x14ac:dyDescent="0.25">
      <c r="A88">
        <v>86</v>
      </c>
      <c r="B88" t="s">
        <v>1889</v>
      </c>
    </row>
    <row r="89" spans="1:2" x14ac:dyDescent="0.25">
      <c r="A89">
        <v>87</v>
      </c>
      <c r="B89" t="s">
        <v>1890</v>
      </c>
    </row>
    <row r="90" spans="1:2" x14ac:dyDescent="0.25">
      <c r="A90">
        <v>88</v>
      </c>
      <c r="B90" t="s">
        <v>1891</v>
      </c>
    </row>
    <row r="91" spans="1:2" x14ac:dyDescent="0.25">
      <c r="A91">
        <v>89</v>
      </c>
      <c r="B91" t="s">
        <v>1892</v>
      </c>
    </row>
    <row r="92" spans="1:2" x14ac:dyDescent="0.25">
      <c r="A92">
        <v>90</v>
      </c>
      <c r="B92" t="s">
        <v>1893</v>
      </c>
    </row>
    <row r="93" spans="1:2" x14ac:dyDescent="0.25">
      <c r="A93">
        <v>91</v>
      </c>
      <c r="B93" t="s">
        <v>1894</v>
      </c>
    </row>
    <row r="94" spans="1:2" x14ac:dyDescent="0.25">
      <c r="A94">
        <v>92</v>
      </c>
      <c r="B94" t="s">
        <v>1895</v>
      </c>
    </row>
    <row r="95" spans="1:2" x14ac:dyDescent="0.25">
      <c r="A95">
        <v>93</v>
      </c>
      <c r="B95" t="s">
        <v>1896</v>
      </c>
    </row>
    <row r="96" spans="1:2" x14ac:dyDescent="0.25">
      <c r="A96">
        <v>94</v>
      </c>
      <c r="B96" t="s">
        <v>1897</v>
      </c>
    </row>
    <row r="97" spans="1:2" x14ac:dyDescent="0.25">
      <c r="A97">
        <v>95</v>
      </c>
      <c r="B97" t="s">
        <v>1898</v>
      </c>
    </row>
    <row r="98" spans="1:2" x14ac:dyDescent="0.25">
      <c r="A98">
        <v>96</v>
      </c>
      <c r="B98" t="s">
        <v>1899</v>
      </c>
    </row>
    <row r="99" spans="1:2" x14ac:dyDescent="0.25">
      <c r="A99">
        <v>97</v>
      </c>
      <c r="B99" t="s">
        <v>1900</v>
      </c>
    </row>
    <row r="100" spans="1:2" x14ac:dyDescent="0.25">
      <c r="A100">
        <v>98</v>
      </c>
      <c r="B100" t="s">
        <v>1901</v>
      </c>
    </row>
    <row r="101" spans="1:2" x14ac:dyDescent="0.25">
      <c r="A101">
        <v>99</v>
      </c>
      <c r="B101" t="s">
        <v>1902</v>
      </c>
    </row>
    <row r="102" spans="1:2" x14ac:dyDescent="0.25">
      <c r="A102">
        <v>100</v>
      </c>
      <c r="B102" t="s">
        <v>1903</v>
      </c>
    </row>
    <row r="103" spans="1:2" x14ac:dyDescent="0.25">
      <c r="A103">
        <v>101</v>
      </c>
      <c r="B103" t="s">
        <v>1904</v>
      </c>
    </row>
    <row r="104" spans="1:2" x14ac:dyDescent="0.25">
      <c r="A104">
        <v>102</v>
      </c>
      <c r="B104" t="s">
        <v>1905</v>
      </c>
    </row>
    <row r="105" spans="1:2" x14ac:dyDescent="0.25">
      <c r="A105">
        <v>103</v>
      </c>
      <c r="B105" t="s">
        <v>1906</v>
      </c>
    </row>
    <row r="106" spans="1:2" x14ac:dyDescent="0.25">
      <c r="A106">
        <v>104</v>
      </c>
      <c r="B106" t="s">
        <v>1907</v>
      </c>
    </row>
    <row r="107" spans="1:2" x14ac:dyDescent="0.25">
      <c r="A107">
        <v>105</v>
      </c>
      <c r="B107" t="s">
        <v>1908</v>
      </c>
    </row>
    <row r="108" spans="1:2" x14ac:dyDescent="0.25">
      <c r="A108">
        <v>106</v>
      </c>
      <c r="B108" t="s">
        <v>3924</v>
      </c>
    </row>
    <row r="109" spans="1:2" x14ac:dyDescent="0.25">
      <c r="A109">
        <v>107</v>
      </c>
      <c r="B109" t="s">
        <v>1909</v>
      </c>
    </row>
    <row r="110" spans="1:2" x14ac:dyDescent="0.25">
      <c r="A110">
        <v>108</v>
      </c>
      <c r="B110" t="s">
        <v>1910</v>
      </c>
    </row>
    <row r="111" spans="1:2" x14ac:dyDescent="0.25">
      <c r="A111">
        <v>109</v>
      </c>
      <c r="B111" t="s">
        <v>1911</v>
      </c>
    </row>
    <row r="112" spans="1:2" x14ac:dyDescent="0.25">
      <c r="A112">
        <v>110</v>
      </c>
      <c r="B112" t="s">
        <v>1912</v>
      </c>
    </row>
    <row r="113" spans="1:2" x14ac:dyDescent="0.25">
      <c r="A113">
        <v>111</v>
      </c>
      <c r="B113" t="s">
        <v>1913</v>
      </c>
    </row>
    <row r="114" spans="1:2" x14ac:dyDescent="0.25">
      <c r="A114">
        <v>112</v>
      </c>
      <c r="B114" t="s">
        <v>1914</v>
      </c>
    </row>
    <row r="115" spans="1:2" x14ac:dyDescent="0.25">
      <c r="A115">
        <v>113</v>
      </c>
      <c r="B115" t="s">
        <v>1915</v>
      </c>
    </row>
    <row r="116" spans="1:2" x14ac:dyDescent="0.25">
      <c r="A116">
        <v>114</v>
      </c>
      <c r="B116" t="s">
        <v>1916</v>
      </c>
    </row>
    <row r="117" spans="1:2" x14ac:dyDescent="0.25">
      <c r="A117">
        <v>115</v>
      </c>
      <c r="B117" t="s">
        <v>1917</v>
      </c>
    </row>
    <row r="118" spans="1:2" x14ac:dyDescent="0.25">
      <c r="A118">
        <v>116</v>
      </c>
      <c r="B118" t="s">
        <v>1918</v>
      </c>
    </row>
    <row r="119" spans="1:2" x14ac:dyDescent="0.25">
      <c r="A119">
        <v>117</v>
      </c>
      <c r="B119" t="s">
        <v>1919</v>
      </c>
    </row>
    <row r="120" spans="1:2" x14ac:dyDescent="0.25">
      <c r="A120">
        <v>118</v>
      </c>
      <c r="B120" t="s">
        <v>1920</v>
      </c>
    </row>
    <row r="121" spans="1:2" x14ac:dyDescent="0.25">
      <c r="A121">
        <v>119</v>
      </c>
      <c r="B121" t="s">
        <v>1921</v>
      </c>
    </row>
    <row r="122" spans="1:2" x14ac:dyDescent="0.25">
      <c r="A122">
        <v>120</v>
      </c>
      <c r="B122" t="s">
        <v>1922</v>
      </c>
    </row>
    <row r="123" spans="1:2" x14ac:dyDescent="0.25">
      <c r="A123">
        <v>121</v>
      </c>
      <c r="B123" t="s">
        <v>1923</v>
      </c>
    </row>
    <row r="124" spans="1:2" x14ac:dyDescent="0.25">
      <c r="A124">
        <v>122</v>
      </c>
      <c r="B124" t="s">
        <v>1924</v>
      </c>
    </row>
    <row r="125" spans="1:2" x14ac:dyDescent="0.25">
      <c r="A125">
        <v>123</v>
      </c>
      <c r="B125" t="s">
        <v>1925</v>
      </c>
    </row>
    <row r="126" spans="1:2" x14ac:dyDescent="0.25">
      <c r="A126">
        <v>124</v>
      </c>
      <c r="B126" t="s">
        <v>1926</v>
      </c>
    </row>
    <row r="127" spans="1:2" x14ac:dyDescent="0.25">
      <c r="A127">
        <v>125</v>
      </c>
      <c r="B127" t="s">
        <v>1927</v>
      </c>
    </row>
    <row r="128" spans="1:2" x14ac:dyDescent="0.25">
      <c r="A128">
        <v>126</v>
      </c>
      <c r="B128" t="s">
        <v>1928</v>
      </c>
    </row>
    <row r="129" spans="1:2" x14ac:dyDescent="0.25">
      <c r="A129">
        <v>127</v>
      </c>
      <c r="B129" t="s">
        <v>1929</v>
      </c>
    </row>
    <row r="130" spans="1:2" x14ac:dyDescent="0.25">
      <c r="A130">
        <v>128</v>
      </c>
      <c r="B130" t="s">
        <v>1930</v>
      </c>
    </row>
    <row r="131" spans="1:2" x14ac:dyDescent="0.25">
      <c r="A131">
        <v>129</v>
      </c>
      <c r="B131" t="s">
        <v>1931</v>
      </c>
    </row>
    <row r="132" spans="1:2" x14ac:dyDescent="0.25">
      <c r="A132">
        <v>130</v>
      </c>
      <c r="B132" t="s">
        <v>1932</v>
      </c>
    </row>
    <row r="133" spans="1:2" x14ac:dyDescent="0.25">
      <c r="A133">
        <v>131</v>
      </c>
      <c r="B133" t="s">
        <v>1933</v>
      </c>
    </row>
    <row r="134" spans="1:2" x14ac:dyDescent="0.25">
      <c r="A134">
        <v>132</v>
      </c>
      <c r="B134" t="s">
        <v>1934</v>
      </c>
    </row>
    <row r="135" spans="1:2" x14ac:dyDescent="0.25">
      <c r="A135">
        <v>133</v>
      </c>
      <c r="B135" t="s">
        <v>1935</v>
      </c>
    </row>
    <row r="136" spans="1:2" x14ac:dyDescent="0.25">
      <c r="A136">
        <v>134</v>
      </c>
      <c r="B136" t="s">
        <v>1936</v>
      </c>
    </row>
    <row r="137" spans="1:2" x14ac:dyDescent="0.25">
      <c r="A137">
        <v>135</v>
      </c>
      <c r="B137" t="s">
        <v>1937</v>
      </c>
    </row>
    <row r="138" spans="1:2" x14ac:dyDescent="0.25">
      <c r="A138">
        <v>136</v>
      </c>
      <c r="B138" t="s">
        <v>1938</v>
      </c>
    </row>
    <row r="139" spans="1:2" x14ac:dyDescent="0.25">
      <c r="A139">
        <v>137</v>
      </c>
      <c r="B139" t="s">
        <v>1939</v>
      </c>
    </row>
    <row r="140" spans="1:2" x14ac:dyDescent="0.25">
      <c r="A140">
        <v>138</v>
      </c>
      <c r="B140" t="s">
        <v>1940</v>
      </c>
    </row>
    <row r="141" spans="1:2" x14ac:dyDescent="0.25">
      <c r="A141">
        <v>139</v>
      </c>
      <c r="B141" t="s">
        <v>1941</v>
      </c>
    </row>
    <row r="142" spans="1:2" x14ac:dyDescent="0.25">
      <c r="A142">
        <v>140</v>
      </c>
      <c r="B142" t="s">
        <v>1942</v>
      </c>
    </row>
    <row r="143" spans="1:2" x14ac:dyDescent="0.25">
      <c r="A143">
        <v>141</v>
      </c>
      <c r="B143" t="s">
        <v>1943</v>
      </c>
    </row>
    <row r="144" spans="1:2" x14ac:dyDescent="0.25">
      <c r="A144">
        <v>142</v>
      </c>
      <c r="B144" t="s">
        <v>1944</v>
      </c>
    </row>
    <row r="145" spans="1:2" x14ac:dyDescent="0.25">
      <c r="A145">
        <v>143</v>
      </c>
      <c r="B145" t="s">
        <v>1945</v>
      </c>
    </row>
    <row r="146" spans="1:2" x14ac:dyDescent="0.25">
      <c r="A146">
        <v>144</v>
      </c>
      <c r="B146" t="s">
        <v>1946</v>
      </c>
    </row>
    <row r="147" spans="1:2" x14ac:dyDescent="0.25">
      <c r="A147">
        <v>145</v>
      </c>
      <c r="B147" t="s">
        <v>1947</v>
      </c>
    </row>
    <row r="148" spans="1:2" x14ac:dyDescent="0.25">
      <c r="A148">
        <v>146</v>
      </c>
      <c r="B148" t="s">
        <v>1948</v>
      </c>
    </row>
    <row r="149" spans="1:2" x14ac:dyDescent="0.25">
      <c r="A149">
        <v>147</v>
      </c>
      <c r="B149" t="s">
        <v>1949</v>
      </c>
    </row>
    <row r="150" spans="1:2" x14ac:dyDescent="0.25">
      <c r="A150">
        <v>148</v>
      </c>
      <c r="B150" t="s">
        <v>1950</v>
      </c>
    </row>
    <row r="151" spans="1:2" x14ac:dyDescent="0.25">
      <c r="A151">
        <v>149</v>
      </c>
      <c r="B151" t="s">
        <v>1951</v>
      </c>
    </row>
    <row r="152" spans="1:2" x14ac:dyDescent="0.25">
      <c r="A152">
        <v>150</v>
      </c>
      <c r="B152" t="s">
        <v>1952</v>
      </c>
    </row>
    <row r="153" spans="1:2" x14ac:dyDescent="0.25">
      <c r="A153">
        <v>151</v>
      </c>
      <c r="B153" t="s">
        <v>1953</v>
      </c>
    </row>
    <row r="154" spans="1:2" x14ac:dyDescent="0.25">
      <c r="A154">
        <v>152</v>
      </c>
      <c r="B154" t="s">
        <v>1954</v>
      </c>
    </row>
    <row r="155" spans="1:2" x14ac:dyDescent="0.25">
      <c r="A155">
        <v>153</v>
      </c>
      <c r="B155" t="s">
        <v>1955</v>
      </c>
    </row>
    <row r="156" spans="1:2" x14ac:dyDescent="0.25">
      <c r="A156">
        <v>154</v>
      </c>
      <c r="B156" t="s">
        <v>1956</v>
      </c>
    </row>
    <row r="157" spans="1:2" x14ac:dyDescent="0.25">
      <c r="A157">
        <v>155</v>
      </c>
      <c r="B157" t="s">
        <v>1957</v>
      </c>
    </row>
    <row r="158" spans="1:2" x14ac:dyDescent="0.25">
      <c r="A158">
        <v>156</v>
      </c>
      <c r="B158" t="s">
        <v>1958</v>
      </c>
    </row>
    <row r="159" spans="1:2" x14ac:dyDescent="0.25">
      <c r="A159">
        <v>157</v>
      </c>
      <c r="B159" t="s">
        <v>1959</v>
      </c>
    </row>
    <row r="160" spans="1:2" x14ac:dyDescent="0.25">
      <c r="A160">
        <v>158</v>
      </c>
      <c r="B160" t="s">
        <v>1960</v>
      </c>
    </row>
    <row r="161" spans="1:2" x14ac:dyDescent="0.25">
      <c r="A161">
        <v>159</v>
      </c>
      <c r="B161" t="s">
        <v>1961</v>
      </c>
    </row>
    <row r="162" spans="1:2" x14ac:dyDescent="0.25">
      <c r="A162">
        <v>160</v>
      </c>
      <c r="B162" t="s">
        <v>1962</v>
      </c>
    </row>
    <row r="163" spans="1:2" x14ac:dyDescent="0.25">
      <c r="A163">
        <v>161</v>
      </c>
      <c r="B163" t="s">
        <v>1963</v>
      </c>
    </row>
    <row r="164" spans="1:2" x14ac:dyDescent="0.25">
      <c r="A164">
        <v>162</v>
      </c>
      <c r="B164" t="s">
        <v>1964</v>
      </c>
    </row>
    <row r="165" spans="1:2" x14ac:dyDescent="0.25">
      <c r="A165">
        <v>163</v>
      </c>
      <c r="B165" t="s">
        <v>1965</v>
      </c>
    </row>
    <row r="166" spans="1:2" x14ac:dyDescent="0.25">
      <c r="A166">
        <v>164</v>
      </c>
      <c r="B166" t="s">
        <v>1966</v>
      </c>
    </row>
    <row r="167" spans="1:2" x14ac:dyDescent="0.25">
      <c r="A167">
        <v>165</v>
      </c>
      <c r="B167" t="s">
        <v>1967</v>
      </c>
    </row>
    <row r="168" spans="1:2" x14ac:dyDescent="0.25">
      <c r="A168">
        <v>166</v>
      </c>
      <c r="B168" t="s">
        <v>1968</v>
      </c>
    </row>
    <row r="169" spans="1:2" x14ac:dyDescent="0.25">
      <c r="A169">
        <v>167</v>
      </c>
      <c r="B169" t="s">
        <v>1969</v>
      </c>
    </row>
    <row r="170" spans="1:2" x14ac:dyDescent="0.25">
      <c r="A170">
        <v>168</v>
      </c>
      <c r="B170" t="s">
        <v>1970</v>
      </c>
    </row>
    <row r="171" spans="1:2" x14ac:dyDescent="0.25">
      <c r="A171">
        <v>169</v>
      </c>
      <c r="B171" t="s">
        <v>1971</v>
      </c>
    </row>
    <row r="172" spans="1:2" x14ac:dyDescent="0.25">
      <c r="A172">
        <v>170</v>
      </c>
      <c r="B172" t="s">
        <v>1972</v>
      </c>
    </row>
    <row r="173" spans="1:2" x14ac:dyDescent="0.25">
      <c r="A173">
        <v>171</v>
      </c>
      <c r="B173" t="s">
        <v>1973</v>
      </c>
    </row>
    <row r="174" spans="1:2" x14ac:dyDescent="0.25">
      <c r="A174">
        <v>172</v>
      </c>
      <c r="B174" t="s">
        <v>1974</v>
      </c>
    </row>
    <row r="175" spans="1:2" x14ac:dyDescent="0.25">
      <c r="A175">
        <v>173</v>
      </c>
      <c r="B175" t="s">
        <v>1975</v>
      </c>
    </row>
    <row r="176" spans="1:2" x14ac:dyDescent="0.25">
      <c r="A176">
        <v>174</v>
      </c>
      <c r="B176" t="s">
        <v>1976</v>
      </c>
    </row>
    <row r="177" spans="1:2" x14ac:dyDescent="0.25">
      <c r="A177">
        <v>175</v>
      </c>
      <c r="B177" t="s">
        <v>1977</v>
      </c>
    </row>
    <row r="178" spans="1:2" x14ac:dyDescent="0.25">
      <c r="A178">
        <v>176</v>
      </c>
      <c r="B178" t="s">
        <v>1978</v>
      </c>
    </row>
    <row r="179" spans="1:2" x14ac:dyDescent="0.25">
      <c r="A179">
        <v>177</v>
      </c>
      <c r="B179" t="s">
        <v>1979</v>
      </c>
    </row>
    <row r="180" spans="1:2" x14ac:dyDescent="0.25">
      <c r="A180">
        <v>178</v>
      </c>
      <c r="B180" t="s">
        <v>1980</v>
      </c>
    </row>
    <row r="181" spans="1:2" x14ac:dyDescent="0.25">
      <c r="A181">
        <v>179</v>
      </c>
      <c r="B181" t="s">
        <v>1981</v>
      </c>
    </row>
    <row r="182" spans="1:2" x14ac:dyDescent="0.25">
      <c r="A182">
        <v>180</v>
      </c>
      <c r="B182" t="s">
        <v>1982</v>
      </c>
    </row>
    <row r="183" spans="1:2" x14ac:dyDescent="0.25">
      <c r="A183">
        <v>181</v>
      </c>
      <c r="B183" t="s">
        <v>1983</v>
      </c>
    </row>
    <row r="184" spans="1:2" x14ac:dyDescent="0.25">
      <c r="A184">
        <v>182</v>
      </c>
      <c r="B184" t="s">
        <v>1984</v>
      </c>
    </row>
    <row r="185" spans="1:2" x14ac:dyDescent="0.25">
      <c r="A185">
        <v>183</v>
      </c>
      <c r="B185" t="s">
        <v>1985</v>
      </c>
    </row>
    <row r="186" spans="1:2" x14ac:dyDescent="0.25">
      <c r="A186">
        <v>184</v>
      </c>
      <c r="B186" t="s">
        <v>1986</v>
      </c>
    </row>
    <row r="187" spans="1:2" x14ac:dyDescent="0.25">
      <c r="A187">
        <v>185</v>
      </c>
      <c r="B187" t="s">
        <v>1987</v>
      </c>
    </row>
    <row r="188" spans="1:2" x14ac:dyDescent="0.25">
      <c r="A188">
        <v>186</v>
      </c>
      <c r="B188" t="s">
        <v>1988</v>
      </c>
    </row>
    <row r="189" spans="1:2" x14ac:dyDescent="0.25">
      <c r="A189">
        <v>187</v>
      </c>
      <c r="B189" t="s">
        <v>1989</v>
      </c>
    </row>
    <row r="190" spans="1:2" x14ac:dyDescent="0.25">
      <c r="A190">
        <v>188</v>
      </c>
      <c r="B190" t="s">
        <v>1990</v>
      </c>
    </row>
    <row r="191" spans="1:2" x14ac:dyDescent="0.25">
      <c r="A191">
        <v>189</v>
      </c>
      <c r="B191" t="s">
        <v>1991</v>
      </c>
    </row>
    <row r="192" spans="1:2" x14ac:dyDescent="0.25">
      <c r="A192">
        <v>190</v>
      </c>
      <c r="B192" t="s">
        <v>1992</v>
      </c>
    </row>
    <row r="193" spans="1:2" x14ac:dyDescent="0.25">
      <c r="A193">
        <v>191</v>
      </c>
      <c r="B193" t="s">
        <v>1993</v>
      </c>
    </row>
    <row r="194" spans="1:2" x14ac:dyDescent="0.25">
      <c r="A194">
        <v>192</v>
      </c>
      <c r="B194" t="s">
        <v>1994</v>
      </c>
    </row>
    <row r="195" spans="1:2" x14ac:dyDescent="0.25">
      <c r="A195">
        <v>193</v>
      </c>
      <c r="B195" t="s">
        <v>1995</v>
      </c>
    </row>
    <row r="196" spans="1:2" x14ac:dyDescent="0.25">
      <c r="A196">
        <v>194</v>
      </c>
      <c r="B196" t="s">
        <v>1996</v>
      </c>
    </row>
    <row r="197" spans="1:2" x14ac:dyDescent="0.25">
      <c r="A197">
        <v>195</v>
      </c>
      <c r="B197" t="s">
        <v>1997</v>
      </c>
    </row>
    <row r="198" spans="1:2" x14ac:dyDescent="0.25">
      <c r="A198">
        <v>196</v>
      </c>
      <c r="B198" t="s">
        <v>1998</v>
      </c>
    </row>
    <row r="199" spans="1:2" x14ac:dyDescent="0.25">
      <c r="A199">
        <v>197</v>
      </c>
      <c r="B199" t="s">
        <v>1999</v>
      </c>
    </row>
    <row r="200" spans="1:2" x14ac:dyDescent="0.25">
      <c r="A200">
        <v>198</v>
      </c>
      <c r="B200" t="s">
        <v>2000</v>
      </c>
    </row>
    <row r="201" spans="1:2" x14ac:dyDescent="0.25">
      <c r="A201">
        <v>199</v>
      </c>
      <c r="B201" t="s">
        <v>2001</v>
      </c>
    </row>
    <row r="202" spans="1:2" x14ac:dyDescent="0.25">
      <c r="A202">
        <v>200</v>
      </c>
      <c r="B202" t="s">
        <v>2002</v>
      </c>
    </row>
    <row r="203" spans="1:2" x14ac:dyDescent="0.25">
      <c r="A203">
        <v>201</v>
      </c>
      <c r="B203" t="s">
        <v>2003</v>
      </c>
    </row>
    <row r="204" spans="1:2" x14ac:dyDescent="0.25">
      <c r="A204">
        <v>202</v>
      </c>
      <c r="B204" t="s">
        <v>2004</v>
      </c>
    </row>
    <row r="205" spans="1:2" x14ac:dyDescent="0.25">
      <c r="A205">
        <v>203</v>
      </c>
      <c r="B205" t="s">
        <v>2005</v>
      </c>
    </row>
    <row r="206" spans="1:2" x14ac:dyDescent="0.25">
      <c r="A206">
        <v>204</v>
      </c>
      <c r="B206" t="s">
        <v>2006</v>
      </c>
    </row>
    <row r="207" spans="1:2" x14ac:dyDescent="0.25">
      <c r="A207">
        <v>205</v>
      </c>
      <c r="B207" t="s">
        <v>2007</v>
      </c>
    </row>
    <row r="208" spans="1:2" x14ac:dyDescent="0.25">
      <c r="A208">
        <v>206</v>
      </c>
      <c r="B208" t="s">
        <v>2008</v>
      </c>
    </row>
    <row r="209" spans="1:2" x14ac:dyDescent="0.25">
      <c r="A209">
        <v>207</v>
      </c>
      <c r="B209" t="s">
        <v>2009</v>
      </c>
    </row>
    <row r="210" spans="1:2" x14ac:dyDescent="0.25">
      <c r="A210">
        <v>208</v>
      </c>
      <c r="B210" t="s">
        <v>2010</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2011</v>
      </c>
    </row>
    <row r="216" spans="1:2" x14ac:dyDescent="0.25">
      <c r="A216">
        <v>214</v>
      </c>
      <c r="B216" t="s">
        <v>2012</v>
      </c>
    </row>
    <row r="217" spans="1:2" x14ac:dyDescent="0.25">
      <c r="A217">
        <v>215</v>
      </c>
      <c r="B217" t="s">
        <v>186</v>
      </c>
    </row>
    <row r="218" spans="1:2" x14ac:dyDescent="0.25">
      <c r="A218">
        <v>216</v>
      </c>
      <c r="B218" t="s">
        <v>2013</v>
      </c>
    </row>
    <row r="219" spans="1:2" x14ac:dyDescent="0.25">
      <c r="A219">
        <v>217</v>
      </c>
      <c r="B219" t="s">
        <v>2014</v>
      </c>
    </row>
    <row r="220" spans="1:2" x14ac:dyDescent="0.25">
      <c r="A220">
        <v>218</v>
      </c>
      <c r="B220" t="s">
        <v>2015</v>
      </c>
    </row>
    <row r="221" spans="1:2" x14ac:dyDescent="0.25">
      <c r="A221">
        <v>219</v>
      </c>
      <c r="B221" t="s">
        <v>2016</v>
      </c>
    </row>
    <row r="222" spans="1:2" x14ac:dyDescent="0.25">
      <c r="A222">
        <v>220</v>
      </c>
      <c r="B222" t="s">
        <v>2017</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2018</v>
      </c>
    </row>
    <row r="228" spans="1:2" x14ac:dyDescent="0.25">
      <c r="A228">
        <v>226</v>
      </c>
      <c r="B228" t="s">
        <v>2019</v>
      </c>
    </row>
    <row r="229" spans="1:2" x14ac:dyDescent="0.25">
      <c r="A229">
        <v>227</v>
      </c>
      <c r="B229" t="s">
        <v>2020</v>
      </c>
    </row>
    <row r="230" spans="1:2" x14ac:dyDescent="0.25">
      <c r="A230">
        <v>228</v>
      </c>
    </row>
    <row r="231" spans="1:2" x14ac:dyDescent="0.25">
      <c r="A231">
        <v>229</v>
      </c>
      <c r="B231" t="s">
        <v>2021</v>
      </c>
    </row>
    <row r="232" spans="1:2" x14ac:dyDescent="0.25">
      <c r="A232">
        <v>230</v>
      </c>
      <c r="B232" t="s">
        <v>2022</v>
      </c>
    </row>
    <row r="233" spans="1:2" x14ac:dyDescent="0.25">
      <c r="A233">
        <v>231</v>
      </c>
      <c r="B233" t="s">
        <v>2023</v>
      </c>
    </row>
    <row r="234" spans="1:2" x14ac:dyDescent="0.25">
      <c r="A234">
        <v>232</v>
      </c>
      <c r="B234" t="s">
        <v>2024</v>
      </c>
    </row>
    <row r="235" spans="1:2" x14ac:dyDescent="0.25">
      <c r="A235">
        <v>233</v>
      </c>
      <c r="B235" t="s">
        <v>2025</v>
      </c>
    </row>
    <row r="236" spans="1:2" x14ac:dyDescent="0.25">
      <c r="A236">
        <v>234</v>
      </c>
      <c r="B236" t="s">
        <v>2026</v>
      </c>
    </row>
    <row r="237" spans="1:2" x14ac:dyDescent="0.25">
      <c r="A237">
        <v>235</v>
      </c>
      <c r="B237" t="s">
        <v>2027</v>
      </c>
    </row>
    <row r="238" spans="1:2" x14ac:dyDescent="0.25">
      <c r="A238">
        <v>236</v>
      </c>
      <c r="B238" t="s">
        <v>2028</v>
      </c>
    </row>
    <row r="239" spans="1:2" x14ac:dyDescent="0.25">
      <c r="A239">
        <v>237</v>
      </c>
      <c r="B239" t="s">
        <v>2029</v>
      </c>
    </row>
    <row r="240" spans="1:2" x14ac:dyDescent="0.25">
      <c r="A240">
        <v>238</v>
      </c>
      <c r="B240" t="s">
        <v>2030</v>
      </c>
    </row>
    <row r="241" spans="1:2" x14ac:dyDescent="0.25">
      <c r="A241">
        <v>239</v>
      </c>
      <c r="B241" t="s">
        <v>2031</v>
      </c>
    </row>
    <row r="242" spans="1:2" x14ac:dyDescent="0.25">
      <c r="A242">
        <v>240</v>
      </c>
      <c r="B242" t="s">
        <v>2032</v>
      </c>
    </row>
    <row r="243" spans="1:2" x14ac:dyDescent="0.25">
      <c r="A243">
        <v>241</v>
      </c>
      <c r="B243" t="s">
        <v>2033</v>
      </c>
    </row>
    <row r="244" spans="1:2" x14ac:dyDescent="0.25">
      <c r="A244">
        <v>242</v>
      </c>
      <c r="B244" t="s">
        <v>2034</v>
      </c>
    </row>
    <row r="245" spans="1:2" x14ac:dyDescent="0.25">
      <c r="A245">
        <v>243</v>
      </c>
      <c r="B245" t="s">
        <v>2035</v>
      </c>
    </row>
    <row r="246" spans="1:2" x14ac:dyDescent="0.25">
      <c r="A246">
        <v>244</v>
      </c>
      <c r="B246" t="s">
        <v>2036</v>
      </c>
    </row>
    <row r="247" spans="1:2" x14ac:dyDescent="0.25">
      <c r="A247">
        <v>245</v>
      </c>
      <c r="B247" t="s">
        <v>2037</v>
      </c>
    </row>
    <row r="248" spans="1:2" x14ac:dyDescent="0.25">
      <c r="A248">
        <v>246</v>
      </c>
      <c r="B248" t="s">
        <v>2038</v>
      </c>
    </row>
    <row r="249" spans="1:2" x14ac:dyDescent="0.25">
      <c r="A249">
        <v>247</v>
      </c>
      <c r="B249" t="s">
        <v>2039</v>
      </c>
    </row>
    <row r="250" spans="1:2" x14ac:dyDescent="0.25">
      <c r="A250">
        <v>248</v>
      </c>
    </row>
    <row r="251" spans="1:2" x14ac:dyDescent="0.25">
      <c r="A251">
        <v>249</v>
      </c>
      <c r="B251" t="s">
        <v>449</v>
      </c>
    </row>
    <row r="252" spans="1:2" x14ac:dyDescent="0.25">
      <c r="A252">
        <v>250</v>
      </c>
      <c r="B252" t="s">
        <v>449</v>
      </c>
    </row>
    <row r="253" spans="1:2" x14ac:dyDescent="0.25">
      <c r="A253">
        <v>251</v>
      </c>
      <c r="B253" t="s">
        <v>2040</v>
      </c>
    </row>
    <row r="254" spans="1:2" x14ac:dyDescent="0.25">
      <c r="A254">
        <v>252</v>
      </c>
      <c r="B254" t="s">
        <v>2041</v>
      </c>
    </row>
    <row r="255" spans="1:2" x14ac:dyDescent="0.25">
      <c r="A255">
        <v>253</v>
      </c>
      <c r="B255" t="s">
        <v>2042</v>
      </c>
    </row>
    <row r="256" spans="1:2" x14ac:dyDescent="0.25">
      <c r="A256">
        <v>254</v>
      </c>
      <c r="B256" t="s">
        <v>2043</v>
      </c>
    </row>
    <row r="257" spans="1:2" x14ac:dyDescent="0.25">
      <c r="A257">
        <v>255</v>
      </c>
      <c r="B257" t="s">
        <v>2044</v>
      </c>
    </row>
    <row r="258" spans="1:2" x14ac:dyDescent="0.25">
      <c r="A258">
        <v>256</v>
      </c>
      <c r="B258" t="s">
        <v>2045</v>
      </c>
    </row>
    <row r="259" spans="1:2" x14ac:dyDescent="0.25">
      <c r="A259">
        <v>257</v>
      </c>
      <c r="B259" t="s">
        <v>2046</v>
      </c>
    </row>
    <row r="260" spans="1:2" x14ac:dyDescent="0.25">
      <c r="A260">
        <v>258</v>
      </c>
      <c r="B260" t="s">
        <v>2047</v>
      </c>
    </row>
    <row r="261" spans="1:2" x14ac:dyDescent="0.25">
      <c r="A261">
        <v>259</v>
      </c>
    </row>
    <row r="262" spans="1:2" x14ac:dyDescent="0.25">
      <c r="A262">
        <v>260</v>
      </c>
      <c r="B262" t="s">
        <v>2048</v>
      </c>
    </row>
    <row r="263" spans="1:2" x14ac:dyDescent="0.25">
      <c r="A263">
        <v>261</v>
      </c>
      <c r="B263" t="s">
        <v>2049</v>
      </c>
    </row>
    <row r="264" spans="1:2" x14ac:dyDescent="0.25">
      <c r="A264">
        <v>262</v>
      </c>
      <c r="B264" t="s">
        <v>2050</v>
      </c>
    </row>
    <row r="265" spans="1:2" x14ac:dyDescent="0.25">
      <c r="A265">
        <v>263</v>
      </c>
      <c r="B265" t="s">
        <v>2051</v>
      </c>
    </row>
    <row r="266" spans="1:2" x14ac:dyDescent="0.25">
      <c r="A266">
        <v>264</v>
      </c>
      <c r="B266" t="s">
        <v>2052</v>
      </c>
    </row>
    <row r="267" spans="1:2" x14ac:dyDescent="0.25">
      <c r="A267">
        <v>265</v>
      </c>
      <c r="B267" t="s">
        <v>2053</v>
      </c>
    </row>
    <row r="268" spans="1:2" x14ac:dyDescent="0.25">
      <c r="A268">
        <v>266</v>
      </c>
      <c r="B268" t="s">
        <v>2054</v>
      </c>
    </row>
    <row r="269" spans="1:2" x14ac:dyDescent="0.25">
      <c r="A269">
        <v>267</v>
      </c>
      <c r="B269" t="s">
        <v>2055</v>
      </c>
    </row>
    <row r="270" spans="1:2" x14ac:dyDescent="0.25">
      <c r="A270">
        <v>268</v>
      </c>
      <c r="B270" t="s">
        <v>2056</v>
      </c>
    </row>
    <row r="271" spans="1:2" x14ac:dyDescent="0.25">
      <c r="A271">
        <v>269</v>
      </c>
      <c r="B271" t="s">
        <v>2057</v>
      </c>
    </row>
    <row r="272" spans="1:2" x14ac:dyDescent="0.25">
      <c r="A272">
        <v>270</v>
      </c>
      <c r="B272" t="s">
        <v>439</v>
      </c>
    </row>
    <row r="273" spans="1:2" x14ac:dyDescent="0.25">
      <c r="A273">
        <v>271</v>
      </c>
    </row>
    <row r="274" spans="1:2" x14ac:dyDescent="0.25">
      <c r="A274">
        <v>272</v>
      </c>
      <c r="B274" t="s">
        <v>2058</v>
      </c>
    </row>
    <row r="275" spans="1:2" x14ac:dyDescent="0.25">
      <c r="A275">
        <v>273</v>
      </c>
      <c r="B275" t="s">
        <v>2059</v>
      </c>
    </row>
    <row r="276" spans="1:2" x14ac:dyDescent="0.25">
      <c r="A276">
        <v>274</v>
      </c>
      <c r="B276" t="s">
        <v>2060</v>
      </c>
    </row>
    <row r="277" spans="1:2" x14ac:dyDescent="0.25">
      <c r="A277">
        <v>275</v>
      </c>
      <c r="B277" t="s">
        <v>2061</v>
      </c>
    </row>
    <row r="278" spans="1:2" x14ac:dyDescent="0.25">
      <c r="A278">
        <v>276</v>
      </c>
      <c r="B278" t="s">
        <v>2062</v>
      </c>
    </row>
    <row r="279" spans="1:2" x14ac:dyDescent="0.25">
      <c r="A279">
        <v>277</v>
      </c>
      <c r="B279" t="s">
        <v>2063</v>
      </c>
    </row>
    <row r="280" spans="1:2" x14ac:dyDescent="0.25">
      <c r="A280">
        <v>278</v>
      </c>
      <c r="B280" t="s">
        <v>2064</v>
      </c>
    </row>
    <row r="281" spans="1:2" x14ac:dyDescent="0.25">
      <c r="A281">
        <v>279</v>
      </c>
      <c r="B281" t="s">
        <v>2065</v>
      </c>
    </row>
    <row r="282" spans="1:2" x14ac:dyDescent="0.25">
      <c r="A282">
        <v>280</v>
      </c>
      <c r="B282" t="s">
        <v>2066</v>
      </c>
    </row>
    <row r="283" spans="1:2" x14ac:dyDescent="0.25">
      <c r="A283">
        <v>281</v>
      </c>
      <c r="B283" t="s">
        <v>2067</v>
      </c>
    </row>
    <row r="284" spans="1:2" x14ac:dyDescent="0.25">
      <c r="A284">
        <v>282</v>
      </c>
      <c r="B284" t="s">
        <v>2068</v>
      </c>
    </row>
    <row r="285" spans="1:2" x14ac:dyDescent="0.25">
      <c r="A285">
        <v>283</v>
      </c>
    </row>
    <row r="286" spans="1:2" x14ac:dyDescent="0.25">
      <c r="A286">
        <v>284</v>
      </c>
      <c r="B286" t="s">
        <v>2069</v>
      </c>
    </row>
    <row r="287" spans="1:2" x14ac:dyDescent="0.25">
      <c r="A287">
        <v>285</v>
      </c>
      <c r="B287" t="s">
        <v>604</v>
      </c>
    </row>
    <row r="288" spans="1:2" x14ac:dyDescent="0.25">
      <c r="A288">
        <v>286</v>
      </c>
      <c r="B288" t="s">
        <v>603</v>
      </c>
    </row>
    <row r="289" spans="1:2" x14ac:dyDescent="0.25">
      <c r="A289">
        <v>287</v>
      </c>
      <c r="B289" t="s">
        <v>602</v>
      </c>
    </row>
    <row r="290" spans="1:2" x14ac:dyDescent="0.25">
      <c r="A290">
        <v>288</v>
      </c>
      <c r="B290" t="s">
        <v>605</v>
      </c>
    </row>
    <row r="291" spans="1:2" x14ac:dyDescent="0.25">
      <c r="A291">
        <v>289</v>
      </c>
      <c r="B291" t="s">
        <v>607</v>
      </c>
    </row>
    <row r="292" spans="1:2" x14ac:dyDescent="0.25">
      <c r="A292">
        <v>290</v>
      </c>
      <c r="B292" t="s">
        <v>606</v>
      </c>
    </row>
    <row r="293" spans="1:2" x14ac:dyDescent="0.25">
      <c r="A293">
        <v>291</v>
      </c>
      <c r="B293" t="s">
        <v>609</v>
      </c>
    </row>
    <row r="294" spans="1:2" x14ac:dyDescent="0.25">
      <c r="A294">
        <v>292</v>
      </c>
      <c r="B294" t="s">
        <v>608</v>
      </c>
    </row>
    <row r="295" spans="1:2" x14ac:dyDescent="0.25">
      <c r="A295">
        <v>293</v>
      </c>
      <c r="B295" t="s">
        <v>610</v>
      </c>
    </row>
    <row r="296" spans="1:2" x14ac:dyDescent="0.25">
      <c r="A296">
        <v>294</v>
      </c>
      <c r="B296" t="s">
        <v>538</v>
      </c>
    </row>
    <row r="297" spans="1:2" x14ac:dyDescent="0.25">
      <c r="A297">
        <v>295</v>
      </c>
      <c r="B297" t="s">
        <v>547</v>
      </c>
    </row>
    <row r="298" spans="1:2" x14ac:dyDescent="0.25">
      <c r="A298">
        <v>296</v>
      </c>
      <c r="B298" t="s">
        <v>539</v>
      </c>
    </row>
    <row r="299" spans="1:2" x14ac:dyDescent="0.25">
      <c r="A299">
        <v>297</v>
      </c>
      <c r="B299" t="s">
        <v>531</v>
      </c>
    </row>
    <row r="300" spans="1:2" x14ac:dyDescent="0.25">
      <c r="A300">
        <v>298</v>
      </c>
      <c r="B300" t="s">
        <v>546</v>
      </c>
    </row>
    <row r="301" spans="1:2" x14ac:dyDescent="0.25">
      <c r="A301">
        <v>299</v>
      </c>
      <c r="B301" t="s">
        <v>550</v>
      </c>
    </row>
    <row r="302" spans="1:2" x14ac:dyDescent="0.25">
      <c r="A302">
        <v>300</v>
      </c>
      <c r="B302" t="s">
        <v>542</v>
      </c>
    </row>
    <row r="303" spans="1:2" x14ac:dyDescent="0.25">
      <c r="A303">
        <v>301</v>
      </c>
      <c r="B303" t="s">
        <v>543</v>
      </c>
    </row>
    <row r="304" spans="1:2" x14ac:dyDescent="0.25">
      <c r="A304">
        <v>302</v>
      </c>
      <c r="B304" t="s">
        <v>534</v>
      </c>
    </row>
    <row r="305" spans="1:2" x14ac:dyDescent="0.25">
      <c r="A305">
        <v>303</v>
      </c>
      <c r="B305" t="s">
        <v>535</v>
      </c>
    </row>
    <row r="306" spans="1:2" x14ac:dyDescent="0.25">
      <c r="A306">
        <v>304</v>
      </c>
      <c r="B306" t="s">
        <v>537</v>
      </c>
    </row>
    <row r="307" spans="1:2" x14ac:dyDescent="0.25">
      <c r="A307">
        <v>305</v>
      </c>
      <c r="B307" t="s">
        <v>548</v>
      </c>
    </row>
    <row r="308" spans="1:2" x14ac:dyDescent="0.25">
      <c r="A308">
        <v>306</v>
      </c>
      <c r="B308" t="s">
        <v>540</v>
      </c>
    </row>
    <row r="309" spans="1:2" x14ac:dyDescent="0.25">
      <c r="A309">
        <v>307</v>
      </c>
      <c r="B309" t="s">
        <v>532</v>
      </c>
    </row>
    <row r="310" spans="1:2" x14ac:dyDescent="0.25">
      <c r="A310">
        <v>308</v>
      </c>
    </row>
    <row r="311" spans="1:2" x14ac:dyDescent="0.25">
      <c r="A311">
        <v>309</v>
      </c>
      <c r="B311" t="s">
        <v>545</v>
      </c>
    </row>
    <row r="312" spans="1:2" x14ac:dyDescent="0.25">
      <c r="A312">
        <v>310</v>
      </c>
      <c r="B312" t="s">
        <v>549</v>
      </c>
    </row>
    <row r="313" spans="1:2" x14ac:dyDescent="0.25">
      <c r="A313">
        <v>311</v>
      </c>
      <c r="B313" t="s">
        <v>541</v>
      </c>
    </row>
    <row r="314" spans="1:2" x14ac:dyDescent="0.25">
      <c r="A314">
        <v>312</v>
      </c>
      <c r="B314" t="s">
        <v>544</v>
      </c>
    </row>
    <row r="315" spans="1:2" x14ac:dyDescent="0.25">
      <c r="A315">
        <v>313</v>
      </c>
      <c r="B315" t="s">
        <v>533</v>
      </c>
    </row>
    <row r="316" spans="1:2" x14ac:dyDescent="0.25">
      <c r="A316">
        <v>314</v>
      </c>
      <c r="B316" t="s">
        <v>536</v>
      </c>
    </row>
    <row r="317" spans="1:2" x14ac:dyDescent="0.25">
      <c r="A317">
        <v>315</v>
      </c>
      <c r="B317" t="s">
        <v>557</v>
      </c>
    </row>
    <row r="318" spans="1:2" x14ac:dyDescent="0.25">
      <c r="A318">
        <v>316</v>
      </c>
      <c r="B318" t="s">
        <v>552</v>
      </c>
    </row>
    <row r="319" spans="1:2" x14ac:dyDescent="0.25">
      <c r="A319">
        <v>317</v>
      </c>
      <c r="B319" t="s">
        <v>556</v>
      </c>
    </row>
    <row r="320" spans="1:2" x14ac:dyDescent="0.25">
      <c r="A320">
        <v>318</v>
      </c>
      <c r="B320" t="s">
        <v>560</v>
      </c>
    </row>
    <row r="321" spans="1:2" x14ac:dyDescent="0.25">
      <c r="A321">
        <v>319</v>
      </c>
      <c r="B321" t="s">
        <v>553</v>
      </c>
    </row>
    <row r="322" spans="1:2" x14ac:dyDescent="0.25">
      <c r="A322">
        <v>320</v>
      </c>
      <c r="B322" t="s">
        <v>551</v>
      </c>
    </row>
    <row r="323" spans="1:2" x14ac:dyDescent="0.25">
      <c r="A323">
        <v>321</v>
      </c>
      <c r="B323" t="s">
        <v>555</v>
      </c>
    </row>
    <row r="324" spans="1:2" x14ac:dyDescent="0.25">
      <c r="A324">
        <v>322</v>
      </c>
      <c r="B324" t="s">
        <v>554</v>
      </c>
    </row>
    <row r="325" spans="1:2" x14ac:dyDescent="0.25">
      <c r="A325">
        <v>323</v>
      </c>
      <c r="B325" t="s">
        <v>559</v>
      </c>
    </row>
    <row r="326" spans="1:2" x14ac:dyDescent="0.25">
      <c r="A326">
        <v>324</v>
      </c>
      <c r="B326" t="s">
        <v>558</v>
      </c>
    </row>
    <row r="327" spans="1:2" x14ac:dyDescent="0.25">
      <c r="A327">
        <v>325</v>
      </c>
      <c r="B327" t="s">
        <v>561</v>
      </c>
    </row>
    <row r="328" spans="1:2" x14ac:dyDescent="0.25">
      <c r="A328">
        <v>326</v>
      </c>
      <c r="B328" t="s">
        <v>2070</v>
      </c>
    </row>
    <row r="329" spans="1:2" x14ac:dyDescent="0.25">
      <c r="A329">
        <v>327</v>
      </c>
      <c r="B329" t="s">
        <v>562</v>
      </c>
    </row>
    <row r="330" spans="1:2" x14ac:dyDescent="0.25">
      <c r="A330">
        <v>328</v>
      </c>
      <c r="B330" t="s">
        <v>2071</v>
      </c>
    </row>
    <row r="331" spans="1:2" x14ac:dyDescent="0.25">
      <c r="A331">
        <v>329</v>
      </c>
      <c r="B331" t="s">
        <v>2072</v>
      </c>
    </row>
    <row r="332" spans="1:2" x14ac:dyDescent="0.25">
      <c r="A332">
        <v>330</v>
      </c>
      <c r="B332" t="s">
        <v>2073</v>
      </c>
    </row>
    <row r="333" spans="1:2" x14ac:dyDescent="0.25">
      <c r="A333">
        <v>331</v>
      </c>
      <c r="B333" t="s">
        <v>2074</v>
      </c>
    </row>
    <row r="334" spans="1:2" x14ac:dyDescent="0.25">
      <c r="A334">
        <v>332</v>
      </c>
      <c r="B334" t="s">
        <v>2075</v>
      </c>
    </row>
    <row r="335" spans="1:2" x14ac:dyDescent="0.25">
      <c r="A335">
        <v>333</v>
      </c>
      <c r="B335" t="s">
        <v>652</v>
      </c>
    </row>
    <row r="336" spans="1:2" x14ac:dyDescent="0.25">
      <c r="A336">
        <v>334</v>
      </c>
      <c r="B336" t="s">
        <v>653</v>
      </c>
    </row>
    <row r="337" spans="1:2" x14ac:dyDescent="0.25">
      <c r="A337">
        <v>335</v>
      </c>
      <c r="B337" t="s">
        <v>655</v>
      </c>
    </row>
    <row r="338" spans="1:2" x14ac:dyDescent="0.25">
      <c r="A338">
        <v>336</v>
      </c>
      <c r="B338" t="s">
        <v>654</v>
      </c>
    </row>
    <row r="339" spans="1:2" x14ac:dyDescent="0.25">
      <c r="A339">
        <v>337</v>
      </c>
      <c r="B339" t="s">
        <v>2076</v>
      </c>
    </row>
    <row r="340" spans="1:2" x14ac:dyDescent="0.25">
      <c r="A340">
        <v>338</v>
      </c>
      <c r="B340" t="s">
        <v>2077</v>
      </c>
    </row>
    <row r="341" spans="1:2" x14ac:dyDescent="0.25">
      <c r="A341">
        <v>339</v>
      </c>
      <c r="B341" t="s">
        <v>2078</v>
      </c>
    </row>
    <row r="342" spans="1:2" x14ac:dyDescent="0.25">
      <c r="A342">
        <v>340</v>
      </c>
      <c r="B342" t="s">
        <v>2079</v>
      </c>
    </row>
    <row r="343" spans="1:2" x14ac:dyDescent="0.25">
      <c r="A343">
        <v>341</v>
      </c>
      <c r="B343" t="s">
        <v>2080</v>
      </c>
    </row>
    <row r="344" spans="1:2" x14ac:dyDescent="0.25">
      <c r="A344">
        <v>342</v>
      </c>
      <c r="B344" t="s">
        <v>661</v>
      </c>
    </row>
    <row r="345" spans="1:2" x14ac:dyDescent="0.25">
      <c r="A345">
        <v>343</v>
      </c>
      <c r="B345" t="s">
        <v>660</v>
      </c>
    </row>
    <row r="346" spans="1:2" x14ac:dyDescent="0.25">
      <c r="A346">
        <v>344</v>
      </c>
      <c r="B346" t="s">
        <v>663</v>
      </c>
    </row>
    <row r="347" spans="1:2" x14ac:dyDescent="0.25">
      <c r="A347">
        <v>345</v>
      </c>
      <c r="B347" t="s">
        <v>662</v>
      </c>
    </row>
    <row r="348" spans="1:2" x14ac:dyDescent="0.25">
      <c r="A348">
        <v>346</v>
      </c>
      <c r="B348" t="s">
        <v>2081</v>
      </c>
    </row>
    <row r="349" spans="1:2" x14ac:dyDescent="0.25">
      <c r="A349">
        <v>347</v>
      </c>
      <c r="B349" t="s">
        <v>692</v>
      </c>
    </row>
    <row r="350" spans="1:2" x14ac:dyDescent="0.25">
      <c r="A350">
        <v>348</v>
      </c>
      <c r="B350" t="s">
        <v>691</v>
      </c>
    </row>
    <row r="351" spans="1:2" x14ac:dyDescent="0.25">
      <c r="A351">
        <v>349</v>
      </c>
      <c r="B351" t="s">
        <v>2082</v>
      </c>
    </row>
    <row r="352" spans="1:2" x14ac:dyDescent="0.25">
      <c r="A352">
        <v>350</v>
      </c>
      <c r="B352" t="s">
        <v>2083</v>
      </c>
    </row>
    <row r="353" spans="1:2" x14ac:dyDescent="0.25">
      <c r="A353">
        <v>351</v>
      </c>
      <c r="B353" t="s">
        <v>2084</v>
      </c>
    </row>
    <row r="354" spans="1:2" x14ac:dyDescent="0.25">
      <c r="A354">
        <v>352</v>
      </c>
      <c r="B354" t="s">
        <v>2085</v>
      </c>
    </row>
    <row r="355" spans="1:2" x14ac:dyDescent="0.25">
      <c r="A355">
        <v>353</v>
      </c>
      <c r="B355" t="s">
        <v>2086</v>
      </c>
    </row>
    <row r="356" spans="1:2" x14ac:dyDescent="0.25">
      <c r="A356">
        <v>354</v>
      </c>
      <c r="B356" t="s">
        <v>2087</v>
      </c>
    </row>
    <row r="357" spans="1:2" x14ac:dyDescent="0.25">
      <c r="A357">
        <v>355</v>
      </c>
      <c r="B357" t="s">
        <v>2088</v>
      </c>
    </row>
    <row r="358" spans="1:2" x14ac:dyDescent="0.25">
      <c r="A358">
        <v>356</v>
      </c>
      <c r="B358" t="s">
        <v>2089</v>
      </c>
    </row>
    <row r="359" spans="1:2" x14ac:dyDescent="0.25">
      <c r="A359">
        <v>357</v>
      </c>
      <c r="B359" t="s">
        <v>2090</v>
      </c>
    </row>
    <row r="360" spans="1:2" x14ac:dyDescent="0.25">
      <c r="A360">
        <v>358</v>
      </c>
      <c r="B360" t="s">
        <v>2091</v>
      </c>
    </row>
    <row r="361" spans="1:2" x14ac:dyDescent="0.25">
      <c r="A361">
        <v>359</v>
      </c>
      <c r="B361" t="s">
        <v>2092</v>
      </c>
    </row>
    <row r="362" spans="1:2" x14ac:dyDescent="0.25">
      <c r="A362">
        <v>360</v>
      </c>
      <c r="B362" t="s">
        <v>2093</v>
      </c>
    </row>
    <row r="363" spans="1:2" x14ac:dyDescent="0.25">
      <c r="A363">
        <v>361</v>
      </c>
      <c r="B363" t="s">
        <v>694</v>
      </c>
    </row>
    <row r="364" spans="1:2" x14ac:dyDescent="0.25">
      <c r="A364">
        <v>362</v>
      </c>
      <c r="B364" t="s">
        <v>693</v>
      </c>
    </row>
    <row r="365" spans="1:2" x14ac:dyDescent="0.25">
      <c r="A365">
        <v>363</v>
      </c>
      <c r="B365" t="s">
        <v>2094</v>
      </c>
    </row>
    <row r="366" spans="1:2" x14ac:dyDescent="0.25">
      <c r="A366">
        <v>364</v>
      </c>
      <c r="B366" t="s">
        <v>2095</v>
      </c>
    </row>
    <row r="367" spans="1:2" x14ac:dyDescent="0.25">
      <c r="A367">
        <v>365</v>
      </c>
      <c r="B367" t="s">
        <v>2096</v>
      </c>
    </row>
    <row r="368" spans="1:2" x14ac:dyDescent="0.25">
      <c r="A368">
        <v>366</v>
      </c>
      <c r="B368" t="s">
        <v>700</v>
      </c>
    </row>
    <row r="369" spans="1:2" x14ac:dyDescent="0.25">
      <c r="A369">
        <v>367</v>
      </c>
      <c r="B369" t="s">
        <v>701</v>
      </c>
    </row>
    <row r="370" spans="1:2" x14ac:dyDescent="0.25">
      <c r="A370">
        <v>368</v>
      </c>
      <c r="B370" t="s">
        <v>702</v>
      </c>
    </row>
    <row r="371" spans="1:2" x14ac:dyDescent="0.25">
      <c r="A371">
        <v>369</v>
      </c>
      <c r="B371" t="s">
        <v>2097</v>
      </c>
    </row>
    <row r="372" spans="1:2" x14ac:dyDescent="0.25">
      <c r="A372">
        <v>370</v>
      </c>
      <c r="B372" t="s">
        <v>2098</v>
      </c>
    </row>
    <row r="373" spans="1:2" x14ac:dyDescent="0.25">
      <c r="A373">
        <v>371</v>
      </c>
      <c r="B373" t="s">
        <v>2099</v>
      </c>
    </row>
    <row r="374" spans="1:2" x14ac:dyDescent="0.25">
      <c r="A374">
        <v>372</v>
      </c>
      <c r="B374" t="s">
        <v>705</v>
      </c>
    </row>
    <row r="375" spans="1:2" x14ac:dyDescent="0.25">
      <c r="A375">
        <v>373</v>
      </c>
      <c r="B375" t="s">
        <v>704</v>
      </c>
    </row>
    <row r="376" spans="1:2" x14ac:dyDescent="0.25">
      <c r="A376">
        <v>374</v>
      </c>
      <c r="B376" t="s">
        <v>2100</v>
      </c>
    </row>
    <row r="377" spans="1:2" x14ac:dyDescent="0.25">
      <c r="A377">
        <v>375</v>
      </c>
      <c r="B377" t="s">
        <v>2101</v>
      </c>
    </row>
    <row r="378" spans="1:2" x14ac:dyDescent="0.25">
      <c r="A378">
        <v>376</v>
      </c>
      <c r="B378" t="s">
        <v>2102</v>
      </c>
    </row>
    <row r="379" spans="1:2" x14ac:dyDescent="0.25">
      <c r="A379">
        <v>377</v>
      </c>
      <c r="B379" t="s">
        <v>2103</v>
      </c>
    </row>
    <row r="380" spans="1:2" x14ac:dyDescent="0.25">
      <c r="A380">
        <v>378</v>
      </c>
      <c r="B380" t="s">
        <v>719</v>
      </c>
    </row>
    <row r="381" spans="1:2" x14ac:dyDescent="0.25">
      <c r="A381">
        <v>379</v>
      </c>
      <c r="B381" t="s">
        <v>2104</v>
      </c>
    </row>
    <row r="382" spans="1:2" x14ac:dyDescent="0.25">
      <c r="A382">
        <v>380</v>
      </c>
      <c r="B382" t="s">
        <v>721</v>
      </c>
    </row>
    <row r="383" spans="1:2" x14ac:dyDescent="0.25">
      <c r="A383">
        <v>381</v>
      </c>
      <c r="B383" t="s">
        <v>2105</v>
      </c>
    </row>
    <row r="384" spans="1:2" x14ac:dyDescent="0.25">
      <c r="A384">
        <v>382</v>
      </c>
      <c r="B384" t="s">
        <v>2106</v>
      </c>
    </row>
    <row r="385" spans="1:2" x14ac:dyDescent="0.25">
      <c r="A385">
        <v>383</v>
      </c>
      <c r="B385" t="s">
        <v>2107</v>
      </c>
    </row>
    <row r="386" spans="1:2" x14ac:dyDescent="0.25">
      <c r="A386">
        <v>384</v>
      </c>
      <c r="B386" t="s">
        <v>2108</v>
      </c>
    </row>
    <row r="387" spans="1:2" x14ac:dyDescent="0.25">
      <c r="A387">
        <v>385</v>
      </c>
    </row>
    <row r="388" spans="1:2" x14ac:dyDescent="0.25">
      <c r="A388">
        <v>386</v>
      </c>
      <c r="B388" t="s">
        <v>2109</v>
      </c>
    </row>
    <row r="389" spans="1:2" x14ac:dyDescent="0.25">
      <c r="A389">
        <v>387</v>
      </c>
      <c r="B389" t="s">
        <v>2110</v>
      </c>
    </row>
    <row r="390" spans="1:2" x14ac:dyDescent="0.25">
      <c r="A390">
        <v>388</v>
      </c>
      <c r="B390" t="s">
        <v>723</v>
      </c>
    </row>
    <row r="391" spans="1:2" x14ac:dyDescent="0.25">
      <c r="A391">
        <v>389</v>
      </c>
      <c r="B391" t="s">
        <v>2111</v>
      </c>
    </row>
    <row r="392" spans="1:2" x14ac:dyDescent="0.25">
      <c r="A392">
        <v>390</v>
      </c>
      <c r="B392" t="s">
        <v>2112</v>
      </c>
    </row>
    <row r="393" spans="1:2" x14ac:dyDescent="0.25">
      <c r="A393">
        <v>391</v>
      </c>
      <c r="B393" t="s">
        <v>2113</v>
      </c>
    </row>
    <row r="394" spans="1:2" x14ac:dyDescent="0.25">
      <c r="A394">
        <v>392</v>
      </c>
      <c r="B394" t="s">
        <v>699</v>
      </c>
    </row>
    <row r="395" spans="1:2" x14ac:dyDescent="0.25">
      <c r="A395">
        <v>393</v>
      </c>
    </row>
    <row r="396" spans="1:2" x14ac:dyDescent="0.25">
      <c r="A396">
        <v>394</v>
      </c>
    </row>
    <row r="397" spans="1:2" x14ac:dyDescent="0.25">
      <c r="A397">
        <v>395</v>
      </c>
      <c r="B397" t="s">
        <v>703</v>
      </c>
    </row>
    <row r="398" spans="1:2" x14ac:dyDescent="0.25">
      <c r="A398">
        <v>396</v>
      </c>
      <c r="B398" t="s">
        <v>1382</v>
      </c>
    </row>
    <row r="399" spans="1:2" x14ac:dyDescent="0.25">
      <c r="A399">
        <v>397</v>
      </c>
      <c r="B399" t="s">
        <v>2114</v>
      </c>
    </row>
    <row r="400" spans="1:2" x14ac:dyDescent="0.25">
      <c r="A400">
        <v>398</v>
      </c>
      <c r="B400" t="s">
        <v>2115</v>
      </c>
    </row>
    <row r="401" spans="1:2" x14ac:dyDescent="0.25">
      <c r="A401">
        <v>399</v>
      </c>
      <c r="B401" t="s">
        <v>2116</v>
      </c>
    </row>
    <row r="402" spans="1:2" x14ac:dyDescent="0.25">
      <c r="A402">
        <v>400</v>
      </c>
      <c r="B402" t="s">
        <v>1383</v>
      </c>
    </row>
    <row r="403" spans="1:2" x14ac:dyDescent="0.25">
      <c r="A403">
        <v>401</v>
      </c>
      <c r="B403" t="s">
        <v>1384</v>
      </c>
    </row>
    <row r="404" spans="1:2" x14ac:dyDescent="0.25">
      <c r="A404">
        <v>402</v>
      </c>
      <c r="B404" t="s">
        <v>2117</v>
      </c>
    </row>
    <row r="405" spans="1:2" x14ac:dyDescent="0.25">
      <c r="A405">
        <v>403</v>
      </c>
      <c r="B405" t="s">
        <v>2118</v>
      </c>
    </row>
    <row r="406" spans="1:2" x14ac:dyDescent="0.25">
      <c r="A406">
        <v>404</v>
      </c>
      <c r="B406" t="s">
        <v>2119</v>
      </c>
    </row>
    <row r="407" spans="1:2" x14ac:dyDescent="0.25">
      <c r="A407">
        <v>405</v>
      </c>
      <c r="B407" t="s">
        <v>2120</v>
      </c>
    </row>
    <row r="408" spans="1:2" x14ac:dyDescent="0.25">
      <c r="A408">
        <v>406</v>
      </c>
      <c r="B408" t="s">
        <v>2121</v>
      </c>
    </row>
    <row r="409" spans="1:2" x14ac:dyDescent="0.25">
      <c r="A409">
        <v>407</v>
      </c>
      <c r="B409" t="s">
        <v>2122</v>
      </c>
    </row>
    <row r="410" spans="1:2" x14ac:dyDescent="0.25">
      <c r="A410">
        <v>408</v>
      </c>
    </row>
    <row r="411" spans="1:2" x14ac:dyDescent="0.25">
      <c r="A411">
        <v>409</v>
      </c>
      <c r="B411" t="s">
        <v>1493</v>
      </c>
    </row>
    <row r="412" spans="1:2" x14ac:dyDescent="0.25">
      <c r="A412">
        <v>410</v>
      </c>
      <c r="B412" t="s">
        <v>1492</v>
      </c>
    </row>
    <row r="413" spans="1:2" x14ac:dyDescent="0.25">
      <c r="A413">
        <v>411</v>
      </c>
      <c r="B413" t="s">
        <v>2123</v>
      </c>
    </row>
    <row r="414" spans="1:2" x14ac:dyDescent="0.25">
      <c r="A414">
        <v>412</v>
      </c>
      <c r="B414" t="s">
        <v>2124</v>
      </c>
    </row>
    <row r="415" spans="1:2" x14ac:dyDescent="0.25">
      <c r="A415">
        <v>413</v>
      </c>
      <c r="B415" t="s">
        <v>2125</v>
      </c>
    </row>
    <row r="416" spans="1:2" x14ac:dyDescent="0.25">
      <c r="A416">
        <v>414</v>
      </c>
      <c r="B416" t="s">
        <v>2126</v>
      </c>
    </row>
    <row r="417" spans="1:2" x14ac:dyDescent="0.25">
      <c r="A417">
        <v>415</v>
      </c>
      <c r="B417" t="s">
        <v>2127</v>
      </c>
    </row>
    <row r="418" spans="1:2" x14ac:dyDescent="0.25">
      <c r="A418">
        <v>416</v>
      </c>
      <c r="B418" t="s">
        <v>2128</v>
      </c>
    </row>
    <row r="419" spans="1:2" x14ac:dyDescent="0.25">
      <c r="A419">
        <v>417</v>
      </c>
      <c r="B419" t="s">
        <v>2129</v>
      </c>
    </row>
    <row r="420" spans="1:2" x14ac:dyDescent="0.25">
      <c r="A420">
        <v>418</v>
      </c>
      <c r="B420" t="s">
        <v>2130</v>
      </c>
    </row>
    <row r="421" spans="1:2" x14ac:dyDescent="0.25">
      <c r="A421">
        <v>419</v>
      </c>
      <c r="B421" t="s">
        <v>2131</v>
      </c>
    </row>
    <row r="422" spans="1:2" x14ac:dyDescent="0.25">
      <c r="A422">
        <v>420</v>
      </c>
      <c r="B422" t="s">
        <v>2132</v>
      </c>
    </row>
    <row r="423" spans="1:2" x14ac:dyDescent="0.25">
      <c r="A423">
        <v>421</v>
      </c>
      <c r="B423" t="s">
        <v>2133</v>
      </c>
    </row>
    <row r="424" spans="1:2" x14ac:dyDescent="0.25">
      <c r="A424">
        <v>422</v>
      </c>
      <c r="B424" t="s">
        <v>1593</v>
      </c>
    </row>
    <row r="425" spans="1:2" x14ac:dyDescent="0.25">
      <c r="A425">
        <v>423</v>
      </c>
      <c r="B425" t="s">
        <v>1594</v>
      </c>
    </row>
    <row r="426" spans="1:2" x14ac:dyDescent="0.25">
      <c r="A426">
        <v>424</v>
      </c>
      <c r="B426" t="s">
        <v>2134</v>
      </c>
    </row>
    <row r="427" spans="1:2" x14ac:dyDescent="0.25">
      <c r="A427">
        <v>425</v>
      </c>
      <c r="B427" t="s">
        <v>2135</v>
      </c>
    </row>
    <row r="428" spans="1:2" x14ac:dyDescent="0.25">
      <c r="A428">
        <v>426</v>
      </c>
      <c r="B428" t="s">
        <v>2136</v>
      </c>
    </row>
    <row r="429" spans="1:2" x14ac:dyDescent="0.25">
      <c r="A429">
        <v>427</v>
      </c>
      <c r="B429" t="s">
        <v>1654</v>
      </c>
    </row>
    <row r="430" spans="1:2" x14ac:dyDescent="0.25">
      <c r="A430">
        <v>428</v>
      </c>
      <c r="B430" t="s">
        <v>1655</v>
      </c>
    </row>
    <row r="431" spans="1:2" x14ac:dyDescent="0.25">
      <c r="A431">
        <v>429</v>
      </c>
      <c r="B431" t="s">
        <v>2137</v>
      </c>
    </row>
    <row r="432" spans="1:2" x14ac:dyDescent="0.25">
      <c r="A432">
        <v>430</v>
      </c>
      <c r="B432" t="s">
        <v>2138</v>
      </c>
    </row>
    <row r="433" spans="1:2" x14ac:dyDescent="0.25">
      <c r="A433">
        <v>431</v>
      </c>
      <c r="B433" t="s">
        <v>2139</v>
      </c>
    </row>
    <row r="434" spans="1:2" x14ac:dyDescent="0.25">
      <c r="A434">
        <v>432</v>
      </c>
      <c r="B434" t="s">
        <v>2140</v>
      </c>
    </row>
    <row r="435" spans="1:2" x14ac:dyDescent="0.25">
      <c r="A435">
        <v>433</v>
      </c>
      <c r="B435" t="s">
        <v>2141</v>
      </c>
    </row>
    <row r="436" spans="1:2" x14ac:dyDescent="0.25">
      <c r="A436">
        <v>434</v>
      </c>
      <c r="B436" t="s">
        <v>2142</v>
      </c>
    </row>
    <row r="437" spans="1:2" x14ac:dyDescent="0.25">
      <c r="A437">
        <v>435</v>
      </c>
      <c r="B437" t="s">
        <v>2143</v>
      </c>
    </row>
    <row r="438" spans="1:2" x14ac:dyDescent="0.25">
      <c r="A438">
        <v>436</v>
      </c>
      <c r="B438" t="s">
        <v>2144</v>
      </c>
    </row>
    <row r="439" spans="1:2" x14ac:dyDescent="0.25">
      <c r="A439">
        <v>437</v>
      </c>
      <c r="B439" t="s">
        <v>2401</v>
      </c>
    </row>
    <row r="440" spans="1:2" x14ac:dyDescent="0.25">
      <c r="A440">
        <v>438</v>
      </c>
      <c r="B440" t="s">
        <v>1704</v>
      </c>
    </row>
    <row r="441" spans="1:2" x14ac:dyDescent="0.25">
      <c r="A441">
        <v>439</v>
      </c>
      <c r="B441" t="s">
        <v>1705</v>
      </c>
    </row>
    <row r="442" spans="1:2" x14ac:dyDescent="0.25">
      <c r="A442">
        <v>440</v>
      </c>
      <c r="B442" t="s">
        <v>1706</v>
      </c>
    </row>
    <row r="443" spans="1:2" x14ac:dyDescent="0.25">
      <c r="A443">
        <v>441</v>
      </c>
      <c r="B443" t="s">
        <v>2198</v>
      </c>
    </row>
    <row r="444" spans="1:2" x14ac:dyDescent="0.25">
      <c r="A444">
        <v>442</v>
      </c>
      <c r="B444" t="s">
        <v>2199</v>
      </c>
    </row>
    <row r="445" spans="1:2" x14ac:dyDescent="0.25">
      <c r="A445">
        <v>443</v>
      </c>
      <c r="B445" t="s">
        <v>2200</v>
      </c>
    </row>
    <row r="446" spans="1:2" x14ac:dyDescent="0.25">
      <c r="A446">
        <v>444</v>
      </c>
      <c r="B446" t="s">
        <v>2201</v>
      </c>
    </row>
    <row r="447" spans="1:2" x14ac:dyDescent="0.25">
      <c r="A447">
        <v>445</v>
      </c>
      <c r="B447" t="s">
        <v>2202</v>
      </c>
    </row>
    <row r="448" spans="1:2" x14ac:dyDescent="0.25">
      <c r="A448">
        <v>446</v>
      </c>
      <c r="B448" t="s">
        <v>2203</v>
      </c>
    </row>
    <row r="449" spans="1:2" x14ac:dyDescent="0.25">
      <c r="A449">
        <v>447</v>
      </c>
      <c r="B449" t="s">
        <v>2204</v>
      </c>
    </row>
    <row r="450" spans="1:2" x14ac:dyDescent="0.25">
      <c r="A450">
        <v>448</v>
      </c>
      <c r="B450" t="s">
        <v>2205</v>
      </c>
    </row>
    <row r="451" spans="1:2" x14ac:dyDescent="0.25">
      <c r="A451">
        <v>449</v>
      </c>
      <c r="B451" t="s">
        <v>2206</v>
      </c>
    </row>
    <row r="452" spans="1:2" x14ac:dyDescent="0.25">
      <c r="A452">
        <v>450</v>
      </c>
      <c r="B452" t="s">
        <v>2145</v>
      </c>
    </row>
    <row r="453" spans="1:2" x14ac:dyDescent="0.25">
      <c r="A453">
        <v>451</v>
      </c>
      <c r="B453" t="s">
        <v>2146</v>
      </c>
    </row>
    <row r="454" spans="1:2" x14ac:dyDescent="0.25">
      <c r="A454">
        <v>452</v>
      </c>
      <c r="B454" t="s">
        <v>2147</v>
      </c>
    </row>
    <row r="455" spans="1:2" x14ac:dyDescent="0.25">
      <c r="A455">
        <v>453</v>
      </c>
      <c r="B455" t="s">
        <v>2148</v>
      </c>
    </row>
    <row r="456" spans="1:2" x14ac:dyDescent="0.25">
      <c r="A456">
        <v>454</v>
      </c>
      <c r="B456" t="s">
        <v>2400</v>
      </c>
    </row>
    <row r="457" spans="1:2" x14ac:dyDescent="0.25">
      <c r="A457">
        <v>455</v>
      </c>
      <c r="B457" t="s">
        <v>2207</v>
      </c>
    </row>
    <row r="458" spans="1:2" x14ac:dyDescent="0.25">
      <c r="A458">
        <v>456</v>
      </c>
      <c r="B458" t="s">
        <v>2208</v>
      </c>
    </row>
    <row r="459" spans="1:2" x14ac:dyDescent="0.25">
      <c r="A459">
        <v>457</v>
      </c>
      <c r="B459" t="s">
        <v>2209</v>
      </c>
    </row>
    <row r="460" spans="1:2" x14ac:dyDescent="0.25">
      <c r="A460">
        <v>458</v>
      </c>
      <c r="B460" t="s">
        <v>2448</v>
      </c>
    </row>
    <row r="461" spans="1:2" x14ac:dyDescent="0.25">
      <c r="A461">
        <v>459</v>
      </c>
      <c r="B461" t="s">
        <v>2449</v>
      </c>
    </row>
    <row r="462" spans="1:2" x14ac:dyDescent="0.25">
      <c r="A462">
        <v>460</v>
      </c>
      <c r="B462" t="s">
        <v>2450</v>
      </c>
    </row>
    <row r="463" spans="1:2" x14ac:dyDescent="0.25">
      <c r="A463">
        <v>461</v>
      </c>
      <c r="B463" t="s">
        <v>2451</v>
      </c>
    </row>
    <row r="464" spans="1:2" x14ac:dyDescent="0.25">
      <c r="A464">
        <v>462</v>
      </c>
      <c r="B464" t="s">
        <v>2452</v>
      </c>
    </row>
    <row r="465" spans="1:3" x14ac:dyDescent="0.25">
      <c r="A465">
        <v>463</v>
      </c>
      <c r="B465" t="s">
        <v>2453</v>
      </c>
    </row>
    <row r="466" spans="1:3" x14ac:dyDescent="0.25">
      <c r="A466">
        <v>464</v>
      </c>
      <c r="B466" t="s">
        <v>2445</v>
      </c>
    </row>
    <row r="467" spans="1:3" x14ac:dyDescent="0.25">
      <c r="A467">
        <v>465</v>
      </c>
      <c r="B467" t="s">
        <v>2396</v>
      </c>
    </row>
    <row r="468" spans="1:3" x14ac:dyDescent="0.25">
      <c r="A468">
        <v>466</v>
      </c>
      <c r="B468" t="s">
        <v>2395</v>
      </c>
    </row>
    <row r="469" spans="1:3" x14ac:dyDescent="0.25">
      <c r="A469">
        <v>467</v>
      </c>
      <c r="B469" t="s">
        <v>2446</v>
      </c>
    </row>
    <row r="470" spans="1:3" x14ac:dyDescent="0.25">
      <c r="A470">
        <v>468</v>
      </c>
      <c r="B470" t="s">
        <v>2447</v>
      </c>
    </row>
    <row r="471" spans="1:3" x14ac:dyDescent="0.25">
      <c r="A471">
        <v>469</v>
      </c>
      <c r="B471" t="s">
        <v>2506</v>
      </c>
    </row>
    <row r="472" spans="1:3" x14ac:dyDescent="0.25">
      <c r="A472">
        <v>470</v>
      </c>
      <c r="B472" t="s">
        <v>2507</v>
      </c>
    </row>
    <row r="473" spans="1:3" x14ac:dyDescent="0.25">
      <c r="A473">
        <v>471</v>
      </c>
      <c r="B473" t="s">
        <v>2443</v>
      </c>
    </row>
    <row r="474" spans="1:3" x14ac:dyDescent="0.25">
      <c r="A474">
        <v>472</v>
      </c>
      <c r="B474" t="s">
        <v>2444</v>
      </c>
      <c r="C474" s="72"/>
    </row>
    <row r="475" spans="1:3" x14ac:dyDescent="0.25">
      <c r="A475">
        <v>473</v>
      </c>
      <c r="B475" t="s">
        <v>2415</v>
      </c>
      <c r="C475" s="72"/>
    </row>
    <row r="476" spans="1:3" x14ac:dyDescent="0.25">
      <c r="A476">
        <v>474</v>
      </c>
      <c r="C476" s="72"/>
    </row>
    <row r="477" spans="1:3" x14ac:dyDescent="0.25">
      <c r="A477">
        <v>475</v>
      </c>
      <c r="C477" s="72"/>
    </row>
    <row r="478" spans="1:3" x14ac:dyDescent="0.25">
      <c r="A478">
        <v>476</v>
      </c>
      <c r="B478" t="s">
        <v>2665</v>
      </c>
      <c r="C478" s="73"/>
    </row>
    <row r="479" spans="1:3" x14ac:dyDescent="0.25">
      <c r="A479">
        <v>477</v>
      </c>
      <c r="B479" t="s">
        <v>2666</v>
      </c>
      <c r="C479" s="74"/>
    </row>
    <row r="480" spans="1:3" x14ac:dyDescent="0.25">
      <c r="A480">
        <v>478</v>
      </c>
      <c r="B480" t="s">
        <v>2667</v>
      </c>
      <c r="C480" s="74"/>
    </row>
    <row r="481" spans="1:3" x14ac:dyDescent="0.25">
      <c r="A481">
        <v>479</v>
      </c>
      <c r="B481" t="s">
        <v>2668</v>
      </c>
      <c r="C481" s="74"/>
    </row>
    <row r="482" spans="1:3" x14ac:dyDescent="0.25">
      <c r="A482">
        <v>480</v>
      </c>
      <c r="B482" t="s">
        <v>2669</v>
      </c>
      <c r="C482" s="74"/>
    </row>
    <row r="483" spans="1:3" x14ac:dyDescent="0.25">
      <c r="A483">
        <v>481</v>
      </c>
      <c r="B483" t="s">
        <v>2508</v>
      </c>
      <c r="C483" s="74"/>
    </row>
    <row r="484" spans="1:3" x14ac:dyDescent="0.25">
      <c r="A484">
        <v>482</v>
      </c>
      <c r="B484" t="s">
        <v>2509</v>
      </c>
      <c r="C484" s="74"/>
    </row>
    <row r="485" spans="1:3" x14ac:dyDescent="0.25">
      <c r="A485">
        <v>483</v>
      </c>
      <c r="B485" t="s">
        <v>2510</v>
      </c>
      <c r="C485" s="74"/>
    </row>
    <row r="486" spans="1:3" x14ac:dyDescent="0.25">
      <c r="A486">
        <v>484</v>
      </c>
      <c r="B486" t="s">
        <v>2511</v>
      </c>
    </row>
    <row r="487" spans="1:3" x14ac:dyDescent="0.25">
      <c r="A487">
        <v>485</v>
      </c>
      <c r="B487" t="s">
        <v>2500</v>
      </c>
    </row>
    <row r="488" spans="1:3" x14ac:dyDescent="0.25">
      <c r="A488">
        <v>486</v>
      </c>
      <c r="B488" t="s">
        <v>2505</v>
      </c>
    </row>
    <row r="489" spans="1:3" x14ac:dyDescent="0.25">
      <c r="A489">
        <v>487</v>
      </c>
      <c r="B489" t="s">
        <v>2670</v>
      </c>
    </row>
    <row r="490" spans="1:3" x14ac:dyDescent="0.25">
      <c r="A490">
        <v>488</v>
      </c>
      <c r="B490" t="s">
        <v>3330</v>
      </c>
    </row>
    <row r="491" spans="1:3" x14ac:dyDescent="0.25">
      <c r="A491">
        <v>489</v>
      </c>
      <c r="B491" t="s">
        <v>2671</v>
      </c>
    </row>
    <row r="492" spans="1:3" x14ac:dyDescent="0.25">
      <c r="A492">
        <v>490</v>
      </c>
      <c r="B492" t="s">
        <v>2672</v>
      </c>
    </row>
    <row r="493" spans="1:3" x14ac:dyDescent="0.25">
      <c r="A493">
        <v>491</v>
      </c>
      <c r="B493" t="s">
        <v>2673</v>
      </c>
    </row>
    <row r="494" spans="1:3" x14ac:dyDescent="0.25">
      <c r="A494">
        <v>492</v>
      </c>
    </row>
    <row r="495" spans="1:3" x14ac:dyDescent="0.25">
      <c r="A495">
        <v>493</v>
      </c>
      <c r="B495" t="s">
        <v>2674</v>
      </c>
    </row>
    <row r="496" spans="1:3" x14ac:dyDescent="0.25">
      <c r="A496">
        <v>494</v>
      </c>
      <c r="B496" t="s">
        <v>2675</v>
      </c>
    </row>
    <row r="497" spans="1:2" x14ac:dyDescent="0.25">
      <c r="A497">
        <v>495</v>
      </c>
      <c r="B497" t="s">
        <v>2676</v>
      </c>
    </row>
    <row r="498" spans="1:2" x14ac:dyDescent="0.25">
      <c r="A498">
        <v>496</v>
      </c>
      <c r="B498" t="s">
        <v>2677</v>
      </c>
    </row>
    <row r="499" spans="1:2" x14ac:dyDescent="0.25">
      <c r="A499">
        <v>497</v>
      </c>
      <c r="B499" t="s">
        <v>2729</v>
      </c>
    </row>
    <row r="500" spans="1:2" x14ac:dyDescent="0.25">
      <c r="A500">
        <v>498</v>
      </c>
      <c r="B500" t="s">
        <v>2730</v>
      </c>
    </row>
    <row r="501" spans="1:2" x14ac:dyDescent="0.25">
      <c r="A501">
        <v>499</v>
      </c>
      <c r="B501" t="s">
        <v>2726</v>
      </c>
    </row>
    <row r="502" spans="1:2" x14ac:dyDescent="0.25">
      <c r="A502">
        <v>500</v>
      </c>
    </row>
    <row r="503" spans="1:2" x14ac:dyDescent="0.25">
      <c r="A503">
        <v>501</v>
      </c>
      <c r="B503" t="s">
        <v>3331</v>
      </c>
    </row>
    <row r="504" spans="1:2" x14ac:dyDescent="0.25">
      <c r="A504">
        <v>502</v>
      </c>
      <c r="B504" t="s">
        <v>3332</v>
      </c>
    </row>
    <row r="505" spans="1:2" x14ac:dyDescent="0.25">
      <c r="A505">
        <v>503</v>
      </c>
      <c r="B505" t="s">
        <v>3333</v>
      </c>
    </row>
    <row r="506" spans="1:2" x14ac:dyDescent="0.25">
      <c r="A506">
        <v>504</v>
      </c>
      <c r="B506" t="s">
        <v>3334</v>
      </c>
    </row>
    <row r="507" spans="1:2" x14ac:dyDescent="0.25">
      <c r="A507">
        <v>505</v>
      </c>
      <c r="B507" t="s">
        <v>3335</v>
      </c>
    </row>
    <row r="508" spans="1:2" x14ac:dyDescent="0.25">
      <c r="A508">
        <v>506</v>
      </c>
      <c r="B508" t="s">
        <v>3336</v>
      </c>
    </row>
    <row r="509" spans="1:2" x14ac:dyDescent="0.25">
      <c r="A509">
        <v>507</v>
      </c>
      <c r="B509" t="s">
        <v>3337</v>
      </c>
    </row>
    <row r="510" spans="1:2" x14ac:dyDescent="0.25">
      <c r="A510">
        <v>508</v>
      </c>
      <c r="B510" t="s">
        <v>3338</v>
      </c>
    </row>
    <row r="511" spans="1:2" x14ac:dyDescent="0.25">
      <c r="A511">
        <v>509</v>
      </c>
      <c r="B511" t="s">
        <v>3339</v>
      </c>
    </row>
    <row r="512" spans="1:2" x14ac:dyDescent="0.25">
      <c r="A512">
        <v>510</v>
      </c>
      <c r="B512" t="s">
        <v>3340</v>
      </c>
    </row>
    <row r="513" spans="1:2" x14ac:dyDescent="0.25">
      <c r="A513">
        <v>511</v>
      </c>
      <c r="B513" t="s">
        <v>3341</v>
      </c>
    </row>
    <row r="514" spans="1:2" x14ac:dyDescent="0.25">
      <c r="A514">
        <v>512</v>
      </c>
      <c r="B514" t="s">
        <v>3342</v>
      </c>
    </row>
    <row r="515" spans="1:2" x14ac:dyDescent="0.25">
      <c r="A515">
        <v>513</v>
      </c>
      <c r="B515" t="s">
        <v>3343</v>
      </c>
    </row>
    <row r="516" spans="1:2" x14ac:dyDescent="0.25">
      <c r="A516">
        <v>514</v>
      </c>
    </row>
    <row r="517" spans="1:2" x14ac:dyDescent="0.25">
      <c r="A517">
        <v>515</v>
      </c>
    </row>
    <row r="518" spans="1:2" x14ac:dyDescent="0.25">
      <c r="A518">
        <v>516</v>
      </c>
    </row>
    <row r="519" spans="1:2" x14ac:dyDescent="0.25">
      <c r="A519">
        <v>517</v>
      </c>
      <c r="B519" t="s">
        <v>3344</v>
      </c>
    </row>
    <row r="520" spans="1:2" x14ac:dyDescent="0.25">
      <c r="A520">
        <v>518</v>
      </c>
      <c r="B520" t="s">
        <v>3345</v>
      </c>
    </row>
    <row r="521" spans="1:2" x14ac:dyDescent="0.25">
      <c r="A521">
        <v>519</v>
      </c>
      <c r="B521" t="s">
        <v>3346</v>
      </c>
    </row>
    <row r="522" spans="1:2" x14ac:dyDescent="0.25">
      <c r="A522">
        <v>520</v>
      </c>
      <c r="B522" t="s">
        <v>3414</v>
      </c>
    </row>
    <row r="523" spans="1:2" x14ac:dyDescent="0.25">
      <c r="A523">
        <v>521</v>
      </c>
      <c r="B523" t="s">
        <v>3415</v>
      </c>
    </row>
    <row r="524" spans="1:2" x14ac:dyDescent="0.25">
      <c r="A524">
        <v>522</v>
      </c>
      <c r="B524" t="s">
        <v>3347</v>
      </c>
    </row>
    <row r="525" spans="1:2" x14ac:dyDescent="0.25">
      <c r="A525">
        <v>523</v>
      </c>
      <c r="B525" t="s">
        <v>3348</v>
      </c>
    </row>
    <row r="526" spans="1:2" x14ac:dyDescent="0.25">
      <c r="A526">
        <v>524</v>
      </c>
      <c r="B526" t="s">
        <v>3476</v>
      </c>
    </row>
    <row r="527" spans="1:2" x14ac:dyDescent="0.25">
      <c r="A527">
        <v>525</v>
      </c>
      <c r="B527" t="s">
        <v>3477</v>
      </c>
    </row>
    <row r="528" spans="1:2" x14ac:dyDescent="0.25">
      <c r="A528">
        <v>526</v>
      </c>
      <c r="B528" t="s">
        <v>3478</v>
      </c>
    </row>
    <row r="529" spans="1:2" x14ac:dyDescent="0.25">
      <c r="A529">
        <v>527</v>
      </c>
      <c r="B529" t="s">
        <v>3479</v>
      </c>
    </row>
    <row r="530" spans="1:2" x14ac:dyDescent="0.25">
      <c r="A530">
        <v>528</v>
      </c>
      <c r="B530" t="s">
        <v>3567</v>
      </c>
    </row>
    <row r="531" spans="1:2" x14ac:dyDescent="0.25">
      <c r="A531">
        <v>529</v>
      </c>
      <c r="B531" t="s">
        <v>3480</v>
      </c>
    </row>
    <row r="532" spans="1:2" x14ac:dyDescent="0.25">
      <c r="A532">
        <v>530</v>
      </c>
      <c r="B532" t="s">
        <v>3481</v>
      </c>
    </row>
    <row r="533" spans="1:2" x14ac:dyDescent="0.25">
      <c r="A533">
        <v>531</v>
      </c>
      <c r="B533" t="s">
        <v>3568</v>
      </c>
    </row>
    <row r="534" spans="1:2" x14ac:dyDescent="0.25">
      <c r="A534">
        <v>532</v>
      </c>
      <c r="B534" t="s">
        <v>3569</v>
      </c>
    </row>
    <row r="535" spans="1:2" x14ac:dyDescent="0.25">
      <c r="A535">
        <v>533</v>
      </c>
      <c r="B535" t="s">
        <v>3570</v>
      </c>
    </row>
    <row r="536" spans="1:2" x14ac:dyDescent="0.25">
      <c r="A536">
        <v>534</v>
      </c>
      <c r="B536" t="s">
        <v>3668</v>
      </c>
    </row>
    <row r="537" spans="1:2" x14ac:dyDescent="0.25">
      <c r="A537">
        <v>535</v>
      </c>
      <c r="B537" t="s">
        <v>3669</v>
      </c>
    </row>
    <row r="538" spans="1:2" x14ac:dyDescent="0.25">
      <c r="A538">
        <v>536</v>
      </c>
      <c r="B538" t="s">
        <v>3670</v>
      </c>
    </row>
    <row r="539" spans="1:2" x14ac:dyDescent="0.25">
      <c r="A539">
        <v>537</v>
      </c>
      <c r="B539" t="s">
        <v>3671</v>
      </c>
    </row>
    <row r="540" spans="1:2" x14ac:dyDescent="0.25">
      <c r="A540">
        <v>538</v>
      </c>
      <c r="B540" t="s">
        <v>3672</v>
      </c>
    </row>
    <row r="541" spans="1:2" x14ac:dyDescent="0.25">
      <c r="A541">
        <v>539</v>
      </c>
      <c r="B541" t="s">
        <v>3673</v>
      </c>
    </row>
    <row r="542" spans="1:2" x14ac:dyDescent="0.25">
      <c r="A542">
        <v>540</v>
      </c>
      <c r="B542" t="s">
        <v>3674</v>
      </c>
    </row>
    <row r="543" spans="1:2" x14ac:dyDescent="0.25">
      <c r="A543">
        <v>541</v>
      </c>
      <c r="B543" t="s">
        <v>3675</v>
      </c>
    </row>
    <row r="544" spans="1:2" x14ac:dyDescent="0.25">
      <c r="A544">
        <v>542</v>
      </c>
      <c r="B544" t="s">
        <v>3676</v>
      </c>
    </row>
    <row r="545" spans="1:2" x14ac:dyDescent="0.25">
      <c r="A545">
        <v>543</v>
      </c>
      <c r="B545" t="s">
        <v>3677</v>
      </c>
    </row>
    <row r="546" spans="1:2" x14ac:dyDescent="0.25">
      <c r="A546">
        <v>544</v>
      </c>
      <c r="B546" t="s">
        <v>3678</v>
      </c>
    </row>
    <row r="547" spans="1:2" x14ac:dyDescent="0.25">
      <c r="A547">
        <v>545</v>
      </c>
      <c r="B547" t="s">
        <v>3679</v>
      </c>
    </row>
    <row r="548" spans="1:2" x14ac:dyDescent="0.25">
      <c r="A548">
        <v>546</v>
      </c>
      <c r="B548" t="s">
        <v>3680</v>
      </c>
    </row>
    <row r="549" spans="1:2" x14ac:dyDescent="0.25">
      <c r="A549">
        <v>547</v>
      </c>
      <c r="B549" t="s">
        <v>3681</v>
      </c>
    </row>
    <row r="550" spans="1:2" x14ac:dyDescent="0.25">
      <c r="A550">
        <v>548</v>
      </c>
      <c r="B550" t="s">
        <v>3682</v>
      </c>
    </row>
    <row r="551" spans="1:2" x14ac:dyDescent="0.25">
      <c r="A551">
        <v>549</v>
      </c>
      <c r="B551" t="s">
        <v>3683</v>
      </c>
    </row>
    <row r="552" spans="1:2" x14ac:dyDescent="0.25">
      <c r="A552">
        <v>550</v>
      </c>
      <c r="B552" t="s">
        <v>3921</v>
      </c>
    </row>
    <row r="553" spans="1:2" x14ac:dyDescent="0.25">
      <c r="A553">
        <v>551</v>
      </c>
      <c r="B553" t="s">
        <v>3684</v>
      </c>
    </row>
    <row r="554" spans="1:2" x14ac:dyDescent="0.25">
      <c r="A554">
        <v>552</v>
      </c>
      <c r="B554" t="s">
        <v>3685</v>
      </c>
    </row>
    <row r="555" spans="1:2" x14ac:dyDescent="0.25">
      <c r="A555">
        <v>553</v>
      </c>
      <c r="B555" t="s">
        <v>3686</v>
      </c>
    </row>
    <row r="556" spans="1:2" x14ac:dyDescent="0.25">
      <c r="A556">
        <v>554</v>
      </c>
      <c r="B556" t="s">
        <v>3687</v>
      </c>
    </row>
    <row r="557" spans="1:2" x14ac:dyDescent="0.25">
      <c r="A557">
        <v>555</v>
      </c>
      <c r="B557" t="s">
        <v>3779</v>
      </c>
    </row>
    <row r="558" spans="1:2" x14ac:dyDescent="0.25">
      <c r="A558">
        <v>556</v>
      </c>
      <c r="B558" t="s">
        <v>3925</v>
      </c>
    </row>
    <row r="559" spans="1:2" x14ac:dyDescent="0.25">
      <c r="A559">
        <v>557</v>
      </c>
      <c r="B559" t="s">
        <v>3780</v>
      </c>
    </row>
    <row r="560" spans="1:2" x14ac:dyDescent="0.25">
      <c r="A560">
        <v>558</v>
      </c>
    </row>
    <row r="561" spans="1:2" x14ac:dyDescent="0.25">
      <c r="A561">
        <v>559</v>
      </c>
    </row>
    <row r="562" spans="1:2" x14ac:dyDescent="0.25">
      <c r="A562">
        <v>560</v>
      </c>
    </row>
    <row r="563" spans="1:2" x14ac:dyDescent="0.25">
      <c r="A563">
        <v>561</v>
      </c>
    </row>
    <row r="564" spans="1:2" x14ac:dyDescent="0.25">
      <c r="A564">
        <v>562</v>
      </c>
    </row>
    <row r="565" spans="1:2" x14ac:dyDescent="0.25">
      <c r="A565">
        <v>563</v>
      </c>
    </row>
    <row r="566" spans="1:2" x14ac:dyDescent="0.25">
      <c r="A566">
        <v>564</v>
      </c>
    </row>
    <row r="567" spans="1:2" x14ac:dyDescent="0.25">
      <c r="A567">
        <v>565</v>
      </c>
      <c r="B567" t="s">
        <v>3926</v>
      </c>
    </row>
    <row r="568" spans="1:2" x14ac:dyDescent="0.25">
      <c r="A568">
        <v>566</v>
      </c>
      <c r="B568" t="s">
        <v>3781</v>
      </c>
    </row>
    <row r="569" spans="1:2" x14ac:dyDescent="0.25">
      <c r="A569">
        <v>567</v>
      </c>
      <c r="B569" t="s">
        <v>3782</v>
      </c>
    </row>
    <row r="570" spans="1:2" x14ac:dyDescent="0.25">
      <c r="A570">
        <v>568</v>
      </c>
    </row>
    <row r="571" spans="1:2" x14ac:dyDescent="0.25">
      <c r="A571">
        <v>569</v>
      </c>
      <c r="B571" t="s">
        <v>3920</v>
      </c>
    </row>
    <row r="572" spans="1:2" x14ac:dyDescent="0.25">
      <c r="A572">
        <v>570</v>
      </c>
      <c r="B572" t="s">
        <v>3918</v>
      </c>
    </row>
  </sheetData>
  <autoFilter ref="A2:B560" xr:uid="{00000000-0009-0000-0000-000009000000}">
    <sortState xmlns:xlrd2="http://schemas.microsoft.com/office/spreadsheetml/2017/richdata2" ref="A3:B572">
      <sortCondition ref="A2:A560"/>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1"/>
  <sheetViews>
    <sheetView workbookViewId="0">
      <pane ySplit="2" topLeftCell="A63" activePane="bottomLeft" state="frozen"/>
      <selection pane="bottomLeft" activeCell="A94" sqref="A94"/>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19" t="s">
        <v>3785</v>
      </c>
      <c r="B1" s="119"/>
      <c r="C1" s="119"/>
      <c r="D1" s="119"/>
      <c r="E1" s="119"/>
      <c r="F1" s="119"/>
      <c r="G1" s="119"/>
      <c r="H1" s="119"/>
      <c r="I1" s="119"/>
    </row>
    <row r="2" spans="1:10" ht="75" x14ac:dyDescent="0.25">
      <c r="A2" s="1" t="s">
        <v>2286</v>
      </c>
      <c r="B2" s="1" t="s">
        <v>2287</v>
      </c>
      <c r="C2" s="1" t="s">
        <v>2288</v>
      </c>
      <c r="D2" s="97" t="s">
        <v>2383</v>
      </c>
      <c r="E2" s="1" t="s">
        <v>2293</v>
      </c>
      <c r="F2" s="1" t="s">
        <v>2294</v>
      </c>
      <c r="G2" s="1" t="s">
        <v>2320</v>
      </c>
      <c r="H2" s="1" t="s">
        <v>2370</v>
      </c>
      <c r="I2" s="1" t="s">
        <v>2371</v>
      </c>
      <c r="J2" s="69" t="s">
        <v>2373</v>
      </c>
    </row>
    <row r="3" spans="1:10" x14ac:dyDescent="0.25">
      <c r="A3">
        <v>1</v>
      </c>
      <c r="B3">
        <v>1</v>
      </c>
      <c r="C3" t="str">
        <f t="shared" ref="C3:C21" si="0">IF(A3=B3,"X","")</f>
        <v>X</v>
      </c>
      <c r="D3" s="98"/>
      <c r="E3" t="s">
        <v>2290</v>
      </c>
      <c r="F3" t="s">
        <v>2290</v>
      </c>
      <c r="G3" t="str">
        <f>IF(OR(A3=5,A3=6,),"X","")</f>
        <v/>
      </c>
      <c r="H3" t="str">
        <f>IF(OR(A3=7,),"X","")</f>
        <v/>
      </c>
      <c r="I3" t="str">
        <f>IF(OR(A3=8,),"X","")</f>
        <v/>
      </c>
      <c r="J3" s="30" t="str">
        <f>IF(C3="X","","{ parentCategory="&amp;A3&amp;", category="&amp;B3&amp;IF(AND(NOT(ISNA(D3)),D3&lt;&gt;"",NOT(ISERROR(D3))),", zoneIds={"&amp;D3&amp;"}","")&amp;IF(G3&lt;&gt;"",", isDungeon=true","")&amp;IF(H3&lt;&gt;"",", isTrial=true","")&amp;IF(I3&lt;&gt;"",", isArena=true","")&amp;"},") &amp;"--"&amp;E3</f>
        <v>--Aldmeri-Dominion</v>
      </c>
    </row>
    <row r="4" spans="1:10" x14ac:dyDescent="0.25">
      <c r="A4">
        <v>1</v>
      </c>
      <c r="B4">
        <v>11</v>
      </c>
      <c r="C4" t="str">
        <f t="shared" si="0"/>
        <v/>
      </c>
      <c r="D4" s="2">
        <f>VLOOKUP(E4,'ESO zone constants'!$D$5:$H$10003,5,FALSE)</f>
        <v>381</v>
      </c>
      <c r="E4" t="s">
        <v>262</v>
      </c>
      <c r="F4" t="s">
        <v>262</v>
      </c>
      <c r="G4" t="str">
        <f t="shared" ref="G4:G72" si="1">IF(OR(A4=5,A4=6,),"X","")</f>
        <v/>
      </c>
      <c r="H4" t="str">
        <f t="shared" ref="H4:H72" si="2">IF(OR(A4=7,),"X","")</f>
        <v/>
      </c>
      <c r="I4" t="str">
        <f t="shared" ref="I4:I72" si="3">IF(OR(A4=8,),"X","")</f>
        <v/>
      </c>
      <c r="J4" s="30" t="str">
        <f t="shared" ref="J4:J72" si="4">IF(C4="X","","{ parentCategory="&amp;A4&amp;", category="&amp;B4&amp;IF(AND(NOT(ISNA(D4)),D4&lt;&gt;"",NOT(ISERROR(D4))),", zoneIds={"&amp;D4&amp;"}","")&amp;IF(G4&lt;&gt;"",", isDungeon=true","")&amp;IF(H4&lt;&gt;"",", isTrial=true","")&amp;IF(I4&lt;&gt;"",", isArena=true","")&amp;"},") &amp;"--"&amp;E4</f>
        <v>{ parentCategory=1, category=11, zoneIds={381}},--Auridon</v>
      </c>
    </row>
    <row r="5" spans="1:10" x14ac:dyDescent="0.25">
      <c r="A5">
        <v>1</v>
      </c>
      <c r="B5">
        <v>12</v>
      </c>
      <c r="C5" t="str">
        <f t="shared" si="0"/>
        <v/>
      </c>
      <c r="D5" s="2">
        <f>VLOOKUP(E5,'ESO zone constants'!$D$5:$H$10003,5,FALSE)</f>
        <v>383</v>
      </c>
      <c r="E5" t="s">
        <v>264</v>
      </c>
      <c r="F5" t="s">
        <v>2289</v>
      </c>
      <c r="G5" t="str">
        <f t="shared" si="1"/>
        <v/>
      </c>
      <c r="H5" t="str">
        <f t="shared" si="2"/>
        <v/>
      </c>
      <c r="I5" t="str">
        <f t="shared" si="3"/>
        <v/>
      </c>
      <c r="J5" s="30" t="str">
        <f t="shared" si="4"/>
        <v>{ parentCategory=1, category=12, zoneIds={383}},--Grahtwood</v>
      </c>
    </row>
    <row r="6" spans="1:10" x14ac:dyDescent="0.25">
      <c r="A6">
        <v>1</v>
      </c>
      <c r="B6">
        <v>13</v>
      </c>
      <c r="C6" t="str">
        <f t="shared" si="0"/>
        <v/>
      </c>
      <c r="D6" s="2">
        <f>VLOOKUP(E6,'ESO zone constants'!$D$5:$H$10003,5,FALSE)</f>
        <v>108</v>
      </c>
      <c r="E6" t="s">
        <v>113</v>
      </c>
      <c r="F6" t="s">
        <v>2291</v>
      </c>
      <c r="G6" t="str">
        <f t="shared" si="1"/>
        <v/>
      </c>
      <c r="H6" t="str">
        <f t="shared" si="2"/>
        <v/>
      </c>
      <c r="I6" t="str">
        <f t="shared" si="3"/>
        <v/>
      </c>
      <c r="J6" s="30" t="str">
        <f t="shared" si="4"/>
        <v>{ parentCategory=1, category=13, zoneIds={108}},--Greenshade</v>
      </c>
    </row>
    <row r="7" spans="1:10" x14ac:dyDescent="0.25">
      <c r="A7">
        <v>1</v>
      </c>
      <c r="B7">
        <v>14</v>
      </c>
      <c r="C7" t="str">
        <f t="shared" si="0"/>
        <v/>
      </c>
      <c r="D7" s="2">
        <f>VLOOKUP(E7,'ESO zone constants'!$D$5:$H$10003,5,FALSE)</f>
        <v>58</v>
      </c>
      <c r="E7" t="s">
        <v>108</v>
      </c>
      <c r="F7" t="s">
        <v>108</v>
      </c>
      <c r="G7" t="str">
        <f t="shared" si="1"/>
        <v/>
      </c>
      <c r="H7" t="str">
        <f t="shared" si="2"/>
        <v/>
      </c>
      <c r="I7" t="str">
        <f t="shared" si="3"/>
        <v/>
      </c>
      <c r="J7" s="30" t="str">
        <f t="shared" si="4"/>
        <v>{ parentCategory=1, category=14, zoneIds={58}},--Malabal Tor</v>
      </c>
    </row>
    <row r="8" spans="1:10" x14ac:dyDescent="0.25">
      <c r="A8">
        <v>1</v>
      </c>
      <c r="B8">
        <v>15</v>
      </c>
      <c r="C8" t="str">
        <f t="shared" si="0"/>
        <v/>
      </c>
      <c r="D8" s="2">
        <f>VLOOKUP(E8,'ESO zone constants'!$D$5:$H$10003,5,FALSE)</f>
        <v>382</v>
      </c>
      <c r="E8" t="s">
        <v>263</v>
      </c>
      <c r="F8" t="s">
        <v>2292</v>
      </c>
      <c r="G8" t="str">
        <f t="shared" si="1"/>
        <v/>
      </c>
      <c r="H8" t="str">
        <f t="shared" si="2"/>
        <v/>
      </c>
      <c r="I8" t="str">
        <f t="shared" si="3"/>
        <v/>
      </c>
      <c r="J8" s="30" t="str">
        <f t="shared" si="4"/>
        <v>{ parentCategory=1, category=15, zoneIds={382}},--Reaper's March</v>
      </c>
    </row>
    <row r="9" spans="1:10" x14ac:dyDescent="0.25">
      <c r="A9">
        <v>2</v>
      </c>
      <c r="B9">
        <v>2</v>
      </c>
      <c r="C9" t="str">
        <f t="shared" si="0"/>
        <v>X</v>
      </c>
      <c r="D9" s="98" t="e">
        <f>VLOOKUP(E9,'ESO zone constants'!$D$5:$H$10003,5,FALSE)</f>
        <v>#N/A</v>
      </c>
      <c r="E9" t="s">
        <v>2374</v>
      </c>
      <c r="F9" t="s">
        <v>2295</v>
      </c>
      <c r="G9" t="str">
        <f t="shared" si="1"/>
        <v/>
      </c>
      <c r="H9" t="str">
        <f t="shared" si="2"/>
        <v/>
      </c>
      <c r="I9" t="str">
        <f t="shared" si="3"/>
        <v/>
      </c>
      <c r="J9" s="30" t="str">
        <f t="shared" si="4"/>
        <v>--Daggerfall-Convenion</v>
      </c>
    </row>
    <row r="10" spans="1:10" x14ac:dyDescent="0.25">
      <c r="A10">
        <v>2</v>
      </c>
      <c r="B10">
        <v>16</v>
      </c>
      <c r="C10" t="str">
        <f t="shared" si="0"/>
        <v/>
      </c>
      <c r="D10" s="2">
        <f>VLOOKUP(E10,'ESO zone constants'!$D$5:$H$10003,5,FALSE)</f>
        <v>104</v>
      </c>
      <c r="E10" t="s">
        <v>112</v>
      </c>
      <c r="F10" t="s">
        <v>2304</v>
      </c>
      <c r="G10" t="str">
        <f t="shared" si="1"/>
        <v/>
      </c>
      <c r="H10" t="str">
        <f t="shared" si="2"/>
        <v/>
      </c>
      <c r="I10" t="str">
        <f t="shared" si="3"/>
        <v/>
      </c>
      <c r="J10" s="30" t="str">
        <f t="shared" si="4"/>
        <v>{ parentCategory=2, category=16, zoneIds={104}},--Alik'r Desert</v>
      </c>
    </row>
    <row r="11" spans="1:10" x14ac:dyDescent="0.25">
      <c r="A11">
        <v>2</v>
      </c>
      <c r="B11">
        <v>17</v>
      </c>
      <c r="C11" t="str">
        <f t="shared" si="0"/>
        <v/>
      </c>
      <c r="D11" s="2">
        <f>VLOOKUP(E11,'ESO zone constants'!$D$5:$H$10003,5,FALSE)</f>
        <v>92</v>
      </c>
      <c r="E11" t="s">
        <v>109</v>
      </c>
      <c r="F11" t="s">
        <v>109</v>
      </c>
      <c r="G11" t="str">
        <f t="shared" si="1"/>
        <v/>
      </c>
      <c r="H11" t="str">
        <f t="shared" si="2"/>
        <v/>
      </c>
      <c r="I11" t="str">
        <f t="shared" si="3"/>
        <v/>
      </c>
      <c r="J11" s="30" t="str">
        <f t="shared" si="4"/>
        <v>{ parentCategory=2, category=17, zoneIds={92}},--Bangkorai</v>
      </c>
    </row>
    <row r="12" spans="1:10" x14ac:dyDescent="0.25">
      <c r="A12">
        <v>2</v>
      </c>
      <c r="B12">
        <v>18</v>
      </c>
      <c r="C12" t="str">
        <f t="shared" si="0"/>
        <v/>
      </c>
      <c r="D12" s="2">
        <f>VLOOKUP(E12,'ESO zone constants'!$D$5:$H$10003,5,FALSE)</f>
        <v>3</v>
      </c>
      <c r="E12" t="s">
        <v>103</v>
      </c>
      <c r="F12" t="s">
        <v>103</v>
      </c>
      <c r="G12" t="str">
        <f t="shared" si="1"/>
        <v/>
      </c>
      <c r="H12" t="str">
        <f t="shared" si="2"/>
        <v/>
      </c>
      <c r="I12" t="str">
        <f t="shared" si="3"/>
        <v/>
      </c>
      <c r="J12" s="30" t="str">
        <f t="shared" si="4"/>
        <v>{ parentCategory=2, category=18, zoneIds={3}},--Glenumbra</v>
      </c>
    </row>
    <row r="13" spans="1:10" x14ac:dyDescent="0.25">
      <c r="A13">
        <v>2</v>
      </c>
      <c r="B13">
        <v>19</v>
      </c>
      <c r="C13" t="str">
        <f t="shared" si="0"/>
        <v/>
      </c>
      <c r="D13" s="2">
        <f>VLOOKUP(E13,'ESO zone constants'!$D$5:$H$10003,5,FALSE)</f>
        <v>20</v>
      </c>
      <c r="E13" t="s">
        <v>105</v>
      </c>
      <c r="F13" t="s">
        <v>2305</v>
      </c>
      <c r="G13" t="str">
        <f t="shared" si="1"/>
        <v/>
      </c>
      <c r="H13" t="str">
        <f t="shared" si="2"/>
        <v/>
      </c>
      <c r="I13" t="str">
        <f t="shared" si="3"/>
        <v/>
      </c>
      <c r="J13" s="30" t="str">
        <f t="shared" si="4"/>
        <v>{ parentCategory=2, category=19, zoneIds={20}},--Rivenspire</v>
      </c>
    </row>
    <row r="14" spans="1:10" x14ac:dyDescent="0.25">
      <c r="A14">
        <v>2</v>
      </c>
      <c r="B14">
        <v>20</v>
      </c>
      <c r="C14" t="str">
        <f t="shared" si="0"/>
        <v/>
      </c>
      <c r="D14" s="2">
        <f>VLOOKUP(E14,'ESO zone constants'!$D$5:$H$10003,5,FALSE)</f>
        <v>19</v>
      </c>
      <c r="E14" t="s">
        <v>104</v>
      </c>
      <c r="F14" t="s">
        <v>2306</v>
      </c>
      <c r="G14" t="str">
        <f t="shared" si="1"/>
        <v/>
      </c>
      <c r="H14" t="str">
        <f t="shared" si="2"/>
        <v/>
      </c>
      <c r="I14" t="str">
        <f t="shared" si="3"/>
        <v/>
      </c>
      <c r="J14" s="30" t="str">
        <f t="shared" si="4"/>
        <v>{ parentCategory=2, category=20, zoneIds={19}},--Stormhaven</v>
      </c>
    </row>
    <row r="15" spans="1:10" x14ac:dyDescent="0.25">
      <c r="A15">
        <v>3</v>
      </c>
      <c r="B15">
        <v>3</v>
      </c>
      <c r="C15" t="str">
        <f t="shared" si="0"/>
        <v>X</v>
      </c>
      <c r="D15" s="98" t="e">
        <f>VLOOKUP(E15,'ESO zone constants'!$D$5:$H$10003,5,FALSE)</f>
        <v>#N/A</v>
      </c>
      <c r="E15" t="s">
        <v>2375</v>
      </c>
      <c r="F15" t="s">
        <v>2296</v>
      </c>
      <c r="G15" t="str">
        <f t="shared" si="1"/>
        <v/>
      </c>
      <c r="H15" t="str">
        <f t="shared" si="2"/>
        <v/>
      </c>
      <c r="I15" t="str">
        <f t="shared" si="3"/>
        <v/>
      </c>
      <c r="J15" s="30" t="str">
        <f t="shared" si="4"/>
        <v>--Ebonheart Pact</v>
      </c>
    </row>
    <row r="16" spans="1:10" x14ac:dyDescent="0.25">
      <c r="A16">
        <v>3</v>
      </c>
      <c r="B16">
        <v>21</v>
      </c>
      <c r="C16" t="str">
        <f t="shared" si="0"/>
        <v/>
      </c>
      <c r="D16" s="2">
        <f>VLOOKUP(E16,'ESO zone constants'!$D$5:$H$10003,5,FALSE)</f>
        <v>57</v>
      </c>
      <c r="E16" t="s">
        <v>107</v>
      </c>
      <c r="F16" t="s">
        <v>107</v>
      </c>
      <c r="G16" t="str">
        <f t="shared" si="1"/>
        <v/>
      </c>
      <c r="H16" t="str">
        <f t="shared" si="2"/>
        <v/>
      </c>
      <c r="I16" t="str">
        <f t="shared" si="3"/>
        <v/>
      </c>
      <c r="J16" s="30" t="str">
        <f t="shared" si="4"/>
        <v>{ parentCategory=3, category=21, zoneIds={57}},--Deshaan</v>
      </c>
    </row>
    <row r="17" spans="1:10" x14ac:dyDescent="0.25">
      <c r="A17">
        <v>3</v>
      </c>
      <c r="B17">
        <v>22</v>
      </c>
      <c r="C17" t="str">
        <f t="shared" si="0"/>
        <v/>
      </c>
      <c r="D17" s="2">
        <f>VLOOKUP(E17,'ESO zone constants'!$D$5:$H$10003,5,FALSE)</f>
        <v>101</v>
      </c>
      <c r="E17" t="s">
        <v>110</v>
      </c>
      <c r="F17" t="s">
        <v>2307</v>
      </c>
      <c r="G17" t="str">
        <f t="shared" si="1"/>
        <v/>
      </c>
      <c r="H17" t="str">
        <f t="shared" si="2"/>
        <v/>
      </c>
      <c r="I17" t="str">
        <f t="shared" si="3"/>
        <v/>
      </c>
      <c r="J17" s="30" t="str">
        <f t="shared" si="4"/>
        <v>{ parentCategory=3, category=22, zoneIds={101}},--Eastmarch</v>
      </c>
    </row>
    <row r="18" spans="1:10" x14ac:dyDescent="0.25">
      <c r="A18">
        <v>3</v>
      </c>
      <c r="B18">
        <v>23</v>
      </c>
      <c r="C18" t="str">
        <f t="shared" si="0"/>
        <v/>
      </c>
      <c r="D18" s="2">
        <f>VLOOKUP(E18,'ESO zone constants'!$D$5:$H$10003,5,FALSE)</f>
        <v>103</v>
      </c>
      <c r="E18" t="s">
        <v>111</v>
      </c>
      <c r="F18" t="s">
        <v>2308</v>
      </c>
      <c r="G18" t="str">
        <f t="shared" si="1"/>
        <v/>
      </c>
      <c r="H18" t="str">
        <f t="shared" si="2"/>
        <v/>
      </c>
      <c r="I18" t="str">
        <f t="shared" si="3"/>
        <v/>
      </c>
      <c r="J18" s="30" t="str">
        <f t="shared" si="4"/>
        <v>{ parentCategory=3, category=23, zoneIds={103}},--The Rift</v>
      </c>
    </row>
    <row r="19" spans="1:10" x14ac:dyDescent="0.25">
      <c r="A19">
        <v>3</v>
      </c>
      <c r="B19">
        <v>24</v>
      </c>
      <c r="C19" t="str">
        <f t="shared" si="0"/>
        <v/>
      </c>
      <c r="D19" s="2">
        <f>VLOOKUP(E19,'ESO zone constants'!$D$5:$H$10003,5,FALSE)</f>
        <v>117</v>
      </c>
      <c r="E19" t="s">
        <v>114</v>
      </c>
      <c r="F19" t="s">
        <v>2309</v>
      </c>
      <c r="G19" t="str">
        <f t="shared" si="1"/>
        <v/>
      </c>
      <c r="H19" t="str">
        <f t="shared" si="2"/>
        <v/>
      </c>
      <c r="I19" t="str">
        <f t="shared" si="3"/>
        <v/>
      </c>
      <c r="J19" s="30" t="str">
        <f t="shared" si="4"/>
        <v>{ parentCategory=3, category=24, zoneIds={117}},--Shadowfen</v>
      </c>
    </row>
    <row r="20" spans="1:10" x14ac:dyDescent="0.25">
      <c r="A20">
        <v>3</v>
      </c>
      <c r="B20">
        <v>25</v>
      </c>
      <c r="C20" t="str">
        <f t="shared" si="0"/>
        <v/>
      </c>
      <c r="D20" s="2">
        <f>VLOOKUP(E20,'ESO zone constants'!$D$5:$H$10003,5,FALSE)</f>
        <v>41</v>
      </c>
      <c r="E20" t="s">
        <v>106</v>
      </c>
      <c r="F20" t="s">
        <v>2310</v>
      </c>
      <c r="G20" t="str">
        <f t="shared" si="1"/>
        <v/>
      </c>
      <c r="H20" t="str">
        <f t="shared" si="2"/>
        <v/>
      </c>
      <c r="I20" t="str">
        <f t="shared" si="3"/>
        <v/>
      </c>
      <c r="J20" s="30" t="str">
        <f t="shared" si="4"/>
        <v>{ parentCategory=3, category=25, zoneIds={41}},--Stonefalls</v>
      </c>
    </row>
    <row r="21" spans="1:10" x14ac:dyDescent="0.25">
      <c r="A21">
        <v>4</v>
      </c>
      <c r="B21">
        <v>4</v>
      </c>
      <c r="C21" t="str">
        <f t="shared" si="0"/>
        <v>X</v>
      </c>
      <c r="D21" s="98" t="e">
        <f>VLOOKUP(E21,'ESO zone constants'!$D$5:$H$10003,5,FALSE)</f>
        <v>#N/A</v>
      </c>
      <c r="E21" t="s">
        <v>2376</v>
      </c>
      <c r="F21" t="s">
        <v>2297</v>
      </c>
      <c r="G21" t="str">
        <f t="shared" si="1"/>
        <v/>
      </c>
      <c r="H21" t="str">
        <f t="shared" si="2"/>
        <v/>
      </c>
      <c r="I21" t="str">
        <f t="shared" si="3"/>
        <v/>
      </c>
      <c r="J21" s="30" t="str">
        <f t="shared" si="4"/>
        <v>--DLC-Regions</v>
      </c>
    </row>
    <row r="22" spans="1:10" x14ac:dyDescent="0.25">
      <c r="A22">
        <v>4</v>
      </c>
      <c r="B22">
        <v>29</v>
      </c>
      <c r="D22" s="2">
        <f>VLOOKUP(E22,'ESO zone constants'!$D$5:$H$10003,5,FALSE)</f>
        <v>684</v>
      </c>
      <c r="E22" t="s">
        <v>450</v>
      </c>
      <c r="F22" t="s">
        <v>450</v>
      </c>
      <c r="G22" t="str">
        <f t="shared" si="1"/>
        <v/>
      </c>
      <c r="H22" t="str">
        <f t="shared" si="2"/>
        <v/>
      </c>
      <c r="I22" t="str">
        <f t="shared" si="3"/>
        <v/>
      </c>
      <c r="J22" s="30" t="str">
        <f t="shared" si="4"/>
        <v>{ parentCategory=4, category=29, zoneIds={684}},--Wrothgar</v>
      </c>
    </row>
    <row r="23" spans="1:10" x14ac:dyDescent="0.25">
      <c r="A23">
        <v>4</v>
      </c>
      <c r="B23">
        <v>30</v>
      </c>
      <c r="C23" t="str">
        <f t="shared" ref="C23:C39" si="5">IF(A23=B23,"X","")</f>
        <v/>
      </c>
      <c r="D23" s="2">
        <f>VLOOKUP(E23,'ESO zone constants'!$D$5:$H$10003,5,FALSE)</f>
        <v>816</v>
      </c>
      <c r="E23" t="s">
        <v>507</v>
      </c>
      <c r="F23" t="s">
        <v>2312</v>
      </c>
      <c r="G23" t="str">
        <f t="shared" si="1"/>
        <v/>
      </c>
      <c r="H23" t="str">
        <f t="shared" si="2"/>
        <v/>
      </c>
      <c r="I23" t="str">
        <f t="shared" si="3"/>
        <v/>
      </c>
      <c r="J23" s="30" t="str">
        <f t="shared" si="4"/>
        <v>{ parentCategory=4, category=30, zoneIds={816}},--Hew's Bane</v>
      </c>
    </row>
    <row r="24" spans="1:10" x14ac:dyDescent="0.25">
      <c r="A24">
        <v>4</v>
      </c>
      <c r="B24">
        <v>31</v>
      </c>
      <c r="C24" t="str">
        <f t="shared" si="5"/>
        <v/>
      </c>
      <c r="D24" s="2">
        <f>VLOOKUP(E24,'ESO zone constants'!$D$5:$H$10003,5,FALSE)</f>
        <v>823</v>
      </c>
      <c r="E24" t="s">
        <v>513</v>
      </c>
      <c r="F24" t="s">
        <v>2311</v>
      </c>
      <c r="G24" t="str">
        <f t="shared" si="1"/>
        <v/>
      </c>
      <c r="H24" t="str">
        <f t="shared" si="2"/>
        <v/>
      </c>
      <c r="I24" t="str">
        <f t="shared" si="3"/>
        <v/>
      </c>
      <c r="J24" s="30" t="str">
        <f t="shared" si="4"/>
        <v>{ parentCategory=4, category=31, zoneIds={823}},--Gold Coast</v>
      </c>
    </row>
    <row r="25" spans="1:10" x14ac:dyDescent="0.25">
      <c r="A25">
        <v>4</v>
      </c>
      <c r="B25">
        <v>32</v>
      </c>
      <c r="C25" t="str">
        <f t="shared" si="5"/>
        <v/>
      </c>
      <c r="D25" s="2">
        <f>VLOOKUP(E25,'ESO zone constants'!$D$5:$H$10003,5,FALSE)</f>
        <v>849</v>
      </c>
      <c r="E25" t="s">
        <v>530</v>
      </c>
      <c r="F25" t="s">
        <v>530</v>
      </c>
      <c r="G25" t="str">
        <f t="shared" si="1"/>
        <v/>
      </c>
      <c r="H25" t="str">
        <f t="shared" si="2"/>
        <v/>
      </c>
      <c r="I25" t="str">
        <f t="shared" si="3"/>
        <v/>
      </c>
      <c r="J25" s="30" t="str">
        <f t="shared" si="4"/>
        <v>{ parentCategory=4, category=32, zoneIds={849}},--Vvardenfell</v>
      </c>
    </row>
    <row r="26" spans="1:10" x14ac:dyDescent="0.25">
      <c r="A26">
        <v>4</v>
      </c>
      <c r="B26">
        <v>33</v>
      </c>
      <c r="C26" t="str">
        <f t="shared" si="5"/>
        <v/>
      </c>
      <c r="D26" s="2">
        <v>980.98099999999999</v>
      </c>
      <c r="E26" t="s">
        <v>3302</v>
      </c>
      <c r="F26" t="s">
        <v>3301</v>
      </c>
      <c r="G26" t="str">
        <f t="shared" si="1"/>
        <v/>
      </c>
      <c r="H26" t="str">
        <f t="shared" si="2"/>
        <v/>
      </c>
      <c r="I26" t="str">
        <f t="shared" si="3"/>
        <v/>
      </c>
      <c r="J26" s="30" t="str">
        <f t="shared" si="4"/>
        <v>{ parentCategory=4, category=33, zoneIds={980,981}},--Clockwork City/Brass Fortress</v>
      </c>
    </row>
    <row r="27" spans="1:10" x14ac:dyDescent="0.25">
      <c r="A27">
        <v>4</v>
      </c>
      <c r="B27">
        <v>34</v>
      </c>
      <c r="C27" t="str">
        <f t="shared" si="5"/>
        <v/>
      </c>
      <c r="D27" s="2">
        <v>1011.1027</v>
      </c>
      <c r="E27" t="s">
        <v>3295</v>
      </c>
      <c r="F27" t="s">
        <v>3296</v>
      </c>
      <c r="G27" t="str">
        <f t="shared" si="1"/>
        <v/>
      </c>
      <c r="H27" t="str">
        <f t="shared" si="2"/>
        <v/>
      </c>
      <c r="I27" t="str">
        <f t="shared" si="3"/>
        <v/>
      </c>
      <c r="J27" s="30" t="str">
        <f t="shared" si="4"/>
        <v>{ parentCategory=4, category=34, zoneIds={1011,1027}},--Summerset/Artaeum</v>
      </c>
    </row>
    <row r="28" spans="1:10" x14ac:dyDescent="0.25">
      <c r="A28">
        <v>4</v>
      </c>
      <c r="B28">
        <v>35</v>
      </c>
      <c r="C28" t="str">
        <f t="shared" si="5"/>
        <v/>
      </c>
      <c r="D28" s="2">
        <f>VLOOKUP(E28,'ESO zone constants'!$D$5:$H$10003,5,FALSE)</f>
        <v>726</v>
      </c>
      <c r="E28" t="s">
        <v>80</v>
      </c>
      <c r="F28" t="s">
        <v>2317</v>
      </c>
      <c r="G28" t="str">
        <f t="shared" si="1"/>
        <v/>
      </c>
      <c r="H28" t="str">
        <f t="shared" si="2"/>
        <v/>
      </c>
      <c r="I28" t="str">
        <f t="shared" si="3"/>
        <v/>
      </c>
      <c r="J28" s="30" t="str">
        <f t="shared" si="4"/>
        <v>{ parentCategory=4, category=35, zoneIds={726}},--Murkmire</v>
      </c>
    </row>
    <row r="29" spans="1:10" x14ac:dyDescent="0.25">
      <c r="A29">
        <v>4</v>
      </c>
      <c r="B29">
        <v>36</v>
      </c>
      <c r="C29" t="str">
        <f t="shared" si="5"/>
        <v/>
      </c>
      <c r="D29" s="2">
        <f>VLOOKUP(E29,'ESO zone constants'!$D$5:$H$10003,5,FALSE)</f>
        <v>1086</v>
      </c>
      <c r="E29" t="s">
        <v>1386</v>
      </c>
      <c r="F29" t="s">
        <v>2313</v>
      </c>
      <c r="G29" t="str">
        <f t="shared" si="1"/>
        <v/>
      </c>
      <c r="H29" t="str">
        <f t="shared" si="2"/>
        <v/>
      </c>
      <c r="I29" t="str">
        <f t="shared" si="3"/>
        <v/>
      </c>
      <c r="J29" s="30" t="str">
        <f t="shared" si="4"/>
        <v>{ parentCategory=4, category=36, zoneIds={1086}},--Northern Elsweyr</v>
      </c>
    </row>
    <row r="30" spans="1:10" x14ac:dyDescent="0.25">
      <c r="A30">
        <v>4</v>
      </c>
      <c r="B30">
        <v>37</v>
      </c>
      <c r="C30" t="str">
        <f t="shared" si="5"/>
        <v/>
      </c>
      <c r="D30" s="2">
        <f>VLOOKUP(E30,'ESO zone constants'!$D$5:$H$10003,5,FALSE)</f>
        <v>1133</v>
      </c>
      <c r="E30" t="s">
        <v>1580</v>
      </c>
      <c r="F30" t="s">
        <v>2316</v>
      </c>
      <c r="G30" t="str">
        <f t="shared" si="1"/>
        <v/>
      </c>
      <c r="H30" t="str">
        <f t="shared" si="2"/>
        <v/>
      </c>
      <c r="I30" t="str">
        <f t="shared" si="3"/>
        <v/>
      </c>
      <c r="J30" s="30" t="str">
        <f t="shared" si="4"/>
        <v>{ parentCategory=4, category=37, zoneIds={1133}},--Southern Elsweyr</v>
      </c>
    </row>
    <row r="31" spans="1:10" x14ac:dyDescent="0.25">
      <c r="A31">
        <v>4</v>
      </c>
      <c r="B31">
        <v>38</v>
      </c>
      <c r="C31" t="str">
        <f t="shared" si="5"/>
        <v/>
      </c>
      <c r="D31" s="2">
        <v>1160.1161</v>
      </c>
      <c r="E31" t="s">
        <v>3303</v>
      </c>
      <c r="F31" t="s">
        <v>3304</v>
      </c>
      <c r="G31" t="str">
        <f t="shared" si="1"/>
        <v/>
      </c>
      <c r="H31" t="str">
        <f t="shared" si="2"/>
        <v/>
      </c>
      <c r="I31" t="str">
        <f t="shared" si="3"/>
        <v/>
      </c>
      <c r="J31" s="30" t="str">
        <f t="shared" si="4"/>
        <v>{ parentCategory=4, category=38, zoneIds={1160,1161}},--Western Skyrim/Blackreach: Greymoor Caverns</v>
      </c>
    </row>
    <row r="32" spans="1:10" x14ac:dyDescent="0.25">
      <c r="A32">
        <v>4</v>
      </c>
      <c r="B32">
        <v>89</v>
      </c>
      <c r="C32" t="str">
        <f t="shared" si="5"/>
        <v/>
      </c>
      <c r="D32" s="2">
        <v>1207.1207999999999</v>
      </c>
      <c r="E32" t="s">
        <v>3305</v>
      </c>
      <c r="F32" t="s">
        <v>3306</v>
      </c>
      <c r="G32" t="str">
        <f t="shared" si="1"/>
        <v/>
      </c>
      <c r="H32" t="str">
        <f t="shared" si="2"/>
        <v/>
      </c>
      <c r="I32" t="str">
        <f t="shared" si="3"/>
        <v/>
      </c>
      <c r="J32" s="30" t="str">
        <f t="shared" si="4"/>
        <v>{ parentCategory=4, category=89, zoneIds={1207,1208}},--The Reach/Blackreach: Arkthzand Cavern</v>
      </c>
    </row>
    <row r="33" spans="1:10" x14ac:dyDescent="0.25">
      <c r="A33">
        <v>4</v>
      </c>
      <c r="B33">
        <v>93</v>
      </c>
      <c r="C33" t="str">
        <f t="shared" si="5"/>
        <v/>
      </c>
      <c r="D33" s="2">
        <f>VLOOKUP(E33,'ESO zone constants'!$D$5:$H$10003,5,FALSE)</f>
        <v>1261</v>
      </c>
      <c r="E33" t="s">
        <v>2385</v>
      </c>
      <c r="F33" t="s">
        <v>3135</v>
      </c>
      <c r="G33" t="str">
        <f t="shared" si="1"/>
        <v/>
      </c>
      <c r="H33" t="str">
        <f t="shared" si="2"/>
        <v/>
      </c>
      <c r="I33" t="str">
        <f t="shared" si="3"/>
        <v/>
      </c>
      <c r="J33" s="30" t="str">
        <f t="shared" si="4"/>
        <v>{ parentCategory=4, category=93, zoneIds={1261}},--Blackwood</v>
      </c>
    </row>
    <row r="34" spans="1:10" x14ac:dyDescent="0.25">
      <c r="A34">
        <v>4</v>
      </c>
      <c r="B34">
        <v>97</v>
      </c>
      <c r="C34" t="str">
        <f t="shared" ref="C34:C35" si="6">IF(A34=B34,"X","")</f>
        <v/>
      </c>
      <c r="D34" s="2" t="s">
        <v>3297</v>
      </c>
      <c r="E34" t="s">
        <v>3298</v>
      </c>
      <c r="F34" t="s">
        <v>3299</v>
      </c>
      <c r="G34" t="str">
        <f t="shared" ref="G34:G35" si="7">IF(OR(A34=5,A34=6,),"X","")</f>
        <v/>
      </c>
      <c r="H34" t="str">
        <f t="shared" ref="H34:H35" si="8">IF(OR(A34=7,),"X","")</f>
        <v/>
      </c>
      <c r="I34" t="str">
        <f t="shared" ref="I34:I35" si="9">IF(OR(A34=8,),"X","")</f>
        <v/>
      </c>
      <c r="J34" s="30" t="str">
        <f t="shared" ref="J34:J35" si="10">IF(C34="X","","{ parentCategory="&amp;A34&amp;", category="&amp;B34&amp;IF(AND(NOT(ISNA(D34)),D34&lt;&gt;"",NOT(ISERROR(D34))),", zoneIds={"&amp;D34&amp;"}","")&amp;IF(G34&lt;&gt;"",", isDungeon=true","")&amp;IF(H34&lt;&gt;"",", isTrial=true","")&amp;IF(I34&lt;&gt;"",", isArena=true","")&amp;"},") &amp;"--"&amp;E34</f>
        <v>{ parentCategory=4, category=97, zoneIds={1286,1282,1283}},--The Deadlands/Fargrave/The Shambles</v>
      </c>
    </row>
    <row r="35" spans="1:10" x14ac:dyDescent="0.25">
      <c r="A35">
        <v>4</v>
      </c>
      <c r="B35">
        <v>100</v>
      </c>
      <c r="C35" t="str">
        <f t="shared" si="6"/>
        <v/>
      </c>
      <c r="D35" s="2" t="s">
        <v>3626</v>
      </c>
      <c r="E35" t="s">
        <v>3327</v>
      </c>
      <c r="F35" t="s">
        <v>3307</v>
      </c>
      <c r="G35" t="str">
        <f t="shared" si="7"/>
        <v/>
      </c>
      <c r="H35" t="str">
        <f t="shared" si="8"/>
        <v/>
      </c>
      <c r="I35" t="str">
        <f t="shared" si="9"/>
        <v/>
      </c>
      <c r="J35" s="30" t="str">
        <f t="shared" si="10"/>
        <v>{ parentCategory=4, category=100, zoneIds={1318}},--High Isle</v>
      </c>
    </row>
    <row r="36" spans="1:10" x14ac:dyDescent="0.25">
      <c r="A36">
        <v>4</v>
      </c>
      <c r="B36">
        <v>104</v>
      </c>
      <c r="C36" t="str">
        <f t="shared" ref="C36:C37" si="11">IF(A36=B36,"X","")</f>
        <v/>
      </c>
      <c r="D36" s="2">
        <v>1383</v>
      </c>
      <c r="E36" t="s">
        <v>3470</v>
      </c>
      <c r="F36" t="s">
        <v>3470</v>
      </c>
      <c r="G36" t="str">
        <f t="shared" ref="G36:G37" si="12">IF(OR(A36=5,A36=6,),"X","")</f>
        <v/>
      </c>
      <c r="H36" t="str">
        <f t="shared" ref="H36:H37" si="13">IF(OR(A36=7,),"X","")</f>
        <v/>
      </c>
      <c r="I36" t="str">
        <f t="shared" ref="I36:I37" si="14">IF(OR(A36=8,),"X","")</f>
        <v/>
      </c>
      <c r="J36" s="30" t="str">
        <f t="shared" ref="J36:J37" si="15">IF(C36="X","","{ parentCategory="&amp;A36&amp;", category="&amp;B36&amp;IF(AND(NOT(ISNA(D36)),D36&lt;&gt;"",NOT(ISERROR(D36))),", zoneIds={"&amp;D36&amp;"}","")&amp;IF(G36&lt;&gt;"",", isDungeon=true","")&amp;IF(H36&lt;&gt;"",", isTrial=true","")&amp;IF(I36&lt;&gt;"",", isArena=true","")&amp;"},") &amp;"--"&amp;E36</f>
        <v>{ parentCategory=4, category=104, zoneIds={1383}},--Galen</v>
      </c>
    </row>
    <row r="37" spans="1:10" x14ac:dyDescent="0.25">
      <c r="A37">
        <v>124</v>
      </c>
      <c r="B37">
        <v>107</v>
      </c>
      <c r="C37" t="str">
        <f t="shared" si="11"/>
        <v/>
      </c>
      <c r="D37" s="2" t="s">
        <v>3749</v>
      </c>
      <c r="E37" t="s">
        <v>3750</v>
      </c>
      <c r="F37" t="s">
        <v>3751</v>
      </c>
      <c r="G37" t="str">
        <f t="shared" si="12"/>
        <v/>
      </c>
      <c r="H37" t="str">
        <f t="shared" si="13"/>
        <v/>
      </c>
      <c r="I37" t="str">
        <f t="shared" si="14"/>
        <v/>
      </c>
      <c r="J37" s="30" t="str">
        <f t="shared" si="15"/>
        <v>{ parentCategory=124, category=107, zoneIds={1413,1414}},--Apocrypha/Telvanni Peninsula</v>
      </c>
    </row>
    <row r="38" spans="1:10" x14ac:dyDescent="0.25">
      <c r="A38">
        <v>5</v>
      </c>
      <c r="B38">
        <v>5</v>
      </c>
      <c r="C38" t="str">
        <f t="shared" si="5"/>
        <v>X</v>
      </c>
      <c r="D38" s="98" t="e">
        <f>VLOOKUP(E38,'ESO zone constants'!$D$5:$H$10003,5,FALSE)</f>
        <v>#N/A</v>
      </c>
      <c r="E38" t="s">
        <v>2377</v>
      </c>
      <c r="F38" t="s">
        <v>2298</v>
      </c>
      <c r="G38" t="str">
        <f t="shared" si="1"/>
        <v>X</v>
      </c>
      <c r="H38" t="str">
        <f t="shared" si="2"/>
        <v/>
      </c>
      <c r="I38" t="str">
        <f t="shared" si="3"/>
        <v/>
      </c>
      <c r="J38" s="30" t="str">
        <f t="shared" si="4"/>
        <v>--Dungeons</v>
      </c>
    </row>
    <row r="39" spans="1:10" x14ac:dyDescent="0.25">
      <c r="A39">
        <v>5</v>
      </c>
      <c r="B39">
        <v>39</v>
      </c>
      <c r="C39" t="str">
        <f t="shared" si="5"/>
        <v/>
      </c>
      <c r="D39" s="2">
        <f>VLOOKUP(E39,'ESO zone constants'!$D$5:$H$10003,5,FALSE)</f>
        <v>148</v>
      </c>
      <c r="E39" t="s">
        <v>60</v>
      </c>
      <c r="F39" t="s">
        <v>60</v>
      </c>
      <c r="G39" t="str">
        <f t="shared" si="1"/>
        <v>X</v>
      </c>
      <c r="H39" t="str">
        <f t="shared" si="2"/>
        <v/>
      </c>
      <c r="I39" t="str">
        <f t="shared" si="3"/>
        <v/>
      </c>
      <c r="J39" s="30" t="str">
        <f t="shared" si="4"/>
        <v>{ parentCategory=5, category=39, zoneIds={148}, isDungeon=true},--Arx Corinium</v>
      </c>
    </row>
    <row r="40" spans="1:10" x14ac:dyDescent="0.25">
      <c r="A40">
        <v>5</v>
      </c>
      <c r="B40">
        <v>40</v>
      </c>
      <c r="D40" s="2">
        <v>380.935</v>
      </c>
      <c r="E40" t="s">
        <v>96</v>
      </c>
      <c r="F40" t="s">
        <v>2332</v>
      </c>
      <c r="G40" t="str">
        <f t="shared" si="1"/>
        <v>X</v>
      </c>
      <c r="H40" t="str">
        <f t="shared" si="2"/>
        <v/>
      </c>
      <c r="I40" t="str">
        <f t="shared" si="3"/>
        <v/>
      </c>
      <c r="J40" s="30" t="str">
        <f t="shared" si="4"/>
        <v>{ parentCategory=5, category=40, zoneIds={380,935}, isDungeon=true},--The Banished Cells I</v>
      </c>
    </row>
    <row r="41" spans="1:10" x14ac:dyDescent="0.25">
      <c r="A41">
        <v>5</v>
      </c>
      <c r="B41">
        <v>41</v>
      </c>
      <c r="C41" t="str">
        <f t="shared" ref="C41:C52" si="16">IF(A41=B41,"X","")</f>
        <v/>
      </c>
      <c r="D41" s="2">
        <f>VLOOKUP(E41,'ESO zone constants'!$D$5:$H$10003,5,FALSE)</f>
        <v>38</v>
      </c>
      <c r="E41" t="s">
        <v>57</v>
      </c>
      <c r="F41" t="s">
        <v>2328</v>
      </c>
      <c r="G41" t="str">
        <f t="shared" si="1"/>
        <v>X</v>
      </c>
      <c r="H41" t="str">
        <f t="shared" si="2"/>
        <v/>
      </c>
      <c r="I41" t="str">
        <f t="shared" si="3"/>
        <v/>
      </c>
      <c r="J41" s="30" t="str">
        <f t="shared" si="4"/>
        <v>{ parentCategory=5, category=41, zoneIds={38}, isDungeon=true},--Blackheart Haven</v>
      </c>
    </row>
    <row r="42" spans="1:10" x14ac:dyDescent="0.25">
      <c r="A42">
        <v>5</v>
      </c>
      <c r="B42">
        <v>42</v>
      </c>
      <c r="C42" t="str">
        <f t="shared" si="16"/>
        <v/>
      </c>
      <c r="D42" s="2">
        <f>VLOOKUP(E42,'ESO zone constants'!$D$5:$H$10003,5,FALSE)</f>
        <v>64</v>
      </c>
      <c r="E42" t="s">
        <v>70</v>
      </c>
      <c r="F42" t="s">
        <v>2322</v>
      </c>
      <c r="G42" t="str">
        <f t="shared" si="1"/>
        <v>X</v>
      </c>
      <c r="H42" t="str">
        <f t="shared" si="2"/>
        <v/>
      </c>
      <c r="I42" t="str">
        <f t="shared" si="3"/>
        <v/>
      </c>
      <c r="J42" s="30" t="str">
        <f t="shared" si="4"/>
        <v>{ parentCategory=5, category=42, zoneIds={64}, isDungeon=true},--Blessed Crucible</v>
      </c>
    </row>
    <row r="43" spans="1:10" x14ac:dyDescent="0.25">
      <c r="A43">
        <v>5</v>
      </c>
      <c r="B43">
        <v>43</v>
      </c>
      <c r="C43" t="str">
        <f t="shared" si="16"/>
        <v/>
      </c>
      <c r="D43" s="2">
        <v>176.68100000000001</v>
      </c>
      <c r="E43" t="s">
        <v>50</v>
      </c>
      <c r="F43" t="s">
        <v>2331</v>
      </c>
      <c r="G43" t="str">
        <f t="shared" si="1"/>
        <v>X</v>
      </c>
      <c r="H43" t="str">
        <f t="shared" si="2"/>
        <v/>
      </c>
      <c r="I43" t="str">
        <f t="shared" si="3"/>
        <v/>
      </c>
      <c r="J43" s="30" t="str">
        <f t="shared" si="4"/>
        <v>{ parentCategory=5, category=43, zoneIds={176,681}, isDungeon=true},--City of Ash I</v>
      </c>
    </row>
    <row r="44" spans="1:10" x14ac:dyDescent="0.25">
      <c r="A44">
        <v>5</v>
      </c>
      <c r="B44">
        <v>44</v>
      </c>
      <c r="C44" t="str">
        <f t="shared" si="16"/>
        <v/>
      </c>
      <c r="D44" s="2">
        <v>130.93199999999999</v>
      </c>
      <c r="E44" t="s">
        <v>49</v>
      </c>
      <c r="F44" t="s">
        <v>2325</v>
      </c>
      <c r="G44" t="str">
        <f t="shared" si="1"/>
        <v>X</v>
      </c>
      <c r="H44" t="str">
        <f t="shared" si="2"/>
        <v/>
      </c>
      <c r="I44" t="str">
        <f t="shared" si="3"/>
        <v/>
      </c>
      <c r="J44" s="30" t="str">
        <f t="shared" si="4"/>
        <v>{ parentCategory=5, category=44, zoneIds={130,932}, isDungeon=true},--Crypt of Hearts I</v>
      </c>
    </row>
    <row r="45" spans="1:10" x14ac:dyDescent="0.25">
      <c r="A45">
        <v>5</v>
      </c>
      <c r="B45">
        <v>45</v>
      </c>
      <c r="C45" t="str">
        <f t="shared" si="16"/>
        <v/>
      </c>
      <c r="D45" s="2" t="s">
        <v>3625</v>
      </c>
      <c r="E45" t="s">
        <v>61</v>
      </c>
      <c r="F45" t="s">
        <v>2319</v>
      </c>
      <c r="G45" t="str">
        <f t="shared" si="1"/>
        <v>X</v>
      </c>
      <c r="H45" t="str">
        <f t="shared" si="2"/>
        <v/>
      </c>
      <c r="I45" t="str">
        <f t="shared" si="3"/>
        <v/>
      </c>
      <c r="J45" s="30" t="str">
        <f t="shared" si="4"/>
        <v>{ parentCategory=5, category=45, zoneIds={63,930}, isDungeon=true},--Darkshade Caverns I</v>
      </c>
    </row>
    <row r="46" spans="1:10" x14ac:dyDescent="0.25">
      <c r="A46">
        <v>5</v>
      </c>
      <c r="B46">
        <v>46</v>
      </c>
      <c r="C46" t="str">
        <f t="shared" si="16"/>
        <v/>
      </c>
      <c r="D46" s="2">
        <f>VLOOKUP(E46,'ESO zone constants'!$D$5:$H$10003,5,FALSE)</f>
        <v>449</v>
      </c>
      <c r="E46" t="s">
        <v>48</v>
      </c>
      <c r="F46" t="s">
        <v>2318</v>
      </c>
      <c r="G46" t="str">
        <f t="shared" si="1"/>
        <v>X</v>
      </c>
      <c r="H46" t="str">
        <f t="shared" si="2"/>
        <v/>
      </c>
      <c r="I46" t="str">
        <f t="shared" si="3"/>
        <v/>
      </c>
      <c r="J46" s="30" t="str">
        <f t="shared" si="4"/>
        <v>{ parentCategory=5, category=46, zoneIds={449}, isDungeon=true},--Direfrost Keep</v>
      </c>
    </row>
    <row r="47" spans="1:10" x14ac:dyDescent="0.25">
      <c r="A47">
        <v>5</v>
      </c>
      <c r="B47">
        <v>47</v>
      </c>
      <c r="C47" t="str">
        <f t="shared" si="16"/>
        <v/>
      </c>
      <c r="D47" s="2">
        <v>126.931</v>
      </c>
      <c r="E47" t="s">
        <v>43</v>
      </c>
      <c r="F47" t="s">
        <v>2321</v>
      </c>
      <c r="G47" t="str">
        <f t="shared" si="1"/>
        <v>X</v>
      </c>
      <c r="H47" t="str">
        <f t="shared" si="2"/>
        <v/>
      </c>
      <c r="I47" t="str">
        <f t="shared" si="3"/>
        <v/>
      </c>
      <c r="J47" s="30" t="str">
        <f t="shared" si="4"/>
        <v>{ parentCategory=5, category=47, zoneIds={126,931}, isDungeon=true},--Elden Hollow I</v>
      </c>
    </row>
    <row r="48" spans="1:10" x14ac:dyDescent="0.25">
      <c r="A48">
        <v>5</v>
      </c>
      <c r="B48">
        <v>48</v>
      </c>
      <c r="C48" t="str">
        <f t="shared" si="16"/>
        <v/>
      </c>
      <c r="D48" s="2">
        <v>283.93400000000003</v>
      </c>
      <c r="E48" t="s">
        <v>51</v>
      </c>
      <c r="F48" t="s">
        <v>2327</v>
      </c>
      <c r="G48" t="str">
        <f t="shared" si="1"/>
        <v>X</v>
      </c>
      <c r="H48" t="str">
        <f t="shared" si="2"/>
        <v/>
      </c>
      <c r="I48" t="str">
        <f t="shared" si="3"/>
        <v/>
      </c>
      <c r="J48" s="30" t="str">
        <f t="shared" si="4"/>
        <v>{ parentCategory=5, category=48, zoneIds={283,934}, isDungeon=true},--Fungal Grotto I</v>
      </c>
    </row>
    <row r="49" spans="1:10" x14ac:dyDescent="0.25">
      <c r="A49">
        <v>5</v>
      </c>
      <c r="B49">
        <v>49</v>
      </c>
      <c r="C49" t="str">
        <f t="shared" si="16"/>
        <v/>
      </c>
      <c r="D49" s="2">
        <f>VLOOKUP(E49,'ESO zone constants'!$D$5:$H$10003,5,FALSE)</f>
        <v>31</v>
      </c>
      <c r="E49" t="s">
        <v>59</v>
      </c>
      <c r="F49" t="s">
        <v>2329</v>
      </c>
      <c r="G49" t="str">
        <f t="shared" si="1"/>
        <v>X</v>
      </c>
      <c r="H49" t="str">
        <f t="shared" si="2"/>
        <v/>
      </c>
      <c r="I49" t="str">
        <f t="shared" si="3"/>
        <v/>
      </c>
      <c r="J49" s="30" t="str">
        <f t="shared" si="4"/>
        <v>{ parentCategory=5, category=49, zoneIds={31}, isDungeon=true},--Selene's Web</v>
      </c>
    </row>
    <row r="50" spans="1:10" x14ac:dyDescent="0.25">
      <c r="A50">
        <v>5</v>
      </c>
      <c r="B50">
        <v>50</v>
      </c>
      <c r="C50" t="str">
        <f t="shared" si="16"/>
        <v/>
      </c>
      <c r="D50" s="2">
        <v>144.93600000000001</v>
      </c>
      <c r="E50" t="s">
        <v>66</v>
      </c>
      <c r="F50" t="s">
        <v>2330</v>
      </c>
      <c r="G50" t="str">
        <f t="shared" si="1"/>
        <v>X</v>
      </c>
      <c r="H50" t="str">
        <f t="shared" si="2"/>
        <v/>
      </c>
      <c r="I50" t="str">
        <f t="shared" si="3"/>
        <v/>
      </c>
      <c r="J50" s="30" t="str">
        <f t="shared" si="4"/>
        <v>{ parentCategory=5, category=50, zoneIds={144,936}, isDungeon=true},--Spindleclutch I</v>
      </c>
    </row>
    <row r="51" spans="1:10" x14ac:dyDescent="0.25">
      <c r="A51">
        <v>5</v>
      </c>
      <c r="B51">
        <v>51</v>
      </c>
      <c r="C51" t="str">
        <f t="shared" si="16"/>
        <v/>
      </c>
      <c r="D51" s="2">
        <f>VLOOKUP(E51,'ESO zone constants'!$D$5:$H$10003,5,FALSE)</f>
        <v>131</v>
      </c>
      <c r="E51" t="s">
        <v>65</v>
      </c>
      <c r="F51" t="s">
        <v>2326</v>
      </c>
      <c r="G51" t="str">
        <f t="shared" si="1"/>
        <v>X</v>
      </c>
      <c r="H51" t="str">
        <f t="shared" si="2"/>
        <v/>
      </c>
      <c r="I51" t="str">
        <f t="shared" si="3"/>
        <v/>
      </c>
      <c r="J51" s="30" t="str">
        <f t="shared" si="4"/>
        <v>{ parentCategory=5, category=51, zoneIds={131}, isDungeon=true},--Tempest Island</v>
      </c>
    </row>
    <row r="52" spans="1:10" x14ac:dyDescent="0.25">
      <c r="A52">
        <v>5</v>
      </c>
      <c r="B52">
        <v>52</v>
      </c>
      <c r="C52" t="str">
        <f t="shared" si="16"/>
        <v/>
      </c>
      <c r="D52" s="2">
        <f>VLOOKUP(E52,'ESO zone constants'!$D$5:$H$10003,5,FALSE)</f>
        <v>11</v>
      </c>
      <c r="E52" t="s">
        <v>47</v>
      </c>
      <c r="F52" t="s">
        <v>2323</v>
      </c>
      <c r="G52" t="str">
        <f t="shared" si="1"/>
        <v>X</v>
      </c>
      <c r="H52" t="str">
        <f t="shared" si="2"/>
        <v/>
      </c>
      <c r="I52" t="str">
        <f t="shared" si="3"/>
        <v/>
      </c>
      <c r="J52" s="30" t="str">
        <f t="shared" si="4"/>
        <v>{ parentCategory=5, category=52, zoneIds={11}, isDungeon=true},--Vaults of Madness</v>
      </c>
    </row>
    <row r="53" spans="1:10" x14ac:dyDescent="0.25">
      <c r="A53">
        <v>5</v>
      </c>
      <c r="B53">
        <v>53</v>
      </c>
      <c r="D53" s="2">
        <f>VLOOKUP(E53,'ESO zone constants'!$D$5:$H$10003,5,FALSE)</f>
        <v>22</v>
      </c>
      <c r="E53" t="s">
        <v>68</v>
      </c>
      <c r="F53" t="s">
        <v>68</v>
      </c>
      <c r="G53" t="str">
        <f t="shared" si="1"/>
        <v>X</v>
      </c>
      <c r="H53" t="str">
        <f t="shared" si="2"/>
        <v/>
      </c>
      <c r="I53" t="str">
        <f t="shared" si="3"/>
        <v/>
      </c>
      <c r="J53" s="30" t="str">
        <f t="shared" si="4"/>
        <v>{ parentCategory=5, category=53, zoneIds={22}, isDungeon=true},--Volenfell</v>
      </c>
    </row>
    <row r="54" spans="1:10" x14ac:dyDescent="0.25">
      <c r="A54">
        <v>5</v>
      </c>
      <c r="B54">
        <v>54</v>
      </c>
      <c r="C54" t="str">
        <f>IF(A54=B54,"X","")</f>
        <v/>
      </c>
      <c r="D54" s="2">
        <v>146.93299999999999</v>
      </c>
      <c r="E54" t="s">
        <v>62</v>
      </c>
      <c r="F54" t="s">
        <v>2324</v>
      </c>
      <c r="G54" t="str">
        <f t="shared" si="1"/>
        <v>X</v>
      </c>
      <c r="H54" t="str">
        <f t="shared" si="2"/>
        <v/>
      </c>
      <c r="I54" t="str">
        <f t="shared" si="3"/>
        <v/>
      </c>
      <c r="J54" s="30" t="str">
        <f t="shared" si="4"/>
        <v>{ parentCategory=5, category=54, zoneIds={146,933}, isDungeon=true},--Wayrest Sewers I</v>
      </c>
    </row>
    <row r="55" spans="1:10" x14ac:dyDescent="0.25">
      <c r="A55">
        <v>6</v>
      </c>
      <c r="B55">
        <v>6</v>
      </c>
      <c r="C55" t="str">
        <f>IF(A55=B55,"X","")</f>
        <v>X</v>
      </c>
      <c r="D55" s="98" t="e">
        <f>VLOOKUP(E55,'ESO zone constants'!$D$5:$H$10003,5,FALSE)</f>
        <v>#N/A</v>
      </c>
      <c r="E55" t="s">
        <v>2378</v>
      </c>
      <c r="F55" t="s">
        <v>2299</v>
      </c>
      <c r="G55" t="str">
        <f t="shared" si="1"/>
        <v>X</v>
      </c>
      <c r="H55" t="str">
        <f t="shared" si="2"/>
        <v/>
      </c>
      <c r="I55" t="str">
        <f t="shared" si="3"/>
        <v/>
      </c>
      <c r="J55" s="30" t="str">
        <f t="shared" si="4"/>
        <v>--DLC-Dungeons</v>
      </c>
    </row>
    <row r="56" spans="1:10" x14ac:dyDescent="0.25">
      <c r="A56">
        <v>6</v>
      </c>
      <c r="B56">
        <v>55</v>
      </c>
      <c r="D56" s="2">
        <f>VLOOKUP(E56,'ESO zone constants'!$D$5:$H$10003,5,FALSE)</f>
        <v>678</v>
      </c>
      <c r="E56" t="s">
        <v>52</v>
      </c>
      <c r="F56" t="s">
        <v>2337</v>
      </c>
      <c r="G56" t="str">
        <f t="shared" si="1"/>
        <v>X</v>
      </c>
      <c r="H56" t="str">
        <f t="shared" si="2"/>
        <v/>
      </c>
      <c r="I56" t="str">
        <f t="shared" si="3"/>
        <v/>
      </c>
      <c r="J56" s="30" t="str">
        <f t="shared" si="4"/>
        <v>{ parentCategory=6, category=55, zoneIds={678}, isDungeon=true},--Imperial City Prison</v>
      </c>
    </row>
    <row r="57" spans="1:10" x14ac:dyDescent="0.25">
      <c r="A57">
        <v>6</v>
      </c>
      <c r="B57">
        <v>56</v>
      </c>
      <c r="D57" s="2">
        <f>VLOOKUP(E57,'ESO zone constants'!$D$5:$H$10003,5,FALSE)</f>
        <v>688</v>
      </c>
      <c r="E57" t="s">
        <v>54</v>
      </c>
      <c r="F57" t="s">
        <v>2349</v>
      </c>
      <c r="G57" t="str">
        <f t="shared" si="1"/>
        <v>X</v>
      </c>
      <c r="H57" t="str">
        <f t="shared" si="2"/>
        <v/>
      </c>
      <c r="I57" t="str">
        <f t="shared" si="3"/>
        <v/>
      </c>
      <c r="J57" s="30" t="str">
        <f t="shared" si="4"/>
        <v>{ parentCategory=6, category=56, zoneIds={688}, isDungeon=true},--White-Gold Tower</v>
      </c>
    </row>
    <row r="58" spans="1:10" x14ac:dyDescent="0.25">
      <c r="A58">
        <v>6</v>
      </c>
      <c r="B58">
        <v>57</v>
      </c>
      <c r="D58" s="2">
        <f>VLOOKUP(E58,'ESO zone constants'!$D$5:$H$10003,5,FALSE)</f>
        <v>848</v>
      </c>
      <c r="E58" t="s">
        <v>72</v>
      </c>
      <c r="F58" t="s">
        <v>2350</v>
      </c>
      <c r="G58" t="str">
        <f t="shared" si="1"/>
        <v>X</v>
      </c>
      <c r="H58" t="str">
        <f t="shared" si="2"/>
        <v/>
      </c>
      <c r="I58" t="str">
        <f t="shared" si="3"/>
        <v/>
      </c>
      <c r="J58" s="30" t="str">
        <f t="shared" si="4"/>
        <v>{ parentCategory=6, category=57, zoneIds={848}, isDungeon=true},--Cradle of Shadows</v>
      </c>
    </row>
    <row r="59" spans="1:10" x14ac:dyDescent="0.25">
      <c r="A59">
        <v>6</v>
      </c>
      <c r="B59">
        <v>58</v>
      </c>
      <c r="D59" s="2">
        <f>VLOOKUP(E59,'ESO zone constants'!$D$5:$H$10003,5,FALSE)</f>
        <v>843</v>
      </c>
      <c r="E59" t="s">
        <v>53</v>
      </c>
      <c r="F59" t="s">
        <v>2345</v>
      </c>
      <c r="G59" t="str">
        <f t="shared" si="1"/>
        <v>X</v>
      </c>
      <c r="H59" t="str">
        <f t="shared" si="2"/>
        <v/>
      </c>
      <c r="I59" t="str">
        <f t="shared" si="3"/>
        <v/>
      </c>
      <c r="J59" s="30" t="str">
        <f t="shared" si="4"/>
        <v>{ parentCategory=6, category=58, zoneIds={843}, isDungeon=true},--Ruins of Mazzatun</v>
      </c>
    </row>
    <row r="60" spans="1:10" x14ac:dyDescent="0.25">
      <c r="A60">
        <v>6</v>
      </c>
      <c r="B60">
        <v>59</v>
      </c>
      <c r="D60" s="2">
        <f>VLOOKUP(E60,'ESO zone constants'!$D$5:$H$10003,5,FALSE)</f>
        <v>973</v>
      </c>
      <c r="E60" t="s">
        <v>45</v>
      </c>
      <c r="F60" t="s">
        <v>2333</v>
      </c>
      <c r="G60" t="str">
        <f t="shared" si="1"/>
        <v>X</v>
      </c>
      <c r="H60" t="str">
        <f t="shared" si="2"/>
        <v/>
      </c>
      <c r="I60" t="str">
        <f t="shared" si="3"/>
        <v/>
      </c>
      <c r="J60" s="30" t="str">
        <f t="shared" si="4"/>
        <v>{ parentCategory=6, category=59, zoneIds={973}, isDungeon=true},--Bloodroot Forge</v>
      </c>
    </row>
    <row r="61" spans="1:10" x14ac:dyDescent="0.25">
      <c r="A61">
        <v>6</v>
      </c>
      <c r="B61">
        <v>60</v>
      </c>
      <c r="D61" s="2">
        <f>VLOOKUP(E61,'ESO zone constants'!$D$5:$H$10003,5,FALSE)</f>
        <v>974</v>
      </c>
      <c r="E61" t="s">
        <v>44</v>
      </c>
      <c r="F61" t="s">
        <v>2335</v>
      </c>
      <c r="G61" t="str">
        <f t="shared" si="1"/>
        <v>X</v>
      </c>
      <c r="H61" t="str">
        <f t="shared" si="2"/>
        <v/>
      </c>
      <c r="I61" t="str">
        <f t="shared" si="3"/>
        <v/>
      </c>
      <c r="J61" s="30" t="str">
        <f t="shared" si="4"/>
        <v>{ parentCategory=6, category=60, zoneIds={974}, isDungeon=true},--Falkreath Hold</v>
      </c>
    </row>
    <row r="62" spans="1:10" x14ac:dyDescent="0.25">
      <c r="A62">
        <v>6</v>
      </c>
      <c r="B62">
        <v>61</v>
      </c>
      <c r="D62" s="2">
        <f>VLOOKUP(E62,'ESO zone constants'!$D$5:$H$10003,5,FALSE)</f>
        <v>1009</v>
      </c>
      <c r="E62" t="s">
        <v>69</v>
      </c>
      <c r="F62" t="s">
        <v>2341</v>
      </c>
      <c r="G62" t="str">
        <f t="shared" si="1"/>
        <v>X</v>
      </c>
      <c r="H62" t="str">
        <f t="shared" si="2"/>
        <v/>
      </c>
      <c r="I62" t="str">
        <f t="shared" si="3"/>
        <v/>
      </c>
      <c r="J62" s="30" t="str">
        <f t="shared" si="4"/>
        <v>{ parentCategory=6, category=61, zoneIds={1009}, isDungeon=true},--Fang Lair</v>
      </c>
    </row>
    <row r="63" spans="1:10" x14ac:dyDescent="0.25">
      <c r="A63">
        <v>6</v>
      </c>
      <c r="B63">
        <v>62</v>
      </c>
      <c r="D63" s="2">
        <f>VLOOKUP(E63,'ESO zone constants'!$D$5:$H$10003,5,FALSE)</f>
        <v>1010</v>
      </c>
      <c r="E63" t="s">
        <v>74</v>
      </c>
      <c r="F63" t="s">
        <v>2338</v>
      </c>
      <c r="G63" t="str">
        <f t="shared" si="1"/>
        <v>X</v>
      </c>
      <c r="H63" t="str">
        <f t="shared" si="2"/>
        <v/>
      </c>
      <c r="I63" t="str">
        <f t="shared" si="3"/>
        <v/>
      </c>
      <c r="J63" s="30" t="str">
        <f t="shared" si="4"/>
        <v>{ parentCategory=6, category=62, zoneIds={1010}, isDungeon=true},--Scalecaller Peak</v>
      </c>
    </row>
    <row r="64" spans="1:10" x14ac:dyDescent="0.25">
      <c r="A64">
        <v>6</v>
      </c>
      <c r="B64">
        <v>63</v>
      </c>
      <c r="D64" s="2">
        <f>VLOOKUP(E64,'ESO zone constants'!$D$5:$H$10003,5,FALSE)</f>
        <v>1055</v>
      </c>
      <c r="E64" t="s">
        <v>41</v>
      </c>
      <c r="F64" t="s">
        <v>2342</v>
      </c>
      <c r="G64" t="str">
        <f t="shared" si="1"/>
        <v>X</v>
      </c>
      <c r="H64" t="str">
        <f t="shared" si="2"/>
        <v/>
      </c>
      <c r="I64" t="str">
        <f t="shared" si="3"/>
        <v/>
      </c>
      <c r="J64" s="30" t="str">
        <f t="shared" si="4"/>
        <v>{ parentCategory=6, category=63, zoneIds={1055}, isDungeon=true},--March of Sacrifices</v>
      </c>
    </row>
    <row r="65" spans="1:10" x14ac:dyDescent="0.25">
      <c r="A65">
        <v>6</v>
      </c>
      <c r="B65">
        <v>64</v>
      </c>
      <c r="D65" s="2">
        <f>VLOOKUP(E65,'ESO zone constants'!$D$5:$H$10003,5,FALSE)</f>
        <v>1052</v>
      </c>
      <c r="E65" t="s">
        <v>73</v>
      </c>
      <c r="F65" t="s">
        <v>2344</v>
      </c>
      <c r="G65" t="str">
        <f t="shared" si="1"/>
        <v>X</v>
      </c>
      <c r="H65" t="str">
        <f t="shared" si="2"/>
        <v/>
      </c>
      <c r="I65" t="str">
        <f t="shared" si="3"/>
        <v/>
      </c>
      <c r="J65" s="30" t="str">
        <f t="shared" si="4"/>
        <v>{ parentCategory=6, category=64, zoneIds={1052}, isDungeon=true},--Moon Hunter Keep</v>
      </c>
    </row>
    <row r="66" spans="1:10" x14ac:dyDescent="0.25">
      <c r="A66">
        <v>6</v>
      </c>
      <c r="B66">
        <v>65</v>
      </c>
      <c r="D66" s="2">
        <f>VLOOKUP(E66,'ESO zone constants'!$D$5:$H$10003,5,FALSE)</f>
        <v>1081</v>
      </c>
      <c r="E66" t="s">
        <v>67</v>
      </c>
      <c r="F66" t="s">
        <v>2347</v>
      </c>
      <c r="G66" t="str">
        <f t="shared" si="1"/>
        <v>X</v>
      </c>
      <c r="H66" t="str">
        <f t="shared" si="2"/>
        <v/>
      </c>
      <c r="I66" t="str">
        <f t="shared" si="3"/>
        <v/>
      </c>
      <c r="J66" s="30" t="str">
        <f t="shared" si="4"/>
        <v>{ parentCategory=6, category=65, zoneIds={1081}, isDungeon=true},--Depths of Malatar</v>
      </c>
    </row>
    <row r="67" spans="1:10" x14ac:dyDescent="0.25">
      <c r="A67">
        <v>6</v>
      </c>
      <c r="B67">
        <v>66</v>
      </c>
      <c r="D67" s="2">
        <f>VLOOKUP(E67,'ESO zone constants'!$D$5:$H$10003,5,FALSE)</f>
        <v>1080</v>
      </c>
      <c r="E67" t="s">
        <v>64</v>
      </c>
      <c r="F67" t="s">
        <v>2336</v>
      </c>
      <c r="G67" t="str">
        <f t="shared" si="1"/>
        <v>X</v>
      </c>
      <c r="H67" t="str">
        <f t="shared" si="2"/>
        <v/>
      </c>
      <c r="I67" t="str">
        <f t="shared" si="3"/>
        <v/>
      </c>
      <c r="J67" s="30" t="str">
        <f t="shared" si="4"/>
        <v>{ parentCategory=6, category=66, zoneIds={1080}, isDungeon=true},--Frostvault</v>
      </c>
    </row>
    <row r="68" spans="1:10" x14ac:dyDescent="0.25">
      <c r="A68">
        <v>6</v>
      </c>
      <c r="B68">
        <v>67</v>
      </c>
      <c r="D68" s="2">
        <f>VLOOKUP(E68,'ESO zone constants'!$D$5:$H$10003,5,FALSE)</f>
        <v>1123</v>
      </c>
      <c r="E68" t="s">
        <v>1483</v>
      </c>
      <c r="F68" t="s">
        <v>2339</v>
      </c>
      <c r="G68" t="str">
        <f t="shared" si="1"/>
        <v>X</v>
      </c>
      <c r="H68" t="str">
        <f t="shared" si="2"/>
        <v/>
      </c>
      <c r="I68" t="str">
        <f t="shared" si="3"/>
        <v/>
      </c>
      <c r="J68" s="30" t="str">
        <f t="shared" si="4"/>
        <v>{ parentCategory=6, category=67, zoneIds={1123}, isDungeon=true},--Lair of Maarselok</v>
      </c>
    </row>
    <row r="69" spans="1:10" x14ac:dyDescent="0.25">
      <c r="A69">
        <v>6</v>
      </c>
      <c r="B69">
        <v>68</v>
      </c>
      <c r="D69" s="2">
        <f>VLOOKUP(E69,'ESO zone constants'!$D$5:$H$10003,5,FALSE)</f>
        <v>1122</v>
      </c>
      <c r="E69" t="s">
        <v>1482</v>
      </c>
      <c r="F69" t="s">
        <v>2343</v>
      </c>
      <c r="G69" t="str">
        <f t="shared" si="1"/>
        <v>X</v>
      </c>
      <c r="H69" t="str">
        <f t="shared" si="2"/>
        <v/>
      </c>
      <c r="I69" t="str">
        <f t="shared" si="3"/>
        <v/>
      </c>
      <c r="J69" s="30" t="str">
        <f t="shared" si="4"/>
        <v>{ parentCategory=6, category=68, zoneIds={1122}, isDungeon=true},--Moongrave Fane</v>
      </c>
    </row>
    <row r="70" spans="1:10" x14ac:dyDescent="0.25">
      <c r="A70">
        <v>6</v>
      </c>
      <c r="B70">
        <v>69</v>
      </c>
      <c r="D70" s="2">
        <f>VLOOKUP(E70,'ESO zone constants'!$D$5:$H$10003,5,FALSE)</f>
        <v>1152</v>
      </c>
      <c r="E70" t="s">
        <v>1643</v>
      </c>
      <c r="F70" t="s">
        <v>2334</v>
      </c>
      <c r="G70" t="str">
        <f t="shared" si="1"/>
        <v>X</v>
      </c>
      <c r="H70" t="str">
        <f t="shared" si="2"/>
        <v/>
      </c>
      <c r="I70" t="str">
        <f t="shared" si="3"/>
        <v/>
      </c>
      <c r="J70" s="30" t="str">
        <f t="shared" si="4"/>
        <v>{ parentCategory=6, category=69, zoneIds={1152}, isDungeon=true},--Icereach</v>
      </c>
    </row>
    <row r="71" spans="1:10" x14ac:dyDescent="0.25">
      <c r="A71">
        <v>6</v>
      </c>
      <c r="B71">
        <v>70</v>
      </c>
      <c r="D71" s="2">
        <f>VLOOKUP(E71,'ESO zone constants'!$D$5:$H$10003,5,FALSE)</f>
        <v>1153</v>
      </c>
      <c r="E71" t="s">
        <v>1642</v>
      </c>
      <c r="F71" t="s">
        <v>2348</v>
      </c>
      <c r="G71" t="str">
        <f t="shared" si="1"/>
        <v>X</v>
      </c>
      <c r="H71" t="str">
        <f t="shared" si="2"/>
        <v/>
      </c>
      <c r="I71" t="str">
        <f t="shared" si="3"/>
        <v/>
      </c>
      <c r="J71" s="30" t="str">
        <f t="shared" si="4"/>
        <v>{ parentCategory=6, category=70, zoneIds={1153}, isDungeon=true},--Unhallowed Grave</v>
      </c>
    </row>
    <row r="72" spans="1:10" x14ac:dyDescent="0.25">
      <c r="A72">
        <v>6</v>
      </c>
      <c r="B72">
        <v>87</v>
      </c>
      <c r="D72" s="2">
        <f>VLOOKUP(E72,'ESO zone constants'!$D$5:$H$10003,5,FALSE)</f>
        <v>1201</v>
      </c>
      <c r="E72" t="s">
        <v>1799</v>
      </c>
      <c r="F72" t="s">
        <v>2340</v>
      </c>
      <c r="G72" t="str">
        <f t="shared" si="1"/>
        <v>X</v>
      </c>
      <c r="H72" t="str">
        <f t="shared" si="2"/>
        <v/>
      </c>
      <c r="I72" t="str">
        <f t="shared" si="3"/>
        <v/>
      </c>
      <c r="J72" s="30" t="str">
        <f t="shared" si="4"/>
        <v>{ parentCategory=6, category=87, zoneIds={1201}, isDungeon=true},--Castle Thorn</v>
      </c>
    </row>
    <row r="73" spans="1:10" x14ac:dyDescent="0.25">
      <c r="A73">
        <v>6</v>
      </c>
      <c r="B73">
        <v>88</v>
      </c>
      <c r="D73" s="2">
        <f>VLOOKUP(E73,'ESO zone constants'!$D$5:$H$10003,5,FALSE)</f>
        <v>1197</v>
      </c>
      <c r="E73" t="s">
        <v>1804</v>
      </c>
      <c r="F73" t="s">
        <v>2346</v>
      </c>
      <c r="G73" t="str">
        <f t="shared" ref="G73:G111" si="17">IF(OR(A73=5,A73=6,),"X","")</f>
        <v>X</v>
      </c>
      <c r="H73" t="str">
        <f t="shared" ref="H73:H111" si="18">IF(OR(A73=7,),"X","")</f>
        <v/>
      </c>
      <c r="I73" t="str">
        <f t="shared" ref="I73:I111" si="19">IF(OR(A73=8,),"X","")</f>
        <v/>
      </c>
      <c r="J73" s="30" t="str">
        <f t="shared" ref="J73:J111" si="20">IF(C73="X","","{ parentCategory="&amp;A73&amp;", category="&amp;B73&amp;IF(AND(NOT(ISNA(D73)),D73&lt;&gt;"",NOT(ISERROR(D73))),", zoneIds={"&amp;D73&amp;"}","")&amp;IF(G73&lt;&gt;"",", isDungeon=true","")&amp;IF(H73&lt;&gt;"",", isTrial=true","")&amp;IF(I73&lt;&gt;"",", isArena=true","")&amp;"},") &amp;"--"&amp;E73</f>
        <v>{ parentCategory=6, category=88, zoneIds={1197}, isDungeon=true},--Stone Garden</v>
      </c>
    </row>
    <row r="74" spans="1:10" x14ac:dyDescent="0.25">
      <c r="A74">
        <v>6</v>
      </c>
      <c r="B74">
        <v>91</v>
      </c>
      <c r="D74" s="2">
        <f>VLOOKUP(E74,'ESO zone constants'!$D$5:$H$10003,5,FALSE)</f>
        <v>1228</v>
      </c>
      <c r="E74" t="s">
        <v>2391</v>
      </c>
      <c r="F74" t="s">
        <v>2409</v>
      </c>
      <c r="G74" t="str">
        <f t="shared" si="17"/>
        <v>X</v>
      </c>
      <c r="H74" t="str">
        <f t="shared" si="18"/>
        <v/>
      </c>
      <c r="I74" t="str">
        <f t="shared" si="19"/>
        <v/>
      </c>
      <c r="J74" s="30" t="str">
        <f t="shared" si="20"/>
        <v>{ parentCategory=6, category=91, zoneIds={1228}, isDungeon=true},--Black Drake Villa</v>
      </c>
    </row>
    <row r="75" spans="1:10" x14ac:dyDescent="0.25">
      <c r="A75">
        <v>6</v>
      </c>
      <c r="B75">
        <v>92</v>
      </c>
      <c r="D75" s="2">
        <f>VLOOKUP(E75,'ESO zone constants'!$D$5:$H$10003,5,FALSE)</f>
        <v>1229</v>
      </c>
      <c r="E75" t="s">
        <v>2392</v>
      </c>
      <c r="F75" t="s">
        <v>2410</v>
      </c>
      <c r="G75" t="str">
        <f t="shared" si="17"/>
        <v>X</v>
      </c>
      <c r="H75" t="str">
        <f t="shared" si="18"/>
        <v/>
      </c>
      <c r="I75" t="str">
        <f t="shared" si="19"/>
        <v/>
      </c>
      <c r="J75" s="30" t="str">
        <f t="shared" si="20"/>
        <v>{ parentCategory=6, category=92, zoneIds={1229}, isDungeon=true},--The Cauldron</v>
      </c>
    </row>
    <row r="76" spans="1:10" x14ac:dyDescent="0.25">
      <c r="A76">
        <v>6</v>
      </c>
      <c r="B76">
        <v>95</v>
      </c>
      <c r="D76" s="2">
        <v>1268</v>
      </c>
      <c r="E76" t="s">
        <v>2491</v>
      </c>
      <c r="F76" t="s">
        <v>2491</v>
      </c>
      <c r="G76" t="str">
        <f t="shared" ref="G76" si="21">IF(OR(A76=5,A76=6,),"X","")</f>
        <v>X</v>
      </c>
      <c r="H76" t="str">
        <f t="shared" ref="H76" si="22">IF(OR(A76=7,),"X","")</f>
        <v/>
      </c>
      <c r="I76" t="str">
        <f t="shared" ref="I76" si="23">IF(OR(A76=8,),"X","")</f>
        <v/>
      </c>
      <c r="J76" s="30" t="str">
        <f t="shared" ref="J76" si="24">IF(C76="X","","{ parentCategory="&amp;A76&amp;", category="&amp;B76&amp;IF(AND(NOT(ISNA(D76)),D76&lt;&gt;"",NOT(ISERROR(D76))),", zoneIds={"&amp;D76&amp;"}","")&amp;IF(G76&lt;&gt;"",", isDungeon=true","")&amp;IF(H76&lt;&gt;"",", isTrial=true","")&amp;IF(I76&lt;&gt;"",", isArena=true","")&amp;"},") &amp;"--"&amp;E76</f>
        <v>{ parentCategory=6, category=95, zoneIds={1268}, isDungeon=true},--Dread Cellar</v>
      </c>
    </row>
    <row r="77" spans="1:10" x14ac:dyDescent="0.25">
      <c r="A77">
        <v>6</v>
      </c>
      <c r="B77">
        <v>96</v>
      </c>
      <c r="D77" s="2">
        <v>1267</v>
      </c>
      <c r="E77" t="s">
        <v>2494</v>
      </c>
      <c r="F77" t="s">
        <v>3300</v>
      </c>
      <c r="G77" t="str">
        <f t="shared" si="17"/>
        <v>X</v>
      </c>
      <c r="H77" t="str">
        <f t="shared" si="18"/>
        <v/>
      </c>
      <c r="I77" t="str">
        <f t="shared" si="19"/>
        <v/>
      </c>
      <c r="J77" s="30" t="str">
        <f t="shared" si="20"/>
        <v>{ parentCategory=6, category=96, zoneIds={1267}, isDungeon=true},--Red Petal Bastion</v>
      </c>
    </row>
    <row r="78" spans="1:10" x14ac:dyDescent="0.25">
      <c r="A78">
        <v>6</v>
      </c>
      <c r="B78">
        <v>98</v>
      </c>
      <c r="D78" s="2">
        <f>VLOOKUP(E78,'ESO zone constants'!$D$5:$H$10003,5,FALSE)</f>
        <v>1301</v>
      </c>
      <c r="E78" t="s">
        <v>2712</v>
      </c>
      <c r="F78" t="s">
        <v>2712</v>
      </c>
      <c r="G78" t="str">
        <f t="shared" si="17"/>
        <v>X</v>
      </c>
      <c r="H78" t="str">
        <f t="shared" si="18"/>
        <v/>
      </c>
      <c r="I78" t="str">
        <f t="shared" si="19"/>
        <v/>
      </c>
      <c r="J78" s="30" t="str">
        <f t="shared" si="20"/>
        <v>{ parentCategory=6, category=98, zoneIds={1301}, isDungeon=true},--Coral Aerie</v>
      </c>
    </row>
    <row r="79" spans="1:10" x14ac:dyDescent="0.25">
      <c r="A79">
        <v>6</v>
      </c>
      <c r="B79">
        <v>99</v>
      </c>
      <c r="D79" s="2">
        <f>VLOOKUP(E79,'ESO zone constants'!$D$5:$H$10003,5,FALSE)</f>
        <v>1302</v>
      </c>
      <c r="E79" t="s">
        <v>2724</v>
      </c>
      <c r="G79" t="str">
        <f t="shared" ref="G79:G83" si="25">IF(OR(A79=5,A79=6,),"X","")</f>
        <v>X</v>
      </c>
      <c r="H79" t="str">
        <f t="shared" ref="H79" si="26">IF(OR(A79=7,),"X","")</f>
        <v/>
      </c>
      <c r="I79" t="str">
        <f t="shared" ref="I79" si="27">IF(OR(A79=8,),"X","")</f>
        <v/>
      </c>
      <c r="J79" s="30" t="str">
        <f t="shared" si="20"/>
        <v>{ parentCategory=6, category=99, zoneIds={1302}, isDungeon=true},--Shipwright's Regret</v>
      </c>
    </row>
    <row r="80" spans="1:10" x14ac:dyDescent="0.25">
      <c r="A80" s="36">
        <v>6</v>
      </c>
      <c r="B80" s="36">
        <v>102</v>
      </c>
      <c r="C80" s="36"/>
      <c r="D80" s="81">
        <f>VLOOKUP(E80,'ESO zone constants'!$D$5:$H$10003,5,FALSE)</f>
        <v>1360</v>
      </c>
      <c r="E80" s="36" t="s">
        <v>3386</v>
      </c>
      <c r="F80" s="36"/>
      <c r="G80" t="str">
        <f t="shared" si="25"/>
        <v>X</v>
      </c>
      <c r="H80" t="str">
        <f t="shared" ref="H80:H83" si="28">IF(OR(A80=7,),"X","")</f>
        <v/>
      </c>
      <c r="I80" t="str">
        <f t="shared" ref="I80:I83" si="29">IF(OR(A80=8,),"X","")</f>
        <v/>
      </c>
      <c r="J80" s="30" t="str">
        <f t="shared" si="20"/>
        <v>{ parentCategory=6, category=102, zoneIds={1360}, isDungeon=true},--Earthen Root Enclave</v>
      </c>
    </row>
    <row r="81" spans="1:10" x14ac:dyDescent="0.25">
      <c r="A81" s="36">
        <v>6</v>
      </c>
      <c r="B81" s="36">
        <v>103</v>
      </c>
      <c r="C81" s="36"/>
      <c r="D81" s="81">
        <f>VLOOKUP(E81,'ESO zone constants'!$D$5:$H$10003,5,FALSE)</f>
        <v>1361</v>
      </c>
      <c r="E81" s="36" t="s">
        <v>3387</v>
      </c>
      <c r="F81" s="36"/>
      <c r="G81" t="str">
        <f t="shared" si="25"/>
        <v>X</v>
      </c>
      <c r="H81" t="str">
        <f t="shared" si="28"/>
        <v/>
      </c>
      <c r="I81" t="str">
        <f t="shared" si="29"/>
        <v/>
      </c>
      <c r="J81" s="30" t="str">
        <f t="shared" si="20"/>
        <v>{ parentCategory=6, category=103, zoneIds={1361}, isDungeon=true},--Graven Deep</v>
      </c>
    </row>
    <row r="82" spans="1:10" x14ac:dyDescent="0.25">
      <c r="A82" s="36">
        <v>6</v>
      </c>
      <c r="B82" s="36">
        <v>105</v>
      </c>
      <c r="C82" s="36"/>
      <c r="D82" s="81">
        <f>VLOOKUP(E82,'ESO zone constants'!$D$5:$H$10003,5,FALSE)</f>
        <v>1389</v>
      </c>
      <c r="E82" s="36" t="s">
        <v>3555</v>
      </c>
      <c r="F82" s="36" t="s">
        <v>3555</v>
      </c>
      <c r="G82" t="str">
        <f t="shared" si="25"/>
        <v>X</v>
      </c>
      <c r="H82" t="str">
        <f t="shared" si="28"/>
        <v/>
      </c>
      <c r="I82" t="str">
        <f t="shared" si="29"/>
        <v/>
      </c>
      <c r="J82" s="30" t="str">
        <f t="shared" si="20"/>
        <v>{ parentCategory=6, category=105, zoneIds={1389}, isDungeon=true},--Bal Sunnar</v>
      </c>
    </row>
    <row r="83" spans="1:10" x14ac:dyDescent="0.25">
      <c r="A83" s="36">
        <v>6</v>
      </c>
      <c r="B83" s="36">
        <v>106</v>
      </c>
      <c r="C83" s="36"/>
      <c r="D83" s="81">
        <f>VLOOKUP(E83,'ESO zone constants'!$D$5:$H$10003,5,FALSE)</f>
        <v>1390</v>
      </c>
      <c r="E83" s="36" t="s">
        <v>3584</v>
      </c>
      <c r="F83" s="36" t="s">
        <v>3587</v>
      </c>
      <c r="G83" t="str">
        <f t="shared" si="25"/>
        <v>X</v>
      </c>
      <c r="H83" t="str">
        <f t="shared" si="28"/>
        <v/>
      </c>
      <c r="I83" t="str">
        <f t="shared" si="29"/>
        <v/>
      </c>
      <c r="J83" s="30" t="str">
        <f t="shared" si="20"/>
        <v>{ parentCategory=6, category=106, zoneIds={1390}, isDungeon=true},--Scrivener's Hall</v>
      </c>
    </row>
    <row r="84" spans="1:10" x14ac:dyDescent="0.25">
      <c r="A84" s="36">
        <v>6</v>
      </c>
      <c r="B84" s="36">
        <v>110</v>
      </c>
      <c r="C84" s="36"/>
      <c r="D84" s="81">
        <f>VLOOKUP(E84,'ESO zone constants'!$D$5:$H$10003,5,FALSE)</f>
        <v>1470</v>
      </c>
      <c r="E84" s="36" t="s">
        <v>3895</v>
      </c>
      <c r="F84" s="36" t="s">
        <v>3895</v>
      </c>
      <c r="G84" t="str">
        <f t="shared" ref="G84:G85" si="30">IF(OR(A84=5,A84=6,),"X","")</f>
        <v>X</v>
      </c>
      <c r="H84" t="str">
        <f t="shared" ref="H84:H85" si="31">IF(OR(A84=7,),"X","")</f>
        <v/>
      </c>
      <c r="I84" t="str">
        <f t="shared" ref="I84:I85" si="32">IF(OR(A84=8,),"X","")</f>
        <v/>
      </c>
      <c r="J84" s="30" t="str">
        <f t="shared" ref="J84:J85" si="33">IF(C84="X","","{ parentCategory="&amp;A84&amp;", category="&amp;B84&amp;IF(AND(NOT(ISNA(D84)),D84&lt;&gt;"",NOT(ISERROR(D84))),", zoneIds={"&amp;D84&amp;"}","")&amp;IF(G84&lt;&gt;"",", isDungeon=true","")&amp;IF(H84&lt;&gt;"",", isTrial=true","")&amp;IF(I84&lt;&gt;"",", isArena=true","")&amp;"},") &amp;"--"&amp;E84</f>
        <v>{ parentCategory=6, category=110, zoneIds={1470}, isDungeon=true},--Oathsworn Pit</v>
      </c>
    </row>
    <row r="85" spans="1:10" x14ac:dyDescent="0.25">
      <c r="A85" s="36">
        <v>6</v>
      </c>
      <c r="B85" s="36">
        <v>111</v>
      </c>
      <c r="C85" s="36"/>
      <c r="D85" s="81">
        <f>VLOOKUP(E85,'ESO zone constants'!$D$5:$H$10003,5,FALSE)</f>
        <v>1471</v>
      </c>
      <c r="E85" s="36" t="s">
        <v>3896</v>
      </c>
      <c r="F85" s="36" t="s">
        <v>3896</v>
      </c>
      <c r="G85" t="str">
        <f t="shared" si="30"/>
        <v>X</v>
      </c>
      <c r="H85" t="str">
        <f t="shared" si="31"/>
        <v/>
      </c>
      <c r="I85" t="str">
        <f t="shared" si="32"/>
        <v/>
      </c>
      <c r="J85" s="30" t="str">
        <f t="shared" si="33"/>
        <v>{ parentCategory=6, category=111, zoneIds={1471}, isDungeon=true},--Bedlam Veil</v>
      </c>
    </row>
    <row r="86" spans="1:10" x14ac:dyDescent="0.25">
      <c r="A86">
        <v>7</v>
      </c>
      <c r="B86">
        <v>7</v>
      </c>
      <c r="C86" t="str">
        <f>IF(A86=B86,"X","")</f>
        <v>X</v>
      </c>
      <c r="D86" s="98" t="e">
        <f>VLOOKUP(E86,'ESO zone constants'!$D$5:$H$10003,5,FALSE)</f>
        <v>#N/A</v>
      </c>
      <c r="E86" t="s">
        <v>2379</v>
      </c>
      <c r="F86" t="s">
        <v>2300</v>
      </c>
      <c r="G86" t="str">
        <f t="shared" si="17"/>
        <v/>
      </c>
      <c r="H86" t="str">
        <f t="shared" si="18"/>
        <v>X</v>
      </c>
      <c r="I86" t="str">
        <f t="shared" si="19"/>
        <v/>
      </c>
      <c r="J86" s="30" t="str">
        <f t="shared" si="20"/>
        <v>--Trials</v>
      </c>
    </row>
    <row r="87" spans="1:10" x14ac:dyDescent="0.25">
      <c r="A87">
        <v>7</v>
      </c>
      <c r="B87">
        <v>71</v>
      </c>
      <c r="D87" s="2">
        <f>VLOOKUP(E87,'ESO zone constants'!$D$5:$H$10003,5,FALSE)</f>
        <v>638</v>
      </c>
      <c r="E87" t="s">
        <v>442</v>
      </c>
      <c r="F87" t="s">
        <v>2352</v>
      </c>
      <c r="G87" t="str">
        <f t="shared" si="17"/>
        <v/>
      </c>
      <c r="H87" t="str">
        <f t="shared" si="18"/>
        <v>X</v>
      </c>
      <c r="I87" t="str">
        <f t="shared" si="19"/>
        <v/>
      </c>
      <c r="J87" s="30" t="str">
        <f t="shared" si="20"/>
        <v>{ parentCategory=7, category=71, zoneIds={638}, isTrial=true},--Aetherian Archive</v>
      </c>
    </row>
    <row r="88" spans="1:10" x14ac:dyDescent="0.25">
      <c r="A88">
        <v>7</v>
      </c>
      <c r="B88">
        <v>72</v>
      </c>
      <c r="D88" s="2">
        <f>VLOOKUP(E88,'ESO zone constants'!$D$5:$H$10003,5,FALSE)</f>
        <v>636</v>
      </c>
      <c r="E88" t="s">
        <v>440</v>
      </c>
      <c r="F88" t="s">
        <v>2358</v>
      </c>
      <c r="G88" t="str">
        <f t="shared" si="17"/>
        <v/>
      </c>
      <c r="H88" t="str">
        <f t="shared" si="18"/>
        <v>X</v>
      </c>
      <c r="I88" t="str">
        <f t="shared" si="19"/>
        <v/>
      </c>
      <c r="J88" s="30" t="str">
        <f t="shared" si="20"/>
        <v>{ parentCategory=7, category=72, zoneIds={636}, isTrial=true},--Hel Ra Citadel</v>
      </c>
    </row>
    <row r="89" spans="1:10" x14ac:dyDescent="0.25">
      <c r="A89">
        <v>7</v>
      </c>
      <c r="B89">
        <v>73</v>
      </c>
      <c r="D89" s="2">
        <f>VLOOKUP(E89,'ESO zone constants'!$D$5:$H$10003,5,FALSE)</f>
        <v>639</v>
      </c>
      <c r="E89" t="s">
        <v>443</v>
      </c>
      <c r="F89" t="s">
        <v>443</v>
      </c>
      <c r="G89" t="str">
        <f t="shared" si="17"/>
        <v/>
      </c>
      <c r="H89" t="str">
        <f t="shared" si="18"/>
        <v>X</v>
      </c>
      <c r="I89" t="str">
        <f t="shared" si="19"/>
        <v/>
      </c>
      <c r="J89" s="30" t="str">
        <f t="shared" si="20"/>
        <v>{ parentCategory=7, category=73, zoneIds={639}, isTrial=true},--Sanctum Ophidia</v>
      </c>
    </row>
    <row r="90" spans="1:10" x14ac:dyDescent="0.25">
      <c r="A90">
        <v>7</v>
      </c>
      <c r="B90">
        <v>74</v>
      </c>
      <c r="D90" s="2">
        <f>VLOOKUP(E90,'ESO zone constants'!$D$5:$H$10003,5,FALSE)</f>
        <v>725</v>
      </c>
      <c r="E90" t="s">
        <v>475</v>
      </c>
      <c r="F90" t="s">
        <v>2355</v>
      </c>
      <c r="G90" t="str">
        <f t="shared" si="17"/>
        <v/>
      </c>
      <c r="H90" t="str">
        <f t="shared" si="18"/>
        <v>X</v>
      </c>
      <c r="I90" t="str">
        <f t="shared" si="19"/>
        <v/>
      </c>
      <c r="J90" s="30" t="str">
        <f t="shared" si="20"/>
        <v>{ parentCategory=7, category=74, zoneIds={725}, isTrial=true},--Maw of Lorkhaj</v>
      </c>
    </row>
    <row r="91" spans="1:10" x14ac:dyDescent="0.25">
      <c r="A91">
        <v>7</v>
      </c>
      <c r="B91">
        <v>75</v>
      </c>
      <c r="D91" s="2">
        <f>VLOOKUP(E91,'ESO zone constants'!$D$5:$H$10003,5,FALSE)</f>
        <v>975</v>
      </c>
      <c r="E91" t="s">
        <v>638</v>
      </c>
      <c r="F91" t="s">
        <v>2353</v>
      </c>
      <c r="G91" t="str">
        <f t="shared" si="17"/>
        <v/>
      </c>
      <c r="H91" t="str">
        <f t="shared" si="18"/>
        <v>X</v>
      </c>
      <c r="I91" t="str">
        <f t="shared" si="19"/>
        <v/>
      </c>
      <c r="J91" s="30" t="str">
        <f t="shared" si="20"/>
        <v>{ parentCategory=7, category=75, zoneIds={975}, isTrial=true},--Halls of Fabrication</v>
      </c>
    </row>
    <row r="92" spans="1:10" x14ac:dyDescent="0.25">
      <c r="A92">
        <v>7</v>
      </c>
      <c r="B92">
        <v>76</v>
      </c>
      <c r="D92" s="2">
        <f>VLOOKUP(E92,'ESO zone constants'!$D$5:$H$10003,5,FALSE)</f>
        <v>1000</v>
      </c>
      <c r="E92" t="s">
        <v>658</v>
      </c>
      <c r="F92" t="s">
        <v>2351</v>
      </c>
      <c r="G92" t="str">
        <f t="shared" si="17"/>
        <v/>
      </c>
      <c r="H92" t="str">
        <f t="shared" si="18"/>
        <v>X</v>
      </c>
      <c r="I92" t="str">
        <f t="shared" si="19"/>
        <v/>
      </c>
      <c r="J92" s="30" t="str">
        <f t="shared" si="20"/>
        <v>{ parentCategory=7, category=76, zoneIds={1000}, isTrial=true},--Asylum Sanctorium</v>
      </c>
    </row>
    <row r="93" spans="1:10" x14ac:dyDescent="0.25">
      <c r="A93">
        <v>7</v>
      </c>
      <c r="B93">
        <v>77</v>
      </c>
      <c r="D93" s="2">
        <f>VLOOKUP(E93,'ESO zone constants'!$D$5:$H$10003,5,FALSE)</f>
        <v>1051</v>
      </c>
      <c r="E93" t="s">
        <v>698</v>
      </c>
      <c r="F93" t="s">
        <v>2357</v>
      </c>
      <c r="G93" t="str">
        <f t="shared" si="17"/>
        <v/>
      </c>
      <c r="H93" t="str">
        <f t="shared" si="18"/>
        <v>X</v>
      </c>
      <c r="I93" t="str">
        <f t="shared" si="19"/>
        <v/>
      </c>
      <c r="J93" s="30" t="str">
        <f t="shared" si="20"/>
        <v>{ parentCategory=7, category=77, zoneIds={1051}, isTrial=true},--Cloudrest</v>
      </c>
    </row>
    <row r="94" spans="1:10" x14ac:dyDescent="0.25">
      <c r="A94">
        <v>7</v>
      </c>
      <c r="B94">
        <v>78</v>
      </c>
      <c r="D94" s="2">
        <f>VLOOKUP(E94,'ESO zone constants'!$D$5:$H$10003,5,FALSE)</f>
        <v>1121</v>
      </c>
      <c r="E94" t="s">
        <v>1343</v>
      </c>
      <c r="F94" t="s">
        <v>2356</v>
      </c>
      <c r="G94" t="str">
        <f t="shared" si="17"/>
        <v/>
      </c>
      <c r="H94" t="str">
        <f t="shared" si="18"/>
        <v>X</v>
      </c>
      <c r="I94" t="str">
        <f t="shared" si="19"/>
        <v/>
      </c>
      <c r="J94" s="30" t="str">
        <f t="shared" si="20"/>
        <v>{ parentCategory=7, category=78, zoneIds={1121}, isTrial=true},--Sunspire</v>
      </c>
    </row>
    <row r="95" spans="1:10" x14ac:dyDescent="0.25">
      <c r="A95">
        <v>7</v>
      </c>
      <c r="B95">
        <v>79</v>
      </c>
      <c r="D95" s="2">
        <f>VLOOKUP(E95,'ESO zone constants'!$D$5:$H$10003,5,FALSE)</f>
        <v>1196</v>
      </c>
      <c r="E95" t="s">
        <v>1703</v>
      </c>
      <c r="F95" t="s">
        <v>2354</v>
      </c>
      <c r="G95" t="str">
        <f t="shared" si="17"/>
        <v/>
      </c>
      <c r="H95" t="str">
        <f t="shared" si="18"/>
        <v>X</v>
      </c>
      <c r="I95" t="str">
        <f t="shared" si="19"/>
        <v/>
      </c>
      <c r="J95" s="30" t="str">
        <f t="shared" si="20"/>
        <v>{ parentCategory=7, category=79, zoneIds={1196}, isTrial=true},--Kyne's Aegis</v>
      </c>
    </row>
    <row r="96" spans="1:10" x14ac:dyDescent="0.25">
      <c r="A96">
        <v>7</v>
      </c>
      <c r="B96">
        <v>101</v>
      </c>
      <c r="D96" s="2">
        <f>VLOOKUP(E96,'ESO zone constants'!$D$5:$H$10003,5,FALSE)</f>
        <v>1344</v>
      </c>
      <c r="E96" t="s">
        <v>3349</v>
      </c>
      <c r="F96" t="s">
        <v>3329</v>
      </c>
      <c r="H96" t="str">
        <f t="shared" si="18"/>
        <v>X</v>
      </c>
      <c r="J96" s="30" t="str">
        <f t="shared" si="20"/>
        <v>{ parentCategory=7, category=101, zoneIds={1344}, isTrial=true},--Dreadsail Reef</v>
      </c>
    </row>
    <row r="97" spans="1:10" x14ac:dyDescent="0.25">
      <c r="A97">
        <v>7</v>
      </c>
      <c r="B97">
        <v>108</v>
      </c>
      <c r="D97" s="2">
        <f>VLOOKUP(E97,'ESO zone constants'!$D$5:$H$10003,5,FALSE)</f>
        <v>1427</v>
      </c>
      <c r="E97" t="s">
        <v>3691</v>
      </c>
      <c r="H97" t="str">
        <f t="shared" si="18"/>
        <v>X</v>
      </c>
      <c r="J97" s="30" t="str">
        <f t="shared" si="20"/>
        <v>{ parentCategory=7, category=108, zoneIds={1427}, isTrial=true},--Sanity's Edge</v>
      </c>
    </row>
    <row r="98" spans="1:10" x14ac:dyDescent="0.25">
      <c r="A98">
        <v>8</v>
      </c>
      <c r="B98">
        <v>8</v>
      </c>
      <c r="C98" t="str">
        <f>IF(A98=B98,"X","")</f>
        <v>X</v>
      </c>
      <c r="D98" s="98" t="e">
        <f>VLOOKUP(E98,'ESO zone constants'!$D$5:$H$10003,5,FALSE)</f>
        <v>#N/A</v>
      </c>
      <c r="E98" t="s">
        <v>2380</v>
      </c>
      <c r="F98" t="s">
        <v>2301</v>
      </c>
      <c r="G98" t="str">
        <f t="shared" si="17"/>
        <v/>
      </c>
      <c r="H98" t="str">
        <f t="shared" si="18"/>
        <v/>
      </c>
      <c r="I98" t="str">
        <f t="shared" si="19"/>
        <v>X</v>
      </c>
      <c r="J98" s="30" t="str">
        <f t="shared" si="20"/>
        <v>--Arenas</v>
      </c>
    </row>
    <row r="99" spans="1:10" x14ac:dyDescent="0.25">
      <c r="A99">
        <v>8</v>
      </c>
      <c r="B99">
        <v>80</v>
      </c>
      <c r="D99" s="2">
        <f>VLOOKUP(E99,'ESO zone constants'!$D$5:$H$10003,5,FALSE)</f>
        <v>635</v>
      </c>
      <c r="E99" t="s">
        <v>439</v>
      </c>
      <c r="F99" t="s">
        <v>2359</v>
      </c>
      <c r="G99" t="str">
        <f t="shared" si="17"/>
        <v/>
      </c>
      <c r="H99" t="str">
        <f t="shared" si="18"/>
        <v/>
      </c>
      <c r="I99" t="str">
        <f t="shared" si="19"/>
        <v>X</v>
      </c>
      <c r="J99" s="30" t="str">
        <f t="shared" si="20"/>
        <v>{ parentCategory=8, category=80, zoneIds={635}, isArena=true},--Dragonstar Arena</v>
      </c>
    </row>
    <row r="100" spans="1:10" x14ac:dyDescent="0.25">
      <c r="A100">
        <v>8</v>
      </c>
      <c r="B100">
        <v>81</v>
      </c>
      <c r="D100" s="2">
        <f>VLOOKUP(E100,'ESO zone constants'!$D$5:$H$10003,5,FALSE)</f>
        <v>677</v>
      </c>
      <c r="E100" t="s">
        <v>449</v>
      </c>
      <c r="F100" t="s">
        <v>2361</v>
      </c>
      <c r="G100" t="str">
        <f t="shared" si="17"/>
        <v/>
      </c>
      <c r="H100" t="str">
        <f t="shared" si="18"/>
        <v/>
      </c>
      <c r="I100" t="str">
        <f t="shared" si="19"/>
        <v>X</v>
      </c>
      <c r="J100" s="30" t="str">
        <f t="shared" si="20"/>
        <v>{ parentCategory=8, category=81, zoneIds={677}, isArena=true},--Maelstrom Arena</v>
      </c>
    </row>
    <row r="101" spans="1:10" x14ac:dyDescent="0.25">
      <c r="A101">
        <v>8</v>
      </c>
      <c r="B101">
        <v>82</v>
      </c>
      <c r="D101" s="2">
        <f>VLOOKUP(E101,'ESO zone constants'!$D$5:$H$10003,5,FALSE)</f>
        <v>1082</v>
      </c>
      <c r="E101" t="s">
        <v>719</v>
      </c>
      <c r="F101" t="s">
        <v>2362</v>
      </c>
      <c r="G101" t="str">
        <f t="shared" si="17"/>
        <v/>
      </c>
      <c r="H101" t="str">
        <f t="shared" si="18"/>
        <v/>
      </c>
      <c r="I101" t="str">
        <f t="shared" si="19"/>
        <v>X</v>
      </c>
      <c r="J101" s="30" t="str">
        <f t="shared" si="20"/>
        <v>{ parentCategory=8, category=82, zoneIds={1082}, isArena=true},--Blackrose Prison</v>
      </c>
    </row>
    <row r="102" spans="1:10" x14ac:dyDescent="0.25">
      <c r="A102">
        <v>8</v>
      </c>
      <c r="B102">
        <v>90</v>
      </c>
      <c r="D102" s="2">
        <f>VLOOKUP(E102,'ESO zone constants'!$D$5:$H$10003,5,FALSE)</f>
        <v>1227</v>
      </c>
      <c r="E102" t="s">
        <v>2209</v>
      </c>
      <c r="F102" t="s">
        <v>2360</v>
      </c>
      <c r="G102" t="str">
        <f t="shared" si="17"/>
        <v/>
      </c>
      <c r="H102" t="str">
        <f t="shared" si="18"/>
        <v/>
      </c>
      <c r="I102" t="str">
        <f t="shared" si="19"/>
        <v>X</v>
      </c>
      <c r="J102" s="30" t="str">
        <f t="shared" si="20"/>
        <v>{ parentCategory=8, category=90, zoneIds={1227}, isArena=true},--Vateshran Hollows</v>
      </c>
    </row>
    <row r="103" spans="1:10" x14ac:dyDescent="0.25">
      <c r="A103">
        <v>9</v>
      </c>
      <c r="B103">
        <v>9</v>
      </c>
      <c r="C103" t="str">
        <f>IF(A103=B103,"X","")</f>
        <v>X</v>
      </c>
      <c r="D103" s="98" t="e">
        <f>VLOOKUP(E103,'ESO zone constants'!$D$5:$H$10003,5,FALSE)</f>
        <v>#N/A</v>
      </c>
      <c r="E103" t="s">
        <v>2302</v>
      </c>
      <c r="F103" t="s">
        <v>2302</v>
      </c>
      <c r="G103" t="str">
        <f t="shared" si="17"/>
        <v/>
      </c>
      <c r="H103" t="str">
        <f t="shared" si="18"/>
        <v/>
      </c>
      <c r="I103" t="str">
        <f t="shared" si="19"/>
        <v/>
      </c>
      <c r="J103" s="30" t="str">
        <f t="shared" si="20"/>
        <v>--PVP</v>
      </c>
    </row>
    <row r="104" spans="1:10" x14ac:dyDescent="0.25">
      <c r="A104">
        <v>9</v>
      </c>
      <c r="B104">
        <v>83</v>
      </c>
      <c r="D104" s="2">
        <f>VLOOKUP(E104,'ESO zone constants'!$D$5:$H$10003,5,FALSE)</f>
        <v>181</v>
      </c>
      <c r="E104" t="s">
        <v>125</v>
      </c>
      <c r="F104" t="s">
        <v>125</v>
      </c>
      <c r="G104" t="str">
        <f t="shared" si="17"/>
        <v/>
      </c>
      <c r="H104" t="str">
        <f t="shared" si="18"/>
        <v/>
      </c>
      <c r="I104" t="str">
        <f t="shared" si="19"/>
        <v/>
      </c>
      <c r="J104" s="30" t="str">
        <f t="shared" si="20"/>
        <v>{ parentCategory=9, category=83, zoneIds={181}},--Cyrodiil</v>
      </c>
    </row>
    <row r="105" spans="1:10" x14ac:dyDescent="0.25">
      <c r="A105">
        <v>9</v>
      </c>
      <c r="B105">
        <v>84</v>
      </c>
      <c r="D105" s="2">
        <f>VLOOKUP(E105,'ESO zone constants'!$D$5:$H$10003,5,FALSE)</f>
        <v>584</v>
      </c>
      <c r="E105" t="s">
        <v>39</v>
      </c>
      <c r="F105" t="s">
        <v>2363</v>
      </c>
      <c r="G105" t="str">
        <f t="shared" si="17"/>
        <v/>
      </c>
      <c r="H105" t="str">
        <f t="shared" si="18"/>
        <v/>
      </c>
      <c r="I105" t="str">
        <f t="shared" si="19"/>
        <v/>
      </c>
      <c r="J105" s="30" t="str">
        <f t="shared" si="20"/>
        <v>{ parentCategory=9, category=84, zoneIds={584}},--Imperial City</v>
      </c>
    </row>
    <row r="106" spans="1:10" x14ac:dyDescent="0.25">
      <c r="A106">
        <v>9</v>
      </c>
      <c r="B106">
        <v>85</v>
      </c>
      <c r="E106" t="s">
        <v>2372</v>
      </c>
      <c r="F106" t="s">
        <v>2364</v>
      </c>
      <c r="G106" t="str">
        <f t="shared" si="17"/>
        <v/>
      </c>
      <c r="H106" t="str">
        <f t="shared" si="18"/>
        <v/>
      </c>
      <c r="I106" t="str">
        <f t="shared" si="19"/>
        <v/>
      </c>
      <c r="J106" s="30" t="str">
        <f t="shared" si="20"/>
        <v>{ parentCategory=9, category=85},--Battlegrounds</v>
      </c>
    </row>
    <row r="107" spans="1:10" x14ac:dyDescent="0.25">
      <c r="A107">
        <v>10</v>
      </c>
      <c r="B107">
        <v>10</v>
      </c>
      <c r="C107" t="str">
        <f>IF(A107=B107,"X","")</f>
        <v>X</v>
      </c>
      <c r="D107" s="98" t="e">
        <f>VLOOKUP(E107,'ESO zone constants'!$D$5:$H$10003,5,FALSE)</f>
        <v>#N/A</v>
      </c>
      <c r="E107" t="s">
        <v>2381</v>
      </c>
      <c r="F107" t="s">
        <v>2303</v>
      </c>
      <c r="G107" t="str">
        <f t="shared" si="17"/>
        <v/>
      </c>
      <c r="H107" t="str">
        <f t="shared" si="18"/>
        <v/>
      </c>
      <c r="I107" t="str">
        <f t="shared" si="19"/>
        <v/>
      </c>
      <c r="J107" s="30" t="str">
        <f t="shared" si="20"/>
        <v>--Miscellaneous</v>
      </c>
    </row>
    <row r="108" spans="1:10" x14ac:dyDescent="0.25">
      <c r="A108">
        <v>10</v>
      </c>
      <c r="B108">
        <v>26</v>
      </c>
      <c r="D108" s="2" t="s">
        <v>3627</v>
      </c>
      <c r="E108" t="s">
        <v>2382</v>
      </c>
      <c r="F108" t="s">
        <v>2368</v>
      </c>
      <c r="G108" t="str">
        <f t="shared" si="17"/>
        <v/>
      </c>
      <c r="H108" t="str">
        <f t="shared" si="18"/>
        <v/>
      </c>
      <c r="I108" t="str">
        <f t="shared" si="19"/>
        <v/>
      </c>
      <c r="J108" s="30" t="str">
        <f t="shared" si="20"/>
        <v>{ parentCategory=10, category=26, zoneIds={280,281,534,535,537}},--Beginner zones</v>
      </c>
    </row>
    <row r="109" spans="1:10" x14ac:dyDescent="0.25">
      <c r="A109">
        <v>10</v>
      </c>
      <c r="B109">
        <v>27</v>
      </c>
      <c r="D109" s="2">
        <f>VLOOKUP(E109,'ESO zone constants'!$D$5:$H$10003,5,FALSE)</f>
        <v>347</v>
      </c>
      <c r="E109" t="s">
        <v>239</v>
      </c>
      <c r="F109" t="s">
        <v>2366</v>
      </c>
      <c r="G109" t="str">
        <f t="shared" si="17"/>
        <v/>
      </c>
      <c r="H109" t="str">
        <f t="shared" si="18"/>
        <v/>
      </c>
      <c r="I109" t="str">
        <f t="shared" si="19"/>
        <v/>
      </c>
      <c r="J109" s="30" t="str">
        <f t="shared" si="20"/>
        <v>{ parentCategory=10, category=27, zoneIds={347}},--Coldharbour</v>
      </c>
    </row>
    <row r="110" spans="1:10" x14ac:dyDescent="0.25">
      <c r="A110">
        <v>10</v>
      </c>
      <c r="B110">
        <v>28</v>
      </c>
      <c r="D110" s="2">
        <f>VLOOKUP(E110,'ESO zone constants'!$D$5:$H$10003,5,FALSE)</f>
        <v>888</v>
      </c>
      <c r="E110" t="s">
        <v>563</v>
      </c>
      <c r="F110" t="s">
        <v>2367</v>
      </c>
      <c r="G110" t="str">
        <f t="shared" si="17"/>
        <v/>
      </c>
      <c r="H110" t="str">
        <f t="shared" si="18"/>
        <v/>
      </c>
      <c r="I110" t="str">
        <f t="shared" si="19"/>
        <v/>
      </c>
      <c r="J110" s="30" t="str">
        <f t="shared" si="20"/>
        <v>{ parentCategory=10, category=28, zoneIds={888}},--Craglorn</v>
      </c>
    </row>
    <row r="111" spans="1:10" x14ac:dyDescent="0.25">
      <c r="A111">
        <v>10</v>
      </c>
      <c r="B111">
        <v>86</v>
      </c>
      <c r="E111" t="s">
        <v>1792</v>
      </c>
      <c r="F111" t="s">
        <v>2365</v>
      </c>
      <c r="G111" t="str">
        <f t="shared" si="17"/>
        <v/>
      </c>
      <c r="H111" t="str">
        <f t="shared" si="18"/>
        <v/>
      </c>
      <c r="I111" t="str">
        <f t="shared" si="19"/>
        <v/>
      </c>
      <c r="J111" s="30" t="str">
        <f t="shared" si="20"/>
        <v>{ parentCategory=10, category=86},--Antiquities</v>
      </c>
    </row>
  </sheetData>
  <autoFilter ref="A2:F2" xr:uid="{F87FCCB0-B4BF-449A-9B99-12262D434E94}"/>
  <sortState xmlns:xlrd2="http://schemas.microsoft.com/office/spreadsheetml/2017/richdata2" ref="A3:H111">
    <sortCondition ref="A3:A111"/>
    <sortCondition ref="B3:B111"/>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J984"/>
  <sheetViews>
    <sheetView workbookViewId="0">
      <selection activeCell="B1" sqref="B1:J26"/>
    </sheetView>
  </sheetViews>
  <sheetFormatPr baseColWidth="10" defaultRowHeight="15" x14ac:dyDescent="0.25"/>
  <cols>
    <col min="1" max="1" width="83" bestFit="1" customWidth="1"/>
    <col min="3" max="3" width="19.7109375" bestFit="1" customWidth="1"/>
    <col min="4" max="4" width="11.42578125" style="45"/>
  </cols>
  <sheetData>
    <row r="1" spans="1:10" x14ac:dyDescent="0.25">
      <c r="A1" s="94" t="s">
        <v>3930</v>
      </c>
      <c r="B1">
        <v>348</v>
      </c>
      <c r="C1">
        <v>27</v>
      </c>
      <c r="D1" s="45">
        <v>667</v>
      </c>
      <c r="E1" t="s">
        <v>450</v>
      </c>
      <c r="F1">
        <v>380</v>
      </c>
      <c r="G1">
        <v>684</v>
      </c>
      <c r="H1" t="s">
        <v>450</v>
      </c>
      <c r="I1">
        <v>7</v>
      </c>
      <c r="J1" t="s">
        <v>691</v>
      </c>
    </row>
    <row r="2" spans="1:10" ht="15.75" customHeight="1" x14ac:dyDescent="0.25">
      <c r="A2" s="94" t="s">
        <v>3931</v>
      </c>
      <c r="B2">
        <v>565</v>
      </c>
      <c r="C2">
        <v>27</v>
      </c>
      <c r="D2" s="45">
        <v>667</v>
      </c>
      <c r="E2" t="s">
        <v>450</v>
      </c>
      <c r="F2">
        <v>380</v>
      </c>
      <c r="G2">
        <v>684</v>
      </c>
      <c r="H2" t="s">
        <v>450</v>
      </c>
      <c r="I2">
        <v>6</v>
      </c>
      <c r="J2" t="s">
        <v>3926</v>
      </c>
    </row>
    <row r="3" spans="1:10" x14ac:dyDescent="0.25">
      <c r="A3" s="94" t="s">
        <v>3932</v>
      </c>
      <c r="B3">
        <v>457</v>
      </c>
      <c r="C3">
        <v>42</v>
      </c>
      <c r="D3" s="45">
        <v>1814</v>
      </c>
      <c r="E3" t="s">
        <v>2210</v>
      </c>
      <c r="F3">
        <v>784</v>
      </c>
      <c r="G3">
        <v>1207</v>
      </c>
      <c r="H3" t="s">
        <v>2210</v>
      </c>
      <c r="I3">
        <v>0</v>
      </c>
      <c r="J3" t="s">
        <v>2209</v>
      </c>
    </row>
    <row r="4" spans="1:10" x14ac:dyDescent="0.25">
      <c r="A4" s="94" t="s">
        <v>3933</v>
      </c>
      <c r="B4">
        <v>428</v>
      </c>
      <c r="C4">
        <v>27</v>
      </c>
      <c r="D4" s="45">
        <v>667</v>
      </c>
      <c r="E4" t="s">
        <v>450</v>
      </c>
      <c r="F4">
        <v>380</v>
      </c>
      <c r="G4">
        <v>684</v>
      </c>
      <c r="H4" t="s">
        <v>450</v>
      </c>
      <c r="I4">
        <v>7</v>
      </c>
      <c r="J4" t="s">
        <v>1655</v>
      </c>
    </row>
    <row r="5" spans="1:10" x14ac:dyDescent="0.25">
      <c r="A5" s="94" t="s">
        <v>3934</v>
      </c>
      <c r="B5">
        <v>449</v>
      </c>
      <c r="C5">
        <v>42</v>
      </c>
      <c r="D5" s="45">
        <v>1814</v>
      </c>
      <c r="E5" t="s">
        <v>2210</v>
      </c>
      <c r="F5">
        <v>784</v>
      </c>
      <c r="G5">
        <v>1207</v>
      </c>
      <c r="H5" t="s">
        <v>2210</v>
      </c>
      <c r="I5">
        <v>1</v>
      </c>
      <c r="J5" t="s">
        <v>2206</v>
      </c>
    </row>
    <row r="6" spans="1:10" x14ac:dyDescent="0.25">
      <c r="A6" s="94" t="s">
        <v>3935</v>
      </c>
      <c r="B6">
        <v>442</v>
      </c>
      <c r="C6">
        <v>42</v>
      </c>
      <c r="D6" s="45">
        <v>1814</v>
      </c>
      <c r="E6" t="s">
        <v>2210</v>
      </c>
      <c r="F6">
        <v>784</v>
      </c>
      <c r="G6">
        <v>1207</v>
      </c>
      <c r="H6" t="s">
        <v>2210</v>
      </c>
      <c r="I6">
        <v>1</v>
      </c>
      <c r="J6" t="s">
        <v>2199</v>
      </c>
    </row>
    <row r="7" spans="1:10" x14ac:dyDescent="0.25">
      <c r="A7" s="94" t="s">
        <v>3936</v>
      </c>
      <c r="B7">
        <v>424</v>
      </c>
      <c r="C7">
        <v>27</v>
      </c>
      <c r="D7" s="45">
        <v>667</v>
      </c>
      <c r="E7" t="s">
        <v>450</v>
      </c>
      <c r="F7">
        <v>380</v>
      </c>
      <c r="G7">
        <v>684</v>
      </c>
      <c r="H7" t="s">
        <v>450</v>
      </c>
      <c r="I7">
        <v>6</v>
      </c>
      <c r="J7" t="s">
        <v>2134</v>
      </c>
    </row>
    <row r="8" spans="1:10" x14ac:dyDescent="0.25">
      <c r="A8" s="94" t="s">
        <v>3937</v>
      </c>
      <c r="B8">
        <v>441</v>
      </c>
      <c r="C8">
        <v>42</v>
      </c>
      <c r="D8" s="45">
        <v>1814</v>
      </c>
      <c r="E8" t="s">
        <v>2210</v>
      </c>
      <c r="F8">
        <v>784</v>
      </c>
      <c r="G8">
        <v>1207</v>
      </c>
      <c r="H8" t="s">
        <v>2210</v>
      </c>
      <c r="I8">
        <v>1</v>
      </c>
      <c r="J8" t="s">
        <v>2198</v>
      </c>
    </row>
    <row r="9" spans="1:10" x14ac:dyDescent="0.25">
      <c r="A9" s="94" t="s">
        <v>3938</v>
      </c>
      <c r="B9">
        <v>237</v>
      </c>
      <c r="C9">
        <v>27</v>
      </c>
      <c r="D9" s="45">
        <v>667</v>
      </c>
      <c r="E9" t="s">
        <v>450</v>
      </c>
      <c r="F9">
        <v>380</v>
      </c>
      <c r="G9">
        <v>684</v>
      </c>
      <c r="H9" t="s">
        <v>450</v>
      </c>
      <c r="I9">
        <v>1</v>
      </c>
      <c r="J9" t="s">
        <v>2029</v>
      </c>
    </row>
    <row r="10" spans="1:10" x14ac:dyDescent="0.25">
      <c r="A10" s="94" t="s">
        <v>3939</v>
      </c>
      <c r="B10">
        <v>238</v>
      </c>
      <c r="C10">
        <v>27</v>
      </c>
      <c r="D10" s="45">
        <v>667</v>
      </c>
      <c r="E10" t="s">
        <v>450</v>
      </c>
      <c r="F10">
        <v>380</v>
      </c>
      <c r="G10">
        <v>684</v>
      </c>
      <c r="H10" t="s">
        <v>450</v>
      </c>
      <c r="I10">
        <v>1</v>
      </c>
      <c r="J10" t="s">
        <v>2030</v>
      </c>
    </row>
    <row r="11" spans="1:10" x14ac:dyDescent="0.25">
      <c r="A11" s="94" t="s">
        <v>3940</v>
      </c>
      <c r="B11">
        <v>239</v>
      </c>
      <c r="C11">
        <v>27</v>
      </c>
      <c r="D11" s="45">
        <v>667</v>
      </c>
      <c r="E11" t="s">
        <v>450</v>
      </c>
      <c r="F11">
        <v>380</v>
      </c>
      <c r="G11">
        <v>684</v>
      </c>
      <c r="H11" t="s">
        <v>450</v>
      </c>
      <c r="I11">
        <v>1</v>
      </c>
      <c r="J11" t="s">
        <v>2031</v>
      </c>
    </row>
    <row r="12" spans="1:10" x14ac:dyDescent="0.25">
      <c r="A12" s="94" t="s">
        <v>3941</v>
      </c>
      <c r="B12">
        <v>240</v>
      </c>
      <c r="C12">
        <v>27</v>
      </c>
      <c r="D12" s="45">
        <v>667</v>
      </c>
      <c r="E12" t="s">
        <v>450</v>
      </c>
      <c r="F12">
        <v>380</v>
      </c>
      <c r="G12">
        <v>684</v>
      </c>
      <c r="H12" t="s">
        <v>450</v>
      </c>
      <c r="I12">
        <v>1</v>
      </c>
      <c r="J12" t="s">
        <v>2032</v>
      </c>
    </row>
    <row r="13" spans="1:10" x14ac:dyDescent="0.25">
      <c r="A13" s="94" t="s">
        <v>3942</v>
      </c>
      <c r="B13">
        <v>241</v>
      </c>
      <c r="C13">
        <v>27</v>
      </c>
      <c r="D13" s="45">
        <v>667</v>
      </c>
      <c r="E13" t="s">
        <v>450</v>
      </c>
      <c r="F13">
        <v>380</v>
      </c>
      <c r="G13">
        <v>684</v>
      </c>
      <c r="H13" t="s">
        <v>450</v>
      </c>
      <c r="I13">
        <v>1</v>
      </c>
      <c r="J13" t="s">
        <v>2033</v>
      </c>
    </row>
    <row r="14" spans="1:10" x14ac:dyDescent="0.25">
      <c r="A14" s="94" t="s">
        <v>3943</v>
      </c>
      <c r="B14">
        <v>242</v>
      </c>
      <c r="C14">
        <v>27</v>
      </c>
      <c r="D14" s="45">
        <v>667</v>
      </c>
      <c r="E14" t="s">
        <v>450</v>
      </c>
      <c r="F14">
        <v>380</v>
      </c>
      <c r="G14">
        <v>684</v>
      </c>
      <c r="H14" t="s">
        <v>450</v>
      </c>
      <c r="I14">
        <v>1</v>
      </c>
      <c r="J14" t="s">
        <v>2034</v>
      </c>
    </row>
    <row r="15" spans="1:10" x14ac:dyDescent="0.25">
      <c r="A15" s="94" t="s">
        <v>3944</v>
      </c>
      <c r="B15">
        <v>243</v>
      </c>
      <c r="C15">
        <v>27</v>
      </c>
      <c r="D15" s="45">
        <v>667</v>
      </c>
      <c r="E15" t="s">
        <v>450</v>
      </c>
      <c r="F15">
        <v>380</v>
      </c>
      <c r="G15">
        <v>684</v>
      </c>
      <c r="H15" t="s">
        <v>450</v>
      </c>
      <c r="I15">
        <v>1</v>
      </c>
      <c r="J15" t="s">
        <v>2035</v>
      </c>
    </row>
    <row r="16" spans="1:10" x14ac:dyDescent="0.25">
      <c r="A16" s="94" t="s">
        <v>3945</v>
      </c>
      <c r="B16">
        <v>244</v>
      </c>
      <c r="C16">
        <v>27</v>
      </c>
      <c r="D16" s="45">
        <v>667</v>
      </c>
      <c r="E16" t="s">
        <v>450</v>
      </c>
      <c r="F16">
        <v>380</v>
      </c>
      <c r="G16">
        <v>684</v>
      </c>
      <c r="H16" t="s">
        <v>450</v>
      </c>
      <c r="I16">
        <v>1</v>
      </c>
      <c r="J16" t="s">
        <v>2036</v>
      </c>
    </row>
    <row r="17" spans="1:10" x14ac:dyDescent="0.25">
      <c r="A17" s="94" t="s">
        <v>3946</v>
      </c>
      <c r="B17">
        <v>245</v>
      </c>
      <c r="C17">
        <v>27</v>
      </c>
      <c r="D17" s="45">
        <v>667</v>
      </c>
      <c r="E17" t="s">
        <v>450</v>
      </c>
      <c r="F17">
        <v>380</v>
      </c>
      <c r="G17">
        <v>684</v>
      </c>
      <c r="H17" t="s">
        <v>450</v>
      </c>
      <c r="I17">
        <v>1</v>
      </c>
      <c r="J17" t="s">
        <v>2037</v>
      </c>
    </row>
    <row r="18" spans="1:10" x14ac:dyDescent="0.25">
      <c r="A18" s="94" t="s">
        <v>3947</v>
      </c>
      <c r="B18">
        <v>246</v>
      </c>
      <c r="C18">
        <v>27</v>
      </c>
      <c r="D18" s="45">
        <v>667</v>
      </c>
      <c r="E18" t="s">
        <v>450</v>
      </c>
      <c r="F18">
        <v>380</v>
      </c>
      <c r="G18">
        <v>684</v>
      </c>
      <c r="H18" t="s">
        <v>450</v>
      </c>
      <c r="I18">
        <v>1</v>
      </c>
      <c r="J18" t="s">
        <v>2038</v>
      </c>
    </row>
    <row r="19" spans="1:10" x14ac:dyDescent="0.25">
      <c r="A19" s="94" t="s">
        <v>3948</v>
      </c>
      <c r="B19">
        <v>456</v>
      </c>
      <c r="C19">
        <v>42</v>
      </c>
      <c r="D19" s="45">
        <v>1814</v>
      </c>
      <c r="E19" t="s">
        <v>2210</v>
      </c>
      <c r="F19">
        <v>784</v>
      </c>
      <c r="G19">
        <v>1207</v>
      </c>
      <c r="H19" t="s">
        <v>2210</v>
      </c>
      <c r="I19">
        <v>7</v>
      </c>
      <c r="J19" t="s">
        <v>2208</v>
      </c>
    </row>
    <row r="20" spans="1:10" x14ac:dyDescent="0.25">
      <c r="A20" s="94" t="s">
        <v>3949</v>
      </c>
      <c r="B20">
        <v>556</v>
      </c>
      <c r="C20">
        <v>42</v>
      </c>
      <c r="D20" s="45">
        <v>1814</v>
      </c>
      <c r="E20" t="s">
        <v>2210</v>
      </c>
      <c r="F20">
        <v>784</v>
      </c>
      <c r="G20">
        <v>1207</v>
      </c>
      <c r="H20" t="s">
        <v>2210</v>
      </c>
      <c r="I20">
        <v>6</v>
      </c>
      <c r="J20" t="s">
        <v>3925</v>
      </c>
    </row>
    <row r="21" spans="1:10" x14ac:dyDescent="0.25">
      <c r="A21" s="94" t="s">
        <v>3950</v>
      </c>
      <c r="B21">
        <v>249</v>
      </c>
      <c r="C21">
        <v>27</v>
      </c>
      <c r="D21" s="45">
        <v>667</v>
      </c>
      <c r="E21" t="s">
        <v>450</v>
      </c>
      <c r="F21">
        <v>380</v>
      </c>
      <c r="G21">
        <v>684</v>
      </c>
      <c r="H21" t="s">
        <v>450</v>
      </c>
      <c r="I21">
        <v>0</v>
      </c>
      <c r="J21" t="s">
        <v>449</v>
      </c>
    </row>
    <row r="22" spans="1:10" x14ac:dyDescent="0.25">
      <c r="A22" s="94" t="s">
        <v>3951</v>
      </c>
      <c r="B22">
        <v>250</v>
      </c>
      <c r="C22">
        <v>27</v>
      </c>
      <c r="D22" s="45">
        <v>667</v>
      </c>
      <c r="E22" t="s">
        <v>450</v>
      </c>
      <c r="F22">
        <v>380</v>
      </c>
      <c r="G22">
        <v>684</v>
      </c>
      <c r="H22" t="s">
        <v>450</v>
      </c>
      <c r="I22">
        <v>0</v>
      </c>
      <c r="J22" t="s">
        <v>449</v>
      </c>
    </row>
    <row r="23" spans="1:10" x14ac:dyDescent="0.25">
      <c r="A23" s="94" t="s">
        <v>3952</v>
      </c>
      <c r="B23">
        <v>443</v>
      </c>
      <c r="C23">
        <v>42</v>
      </c>
      <c r="D23" s="45">
        <v>1814</v>
      </c>
      <c r="E23" t="s">
        <v>2210</v>
      </c>
      <c r="F23">
        <v>784</v>
      </c>
      <c r="G23">
        <v>1207</v>
      </c>
      <c r="H23" t="s">
        <v>2210</v>
      </c>
      <c r="I23">
        <v>1</v>
      </c>
      <c r="J23" t="s">
        <v>2200</v>
      </c>
    </row>
    <row r="24" spans="1:10" x14ac:dyDescent="0.25">
      <c r="A24" s="94" t="s">
        <v>3953</v>
      </c>
      <c r="B24">
        <v>444</v>
      </c>
      <c r="C24">
        <v>42</v>
      </c>
      <c r="D24" s="45">
        <v>1814</v>
      </c>
      <c r="E24" t="s">
        <v>2210</v>
      </c>
      <c r="F24">
        <v>784</v>
      </c>
      <c r="G24">
        <v>1207</v>
      </c>
      <c r="H24" t="s">
        <v>2210</v>
      </c>
      <c r="I24">
        <v>1</v>
      </c>
      <c r="J24" t="s">
        <v>2201</v>
      </c>
    </row>
    <row r="25" spans="1:10" x14ac:dyDescent="0.25">
      <c r="A25" s="94" t="s">
        <v>3954</v>
      </c>
      <c r="B25">
        <v>445</v>
      </c>
      <c r="C25">
        <v>42</v>
      </c>
      <c r="D25" s="45">
        <v>1814</v>
      </c>
      <c r="E25" t="s">
        <v>2210</v>
      </c>
      <c r="F25">
        <v>784</v>
      </c>
      <c r="G25">
        <v>1207</v>
      </c>
      <c r="H25" t="s">
        <v>2210</v>
      </c>
      <c r="I25">
        <v>1</v>
      </c>
      <c r="J25" t="s">
        <v>2202</v>
      </c>
    </row>
    <row r="26" spans="1:10" x14ac:dyDescent="0.25">
      <c r="A26" s="94" t="s">
        <v>3955</v>
      </c>
      <c r="B26">
        <v>447</v>
      </c>
      <c r="C26">
        <v>42</v>
      </c>
      <c r="D26" s="45">
        <v>1814</v>
      </c>
      <c r="E26" t="s">
        <v>2210</v>
      </c>
      <c r="F26">
        <v>784</v>
      </c>
      <c r="G26">
        <v>1207</v>
      </c>
      <c r="H26" t="s">
        <v>2210</v>
      </c>
      <c r="I26">
        <v>1</v>
      </c>
      <c r="J26" t="s">
        <v>2204</v>
      </c>
    </row>
    <row r="27" spans="1:10" x14ac:dyDescent="0.25">
      <c r="A27" s="94"/>
    </row>
    <row r="28" spans="1:10" x14ac:dyDescent="0.25">
      <c r="A28" s="94"/>
    </row>
    <row r="29" spans="1:10" x14ac:dyDescent="0.25">
      <c r="A29" s="94"/>
    </row>
    <row r="30" spans="1:10" x14ac:dyDescent="0.25">
      <c r="A30" s="94"/>
    </row>
    <row r="31" spans="1:10" x14ac:dyDescent="0.25">
      <c r="A31" s="94"/>
    </row>
    <row r="32" spans="1:10" x14ac:dyDescent="0.25">
      <c r="A32" s="94"/>
    </row>
    <row r="33" spans="1:1" x14ac:dyDescent="0.25">
      <c r="A33" s="94"/>
    </row>
    <row r="34" spans="1:1" x14ac:dyDescent="0.25">
      <c r="A34" s="94"/>
    </row>
    <row r="35" spans="1:1" x14ac:dyDescent="0.25">
      <c r="A35" s="94"/>
    </row>
    <row r="36" spans="1:1" x14ac:dyDescent="0.25">
      <c r="A36" s="94"/>
    </row>
    <row r="37" spans="1:1" x14ac:dyDescent="0.25">
      <c r="A37" s="94"/>
    </row>
    <row r="38" spans="1:1" x14ac:dyDescent="0.25">
      <c r="A38" s="94"/>
    </row>
    <row r="39" spans="1:1" x14ac:dyDescent="0.25">
      <c r="A39" s="94"/>
    </row>
    <row r="40" spans="1:1" x14ac:dyDescent="0.25">
      <c r="A40" s="94"/>
    </row>
    <row r="41" spans="1:1" x14ac:dyDescent="0.25">
      <c r="A41" s="94"/>
    </row>
    <row r="42" spans="1:1" x14ac:dyDescent="0.25">
      <c r="A42" s="94"/>
    </row>
    <row r="43" spans="1:1" x14ac:dyDescent="0.25">
      <c r="A43" s="94"/>
    </row>
    <row r="44" spans="1:1" x14ac:dyDescent="0.25">
      <c r="A44" s="94"/>
    </row>
    <row r="45" spans="1:1" x14ac:dyDescent="0.25">
      <c r="A45" s="94"/>
    </row>
    <row r="46" spans="1:1" x14ac:dyDescent="0.25">
      <c r="A46" s="94"/>
    </row>
    <row r="47" spans="1:1" x14ac:dyDescent="0.25">
      <c r="A47" s="94"/>
    </row>
    <row r="48" spans="1:1" x14ac:dyDescent="0.25">
      <c r="A48" s="94"/>
    </row>
    <row r="49" spans="1:1" x14ac:dyDescent="0.25">
      <c r="A49" s="94"/>
    </row>
    <row r="50" spans="1:1" x14ac:dyDescent="0.25">
      <c r="A50" s="94"/>
    </row>
    <row r="51" spans="1:1" x14ac:dyDescent="0.25">
      <c r="A51" s="94"/>
    </row>
    <row r="52" spans="1:1" x14ac:dyDescent="0.25">
      <c r="A52" s="94"/>
    </row>
    <row r="53" spans="1:1" x14ac:dyDescent="0.25">
      <c r="A53" s="94"/>
    </row>
    <row r="54" spans="1:1" x14ac:dyDescent="0.25">
      <c r="A54" s="94"/>
    </row>
    <row r="55" spans="1:1" x14ac:dyDescent="0.25">
      <c r="A55" s="94"/>
    </row>
    <row r="56" spans="1:1" x14ac:dyDescent="0.25">
      <c r="A56" s="94"/>
    </row>
    <row r="57" spans="1:1" x14ac:dyDescent="0.25">
      <c r="A57" s="94"/>
    </row>
    <row r="58" spans="1:1" x14ac:dyDescent="0.25">
      <c r="A58" s="94"/>
    </row>
    <row r="59" spans="1:1" x14ac:dyDescent="0.25">
      <c r="A59" s="94"/>
    </row>
    <row r="60" spans="1:1" x14ac:dyDescent="0.25">
      <c r="A60" s="94"/>
    </row>
    <row r="61" spans="1:1" x14ac:dyDescent="0.25">
      <c r="A61" s="94"/>
    </row>
    <row r="62" spans="1:1" x14ac:dyDescent="0.25">
      <c r="A62" s="94"/>
    </row>
    <row r="63" spans="1:1" x14ac:dyDescent="0.25">
      <c r="A63" s="94"/>
    </row>
    <row r="64" spans="1:1" x14ac:dyDescent="0.25">
      <c r="A64" s="94"/>
    </row>
    <row r="65" spans="1:1" x14ac:dyDescent="0.25">
      <c r="A65" s="94"/>
    </row>
    <row r="66" spans="1:1" x14ac:dyDescent="0.25">
      <c r="A66" s="94"/>
    </row>
    <row r="67" spans="1:1" x14ac:dyDescent="0.25">
      <c r="A67" s="94"/>
    </row>
    <row r="68" spans="1:1" x14ac:dyDescent="0.25">
      <c r="A68" s="94"/>
    </row>
    <row r="69" spans="1:1" x14ac:dyDescent="0.25">
      <c r="A69" s="94"/>
    </row>
    <row r="70" spans="1:1" x14ac:dyDescent="0.25">
      <c r="A70" s="94"/>
    </row>
    <row r="71" spans="1:1" x14ac:dyDescent="0.25">
      <c r="A71" s="94"/>
    </row>
    <row r="72" spans="1:1" x14ac:dyDescent="0.25">
      <c r="A72" s="94"/>
    </row>
    <row r="73" spans="1:1" x14ac:dyDescent="0.25">
      <c r="A73" s="94"/>
    </row>
    <row r="74" spans="1:1" x14ac:dyDescent="0.25">
      <c r="A74" s="94"/>
    </row>
    <row r="75" spans="1:1" x14ac:dyDescent="0.25">
      <c r="A75" s="94"/>
    </row>
    <row r="76" spans="1:1" x14ac:dyDescent="0.25">
      <c r="A76" s="94"/>
    </row>
    <row r="77" spans="1:1" x14ac:dyDescent="0.25">
      <c r="A77" s="94"/>
    </row>
    <row r="78" spans="1:1" x14ac:dyDescent="0.25">
      <c r="A78" s="94"/>
    </row>
    <row r="79" spans="1:1" x14ac:dyDescent="0.25">
      <c r="A79" s="94"/>
    </row>
    <row r="80" spans="1:1" x14ac:dyDescent="0.25">
      <c r="A80" s="94"/>
    </row>
    <row r="81" spans="1:1" x14ac:dyDescent="0.25">
      <c r="A81" s="94"/>
    </row>
    <row r="82" spans="1:1" x14ac:dyDescent="0.25">
      <c r="A82" s="94"/>
    </row>
    <row r="83" spans="1:1" x14ac:dyDescent="0.25">
      <c r="A83" s="94"/>
    </row>
    <row r="84" spans="1:1" x14ac:dyDescent="0.25">
      <c r="A84" s="94"/>
    </row>
    <row r="85" spans="1:1" x14ac:dyDescent="0.25">
      <c r="A85" s="94"/>
    </row>
    <row r="86" spans="1:1" x14ac:dyDescent="0.25">
      <c r="A86" s="94"/>
    </row>
    <row r="87" spans="1:1" x14ac:dyDescent="0.25">
      <c r="A87" s="94"/>
    </row>
    <row r="88" spans="1:1" x14ac:dyDescent="0.25">
      <c r="A88" s="94"/>
    </row>
    <row r="89" spans="1:1" x14ac:dyDescent="0.25">
      <c r="A89" s="94"/>
    </row>
    <row r="90" spans="1:1" x14ac:dyDescent="0.25">
      <c r="A90" s="94"/>
    </row>
    <row r="91" spans="1:1" x14ac:dyDescent="0.25">
      <c r="A91" s="94"/>
    </row>
    <row r="92" spans="1:1" x14ac:dyDescent="0.25">
      <c r="A92" s="94"/>
    </row>
    <row r="93" spans="1:1" x14ac:dyDescent="0.25">
      <c r="A93" s="94"/>
    </row>
    <row r="94" spans="1:1" x14ac:dyDescent="0.25">
      <c r="A94" s="94"/>
    </row>
    <row r="95" spans="1:1" x14ac:dyDescent="0.25">
      <c r="A95" s="94"/>
    </row>
    <row r="96" spans="1:1" x14ac:dyDescent="0.25">
      <c r="A96" s="94"/>
    </row>
    <row r="97" spans="1:1" x14ac:dyDescent="0.25">
      <c r="A97" s="94"/>
    </row>
    <row r="98" spans="1:1" x14ac:dyDescent="0.25">
      <c r="A98" s="94"/>
    </row>
    <row r="99" spans="1:1" x14ac:dyDescent="0.25">
      <c r="A99" s="94"/>
    </row>
    <row r="100" spans="1:1" x14ac:dyDescent="0.25">
      <c r="A100" s="94"/>
    </row>
    <row r="101" spans="1:1" x14ac:dyDescent="0.25">
      <c r="A101" s="94"/>
    </row>
    <row r="102" spans="1:1" x14ac:dyDescent="0.25">
      <c r="A102" s="94"/>
    </row>
    <row r="103" spans="1:1" x14ac:dyDescent="0.25">
      <c r="A103" s="94"/>
    </row>
    <row r="104" spans="1:1" x14ac:dyDescent="0.25">
      <c r="A104" s="94"/>
    </row>
    <row r="105" spans="1:1" x14ac:dyDescent="0.25">
      <c r="A105" s="94"/>
    </row>
    <row r="106" spans="1:1" x14ac:dyDescent="0.25">
      <c r="A106" s="94"/>
    </row>
    <row r="107" spans="1:1" x14ac:dyDescent="0.25">
      <c r="A107" s="94"/>
    </row>
    <row r="108" spans="1:1" x14ac:dyDescent="0.25">
      <c r="A108" s="94"/>
    </row>
    <row r="109" spans="1:1" x14ac:dyDescent="0.25">
      <c r="A109" s="94"/>
    </row>
    <row r="110" spans="1:1" x14ac:dyDescent="0.25">
      <c r="A110" s="94"/>
    </row>
    <row r="111" spans="1:1" x14ac:dyDescent="0.25">
      <c r="A111" s="94"/>
    </row>
    <row r="112" spans="1:1" x14ac:dyDescent="0.25">
      <c r="A112" s="94"/>
    </row>
    <row r="113" spans="1:1" x14ac:dyDescent="0.25">
      <c r="A113" s="94"/>
    </row>
    <row r="114" spans="1:1" x14ac:dyDescent="0.25">
      <c r="A114" s="94"/>
    </row>
    <row r="115" spans="1:1" x14ac:dyDescent="0.25">
      <c r="A115" s="94"/>
    </row>
    <row r="116" spans="1:1" x14ac:dyDescent="0.25">
      <c r="A116" s="94"/>
    </row>
    <row r="117" spans="1:1" x14ac:dyDescent="0.25">
      <c r="A117" s="94"/>
    </row>
    <row r="118" spans="1:1" x14ac:dyDescent="0.25">
      <c r="A118" s="94"/>
    </row>
    <row r="119" spans="1:1" x14ac:dyDescent="0.25">
      <c r="A119" s="94"/>
    </row>
    <row r="120" spans="1:1" x14ac:dyDescent="0.25">
      <c r="A120" s="94"/>
    </row>
    <row r="121" spans="1:1" x14ac:dyDescent="0.25">
      <c r="A121" s="94"/>
    </row>
    <row r="122" spans="1:1" x14ac:dyDescent="0.25">
      <c r="A122" s="94"/>
    </row>
    <row r="123" spans="1:1" x14ac:dyDescent="0.25">
      <c r="A123" s="94"/>
    </row>
    <row r="124" spans="1:1" x14ac:dyDescent="0.25">
      <c r="A124" s="94"/>
    </row>
    <row r="125" spans="1:1" x14ac:dyDescent="0.25">
      <c r="A125" s="94"/>
    </row>
    <row r="126" spans="1:1" x14ac:dyDescent="0.25">
      <c r="A126" s="94"/>
    </row>
    <row r="127" spans="1:1" x14ac:dyDescent="0.25">
      <c r="A127" s="94"/>
    </row>
    <row r="128" spans="1:1" x14ac:dyDescent="0.25">
      <c r="A128" s="94"/>
    </row>
    <row r="129" spans="1:1" x14ac:dyDescent="0.25">
      <c r="A129" s="94"/>
    </row>
    <row r="130" spans="1:1" x14ac:dyDescent="0.25">
      <c r="A130" s="94"/>
    </row>
    <row r="131" spans="1:1" x14ac:dyDescent="0.25">
      <c r="A131" s="94"/>
    </row>
    <row r="132" spans="1:1" x14ac:dyDescent="0.25">
      <c r="A132" s="94"/>
    </row>
    <row r="133" spans="1:1" x14ac:dyDescent="0.25">
      <c r="A133" s="94"/>
    </row>
    <row r="134" spans="1:1" x14ac:dyDescent="0.25">
      <c r="A134" s="94"/>
    </row>
    <row r="135" spans="1:1" x14ac:dyDescent="0.25">
      <c r="A135" s="94"/>
    </row>
    <row r="136" spans="1:1" x14ac:dyDescent="0.25">
      <c r="A136" s="94"/>
    </row>
    <row r="137" spans="1:1" x14ac:dyDescent="0.25">
      <c r="A137" s="94"/>
    </row>
    <row r="138" spans="1:1" x14ac:dyDescent="0.25">
      <c r="A138" s="94"/>
    </row>
    <row r="139" spans="1:1" x14ac:dyDescent="0.25">
      <c r="A139" s="94"/>
    </row>
    <row r="140" spans="1:1" x14ac:dyDescent="0.25">
      <c r="A140" s="94"/>
    </row>
    <row r="141" spans="1:1" x14ac:dyDescent="0.25">
      <c r="A141" s="94"/>
    </row>
    <row r="142" spans="1:1" x14ac:dyDescent="0.25">
      <c r="A142" s="94"/>
    </row>
    <row r="143" spans="1:1" x14ac:dyDescent="0.25">
      <c r="A143" s="94"/>
    </row>
    <row r="144" spans="1:1" x14ac:dyDescent="0.25">
      <c r="A144" s="94"/>
    </row>
    <row r="145" spans="1:1" x14ac:dyDescent="0.25">
      <c r="A145" s="94"/>
    </row>
    <row r="146" spans="1:1" x14ac:dyDescent="0.25">
      <c r="A146" s="94"/>
    </row>
    <row r="147" spans="1:1" x14ac:dyDescent="0.25">
      <c r="A147" s="94"/>
    </row>
    <row r="148" spans="1:1" x14ac:dyDescent="0.25">
      <c r="A148" s="94"/>
    </row>
    <row r="149" spans="1:1" x14ac:dyDescent="0.25">
      <c r="A149" s="94"/>
    </row>
    <row r="150" spans="1:1" x14ac:dyDescent="0.25">
      <c r="A150" s="94"/>
    </row>
    <row r="151" spans="1:1" x14ac:dyDescent="0.25">
      <c r="A151" s="94"/>
    </row>
    <row r="152" spans="1:1" x14ac:dyDescent="0.25">
      <c r="A152" s="94"/>
    </row>
    <row r="153" spans="1:1" x14ac:dyDescent="0.25">
      <c r="A153" s="94"/>
    </row>
    <row r="154" spans="1:1" x14ac:dyDescent="0.25">
      <c r="A154" s="94"/>
    </row>
    <row r="155" spans="1:1" x14ac:dyDescent="0.25">
      <c r="A155" s="94"/>
    </row>
    <row r="156" spans="1:1" x14ac:dyDescent="0.25">
      <c r="A156" s="94"/>
    </row>
    <row r="157" spans="1:1" x14ac:dyDescent="0.25">
      <c r="A157" s="94"/>
    </row>
    <row r="158" spans="1:1" x14ac:dyDescent="0.25">
      <c r="A158" s="94"/>
    </row>
    <row r="159" spans="1:1" x14ac:dyDescent="0.25">
      <c r="A159" s="94"/>
    </row>
    <row r="160" spans="1:1" x14ac:dyDescent="0.25">
      <c r="A160" s="94"/>
    </row>
    <row r="161" spans="1:1" x14ac:dyDescent="0.25">
      <c r="A161" s="94"/>
    </row>
    <row r="162" spans="1:1" x14ac:dyDescent="0.25">
      <c r="A162" s="94"/>
    </row>
    <row r="163" spans="1:1" x14ac:dyDescent="0.25">
      <c r="A163" s="94"/>
    </row>
    <row r="164" spans="1:1" x14ac:dyDescent="0.25">
      <c r="A164" s="94"/>
    </row>
    <row r="165" spans="1:1" x14ac:dyDescent="0.25">
      <c r="A165" s="94"/>
    </row>
    <row r="166" spans="1:1" x14ac:dyDescent="0.25">
      <c r="A166" s="94"/>
    </row>
    <row r="167" spans="1:1" x14ac:dyDescent="0.25">
      <c r="A167" s="94"/>
    </row>
    <row r="168" spans="1:1" x14ac:dyDescent="0.25">
      <c r="A168" s="94"/>
    </row>
    <row r="169" spans="1:1" x14ac:dyDescent="0.25">
      <c r="A169" s="94"/>
    </row>
    <row r="170" spans="1:1" x14ac:dyDescent="0.25">
      <c r="A170" s="94"/>
    </row>
    <row r="171" spans="1:1" x14ac:dyDescent="0.25">
      <c r="A171" s="94"/>
    </row>
    <row r="172" spans="1:1" x14ac:dyDescent="0.25">
      <c r="A172" s="94"/>
    </row>
    <row r="173" spans="1:1" x14ac:dyDescent="0.25">
      <c r="A173" s="94"/>
    </row>
    <row r="174" spans="1:1" x14ac:dyDescent="0.25">
      <c r="A174" s="94"/>
    </row>
    <row r="175" spans="1:1" x14ac:dyDescent="0.25">
      <c r="A175" s="94"/>
    </row>
    <row r="176" spans="1:1" x14ac:dyDescent="0.25">
      <c r="A176" s="94"/>
    </row>
    <row r="177" spans="1:1" x14ac:dyDescent="0.25">
      <c r="A177" s="94"/>
    </row>
    <row r="178" spans="1:1" x14ac:dyDescent="0.25">
      <c r="A178" s="94"/>
    </row>
    <row r="179" spans="1:1" x14ac:dyDescent="0.25">
      <c r="A179" s="94"/>
    </row>
    <row r="180" spans="1:1" x14ac:dyDescent="0.25">
      <c r="A180" s="94"/>
    </row>
    <row r="181" spans="1:1" x14ac:dyDescent="0.25">
      <c r="A181" s="94"/>
    </row>
    <row r="182" spans="1:1" x14ac:dyDescent="0.25">
      <c r="A182" s="94"/>
    </row>
    <row r="183" spans="1:1" x14ac:dyDescent="0.25">
      <c r="A183" s="94"/>
    </row>
    <row r="184" spans="1:1" x14ac:dyDescent="0.25">
      <c r="A184" s="94"/>
    </row>
    <row r="185" spans="1:1" x14ac:dyDescent="0.25">
      <c r="A185" s="94"/>
    </row>
    <row r="186" spans="1:1" x14ac:dyDescent="0.25">
      <c r="A186" s="94"/>
    </row>
    <row r="187" spans="1:1" x14ac:dyDescent="0.25">
      <c r="A187" s="94"/>
    </row>
    <row r="188" spans="1:1" x14ac:dyDescent="0.25">
      <c r="A188" s="94"/>
    </row>
    <row r="189" spans="1:1" x14ac:dyDescent="0.25">
      <c r="A189" s="94"/>
    </row>
    <row r="190" spans="1:1" x14ac:dyDescent="0.25">
      <c r="A190" s="94"/>
    </row>
    <row r="191" spans="1:1" x14ac:dyDescent="0.25">
      <c r="A191" s="94"/>
    </row>
    <row r="192" spans="1:1" x14ac:dyDescent="0.25">
      <c r="A192" s="94"/>
    </row>
    <row r="193" spans="1:1" x14ac:dyDescent="0.25">
      <c r="A193" s="94"/>
    </row>
    <row r="194" spans="1:1" x14ac:dyDescent="0.25">
      <c r="A194" s="94"/>
    </row>
    <row r="195" spans="1:1" x14ac:dyDescent="0.25">
      <c r="A195" s="94"/>
    </row>
    <row r="196" spans="1:1" x14ac:dyDescent="0.25">
      <c r="A196" s="94"/>
    </row>
    <row r="197" spans="1:1" x14ac:dyDescent="0.25">
      <c r="A197" s="94"/>
    </row>
    <row r="198" spans="1:1" x14ac:dyDescent="0.25">
      <c r="A198" s="94"/>
    </row>
    <row r="199" spans="1:1" x14ac:dyDescent="0.25">
      <c r="A199" s="94"/>
    </row>
    <row r="200" spans="1:1" x14ac:dyDescent="0.25">
      <c r="A200" s="94"/>
    </row>
    <row r="201" spans="1:1" x14ac:dyDescent="0.25">
      <c r="A201" s="94"/>
    </row>
    <row r="202" spans="1:1" x14ac:dyDescent="0.25">
      <c r="A202" s="94"/>
    </row>
    <row r="203" spans="1:1" x14ac:dyDescent="0.25">
      <c r="A203" s="94"/>
    </row>
    <row r="204" spans="1:1" x14ac:dyDescent="0.25">
      <c r="A204" s="94"/>
    </row>
    <row r="205" spans="1:1" x14ac:dyDescent="0.25">
      <c r="A205" s="94"/>
    </row>
    <row r="206" spans="1:1" x14ac:dyDescent="0.25">
      <c r="A206" s="94"/>
    </row>
    <row r="207" spans="1:1" x14ac:dyDescent="0.25">
      <c r="A207" s="94"/>
    </row>
    <row r="208" spans="1:1" x14ac:dyDescent="0.25">
      <c r="A208" s="94"/>
    </row>
    <row r="209" spans="1:1" x14ac:dyDescent="0.25">
      <c r="A209" s="94"/>
    </row>
    <row r="210" spans="1:1" x14ac:dyDescent="0.25">
      <c r="A210" s="94"/>
    </row>
    <row r="211" spans="1:1" x14ac:dyDescent="0.25">
      <c r="A211" s="94"/>
    </row>
    <row r="212" spans="1:1" x14ac:dyDescent="0.25">
      <c r="A212" s="94"/>
    </row>
    <row r="213" spans="1:1" x14ac:dyDescent="0.25">
      <c r="A213" s="94"/>
    </row>
    <row r="214" spans="1:1" x14ac:dyDescent="0.25">
      <c r="A214" s="94"/>
    </row>
    <row r="215" spans="1:1" x14ac:dyDescent="0.25">
      <c r="A215" s="94"/>
    </row>
    <row r="216" spans="1:1" x14ac:dyDescent="0.25">
      <c r="A216" s="94"/>
    </row>
    <row r="217" spans="1:1" x14ac:dyDescent="0.25">
      <c r="A217" s="94"/>
    </row>
    <row r="218" spans="1:1" x14ac:dyDescent="0.25">
      <c r="A218" s="94"/>
    </row>
    <row r="219" spans="1:1" x14ac:dyDescent="0.25">
      <c r="A219" s="94"/>
    </row>
    <row r="220" spans="1:1" x14ac:dyDescent="0.25">
      <c r="A220" s="94"/>
    </row>
    <row r="221" spans="1:1" x14ac:dyDescent="0.25">
      <c r="A221" s="94"/>
    </row>
    <row r="222" spans="1:1" x14ac:dyDescent="0.25">
      <c r="A222" s="94"/>
    </row>
    <row r="223" spans="1:1" x14ac:dyDescent="0.25">
      <c r="A223" s="94"/>
    </row>
    <row r="224" spans="1:1" x14ac:dyDescent="0.25">
      <c r="A224" s="94"/>
    </row>
    <row r="225" spans="1:1" x14ac:dyDescent="0.25">
      <c r="A225" s="94"/>
    </row>
    <row r="226" spans="1:1" x14ac:dyDescent="0.25">
      <c r="A226" s="94"/>
    </row>
    <row r="227" spans="1:1" x14ac:dyDescent="0.25">
      <c r="A227" s="94"/>
    </row>
    <row r="228" spans="1:1" x14ac:dyDescent="0.25">
      <c r="A228" s="94"/>
    </row>
    <row r="229" spans="1:1" x14ac:dyDescent="0.25">
      <c r="A229" s="94"/>
    </row>
    <row r="230" spans="1:1" x14ac:dyDescent="0.25">
      <c r="A230" s="94"/>
    </row>
    <row r="231" spans="1:1" x14ac:dyDescent="0.25">
      <c r="A231" s="94"/>
    </row>
    <row r="232" spans="1:1" x14ac:dyDescent="0.25">
      <c r="A232" s="94"/>
    </row>
    <row r="233" spans="1:1" x14ac:dyDescent="0.25">
      <c r="A233" s="94"/>
    </row>
    <row r="234" spans="1:1" x14ac:dyDescent="0.25">
      <c r="A234" s="94"/>
    </row>
    <row r="235" spans="1:1" x14ac:dyDescent="0.25">
      <c r="A235" s="94"/>
    </row>
    <row r="236" spans="1:1" x14ac:dyDescent="0.25">
      <c r="A236" s="94"/>
    </row>
    <row r="237" spans="1:1" x14ac:dyDescent="0.25">
      <c r="A237" s="94"/>
    </row>
    <row r="238" spans="1:1" x14ac:dyDescent="0.25">
      <c r="A238" s="94"/>
    </row>
    <row r="239" spans="1:1" x14ac:dyDescent="0.25">
      <c r="A239" s="94"/>
    </row>
    <row r="240" spans="1:1" x14ac:dyDescent="0.25">
      <c r="A240" s="94"/>
    </row>
    <row r="241" spans="1:1" x14ac:dyDescent="0.25">
      <c r="A241" s="94"/>
    </row>
    <row r="242" spans="1:1" x14ac:dyDescent="0.25">
      <c r="A242" s="94"/>
    </row>
    <row r="243" spans="1:1" x14ac:dyDescent="0.25">
      <c r="A243" s="94"/>
    </row>
    <row r="244" spans="1:1" x14ac:dyDescent="0.25">
      <c r="A244" s="94"/>
    </row>
    <row r="245" spans="1:1" x14ac:dyDescent="0.25">
      <c r="A245" s="94"/>
    </row>
    <row r="246" spans="1:1" x14ac:dyDescent="0.25">
      <c r="A246" s="94"/>
    </row>
    <row r="247" spans="1:1" x14ac:dyDescent="0.25">
      <c r="A247" s="94"/>
    </row>
    <row r="248" spans="1:1" x14ac:dyDescent="0.25">
      <c r="A248" s="94"/>
    </row>
    <row r="249" spans="1:1" x14ac:dyDescent="0.25">
      <c r="A249" s="94"/>
    </row>
    <row r="250" spans="1:1" x14ac:dyDescent="0.25">
      <c r="A250" s="94"/>
    </row>
    <row r="251" spans="1:1" x14ac:dyDescent="0.25">
      <c r="A251" s="94"/>
    </row>
    <row r="252" spans="1:1" x14ac:dyDescent="0.25">
      <c r="A252" s="94"/>
    </row>
    <row r="253" spans="1:1" x14ac:dyDescent="0.25">
      <c r="A253" s="94"/>
    </row>
    <row r="254" spans="1:1" x14ac:dyDescent="0.25">
      <c r="A254" s="94"/>
    </row>
    <row r="255" spans="1:1" x14ac:dyDescent="0.25">
      <c r="A255" s="94"/>
    </row>
    <row r="256" spans="1:1" x14ac:dyDescent="0.25">
      <c r="A256" s="94"/>
    </row>
    <row r="257" spans="1:1" x14ac:dyDescent="0.25">
      <c r="A257" s="94"/>
    </row>
    <row r="258" spans="1:1" x14ac:dyDescent="0.25">
      <c r="A258" s="94"/>
    </row>
    <row r="259" spans="1:1" x14ac:dyDescent="0.25">
      <c r="A259" s="94"/>
    </row>
    <row r="260" spans="1:1" x14ac:dyDescent="0.25">
      <c r="A260" s="94"/>
    </row>
    <row r="261" spans="1:1" x14ac:dyDescent="0.25">
      <c r="A261" s="94"/>
    </row>
    <row r="262" spans="1:1" x14ac:dyDescent="0.25">
      <c r="A262" s="94"/>
    </row>
    <row r="263" spans="1:1" x14ac:dyDescent="0.25">
      <c r="A263" s="94"/>
    </row>
    <row r="264" spans="1:1" x14ac:dyDescent="0.25">
      <c r="A264" s="94"/>
    </row>
    <row r="265" spans="1:1" x14ac:dyDescent="0.25">
      <c r="A265" s="94"/>
    </row>
    <row r="266" spans="1:1" x14ac:dyDescent="0.25">
      <c r="A266" s="94"/>
    </row>
    <row r="267" spans="1:1" x14ac:dyDescent="0.25">
      <c r="A267" s="94"/>
    </row>
    <row r="268" spans="1:1" x14ac:dyDescent="0.25">
      <c r="A268" s="94"/>
    </row>
    <row r="269" spans="1:1" x14ac:dyDescent="0.25">
      <c r="A269" s="94"/>
    </row>
    <row r="270" spans="1:1" x14ac:dyDescent="0.25">
      <c r="A270" s="94"/>
    </row>
    <row r="271" spans="1:1" x14ac:dyDescent="0.25">
      <c r="A271" s="94"/>
    </row>
    <row r="272" spans="1:1" x14ac:dyDescent="0.25">
      <c r="A272" s="94"/>
    </row>
    <row r="273" spans="1:1" x14ac:dyDescent="0.25">
      <c r="A273" s="94"/>
    </row>
    <row r="274" spans="1:1" x14ac:dyDescent="0.25">
      <c r="A274" s="94"/>
    </row>
    <row r="275" spans="1:1" x14ac:dyDescent="0.25">
      <c r="A275" s="94"/>
    </row>
    <row r="276" spans="1:1" x14ac:dyDescent="0.25">
      <c r="A276" s="94"/>
    </row>
    <row r="277" spans="1:1" x14ac:dyDescent="0.25">
      <c r="A277" s="94"/>
    </row>
    <row r="278" spans="1:1" x14ac:dyDescent="0.25">
      <c r="A278" s="94"/>
    </row>
    <row r="279" spans="1:1" x14ac:dyDescent="0.25">
      <c r="A279" s="94"/>
    </row>
    <row r="280" spans="1:1" x14ac:dyDescent="0.25">
      <c r="A280" s="94"/>
    </row>
    <row r="281" spans="1:1" x14ac:dyDescent="0.25">
      <c r="A281" s="94"/>
    </row>
    <row r="282" spans="1:1" x14ac:dyDescent="0.25">
      <c r="A282" s="94"/>
    </row>
    <row r="283" spans="1:1" x14ac:dyDescent="0.25">
      <c r="A283" s="94"/>
    </row>
    <row r="284" spans="1:1" x14ac:dyDescent="0.25">
      <c r="A284" s="94"/>
    </row>
    <row r="285" spans="1:1" x14ac:dyDescent="0.25">
      <c r="A285" s="94"/>
    </row>
    <row r="286" spans="1:1" x14ac:dyDescent="0.25">
      <c r="A286" s="94"/>
    </row>
    <row r="287" spans="1:1" x14ac:dyDescent="0.25">
      <c r="A287" s="94"/>
    </row>
    <row r="288" spans="1:1" x14ac:dyDescent="0.25">
      <c r="A288" s="94"/>
    </row>
    <row r="289" spans="1:1" x14ac:dyDescent="0.25">
      <c r="A289" s="94"/>
    </row>
    <row r="290" spans="1:1" x14ac:dyDescent="0.25">
      <c r="A290" s="94"/>
    </row>
    <row r="291" spans="1:1" x14ac:dyDescent="0.25">
      <c r="A291" s="94"/>
    </row>
    <row r="292" spans="1:1" x14ac:dyDescent="0.25">
      <c r="A292" s="94"/>
    </row>
    <row r="293" spans="1:1" x14ac:dyDescent="0.25">
      <c r="A293" s="94"/>
    </row>
    <row r="294" spans="1:1" x14ac:dyDescent="0.25">
      <c r="A294" s="94"/>
    </row>
    <row r="295" spans="1:1" x14ac:dyDescent="0.25">
      <c r="A295" s="94"/>
    </row>
    <row r="296" spans="1:1" x14ac:dyDescent="0.25">
      <c r="A296" s="94"/>
    </row>
    <row r="297" spans="1:1" x14ac:dyDescent="0.25">
      <c r="A297" s="94"/>
    </row>
    <row r="298" spans="1:1" x14ac:dyDescent="0.25">
      <c r="A298" s="94"/>
    </row>
    <row r="299" spans="1:1" x14ac:dyDescent="0.25">
      <c r="A299" s="94"/>
    </row>
    <row r="300" spans="1:1" x14ac:dyDescent="0.25">
      <c r="A300" s="94"/>
    </row>
    <row r="301" spans="1:1" x14ac:dyDescent="0.25">
      <c r="A301" s="94"/>
    </row>
    <row r="302" spans="1:1" x14ac:dyDescent="0.25">
      <c r="A302" s="94"/>
    </row>
    <row r="303" spans="1:1" x14ac:dyDescent="0.25">
      <c r="A303" s="94"/>
    </row>
    <row r="304" spans="1:1" x14ac:dyDescent="0.25">
      <c r="A304" s="94"/>
    </row>
    <row r="305" spans="1:1" x14ac:dyDescent="0.25">
      <c r="A305" s="94"/>
    </row>
    <row r="306" spans="1:1" x14ac:dyDescent="0.25">
      <c r="A306" s="94"/>
    </row>
    <row r="307" spans="1:1" x14ac:dyDescent="0.25">
      <c r="A307" s="94"/>
    </row>
    <row r="308" spans="1:1" x14ac:dyDescent="0.25">
      <c r="A308" s="94"/>
    </row>
    <row r="309" spans="1:1" x14ac:dyDescent="0.25">
      <c r="A309" s="94"/>
    </row>
    <row r="310" spans="1:1" x14ac:dyDescent="0.25">
      <c r="A310" s="94"/>
    </row>
    <row r="311" spans="1:1" x14ac:dyDescent="0.25">
      <c r="A311" s="94"/>
    </row>
    <row r="312" spans="1:1" x14ac:dyDescent="0.25">
      <c r="A312" s="94"/>
    </row>
    <row r="313" spans="1:1" x14ac:dyDescent="0.25">
      <c r="A313" s="94"/>
    </row>
    <row r="314" spans="1:1" x14ac:dyDescent="0.25">
      <c r="A314" s="94"/>
    </row>
    <row r="315" spans="1:1" x14ac:dyDescent="0.25">
      <c r="A315" s="94"/>
    </row>
    <row r="316" spans="1:1" x14ac:dyDescent="0.25">
      <c r="A316" s="94"/>
    </row>
    <row r="317" spans="1:1" x14ac:dyDescent="0.25">
      <c r="A317" s="94"/>
    </row>
    <row r="318" spans="1:1" x14ac:dyDescent="0.25">
      <c r="A318" s="94"/>
    </row>
    <row r="319" spans="1:1" x14ac:dyDescent="0.25">
      <c r="A319" s="94"/>
    </row>
    <row r="320" spans="1:1" x14ac:dyDescent="0.25">
      <c r="A320" s="94"/>
    </row>
    <row r="321" spans="1:1" x14ac:dyDescent="0.25">
      <c r="A321" s="94"/>
    </row>
    <row r="322" spans="1:1" x14ac:dyDescent="0.25">
      <c r="A322" s="94"/>
    </row>
    <row r="323" spans="1:1" x14ac:dyDescent="0.25">
      <c r="A323" s="94"/>
    </row>
    <row r="324" spans="1:1" x14ac:dyDescent="0.25">
      <c r="A324" s="94"/>
    </row>
    <row r="325" spans="1:1" x14ac:dyDescent="0.25">
      <c r="A325" s="94"/>
    </row>
    <row r="326" spans="1:1" x14ac:dyDescent="0.25">
      <c r="A326" s="94"/>
    </row>
    <row r="327" spans="1:1" x14ac:dyDescent="0.25">
      <c r="A327" s="94"/>
    </row>
    <row r="328" spans="1:1" x14ac:dyDescent="0.25">
      <c r="A328" s="94"/>
    </row>
    <row r="329" spans="1:1" x14ac:dyDescent="0.25">
      <c r="A329" s="94"/>
    </row>
    <row r="330" spans="1:1" x14ac:dyDescent="0.25">
      <c r="A330" s="94"/>
    </row>
    <row r="331" spans="1:1" x14ac:dyDescent="0.25">
      <c r="A331" s="94"/>
    </row>
    <row r="332" spans="1:1" x14ac:dyDescent="0.25">
      <c r="A332" s="94"/>
    </row>
    <row r="333" spans="1:1" x14ac:dyDescent="0.25">
      <c r="A333" s="94"/>
    </row>
    <row r="334" spans="1:1" x14ac:dyDescent="0.25">
      <c r="A334" s="94"/>
    </row>
    <row r="335" spans="1:1" x14ac:dyDescent="0.25">
      <c r="A335" s="94"/>
    </row>
    <row r="336" spans="1:1" x14ac:dyDescent="0.25">
      <c r="A336" s="94"/>
    </row>
    <row r="337" spans="1:1" x14ac:dyDescent="0.25">
      <c r="A337" s="94"/>
    </row>
    <row r="338" spans="1:1" x14ac:dyDescent="0.25">
      <c r="A338" s="94"/>
    </row>
    <row r="339" spans="1:1" x14ac:dyDescent="0.25">
      <c r="A339" s="94"/>
    </row>
    <row r="340" spans="1:1" x14ac:dyDescent="0.25">
      <c r="A340" s="94"/>
    </row>
    <row r="341" spans="1:1" x14ac:dyDescent="0.25">
      <c r="A341" s="94"/>
    </row>
    <row r="342" spans="1:1" x14ac:dyDescent="0.25">
      <c r="A342" s="94"/>
    </row>
    <row r="343" spans="1:1" x14ac:dyDescent="0.25">
      <c r="A343" s="94"/>
    </row>
    <row r="344" spans="1:1" x14ac:dyDescent="0.25">
      <c r="A344" s="94"/>
    </row>
    <row r="345" spans="1:1" x14ac:dyDescent="0.25">
      <c r="A345" s="94"/>
    </row>
    <row r="346" spans="1:1" x14ac:dyDescent="0.25">
      <c r="A346" s="94"/>
    </row>
    <row r="347" spans="1:1" x14ac:dyDescent="0.25">
      <c r="A347" s="94"/>
    </row>
    <row r="348" spans="1:1" x14ac:dyDescent="0.25">
      <c r="A348" s="94"/>
    </row>
    <row r="349" spans="1:1" x14ac:dyDescent="0.25">
      <c r="A349" s="94"/>
    </row>
    <row r="350" spans="1:1" x14ac:dyDescent="0.25">
      <c r="A350" s="94"/>
    </row>
    <row r="351" spans="1:1" x14ac:dyDescent="0.25">
      <c r="A351" s="94"/>
    </row>
    <row r="352" spans="1:1" x14ac:dyDescent="0.25">
      <c r="A352" s="94"/>
    </row>
    <row r="353" spans="1:1" x14ac:dyDescent="0.25">
      <c r="A353" s="94"/>
    </row>
    <row r="354" spans="1:1" x14ac:dyDescent="0.25">
      <c r="A354" s="94"/>
    </row>
    <row r="355" spans="1:1" x14ac:dyDescent="0.25">
      <c r="A355" s="94"/>
    </row>
    <row r="356" spans="1:1" x14ac:dyDescent="0.25">
      <c r="A356" s="94"/>
    </row>
    <row r="357" spans="1:1" x14ac:dyDescent="0.25">
      <c r="A357" s="94"/>
    </row>
    <row r="358" spans="1:1" x14ac:dyDescent="0.25">
      <c r="A358" s="94"/>
    </row>
    <row r="359" spans="1:1" x14ac:dyDescent="0.25">
      <c r="A359" s="94"/>
    </row>
    <row r="360" spans="1:1" x14ac:dyDescent="0.25">
      <c r="A360" s="94"/>
    </row>
    <row r="361" spans="1:1" x14ac:dyDescent="0.25">
      <c r="A361" s="94"/>
    </row>
    <row r="362" spans="1:1" x14ac:dyDescent="0.25">
      <c r="A362" s="94"/>
    </row>
    <row r="363" spans="1:1" x14ac:dyDescent="0.25">
      <c r="A363" s="94"/>
    </row>
    <row r="364" spans="1:1" x14ac:dyDescent="0.25">
      <c r="A364" s="94"/>
    </row>
    <row r="365" spans="1:1" x14ac:dyDescent="0.25">
      <c r="A365" s="94"/>
    </row>
    <row r="366" spans="1:1" x14ac:dyDescent="0.25">
      <c r="A366" s="94"/>
    </row>
    <row r="367" spans="1:1" x14ac:dyDescent="0.25">
      <c r="A367" s="94"/>
    </row>
    <row r="368" spans="1:1" x14ac:dyDescent="0.25">
      <c r="A368" s="94"/>
    </row>
    <row r="369" spans="1:1" x14ac:dyDescent="0.25">
      <c r="A369" s="94"/>
    </row>
    <row r="370" spans="1:1" x14ac:dyDescent="0.25">
      <c r="A370" s="94"/>
    </row>
    <row r="371" spans="1:1" x14ac:dyDescent="0.25">
      <c r="A371" s="94"/>
    </row>
    <row r="372" spans="1:1" x14ac:dyDescent="0.25">
      <c r="A372" s="94"/>
    </row>
    <row r="373" spans="1:1" x14ac:dyDescent="0.25">
      <c r="A373" s="94"/>
    </row>
    <row r="374" spans="1:1" x14ac:dyDescent="0.25">
      <c r="A374" s="94"/>
    </row>
    <row r="375" spans="1:1" x14ac:dyDescent="0.25">
      <c r="A375" s="94"/>
    </row>
    <row r="376" spans="1:1" x14ac:dyDescent="0.25">
      <c r="A376" s="94"/>
    </row>
    <row r="377" spans="1:1" x14ac:dyDescent="0.25">
      <c r="A377" s="94"/>
    </row>
    <row r="378" spans="1:1" x14ac:dyDescent="0.25">
      <c r="A378" s="94"/>
    </row>
    <row r="379" spans="1:1" x14ac:dyDescent="0.25">
      <c r="A379" s="94"/>
    </row>
    <row r="380" spans="1:1" x14ac:dyDescent="0.25">
      <c r="A380" s="94"/>
    </row>
    <row r="381" spans="1:1" x14ac:dyDescent="0.25">
      <c r="A381" s="94"/>
    </row>
    <row r="382" spans="1:1" x14ac:dyDescent="0.25">
      <c r="A382" s="94"/>
    </row>
    <row r="383" spans="1:1" x14ac:dyDescent="0.25">
      <c r="A383" s="94"/>
    </row>
    <row r="384" spans="1:1" x14ac:dyDescent="0.25">
      <c r="A384" s="94"/>
    </row>
    <row r="385" spans="1:1" x14ac:dyDescent="0.25">
      <c r="A385" s="94"/>
    </row>
    <row r="386" spans="1:1" x14ac:dyDescent="0.25">
      <c r="A386" s="94"/>
    </row>
    <row r="387" spans="1:1" x14ac:dyDescent="0.25">
      <c r="A387" s="94"/>
    </row>
    <row r="388" spans="1:1" x14ac:dyDescent="0.25">
      <c r="A388" s="94"/>
    </row>
    <row r="389" spans="1:1" x14ac:dyDescent="0.25">
      <c r="A389" s="94"/>
    </row>
    <row r="390" spans="1:1" x14ac:dyDescent="0.25">
      <c r="A390" s="94"/>
    </row>
    <row r="391" spans="1:1" x14ac:dyDescent="0.25">
      <c r="A391" s="94"/>
    </row>
    <row r="392" spans="1:1" x14ac:dyDescent="0.25">
      <c r="A392" s="94"/>
    </row>
    <row r="393" spans="1:1" x14ac:dyDescent="0.25">
      <c r="A393" s="94"/>
    </row>
    <row r="394" spans="1:1" x14ac:dyDescent="0.25">
      <c r="A394" s="94"/>
    </row>
    <row r="395" spans="1:1" x14ac:dyDescent="0.25">
      <c r="A395" s="94"/>
    </row>
    <row r="396" spans="1:1" x14ac:dyDescent="0.25">
      <c r="A396" s="94"/>
    </row>
    <row r="397" spans="1:1" x14ac:dyDescent="0.25">
      <c r="A397" s="94"/>
    </row>
    <row r="398" spans="1:1" x14ac:dyDescent="0.25">
      <c r="A398" s="94"/>
    </row>
    <row r="399" spans="1:1" x14ac:dyDescent="0.25">
      <c r="A399" s="94"/>
    </row>
    <row r="400" spans="1:1" x14ac:dyDescent="0.25">
      <c r="A400" s="94"/>
    </row>
    <row r="401" spans="1:1" x14ac:dyDescent="0.25">
      <c r="A401" s="94"/>
    </row>
    <row r="402" spans="1:1" x14ac:dyDescent="0.25">
      <c r="A402" s="94"/>
    </row>
    <row r="403" spans="1:1" x14ac:dyDescent="0.25">
      <c r="A403" s="94"/>
    </row>
    <row r="404" spans="1:1" x14ac:dyDescent="0.25">
      <c r="A404" s="94"/>
    </row>
    <row r="405" spans="1:1" x14ac:dyDescent="0.25">
      <c r="A405" s="94"/>
    </row>
    <row r="406" spans="1:1" x14ac:dyDescent="0.25">
      <c r="A406" s="94"/>
    </row>
    <row r="407" spans="1:1" x14ac:dyDescent="0.25">
      <c r="A407" s="94"/>
    </row>
    <row r="408" spans="1:1" x14ac:dyDescent="0.25">
      <c r="A408" s="94"/>
    </row>
    <row r="409" spans="1:1" x14ac:dyDescent="0.25">
      <c r="A409" s="94"/>
    </row>
    <row r="410" spans="1:1" x14ac:dyDescent="0.25">
      <c r="A410" s="94"/>
    </row>
    <row r="411" spans="1:1" x14ac:dyDescent="0.25">
      <c r="A411" s="94"/>
    </row>
    <row r="412" spans="1:1" x14ac:dyDescent="0.25">
      <c r="A412" s="94"/>
    </row>
    <row r="413" spans="1:1" x14ac:dyDescent="0.25">
      <c r="A413" s="94"/>
    </row>
    <row r="414" spans="1:1" x14ac:dyDescent="0.25">
      <c r="A414" s="94"/>
    </row>
    <row r="415" spans="1:1" x14ac:dyDescent="0.25">
      <c r="A415" s="94"/>
    </row>
    <row r="416" spans="1:1" x14ac:dyDescent="0.25">
      <c r="A416" s="94"/>
    </row>
    <row r="417" spans="1:1" x14ac:dyDescent="0.25">
      <c r="A417" s="94"/>
    </row>
    <row r="418" spans="1:1" x14ac:dyDescent="0.25">
      <c r="A418" s="94"/>
    </row>
    <row r="419" spans="1:1" x14ac:dyDescent="0.25">
      <c r="A419" s="94"/>
    </row>
    <row r="420" spans="1:1" x14ac:dyDescent="0.25">
      <c r="A420" s="94"/>
    </row>
    <row r="421" spans="1:1" x14ac:dyDescent="0.25">
      <c r="A421" s="94"/>
    </row>
    <row r="422" spans="1:1" x14ac:dyDescent="0.25">
      <c r="A422" s="94"/>
    </row>
    <row r="423" spans="1:1" x14ac:dyDescent="0.25">
      <c r="A423" s="94"/>
    </row>
    <row r="424" spans="1:1" x14ac:dyDescent="0.25">
      <c r="A424" s="94"/>
    </row>
    <row r="425" spans="1:1" x14ac:dyDescent="0.25">
      <c r="A425" s="94"/>
    </row>
    <row r="426" spans="1:1" x14ac:dyDescent="0.25">
      <c r="A426" s="94"/>
    </row>
    <row r="427" spans="1:1" x14ac:dyDescent="0.25">
      <c r="A427" s="94"/>
    </row>
    <row r="428" spans="1:1" x14ac:dyDescent="0.25">
      <c r="A428" s="94"/>
    </row>
    <row r="429" spans="1:1" x14ac:dyDescent="0.25">
      <c r="A429" s="94"/>
    </row>
    <row r="430" spans="1:1" x14ac:dyDescent="0.25">
      <c r="A430" s="94"/>
    </row>
    <row r="431" spans="1:1" x14ac:dyDescent="0.25">
      <c r="A431" s="94"/>
    </row>
    <row r="432" spans="1:1" x14ac:dyDescent="0.25">
      <c r="A432" s="94"/>
    </row>
    <row r="433" spans="1:1" x14ac:dyDescent="0.25">
      <c r="A433" s="94"/>
    </row>
    <row r="434" spans="1:1" x14ac:dyDescent="0.25">
      <c r="A434" s="94"/>
    </row>
    <row r="435" spans="1:1" x14ac:dyDescent="0.25">
      <c r="A435" s="94"/>
    </row>
    <row r="436" spans="1:1" x14ac:dyDescent="0.25">
      <c r="A436" s="94"/>
    </row>
    <row r="437" spans="1:1" x14ac:dyDescent="0.25">
      <c r="A437" s="94"/>
    </row>
    <row r="438" spans="1:1" x14ac:dyDescent="0.25">
      <c r="A438" s="94"/>
    </row>
    <row r="439" spans="1:1" x14ac:dyDescent="0.25">
      <c r="A439" s="94"/>
    </row>
    <row r="440" spans="1:1" x14ac:dyDescent="0.25">
      <c r="A440" s="94"/>
    </row>
    <row r="441" spans="1:1" x14ac:dyDescent="0.25">
      <c r="A441" s="94"/>
    </row>
    <row r="442" spans="1:1" x14ac:dyDescent="0.25">
      <c r="A442" s="94"/>
    </row>
    <row r="443" spans="1:1" x14ac:dyDescent="0.25">
      <c r="A443" s="94"/>
    </row>
    <row r="444" spans="1:1" x14ac:dyDescent="0.25">
      <c r="A444" s="94"/>
    </row>
    <row r="445" spans="1:1" x14ac:dyDescent="0.25">
      <c r="A445" s="94"/>
    </row>
    <row r="446" spans="1:1" x14ac:dyDescent="0.25">
      <c r="A446" s="94"/>
    </row>
    <row r="447" spans="1:1" x14ac:dyDescent="0.25">
      <c r="A447" s="94"/>
    </row>
    <row r="448" spans="1:1" x14ac:dyDescent="0.25">
      <c r="A448" s="94"/>
    </row>
    <row r="449" spans="1:1" x14ac:dyDescent="0.25">
      <c r="A449" s="94"/>
    </row>
    <row r="450" spans="1:1" x14ac:dyDescent="0.25">
      <c r="A450" s="94"/>
    </row>
    <row r="451" spans="1:1" x14ac:dyDescent="0.25">
      <c r="A451" s="94"/>
    </row>
    <row r="452" spans="1:1" x14ac:dyDescent="0.25">
      <c r="A452" s="94"/>
    </row>
    <row r="453" spans="1:1" x14ac:dyDescent="0.25">
      <c r="A453" s="94"/>
    </row>
    <row r="454" spans="1:1" x14ac:dyDescent="0.25">
      <c r="A454" s="94"/>
    </row>
    <row r="455" spans="1:1" x14ac:dyDescent="0.25">
      <c r="A455" s="94"/>
    </row>
    <row r="456" spans="1:1" x14ac:dyDescent="0.25">
      <c r="A456" s="94"/>
    </row>
    <row r="457" spans="1:1" x14ac:dyDescent="0.25">
      <c r="A457" s="94"/>
    </row>
    <row r="458" spans="1:1" x14ac:dyDescent="0.25">
      <c r="A458" s="94"/>
    </row>
    <row r="459" spans="1:1" x14ac:dyDescent="0.25">
      <c r="A459" s="94"/>
    </row>
    <row r="460" spans="1:1" x14ac:dyDescent="0.25">
      <c r="A460" s="94"/>
    </row>
    <row r="461" spans="1:1" x14ac:dyDescent="0.25">
      <c r="A461" s="94"/>
    </row>
    <row r="462" spans="1:1" x14ac:dyDescent="0.25">
      <c r="A462" s="94"/>
    </row>
    <row r="463" spans="1:1" x14ac:dyDescent="0.25">
      <c r="A463" s="94"/>
    </row>
    <row r="464" spans="1:1" x14ac:dyDescent="0.25">
      <c r="A464" s="94"/>
    </row>
    <row r="465" spans="1:1" x14ac:dyDescent="0.25">
      <c r="A465" s="94"/>
    </row>
    <row r="466" spans="1:1" x14ac:dyDescent="0.25">
      <c r="A466" s="94"/>
    </row>
    <row r="467" spans="1:1" x14ac:dyDescent="0.25">
      <c r="A467" s="94"/>
    </row>
    <row r="468" spans="1:1" x14ac:dyDescent="0.25">
      <c r="A468" s="94"/>
    </row>
    <row r="469" spans="1:1" x14ac:dyDescent="0.25">
      <c r="A469" s="94"/>
    </row>
    <row r="470" spans="1:1" x14ac:dyDescent="0.25">
      <c r="A470" s="94"/>
    </row>
    <row r="471" spans="1:1" x14ac:dyDescent="0.25">
      <c r="A471" s="94"/>
    </row>
    <row r="472" spans="1:1" x14ac:dyDescent="0.25">
      <c r="A472" s="94"/>
    </row>
    <row r="473" spans="1:1" x14ac:dyDescent="0.25">
      <c r="A473" s="94"/>
    </row>
    <row r="474" spans="1:1" x14ac:dyDescent="0.25">
      <c r="A474" s="94"/>
    </row>
    <row r="475" spans="1:1" x14ac:dyDescent="0.25">
      <c r="A475" s="94"/>
    </row>
    <row r="476" spans="1:1" x14ac:dyDescent="0.25">
      <c r="A476" s="94"/>
    </row>
    <row r="477" spans="1:1" x14ac:dyDescent="0.25">
      <c r="A477" s="94"/>
    </row>
    <row r="478" spans="1:1" x14ac:dyDescent="0.25">
      <c r="A478" s="94"/>
    </row>
    <row r="479" spans="1:1" x14ac:dyDescent="0.25">
      <c r="A479" s="94"/>
    </row>
    <row r="480" spans="1:1" x14ac:dyDescent="0.25">
      <c r="A480" s="94"/>
    </row>
    <row r="481" spans="1:1" x14ac:dyDescent="0.25">
      <c r="A481" s="94"/>
    </row>
    <row r="482" spans="1:1" x14ac:dyDescent="0.25">
      <c r="A482" s="94"/>
    </row>
    <row r="483" spans="1:1" x14ac:dyDescent="0.25">
      <c r="A483" s="94"/>
    </row>
    <row r="484" spans="1:1" x14ac:dyDescent="0.25">
      <c r="A484" s="94"/>
    </row>
    <row r="485" spans="1:1" x14ac:dyDescent="0.25">
      <c r="A485" s="94"/>
    </row>
    <row r="486" spans="1:1" x14ac:dyDescent="0.25">
      <c r="A486" s="94"/>
    </row>
    <row r="487" spans="1:1" x14ac:dyDescent="0.25">
      <c r="A487" s="94"/>
    </row>
    <row r="488" spans="1:1" x14ac:dyDescent="0.25">
      <c r="A488" s="94"/>
    </row>
    <row r="489" spans="1:1" x14ac:dyDescent="0.25">
      <c r="A489" s="94"/>
    </row>
    <row r="490" spans="1:1" x14ac:dyDescent="0.25">
      <c r="A490" s="94"/>
    </row>
    <row r="491" spans="1:1" x14ac:dyDescent="0.25">
      <c r="A491" s="94"/>
    </row>
    <row r="492" spans="1:1" x14ac:dyDescent="0.25">
      <c r="A492" s="94"/>
    </row>
    <row r="493" spans="1:1" x14ac:dyDescent="0.25">
      <c r="A493" s="94"/>
    </row>
    <row r="494" spans="1:1" x14ac:dyDescent="0.25">
      <c r="A494" s="94"/>
    </row>
    <row r="495" spans="1:1" x14ac:dyDescent="0.25">
      <c r="A495" s="94"/>
    </row>
    <row r="496" spans="1:1" x14ac:dyDescent="0.25">
      <c r="A496" s="94"/>
    </row>
    <row r="497" spans="1:1" x14ac:dyDescent="0.25">
      <c r="A497" s="94"/>
    </row>
    <row r="498" spans="1:1" x14ac:dyDescent="0.25">
      <c r="A498" s="94"/>
    </row>
    <row r="499" spans="1:1" x14ac:dyDescent="0.25">
      <c r="A499" s="94"/>
    </row>
    <row r="500" spans="1:1" x14ac:dyDescent="0.25">
      <c r="A500" s="94"/>
    </row>
    <row r="501" spans="1:1" x14ac:dyDescent="0.25">
      <c r="A501" s="94"/>
    </row>
    <row r="502" spans="1:1" x14ac:dyDescent="0.25">
      <c r="A502" s="94"/>
    </row>
    <row r="503" spans="1:1" x14ac:dyDescent="0.25">
      <c r="A503" s="94"/>
    </row>
    <row r="504" spans="1:1" x14ac:dyDescent="0.25">
      <c r="A504" s="94"/>
    </row>
    <row r="505" spans="1:1" x14ac:dyDescent="0.25">
      <c r="A505" s="94"/>
    </row>
    <row r="506" spans="1:1" x14ac:dyDescent="0.25">
      <c r="A506" s="94"/>
    </row>
    <row r="507" spans="1:1" x14ac:dyDescent="0.25">
      <c r="A507" s="94"/>
    </row>
    <row r="508" spans="1:1" x14ac:dyDescent="0.25">
      <c r="A508" s="94"/>
    </row>
    <row r="509" spans="1:1" x14ac:dyDescent="0.25">
      <c r="A509" s="94"/>
    </row>
    <row r="510" spans="1:1" x14ac:dyDescent="0.25">
      <c r="A510" s="94"/>
    </row>
    <row r="511" spans="1:1" x14ac:dyDescent="0.25">
      <c r="A511" s="94"/>
    </row>
    <row r="512" spans="1:1" x14ac:dyDescent="0.25">
      <c r="A512" s="94"/>
    </row>
    <row r="513" spans="1:1" x14ac:dyDescent="0.25">
      <c r="A513" s="94"/>
    </row>
    <row r="514" spans="1:1" x14ac:dyDescent="0.25">
      <c r="A514" s="94"/>
    </row>
    <row r="515" spans="1:1" x14ac:dyDescent="0.25">
      <c r="A515" s="94"/>
    </row>
    <row r="516" spans="1:1" x14ac:dyDescent="0.25">
      <c r="A516" s="94"/>
    </row>
    <row r="517" spans="1:1" x14ac:dyDescent="0.25">
      <c r="A517" s="94"/>
    </row>
    <row r="518" spans="1:1" x14ac:dyDescent="0.25">
      <c r="A518" s="94"/>
    </row>
    <row r="519" spans="1:1" x14ac:dyDescent="0.25">
      <c r="A519" s="94"/>
    </row>
    <row r="520" spans="1:1" x14ac:dyDescent="0.25">
      <c r="A520" s="94"/>
    </row>
    <row r="521" spans="1:1" x14ac:dyDescent="0.25">
      <c r="A521" s="94"/>
    </row>
    <row r="522" spans="1:1" x14ac:dyDescent="0.25">
      <c r="A522" s="94"/>
    </row>
    <row r="523" spans="1:1" x14ac:dyDescent="0.25">
      <c r="A523" s="94"/>
    </row>
    <row r="524" spans="1:1" x14ac:dyDescent="0.25">
      <c r="A524" s="94"/>
    </row>
    <row r="525" spans="1:1" x14ac:dyDescent="0.25">
      <c r="A525" s="94"/>
    </row>
    <row r="526" spans="1:1" x14ac:dyDescent="0.25">
      <c r="A526" s="94"/>
    </row>
    <row r="527" spans="1:1" x14ac:dyDescent="0.25">
      <c r="A527" s="94"/>
    </row>
    <row r="528" spans="1:1" x14ac:dyDescent="0.25">
      <c r="A528" s="94"/>
    </row>
    <row r="529" spans="1:1" x14ac:dyDescent="0.25">
      <c r="A529" s="94"/>
    </row>
    <row r="530" spans="1:1" x14ac:dyDescent="0.25">
      <c r="A530" s="94"/>
    </row>
    <row r="531" spans="1:1" x14ac:dyDescent="0.25">
      <c r="A531" s="94"/>
    </row>
    <row r="532" spans="1:1" x14ac:dyDescent="0.25">
      <c r="A532" s="94"/>
    </row>
    <row r="533" spans="1:1" x14ac:dyDescent="0.25">
      <c r="A533" s="94"/>
    </row>
    <row r="534" spans="1:1" x14ac:dyDescent="0.25">
      <c r="A534" s="94"/>
    </row>
    <row r="535" spans="1:1" x14ac:dyDescent="0.25">
      <c r="A535" s="94"/>
    </row>
    <row r="536" spans="1:1" x14ac:dyDescent="0.25">
      <c r="A536" s="94"/>
    </row>
    <row r="537" spans="1:1" x14ac:dyDescent="0.25">
      <c r="A537" s="94"/>
    </row>
    <row r="538" spans="1:1" x14ac:dyDescent="0.25">
      <c r="A538" s="94"/>
    </row>
    <row r="539" spans="1:1" x14ac:dyDescent="0.25">
      <c r="A539" s="94"/>
    </row>
    <row r="540" spans="1:1" x14ac:dyDescent="0.25">
      <c r="A540" s="94"/>
    </row>
    <row r="541" spans="1:1" x14ac:dyDescent="0.25">
      <c r="A541" s="94"/>
    </row>
    <row r="542" spans="1:1" x14ac:dyDescent="0.25">
      <c r="A542" s="94"/>
    </row>
    <row r="543" spans="1:1" x14ac:dyDescent="0.25">
      <c r="A543" s="94"/>
    </row>
    <row r="544" spans="1:1" x14ac:dyDescent="0.25">
      <c r="A544" s="94"/>
    </row>
    <row r="545" spans="1:1" x14ac:dyDescent="0.25">
      <c r="A545" s="94"/>
    </row>
    <row r="546" spans="1:1" x14ac:dyDescent="0.25">
      <c r="A546" s="94"/>
    </row>
    <row r="547" spans="1:1" x14ac:dyDescent="0.25">
      <c r="A547" s="94"/>
    </row>
    <row r="548" spans="1:1" x14ac:dyDescent="0.25">
      <c r="A548" s="94"/>
    </row>
    <row r="549" spans="1:1" x14ac:dyDescent="0.25">
      <c r="A549" s="94"/>
    </row>
    <row r="550" spans="1:1" x14ac:dyDescent="0.25">
      <c r="A550" s="94"/>
    </row>
    <row r="551" spans="1:1" x14ac:dyDescent="0.25">
      <c r="A551" s="94"/>
    </row>
    <row r="552" spans="1:1" x14ac:dyDescent="0.25">
      <c r="A552" s="94"/>
    </row>
    <row r="553" spans="1:1" x14ac:dyDescent="0.25">
      <c r="A553" s="94"/>
    </row>
    <row r="554" spans="1:1" x14ac:dyDescent="0.25">
      <c r="A554" s="94"/>
    </row>
    <row r="555" spans="1:1" x14ac:dyDescent="0.25">
      <c r="A555" s="94"/>
    </row>
    <row r="556" spans="1:1" x14ac:dyDescent="0.25">
      <c r="A556" s="94"/>
    </row>
    <row r="557" spans="1:1" x14ac:dyDescent="0.25">
      <c r="A557" s="94"/>
    </row>
    <row r="558" spans="1:1" x14ac:dyDescent="0.25">
      <c r="A558" s="94"/>
    </row>
    <row r="559" spans="1:1" x14ac:dyDescent="0.25">
      <c r="A559" s="94"/>
    </row>
    <row r="560" spans="1:1" x14ac:dyDescent="0.25">
      <c r="A560" s="94"/>
    </row>
    <row r="561" spans="1:1" x14ac:dyDescent="0.25">
      <c r="A561" s="94"/>
    </row>
    <row r="562" spans="1:1" x14ac:dyDescent="0.25">
      <c r="A562" s="94"/>
    </row>
    <row r="563" spans="1:1" x14ac:dyDescent="0.25">
      <c r="A563" s="94"/>
    </row>
    <row r="564" spans="1:1" x14ac:dyDescent="0.25">
      <c r="A564" s="94"/>
    </row>
    <row r="565" spans="1:1" x14ac:dyDescent="0.25">
      <c r="A565" s="94"/>
    </row>
    <row r="566" spans="1:1" x14ac:dyDescent="0.25">
      <c r="A566" s="94"/>
    </row>
    <row r="567" spans="1:1" x14ac:dyDescent="0.25">
      <c r="A567" s="94"/>
    </row>
    <row r="568" spans="1:1" x14ac:dyDescent="0.25">
      <c r="A568" s="94"/>
    </row>
    <row r="569" spans="1:1" x14ac:dyDescent="0.25">
      <c r="A569" s="94"/>
    </row>
    <row r="570" spans="1:1" x14ac:dyDescent="0.25">
      <c r="A570" s="94"/>
    </row>
    <row r="571" spans="1:1" x14ac:dyDescent="0.25">
      <c r="A571" s="94"/>
    </row>
    <row r="572" spans="1:1" x14ac:dyDescent="0.25">
      <c r="A572" s="94"/>
    </row>
    <row r="573" spans="1:1" x14ac:dyDescent="0.25">
      <c r="A573" s="94"/>
    </row>
    <row r="574" spans="1:1" x14ac:dyDescent="0.25">
      <c r="A574" s="94"/>
    </row>
    <row r="575" spans="1:1" x14ac:dyDescent="0.25">
      <c r="A575" s="94"/>
    </row>
    <row r="576" spans="1:1" x14ac:dyDescent="0.25">
      <c r="A576" s="94"/>
    </row>
    <row r="577" spans="1:1" x14ac:dyDescent="0.25">
      <c r="A577" s="94"/>
    </row>
    <row r="578" spans="1:1" x14ac:dyDescent="0.25">
      <c r="A578" s="94"/>
    </row>
    <row r="579" spans="1:1" x14ac:dyDescent="0.25">
      <c r="A579" s="94"/>
    </row>
    <row r="580" spans="1:1" x14ac:dyDescent="0.25">
      <c r="A580" s="94"/>
    </row>
    <row r="581" spans="1:1" x14ac:dyDescent="0.25">
      <c r="A581" s="94"/>
    </row>
    <row r="582" spans="1:1" x14ac:dyDescent="0.25">
      <c r="A582" s="94"/>
    </row>
    <row r="583" spans="1:1" x14ac:dyDescent="0.25">
      <c r="A583" s="94"/>
    </row>
    <row r="584" spans="1:1" x14ac:dyDescent="0.25">
      <c r="A584" s="94"/>
    </row>
    <row r="585" spans="1:1" x14ac:dyDescent="0.25">
      <c r="A585" s="94"/>
    </row>
    <row r="586" spans="1:1" x14ac:dyDescent="0.25">
      <c r="A586" s="94"/>
    </row>
    <row r="587" spans="1:1" x14ac:dyDescent="0.25">
      <c r="A587" s="94"/>
    </row>
    <row r="588" spans="1:1" x14ac:dyDescent="0.25">
      <c r="A588" s="94"/>
    </row>
    <row r="589" spans="1:1" x14ac:dyDescent="0.25">
      <c r="A589" s="94"/>
    </row>
    <row r="590" spans="1:1" x14ac:dyDescent="0.25">
      <c r="A590" s="94"/>
    </row>
    <row r="591" spans="1:1" x14ac:dyDescent="0.25">
      <c r="A591" s="94"/>
    </row>
    <row r="592" spans="1:1" x14ac:dyDescent="0.25">
      <c r="A592" s="94"/>
    </row>
    <row r="593" spans="1:1" x14ac:dyDescent="0.25">
      <c r="A593" s="94"/>
    </row>
    <row r="594" spans="1:1" x14ac:dyDescent="0.25">
      <c r="A594" s="94"/>
    </row>
    <row r="595" spans="1:1" x14ac:dyDescent="0.25">
      <c r="A595" s="94"/>
    </row>
    <row r="596" spans="1:1" x14ac:dyDescent="0.25">
      <c r="A596" s="94"/>
    </row>
    <row r="597" spans="1:1" x14ac:dyDescent="0.25">
      <c r="A597" s="94"/>
    </row>
    <row r="598" spans="1:1" x14ac:dyDescent="0.25">
      <c r="A598" s="94"/>
    </row>
    <row r="599" spans="1:1" x14ac:dyDescent="0.25">
      <c r="A599" s="94"/>
    </row>
    <row r="600" spans="1:1" x14ac:dyDescent="0.25">
      <c r="A600" s="94"/>
    </row>
    <row r="601" spans="1:1" x14ac:dyDescent="0.25">
      <c r="A601" s="94"/>
    </row>
    <row r="602" spans="1:1" x14ac:dyDescent="0.25">
      <c r="A602" s="94"/>
    </row>
    <row r="603" spans="1:1" x14ac:dyDescent="0.25">
      <c r="A603" s="94"/>
    </row>
    <row r="604" spans="1:1" x14ac:dyDescent="0.25">
      <c r="A604" s="94"/>
    </row>
    <row r="605" spans="1:1" x14ac:dyDescent="0.25">
      <c r="A605" s="94"/>
    </row>
    <row r="606" spans="1:1" x14ac:dyDescent="0.25">
      <c r="A606" s="94"/>
    </row>
    <row r="607" spans="1:1" x14ac:dyDescent="0.25">
      <c r="A607" s="94"/>
    </row>
    <row r="608" spans="1:1" x14ac:dyDescent="0.25">
      <c r="A608" s="94"/>
    </row>
    <row r="609" spans="1:1" x14ac:dyDescent="0.25">
      <c r="A609" s="94"/>
    </row>
    <row r="610" spans="1:1" x14ac:dyDescent="0.25">
      <c r="A610" s="94"/>
    </row>
    <row r="611" spans="1:1" x14ac:dyDescent="0.25">
      <c r="A611" s="94"/>
    </row>
    <row r="612" spans="1:1" x14ac:dyDescent="0.25">
      <c r="A612" s="94"/>
    </row>
    <row r="613" spans="1:1" x14ac:dyDescent="0.25">
      <c r="A613" s="94"/>
    </row>
    <row r="614" spans="1:1" x14ac:dyDescent="0.25">
      <c r="A614" s="94"/>
    </row>
    <row r="615" spans="1:1" x14ac:dyDescent="0.25">
      <c r="A615" s="94"/>
    </row>
    <row r="616" spans="1:1" x14ac:dyDescent="0.25">
      <c r="A616" s="94"/>
    </row>
    <row r="617" spans="1:1" x14ac:dyDescent="0.25">
      <c r="A617" s="94"/>
    </row>
    <row r="618" spans="1:1" x14ac:dyDescent="0.25">
      <c r="A618" s="94"/>
    </row>
    <row r="619" spans="1:1" x14ac:dyDescent="0.25">
      <c r="A619" s="94"/>
    </row>
    <row r="620" spans="1:1" x14ac:dyDescent="0.25">
      <c r="A620" s="94"/>
    </row>
    <row r="621" spans="1:1" x14ac:dyDescent="0.25">
      <c r="A621" s="94"/>
    </row>
    <row r="622" spans="1:1" x14ac:dyDescent="0.25">
      <c r="A622" s="94"/>
    </row>
    <row r="623" spans="1:1" x14ac:dyDescent="0.25">
      <c r="A623" s="94"/>
    </row>
    <row r="624" spans="1:1" x14ac:dyDescent="0.25">
      <c r="A624" s="94"/>
    </row>
    <row r="625" spans="1:1" x14ac:dyDescent="0.25">
      <c r="A625" s="94"/>
    </row>
    <row r="626" spans="1:1" x14ac:dyDescent="0.25">
      <c r="A626" s="94"/>
    </row>
    <row r="627" spans="1:1" x14ac:dyDescent="0.25">
      <c r="A627" s="94"/>
    </row>
    <row r="628" spans="1:1" x14ac:dyDescent="0.25">
      <c r="A628" s="94"/>
    </row>
    <row r="629" spans="1:1" x14ac:dyDescent="0.25">
      <c r="A629" s="94"/>
    </row>
    <row r="630" spans="1:1" x14ac:dyDescent="0.25">
      <c r="A630" s="94"/>
    </row>
    <row r="631" spans="1:1" x14ac:dyDescent="0.25">
      <c r="A631" s="94"/>
    </row>
    <row r="632" spans="1:1" x14ac:dyDescent="0.25">
      <c r="A632" s="94"/>
    </row>
    <row r="633" spans="1:1" x14ac:dyDescent="0.25">
      <c r="A633" s="94"/>
    </row>
    <row r="634" spans="1:1" x14ac:dyDescent="0.25">
      <c r="A634" s="94"/>
    </row>
    <row r="635" spans="1:1" x14ac:dyDescent="0.25">
      <c r="A635" s="94"/>
    </row>
    <row r="636" spans="1:1" x14ac:dyDescent="0.25">
      <c r="A636" s="94"/>
    </row>
    <row r="637" spans="1:1" x14ac:dyDescent="0.25">
      <c r="A637" s="94"/>
    </row>
    <row r="638" spans="1:1" x14ac:dyDescent="0.25">
      <c r="A638" s="94"/>
    </row>
    <row r="639" spans="1:1" x14ac:dyDescent="0.25">
      <c r="A639" s="94"/>
    </row>
    <row r="640" spans="1:1" x14ac:dyDescent="0.25">
      <c r="A640" s="94"/>
    </row>
    <row r="641" spans="1:1" x14ac:dyDescent="0.25">
      <c r="A641" s="94"/>
    </row>
    <row r="642" spans="1:1" x14ac:dyDescent="0.25">
      <c r="A642" s="94"/>
    </row>
    <row r="643" spans="1:1" x14ac:dyDescent="0.25">
      <c r="A643" s="94"/>
    </row>
    <row r="644" spans="1:1" x14ac:dyDescent="0.25">
      <c r="A644" s="94"/>
    </row>
    <row r="645" spans="1:1" x14ac:dyDescent="0.25">
      <c r="A645" s="94"/>
    </row>
    <row r="646" spans="1:1" x14ac:dyDescent="0.25">
      <c r="A646" s="94"/>
    </row>
    <row r="647" spans="1:1" x14ac:dyDescent="0.25">
      <c r="A647" s="94"/>
    </row>
    <row r="648" spans="1:1" x14ac:dyDescent="0.25">
      <c r="A648" s="94"/>
    </row>
    <row r="649" spans="1:1" x14ac:dyDescent="0.25">
      <c r="A649" s="94"/>
    </row>
    <row r="650" spans="1:1" x14ac:dyDescent="0.25">
      <c r="A650" s="94"/>
    </row>
    <row r="651" spans="1:1" x14ac:dyDescent="0.25">
      <c r="A651" s="94"/>
    </row>
    <row r="652" spans="1:1" x14ac:dyDescent="0.25">
      <c r="A652" s="94"/>
    </row>
    <row r="653" spans="1:1" x14ac:dyDescent="0.25">
      <c r="A653" s="94"/>
    </row>
    <row r="654" spans="1:1" x14ac:dyDescent="0.25">
      <c r="A654" s="94"/>
    </row>
    <row r="655" spans="1:1" x14ac:dyDescent="0.25">
      <c r="A655" s="94"/>
    </row>
    <row r="656" spans="1:1" x14ac:dyDescent="0.25">
      <c r="A656" s="94"/>
    </row>
    <row r="657" spans="1:1" x14ac:dyDescent="0.25">
      <c r="A657" s="94"/>
    </row>
    <row r="658" spans="1:1" x14ac:dyDescent="0.25">
      <c r="A658" s="94"/>
    </row>
    <row r="659" spans="1:1" x14ac:dyDescent="0.25">
      <c r="A659" s="94"/>
    </row>
    <row r="660" spans="1:1" x14ac:dyDescent="0.25">
      <c r="A660" s="94"/>
    </row>
    <row r="661" spans="1:1" x14ac:dyDescent="0.25">
      <c r="A661" s="94"/>
    </row>
    <row r="662" spans="1:1" x14ac:dyDescent="0.25">
      <c r="A662" s="94"/>
    </row>
    <row r="663" spans="1:1" x14ac:dyDescent="0.25">
      <c r="A663" s="94"/>
    </row>
    <row r="664" spans="1:1" x14ac:dyDescent="0.25">
      <c r="A664" s="94"/>
    </row>
    <row r="665" spans="1:1" x14ac:dyDescent="0.25">
      <c r="A665" s="94"/>
    </row>
    <row r="666" spans="1:1" x14ac:dyDescent="0.25">
      <c r="A666" s="94"/>
    </row>
    <row r="667" spans="1:1" x14ac:dyDescent="0.25">
      <c r="A667" s="94"/>
    </row>
    <row r="668" spans="1:1" x14ac:dyDescent="0.25">
      <c r="A668" s="94"/>
    </row>
    <row r="669" spans="1:1" x14ac:dyDescent="0.25">
      <c r="A669" s="94"/>
    </row>
    <row r="670" spans="1:1" x14ac:dyDescent="0.25">
      <c r="A670" s="94"/>
    </row>
    <row r="671" spans="1:1" x14ac:dyDescent="0.25">
      <c r="A671" s="94"/>
    </row>
    <row r="672" spans="1:1" x14ac:dyDescent="0.25">
      <c r="A672" s="94"/>
    </row>
    <row r="673" spans="1:1" x14ac:dyDescent="0.25">
      <c r="A673" s="94"/>
    </row>
    <row r="674" spans="1:1" x14ac:dyDescent="0.25">
      <c r="A674" s="94"/>
    </row>
    <row r="675" spans="1:1" x14ac:dyDescent="0.25">
      <c r="A675" s="94"/>
    </row>
    <row r="676" spans="1:1" x14ac:dyDescent="0.25">
      <c r="A676" s="94"/>
    </row>
    <row r="677" spans="1:1" x14ac:dyDescent="0.25">
      <c r="A677" s="94"/>
    </row>
    <row r="678" spans="1:1" x14ac:dyDescent="0.25">
      <c r="A678" s="94"/>
    </row>
    <row r="679" spans="1:1" x14ac:dyDescent="0.25">
      <c r="A679" s="94"/>
    </row>
    <row r="680" spans="1:1" x14ac:dyDescent="0.25">
      <c r="A680" s="94"/>
    </row>
    <row r="681" spans="1:1" x14ac:dyDescent="0.25">
      <c r="A681" s="94"/>
    </row>
    <row r="682" spans="1:1" x14ac:dyDescent="0.25">
      <c r="A682" s="94"/>
    </row>
    <row r="683" spans="1:1" x14ac:dyDescent="0.25">
      <c r="A683" s="94"/>
    </row>
    <row r="684" spans="1:1" x14ac:dyDescent="0.25">
      <c r="A684" s="94"/>
    </row>
    <row r="685" spans="1:1" x14ac:dyDescent="0.25">
      <c r="A685" s="94"/>
    </row>
    <row r="686" spans="1:1" x14ac:dyDescent="0.25">
      <c r="A686" s="94"/>
    </row>
    <row r="687" spans="1:1" x14ac:dyDescent="0.25">
      <c r="A687" s="94"/>
    </row>
    <row r="688" spans="1:1" x14ac:dyDescent="0.25">
      <c r="A688" s="94"/>
    </row>
    <row r="689" spans="1:1" x14ac:dyDescent="0.25">
      <c r="A689" s="94"/>
    </row>
    <row r="690" spans="1:1" x14ac:dyDescent="0.25">
      <c r="A690" s="94"/>
    </row>
    <row r="691" spans="1:1" x14ac:dyDescent="0.25">
      <c r="A691" s="94"/>
    </row>
    <row r="692" spans="1:1" x14ac:dyDescent="0.25">
      <c r="A692" s="94"/>
    </row>
    <row r="693" spans="1:1" x14ac:dyDescent="0.25">
      <c r="A693" s="94"/>
    </row>
    <row r="694" spans="1:1" x14ac:dyDescent="0.25">
      <c r="A694" s="94"/>
    </row>
    <row r="695" spans="1:1" x14ac:dyDescent="0.25">
      <c r="A695" s="94"/>
    </row>
    <row r="696" spans="1:1" x14ac:dyDescent="0.25">
      <c r="A696" s="94"/>
    </row>
    <row r="697" spans="1:1" x14ac:dyDescent="0.25">
      <c r="A697" s="94"/>
    </row>
    <row r="698" spans="1:1" x14ac:dyDescent="0.25">
      <c r="A698" s="94"/>
    </row>
    <row r="699" spans="1:1" x14ac:dyDescent="0.25">
      <c r="A699" s="94"/>
    </row>
    <row r="700" spans="1:1" x14ac:dyDescent="0.25">
      <c r="A700" s="94"/>
    </row>
    <row r="701" spans="1:1" x14ac:dyDescent="0.25">
      <c r="A701" s="94"/>
    </row>
    <row r="702" spans="1:1" x14ac:dyDescent="0.25">
      <c r="A702" s="94"/>
    </row>
    <row r="703" spans="1:1" x14ac:dyDescent="0.25">
      <c r="A703" s="94"/>
    </row>
    <row r="704" spans="1:1" x14ac:dyDescent="0.25">
      <c r="A704" s="94"/>
    </row>
    <row r="705" spans="1:1" x14ac:dyDescent="0.25">
      <c r="A705" s="94"/>
    </row>
    <row r="706" spans="1:1" x14ac:dyDescent="0.25">
      <c r="A706" s="94"/>
    </row>
    <row r="707" spans="1:1" x14ac:dyDescent="0.25">
      <c r="A707" s="94"/>
    </row>
    <row r="708" spans="1:1" x14ac:dyDescent="0.25">
      <c r="A708" s="94"/>
    </row>
    <row r="709" spans="1:1" x14ac:dyDescent="0.25">
      <c r="A709" s="94"/>
    </row>
    <row r="710" spans="1:1" x14ac:dyDescent="0.25">
      <c r="A710" s="94"/>
    </row>
    <row r="711" spans="1:1" x14ac:dyDescent="0.25">
      <c r="A711" s="94"/>
    </row>
    <row r="712" spans="1:1" x14ac:dyDescent="0.25">
      <c r="A712" s="94"/>
    </row>
    <row r="713" spans="1:1" x14ac:dyDescent="0.25">
      <c r="A713" s="94"/>
    </row>
    <row r="714" spans="1:1" x14ac:dyDescent="0.25">
      <c r="A714" s="94"/>
    </row>
    <row r="715" spans="1:1" x14ac:dyDescent="0.25">
      <c r="A715" s="94"/>
    </row>
    <row r="716" spans="1:1" x14ac:dyDescent="0.25">
      <c r="A716" s="94"/>
    </row>
    <row r="717" spans="1:1" x14ac:dyDescent="0.25">
      <c r="A717" s="94"/>
    </row>
    <row r="718" spans="1:1" x14ac:dyDescent="0.25">
      <c r="A718" s="94"/>
    </row>
    <row r="719" spans="1:1" x14ac:dyDescent="0.25">
      <c r="A719" s="94"/>
    </row>
    <row r="720" spans="1:1" x14ac:dyDescent="0.25">
      <c r="A720" s="94"/>
    </row>
    <row r="721" spans="1:1" x14ac:dyDescent="0.25">
      <c r="A721" s="94"/>
    </row>
    <row r="722" spans="1:1" x14ac:dyDescent="0.25">
      <c r="A722" s="94"/>
    </row>
    <row r="723" spans="1:1" x14ac:dyDescent="0.25">
      <c r="A723" s="94"/>
    </row>
    <row r="724" spans="1:1" x14ac:dyDescent="0.25">
      <c r="A724" s="94"/>
    </row>
    <row r="725" spans="1:1" x14ac:dyDescent="0.25">
      <c r="A725" s="94"/>
    </row>
    <row r="726" spans="1:1" x14ac:dyDescent="0.25">
      <c r="A726" s="94"/>
    </row>
    <row r="727" spans="1:1" x14ac:dyDescent="0.25">
      <c r="A727" s="94"/>
    </row>
    <row r="728" spans="1:1" x14ac:dyDescent="0.25">
      <c r="A728" s="94"/>
    </row>
    <row r="729" spans="1:1" x14ac:dyDescent="0.25">
      <c r="A729" s="94"/>
    </row>
    <row r="730" spans="1:1" x14ac:dyDescent="0.25">
      <c r="A730" s="94"/>
    </row>
    <row r="731" spans="1:1" x14ac:dyDescent="0.25">
      <c r="A731" s="94"/>
    </row>
    <row r="732" spans="1:1" x14ac:dyDescent="0.25">
      <c r="A732" s="94"/>
    </row>
    <row r="733" spans="1:1" x14ac:dyDescent="0.25">
      <c r="A733" s="94"/>
    </row>
    <row r="734" spans="1:1" x14ac:dyDescent="0.25">
      <c r="A734" s="94"/>
    </row>
    <row r="735" spans="1:1" x14ac:dyDescent="0.25">
      <c r="A735" s="94"/>
    </row>
    <row r="736" spans="1:1" x14ac:dyDescent="0.25">
      <c r="A736" s="94"/>
    </row>
    <row r="737" spans="1:1" x14ac:dyDescent="0.25">
      <c r="A737" s="94"/>
    </row>
    <row r="738" spans="1:1" x14ac:dyDescent="0.25">
      <c r="A738" s="94"/>
    </row>
    <row r="739" spans="1:1" x14ac:dyDescent="0.25">
      <c r="A739" s="94"/>
    </row>
    <row r="740" spans="1:1" x14ac:dyDescent="0.25">
      <c r="A740" s="94"/>
    </row>
    <row r="741" spans="1:1" x14ac:dyDescent="0.25">
      <c r="A741" s="94"/>
    </row>
    <row r="742" spans="1:1" x14ac:dyDescent="0.25">
      <c r="A742" s="94"/>
    </row>
    <row r="743" spans="1:1" x14ac:dyDescent="0.25">
      <c r="A743" s="94"/>
    </row>
    <row r="744" spans="1:1" x14ac:dyDescent="0.25">
      <c r="A744" s="94"/>
    </row>
    <row r="745" spans="1:1" x14ac:dyDescent="0.25">
      <c r="A745" s="94"/>
    </row>
    <row r="746" spans="1:1" x14ac:dyDescent="0.25">
      <c r="A746" s="94"/>
    </row>
    <row r="747" spans="1:1" x14ac:dyDescent="0.25">
      <c r="A747" s="94"/>
    </row>
    <row r="748" spans="1:1" x14ac:dyDescent="0.25">
      <c r="A748" s="94"/>
    </row>
    <row r="749" spans="1:1" x14ac:dyDescent="0.25">
      <c r="A749" s="94"/>
    </row>
    <row r="750" spans="1:1" x14ac:dyDescent="0.25">
      <c r="A750" s="94"/>
    </row>
    <row r="751" spans="1:1" x14ac:dyDescent="0.25">
      <c r="A751" s="94"/>
    </row>
    <row r="752" spans="1:1" x14ac:dyDescent="0.25">
      <c r="A752" s="94"/>
    </row>
    <row r="753" spans="1:1" x14ac:dyDescent="0.25">
      <c r="A753" s="94"/>
    </row>
    <row r="754" spans="1:1" x14ac:dyDescent="0.25">
      <c r="A754" s="94"/>
    </row>
    <row r="755" spans="1:1" x14ac:dyDescent="0.25">
      <c r="A755" s="94"/>
    </row>
    <row r="756" spans="1:1" x14ac:dyDescent="0.25">
      <c r="A756" s="94"/>
    </row>
    <row r="757" spans="1:1" x14ac:dyDescent="0.25">
      <c r="A757" s="94"/>
    </row>
    <row r="758" spans="1:1" x14ac:dyDescent="0.25">
      <c r="A758" s="94"/>
    </row>
    <row r="759" spans="1:1" x14ac:dyDescent="0.25">
      <c r="A759" s="94"/>
    </row>
    <row r="760" spans="1:1" x14ac:dyDescent="0.25">
      <c r="A760" s="94"/>
    </row>
    <row r="761" spans="1:1" x14ac:dyDescent="0.25">
      <c r="A761" s="94"/>
    </row>
    <row r="762" spans="1:1" x14ac:dyDescent="0.25">
      <c r="A762" s="94"/>
    </row>
    <row r="763" spans="1:1" x14ac:dyDescent="0.25">
      <c r="A763" s="94"/>
    </row>
    <row r="764" spans="1:1" x14ac:dyDescent="0.25">
      <c r="A764" s="94"/>
    </row>
    <row r="765" spans="1:1" x14ac:dyDescent="0.25">
      <c r="A765" s="94"/>
    </row>
    <row r="766" spans="1:1" x14ac:dyDescent="0.25">
      <c r="A766" s="94"/>
    </row>
    <row r="767" spans="1:1" x14ac:dyDescent="0.25">
      <c r="A767" s="94"/>
    </row>
    <row r="768" spans="1:1" x14ac:dyDescent="0.25">
      <c r="A768" s="94"/>
    </row>
    <row r="769" spans="1:1" x14ac:dyDescent="0.25">
      <c r="A769" s="94"/>
    </row>
    <row r="770" spans="1:1" x14ac:dyDescent="0.25">
      <c r="A770" s="94"/>
    </row>
    <row r="771" spans="1:1" x14ac:dyDescent="0.25">
      <c r="A771" s="94"/>
    </row>
    <row r="772" spans="1:1" x14ac:dyDescent="0.25">
      <c r="A772" s="94"/>
    </row>
    <row r="773" spans="1:1" x14ac:dyDescent="0.25">
      <c r="A773" s="94"/>
    </row>
    <row r="774" spans="1:1" x14ac:dyDescent="0.25">
      <c r="A774" s="94"/>
    </row>
    <row r="775" spans="1:1" x14ac:dyDescent="0.25">
      <c r="A775" s="94"/>
    </row>
    <row r="776" spans="1:1" x14ac:dyDescent="0.25">
      <c r="A776" s="94"/>
    </row>
    <row r="777" spans="1:1" x14ac:dyDescent="0.25">
      <c r="A777" s="94"/>
    </row>
    <row r="778" spans="1:1" x14ac:dyDescent="0.25">
      <c r="A778" s="94"/>
    </row>
    <row r="779" spans="1:1" x14ac:dyDescent="0.25">
      <c r="A779" s="94"/>
    </row>
    <row r="780" spans="1:1" x14ac:dyDescent="0.25">
      <c r="A780" s="94"/>
    </row>
    <row r="781" spans="1:1" x14ac:dyDescent="0.25">
      <c r="A781" s="94"/>
    </row>
    <row r="782" spans="1:1" x14ac:dyDescent="0.25">
      <c r="A782" s="94"/>
    </row>
    <row r="783" spans="1:1" x14ac:dyDescent="0.25">
      <c r="A783" s="94"/>
    </row>
    <row r="784" spans="1:1" x14ac:dyDescent="0.25">
      <c r="A784" s="94"/>
    </row>
    <row r="785" spans="1:1" x14ac:dyDescent="0.25">
      <c r="A785" s="94"/>
    </row>
    <row r="786" spans="1:1" x14ac:dyDescent="0.25">
      <c r="A786" s="94"/>
    </row>
    <row r="787" spans="1:1" x14ac:dyDescent="0.25">
      <c r="A787" s="94"/>
    </row>
    <row r="788" spans="1:1" x14ac:dyDescent="0.25">
      <c r="A788" s="94"/>
    </row>
    <row r="789" spans="1:1" x14ac:dyDescent="0.25">
      <c r="A789" s="94"/>
    </row>
    <row r="790" spans="1:1" x14ac:dyDescent="0.25">
      <c r="A790" s="94"/>
    </row>
    <row r="791" spans="1:1" x14ac:dyDescent="0.25">
      <c r="A791" s="94"/>
    </row>
    <row r="792" spans="1:1" x14ac:dyDescent="0.25">
      <c r="A792" s="94"/>
    </row>
    <row r="793" spans="1:1" x14ac:dyDescent="0.25">
      <c r="A793" s="94"/>
    </row>
    <row r="794" spans="1:1" x14ac:dyDescent="0.25">
      <c r="A794" s="94"/>
    </row>
    <row r="795" spans="1:1" x14ac:dyDescent="0.25">
      <c r="A795" s="94"/>
    </row>
    <row r="796" spans="1:1" x14ac:dyDescent="0.25">
      <c r="A796" s="94"/>
    </row>
    <row r="797" spans="1:1" x14ac:dyDescent="0.25">
      <c r="A797" s="94"/>
    </row>
    <row r="798" spans="1:1" x14ac:dyDescent="0.25">
      <c r="A798" s="94"/>
    </row>
    <row r="799" spans="1:1" x14ac:dyDescent="0.25">
      <c r="A799" s="94"/>
    </row>
    <row r="800" spans="1:1" x14ac:dyDescent="0.25">
      <c r="A800" s="94"/>
    </row>
    <row r="801" spans="1:1" x14ac:dyDescent="0.25">
      <c r="A801" s="94"/>
    </row>
    <row r="802" spans="1:1" x14ac:dyDescent="0.25">
      <c r="A802" s="94"/>
    </row>
    <row r="803" spans="1:1" x14ac:dyDescent="0.25">
      <c r="A803" s="94"/>
    </row>
    <row r="804" spans="1:1" x14ac:dyDescent="0.25">
      <c r="A804" s="94"/>
    </row>
    <row r="805" spans="1:1" x14ac:dyDescent="0.25">
      <c r="A805" s="94"/>
    </row>
    <row r="806" spans="1:1" x14ac:dyDescent="0.25">
      <c r="A806" s="94"/>
    </row>
    <row r="807" spans="1:1" x14ac:dyDescent="0.25">
      <c r="A807" s="94"/>
    </row>
    <row r="808" spans="1:1" x14ac:dyDescent="0.25">
      <c r="A808" s="94"/>
    </row>
    <row r="809" spans="1:1" x14ac:dyDescent="0.25">
      <c r="A809" s="94"/>
    </row>
    <row r="810" spans="1:1" x14ac:dyDescent="0.25">
      <c r="A810" s="94"/>
    </row>
    <row r="811" spans="1:1" x14ac:dyDescent="0.25">
      <c r="A811" s="94"/>
    </row>
    <row r="812" spans="1:1" x14ac:dyDescent="0.25">
      <c r="A812" s="94"/>
    </row>
    <row r="813" spans="1:1" x14ac:dyDescent="0.25">
      <c r="A813" s="94"/>
    </row>
    <row r="814" spans="1:1" x14ac:dyDescent="0.25">
      <c r="A814" s="94"/>
    </row>
    <row r="815" spans="1:1" x14ac:dyDescent="0.25">
      <c r="A815" s="94"/>
    </row>
    <row r="816" spans="1:1" x14ac:dyDescent="0.25">
      <c r="A816" s="94"/>
    </row>
    <row r="817" spans="1:1" x14ac:dyDescent="0.25">
      <c r="A817" s="94"/>
    </row>
    <row r="818" spans="1:1" x14ac:dyDescent="0.25">
      <c r="A818" s="94"/>
    </row>
    <row r="819" spans="1:1" x14ac:dyDescent="0.25">
      <c r="A819" s="94"/>
    </row>
    <row r="820" spans="1:1" x14ac:dyDescent="0.25">
      <c r="A820" s="94"/>
    </row>
    <row r="821" spans="1:1" x14ac:dyDescent="0.25">
      <c r="A821" s="94"/>
    </row>
    <row r="822" spans="1:1" x14ac:dyDescent="0.25">
      <c r="A822" s="94"/>
    </row>
    <row r="823" spans="1:1" x14ac:dyDescent="0.25">
      <c r="A823" s="94"/>
    </row>
    <row r="824" spans="1:1" x14ac:dyDescent="0.25">
      <c r="A824" s="94"/>
    </row>
    <row r="825" spans="1:1" x14ac:dyDescent="0.25">
      <c r="A825" s="94"/>
    </row>
    <row r="826" spans="1:1" x14ac:dyDescent="0.25">
      <c r="A826" s="94"/>
    </row>
    <row r="827" spans="1:1" x14ac:dyDescent="0.25">
      <c r="A827" s="94"/>
    </row>
    <row r="828" spans="1:1" x14ac:dyDescent="0.25">
      <c r="A828" s="94"/>
    </row>
    <row r="829" spans="1:1" x14ac:dyDescent="0.25">
      <c r="A829" s="94"/>
    </row>
    <row r="830" spans="1:1" x14ac:dyDescent="0.25">
      <c r="A830" s="94"/>
    </row>
    <row r="831" spans="1:1" x14ac:dyDescent="0.25">
      <c r="A831" s="94"/>
    </row>
    <row r="832" spans="1:1" x14ac:dyDescent="0.25">
      <c r="A832" s="94"/>
    </row>
    <row r="833" spans="1:1" x14ac:dyDescent="0.25">
      <c r="A833" s="94"/>
    </row>
    <row r="834" spans="1:1" x14ac:dyDescent="0.25">
      <c r="A834" s="94"/>
    </row>
    <row r="835" spans="1:1" x14ac:dyDescent="0.25">
      <c r="A835" s="94"/>
    </row>
    <row r="836" spans="1:1" x14ac:dyDescent="0.25">
      <c r="A836" s="94"/>
    </row>
    <row r="837" spans="1:1" x14ac:dyDescent="0.25">
      <c r="A837" s="94"/>
    </row>
    <row r="838" spans="1:1" x14ac:dyDescent="0.25">
      <c r="A838" s="94"/>
    </row>
    <row r="839" spans="1:1" x14ac:dyDescent="0.25">
      <c r="A839" s="94"/>
    </row>
    <row r="840" spans="1:1" x14ac:dyDescent="0.25">
      <c r="A840" s="94"/>
    </row>
    <row r="841" spans="1:1" x14ac:dyDescent="0.25">
      <c r="A841" s="94"/>
    </row>
    <row r="842" spans="1:1" x14ac:dyDescent="0.25">
      <c r="A842" s="94"/>
    </row>
    <row r="843" spans="1:1" x14ac:dyDescent="0.25">
      <c r="A843" s="94"/>
    </row>
    <row r="844" spans="1:1" x14ac:dyDescent="0.25">
      <c r="A844" s="94"/>
    </row>
    <row r="845" spans="1:1" x14ac:dyDescent="0.25">
      <c r="A845" s="94"/>
    </row>
    <row r="846" spans="1:1" x14ac:dyDescent="0.25">
      <c r="A846" s="94"/>
    </row>
    <row r="847" spans="1:1" x14ac:dyDescent="0.25">
      <c r="A847" s="94"/>
    </row>
    <row r="848" spans="1:1" x14ac:dyDescent="0.25">
      <c r="A848" s="94"/>
    </row>
    <row r="849" spans="1:1" x14ac:dyDescent="0.25">
      <c r="A849" s="94"/>
    </row>
    <row r="850" spans="1:1" x14ac:dyDescent="0.25">
      <c r="A850" s="94"/>
    </row>
    <row r="851" spans="1:1" x14ac:dyDescent="0.25">
      <c r="A851" s="94"/>
    </row>
    <row r="852" spans="1:1" x14ac:dyDescent="0.25">
      <c r="A852" s="94"/>
    </row>
    <row r="853" spans="1:1" x14ac:dyDescent="0.25">
      <c r="A853" s="94"/>
    </row>
    <row r="854" spans="1:1" x14ac:dyDescent="0.25">
      <c r="A854" s="94"/>
    </row>
    <row r="855" spans="1:1" x14ac:dyDescent="0.25">
      <c r="A855" s="94"/>
    </row>
    <row r="856" spans="1:1" x14ac:dyDescent="0.25">
      <c r="A856" s="94"/>
    </row>
    <row r="857" spans="1:1" x14ac:dyDescent="0.25">
      <c r="A857" s="94"/>
    </row>
    <row r="858" spans="1:1" x14ac:dyDescent="0.25">
      <c r="A858" s="94"/>
    </row>
    <row r="859" spans="1:1" x14ac:dyDescent="0.25">
      <c r="A859" s="94"/>
    </row>
    <row r="860" spans="1:1" x14ac:dyDescent="0.25">
      <c r="A860" s="94"/>
    </row>
    <row r="861" spans="1:1" x14ac:dyDescent="0.25">
      <c r="A861" s="94"/>
    </row>
    <row r="862" spans="1:1" x14ac:dyDescent="0.25">
      <c r="A862" s="94"/>
    </row>
    <row r="863" spans="1:1" x14ac:dyDescent="0.25">
      <c r="A863" s="94"/>
    </row>
    <row r="864" spans="1:1" x14ac:dyDescent="0.25">
      <c r="A864" s="94"/>
    </row>
    <row r="865" spans="1:1" x14ac:dyDescent="0.25">
      <c r="A865" s="94"/>
    </row>
    <row r="866" spans="1:1" x14ac:dyDescent="0.25">
      <c r="A866" s="94"/>
    </row>
    <row r="867" spans="1:1" x14ac:dyDescent="0.25">
      <c r="A867" s="94"/>
    </row>
    <row r="868" spans="1:1" x14ac:dyDescent="0.25">
      <c r="A868" s="94"/>
    </row>
    <row r="869" spans="1:1" x14ac:dyDescent="0.25">
      <c r="A869" s="94"/>
    </row>
    <row r="870" spans="1:1" x14ac:dyDescent="0.25">
      <c r="A870" s="94"/>
    </row>
    <row r="871" spans="1:1" x14ac:dyDescent="0.25">
      <c r="A871" s="94"/>
    </row>
    <row r="872" spans="1:1" x14ac:dyDescent="0.25">
      <c r="A872" s="94"/>
    </row>
    <row r="873" spans="1:1" x14ac:dyDescent="0.25">
      <c r="A873" s="94"/>
    </row>
    <row r="874" spans="1:1" x14ac:dyDescent="0.25">
      <c r="A874" s="94"/>
    </row>
    <row r="875" spans="1:1" x14ac:dyDescent="0.25">
      <c r="A875" s="94"/>
    </row>
    <row r="876" spans="1:1" x14ac:dyDescent="0.25">
      <c r="A876" s="94"/>
    </row>
    <row r="877" spans="1:1" x14ac:dyDescent="0.25">
      <c r="A877" s="94"/>
    </row>
    <row r="878" spans="1:1" x14ac:dyDescent="0.25">
      <c r="A878" s="94"/>
    </row>
    <row r="879" spans="1:1" x14ac:dyDescent="0.25">
      <c r="A879" s="94"/>
    </row>
    <row r="880" spans="1:1" x14ac:dyDescent="0.25">
      <c r="A880" s="94"/>
    </row>
    <row r="881" spans="1:1" x14ac:dyDescent="0.25">
      <c r="A881" s="94"/>
    </row>
    <row r="882" spans="1:1" x14ac:dyDescent="0.25">
      <c r="A882" s="94"/>
    </row>
    <row r="883" spans="1:1" x14ac:dyDescent="0.25">
      <c r="A883" s="94"/>
    </row>
    <row r="884" spans="1:1" x14ac:dyDescent="0.25">
      <c r="A884" s="94"/>
    </row>
    <row r="885" spans="1:1" x14ac:dyDescent="0.25">
      <c r="A885" s="94"/>
    </row>
    <row r="886" spans="1:1" x14ac:dyDescent="0.25">
      <c r="A886" s="94"/>
    </row>
    <row r="887" spans="1:1" x14ac:dyDescent="0.25">
      <c r="A887" s="94"/>
    </row>
    <row r="888" spans="1:1" x14ac:dyDescent="0.25">
      <c r="A888" s="94"/>
    </row>
    <row r="889" spans="1:1" x14ac:dyDescent="0.25">
      <c r="A889" s="94"/>
    </row>
    <row r="890" spans="1:1" x14ac:dyDescent="0.25">
      <c r="A890" s="94"/>
    </row>
    <row r="891" spans="1:1" x14ac:dyDescent="0.25">
      <c r="A891" s="94"/>
    </row>
    <row r="892" spans="1:1" x14ac:dyDescent="0.25">
      <c r="A892" s="94"/>
    </row>
    <row r="893" spans="1:1" x14ac:dyDescent="0.25">
      <c r="A893" s="94"/>
    </row>
    <row r="894" spans="1:1" x14ac:dyDescent="0.25">
      <c r="A894" s="94"/>
    </row>
    <row r="895" spans="1:1" x14ac:dyDescent="0.25">
      <c r="A895" s="94"/>
    </row>
    <row r="896" spans="1:1" x14ac:dyDescent="0.25">
      <c r="A896" s="94"/>
    </row>
    <row r="897" spans="1:1" x14ac:dyDescent="0.25">
      <c r="A897" s="94"/>
    </row>
    <row r="898" spans="1:1" x14ac:dyDescent="0.25">
      <c r="A898" s="94"/>
    </row>
    <row r="899" spans="1:1" x14ac:dyDescent="0.25">
      <c r="A899" s="94"/>
    </row>
    <row r="900" spans="1:1" x14ac:dyDescent="0.25">
      <c r="A900" s="94"/>
    </row>
    <row r="901" spans="1:1" x14ac:dyDescent="0.25">
      <c r="A901" s="94"/>
    </row>
    <row r="902" spans="1:1" x14ac:dyDescent="0.25">
      <c r="A902" s="94"/>
    </row>
    <row r="903" spans="1:1" x14ac:dyDescent="0.25">
      <c r="A903" s="94"/>
    </row>
    <row r="904" spans="1:1" x14ac:dyDescent="0.25">
      <c r="A904" s="94"/>
    </row>
    <row r="905" spans="1:1" x14ac:dyDescent="0.25">
      <c r="A905" s="94"/>
    </row>
    <row r="906" spans="1:1" x14ac:dyDescent="0.25">
      <c r="A906" s="94"/>
    </row>
    <row r="907" spans="1:1" x14ac:dyDescent="0.25">
      <c r="A907" s="94"/>
    </row>
    <row r="908" spans="1:1" x14ac:dyDescent="0.25">
      <c r="A908" s="94"/>
    </row>
    <row r="909" spans="1:1" x14ac:dyDescent="0.25">
      <c r="A909" s="94"/>
    </row>
    <row r="910" spans="1:1" x14ac:dyDescent="0.25">
      <c r="A910" s="94"/>
    </row>
    <row r="911" spans="1:1" x14ac:dyDescent="0.25">
      <c r="A911" s="94"/>
    </row>
    <row r="912" spans="1:1" x14ac:dyDescent="0.25">
      <c r="A912" s="94"/>
    </row>
    <row r="913" spans="1:1" x14ac:dyDescent="0.25">
      <c r="A913" s="94"/>
    </row>
    <row r="914" spans="1:1" x14ac:dyDescent="0.25">
      <c r="A914" s="94"/>
    </row>
    <row r="915" spans="1:1" x14ac:dyDescent="0.25">
      <c r="A915" s="94"/>
    </row>
    <row r="916" spans="1:1" x14ac:dyDescent="0.25">
      <c r="A916" s="94"/>
    </row>
    <row r="917" spans="1:1" x14ac:dyDescent="0.25">
      <c r="A917" s="94"/>
    </row>
    <row r="918" spans="1:1" x14ac:dyDescent="0.25">
      <c r="A918" s="94"/>
    </row>
    <row r="919" spans="1:1" x14ac:dyDescent="0.25">
      <c r="A919" s="94"/>
    </row>
    <row r="920" spans="1:1" x14ac:dyDescent="0.25">
      <c r="A920" s="94"/>
    </row>
    <row r="921" spans="1:1" x14ac:dyDescent="0.25">
      <c r="A921" s="94"/>
    </row>
    <row r="922" spans="1:1" x14ac:dyDescent="0.25">
      <c r="A922" s="94"/>
    </row>
    <row r="923" spans="1:1" x14ac:dyDescent="0.25">
      <c r="A923" s="94"/>
    </row>
    <row r="924" spans="1:1" x14ac:dyDescent="0.25">
      <c r="A924" s="94"/>
    </row>
    <row r="925" spans="1:1" x14ac:dyDescent="0.25">
      <c r="A925" s="94"/>
    </row>
    <row r="926" spans="1:1" x14ac:dyDescent="0.25">
      <c r="A926" s="94"/>
    </row>
    <row r="927" spans="1:1" x14ac:dyDescent="0.25">
      <c r="A927" s="94"/>
    </row>
    <row r="928" spans="1:1" x14ac:dyDescent="0.25">
      <c r="A928" s="94"/>
    </row>
    <row r="929" spans="1:1" x14ac:dyDescent="0.25">
      <c r="A929" s="94"/>
    </row>
    <row r="930" spans="1:1" x14ac:dyDescent="0.25">
      <c r="A930" s="94"/>
    </row>
    <row r="931" spans="1:1" x14ac:dyDescent="0.25">
      <c r="A931" s="94"/>
    </row>
    <row r="932" spans="1:1" x14ac:dyDescent="0.25">
      <c r="A932" s="94"/>
    </row>
    <row r="933" spans="1:1" x14ac:dyDescent="0.25">
      <c r="A933" s="94"/>
    </row>
    <row r="934" spans="1:1" x14ac:dyDescent="0.25">
      <c r="A934" s="94"/>
    </row>
    <row r="935" spans="1:1" x14ac:dyDescent="0.25">
      <c r="A935" s="94"/>
    </row>
    <row r="936" spans="1:1" x14ac:dyDescent="0.25">
      <c r="A936" s="94"/>
    </row>
    <row r="937" spans="1:1" x14ac:dyDescent="0.25">
      <c r="A937" s="94"/>
    </row>
    <row r="938" spans="1:1" x14ac:dyDescent="0.25">
      <c r="A938" s="94"/>
    </row>
    <row r="939" spans="1:1" x14ac:dyDescent="0.25">
      <c r="A939" s="94"/>
    </row>
    <row r="940" spans="1:1" x14ac:dyDescent="0.25">
      <c r="A940" s="94"/>
    </row>
    <row r="941" spans="1:1" x14ac:dyDescent="0.25">
      <c r="A941" s="94"/>
    </row>
    <row r="942" spans="1:1" x14ac:dyDescent="0.25">
      <c r="A942" s="94"/>
    </row>
    <row r="943" spans="1:1" x14ac:dyDescent="0.25">
      <c r="A943" s="94"/>
    </row>
    <row r="944" spans="1:1" x14ac:dyDescent="0.25">
      <c r="A944" s="94"/>
    </row>
    <row r="945" spans="1:1" x14ac:dyDescent="0.25">
      <c r="A945" s="94"/>
    </row>
    <row r="946" spans="1:1" x14ac:dyDescent="0.25">
      <c r="A946" s="94"/>
    </row>
    <row r="947" spans="1:1" x14ac:dyDescent="0.25">
      <c r="A947" s="94"/>
    </row>
    <row r="948" spans="1:1" x14ac:dyDescent="0.25">
      <c r="A948" s="94"/>
    </row>
    <row r="949" spans="1:1" x14ac:dyDescent="0.25">
      <c r="A949" s="94"/>
    </row>
    <row r="950" spans="1:1" x14ac:dyDescent="0.25">
      <c r="A950" s="94"/>
    </row>
    <row r="951" spans="1:1" x14ac:dyDescent="0.25">
      <c r="A951" s="94"/>
    </row>
    <row r="952" spans="1:1" x14ac:dyDescent="0.25">
      <c r="A952" s="94"/>
    </row>
    <row r="953" spans="1:1" x14ac:dyDescent="0.25">
      <c r="A953" s="94"/>
    </row>
    <row r="954" spans="1:1" x14ac:dyDescent="0.25">
      <c r="A954" s="94"/>
    </row>
    <row r="955" spans="1:1" x14ac:dyDescent="0.25">
      <c r="A955" s="94"/>
    </row>
    <row r="956" spans="1:1" x14ac:dyDescent="0.25">
      <c r="A956" s="94"/>
    </row>
    <row r="957" spans="1:1" x14ac:dyDescent="0.25">
      <c r="A957" s="94"/>
    </row>
    <row r="958" spans="1:1" x14ac:dyDescent="0.25">
      <c r="A958" s="94"/>
    </row>
    <row r="959" spans="1:1" x14ac:dyDescent="0.25">
      <c r="A959" s="94"/>
    </row>
    <row r="960" spans="1:1" x14ac:dyDescent="0.25">
      <c r="A960" s="94"/>
    </row>
    <row r="961" spans="1:1" x14ac:dyDescent="0.25">
      <c r="A961" s="94"/>
    </row>
    <row r="962" spans="1:1" x14ac:dyDescent="0.25">
      <c r="A962" s="94"/>
    </row>
    <row r="963" spans="1:1" x14ac:dyDescent="0.25">
      <c r="A963" s="94"/>
    </row>
    <row r="964" spans="1:1" x14ac:dyDescent="0.25">
      <c r="A964" s="94"/>
    </row>
    <row r="965" spans="1:1" x14ac:dyDescent="0.25">
      <c r="A965" s="94"/>
    </row>
    <row r="966" spans="1:1" x14ac:dyDescent="0.25">
      <c r="A966" s="94"/>
    </row>
    <row r="967" spans="1:1" x14ac:dyDescent="0.25">
      <c r="A967" s="94"/>
    </row>
    <row r="968" spans="1:1" x14ac:dyDescent="0.25">
      <c r="A968" s="94"/>
    </row>
    <row r="969" spans="1:1" x14ac:dyDescent="0.25">
      <c r="A969" s="94"/>
    </row>
    <row r="970" spans="1:1" x14ac:dyDescent="0.25">
      <c r="A970" s="94"/>
    </row>
    <row r="971" spans="1:1" x14ac:dyDescent="0.25">
      <c r="A971" s="94"/>
    </row>
    <row r="972" spans="1:1" x14ac:dyDescent="0.25">
      <c r="A972" s="94"/>
    </row>
    <row r="973" spans="1:1" x14ac:dyDescent="0.25">
      <c r="A973" s="94"/>
    </row>
    <row r="974" spans="1:1" x14ac:dyDescent="0.25">
      <c r="A974" s="94"/>
    </row>
    <row r="975" spans="1:1" x14ac:dyDescent="0.25">
      <c r="A975" s="94"/>
    </row>
    <row r="976" spans="1:1" x14ac:dyDescent="0.25">
      <c r="A976" s="94"/>
    </row>
    <row r="977" spans="1:1" x14ac:dyDescent="0.25">
      <c r="A977" s="94"/>
    </row>
    <row r="978" spans="1:1" x14ac:dyDescent="0.25">
      <c r="A978" s="94"/>
    </row>
    <row r="979" spans="1:1" x14ac:dyDescent="0.25">
      <c r="A979" s="94"/>
    </row>
    <row r="980" spans="1:1" x14ac:dyDescent="0.25">
      <c r="A980" s="94"/>
    </row>
    <row r="981" spans="1:1" x14ac:dyDescent="0.25">
      <c r="A981" s="94"/>
    </row>
    <row r="982" spans="1:1" x14ac:dyDescent="0.25">
      <c r="A982" s="94"/>
    </row>
    <row r="983" spans="1:1" x14ac:dyDescent="0.25">
      <c r="A983" s="94"/>
    </row>
    <row r="984" spans="1:1" x14ac:dyDescent="0.25">
      <c r="A984" s="94"/>
    </row>
  </sheetData>
  <sortState xmlns:xlrd2="http://schemas.microsoft.com/office/spreadsheetml/2017/richdata2" ref="A3:A910">
    <sortCondition ref="A3:A910"/>
  </sortState>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55"/>
  <sheetViews>
    <sheetView zoomScale="85" zoomScaleNormal="85" workbookViewId="0">
      <pane ySplit="2" topLeftCell="A6" activePane="bottomLeft" state="frozen"/>
      <selection pane="bottomLeft" activeCell="I40" sqref="I40"/>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22" customFormat="1" x14ac:dyDescent="0.25">
      <c r="A1" s="120" t="s">
        <v>3786</v>
      </c>
      <c r="B1" s="121"/>
      <c r="C1" s="121"/>
      <c r="D1" s="121"/>
      <c r="E1" s="121"/>
      <c r="F1" s="121"/>
      <c r="G1" s="121"/>
      <c r="H1" s="121"/>
      <c r="I1" s="121"/>
      <c r="J1" s="121"/>
      <c r="K1" s="121"/>
      <c r="L1" s="121"/>
    </row>
    <row r="2" spans="1:15" ht="30" x14ac:dyDescent="0.25">
      <c r="A2" s="3" t="s">
        <v>85</v>
      </c>
      <c r="B2" s="1" t="s">
        <v>1454</v>
      </c>
      <c r="C2" s="1" t="s">
        <v>75</v>
      </c>
      <c r="F2" s="3" t="s">
        <v>1464</v>
      </c>
      <c r="G2" s="26" t="s">
        <v>1465</v>
      </c>
      <c r="H2" s="26" t="s">
        <v>1466</v>
      </c>
      <c r="I2" s="3" t="s">
        <v>1523</v>
      </c>
      <c r="J2" s="31" t="s">
        <v>1528</v>
      </c>
      <c r="K2" s="26" t="s">
        <v>1524</v>
      </c>
      <c r="L2" s="26" t="s">
        <v>1525</v>
      </c>
      <c r="M2" s="26" t="s">
        <v>2164</v>
      </c>
      <c r="N2" s="26" t="s">
        <v>2168</v>
      </c>
      <c r="O2" s="26" t="s">
        <v>2169</v>
      </c>
    </row>
    <row r="3" spans="1:15" x14ac:dyDescent="0.25">
      <c r="A3" s="3">
        <v>0</v>
      </c>
      <c r="B3" s="46" t="s">
        <v>3545</v>
      </c>
      <c r="C3" s="46" t="s">
        <v>1681</v>
      </c>
      <c r="F3" s="47" t="s">
        <v>1467</v>
      </c>
      <c r="G3" t="s">
        <v>1680</v>
      </c>
      <c r="H3">
        <v>1</v>
      </c>
      <c r="I3" s="48" t="s">
        <v>1578</v>
      </c>
      <c r="J3">
        <v>1</v>
      </c>
      <c r="K3" t="s">
        <v>1674</v>
      </c>
      <c r="L3" t="s">
        <v>1682</v>
      </c>
      <c r="M3">
        <v>1</v>
      </c>
      <c r="N3" t="s">
        <v>2167</v>
      </c>
      <c r="O3" t="s">
        <v>2178</v>
      </c>
    </row>
    <row r="4" spans="1:15" x14ac:dyDescent="0.25">
      <c r="A4" s="3">
        <v>0</v>
      </c>
      <c r="B4" t="s">
        <v>1439</v>
      </c>
      <c r="C4" s="1" t="s">
        <v>84</v>
      </c>
      <c r="F4" s="8" t="s">
        <v>1468</v>
      </c>
      <c r="G4" t="s">
        <v>1337</v>
      </c>
      <c r="H4">
        <v>1</v>
      </c>
      <c r="I4" s="3" t="s">
        <v>1535</v>
      </c>
      <c r="J4">
        <v>1</v>
      </c>
      <c r="K4" t="s">
        <v>1536</v>
      </c>
      <c r="L4" t="s">
        <v>1537</v>
      </c>
      <c r="M4">
        <v>2</v>
      </c>
      <c r="N4" t="s">
        <v>2170</v>
      </c>
      <c r="O4" t="s">
        <v>2177</v>
      </c>
    </row>
    <row r="5" spans="1:15" x14ac:dyDescent="0.25">
      <c r="A5" s="3">
        <v>1</v>
      </c>
      <c r="B5" t="s">
        <v>1440</v>
      </c>
      <c r="C5" s="2" t="s">
        <v>39</v>
      </c>
      <c r="F5" s="8" t="s">
        <v>1469</v>
      </c>
      <c r="G5" t="s">
        <v>1420</v>
      </c>
      <c r="H5">
        <v>2</v>
      </c>
      <c r="I5" s="3" t="s">
        <v>1527</v>
      </c>
      <c r="J5">
        <v>2</v>
      </c>
      <c r="K5" t="s">
        <v>1531</v>
      </c>
      <c r="L5" t="s">
        <v>1534</v>
      </c>
      <c r="M5">
        <v>4</v>
      </c>
      <c r="N5" t="s">
        <v>2179</v>
      </c>
      <c r="O5" t="s">
        <v>2180</v>
      </c>
    </row>
    <row r="6" spans="1:15" x14ac:dyDescent="0.25">
      <c r="A6" s="3">
        <v>2</v>
      </c>
      <c r="B6" t="s">
        <v>1441</v>
      </c>
      <c r="C6" t="s">
        <v>726</v>
      </c>
      <c r="F6" s="8" t="s">
        <v>1470</v>
      </c>
      <c r="G6" t="s">
        <v>1348</v>
      </c>
      <c r="H6">
        <v>3</v>
      </c>
      <c r="I6" s="3" t="s">
        <v>2770</v>
      </c>
      <c r="J6">
        <v>3</v>
      </c>
      <c r="K6" t="s">
        <v>2771</v>
      </c>
      <c r="L6" t="s">
        <v>1532</v>
      </c>
      <c r="M6">
        <v>5</v>
      </c>
      <c r="N6" t="s">
        <v>2181</v>
      </c>
      <c r="O6" t="s">
        <v>2182</v>
      </c>
    </row>
    <row r="7" spans="1:15" x14ac:dyDescent="0.25">
      <c r="A7" s="3">
        <v>3</v>
      </c>
      <c r="B7" t="s">
        <v>1442</v>
      </c>
      <c r="C7" t="s">
        <v>76</v>
      </c>
      <c r="F7" s="8" t="s">
        <v>1471</v>
      </c>
      <c r="G7" t="s">
        <v>125</v>
      </c>
      <c r="H7">
        <v>4</v>
      </c>
      <c r="I7" s="3" t="s">
        <v>1529</v>
      </c>
      <c r="J7">
        <v>4</v>
      </c>
      <c r="K7" t="s">
        <v>1530</v>
      </c>
      <c r="L7" t="s">
        <v>1533</v>
      </c>
    </row>
    <row r="8" spans="1:15" x14ac:dyDescent="0.25">
      <c r="A8" s="3">
        <v>4</v>
      </c>
      <c r="B8" t="s">
        <v>1443</v>
      </c>
      <c r="C8" t="s">
        <v>77</v>
      </c>
      <c r="F8" s="8" t="s">
        <v>1472</v>
      </c>
      <c r="G8" t="s">
        <v>1480</v>
      </c>
      <c r="H8">
        <v>5</v>
      </c>
      <c r="I8" s="3" t="s">
        <v>1550</v>
      </c>
      <c r="J8">
        <v>5</v>
      </c>
      <c r="K8" t="s">
        <v>1364</v>
      </c>
      <c r="L8" t="s">
        <v>1551</v>
      </c>
    </row>
    <row r="9" spans="1:15" x14ac:dyDescent="0.25">
      <c r="A9" s="3">
        <v>5</v>
      </c>
      <c r="B9" t="s">
        <v>1444</v>
      </c>
      <c r="C9" s="4" t="s">
        <v>38</v>
      </c>
      <c r="F9" s="8" t="s">
        <v>1473</v>
      </c>
      <c r="G9" t="s">
        <v>1355</v>
      </c>
      <c r="H9">
        <v>6</v>
      </c>
      <c r="I9" s="3" t="s">
        <v>1538</v>
      </c>
      <c r="J9">
        <v>6</v>
      </c>
      <c r="K9" t="s">
        <v>2759</v>
      </c>
      <c r="L9" t="s">
        <v>2760</v>
      </c>
      <c r="M9">
        <v>99</v>
      </c>
      <c r="N9" t="s">
        <v>2175</v>
      </c>
      <c r="O9" t="s">
        <v>2176</v>
      </c>
    </row>
    <row r="10" spans="1:15" x14ac:dyDescent="0.25">
      <c r="A10" s="3">
        <v>6</v>
      </c>
      <c r="B10" t="s">
        <v>1445</v>
      </c>
      <c r="C10" t="s">
        <v>727</v>
      </c>
      <c r="F10" s="8" t="s">
        <v>1474</v>
      </c>
      <c r="G10" t="s">
        <v>39</v>
      </c>
      <c r="H10">
        <v>7</v>
      </c>
      <c r="I10" s="3" t="s">
        <v>1554</v>
      </c>
      <c r="J10">
        <v>7</v>
      </c>
      <c r="K10" s="34" t="s">
        <v>1560</v>
      </c>
      <c r="L10" s="34" t="s">
        <v>1563</v>
      </c>
    </row>
    <row r="11" spans="1:15" x14ac:dyDescent="0.25">
      <c r="A11" s="3">
        <v>7</v>
      </c>
      <c r="B11" t="s">
        <v>1446</v>
      </c>
      <c r="C11" t="s">
        <v>36</v>
      </c>
      <c r="F11" s="8" t="s">
        <v>1475</v>
      </c>
      <c r="G11" t="s">
        <v>1356</v>
      </c>
      <c r="H11">
        <v>8</v>
      </c>
      <c r="I11" s="3" t="s">
        <v>1555</v>
      </c>
      <c r="J11">
        <v>8</v>
      </c>
      <c r="K11" s="34" t="s">
        <v>1558</v>
      </c>
      <c r="L11" t="s">
        <v>1561</v>
      </c>
    </row>
    <row r="12" spans="1:15" x14ac:dyDescent="0.25">
      <c r="A12" s="3">
        <v>8</v>
      </c>
      <c r="B12" t="s">
        <v>1447</v>
      </c>
      <c r="C12" t="s">
        <v>78</v>
      </c>
      <c r="F12" s="8" t="s">
        <v>1476</v>
      </c>
      <c r="G12" t="s">
        <v>1347</v>
      </c>
      <c r="H12">
        <v>9</v>
      </c>
      <c r="I12" s="3" t="s">
        <v>1556</v>
      </c>
      <c r="J12">
        <v>9</v>
      </c>
      <c r="K12" s="34" t="s">
        <v>1559</v>
      </c>
      <c r="L12" t="s">
        <v>1562</v>
      </c>
    </row>
    <row r="13" spans="1:15" ht="16.5" customHeight="1" x14ac:dyDescent="0.25">
      <c r="A13" s="3">
        <v>9</v>
      </c>
      <c r="B13" t="s">
        <v>1448</v>
      </c>
      <c r="C13" t="s">
        <v>37</v>
      </c>
      <c r="F13" s="8" t="s">
        <v>1478</v>
      </c>
      <c r="G13" t="s">
        <v>1481</v>
      </c>
      <c r="H13">
        <v>10</v>
      </c>
      <c r="I13" s="3" t="s">
        <v>1557</v>
      </c>
      <c r="J13">
        <v>10</v>
      </c>
      <c r="K13" s="35" t="s">
        <v>1564</v>
      </c>
      <c r="L13" s="23" t="s">
        <v>1565</v>
      </c>
    </row>
    <row r="14" spans="1:15" x14ac:dyDescent="0.25">
      <c r="A14" s="3">
        <v>10</v>
      </c>
      <c r="B14" t="s">
        <v>1449</v>
      </c>
      <c r="C14" t="s">
        <v>79</v>
      </c>
      <c r="F14" s="8" t="s">
        <v>1477</v>
      </c>
      <c r="G14" t="s">
        <v>1354</v>
      </c>
      <c r="H14">
        <v>11</v>
      </c>
      <c r="I14" s="3" t="s">
        <v>1569</v>
      </c>
      <c r="J14">
        <v>11</v>
      </c>
      <c r="K14" s="34" t="s">
        <v>1570</v>
      </c>
      <c r="L14" t="s">
        <v>1579</v>
      </c>
    </row>
    <row r="15" spans="1:15" x14ac:dyDescent="0.25">
      <c r="A15" s="3">
        <v>11</v>
      </c>
      <c r="B15" t="s">
        <v>1450</v>
      </c>
      <c r="C15" t="s">
        <v>35</v>
      </c>
      <c r="F15" s="8" t="s">
        <v>1678</v>
      </c>
      <c r="G15" t="s">
        <v>1679</v>
      </c>
      <c r="H15">
        <v>12</v>
      </c>
      <c r="I15" s="3" t="s">
        <v>1571</v>
      </c>
      <c r="J15">
        <v>12</v>
      </c>
      <c r="K15" s="34" t="s">
        <v>1572</v>
      </c>
      <c r="L15" t="s">
        <v>1573</v>
      </c>
    </row>
    <row r="16" spans="1:15" x14ac:dyDescent="0.25">
      <c r="A16" s="3">
        <v>12</v>
      </c>
      <c r="B16" t="s">
        <v>1451</v>
      </c>
      <c r="C16" t="s">
        <v>80</v>
      </c>
      <c r="F16" s="8" t="s">
        <v>2757</v>
      </c>
      <c r="G16" t="s">
        <v>2758</v>
      </c>
      <c r="H16">
        <v>13</v>
      </c>
      <c r="I16" s="3" t="s">
        <v>1574</v>
      </c>
      <c r="J16">
        <v>13</v>
      </c>
      <c r="K16" s="34" t="s">
        <v>1575</v>
      </c>
      <c r="L16" t="s">
        <v>1576</v>
      </c>
    </row>
    <row r="17" spans="1:12" x14ac:dyDescent="0.25">
      <c r="A17" s="3">
        <v>13</v>
      </c>
      <c r="B17" t="s">
        <v>1452</v>
      </c>
      <c r="C17" t="s">
        <v>40</v>
      </c>
      <c r="F17" s="8" t="s">
        <v>3722</v>
      </c>
      <c r="G17" t="s">
        <v>3723</v>
      </c>
      <c r="H17">
        <v>14</v>
      </c>
      <c r="I17" s="3" t="s">
        <v>1608</v>
      </c>
      <c r="J17">
        <v>14</v>
      </c>
      <c r="K17" s="34" t="s">
        <v>1609</v>
      </c>
      <c r="L17" t="s">
        <v>1610</v>
      </c>
    </row>
    <row r="18" spans="1:12" x14ac:dyDescent="0.25">
      <c r="A18" s="3">
        <v>14</v>
      </c>
      <c r="B18" t="s">
        <v>1453</v>
      </c>
      <c r="C18" t="s">
        <v>728</v>
      </c>
      <c r="F18" s="3" t="s">
        <v>3757</v>
      </c>
      <c r="G18" t="s">
        <v>3758</v>
      </c>
      <c r="I18" s="3" t="s">
        <v>1675</v>
      </c>
      <c r="J18">
        <v>15</v>
      </c>
      <c r="K18" s="34" t="s">
        <v>1676</v>
      </c>
      <c r="L18" s="34" t="s">
        <v>1677</v>
      </c>
    </row>
    <row r="19" spans="1:12" x14ac:dyDescent="0.25">
      <c r="A19" s="3">
        <v>15</v>
      </c>
      <c r="B19" t="s">
        <v>1505</v>
      </c>
      <c r="C19" t="s">
        <v>1485</v>
      </c>
      <c r="I19" s="3" t="s">
        <v>2524</v>
      </c>
      <c r="J19">
        <v>16</v>
      </c>
      <c r="K19" s="34" t="s">
        <v>2525</v>
      </c>
      <c r="L19" s="34" t="s">
        <v>2526</v>
      </c>
    </row>
    <row r="20" spans="1:12" x14ac:dyDescent="0.25">
      <c r="A20" s="3">
        <v>16</v>
      </c>
      <c r="B20" t="s">
        <v>1484</v>
      </c>
      <c r="C20" t="s">
        <v>1486</v>
      </c>
      <c r="F20" s="50" t="s">
        <v>1479</v>
      </c>
      <c r="G20" t="s">
        <v>3598</v>
      </c>
      <c r="I20" s="3" t="s">
        <v>2761</v>
      </c>
      <c r="J20">
        <v>17</v>
      </c>
      <c r="K20" s="34" t="s">
        <v>2762</v>
      </c>
      <c r="L20" s="34" t="s">
        <v>2763</v>
      </c>
    </row>
    <row r="21" spans="1:12" x14ac:dyDescent="0.25">
      <c r="A21" s="3">
        <v>17</v>
      </c>
      <c r="B21" t="s">
        <v>1640</v>
      </c>
      <c r="C21" t="s">
        <v>1641</v>
      </c>
      <c r="I21" s="3" t="s">
        <v>2765</v>
      </c>
      <c r="J21">
        <v>18</v>
      </c>
      <c r="K21" s="34" t="s">
        <v>2766</v>
      </c>
      <c r="L21" s="34" t="s">
        <v>2767</v>
      </c>
    </row>
    <row r="22" spans="1:12" x14ac:dyDescent="0.25">
      <c r="A22" s="3">
        <v>18</v>
      </c>
      <c r="B22" t="s">
        <v>1606</v>
      </c>
      <c r="C22" t="s">
        <v>1607</v>
      </c>
      <c r="I22" s="3" t="s">
        <v>3195</v>
      </c>
      <c r="J22">
        <v>19</v>
      </c>
      <c r="K22" s="34" t="s">
        <v>3194</v>
      </c>
      <c r="L22" s="34" t="s">
        <v>3196</v>
      </c>
    </row>
    <row r="23" spans="1:12" x14ac:dyDescent="0.25">
      <c r="A23" s="3">
        <v>19</v>
      </c>
      <c r="B23" t="s">
        <v>1796</v>
      </c>
      <c r="C23" t="s">
        <v>1797</v>
      </c>
      <c r="I23" s="3" t="s">
        <v>3199</v>
      </c>
      <c r="J23">
        <v>20</v>
      </c>
      <c r="K23" s="34" t="s">
        <v>3201</v>
      </c>
      <c r="L23" s="34" t="s">
        <v>3200</v>
      </c>
    </row>
    <row r="24" spans="1:12" x14ac:dyDescent="0.25">
      <c r="A24" s="3">
        <v>20</v>
      </c>
      <c r="B24" t="s">
        <v>2162</v>
      </c>
      <c r="C24" t="s">
        <v>2163</v>
      </c>
      <c r="I24" s="3" t="s">
        <v>3236</v>
      </c>
      <c r="J24">
        <v>21</v>
      </c>
      <c r="K24" t="s">
        <v>3237</v>
      </c>
      <c r="L24" s="34" t="s">
        <v>3277</v>
      </c>
    </row>
    <row r="25" spans="1:12" x14ac:dyDescent="0.25">
      <c r="A25" s="3">
        <v>21</v>
      </c>
      <c r="B25" t="s">
        <v>2386</v>
      </c>
      <c r="C25" t="s">
        <v>2387</v>
      </c>
      <c r="I25" s="3" t="s">
        <v>3209</v>
      </c>
      <c r="J25">
        <v>22</v>
      </c>
      <c r="K25" s="34" t="s">
        <v>3210</v>
      </c>
      <c r="L25" s="34" t="s">
        <v>3211</v>
      </c>
    </row>
    <row r="26" spans="1:12" x14ac:dyDescent="0.25">
      <c r="A26" s="3">
        <v>22</v>
      </c>
      <c r="B26" t="s">
        <v>2384</v>
      </c>
      <c r="C26" t="s">
        <v>2385</v>
      </c>
      <c r="I26" s="3" t="s">
        <v>3212</v>
      </c>
      <c r="J26">
        <v>23</v>
      </c>
      <c r="K26" s="34" t="s">
        <v>3213</v>
      </c>
      <c r="L26" s="34" t="s">
        <v>3214</v>
      </c>
    </row>
    <row r="27" spans="1:12" x14ac:dyDescent="0.25">
      <c r="A27" s="3">
        <v>23</v>
      </c>
      <c r="B27" t="s">
        <v>2527</v>
      </c>
      <c r="C27" t="s">
        <v>2528</v>
      </c>
      <c r="I27" s="3" t="s">
        <v>3217</v>
      </c>
      <c r="J27">
        <v>24</v>
      </c>
      <c r="K27" s="34" t="s">
        <v>3218</v>
      </c>
      <c r="L27" s="34" t="s">
        <v>3219</v>
      </c>
    </row>
    <row r="28" spans="1:12" x14ac:dyDescent="0.25">
      <c r="A28" s="3">
        <v>24</v>
      </c>
      <c r="B28" t="s">
        <v>2656</v>
      </c>
      <c r="C28" t="s">
        <v>2442</v>
      </c>
      <c r="I28" s="3" t="s">
        <v>3223</v>
      </c>
      <c r="J28">
        <v>25</v>
      </c>
      <c r="K28" s="34" t="s">
        <v>3224</v>
      </c>
      <c r="L28" s="34" t="s">
        <v>3225</v>
      </c>
    </row>
    <row r="29" spans="1:12" x14ac:dyDescent="0.25">
      <c r="A29" s="3">
        <v>25</v>
      </c>
      <c r="B29" t="s">
        <v>2710</v>
      </c>
      <c r="C29" t="s">
        <v>2711</v>
      </c>
      <c r="I29" s="3" t="s">
        <v>3266</v>
      </c>
      <c r="J29">
        <v>26</v>
      </c>
      <c r="K29" t="s">
        <v>3267</v>
      </c>
      <c r="L29" s="34" t="s">
        <v>3268</v>
      </c>
    </row>
    <row r="30" spans="1:12" x14ac:dyDescent="0.25">
      <c r="A30" s="3">
        <v>26</v>
      </c>
      <c r="B30" t="s">
        <v>3328</v>
      </c>
      <c r="C30" t="s">
        <v>3327</v>
      </c>
      <c r="I30" s="3" t="s">
        <v>3269</v>
      </c>
      <c r="J30">
        <v>27</v>
      </c>
      <c r="K30" s="34" t="s">
        <v>3270</v>
      </c>
      <c r="L30" s="34" t="s">
        <v>3271</v>
      </c>
    </row>
    <row r="31" spans="1:12" x14ac:dyDescent="0.25">
      <c r="A31" s="3">
        <v>27</v>
      </c>
      <c r="B31" t="s">
        <v>3384</v>
      </c>
      <c r="C31" t="s">
        <v>3385</v>
      </c>
      <c r="I31" s="3" t="s">
        <v>3285</v>
      </c>
      <c r="J31">
        <v>28</v>
      </c>
      <c r="K31" t="s">
        <v>3286</v>
      </c>
      <c r="L31" t="s">
        <v>3287</v>
      </c>
    </row>
    <row r="32" spans="1:12" x14ac:dyDescent="0.25">
      <c r="A32" s="3">
        <v>28</v>
      </c>
      <c r="B32" t="s">
        <v>3421</v>
      </c>
      <c r="C32" t="s">
        <v>3422</v>
      </c>
      <c r="I32" s="3" t="s">
        <v>3288</v>
      </c>
      <c r="J32">
        <v>29</v>
      </c>
      <c r="K32" s="34" t="s">
        <v>1348</v>
      </c>
      <c r="L32" s="34" t="s">
        <v>3289</v>
      </c>
    </row>
    <row r="33" spans="1:12" x14ac:dyDescent="0.25">
      <c r="A33" s="3">
        <v>29</v>
      </c>
      <c r="B33" t="s">
        <v>3565</v>
      </c>
      <c r="C33" t="s">
        <v>3566</v>
      </c>
      <c r="I33" s="3" t="s">
        <v>3494</v>
      </c>
      <c r="J33">
        <v>30</v>
      </c>
      <c r="K33" t="s">
        <v>3495</v>
      </c>
      <c r="L33" s="34" t="s">
        <v>3496</v>
      </c>
    </row>
    <row r="34" spans="1:12" x14ac:dyDescent="0.25">
      <c r="A34" s="3">
        <v>30</v>
      </c>
      <c r="B34" t="s">
        <v>3648</v>
      </c>
      <c r="C34" t="s">
        <v>3649</v>
      </c>
      <c r="I34" s="3" t="s">
        <v>3597</v>
      </c>
      <c r="J34">
        <v>31</v>
      </c>
      <c r="K34" s="34" t="s">
        <v>3599</v>
      </c>
      <c r="L34" s="34" t="s">
        <v>3600</v>
      </c>
    </row>
    <row r="35" spans="1:12" x14ac:dyDescent="0.25">
      <c r="A35" s="3">
        <v>31</v>
      </c>
      <c r="B35" t="s">
        <v>3728</v>
      </c>
      <c r="C35" t="s">
        <v>3724</v>
      </c>
      <c r="I35" s="3" t="s">
        <v>3742</v>
      </c>
      <c r="J35">
        <v>32</v>
      </c>
      <c r="K35" t="s">
        <v>3743</v>
      </c>
      <c r="L35" t="s">
        <v>3730</v>
      </c>
    </row>
    <row r="36" spans="1:12" x14ac:dyDescent="0.25">
      <c r="A36" s="3">
        <v>32</v>
      </c>
      <c r="B36" t="s">
        <v>3752</v>
      </c>
      <c r="C36" t="s">
        <v>3753</v>
      </c>
      <c r="I36" s="3" t="s">
        <v>3731</v>
      </c>
      <c r="J36">
        <v>33</v>
      </c>
      <c r="K36" t="s">
        <v>3732</v>
      </c>
      <c r="L36" s="34" t="s">
        <v>3733</v>
      </c>
    </row>
    <row r="37" spans="1:12" x14ac:dyDescent="0.25">
      <c r="A37" s="3">
        <v>33</v>
      </c>
      <c r="B37" t="s">
        <v>3897</v>
      </c>
      <c r="C37" t="s">
        <v>3898</v>
      </c>
      <c r="I37" s="3" t="s">
        <v>3734</v>
      </c>
      <c r="J37">
        <v>34</v>
      </c>
      <c r="K37" t="s">
        <v>3735</v>
      </c>
      <c r="L37" s="34" t="s">
        <v>3736</v>
      </c>
    </row>
    <row r="38" spans="1:12" x14ac:dyDescent="0.25">
      <c r="B38" s="45" t="s">
        <v>1668</v>
      </c>
      <c r="C38" s="45" t="s">
        <v>2414</v>
      </c>
      <c r="I38" s="3" t="s">
        <v>3740</v>
      </c>
      <c r="J38">
        <v>35</v>
      </c>
      <c r="K38" t="s">
        <v>3744</v>
      </c>
      <c r="L38" s="34" t="s">
        <v>3741</v>
      </c>
    </row>
    <row r="39" spans="1:12" x14ac:dyDescent="0.25">
      <c r="I39" s="3" t="s">
        <v>3737</v>
      </c>
      <c r="J39">
        <v>36</v>
      </c>
      <c r="K39" t="s">
        <v>3738</v>
      </c>
      <c r="L39" s="34" t="s">
        <v>3739</v>
      </c>
    </row>
    <row r="40" spans="1:12" x14ac:dyDescent="0.25">
      <c r="I40" s="3" t="s">
        <v>3754</v>
      </c>
      <c r="J40">
        <v>37</v>
      </c>
      <c r="K40" t="s">
        <v>3755</v>
      </c>
      <c r="L40" s="34" t="s">
        <v>3756</v>
      </c>
    </row>
    <row r="43" spans="1:12" x14ac:dyDescent="0.25">
      <c r="I43" s="49" t="s">
        <v>1577</v>
      </c>
      <c r="K43" t="s">
        <v>1798</v>
      </c>
      <c r="L43" t="s">
        <v>1683</v>
      </c>
    </row>
    <row r="47" spans="1:12" x14ac:dyDescent="0.25">
      <c r="A47" s="7" t="s">
        <v>3538</v>
      </c>
      <c r="B47" s="1" t="s">
        <v>3543</v>
      </c>
      <c r="C47" s="1" t="s">
        <v>3544</v>
      </c>
      <c r="F47" s="3" t="s">
        <v>86</v>
      </c>
      <c r="G47" s="1" t="s">
        <v>87</v>
      </c>
    </row>
    <row r="48" spans="1:12" x14ac:dyDescent="0.25">
      <c r="A48" s="7">
        <v>0</v>
      </c>
      <c r="B48" s="45" t="s">
        <v>3547</v>
      </c>
      <c r="C48" s="1" t="s">
        <v>3548</v>
      </c>
      <c r="F48" s="8">
        <v>1</v>
      </c>
      <c r="G48" t="s">
        <v>90</v>
      </c>
    </row>
    <row r="49" spans="1:7" x14ac:dyDescent="0.25">
      <c r="A49" s="3">
        <v>0</v>
      </c>
      <c r="B49" s="88" t="s">
        <v>3539</v>
      </c>
      <c r="C49" t="s">
        <v>3550</v>
      </c>
      <c r="F49" s="8">
        <v>2</v>
      </c>
      <c r="G49" t="s">
        <v>89</v>
      </c>
    </row>
    <row r="50" spans="1:7" x14ac:dyDescent="0.25">
      <c r="A50" s="3">
        <v>1</v>
      </c>
      <c r="B50" s="88" t="s">
        <v>3540</v>
      </c>
      <c r="C50" t="s">
        <v>3551</v>
      </c>
      <c r="F50" s="8">
        <v>3</v>
      </c>
      <c r="G50" t="s">
        <v>88</v>
      </c>
    </row>
    <row r="51" spans="1:7" x14ac:dyDescent="0.25">
      <c r="A51" s="3">
        <v>2</v>
      </c>
      <c r="B51" s="88" t="s">
        <v>3541</v>
      </c>
      <c r="C51" t="s">
        <v>3552</v>
      </c>
    </row>
    <row r="52" spans="1:7" x14ac:dyDescent="0.25">
      <c r="A52" s="3">
        <v>3</v>
      </c>
      <c r="B52" s="88" t="s">
        <v>3542</v>
      </c>
      <c r="C52" t="s">
        <v>3553</v>
      </c>
    </row>
    <row r="53" spans="1:7" x14ac:dyDescent="0.25">
      <c r="A53" s="3">
        <v>4</v>
      </c>
      <c r="B53" t="s">
        <v>3726</v>
      </c>
      <c r="C53" t="s">
        <v>3727</v>
      </c>
    </row>
    <row r="55" spans="1:7" x14ac:dyDescent="0.25">
      <c r="B55" s="45" t="s">
        <v>3546</v>
      </c>
      <c r="C55" s="1" t="s">
        <v>3549</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13" t="s">
        <v>2413</v>
      </c>
      <c r="B1" s="113"/>
      <c r="C1" s="113"/>
      <c r="D1" s="23" t="s">
        <v>2369</v>
      </c>
      <c r="G1" s="67" t="s">
        <v>2197</v>
      </c>
    </row>
    <row r="2" spans="1:7" x14ac:dyDescent="0.25">
      <c r="A2" s="6" t="s">
        <v>83</v>
      </c>
      <c r="B2" s="7" t="s">
        <v>1670</v>
      </c>
      <c r="C2" s="7" t="s">
        <v>1671</v>
      </c>
      <c r="D2" s="1" t="s">
        <v>2173</v>
      </c>
      <c r="E2" s="1" t="s">
        <v>2165</v>
      </c>
      <c r="F2" s="1" t="s">
        <v>2166</v>
      </c>
      <c r="G2" s="66" t="s">
        <v>2171</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2194</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2192</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2193</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2195</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2196</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2280</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2276</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2279</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2183</v>
      </c>
      <c r="E193" t="s">
        <v>2174</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2184</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2274</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2272</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2185</v>
      </c>
      <c r="E236" t="s">
        <v>2172</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2186</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2187</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2188</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2189</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2275</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2275</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2285</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2284</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2283</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2277</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2278</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2190</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2191</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2282</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2281</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2273</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2271</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2270</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2269</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2271</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2270</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2269</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2024-03-27T14:11:30Z</dcterms:modified>
</cp:coreProperties>
</file>