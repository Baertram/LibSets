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5C7940AE-A342-401D-927C-5B4BBD9DC3E0}"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names'!$A$2:$B$588</definedName>
    <definedName name="_xlnm._FilterDatabase" localSheetId="3" hidden="1">'ESO zone constants'!$A$2:$L$1025</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data'!$A$2:$BI$675</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652" i="4" l="1"/>
  <c r="BG666" i="4"/>
  <c r="BH666" i="4"/>
  <c r="BG667" i="4"/>
  <c r="BH667" i="4"/>
  <c r="BG668" i="4"/>
  <c r="BH668" i="4"/>
  <c r="BG669" i="4"/>
  <c r="BH669" i="4"/>
  <c r="BG670" i="4"/>
  <c r="BH670" i="4"/>
  <c r="BG671" i="4"/>
  <c r="BH671" i="4"/>
  <c r="BG672" i="4"/>
  <c r="BH672" i="4"/>
  <c r="F49" i="9"/>
  <c r="F50" i="9"/>
  <c r="F51"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1024" i="7"/>
  <c r="F1025" i="7"/>
  <c r="L1024" i="7"/>
  <c r="L1025" i="7"/>
  <c r="G1024" i="7"/>
  <c r="H1024" i="7"/>
  <c r="I1024" i="7"/>
  <c r="G1025" i="7"/>
  <c r="H1025" i="7"/>
  <c r="I1025" i="7"/>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R666" i="4"/>
  <c r="T666" i="4"/>
  <c r="U666" i="4" s="1"/>
  <c r="Z666" i="4"/>
  <c r="AA666" i="4" s="1"/>
  <c r="AF666" i="4"/>
  <c r="AG666" i="4" s="1"/>
  <c r="AK666" i="4"/>
  <c r="AP666" i="4"/>
  <c r="AU666" i="4"/>
  <c r="R667" i="4"/>
  <c r="T667" i="4"/>
  <c r="U667" i="4" s="1"/>
  <c r="Z667" i="4"/>
  <c r="AA667" i="4" s="1"/>
  <c r="AF667" i="4"/>
  <c r="AG667" i="4" s="1"/>
  <c r="AK667" i="4"/>
  <c r="AP667" i="4"/>
  <c r="AU667" i="4"/>
  <c r="R668" i="4"/>
  <c r="T668" i="4"/>
  <c r="U668" i="4" s="1"/>
  <c r="Z668" i="4"/>
  <c r="AA668" i="4" s="1"/>
  <c r="AF668" i="4"/>
  <c r="AG668" i="4" s="1"/>
  <c r="AK668" i="4"/>
  <c r="AP668" i="4"/>
  <c r="AU668" i="4"/>
  <c r="R669" i="4"/>
  <c r="T669" i="4"/>
  <c r="U669" i="4" s="1"/>
  <c r="Z669" i="4"/>
  <c r="AA669" i="4" s="1"/>
  <c r="AF669" i="4"/>
  <c r="AG669" i="4" s="1"/>
  <c r="AK669" i="4"/>
  <c r="AP669" i="4"/>
  <c r="AU669" i="4"/>
  <c r="R670" i="4"/>
  <c r="T670" i="4"/>
  <c r="U670" i="4" s="1"/>
  <c r="Z670" i="4"/>
  <c r="AA670" i="4" s="1"/>
  <c r="AF670" i="4"/>
  <c r="AG670" i="4" s="1"/>
  <c r="AK670" i="4"/>
  <c r="AP670" i="4"/>
  <c r="AU670" i="4"/>
  <c r="R671" i="4"/>
  <c r="T671" i="4"/>
  <c r="U671" i="4" s="1"/>
  <c r="Z671" i="4"/>
  <c r="AA671" i="4" s="1"/>
  <c r="AF671" i="4"/>
  <c r="AG671" i="4" s="1"/>
  <c r="AK671" i="4"/>
  <c r="AP671" i="4"/>
  <c r="AU671" i="4"/>
  <c r="R672" i="4"/>
  <c r="T672" i="4"/>
  <c r="U672" i="4" s="1"/>
  <c r="Z672" i="4"/>
  <c r="AA672" i="4" s="1"/>
  <c r="AF672" i="4"/>
  <c r="AG672" i="4" s="1"/>
  <c r="AK672" i="4"/>
  <c r="AP672" i="4"/>
  <c r="AU672" i="4"/>
  <c r="R673" i="4"/>
  <c r="Q673" i="4" s="1"/>
  <c r="T673" i="4" s="1"/>
  <c r="U673" i="4" s="1"/>
  <c r="Z673" i="4"/>
  <c r="AA673" i="4" s="1"/>
  <c r="AF673" i="4"/>
  <c r="AG673" i="4" s="1"/>
  <c r="AK673" i="4"/>
  <c r="AP673" i="4"/>
  <c r="AU673" i="4"/>
  <c r="BE673" i="4"/>
  <c r="BF673" i="4"/>
  <c r="BG673" i="4"/>
  <c r="BH673" i="4"/>
  <c r="BI673" i="4"/>
  <c r="R674" i="4"/>
  <c r="Q674" i="4" s="1"/>
  <c r="T674" i="4" s="1"/>
  <c r="U674" i="4" s="1"/>
  <c r="Z674" i="4"/>
  <c r="AA674" i="4" s="1"/>
  <c r="AF674" i="4"/>
  <c r="AG674" i="4" s="1"/>
  <c r="AK674" i="4"/>
  <c r="AP674" i="4"/>
  <c r="AU674" i="4"/>
  <c r="BE674" i="4"/>
  <c r="BF674" i="4"/>
  <c r="BG674" i="4"/>
  <c r="BH674" i="4"/>
  <c r="BI674" i="4"/>
  <c r="R675" i="4"/>
  <c r="Q675" i="4" s="1"/>
  <c r="T675" i="4" s="1"/>
  <c r="U675" i="4" s="1"/>
  <c r="Z675" i="4"/>
  <c r="AA675" i="4" s="1"/>
  <c r="AF675" i="4"/>
  <c r="AG675" i="4" s="1"/>
  <c r="AK675" i="4"/>
  <c r="AP675" i="4"/>
  <c r="AU675" i="4"/>
  <c r="BE675" i="4"/>
  <c r="BF675" i="4"/>
  <c r="BG675" i="4"/>
  <c r="BH675" i="4"/>
  <c r="BI675" i="4"/>
  <c r="J24" i="20"/>
  <c r="I23" i="20"/>
  <c r="H23" i="20"/>
  <c r="G23" i="20"/>
  <c r="J23" i="20"/>
  <c r="J3" i="20"/>
  <c r="D3" i="20"/>
  <c r="G4" i="20"/>
  <c r="H4" i="20"/>
  <c r="I4" i="20"/>
  <c r="C4" i="20"/>
  <c r="J4" i="20" s="1"/>
  <c r="BG664" i="4"/>
  <c r="BH664" i="4"/>
  <c r="BG662" i="4"/>
  <c r="BH662" i="4"/>
  <c r="BG663" i="4"/>
  <c r="BH663" i="4"/>
  <c r="BG652" i="4"/>
  <c r="BH652" i="4"/>
  <c r="BG653" i="4"/>
  <c r="BH653" i="4"/>
  <c r="BG654" i="4"/>
  <c r="BH654" i="4"/>
  <c r="R663" i="4"/>
  <c r="Z663" i="4"/>
  <c r="AA663" i="4" s="1"/>
  <c r="AF663" i="4"/>
  <c r="AG663" i="4" s="1"/>
  <c r="AK663" i="4"/>
  <c r="AP663" i="4"/>
  <c r="AU663" i="4"/>
  <c r="Z658" i="4"/>
  <c r="AA658" i="4" s="1"/>
  <c r="H102" i="20"/>
  <c r="J102"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R653" i="4" s="1"/>
  <c r="K549" i="18"/>
  <c r="L549" i="18"/>
  <c r="M549" i="18"/>
  <c r="N549" i="18"/>
  <c r="K550" i="18"/>
  <c r="L550" i="18"/>
  <c r="M550" i="18"/>
  <c r="N550" i="18"/>
  <c r="K551" i="18"/>
  <c r="L551" i="18"/>
  <c r="M551" i="18"/>
  <c r="N551" i="18"/>
  <c r="K552" i="18"/>
  <c r="L552" i="18"/>
  <c r="M552" i="18"/>
  <c r="N552" i="18"/>
  <c r="R652" i="4" s="1"/>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AK653" i="4" s="1"/>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AU649" i="4" s="1"/>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K139" i="7"/>
  <c r="D663" i="4"/>
  <c r="D652" i="4"/>
  <c r="T652" i="4"/>
  <c r="U652" i="4" s="1"/>
  <c r="Z652" i="4"/>
  <c r="AA652" i="4" s="1"/>
  <c r="AF652" i="4"/>
  <c r="AU652" i="4"/>
  <c r="D653" i="4"/>
  <c r="T653" i="4"/>
  <c r="U653" i="4" s="1"/>
  <c r="Z653" i="4"/>
  <c r="AA653" i="4" s="1"/>
  <c r="AF653" i="4"/>
  <c r="AG653" i="4" s="1"/>
  <c r="AU653" i="4"/>
  <c r="D654" i="4"/>
  <c r="T654" i="4"/>
  <c r="BE654" i="4" s="1"/>
  <c r="Z654" i="4"/>
  <c r="AA654" i="4" s="1"/>
  <c r="AF654" i="4"/>
  <c r="AG654" i="4" s="1"/>
  <c r="AU654" i="4"/>
  <c r="R665" i="4"/>
  <c r="Q665" i="4" s="1"/>
  <c r="Z665" i="4"/>
  <c r="AA665" i="4" s="1"/>
  <c r="AF665" i="4"/>
  <c r="AG665" i="4" s="1"/>
  <c r="AK665" i="4"/>
  <c r="AP665" i="4"/>
  <c r="AU665" i="4"/>
  <c r="BG665" i="4"/>
  <c r="BH665" i="4"/>
  <c r="R664" i="4"/>
  <c r="Q664" i="4" s="1"/>
  <c r="Z664" i="4"/>
  <c r="AA664" i="4" s="1"/>
  <c r="AF664" i="4"/>
  <c r="AG664" i="4" s="1"/>
  <c r="AK664" i="4"/>
  <c r="AP664" i="4"/>
  <c r="AU664" i="4"/>
  <c r="R662" i="4"/>
  <c r="Q662" i="4" s="1"/>
  <c r="Z662" i="4"/>
  <c r="AA662" i="4" s="1"/>
  <c r="AF662" i="4"/>
  <c r="AG662" i="4" s="1"/>
  <c r="AK662" i="4"/>
  <c r="AP662" i="4"/>
  <c r="AU662" i="4"/>
  <c r="D665" i="4"/>
  <c r="D664" i="4"/>
  <c r="D662" i="4"/>
  <c r="AK649" i="4"/>
  <c r="AK650" i="4"/>
  <c r="AK651" i="4"/>
  <c r="AK656" i="4"/>
  <c r="AK655" i="4"/>
  <c r="AK657" i="4"/>
  <c r="AK658" i="4"/>
  <c r="AK659" i="4"/>
  <c r="AK661" i="4"/>
  <c r="AK660" i="4"/>
  <c r="D649" i="4"/>
  <c r="AP649" i="4"/>
  <c r="BG649" i="4"/>
  <c r="BH649" i="4"/>
  <c r="D650" i="4"/>
  <c r="AP650" i="4"/>
  <c r="AU650" i="4"/>
  <c r="BG650" i="4"/>
  <c r="BH650" i="4"/>
  <c r="D651" i="4"/>
  <c r="BG651" i="4"/>
  <c r="BH651" i="4"/>
  <c r="D656" i="4"/>
  <c r="T656" i="4"/>
  <c r="U656" i="4" s="1"/>
  <c r="AP656" i="4"/>
  <c r="AU656" i="4"/>
  <c r="BG656" i="4"/>
  <c r="BH656" i="4"/>
  <c r="D655" i="4"/>
  <c r="T655" i="4"/>
  <c r="BE655" i="4" s="1"/>
  <c r="AP655" i="4"/>
  <c r="AU655" i="4"/>
  <c r="BG655" i="4"/>
  <c r="BH655" i="4"/>
  <c r="D657" i="4"/>
  <c r="T657" i="4"/>
  <c r="BE657" i="4" s="1"/>
  <c r="AP657" i="4"/>
  <c r="AU657" i="4"/>
  <c r="BG657" i="4"/>
  <c r="BH657" i="4"/>
  <c r="D658" i="4"/>
  <c r="R658" i="4"/>
  <c r="Q658" i="4" s="1"/>
  <c r="AF658" i="4"/>
  <c r="AG658" i="4" s="1"/>
  <c r="AP658" i="4"/>
  <c r="AU658" i="4"/>
  <c r="BG658" i="4"/>
  <c r="BH658" i="4"/>
  <c r="D659" i="4"/>
  <c r="R659" i="4"/>
  <c r="Q659" i="4" s="1"/>
  <c r="Z659" i="4"/>
  <c r="AA659" i="4" s="1"/>
  <c r="AF659" i="4"/>
  <c r="AG659" i="4" s="1"/>
  <c r="AP659" i="4"/>
  <c r="AU659" i="4"/>
  <c r="BG659" i="4"/>
  <c r="BH659" i="4"/>
  <c r="D661" i="4"/>
  <c r="R661" i="4"/>
  <c r="Q661" i="4" s="1"/>
  <c r="Z661" i="4"/>
  <c r="AA661" i="4" s="1"/>
  <c r="AF661" i="4"/>
  <c r="AG661" i="4" s="1"/>
  <c r="AP661" i="4"/>
  <c r="AU661" i="4"/>
  <c r="BG661" i="4"/>
  <c r="BH661" i="4"/>
  <c r="D660" i="4"/>
  <c r="R660" i="4"/>
  <c r="Q660" i="4" s="1"/>
  <c r="Z660" i="4"/>
  <c r="AA660" i="4" s="1"/>
  <c r="AF660" i="4"/>
  <c r="AG660" i="4" s="1"/>
  <c r="AP660" i="4"/>
  <c r="AU660" i="4"/>
  <c r="BG660" i="4"/>
  <c r="BH66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42" i="4"/>
  <c r="BH643" i="4"/>
  <c r="BH644" i="4"/>
  <c r="BH638" i="4"/>
  <c r="BH639" i="4"/>
  <c r="BH640" i="4"/>
  <c r="BH645" i="4"/>
  <c r="BH641" i="4"/>
  <c r="BH612"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42" i="4"/>
  <c r="BG643" i="4"/>
  <c r="BG644" i="4"/>
  <c r="BG638" i="4"/>
  <c r="BG639" i="4"/>
  <c r="BG640" i="4"/>
  <c r="BG645" i="4"/>
  <c r="BG641" i="4"/>
  <c r="BG612" i="4"/>
  <c r="BG646" i="4"/>
  <c r="BG647" i="4"/>
  <c r="BG648" i="4"/>
  <c r="I89" i="20"/>
  <c r="H89" i="20"/>
  <c r="G89" i="20"/>
  <c r="I88" i="20"/>
  <c r="H88" i="20"/>
  <c r="G88" i="20"/>
  <c r="BI667" i="4" l="1"/>
  <c r="BE672" i="4"/>
  <c r="BI669" i="4"/>
  <c r="BI671" i="4"/>
  <c r="BE670" i="4"/>
  <c r="BI666" i="4"/>
  <c r="BI668" i="4"/>
  <c r="BI670" i="4"/>
  <c r="BI672" i="4"/>
  <c r="BE669" i="4"/>
  <c r="BE668" i="4"/>
  <c r="BE671" i="4"/>
  <c r="BE667" i="4"/>
  <c r="BE666" i="4"/>
  <c r="Q663" i="4"/>
  <c r="BF663" i="4" s="1"/>
  <c r="AP654" i="4"/>
  <c r="AK654" i="4"/>
  <c r="AP651" i="4"/>
  <c r="AU651" i="4"/>
  <c r="BF662" i="4"/>
  <c r="BF664" i="4"/>
  <c r="BE653" i="4"/>
  <c r="Q652" i="4"/>
  <c r="BI652" i="4"/>
  <c r="Q653" i="4"/>
  <c r="BI653" i="4"/>
  <c r="BI664" i="4"/>
  <c r="BE652" i="4"/>
  <c r="BI663" i="4"/>
  <c r="BI662" i="4"/>
  <c r="BI665" i="4"/>
  <c r="BI660" i="4"/>
  <c r="BI661" i="4"/>
  <c r="BI659" i="4"/>
  <c r="F131" i="5"/>
  <c r="BI658" i="4"/>
  <c r="U654" i="4"/>
  <c r="BE656" i="4"/>
  <c r="BF665" i="4"/>
  <c r="U657" i="4"/>
  <c r="BF660" i="4"/>
  <c r="BF661" i="4"/>
  <c r="BF659" i="4"/>
  <c r="BF658" i="4"/>
  <c r="U655" i="4"/>
  <c r="D642" i="4"/>
  <c r="D643" i="4"/>
  <c r="D644" i="4"/>
  <c r="D638" i="4"/>
  <c r="D639" i="4"/>
  <c r="D640" i="4"/>
  <c r="D645" i="4"/>
  <c r="D641" i="4"/>
  <c r="D612"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12" i="4"/>
  <c r="T646" i="4"/>
  <c r="T647" i="4"/>
  <c r="T648" i="4"/>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5" i="15"/>
  <c r="C645" i="15"/>
  <c r="B639" i="15"/>
  <c r="C639" i="15"/>
  <c r="B640" i="15"/>
  <c r="C640" i="15"/>
  <c r="B641" i="15"/>
  <c r="C641" i="15"/>
  <c r="B642" i="15"/>
  <c r="C642" i="15"/>
  <c r="B643" i="15"/>
  <c r="C643" i="15"/>
  <c r="B644" i="15"/>
  <c r="C644"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N389" i="18"/>
  <c r="M389" i="18"/>
  <c r="L389" i="18"/>
  <c r="K389" i="18"/>
  <c r="J389" i="18"/>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1" i="20"/>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AP653" i="4" s="1"/>
  <c r="I622" i="7"/>
  <c r="G623" i="7"/>
  <c r="H623" i="7"/>
  <c r="I623" i="7"/>
  <c r="G624" i="7"/>
  <c r="H624" i="7"/>
  <c r="I624" i="7"/>
  <c r="G625" i="7"/>
  <c r="H625" i="7"/>
  <c r="I625" i="7"/>
  <c r="G626" i="7"/>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G588" i="7"/>
  <c r="H588" i="7"/>
  <c r="I588" i="7"/>
  <c r="G589" i="7"/>
  <c r="H589" i="7"/>
  <c r="I589" i="7"/>
  <c r="G590" i="7"/>
  <c r="H590" i="7"/>
  <c r="I590" i="7"/>
  <c r="G591" i="7"/>
  <c r="H591" i="7"/>
  <c r="I591" i="7"/>
  <c r="G592" i="7"/>
  <c r="H592" i="7"/>
  <c r="AP652" i="4" s="1"/>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I40" i="20"/>
  <c r="H40" i="20"/>
  <c r="G40" i="20"/>
  <c r="C40"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BF653" i="4" l="1"/>
  <c r="G131" i="5"/>
  <c r="K131" i="5"/>
  <c r="BH422" i="4"/>
  <c r="BH421" i="4"/>
  <c r="BH420" i="4"/>
  <c r="BI630"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9" i="4"/>
  <c r="BE629" i="4"/>
  <c r="BI647" i="4"/>
  <c r="BI197" i="4"/>
  <c r="BI106" i="4"/>
  <c r="BI90" i="4"/>
  <c r="BI74" i="4"/>
  <c r="BI32" i="4"/>
  <c r="BI9" i="4"/>
  <c r="BF282" i="4"/>
  <c r="BI542" i="4"/>
  <c r="BI196" i="4"/>
  <c r="BI49" i="4"/>
  <c r="BF281" i="4"/>
  <c r="Q612"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9" i="4"/>
  <c r="BF171" i="4"/>
  <c r="BI420" i="4"/>
  <c r="BI366" i="4"/>
  <c r="BI328" i="4"/>
  <c r="BI209" i="4"/>
  <c r="BI168" i="4"/>
  <c r="BI152" i="4"/>
  <c r="BI83" i="4"/>
  <c r="BI67" i="4"/>
  <c r="BI587" i="4"/>
  <c r="BI628"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12" i="4"/>
  <c r="BE612" i="4"/>
  <c r="BI557" i="4"/>
  <c r="BI287" i="4"/>
  <c r="BI200" i="4"/>
  <c r="BI109" i="4"/>
  <c r="BI93" i="4"/>
  <c r="BI77" i="4"/>
  <c r="BF329"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K171" i="18"/>
  <c r="L171" i="18"/>
  <c r="M171" i="18"/>
  <c r="N171" i="18"/>
  <c r="J171" i="18"/>
  <c r="G83" i="20" l="1"/>
  <c r="H83" i="20"/>
  <c r="I83" i="20"/>
  <c r="G82" i="20"/>
  <c r="H82" i="20"/>
  <c r="I82"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4" i="20" s="1"/>
  <c r="J84" i="20" s="1"/>
  <c r="I912" i="7"/>
  <c r="K912" i="7"/>
  <c r="F911" i="7"/>
  <c r="H911" i="7"/>
  <c r="I911" i="7"/>
  <c r="K911" i="7"/>
  <c r="F910" i="7"/>
  <c r="H910" i="7"/>
  <c r="D100" i="20" s="1"/>
  <c r="J100" i="20" s="1"/>
  <c r="I910" i="7"/>
  <c r="K910" i="7"/>
  <c r="F909" i="7"/>
  <c r="H909" i="7"/>
  <c r="I909" i="7"/>
  <c r="K909" i="7"/>
  <c r="F908" i="7"/>
  <c r="H908" i="7"/>
  <c r="I908" i="7"/>
  <c r="K908" i="7"/>
  <c r="F907" i="7"/>
  <c r="H907" i="7"/>
  <c r="I907" i="7"/>
  <c r="K907" i="7"/>
  <c r="F906" i="7"/>
  <c r="H906" i="7"/>
  <c r="I906" i="7"/>
  <c r="K906" i="7"/>
  <c r="F905" i="7"/>
  <c r="H905" i="7"/>
  <c r="I905" i="7"/>
  <c r="K905" i="7"/>
  <c r="E108" i="5"/>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6" i="4"/>
  <c r="Z650" i="4"/>
  <c r="AA650" i="4" s="1"/>
  <c r="AF650" i="4"/>
  <c r="AG650" i="4" s="1"/>
  <c r="Z656" i="4"/>
  <c r="AA656" i="4" s="1"/>
  <c r="R657" i="4"/>
  <c r="AF656" i="4"/>
  <c r="AG656" i="4" s="1"/>
  <c r="Z657" i="4"/>
  <c r="AA657" i="4" s="1"/>
  <c r="AF657" i="4"/>
  <c r="AG657" i="4" s="1"/>
  <c r="R649" i="4"/>
  <c r="R651" i="4"/>
  <c r="AF649" i="4"/>
  <c r="AG649" i="4" s="1"/>
  <c r="Z649" i="4"/>
  <c r="AA649" i="4" s="1"/>
  <c r="Z651" i="4"/>
  <c r="AA651" i="4" s="1"/>
  <c r="R655" i="4"/>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12" i="4" l="1"/>
  <c r="BI639" i="4"/>
  <c r="BI643" i="4"/>
  <c r="BI645" i="4"/>
  <c r="BI642" i="4"/>
  <c r="BI638" i="4"/>
  <c r="Q655" i="4"/>
  <c r="BF655" i="4" s="1"/>
  <c r="BI655" i="4"/>
  <c r="BI641" i="4"/>
  <c r="Q651" i="4"/>
  <c r="BF651" i="4" s="1"/>
  <c r="BI651" i="4"/>
  <c r="Q649" i="4"/>
  <c r="BF649" i="4" s="1"/>
  <c r="BI649" i="4"/>
  <c r="Q657" i="4"/>
  <c r="BF657" i="4" s="1"/>
  <c r="BI657" i="4"/>
  <c r="BI644" i="4"/>
  <c r="Q656" i="4"/>
  <c r="BF656" i="4" s="1"/>
  <c r="BI656" i="4"/>
  <c r="BI640" i="4"/>
  <c r="Q650" i="4"/>
  <c r="BF650" i="4" s="1"/>
  <c r="BI650" i="4"/>
  <c r="BF316" i="4"/>
  <c r="BF302" i="4"/>
  <c r="BF319" i="4"/>
  <c r="BI57" i="4"/>
  <c r="BI570" i="4"/>
  <c r="BI563" i="4"/>
  <c r="BI583" i="4"/>
  <c r="BI595" i="4"/>
  <c r="BF321" i="4"/>
  <c r="BF303" i="4"/>
  <c r="BI614" i="4"/>
  <c r="BI593" i="4"/>
  <c r="BI616" i="4"/>
  <c r="BF300" i="4"/>
  <c r="BI578" i="4"/>
  <c r="BI617" i="4"/>
  <c r="BI577" i="4"/>
  <c r="BI596" i="4"/>
  <c r="BI581" i="4"/>
  <c r="BI586" i="4"/>
  <c r="BI636" i="4"/>
  <c r="BI22" i="4"/>
  <c r="BI573" i="4"/>
  <c r="BI567" i="4"/>
  <c r="BI591" i="4"/>
  <c r="BI610" i="4"/>
  <c r="BI590" i="4"/>
  <c r="BI571" i="4"/>
  <c r="BI561" i="4"/>
  <c r="BI569" i="4"/>
  <c r="BI562" i="4"/>
  <c r="BI582" i="4"/>
  <c r="BI633" i="4"/>
  <c r="BF311" i="4"/>
  <c r="BI560" i="4"/>
  <c r="BI568" i="4"/>
  <c r="BI632" i="4"/>
  <c r="BI637" i="4"/>
  <c r="BF446" i="4"/>
  <c r="BI619" i="4"/>
  <c r="BI631" i="4"/>
  <c r="BI635" i="4"/>
  <c r="BI634" i="4"/>
  <c r="BF315" i="4"/>
  <c r="BI26" i="4"/>
  <c r="BF299" i="4"/>
  <c r="BF310" i="4"/>
  <c r="BI585" i="4"/>
  <c r="BI592" i="4"/>
  <c r="BI613" i="4"/>
  <c r="BF314" i="4"/>
  <c r="BF312" i="4"/>
  <c r="BI566" i="4"/>
  <c r="BI618" i="4"/>
  <c r="BF318" i="4"/>
  <c r="BF479" i="4"/>
  <c r="BF301" i="4"/>
  <c r="BF298" i="4"/>
  <c r="BF313" i="4"/>
  <c r="BF296" i="4"/>
  <c r="BI572" i="4"/>
  <c r="BI579" i="4"/>
  <c r="BF297" i="4"/>
  <c r="BI565" i="4"/>
  <c r="BF320" i="4"/>
  <c r="BI564" i="4"/>
  <c r="BI584" i="4"/>
  <c r="BI598" i="4"/>
  <c r="BI615"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6" i="20"/>
  <c r="J86"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9" i="4" l="1"/>
  <c r="AK617" i="4"/>
  <c r="AK618" i="4"/>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7" i="20"/>
  <c r="J87" i="20" s="1"/>
  <c r="Q606" i="4"/>
  <c r="BF606" i="4" s="1"/>
  <c r="Q603" i="4"/>
  <c r="BF603" i="4" s="1"/>
  <c r="Q605" i="4"/>
  <c r="BF605" i="4" s="1"/>
  <c r="AP613"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R654" i="4" s="1"/>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5" i="20"/>
  <c r="D90" i="20"/>
  <c r="D112" i="20"/>
  <c r="D11" i="20"/>
  <c r="D59" i="20"/>
  <c r="D17" i="20"/>
  <c r="D42"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BI654" i="4" l="1"/>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2" i="4"/>
  <c r="BF622" i="4" s="1"/>
  <c r="Q627" i="4"/>
  <c r="BF627" i="4" s="1"/>
  <c r="Q621" i="4"/>
  <c r="BF621" i="4" s="1"/>
  <c r="Q626" i="4"/>
  <c r="BF626" i="4" s="1"/>
  <c r="Q625" i="4"/>
  <c r="BF625" i="4" s="1"/>
  <c r="Q624" i="4"/>
  <c r="BF624" i="4" s="1"/>
  <c r="Q623" i="4"/>
  <c r="BF623" i="4" s="1"/>
  <c r="Q620" i="4"/>
  <c r="BF620" i="4" s="1"/>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AK652" i="4" s="1"/>
  <c r="BF652" i="4" s="1"/>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92" i="20" s="1"/>
  <c r="J92"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4" i="20" s="1"/>
  <c r="J94"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Q654" i="4" s="1"/>
  <c r="BF654" i="4" s="1"/>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4" i="20"/>
  <c r="J64" i="20" s="1"/>
  <c r="H241" i="7"/>
  <c r="D65" i="20" s="1"/>
  <c r="J65" i="20" s="1"/>
  <c r="I241" i="7"/>
  <c r="H242" i="7"/>
  <c r="D95" i="20" s="1"/>
  <c r="J95" i="20" s="1"/>
  <c r="I242" i="7"/>
  <c r="H243" i="7"/>
  <c r="I243" i="7"/>
  <c r="H244" i="7"/>
  <c r="I244" i="7"/>
  <c r="H245" i="7"/>
  <c r="J30"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6" i="20"/>
  <c r="J96" i="20" s="1"/>
  <c r="H259" i="7"/>
  <c r="I259" i="7"/>
  <c r="D66" i="20"/>
  <c r="J66" i="20" s="1"/>
  <c r="D67" i="20"/>
  <c r="J67" i="20" s="1"/>
  <c r="J31" i="20"/>
  <c r="H384" i="7"/>
  <c r="I384" i="7"/>
  <c r="H386" i="7"/>
  <c r="I386" i="7"/>
  <c r="H387" i="7"/>
  <c r="I387" i="7"/>
  <c r="H752" i="7"/>
  <c r="I752" i="7"/>
  <c r="H451" i="7"/>
  <c r="I451" i="7"/>
  <c r="H446" i="7"/>
  <c r="D88" i="20" s="1"/>
  <c r="J88"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9" i="20"/>
  <c r="J89" i="20" s="1"/>
  <c r="H982" i="7"/>
  <c r="I982" i="7"/>
  <c r="H981" i="7"/>
  <c r="I981" i="7"/>
  <c r="H980" i="7"/>
  <c r="D23" i="20" s="1"/>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8" i="20" s="1"/>
  <c r="J98"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Q668" i="4" l="1"/>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Q642" i="4"/>
  <c r="Q644" i="4"/>
  <c r="Q643"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Q545" i="4"/>
  <c r="BF545" i="4" s="1"/>
  <c r="D82" i="20"/>
  <c r="J82" i="20" s="1"/>
  <c r="Q544" i="4"/>
  <c r="BF544" i="4" s="1"/>
  <c r="Q555" i="4"/>
  <c r="BF555" i="4" s="1"/>
  <c r="Q543" i="4"/>
  <c r="BF543" i="4" s="1"/>
  <c r="AK550" i="4"/>
  <c r="Q503" i="4"/>
  <c r="BF503" i="4" s="1"/>
  <c r="Q497" i="4"/>
  <c r="BF497" i="4" s="1"/>
  <c r="Q496" i="4"/>
  <c r="BF496" i="4" s="1"/>
  <c r="Q495" i="4"/>
  <c r="BF495" i="4" s="1"/>
  <c r="Q640" i="4"/>
  <c r="Q639" i="4"/>
  <c r="Q641" i="4"/>
  <c r="Q638" i="4"/>
  <c r="Q526" i="4"/>
  <c r="BF526" i="4" s="1"/>
  <c r="Q528" i="4"/>
  <c r="BF528" i="4" s="1"/>
  <c r="Q533" i="4"/>
  <c r="BF533" i="4" s="1"/>
  <c r="Q527" i="4"/>
  <c r="BF527" i="4" s="1"/>
  <c r="Q531" i="4"/>
  <c r="BF531" i="4" s="1"/>
  <c r="Q532" i="4"/>
  <c r="BF532" i="4" s="1"/>
  <c r="Q530" i="4"/>
  <c r="BF530" i="4" s="1"/>
  <c r="Q529" i="4"/>
  <c r="BF529" i="4" s="1"/>
  <c r="AK613" i="4"/>
  <c r="BF613"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611" i="4" l="1"/>
  <c r="BF594" i="4"/>
  <c r="E1024" i="7" a="1"/>
  <c r="E1024" i="7" s="1"/>
  <c r="E1025" i="7" a="1"/>
  <c r="E1025" i="7" s="1"/>
  <c r="BF610" i="4"/>
  <c r="T664" i="4"/>
  <c r="BE664" i="4" s="1"/>
  <c r="T663" i="4"/>
  <c r="BE663" i="4" s="1"/>
  <c r="T661" i="4"/>
  <c r="T658" i="4"/>
  <c r="T659" i="4"/>
  <c r="T665" i="4"/>
  <c r="T660" i="4"/>
  <c r="T662" i="4"/>
  <c r="BE662" i="4" s="1"/>
  <c r="BF617" i="4"/>
  <c r="BF612"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8" i="4"/>
  <c r="BF81" i="4"/>
  <c r="BF88" i="4"/>
  <c r="BF619" i="4"/>
  <c r="BF595" i="4"/>
  <c r="BF406" i="4"/>
  <c r="BF591" i="4"/>
  <c r="BF590" i="4"/>
  <c r="BF592" i="4"/>
  <c r="BF408" i="4"/>
  <c r="BF116" i="4"/>
  <c r="BF46" i="4"/>
  <c r="BF445" i="4"/>
  <c r="BF645" i="4"/>
  <c r="T645" i="4"/>
  <c r="BF641" i="4"/>
  <c r="T641" i="4"/>
  <c r="BF638" i="4"/>
  <c r="T638" i="4"/>
  <c r="BF639" i="4"/>
  <c r="T639" i="4"/>
  <c r="BF640" i="4"/>
  <c r="T640" i="4"/>
  <c r="BF643" i="4"/>
  <c r="T643" i="4"/>
  <c r="BF644" i="4"/>
  <c r="T644" i="4"/>
  <c r="BF642" i="4"/>
  <c r="T642"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2" i="4" l="1"/>
  <c r="BE660" i="4"/>
  <c r="U660" i="4"/>
  <c r="U665" i="4"/>
  <c r="BE665" i="4"/>
  <c r="U659" i="4"/>
  <c r="BE659" i="4"/>
  <c r="BE658" i="4"/>
  <c r="U658" i="4"/>
  <c r="BE661" i="4"/>
  <c r="U661" i="4"/>
  <c r="U663" i="4"/>
  <c r="U664" i="4"/>
  <c r="U641" i="4"/>
  <c r="BE641" i="4"/>
  <c r="U645" i="4"/>
  <c r="BE645" i="4"/>
  <c r="U642" i="4"/>
  <c r="BE642" i="4"/>
  <c r="U644" i="4"/>
  <c r="BE644" i="4"/>
  <c r="U643" i="4"/>
  <c r="BE643" i="4"/>
  <c r="U640" i="4"/>
  <c r="BE640" i="4"/>
  <c r="BE639" i="4"/>
  <c r="U639" i="4"/>
  <c r="U638" i="4"/>
  <c r="BE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<sst xmlns="http://schemas.openxmlformats.org/spreadsheetml/2006/main" count="11887" uniqueCount="4052">
  <si>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</si>
  <si>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</si>
  <si>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</si>
  <si>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</si>
  <si>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</si>
  <si>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</si>
  <si>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</si>
  <si>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</si>
  <si>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</si>
  <si>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</si>
  <si>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</si>
  <si>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</si>
  <si>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</si>
  <si>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</si>
  <si>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</si>
  <si>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</si>
  <si>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</si>
  <si>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</si>
  <si>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</si>
  <si>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</si>
  <si>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</si>
  <si>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</si>
  <si>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</si>
  <si>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</si>
  <si>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</si>
  <si>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</si>
  <si>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</si>
  <si>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</si>
  <si>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</si>
  <si>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</si>
  <si>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</si>
  <si>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</si>
  <si>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</si>
  <si>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</si>
  <si>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</si>
  <si>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</si>
  <si>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</si>
  <si>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</si>
  <si>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</si>
  <si>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</si>
  <si>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</si>
  <si>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</si>
  <si>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</si>
  <si>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</si>
  <si>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</si>
  <si>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</si>
  <si>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</si>
  <si>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</si>
  <si>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</si>
  <si>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</si>
  <si>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</si>
  <si>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</si>
  <si>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</si>
  <si>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</si>
  <si>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</si>
  <si>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</si>
  <si>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</si>
  <si>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</si>
  <si>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</si>
  <si>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</si>
  <si>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</si>
  <si>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</si>
  <si>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</si>
  <si>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</si>
  <si>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</si>
  <si>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</si>
  <si>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</si>
  <si>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</si>
  <si>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</si>
  <si>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</si>
  <si>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</si>
  <si>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</si>
  <si>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</si>
  <si>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</si>
  <si>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</si>
  <si>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</si>
  <si>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</si>
  <si>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</si>
  <si>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</si>
  <si>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</si>
  <si>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</si>
  <si>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</si>
  <si>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</si>
  <si>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</si>
  <si>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</si>
  <si>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</si>
  <si>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</si>
  <si>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</si>
  <si>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</si>
  <si>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</si>
  <si>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</si>
  <si>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</si>
  <si>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</si>
  <si>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</si>
  <si>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</si>
  <si>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</si>
  <si>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</si>
  <si>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</si>
  <si>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</si>
  <si>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</si>
  <si>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</si>
  <si>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</si>
  <si>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</si>
  <si>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</si>
  <si>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</si>
  <si>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</si>
  <si>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</si>
  <si>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</si>
  <si>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</si>
  <si>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</si>
  <si>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</si>
  <si>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</si>
  <si>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</si>
  <si>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</si>
  <si>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</si>
  <si>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</si>
  <si>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</si>
  <si>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</si>
  <si>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</si>
  <si>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</si>
  <si>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</si>
  <si>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</si>
  <si>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</si>
  <si>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</si>
  <si>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</si>
  <si>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</si>
  <si>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</si>
  <si>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</si>
  <si>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</si>
  <si>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</si>
  <si>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</si>
  <si>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</si>
  <si>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</si>
  <si>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</si>
  <si>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</si>
  <si>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</si>
  <si>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</si>
  <si>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</si>
  <si>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</si>
  <si>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</si>
  <si>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</si>
  <si>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</si>
  <si>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</si>
  <si>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</si>
  <si>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</si>
  <si>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</si>
  <si>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</si>
  <si>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</si>
  <si>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</si>
  <si>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</si>
  <si>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</si>
  <si>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</si>
  <si>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</si>
  <si>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</si>
  <si>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</si>
  <si>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</si>
  <si>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</si>
  <si>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</si>
  <si>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</si>
  <si>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</si>
  <si>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</si>
  <si>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</si>
  <si>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</si>
  <si>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</si>
  <si>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</si>
  <si>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</si>
  <si>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</si>
  <si>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</si>
  <si>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</si>
  <si>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</si>
  <si>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</si>
  <si>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</si>
  <si>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</si>
  <si>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</si>
  <si>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</si>
  <si>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</si>
  <si>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</si>
  <si>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</si>
  <si>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</si>
  <si>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</si>
  <si>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</si>
  <si>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</si>
  <si>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</si>
  <si>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</si>
  <si>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</si>
  <si>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</si>
  <si>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</si>
  <si>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</si>
  <si>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</si>
  <si>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</si>
  <si>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</si>
  <si>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</si>
  <si>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</si>
  <si>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</si>
  <si>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</si>
  <si>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</si>
  <si>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</si>
  <si>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</si>
  <si>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</si>
  <si>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</si>
  <si>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</si>
  <si>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</si>
  <si>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</si>
  <si>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</si>
  <si>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</si>
  <si>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</si>
  <si>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</si>
  <si>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</si>
  <si>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</si>
  <si>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</si>
  <si>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</si>
  <si>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</si>
  <si>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</si>
  <si>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</si>
  <si>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</si>
  <si>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</si>
  <si>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</si>
  <si>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</si>
  <si>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</si>
  <si>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</si>
  <si>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</si>
  <si>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</si>
  <si>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</si>
  <si>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</si>
  <si>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</si>
  <si>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</si>
  <si>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</si>
  <si>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</si>
  <si>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</si>
  <si>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</si>
  <si>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</si>
  <si>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</si>
  <si>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</si>
  <si>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</si>
  <si>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</si>
  <si>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</si>
  <si>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</si>
  <si>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</si>
  <si>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</si>
  <si>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</si>
  <si>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</si>
  <si>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</si>
  <si>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</si>
  <si>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</si>
  <si>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</si>
  <si>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</si>
  <si>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</si>
  <si>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</si>
  <si>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</si>
  <si>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</si>
  <si>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</si>
  <si>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</si>
  <si>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</si>
  <si>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</si>
  <si>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</si>
  <si>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</si>
  <si>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</si>
  <si>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</si>
  <si>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</si>
  <si>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</si>
  <si>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</si>
  <si>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</si>
  <si>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</si>
  <si>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</si>
  <si>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</si>
  <si>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</si>
  <si>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</si>
  <si>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</si>
  <si>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</si>
  <si>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</si>
  <si>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</si>
  <si>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</si>
  <si>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</si>
  <si>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</si>
  <si>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</si>
  <si>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</si>
  <si>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</si>
  <si>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</si>
  <si>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</si>
  <si>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</si>
  <si>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</si>
  <si>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</si>
  <si>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</si>
  <si>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</si>
  <si>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</si>
  <si>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</si>
  <si>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</si>
  <si>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</si>
  <si>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</si>
  <si>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</si>
  <si>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</si>
  <si>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</si>
  <si>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</si>
  <si>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</si>
  <si>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</si>
  <si>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</si>
  <si>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</si>
  <si>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</si>
  <si>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</si>
  <si>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</si>
  <si>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</si>
  <si>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</si>
  <si>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</si>
  <si>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</si>
  <si>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</si>
  <si>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</si>
  <si>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</si>
  <si>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</si>
  <si>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</si>
  <si>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</si>
  <si>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</si>
  <si>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</si>
  <si>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</si>
  <si>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</si>
  <si>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</si>
  <si>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</si>
  <si>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</si>
  <si>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</si>
  <si>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</si>
  <si>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</si>
  <si>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</si>
  <si>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</si>
  <si>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</si>
  <si>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</si>
  <si>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</si>
  <si>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</si>
  <si>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</si>
  <si>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</si>
  <si>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</si>
  <si>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</si>
  <si>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</si>
  <si>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</si>
  <si>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</si>
  <si>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</si>
  <si>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</si>
  <si>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</si>
  <si>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</si>
  <si>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</si>
  <si>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</si>
  <si>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</si>
  <si>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</si>
  <si>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</si>
  <si>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</si>
  <si>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</si>
  <si>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</si>
  <si>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</si>
  <si>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</si>
  <si>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</si>
  <si>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</si>
  <si>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</si>
  <si>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</si>
  <si>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</si>
  <si>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</si>
  <si>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</si>
  <si>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</si>
  <si>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</si>
  <si>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</si>
  <si>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</si>
  <si>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</si>
  <si>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</si>
  <si>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</si>
  <si>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</si>
  <si>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</si>
  <si>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</si>
  <si>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</si>
  <si>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</si>
  <si>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</si>
  <si>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</si>
  <si>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</si>
  <si>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</si>
  <si>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</si>
  <si>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</si>
  <si>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</si>
  <si>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</si>
  <si>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</si>
  <si>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</si>
  <si>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</si>
  <si>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</si>
  <si>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</si>
  <si>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</si>
  <si>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</si>
  <si>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</si>
  <si>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</si>
  <si>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</si>
  <si>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</si>
  <si>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</si>
  <si>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</si>
  <si>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</si>
  <si>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</si>
  <si>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</si>
  <si>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</si>
  <si>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</si>
  <si>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</si>
  <si>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</si>
  <si>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</si>
  <si>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</si>
  <si>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</si>
  <si>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</si>
  <si>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</si>
  <si>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</si>
  <si>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</si>
  <si>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</si>
  <si>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</si>
  <si>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</si>
  <si>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</si>
  <si>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</si>
  <si>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</si>
  <si>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</si>
  <si>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</si>
  <si>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</si>
  <si>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</si>
  <si>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</si>
  <si>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</si>
  <si>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</si>
  <si>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</si>
  <si>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</si>
  <si>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</si>
  <si>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</si>
  <si>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</si>
  <si>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</si>
  <si>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</si>
  <si>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</si>
  <si>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</si>
  <si>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</si>
  <si>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</si>
  <si>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</si>
  <si>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</si>
  <si>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</si>
  <si>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</si>
  <si>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</si>
  <si>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</si>
  <si>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</si>
  <si>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</si>
  <si>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</si>
  <si>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</si>
  <si>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</si>
  <si>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</si>
  <si>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</si>
  <si>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</si>
  <si>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</si>
  <si>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</si>
  <si>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</si>
  <si>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</si>
  <si>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</si>
  <si>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</si>
  <si>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</si>
  <si>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</si>
  <si>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</si>
  <si>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</si>
  <si>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</si>
  <si>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</si>
  <si>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</si>
  <si>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</si>
  <si>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</si>
  <si>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</si>
  <si>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</si>
  <si>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</si>
  <si>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</si>
  <si>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</si>
  <si>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</si>
  <si>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</si>
  <si>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</si>
  <si>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</si>
  <si>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</si>
  <si>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</si>
  <si>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</si>
  <si>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</si>
  <si>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</si>
  <si>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</si>
  <si>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</si>
  <si>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</si>
  <si>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</si>
  <si>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</si>
  <si>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</si>
  <si>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</si>
  <si>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</si>
  <si>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</si>
  <si>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</si>
  <si>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</si>
  <si>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</si>
  <si>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</si>
  <si>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</si>
  <si>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</si>
  <si>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</si>
  <si>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</si>
  <si>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</si>
  <si>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</si>
  <si>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</si>
  <si>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</si>
  <si>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</si>
  <si>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</si>
  <si>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</si>
  <si>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</si>
  <si>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</si>
  <si>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</si>
  <si>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</si>
  <si>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</si>
  <si>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</si>
  <si>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</si>
  <si>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</si>
  <si>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</si>
  <si>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</si>
  <si>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</si>
  <si>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</si>
  <si>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</si>
  <si>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</si>
  <si>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</si>
  <si>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</si>
  <si>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</si>
  <si>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</si>
  <si>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</si>
  <si>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</si>
  <si>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</si>
  <si>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</si>
  <si>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</si>
  <si>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</si>
  <si>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</si>
  <si>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</si>
  <si>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</si>
  <si>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</si>
  <si>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</si>
  <si>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</si>
  <si>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</si>
  <si>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</si>
  <si>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</si>
  <si>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</si>
  <si>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</si>
  <si>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</si>
  <si>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</si>
  <si>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</si>
  <si>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</si>
  <si>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</si>
  <si>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</si>
  <si>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</si>
  <si>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</si>
  <si>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</si>
  <si>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</si>
  <si>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</si>
  <si>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</si>
  <si>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</si>
  <si>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</si>
  <si>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</si>
  <si>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</si>
  <si>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</si>
  <si>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</si>
  <si>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</si>
  <si>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</si>
  <si>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</si>
  <si>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</si>
  <si>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</si>
  <si>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</si>
  <si>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</si>
  <si>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</si>
  <si>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</si>
  <si>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</si>
  <si>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</si>
  <si>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</si>
  <si>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</si>
  <si>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</si>
  <si>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</si>
  <si>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</si>
  <si>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</si>
  <si>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</si>
  <si>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</si>
  <si>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</si>
  <si>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</si>
  <si>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</si>
  <si>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</si>
  <si>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</si>
  <si>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</si>
  <si>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</si>
  <si>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</si>
  <si>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</si>
  <si>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</si>
  <si>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</si>
  <si>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</si>
  <si>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</si>
  <si>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</si>
  <si>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</si>
  <si>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</si>
  <si>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</si>
  <si>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</si>
  <si>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</si>
  <si>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</si>
  <si>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</si>
  <si>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</si>
  <si>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</si>
  <si>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</si>
  <si>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</si>
  <si>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</si>
  <si>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</si>
  <si>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</si>
  <si>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</si>
  <si>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</si>
  <si>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</si>
  <si>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</si>
  <si>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</si>
  <si>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</si>
  <si>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</si>
  <si>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</si>
  <si>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</si>
  <si>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</si>
  <si>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</si>
  <si>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</si>
  <si>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</si>
  <si>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</si>
  <si>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</si>
  <si>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</si>
  <si>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</si>
  <si>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</si>
  <si>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</si>
  <si>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</si>
  <si>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</si>
  <si>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</si>
  <si>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</si>
  <si>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</si>
  <si>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</si>
  <si>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</si>
  <si>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</si>
  <si>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</si>
  <si>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</si>
  <si>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</si>
  <si>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</si>
  <si>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</si>
  <si>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</si>
  <si>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</si>
  <si>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</si>
  <si>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</si>
  <si>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</si>
  <si>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</si>
  <si>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</si>
  <si>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</si>
  <si>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</si>
  <si>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</si>
  <si>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</si>
  <si>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</si>
  <si>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</si>
  <si>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</si>
  <si>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</si>
  <si>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</si>
  <si>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</si>
  <si>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</si>
  <si>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</si>
  <si>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</si>
  <si>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</si>
  <si>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</si>
  <si>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</si>
  <si>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</si>
  <si>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</si>
  <si>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</si>
  <si>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</si>
  <si>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</si>
  <si>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</si>
  <si>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</si>
  <si>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</si>
  <si>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</si>
  <si>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</si>
  <si>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</si>
  <si>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</si>
  <si>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</si>
  <si>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</si>
  <si>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</si>
  <si>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</si>
  <si>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</si>
  <si>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</si>
  <si>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</si>
  <si>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</si>
  <si>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</si>
  <si>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</si>
  <si>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</si>
  <si>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</si>
  <si>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</si>
  <si>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</si>
  <si>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</si>
  <si>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</si>
  <si>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</si>
  <si>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</si>
  <si>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</si>
  <si>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</si>
  <si>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</si>
  <si>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</si>
  <si>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</si>
  <si>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</si>
  <si>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</si>
  <si>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</si>
  <si>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</si>
  <si>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</si>
  <si>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</si>
  <si>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</si>
  <si>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</si>
  <si>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</si>
  <si>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</si>
  <si>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</si>
  <si>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</si>
  <si>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</si>
  <si>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</si>
  <si>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</si>
  <si>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</si>
  <si>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</si>
  <si>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</si>
  <si>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</si>
  <si>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</si>
  <si>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</si>
  <si>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</si>
  <si>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</si>
  <si>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</si>
  <si>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</si>
  <si>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</si>
  <si>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</si>
  <si>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</si>
  <si>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</si>
  <si>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</si>
  <si>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</si>
  <si>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</si>
  <si>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</si>
  <si>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</si>
  <si>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</si>
  <si>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</si>
  <si>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</si>
  <si>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</si>
  <si>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</si>
  <si>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</si>
  <si>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</si>
  <si>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</si>
  <si>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</si>
  <si>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</si>
  <si>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</si>
  <si>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</si>
  <si>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</si>
  <si>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</si>
  <si>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</si>
  <si>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</si>
  <si>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</si>
  <si>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</si>
  <si>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</si>
  <si>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</si>
  <si>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</si>
  <si>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</si>
  <si>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</si>
  <si>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</si>
  <si>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</si>
  <si>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</si>
  <si>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</si>
  <si>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</si>
  <si>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</si>
  <si>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</si>
  <si>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</si>
  <si>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</si>
  <si>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</si>
  <si>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</si>
  <si>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</si>
  <si>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</si>
  <si>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</si>
  <si>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</si>
  <si>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</si>
  <si>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</si>
  <si>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</si>
  <si>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</si>
  <si>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</si>
  <si>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</si>
  <si>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</si>
  <si>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</si>
  <si>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</si>
  <si>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</si>
  <si>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</si>
  <si>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</si>
  <si>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</si>
  <si>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</si>
  <si>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</si>
  <si>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</si>
  <si>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</si>
  <si>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</si>
  <si>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</si>
  <si>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</si>
  <si>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</si>
  <si>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</si>
  <si>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</si>
  <si>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</si>
  <si>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</si>
  <si>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</si>
  <si>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</si>
  <si>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</si>
  <si>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</si>
  <si>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</si>
  <si>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</si>
  <si>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</si>
  <si>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</si>
  <si>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</si>
  <si>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</si>
  <si>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</si>
  <si>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</si>
  <si>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</si>
  <si>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</si>
  <si>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</si>
  <si>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</si>
  <si>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</si>
  <si>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</si>
  <si>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</si>
  <si>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</si>
  <si>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</si>
  <si>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</si>
  <si>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</si>
  <si>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</si>
  <si>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</si>
  <si>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</si>
  <si>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</si>
  <si>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</si>
  <si>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</si>
  <si>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</si>
  <si>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</si>
  <si>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</si>
  <si>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</si>
  <si>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</si>
  <si>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</si>
  <si>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</si>
  <si>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</si>
  <si>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</si>
  <si>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</si>
  <si>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</si>
  <si>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</si>
  <si>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</si>
  <si>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</si>
  <si>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</si>
  <si>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</si>
  <si>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</si>
  <si>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</si>
  <si>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</si>
  <si>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</si>
  <si>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</si>
  <si>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</si>
  <si>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</si>
  <si>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</si>
  <si>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</si>
  <si>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</si>
  <si>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</si>
  <si>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</si>
  <si>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</si>
  <si>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</si>
  <si>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</si>
  <si>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</si>
  <si>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</si>
  <si>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</si>
  <si>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</si>
  <si>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</si>
  <si>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</si>
  <si>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</si>
  <si>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</si>
  <si>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</si>
  <si>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</si>
  <si>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</si>
  <si>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</si>
  <si>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</si>
  <si>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</si>
  <si>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</si>
  <si>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</si>
  <si>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</si>
  <si>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</si>
  <si>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</si>
  <si>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</si>
  <si>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</si>
  <si>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</si>
  <si>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</si>
  <si>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</si>
  <si>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</si>
  <si>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</si>
  <si>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</si>
  <si>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</si>
  <si>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</si>
  <si>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</si>
  <si>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</si>
  <si>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</si>
  <si>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</si>
  <si>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</si>
  <si>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</si>
  <si>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</si>
  <si>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</si>
  <si>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</si>
  <si>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</si>
  <si>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</si>
  <si>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</si>
  <si>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</si>
  <si>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</si>
  <si>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</si>
  <si>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</si>
  <si>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</si>
  <si>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</si>
  <si>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</si>
  <si>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</si>
  <si>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</si>
  <si>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</si>
  <si>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</si>
  <si>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</si>
  <si>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</si>
  <si>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</si>
  <si>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</si>
  <si>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</si>
  <si>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</si>
  <si>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</si>
  <si>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</si>
  <si>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</si>
  <si>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</si>
  <si>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</si>
  <si>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</si>
  <si>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</si>
  <si>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</si>
  <si>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</si>
  <si>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</si>
  <si>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</si>
  <si>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</si>
  <si>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</si>
  <si>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</si>
  <si>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</si>
  <si>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</si>
  <si>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</si>
  <si>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</si>
  <si>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</si>
  <si>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</si>
  <si>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</si>
  <si>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</si>
  <si>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</si>
  <si>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</si>
  <si>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</si>
  <si>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</si>
  <si>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</si>
  <si>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</si>
  <si>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</si>
  <si>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</si>
  <si>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</si>
  <si>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</si>
  <si>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</si>
  <si>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</si>
  <si>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</si>
  <si>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</si>
  <si>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</si>
  <si>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</si>
  <si>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</si>
  <si>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</si>
  <si>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</si>
  <si>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</si>
  <si>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</si>
  <si>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</si>
  <si>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</si>
  <si>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</si>
  <si>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</si>
  <si>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</si>
  <si>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</si>
  <si>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</si>
  <si>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</si>
  <si>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</si>
  <si>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</si>
  <si>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</si>
  <si>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</si>
  <si>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</si>
  <si>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</si>
  <si>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</si>
  <si>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</si>
  <si>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</si>
  <si>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</si>
  <si>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</si>
  <si>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</si>
  <si>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</si>
  <si>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</si>
  <si>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</si>
  <si>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</si>
  <si>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</si>
  <si>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</si>
  <si>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</si>
  <si>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</si>
  <si>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</si>
  <si>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</si>
  <si>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</si>
  <si>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</si>
  <si>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</si>
  <si>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</si>
  <si>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</si>
  <si>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</si>
  <si>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</si>
  <si>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</si>
  <si>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</si>
  <si>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</si>
  <si>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</si>
  <si>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</si>
  <si>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</si>
  <si>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</si>
  <si>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</si>
  <si>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</si>
  <si>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</si>
  <si>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</si>
  <si>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</si>
  <si>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</si>
  <si>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</si>
  <si>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</si>
  <si>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</si>
  <si>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</si>
  <si>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</si>
  <si>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</si>
  <si>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</si>
  <si>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</si>
  <si>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</si>
  <si>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</si>
  <si>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</si>
  <si>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</si>
  <si>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</si>
  <si>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</si>
  <si>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</si>
  <si>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</si>
  <si>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</si>
  <si>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</si>
  <si>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</si>
  <si>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</si>
  <si>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</si>
  <si>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</si>
  <si>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</si>
  <si>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</si>
  <si>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</si>
  <si>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</si>
  <si>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</si>
  <si>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</si>
  <si>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</si>
  <si>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</si>
  <si>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</si>
  <si>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</si>
  <si>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</si>
  <si>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</si>
  <si>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</si>
  <si>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</si>
  <si>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</si>
  <si>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</si>
  <si>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</si>
  <si>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</si>
  <si>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</si>
  <si>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</si>
  <si>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</si>
  <si>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</si>
  <si>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</si>
  <si>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</si>
  <si>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</si>
  <si>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</si>
  <si>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</si>
  <si>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</si>
  <si>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</si>
  <si>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</si>
  <si>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</si>
  <si>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</si>
  <si>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</si>
  <si>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</si>
  <si>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</si>
  <si>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</si>
  <si>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</si>
  <si>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</si>
  <si>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</si>
  <si>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</si>
  <si>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</si>
  <si>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</si>
  <si>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</si>
  <si>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</si>
  <si>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</si>
  <si>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</si>
  <si>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</si>
  <si>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</si>
  <si>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</si>
  <si>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</si>
  <si>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</si>
  <si>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</si>
  <si>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</si>
  <si>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</si>
  <si>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</si>
  <si>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</si>
  <si>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</si>
  <si>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</si>
  <si>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</si>
  <si>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</si>
  <si>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</si>
  <si>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</si>
  <si>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</si>
  <si>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</si>
  <si>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</si>
  <si>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</si>
  <si>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</si>
  <si>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</si>
  <si>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</si>
  <si>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</si>
  <si>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</si>
  <si>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</si>
  <si>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</si>
  <si>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</si>
  <si>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</si>
  <si>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</si>
  <si>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</si>
  <si>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</si>
  <si>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</si>
  <si>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</si>
  <si>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</si>
  <si>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</si>
  <si>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</si>
  <si>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</si>
  <si>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</si>
  <si>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</si>
  <si>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</si>
  <si>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</si>
  <si>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</si>
  <si>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</si>
  <si>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</si>
  <si>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</si>
  <si>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</si>
  <si>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</si>
  <si>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</si>
  <si>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</si>
  <si>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</si>
  <si>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</si>
  <si>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</si>
  <si>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</si>
  <si>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</si>
  <si>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</si>
  <si>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</si>
  <si>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</si>
  <si>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</si>
  <si>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</si>
  <si>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</si>
  <si>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</si>
  <si>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</si>
  <si>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</si>
  <si>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</si>
  <si>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</si>
  <si>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</si>
  <si>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</si>
  <si>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</si>
  <si>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</si>
  <si>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</si>
  <si>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</si>
  <si>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</si>
  <si>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</si>
  <si>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</si>
  <si>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</si>
  <si>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</si>
  <si>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</si>
  <si>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</si>
  <si>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</si>
  <si>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</si>
  <si>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</si>
  <si>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</si>
  <si>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</si>
  <si>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</si>
  <si>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</si>
  <si>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</si>
  <si>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</si>
  <si>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</si>
  <si>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</si>
  <si>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</si>
  <si>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</si>
  <si>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</si>
  <si>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</si>
  <si>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</si>
  <si>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</si>
  <si>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</si>
  <si>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</si>
  <si>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</si>
  <si>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</si>
  <si>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</si>
  <si>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</si>
  <si>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</si>
  <si>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</si>
  <si>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</si>
  <si>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</si>
  <si>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</si>
  <si>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</si>
  <si>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</si>
  <si>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</si>
  <si>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</si>
  <si>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</si>
  <si>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</si>
  <si>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</si>
  <si>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</si>
  <si>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</si>
  <si>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</si>
  <si>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</si>
  <si>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</si>
  <si>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</si>
  <si>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</si>
  <si>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</si>
  <si>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</si>
  <si>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</si>
  <si>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</si>
  <si>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</si>
  <si>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</si>
  <si>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</si>
  <si>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</si>
  <si>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</si>
  <si>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</si>
  <si>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</si>
  <si>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</si>
  <si>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</si>
  <si>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</si>
  <si>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</si>
  <si>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</si>
  <si>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</si>
  <si>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</si>
  <si>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</si>
  <si>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</si>
  <si>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</si>
  <si>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</si>
  <si>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</si>
  <si>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</si>
  <si>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</si>
  <si>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</si>
  <si>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</si>
  <si>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</si>
  <si>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</si>
  <si>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</si>
  <si>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</si>
  <si>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</si>
  <si>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</si>
  <si>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</si>
  <si>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</si>
  <si>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</si>
  <si>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</si>
  <si>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</si>
  <si>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</si>
  <si>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</si>
  <si>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</si>
  <si>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</si>
  <si>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</si>
  <si>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</si>
  <si>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</si>
  <si>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</si>
  <si>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</si>
  <si>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</si>
  <si>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</si>
  <si>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</si>
  <si>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</si>
  <si>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</si>
  <si>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</si>
  <si>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</si>
  <si>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</si>
  <si>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</si>
  <si>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</si>
  <si>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</si>
  <si>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</si>
  <si>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</si>
  <si>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</si>
  <si>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</si>
  <si>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</si>
  <si>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</si>
  <si>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</si>
  <si>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</si>
  <si>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</si>
  <si>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</si>
  <si>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</si>
  <si>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</si>
  <si>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</si>
  <si>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</si>
  <si>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</si>
  <si>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</si>
  <si>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</si>
  <si>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</si>
  <si>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</si>
  <si>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</si>
  <si>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</si>
  <si>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</si>
  <si>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</si>
  <si>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</si>
  <si>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</si>
  <si>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</si>
  <si>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</si>
  <si>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</si>
  <si>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</si>
  <si>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</si>
  <si>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</si>
  <si>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</si>
  <si>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</si>
  <si>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</si>
  <si>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</si>
  <si>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</si>
  <si>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</si>
  <si>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</si>
  <si>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</si>
  <si>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</si>
  <si>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</si>
  <si>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</si>
  <si>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</si>
  <si>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</si>
  <si>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</si>
  <si>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</si>
  <si>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</si>
  <si>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</si>
  <si>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</si>
  <si>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</si>
  <si>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</si>
  <si>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</si>
  <si>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</si>
  <si>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</si>
  <si>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</si>
  <si>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</si>
  <si>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</si>
  <si>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</si>
  <si>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</si>
  <si>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</si>
  <si>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</si>
  <si>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</si>
  <si>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</si>
  <si>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</si>
  <si>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</si>
  <si>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</si>
  <si>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</si>
  <si>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</si>
  <si>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</si>
  <si>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</si>
  <si>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</si>
  <si>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</si>
  <si>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</si>
  <si>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</si>
  <si>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</si>
  <si>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</si>
  <si>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</si>
  <si>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</si>
  <si>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</si>
  <si>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</si>
  <si>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</si>
  <si>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</si>
  <si>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</si>
  <si>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</si>
  <si>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</si>
  <si>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</si>
  <si>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</si>
  <si>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</si>
  <si>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</si>
  <si>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</si>
  <si>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</si>
  <si>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</si>
  <si>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</si>
  <si>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</si>
  <si>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</si>
  <si>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</si>
  <si>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</si>
  <si>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</si>
  <si>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</si>
  <si>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</si>
  <si>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</si>
  <si>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</si>
  <si>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</si>
  <si>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</si>
  <si>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</si>
  <si>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</si>
  <si>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</si>
  <si>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</si>
  <si>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</si>
  <si>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</si>
  <si>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</si>
  <si>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</si>
  <si>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</si>
  <si>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</si>
  <si>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</si>
  <si>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</si>
  <si>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</si>
  <si>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</si>
  <si>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</si>
  <si>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</si>
  <si>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</si>
  <si>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</si>
  <si>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</si>
  <si>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</si>
  <si>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</si>
  <si>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</si>
  <si>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</si>
  <si>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</si>
  <si>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</si>
  <si>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</si>
  <si>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</si>
  <si>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</si>
  <si>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</si>
  <si>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</si>
  <si>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</si>
  <si>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</si>
  <si>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</si>
  <si>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</si>
  <si>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</si>
  <si>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</si>
  <si>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</si>
  <si>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</si>
  <si>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</si>
  <si>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</si>
  <si>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</si>
  <si>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</si>
  <si>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</si>
  <si>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</si>
  <si>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</si>
  <si>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</si>
  <si>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</si>
  <si>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</si>
  <si>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</si>
  <si>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</si>
  <si>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</si>
  <si>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</si>
  <si>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</si>
  <si>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</si>
  <si>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</si>
  <si>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</si>
  <si>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</si>
  <si>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</si>
  <si>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</si>
  <si>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</si>
  <si>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</si>
  <si>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</si>
  <si>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</si>
  <si>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</si>
  <si>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</si>
  <si>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</si>
  <si>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</si>
  <si>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</si>
  <si>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</si>
  <si>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</si>
  <si>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</si>
  <si>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</si>
  <si>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</si>
  <si>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</si>
  <si>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</si>
  <si>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</si>
  <si>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</si>
  <si>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</si>
  <si>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</si>
  <si>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</si>
  <si>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</si>
  <si>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</si>
  <si>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</si>
  <si>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</si>
  <si>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</si>
  <si>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</si>
  <si>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</si>
  <si>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</si>
  <si>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</si>
  <si>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</si>
  <si>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</si>
  <si>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</si>
  <si>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</si>
  <si>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</si>
  <si>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</si>
  <si>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</si>
  <si>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</si>
  <si>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</si>
  <si>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</si>
  <si>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</si>
  <si>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</si>
  <si>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</si>
  <si>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</si>
  <si>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</si>
  <si>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</si>
  <si>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</si>
  <si>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</si>
  <si>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</si>
  <si>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</si>
  <si>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</si>
  <si>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</si>
  <si>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</si>
  <si>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</si>
  <si>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</si>
  <si>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</si>
  <si>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</si>
  <si>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</si>
  <si>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</si>
  <si>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</si>
  <si>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</si>
  <si>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</si>
  <si>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</si>
  <si>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</si>
  <si>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</si>
  <si>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</si>
  <si>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</si>
  <si>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</si>
  <si>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</si>
  <si>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</si>
  <si>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</si>
  <si>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</si>
  <si>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</si>
  <si>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</si>
  <si>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</si>
  <si>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</si>
  <si>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</si>
  <si>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</si>
  <si>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</si>
  <si>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</si>
  <si>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</si>
  <si>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</si>
  <si>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</si>
  <si>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</si>
  <si>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</si>
  <si>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</si>
  <si>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</si>
  <si>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</si>
  <si>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</si>
  <si>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</si>
  <si>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</si>
  <si>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</si>
  <si>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</si>
  <si>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</si>
  <si>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</si>
  <si>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</si>
  <si>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</si>
  <si>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</si>
  <si>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</si>
  <si>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</si>
  <si>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</si>
  <si>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</si>
  <si>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</si>
  <si>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</si>
  <si>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</si>
  <si>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</si>
  <si>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</si>
  <si>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</si>
  <si>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</si>
  <si>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</si>
  <si>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</si>
  <si>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</si>
  <si>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</si>
  <si>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</si>
  <si>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</si>
  <si>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</si>
  <si>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</si>
  <si>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</si>
  <si>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</si>
  <si>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</si>
  <si>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</si>
  <si>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</si>
  <si>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</si>
  <si>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</si>
  <si>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</si>
  <si>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</si>
  <si>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</si>
  <si>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</si>
  <si>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</si>
  <si>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</si>
  <si>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</si>
  <si>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</si>
  <si>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</si>
  <si>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</si>
  <si>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</si>
  <si>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</si>
  <si>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</si>
  <si>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</si>
  <si>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</si>
  <si>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</si>
  <si>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</si>
  <si>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</si>
  <si>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</si>
  <si>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</si>
  <si>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</si>
  <si>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</si>
  <si>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</si>
  <si>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</si>
  <si>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</si>
  <si>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</si>
  <si>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</si>
  <si>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</si>
  <si>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</si>
  <si>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</si>
  <si>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</si>
  <si>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</si>
  <si>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</si>
  <si>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</si>
  <si>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</si>
  <si>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</si>
  <si>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</si>
  <si>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</si>
  <si>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</si>
  <si>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</si>
  <si>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</si>
  <si>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</si>
  <si>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</si>
  <si>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</si>
  <si>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</si>
  <si>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</si>
  <si>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</si>
  <si>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</si>
  <si>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</si>
  <si>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</si>
  <si>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</si>
  <si>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</si>
  <si>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</si>
  <si>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</si>
  <si>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</si>
  <si>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</si>
  <si>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</si>
  <si>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</si>
  <si>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</si>
  <si>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</si>
  <si>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</si>
  <si>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</si>
  <si>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</si>
  <si>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</si>
  <si>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</si>
  <si>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</si>
  <si>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</si>
  <si>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</si>
  <si>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</si>
  <si>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</si>
  <si>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</si>
  <si>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</si>
  <si>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</si>
  <si>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</si>
  <si>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</si>
  <si>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</si>
  <si>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</si>
  <si>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</si>
  <si>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</si>
  <si>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</si>
  <si>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</si>
  <si>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</si>
  <si>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</si>
  <si>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</si>
  <si>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</si>
  <si>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</si>
  <si>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</si>
  <si>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</si>
  <si>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</si>
  <si>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</si>
  <si>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</si>
  <si>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</si>
  <si>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</si>
  <si>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</si>
  <si>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</si>
  <si>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</si>
  <si>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</si>
  <si>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</si>
  <si>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</si>
  <si>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</si>
  <si>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</si>
  <si>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</si>
  <si>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</si>
  <si>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</si>
  <si>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</si>
  <si>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</si>
  <si>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</si>
  <si>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</si>
  <si>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</si>
  <si>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</si>
  <si>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</si>
  <si>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</si>
  <si>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</si>
  <si>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</si>
  <si>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</si>
  <si>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</si>
  <si>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</si>
  <si>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</si>
  <si>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</si>
  <si>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</si>
  <si>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</si>
  <si>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</si>
  <si>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</si>
  <si>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</si>
  <si>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</si>
  <si>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</si>
  <si>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</si>
  <si>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</si>
  <si>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</si>
  <si>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</si>
  <si>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</si>
  <si>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</si>
  <si>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</si>
  <si>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</si>
  <si>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</si>
  <si>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</si>
  <si>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</si>
  <si>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</si>
  <si>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</si>
  <si>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</si>
  <si>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</si>
  <si>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</si>
  <si>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</si>
  <si>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</si>
  <si>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</si>
  <si>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</si>
  <si>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</si>
  <si>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</si>
  <si>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</si>
  <si>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</si>
  <si>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</si>
  <si>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</si>
  <si>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</si>
  <si>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</si>
  <si>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</si>
  <si>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</si>
  <si>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</si>
  <si>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</si>
  <si>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</si>
  <si>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</si>
  <si>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</si>
  <si>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</si>
  <si>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</si>
  <si>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</si>
  <si>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</si>
  <si>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</si>
  <si>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</si>
  <si>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</si>
  <si>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</si>
  <si>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</si>
  <si>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</si>
  <si>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</si>
  <si>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</si>
  <si>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</si>
  <si>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</si>
  <si>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</si>
  <si>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</si>
  <si>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</si>
  <si>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</si>
  <si>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</si>
  <si>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</si>
  <si>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</si>
  <si>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</si>
  <si>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</si>
  <si>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</si>
  <si>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</si>
  <si>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</si>
  <si>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</si>
  <si>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</si>
  <si>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</si>
  <si>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</si>
  <si>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</si>
  <si>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</si>
  <si>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</si>
  <si>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</si>
  <si>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</si>
  <si>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</si>
  <si>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</si>
  <si>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</si>
  <si>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</si>
  <si>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</si>
  <si>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</si>
  <si>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</si>
  <si>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</si>
  <si>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</si>
  <si>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</si>
  <si>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</si>
  <si>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</si>
  <si>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</si>
  <si>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</si>
  <si>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</si>
  <si>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</si>
  <si>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</si>
  <si>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</si>
  <si>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</si>
  <si>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</si>
  <si>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</si>
  <si>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</si>
  <si>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</si>
  <si>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</si>
  <si>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</si>
  <si>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</si>
  <si>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</si>
  <si>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</si>
  <si>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</si>
  <si>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</si>
  <si>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</si>
  <si>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</si>
  <si>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</si>
  <si>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</si>
  <si>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</si>
  <si>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</si>
  <si>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</si>
  <si>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</si>
  <si>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</si>
  <si>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</si>
  <si>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</si>
  <si>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</si>
  <si>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</si>
  <si>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</si>
  <si>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</si>
  <si>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</si>
  <si>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</si>
  <si>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</si>
  <si>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</si>
  <si>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</si>
  <si>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</si>
  <si>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</si>
  <si>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</si>
  <si>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</si>
  <si>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</si>
  <si>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</si>
  <si>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</si>
  <si>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</si>
  <si>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</si>
  <si>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</si>
  <si>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</si>
  <si>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</si>
  <si>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</si>
  <si>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</si>
  <si>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</si>
  <si>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</si>
  <si>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</si>
  <si>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</si>
  <si>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</si>
  <si>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</si>
  <si>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</si>
  <si>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</si>
  <si>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</si>
  <si>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</si>
  <si>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</si>
  <si>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</si>
  <si>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</si>
  <si>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</si>
  <si>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</si>
  <si>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</si>
  <si>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</si>
  <si>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</si>
  <si>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</si>
  <si>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</si>
  <si>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</si>
  <si>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</si>
  <si>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</si>
  <si>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</si>
  <si>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</si>
  <si>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</si>
  <si>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</si>
  <si>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</si>
  <si>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</si>
  <si>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</si>
  <si>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</si>
  <si>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</si>
  <si>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</si>
  <si>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</si>
  <si>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</si>
  <si>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</si>
  <si>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</si>
  <si>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</si>
  <si>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</si>
  <si>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</si>
  <si>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</si>
  <si>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</si>
  <si>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</si>
  <si>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</si>
  <si>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</si>
  <si>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</si>
  <si>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</si>
  <si>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</si>
  <si>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</si>
  <si>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</si>
  <si>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</si>
  <si>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</si>
  <si>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</si>
  <si>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</si>
  <si>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</si>
  <si>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</si>
  <si>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</si>
  <si>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</si>
  <si>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</si>
  <si>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</si>
  <si>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</si>
  <si>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</si>
  <si>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</si>
  <si>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</si>
  <si>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</si>
  <si>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</si>
  <si>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</si>
  <si>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</si>
  <si>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</si>
  <si>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</si>
  <si>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</si>
  <si>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</si>
  <si>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</si>
  <si>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</si>
  <si>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</si>
  <si>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</si>
  <si>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</si>
  <si>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</si>
  <si>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</si>
  <si>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</si>
  <si>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</si>
  <si>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</si>
  <si>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</si>
  <si>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</si>
  <si>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</si>
  <si>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</si>
  <si>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</si>
  <si>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</si>
  <si>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</si>
  <si>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</si>
  <si>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</si>
  <si>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</si>
  <si>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</si>
  <si>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</si>
  <si>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</si>
  <si>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</si>
  <si>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</si>
  <si>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</si>
  <si>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</si>
  <si>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</si>
  <si>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</si>
  <si>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</si>
  <si>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</si>
  <si>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</si>
  <si>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</si>
  <si>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</si>
  <si>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</si>
  <si>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</si>
  <si>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</si>
  <si>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</si>
  <si>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</si>
  <si>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</si>
  <si>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</si>
  <si>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</si>
  <si>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</si>
  <si>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</si>
  <si>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</si>
  <si>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</si>
  <si>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</si>
  <si>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</si>
  <si>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</si>
  <si>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</si>
  <si>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</si>
  <si>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</si>
  <si>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</si>
  <si>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</si>
  <si>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</si>
  <si>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</si>
  <si>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</si>
  <si>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</si>
  <si>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</si>
  <si>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</si>
  <si>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</si>
  <si>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</si>
  <si>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</si>
  <si>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</si>
  <si>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</si>
  <si>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</si>
  <si>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</si>
  <si>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</si>
  <si>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</si>
  <si>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</si>
  <si>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</si>
  <si>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</si>
  <si>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</si>
  <si>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</si>
  <si>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</si>
  <si>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</si>
  <si>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</si>
  <si>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</si>
  <si>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</si>
  <si>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</si>
  <si>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</si>
  <si>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</si>
  <si>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</si>
  <si>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</si>
  <si>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</si>
  <si>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</si>
  <si>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</si>
  <si>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</si>
  <si>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</si>
  <si>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</si>
  <si>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</si>
  <si>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</si>
  <si>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</si>
  <si>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</si>
  <si>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</si>
  <si>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</si>
  <si>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</si>
  <si>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</si>
  <si>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</si>
  <si>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</si>
  <si>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</si>
  <si>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</si>
  <si>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</si>
  <si>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</si>
  <si>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</si>
  <si>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</si>
  <si>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</si>
  <si>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</si>
  <si>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</si>
  <si>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</si>
  <si>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</si>
  <si>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</si>
  <si>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</si>
  <si>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</si>
  <si>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</si>
  <si>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</si>
  <si>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</si>
  <si>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</si>
  <si>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</si>
  <si>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</si>
  <si>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</si>
  <si>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</si>
  <si>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</si>
  <si>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</si>
  <si>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</si>
  <si>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</si>
  <si>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</si>
  <si>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</si>
  <si>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</si>
  <si>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</si>
  <si>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</si>
  <si>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</si>
  <si>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</si>
  <si>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</si>
  <si>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</si>
  <si>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</si>
  <si>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</si>
  <si>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</si>
  <si>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</si>
  <si>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</si>
  <si>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</si>
  <si>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</si>
  <si>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</si>
  <si>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</si>
  <si>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</si>
  <si>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</si>
  <si>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</si>
  <si>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</si>
  <si>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</si>
  <si>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</si>
  <si>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</si>
  <si>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</si>
  <si>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</si>
  <si>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</si>
  <si>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</si>
  <si>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</si>
  <si>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</si>
  <si>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</si>
  <si>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</si>
  <si>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</si>
  <si>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</si>
  <si>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</si>
  <si>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</si>
  <si>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</si>
  <si>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</si>
  <si>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</si>
  <si>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</si>
  <si>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</si>
  <si>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</si>
  <si>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</si>
  <si>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</si>
  <si>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</si>
  <si>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</si>
  <si>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</si>
  <si>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</si>
  <si>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</si>
  <si>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</si>
  <si>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</si>
  <si>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</si>
  <si>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</si>
  <si>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</si>
  <si>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</si>
  <si>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</si>
  <si>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</si>
  <si>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</si>
  <si>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</si>
  <si>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</si>
  <si>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</si>
  <si>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</si>
  <si>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</si>
  <si>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</si>
  <si>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</si>
  <si>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</si>
  <si>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</si>
  <si>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</si>
  <si>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</si>
  <si>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</si>
  <si>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</si>
  <si>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</si>
  <si>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</si>
  <si>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</si>
  <si>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</si>
  <si>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</si>
  <si>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</si>
  <si>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</si>
  <si>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</si>
  <si>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</si>
  <si>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</si>
  <si>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</si>
  <si>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</si>
  <si>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</si>
  <si>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</si>
  <si>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</si>
  <si>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</si>
  <si>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</si>
  <si>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</si>
  <si>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</si>
  <si>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</si>
  <si>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</si>
  <si>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</si>
  <si>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</si>
  <si>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</si>
  <si>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</si>
  <si>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</si>
  <si>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</si>
  <si>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</si>
  <si>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</si>
  <si>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</si>
  <si>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</si>
  <si>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</si>
  <si>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</si>
  <si>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</si>
  <si>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</si>
  <si>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</si>
  <si>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</si>
  <si>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</si>
  <si>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</si>
  <si>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</si>
  <si>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</si>
  <si>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</si>
  <si>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</si>
  <si>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</si>
  <si>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</si>
  <si>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</si>
  <si>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</si>
  <si>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</si>
  <si>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</si>
  <si>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</si>
  <si>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</si>
  <si>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</si>
  <si>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</si>
  <si>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</si>
  <si>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</si>
  <si>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</si>
  <si>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</si>
  <si>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</si>
  <si>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</si>
  <si>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</si>
  <si>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</si>
  <si>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</si>
  <si>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</si>
  <si>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</si>
  <si>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</si>
  <si>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</si>
  <si>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</si>
  <si>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</si>
  <si>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</si>
  <si>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</si>
  <si>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</si>
  <si>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</si>
  <si>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</si>
  <si>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</si>
  <si>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</si>
  <si>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</si>
  <si>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</si>
  <si>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</si>
  <si>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</si>
  <si>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</si>
  <si>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</si>
  <si>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</si>
  <si>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</si>
  <si>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</si>
  <si>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</si>
  <si>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</si>
  <si>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</si>
  <si>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</si>
  <si>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</si>
  <si>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</si>
  <si>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</si>
  <si>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</si>
  <si>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</si>
  <si>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</si>
  <si>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</si>
  <si>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</si>
  <si>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</si>
  <si>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</si>
  <si>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</si>
  <si>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</si>
  <si>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</si>
  <si>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</si>
  <si>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</si>
  <si>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</si>
  <si>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</si>
  <si>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</si>
  <si>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</si>
  <si>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</si>
  <si>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</si>
  <si>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</si>
  <si>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</si>
  <si>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</si>
  <si>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</si>
  <si>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</si>
  <si>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</si>
  <si>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</si>
  <si>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</si>
  <si>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</si>
  <si>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</si>
  <si>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</si>
  <si>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</si>
  <si>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</si>
  <si>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</si>
  <si>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</si>
  <si>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</si>
  <si>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</si>
  <si>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</si>
  <si>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</si>
  <si>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</si>
  <si>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</si>
  <si>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</si>
  <si>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</si>
  <si>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</si>
  <si>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</si>
  <si>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</si>
  <si>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</si>
  <si>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</si>
  <si>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</si>
  <si>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</si>
  <si>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</si>
  <si>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</si>
  <si>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</si>
  <si>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</si>
  <si>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</si>
  <si>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</si>
  <si>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</si>
  <si>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</si>
  <si>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</si>
  <si>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</si>
  <si>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</si>
  <si>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</si>
  <si>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</si>
  <si>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</si>
  <si>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</si>
  <si>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</si>
  <si>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</si>
  <si>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</si>
  <si>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</si>
  <si>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</si>
  <si>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</si>
  <si>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</si>
  <si>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</si>
  <si>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</si>
  <si>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</si>
  <si>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</si>
  <si>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</si>
  <si>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</si>
  <si>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</si>
  <si>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</si>
  <si>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</si>
  <si>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</si>
  <si>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</si>
  <si>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</si>
  <si>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</si>
  <si>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</si>
  <si>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</si>
  <si>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</si>
  <si>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</si>
  <si>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</si>
  <si>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</si>
  <si>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</si>
  <si>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</si>
  <si>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</si>
  <si>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</si>
  <si>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</si>
  <si>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</si>
  <si>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</si>
  <si>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</si>
  <si>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</si>
  <si>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</si>
  <si>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</si>
  <si>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</si>
  <si>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</si>
  <si>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</si>
  <si>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</si>
  <si>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</si>
  <si>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</si>
  <si>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</si>
  <si>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</si>
  <si>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</si>
  <si>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</si>
  <si>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</si>
  <si>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</si>
  <si>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</si>
  <si>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</si>
  <si>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</si>
  <si>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</si>
  <si>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</si>
  <si>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</si>
  <si>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</si>
  <si>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</si>
  <si>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</si>
  <si>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</si>
  <si>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</si>
  <si>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</si>
  <si>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</si>
  <si>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</si>
  <si>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</si>
  <si>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</si>
  <si>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</si>
  <si>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</si>
  <si>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</si>
  <si>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</si>
  <si>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</si>
  <si>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</si>
  <si>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</si>
  <si>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</si>
  <si>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</si>
  <si>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</si>
  <si>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</si>
  <si>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</si>
  <si>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</si>
  <si>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</si>
  <si>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</si>
  <si>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</si>
  <si>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</si>
  <si>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</si>
  <si>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</si>
  <si>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</si>
  <si>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</si>
  <si>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</si>
  <si>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</si>
  <si>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</si>
  <si>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</si>
  <si>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</si>
  <si>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</si>
  <si>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</si>
  <si>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</si>
  <si>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</si>
  <si>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</si>
  <si>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</si>
  <si>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</si>
  <si>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</si>
  <si>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</si>
  <si>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</si>
  <si>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</si>
  <si>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</si>
  <si>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</si>
  <si>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</si>
  <si>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</si>
  <si>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</si>
  <si>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</si>
  <si>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</si>
  <si>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</si>
  <si>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</si>
  <si>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</si>
  <si>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</si>
  <si>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</si>
  <si>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</si>
  <si>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</si>
  <si>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</si>
  <si>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</si>
  <si>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</si>
  <si>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</si>
  <si>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</si>
  <si>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</si>
  <si>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</si>
  <si>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</si>
  <si>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</si>
  <si>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</si>
  <si>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</si>
  <si>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</si>
  <si>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</si>
  <si>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</si>
  <si>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</si>
  <si>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</si>
  <si>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</si>
  <si>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</si>
  <si>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</si>
  <si>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</si>
  <si>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</si>
  <si>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</si>
  <si>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</si>
  <si>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</si>
  <si>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</si>
  <si>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</si>
  <si>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</si>
  <si>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</si>
  <si>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</si>
  <si>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</si>
  <si>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</si>
  <si>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</si>
  <si>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</si>
  <si>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</si>
  <si>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</si>
  <si>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</si>
  <si>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</si>
  <si>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</si>
  <si>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</si>
  <si>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</si>
  <si>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</si>
  <si>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</si>
  <si>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</si>
  <si>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</si>
  <si>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</si>
  <si>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</si>
  <si>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</si>
  <si>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</si>
  <si>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</si>
  <si>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</si>
  <si>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</si>
  <si>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</si>
  <si>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</si>
  <si>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</si>
  <si>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</si>
  <si>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</si>
  <si>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</si>
  <si>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</si>
  <si>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</si>
  <si>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</si>
  <si>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</si>
  <si>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</si>
  <si>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</si>
  <si>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</si>
  <si>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</si>
  <si>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</si>
  <si>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</si>
  <si>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</si>
  <si>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</si>
  <si>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</si>
  <si>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</si>
  <si>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</si>
  <si>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</si>
  <si>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</si>
  <si>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</si>
  <si>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</si>
  <si>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</si>
  <si>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</si>
  <si>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</si>
  <si>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</si>
  <si>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</si>
  <si>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</si>
  <si>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</si>
  <si>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</si>
  <si>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</si>
  <si>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</si>
  <si>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</si>
  <si>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</si>
  <si>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</si>
  <si>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</si>
  <si>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</si>
  <si>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</si>
  <si>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</si>
  <si>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</si>
  <si>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</si>
  <si>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</si>
  <si>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</si>
  <si>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</si>
  <si>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</si>
  <si>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</si>
  <si>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</si>
  <si>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</si>
  <si>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</si>
  <si>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</si>
  <si>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</si>
  <si>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</si>
  <si>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</si>
  <si>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</si>
  <si>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</si>
  <si>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</si>
  <si>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</si>
  <si>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</si>
  <si>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</si>
  <si>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</si>
  <si>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</si>
  <si>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</si>
  <si>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</si>
  <si>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</si>
  <si>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</si>
  <si>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</si>
  <si>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</si>
  <si>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</si>
  <si>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</si>
  <si>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</si>
  <si>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</si>
  <si>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</si>
  <si>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</si>
  <si>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</si>
  <si>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</si>
  <si>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</si>
  <si>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</si>
  <si>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</si>
  <si>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</si>
  <si>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</si>
  <si>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</si>
  <si>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</si>
  <si>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</si>
  <si>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</si>
  <si>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</si>
  <si>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</si>
  <si>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</si>
  <si>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</si>
  <si>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</si>
  <si>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</si>
  <si>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</si>
  <si>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</si>
  <si>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</si>
  <si>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</si>
  <si>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</si>
  <si>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</si>
  <si>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</si>
  <si>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</si>
  <si>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</si>
  <si>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</si>
  <si>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</si>
  <si>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</si>
  <si>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</si>
  <si>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</si>
  <si>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</si>
  <si>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</si>
  <si>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</si>
  <si>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</si>
  <si>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</si>
  <si>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</si>
  <si>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</si>
  <si>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</si>
  <si>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</si>
  <si>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</si>
  <si>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</si>
  <si>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</si>
  <si>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</si>
  <si>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</si>
  <si>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</si>
  <si>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</si>
  <si>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</si>
  <si>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</si>
  <si>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</si>
  <si>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</si>
  <si>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</si>
  <si>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</si>
  <si>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</si>
  <si>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</si>
  <si>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</si>
  <si>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</si>
  <si>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</si>
  <si>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</si>
  <si>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</si>
  <si>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</si>
  <si>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</si>
  <si>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</si>
  <si>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</si>
  <si>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</si>
  <si>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</si>
  <si>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</si>
  <si>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</si>
  <si>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</si>
  <si>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</si>
  <si>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</si>
  <si>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</si>
  <si>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</si>
  <si>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</si>
  <si>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</si>
  <si>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</si>
  <si>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</si>
  <si>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</si>
  <si>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</si>
  <si>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</si>
  <si>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</si>
  <si>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</si>
  <si>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</si>
  <si>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</si>
  <si>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</si>
  <si>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</si>
  <si>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</si>
  <si>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</si>
  <si>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</si>
  <si>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</si>
  <si>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</si>
  <si>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</si>
  <si>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</si>
  <si>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</si>
  <si>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</si>
  <si>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</si>
  <si>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</si>
  <si>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</si>
  <si>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</si>
  <si>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</si>
  <si>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</si>
  <si>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</si>
  <si>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</si>
  <si>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</si>
  <si>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</si>
  <si>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</si>
  <si>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</si>
  <si>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</si>
  <si>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</si>
  <si>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</si>
  <si>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</si>
  <si>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</si>
  <si>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</si>
  <si>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</si>
  <si>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</si>
  <si>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</si>
  <si>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</si>
  <si>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</si>
  <si>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</si>
  <si>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</si>
  <si>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</si>
  <si>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</si>
  <si>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</si>
  <si>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</si>
  <si>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</si>
  <si>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</si>
  <si>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</si>
  <si>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</si>
  <si>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</si>
  <si>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</si>
  <si>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</si>
  <si>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</si>
  <si>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</si>
  <si>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</si>
  <si>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</si>
  <si>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</si>
  <si>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</si>
  <si>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</si>
  <si>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</si>
  <si>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</si>
  <si>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</si>
  <si>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</si>
  <si>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</si>
  <si>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</si>
  <si>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</si>
  <si>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</si>
  <si>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</si>
  <si>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</si>
  <si>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</si>
  <si>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</si>
  <si>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</si>
  <si>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</si>
  <si>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</si>
  <si>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</si>
  <si>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</si>
  <si>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</si>
  <si>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</si>
  <si>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</si>
  <si>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</si>
  <si>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</si>
  <si>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</si>
  <si>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</si>
  <si>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</si>
  <si>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</si>
  <si>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</si>
  <si>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</si>
  <si>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</si>
  <si>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</si>
  <si>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</si>
  <si>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</si>
  <si>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</si>
  <si>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</si>
  <si>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</si>
  <si>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</si>
  <si>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</si>
  <si>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</si>
  <si>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</si>
  <si>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</si>
  <si>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</si>
  <si>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</si>
  <si>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</si>
  <si>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</si>
  <si>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</si>
  <si>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</si>
  <si>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</si>
  <si>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</si>
  <si>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</si>
  <si>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</si>
  <si>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</si>
  <si>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</si>
  <si>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</si>
  <si>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</si>
  <si>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</si>
  <si>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</si>
  <si>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</si>
  <si>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</si>
  <si>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</si>
  <si>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</si>
  <si>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</si>
  <si>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</si>
  <si>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</si>
  <si>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</si>
  <si>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</si>
  <si>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</si>
  <si>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</si>
  <si>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</si>
  <si>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</si>
  <si>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</si>
  <si>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</si>
  <si>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</si>
  <si>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</si>
  <si>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</si>
  <si>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</si>
  <si>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</si>
  <si>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</si>
  <si>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</si>
  <si>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</si>
  <si>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</si>
  <si>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</si>
  <si>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</si>
  <si>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</si>
  <si>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</si>
  <si>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</si>
  <si>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</si>
  <si>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</si>
  <si>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</si>
  <si>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</si>
  <si>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</si>
  <si>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</si>
  <si>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</si>
  <si>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</si>
  <si>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</si>
  <si>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</si>
  <si>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</si>
  <si>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</si>
  <si>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</si>
  <si>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</si>
  <si>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</si>
  <si>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</si>
  <si>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</si>
  <si>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</si>
  <si>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</si>
  <si>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</si>
  <si>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</si>
  <si>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</si>
  <si>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</si>
  <si>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</si>
  <si>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</si>
  <si>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</si>
  <si>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</si>
  <si>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</si>
  <si>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</si>
  <si>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</si>
  <si>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</si>
  <si>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</si>
  <si>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</si>
  <si>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</si>
  <si>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</si>
  <si>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</si>
  <si>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</si>
  <si>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</si>
  <si>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</si>
  <si>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</si>
  <si>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</si>
  <si>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</si>
  <si>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</si>
  <si>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</si>
  <si>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</si>
  <si>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</si>
  <si>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</si>
  <si>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</si>
  <si>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</si>
  <si>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</si>
  <si>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</si>
  <si>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</si>
  <si>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</si>
  <si>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</si>
  <si>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</si>
  <si>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</si>
  <si>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</si>
  <si>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</si>
  <si>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</si>
  <si>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</si>
  <si>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</si>
  <si>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</si>
  <si>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</si>
  <si>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</si>
  <si>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</si>
  <si>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</si>
  <si>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</si>
  <si>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</si>
  <si>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</si>
  <si>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</si>
  <si>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</si>
  <si>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</si>
  <si>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</si>
  <si>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</si>
  <si>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</si>
  <si>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</si>
  <si>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</si>
  <si>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</si>
  <si>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</si>
  <si>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</si>
  <si>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</si>
  <si>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</si>
  <si>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</si>
  <si>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</si>
  <si>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</si>
  <si>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</si>
  <si>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</si>
  <si>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</si>
  <si>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</si>
  <si>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</si>
  <si>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</si>
  <si>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</si>
  <si>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</si>
  <si>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</si>
  <si>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</si>
  <si>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</si>
  <si>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</si>
  <si>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</si>
  <si>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</si>
  <si>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</si>
  <si>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</si>
  <si>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</si>
  <si>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</si>
  <si>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</si>
  <si>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</si>
  <si>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</si>
  <si>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</si>
  <si>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</si>
  <si>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</si>
  <si>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</si>
  <si>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</si>
  <si>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</si>
  <si>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</si>
  <si>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</si>
  <si>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</si>
  <si>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</si>
  <si>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</si>
  <si>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</si>
  <si>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</si>
  <si>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</si>
  <si>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</si>
  <si>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</si>
  <si>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</si>
  <si>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</si>
  <si>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</si>
  <si>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</si>
  <si>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</si>
  <si>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</si>
  <si>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</si>
  <si>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</si>
  <si>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</si>
  <si>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</si>
  <si>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</si>
  <si>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</si>
  <si>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</si>
  <si>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</si>
  <si>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</si>
  <si>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</si>
  <si>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</si>
  <si>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</si>
  <si>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</si>
  <si>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</si>
  <si>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</si>
  <si>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</si>
  <si>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</si>
  <si>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</si>
  <si>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</si>
  <si>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</si>
  <si>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</si>
  <si>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</si>
  <si>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</si>
  <si>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</si>
  <si>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</si>
  <si>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</si>
  <si>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</si>
  <si>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</si>
  <si>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</si>
  <si>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</si>
  <si>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</si>
  <si>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</si>
  <si>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</si>
  <si>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</si>
  <si>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</si>
  <si>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</si>
  <si>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</si>
  <si>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</si>
  <si>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</si>
  <si>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</si>
  <si>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</si>
  <si>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</si>
  <si>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</si>
  <si>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</si>
  <si>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</si>
  <si>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</si>
  <si>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</si>
  <si>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</si>
  <si>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</si>
  <si>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</si>
  <si>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</si>
  <si>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</si>
  <si>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</si>
  <si>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</si>
  <si>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</si>
  <si>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</si>
  <si>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</si>
  <si>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</si>
  <si>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</si>
  <si>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</si>
  <si>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</si>
  <si>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</si>
  <si>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</si>
  <si>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</si>
  <si>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</si>
  <si>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</si>
  <si>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</si>
  <si>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</si>
  <si>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</si>
  <si>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</si>
  <si>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</si>
  <si>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</si>
  <si>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</si>
  <si>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</si>
  <si>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</si>
  <si>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</si>
  <si>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</si>
  <si>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</si>
  <si>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</si>
  <si>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</si>
  <si>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</si>
  <si>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</si>
  <si>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</si>
  <si>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</si>
  <si>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</si>
  <si>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</si>
  <si>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</si>
  <si>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</si>
  <si>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</si>
  <si>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</si>
  <si>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</si>
  <si>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</si>
  <si>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</si>
  <si>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</si>
  <si>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</si>
  <si>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</si>
  <si>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</si>
  <si>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</si>
  <si>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</si>
  <si>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</si>
  <si>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</si>
  <si>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</si>
  <si>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</si>
  <si>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</si>
  <si>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</si>
  <si>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</si>
  <si>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</si>
  <si>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</si>
  <si>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</si>
  <si>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</si>
  <si>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</si>
  <si>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</si>
  <si>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</si>
  <si>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</si>
  <si>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</si>
  <si>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</si>
  <si>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</si>
  <si>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</si>
  <si>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</si>
  <si>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</si>
  <si>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</si>
  <si>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</si>
  <si>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</si>
  <si>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</si>
  <si>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</si>
  <si>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</si>
  <si>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</si>
  <si>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</si>
  <si>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</si>
  <si>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</si>
  <si>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</si>
  <si>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</si>
  <si>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</si>
  <si>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</si>
  <si>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</si>
  <si>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</si>
  <si>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</si>
  <si>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</si>
  <si>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</si>
  <si>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</si>
  <si>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</si>
  <si>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</si>
  <si>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</si>
  <si>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</si>
  <si>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</si>
  <si>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</si>
  <si>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</si>
  <si>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</si>
  <si>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</si>
  <si>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</si>
  <si>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</si>
  <si>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</si>
  <si>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</si>
  <si>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</si>
  <si>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</si>
  <si>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</si>
  <si>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</si>
  <si>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</si>
  <si>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</si>
  <si>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</si>
  <si>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</si>
  <si>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</si>
  <si>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</si>
  <si>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</si>
  <si>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</si>
  <si>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</si>
  <si>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</si>
  <si>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</si>
  <si>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</si>
  <si>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</si>
  <si>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</si>
  <si>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</si>
  <si>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</si>
  <si>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</si>
  <si>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</si>
  <si>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</si>
  <si>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</si>
  <si>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</si>
  <si>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</si>
  <si>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</si>
  <si>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</si>
  <si>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</si>
  <si>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</si>
  <si>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</si>
  <si>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</si>
  <si>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</si>
  <si>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</si>
  <si>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</si>
  <si>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</si>
  <si>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</si>
  <si>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</si>
  <si>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</si>
  <si>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</si>
  <si>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</si>
  <si>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</si>
  <si>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</si>
  <si>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</si>
  <si>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</si>
  <si>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</si>
  <si>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</si>
  <si>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</si>
  <si>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</si>
  <si>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</si>
  <si>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</si>
  <si>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</si>
  <si>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</si>
  <si>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</si>
  <si>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</si>
  <si>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</si>
  <si>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</si>
  <si>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</si>
  <si>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</si>
  <si>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</si>
  <si>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</si>
  <si>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</si>
  <si>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</si>
  <si>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</si>
  <si>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</si>
  <si>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</si>
  <si>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</si>
  <si>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</si>
  <si>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</si>
  <si>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</si>
  <si>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</si>
  <si>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</si>
  <si>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</si>
  <si>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</si>
  <si>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</si>
  <si>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</si>
  <si>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</si>
  <si>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</si>
  <si>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</si>
  <si>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</si>
  <si>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</si>
  <si>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</si>
  <si>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</si>
  <si>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</si>
  <si>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</si>
  <si>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</si>
  <si>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</si>
  <si>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</si>
  <si>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</si>
  <si>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</si>
  <si>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</si>
  <si>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</si>
  <si>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</si>
  <si>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</si>
  <si>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</si>
  <si>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</si>
  <si>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</si>
  <si>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</si>
  <si>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</si>
  <si>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</si>
  <si>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</si>
  <si>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</si>
  <si>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</si>
  <si>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</si>
  <si>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</si>
  <si>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</si>
  <si>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</si>
  <si>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</si>
  <si>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</si>
  <si>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</si>
  <si>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</si>
  <si>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</si>
  <si>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</si>
  <si>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</si>
  <si>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</si>
  <si>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</si>
  <si>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</si>
  <si>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</si>
  <si>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</si>
  <si>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</si>
  <si>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</si>
  <si>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</si>
  <si>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</si>
  <si>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</si>
  <si>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</si>
  <si>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</si>
  <si>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</si>
  <si>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</si>
  <si>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</si>
  <si>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</si>
  <si>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</si>
  <si>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</si>
  <si>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</si>
  <si>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</si>
  <si>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</si>
  <si>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</si>
  <si>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</si>
  <si>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</si>
  <si>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</si>
  <si>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</si>
  <si>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</si>
  <si>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</si>
  <si>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</si>
  <si>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</si>
  <si>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</si>
  <si>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</si>
  <si>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</si>
  <si>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</si>
  <si>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</si>
  <si>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</si>
  <si>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</si>
  <si>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</si>
  <si>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</si>
  <si>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</si>
  <si>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</si>
  <si>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</si>
  <si>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</si>
  <si>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</si>
  <si>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</si>
  <si>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</si>
  <si>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</si>
  <si>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</si>
  <si>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</si>
  <si>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</si>
  <si>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</si>
  <si>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</si>
  <si>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</si>
  <si>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</si>
  <si>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</si>
  <si>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</si>
  <si>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</si>
  <si>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</si>
  <si>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</si>
  <si>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</si>
  <si>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</si>
  <si>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</si>
  <si>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</si>
  <si>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</si>
  <si>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</si>
  <si>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</si>
  <si>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</si>
  <si>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</si>
  <si>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</si>
  <si>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</si>
  <si>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</si>
  <si>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</si>
  <si>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</si>
  <si>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</si>
  <si>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</si>
  <si>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</si>
  <si>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</si>
  <si>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</si>
  <si>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</si>
  <si>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</si>
  <si>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</si>
  <si>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</si>
  <si>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</si>
  <si>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</si>
  <si>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</si>
  <si>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</si>
  <si>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</si>
  <si>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</si>
  <si>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</si>
  <si>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</si>
  <si>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</si>
  <si>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</si>
  <si>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</si>
  <si>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</si>
  <si>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</si>
  <si>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</si>
  <si>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</si>
  <si>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</si>
  <si>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</si>
  <si>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</si>
  <si>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</si>
  <si>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</si>
  <si>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</si>
  <si>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</si>
  <si>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</si>
  <si>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</si>
  <si>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</si>
  <si>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</si>
  <si>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</si>
  <si>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</si>
  <si>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</si>
  <si>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</si>
  <si>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</si>
  <si>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</si>
  <si>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</si>
  <si>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</si>
  <si>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</si>
  <si>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</si>
  <si>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</si>
  <si>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</si>
  <si>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</si>
  <si>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</si>
  <si>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</si>
  <si>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</si>
  <si>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</si>
  <si>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</si>
  <si>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</si>
  <si>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</si>
  <si>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</si>
  <si>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</si>
  <si>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</si>
  <si>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</si>
  <si>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</si>
  <si>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</si>
  <si>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</si>
  <si>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</si>
  <si>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</si>
  <si>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</si>
  <si>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</si>
  <si>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</si>
  <si>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</si>
  <si>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</si>
  <si>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</si>
  <si>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</si>
  <si>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</si>
  <si>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</si>
  <si>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</si>
  <si>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</si>
  <si>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</si>
  <si>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</si>
  <si>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</si>
  <si>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</si>
  <si>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</si>
  <si>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</si>
  <si>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</si>
  <si>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</si>
  <si>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</si>
  <si>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</si>
  <si>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</si>
  <si>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</si>
  <si>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</si>
  <si>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</si>
  <si>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</si>
  <si>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</si>
  <si>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</si>
  <si>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</si>
  <si>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</si>
  <si>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</si>
  <si>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</si>
  <si>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</si>
  <si>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</si>
  <si>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</si>
  <si>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</si>
  <si>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</si>
  <si>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</si>
  <si>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</si>
  <si>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</si>
  <si>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</si>
  <si>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</si>
  <si>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</si>
  <si>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</si>
  <si>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</si>
  <si>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</si>
  <si>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</si>
  <si>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</si>
  <si>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</si>
  <si>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</si>
  <si>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</si>
  <si>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</si>
  <si>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</si>
  <si>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</si>
  <si>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</si>
  <si>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</si>
  <si>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</si>
  <si>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</si>
  <si>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</si>
  <si>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</si>
  <si>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</si>
  <si>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</si>
  <si>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</si>
  <si>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</si>
  <si>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</si>
  <si>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</si>
  <si>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</si>
  <si>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</si>
  <si>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</si>
  <si>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</si>
  <si>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</si>
  <si>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</si>
  <si>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</si>
  <si>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</si>
  <si>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</si>
  <si>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</si>
  <si>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</si>
  <si>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</si>
  <si>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</si>
  <si>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</si>
  <si>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</si>
  <si>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</si>
  <si>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</si>
  <si>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</si>
  <si>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</si>
  <si>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</si>
  <si>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</si>
  <si>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</si>
  <si>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</si>
  <si>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</si>
  <si>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</si>
  <si>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</si>
  <si>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</si>
  <si>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</si>
  <si>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</si>
  <si>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</si>
  <si>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</si>
  <si>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</si>
  <si>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</si>
  <si>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</si>
  <si>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</si>
  <si>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</si>
  <si>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</si>
  <si>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</si>
  <si>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</si>
  <si>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</si>
  <si>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</si>
  <si>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</si>
  <si>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</si>
  <si>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</si>
  <si>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</si>
  <si>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</si>
  <si>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</si>
  <si>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</si>
  <si>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</si>
  <si>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</si>
  <si>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</si>
  <si>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</si>
  <si>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</si>
  <si>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</si>
  <si>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</si>
  <si>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</si>
  <si>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</si>
  <si>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</si>
  <si>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</si>
  <si>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</si>
  <si>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</si>
  <si>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</si>
  <si>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</si>
  <si>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</si>
  <si>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</si>
  <si>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</si>
  <si>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</si>
  <si>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</si>
  <si>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</si>
  <si>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</si>
  <si>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</si>
  <si>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</si>
  <si>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</si>
  <si>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</si>
  <si>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</si>
  <si>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</si>
  <si>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</si>
  <si>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</si>
  <si>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</si>
  <si>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</si>
  <si>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</si>
  <si>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</si>
  <si>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</si>
  <si>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</si>
  <si>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</si>
  <si>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</si>
  <si>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</si>
  <si>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</si>
  <si>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</si>
  <si>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</si>
  <si>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</si>
  <si>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</si>
  <si>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</si>
  <si>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</si>
  <si>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</si>
  <si>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</si>
  <si>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</si>
  <si>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</si>
  <si>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</si>
  <si>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</si>
  <si>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</si>
  <si>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</si>
  <si>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</si>
  <si>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</si>
  <si>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</si>
  <si>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</si>
  <si>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</si>
  <si>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</si>
  <si>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</si>
  <si>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</si>
  <si>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</si>
  <si>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</si>
  <si>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</si>
  <si>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</si>
  <si>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</si>
  <si>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</si>
  <si>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</si>
  <si>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</si>
  <si>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</si>
  <si>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</si>
  <si>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</si>
  <si>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</si>
  <si>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</si>
  <si>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</si>
  <si>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</si>
  <si>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</si>
  <si>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</si>
  <si>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</si>
  <si>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</si>
  <si>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</si>
  <si>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</si>
  <si>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</si>
  <si>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</si>
  <si>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</si>
  <si>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</si>
  <si>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</si>
  <si>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</si>
  <si>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</si>
  <si>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</si>
  <si>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</si>
  <si>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</si>
  <si>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</si>
  <si>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</si>
  <si>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</si>
  <si>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</si>
  <si>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</si>
  <si>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</si>
  <si>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</si>
  <si>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</si>
  <si>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</si>
  <si>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</si>
  <si>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</si>
  <si>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</si>
  <si>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</si>
  <si>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</si>
  <si>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</si>
  <si>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</si>
  <si>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</si>
  <si>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</si>
  <si>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</si>
  <si>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</si>
  <si>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</si>
  <si>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</si>
  <si>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</si>
  <si>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</si>
  <si>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</si>
  <si>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</si>
  <si>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</si>
  <si>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</si>
  <si>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</si>
  <si>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</si>
  <si>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</si>
  <si>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</si>
  <si>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</si>
  <si>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</si>
  <si>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</si>
  <si>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</si>
  <si>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</si>
  <si>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</si>
  <si>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</si>
  <si>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</si>
  <si>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</si>
  <si>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</si>
  <si>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</si>
  <si>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</si>
  <si>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</si>
  <si>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</si>
  <si>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</si>
  <si>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</si>
  <si>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</si>
  <si>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</si>
  <si>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</si>
  <si>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</si>
  <si>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</si>
  <si>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</si>
  <si>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</si>
  <si>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</si>
  <si>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</si>
  <si>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</si>
  <si>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</si>
  <si>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</si>
  <si>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</si>
  <si>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</si>
  <si>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</si>
  <si>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</si>
  <si>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</si>
  <si>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</si>
  <si>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</si>
  <si>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</si>
  <si>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</si>
  <si>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</si>
  <si>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</si>
  <si>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</si>
  <si>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</si>
  <si>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</si>
  <si>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</si>
  <si>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</si>
  <si>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</si>
  <si>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</si>
  <si>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</si>
  <si>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</si>
  <si>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</si>
  <si>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</si>
  <si>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</si>
  <si>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</si>
  <si>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</si>
  <si>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</si>
  <si>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</si>
  <si>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</si>
  <si>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</si>
  <si>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</si>
  <si>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</si>
  <si>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</si>
  <si>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</si>
  <si>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</si>
  <si>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</si>
  <si>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</si>
  <si>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</si>
  <si>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</si>
  <si>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</si>
  <si>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</si>
  <si>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</si>
  <si>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</si>
  <si>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</si>
  <si>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</si>
  <si>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</si>
  <si>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</si>
  <si>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</si>
  <si>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</si>
  <si>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</si>
  <si>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</si>
  <si>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</si>
  <si>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</si>
  <si>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</si>
  <si>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</si>
  <si>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</si>
  <si>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</si>
  <si>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</si>
  <si>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</si>
  <si>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</si>
  <si>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</si>
  <si>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</si>
  <si>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</si>
  <si>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</si>
  <si>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</si>
  <si>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</si>
  <si>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</si>
  <si>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</si>
  <si>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</si>
  <si>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</si>
  <si>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</si>
  <si>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</si>
  <si>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</si>
  <si>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</si>
  <si>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</si>
  <si>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</si>
  <si>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</si>
  <si>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</si>
  <si>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</si>
  <si>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</si>
  <si>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</si>
  <si>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</si>
  <si>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</si>
  <si>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</si>
  <si>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</si>
  <si>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</si>
  <si>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</si>
  <si>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</si>
  <si>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</si>
  <si>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</si>
  <si>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</si>
  <si>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</si>
  <si>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</si>
  <si>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</si>
  <si>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</si>
  <si>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</si>
  <si>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</si>
  <si>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</si>
  <si>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</si>
  <si>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</si>
  <si>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</si>
  <si>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</si>
  <si>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</si>
  <si>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</si>
  <si>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</si>
  <si>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</si>
  <si>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</si>
  <si>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</si>
  <si>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</si>
  <si>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</si>
  <si>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</si>
  <si>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</si>
  <si>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</si>
  <si>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</si>
  <si>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</si>
  <si>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</si>
  <si>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</si>
  <si>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</si>
  <si>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</si>
  <si>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</si>
  <si>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</si>
  <si>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</si>
  <si>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</si>
  <si>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</si>
  <si>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</si>
  <si>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</si>
  <si>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</si>
  <si>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</si>
  <si>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</si>
  <si>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</si>
  <si>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</si>
  <si>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</si>
  <si>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</si>
  <si>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</si>
  <si>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</si>
  <si>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</si>
  <si>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</si>
  <si>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</si>
  <si>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</si>
  <si>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</si>
  <si>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</si>
  <si>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</si>
  <si>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</si>
  <si>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</si>
  <si>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</si>
  <si>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</si>
  <si>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</si>
  <si>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</si>
  <si>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</si>
  <si>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</si>
  <si>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</si>
  <si>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</si>
  <si>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</si>
  <si>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</si>
  <si>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</si>
  <si>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</si>
  <si>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</si>
  <si>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</si>
  <si>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</si>
  <si>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</si>
  <si>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</si>
  <si>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</si>
  <si>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</si>
  <si>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</si>
  <si>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</si>
  <si>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</si>
  <si>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</si>
  <si>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</si>
  <si>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</si>
  <si>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</si>
  <si>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</si>
  <si>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</si>
  <si>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</si>
  <si>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</si>
  <si>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</si>
  <si>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</si>
  <si>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</si>
  <si>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</si>
  <si>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</si>
  <si>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</si>
  <si>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</si>
  <si>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</si>
  <si>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</si>
  <si>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</si>
  <si>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</si>
  <si>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</si>
  <si>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</si>
  <si>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</si>
  <si>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</si>
  <si>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</si>
  <si>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</si>
  <si>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</si>
  <si>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</si>
  <si>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</si>
  <si>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</si>
  <si>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</si>
  <si>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</si>
  <si>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</si>
  <si>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</si>
  <si>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</si>
  <si>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</si>
  <si>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</si>
  <si>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</si>
  <si>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</si>
  <si>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</si>
  <si>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</si>
  <si>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</si>
  <si>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</si>
  <si>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</si>
  <si>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</si>
  <si>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</si>
  <si>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</si>
  <si>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</si>
  <si>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</si>
  <si>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</si>
  <si>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</si>
  <si>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</si>
  <si>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</si>
  <si>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</si>
  <si>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</si>
  <si>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</si>
  <si>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</si>
  <si>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</si>
  <si>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</si>
  <si>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</si>
  <si>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</si>
  <si>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</si>
  <si>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</si>
  <si>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</si>
  <si>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</si>
  <si>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</si>
  <si>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</si>
  <si>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</si>
  <si>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</si>
  <si>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</si>
  <si>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</si>
  <si>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</si>
  <si>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</si>
  <si>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</si>
  <si>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</si>
  <si>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</si>
  <si>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</si>
  <si>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</si>
  <si>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</si>
  <si>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</si>
  <si>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</si>
  <si>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</si>
  <si>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</si>
  <si>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</si>
  <si>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</si>
  <si>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</si>
  <si>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</si>
  <si>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</si>
  <si>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</si>
  <si>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</si>
  <si>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</si>
  <si>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</si>
  <si>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</si>
  <si>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</si>
  <si>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</si>
  <si>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</si>
  <si>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</si>
  <si>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</si>
  <si>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</si>
  <si>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</si>
  <si>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</si>
  <si>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</si>
  <si>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</si>
  <si>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</si>
  <si>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</si>
  <si>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</si>
  <si>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</si>
  <si>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</si>
  <si>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</si>
  <si>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</si>
  <si>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</si>
  <si>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</si>
  <si>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</si>
  <si>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</si>
  <si>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</si>
  <si>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</si>
  <si>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</si>
  <si>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</si>
  <si>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</si>
  <si>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</si>
  <si>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</si>
  <si>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</si>
  <si>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</si>
  <si>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</si>
  <si>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</si>
  <si>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</si>
  <si>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</si>
  <si>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</si>
  <si>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</si>
  <si>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</si>
  <si>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</si>
  <si>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</si>
  <si>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</si>
  <si>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</si>
  <si>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</si>
  <si>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</si>
  <si>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</si>
  <si>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</si>
  <si>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</si>
  <si>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</si>
  <si>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</si>
  <si>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</si>
  <si>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</si>
  <si>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</si>
  <si>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</si>
  <si>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</si>
  <si>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</si>
  <si>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</si>
  <si>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</si>
  <si>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</si>
  <si>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</si>
  <si>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</si>
  <si>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</si>
  <si>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</si>
  <si>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</si>
  <si>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</si>
  <si>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</si>
  <si>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</si>
  <si>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</si>
  <si>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</si>
  <si>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</si>
  <si>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</si>
  <si>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</si>
  <si>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</si>
  <si>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</si>
  <si>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</si>
  <si>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</si>
  <si>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</si>
  <si>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</si>
  <si>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</si>
  <si>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</si>
  <si>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</si>
  <si>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</si>
  <si>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</si>
  <si>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</si>
  <si>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</si>
  <si>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</si>
  <si>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</si>
  <si>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</si>
  <si>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</si>
  <si>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</si>
  <si>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</si>
  <si>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</si>
  <si>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</si>
  <si>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</si>
  <si>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</si>
  <si>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</si>
  <si>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</si>
  <si>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</si>
  <si>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</si>
  <si>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</si>
  <si>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</si>
  <si>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</si>
  <si>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</si>
  <si>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</si>
  <si>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</si>
  <si>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</si>
  <si>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</si>
  <si>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</si>
  <si>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</si>
  <si>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</si>
  <si>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</si>
  <si>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</si>
  <si>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</si>
  <si>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</si>
  <si>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</si>
  <si>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</si>
  <si>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</si>
  <si>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</si>
  <si>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</si>
  <si>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</si>
  <si>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</si>
  <si>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</si>
  <si>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</si>
  <si>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</si>
  <si>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</si>
  <si>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</si>
  <si>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</si>
  <si>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</si>
  <si>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</si>
  <si>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</si>
  <si>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</si>
  <si>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</si>
  <si>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</si>
  <si>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</si>
  <si>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</si>
  <si>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</si>
  <si>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</si>
  <si>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</si>
  <si>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</si>
  <si>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</si>
  <si>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</si>
  <si>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</si>
  <si>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</si>
  <si>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</si>
  <si>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</si>
  <si>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</si>
  <si>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</si>
  <si>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</si>
  <si>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</si>
  <si>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</si>
  <si>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</si>
  <si>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</si>
  <si>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</si>
  <si>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</si>
  <si>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</si>
  <si>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</si>
  <si>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</si>
  <si>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</si>
  <si>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</si>
  <si>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</si>
  <si>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</si>
  <si>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</si>
  <si>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</si>
  <si>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</si>
  <si>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</si>
  <si>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</si>
  <si>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</si>
  <si>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</si>
  <si>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</si>
  <si>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</si>
  <si>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</si>
  <si>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</si>
  <si>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</si>
  <si>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</si>
  <si>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</si>
  <si>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</si>
  <si>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</si>
  <si>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</si>
  <si>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</si>
  <si>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</si>
  <si>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</si>
  <si>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</si>
  <si>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</si>
  <si>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</si>
  <si>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</si>
  <si>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</si>
  <si>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</si>
  <si>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</si>
  <si>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</si>
  <si>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</si>
  <si>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</si>
  <si>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</si>
  <si>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</si>
  <si>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</si>
  <si>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</si>
  <si>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</si>
  <si>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</si>
  <si>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</si>
  <si>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</si>
  <si>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</si>
  <si>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</si>
  <si>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</si>
  <si>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</si>
  <si>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</si>
  <si>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</si>
  <si>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</si>
  <si>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</si>
  <si>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</si>
  <si>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</si>
  <si>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</si>
  <si>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</si>
  <si>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</si>
  <si>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</si>
  <si>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</si>
  <si>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</si>
  <si>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</si>
  <si>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</si>
  <si>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</si>
  <si>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</si>
  <si>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</si>
  <si>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</si>
  <si>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</si>
  <si>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</si>
  <si>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</si>
  <si>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</si>
  <si>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</si>
  <si>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</si>
  <si>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</si>
  <si>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</si>
  <si>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</si>
  <si>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</si>
  <si>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</si>
  <si>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</si>
  <si>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</si>
  <si>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</si>
  <si>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</si>
  <si>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</si>
  <si>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</si>
  <si>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</si>
  <si>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</si>
  <si>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</si>
  <si>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</si>
  <si>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</si>
  <si>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</si>
  <si>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</si>
  <si>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</si>
  <si>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</si>
  <si>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</si>
  <si>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</si>
  <si>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</si>
  <si>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</si>
  <si>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</si>
  <si>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</si>
  <si>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</si>
  <si>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</si>
  <si>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</si>
  <si>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</si>
  <si>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</si>
  <si>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</si>
  <si>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</si>
  <si>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</si>
  <si>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</si>
  <si>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</si>
  <si>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</si>
  <si>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</si>
  <si>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</si>
  <si>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</si>
  <si>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</si>
  <si>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</si>
  <si>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</si>
  <si>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</si>
  <si>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</si>
  <si>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</si>
  <si>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</si>
  <si>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</si>
  <si>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</si>
  <si>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</si>
  <si>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Haldain Holzfällerlager</t>
  </si>
  <si>
    <t>Dread Atronach - Group Boss</t>
  </si>
  <si>
    <t>Schrecklicker Atronach - Gruppen Boss</t>
  </si>
  <si>
    <t>Sheogorath\'s Tongue</t>
  </si>
  <si>
    <t>Sheogorath\'s Zunge</t>
  </si>
  <si>
    <t>Dolmens</t>
  </si>
  <si>
    <t>Dolmen</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</si>
  <si>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</si>
  <si>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</si>
  <si>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</si>
  <si>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</si>
  <si>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</si>
  <si>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</si>
  <si>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</si>
  <si>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</si>
  <si>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</si>
  <si>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</si>
  <si>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</si>
  <si>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</si>
  <si>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</si>
  <si>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</si>
  <si>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</si>
  <si>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</si>
  <si>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</si>
  <si>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</si>
  <si>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</si>
  <si>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</si>
  <si>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</si>
  <si>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</si>
  <si>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</si>
  <si>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</si>
  <si>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</si>
  <si>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t>
  </si>
  <si>
    <t>b</t>
  </si>
  <si>
    <t>c</t>
  </si>
  <si>
    <t>d</t>
  </si>
  <si>
    <r>
      <rPr>
        <sz val="11"/>
        <color theme="1"/>
        <rFont val="Calibri"/>
        <family val="2"/>
        <scheme val="minor"/>
      </rPr>
      <t>Last dumped: 2024-07-13, PTS 101043</t>
    </r>
    <r>
      <rPr>
        <sz val="11"/>
        <color rgb="FFFF0000"/>
        <rFont val="Calibri"/>
        <family val="2"/>
        <scheme val="minor"/>
      </rPr>
      <t xml:space="preserve">	As you update zoneData copy the excel formulas of all other columns, then enter the correct ESO DLC Id in column J</t>
    </r>
  </si>
  <si>
    <t>Last dumped: 2024-07-13, PTS 101043</t>
  </si>
  <si>
    <t>Assembly General</t>
  </si>
  <si>
    <t>Abyssal Geysir</t>
  </si>
  <si>
    <t>Abyssal Geysire</t>
  </si>
  <si>
    <t>Plague of Crows</t>
  </si>
  <si>
    <t>Krähenplage</t>
  </si>
  <si>
    <t>First stage</t>
  </si>
  <si>
    <t>Erste Runde</t>
  </si>
  <si>
    <t>Lesser Circle</t>
  </si>
  <si>
    <t>Unterer Kreis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</si>
</sst>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3">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20" fillId="4" borderId="0" xfId="6" applyBorder="1" applyAlignment="1">
      <alignment wrapText="1"/>
    </xf>
    <xf numFmtId="0" fontId="3" fillId="4" borderId="2" xfId="3" applyBorder="1"/>
    <xf numFmtId="0" fontId="16" fillId="0" borderId="0" xfId="0" applyFont="1" applyFill="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75"/>
  <sheetViews>
    <sheetView tabSelected="1" zoomScale="70" zoomScaleNormal="70" workbookViewId="0">
      <pane xSplit="7" ySplit="2" topLeftCell="BI632" activePane="bottomRight" state="frozen"/>
      <selection pane="topRight" activeCell="H1" sqref="H1"/>
      <selection pane="bottomLeft" activeCell="A3" sqref="A3"/>
      <selection pane="bottomRight" activeCell="BE652" sqref="BE652:BI652"/>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2" t="s">
        <v>3764</v>
      </c>
      <c r="B1" s="112"/>
      <c r="C1" s="112"/>
      <c r="D1" s="57" t="s">
        <v>3911</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3907</v>
      </c>
      <c r="BE2" s="20" t="s">
        <v>3269</v>
      </c>
      <c r="BF2" s="20" t="s">
        <v>3270</v>
      </c>
      <c r="BG2" s="20" t="s">
        <v>3271</v>
      </c>
      <c r="BH2" s="20" t="s">
        <v>3267</v>
      </c>
      <c r="BI2" s="20" t="s">
        <v>3268</v>
      </c>
    </row>
    <row r="3" spans="1:61" x14ac:dyDescent="0.25">
      <c r="A3" s="12">
        <v>19</v>
      </c>
      <c r="B3" t="s">
        <v>728</v>
      </c>
      <c r="C3" t="s">
        <v>729</v>
      </c>
      <c r="D3" s="3">
        <f t="shared" ref="D3:D66" si="0">A3</f>
        <v>19</v>
      </c>
      <c r="G3" s="8" t="s">
        <v>1470</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6"/>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5" t="s">
        <v>2645</v>
      </c>
      <c r="BA3" s="75"/>
      <c r="BB3" s="75"/>
      <c r="BC3" s="75"/>
      <c r="BD3" s="75"/>
      <c r="BE3" s="21"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BF66"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BG66" si="3">IF(A3&lt;&gt;"",IF(F3&lt;&gt;"Not in the game (anymore)",IF(A3&lt;&gt;"",", setType="&amp;G3,"")&amp;IF(G3="LIBSETS_SETTYPE_CLASS",", classId="&amp;BC3,"")&amp;IF(J3="true",", multiTrialSet=true",""),"")
&amp; IF(AND(H3&lt;&gt;"",ISNUMBER(H3)),", undauntedChestId=" &amp; H3,""),"")</f>
        <v>, setType=LIBSETS_SETTYPE_DUNGEON</v>
      </c>
      <c r="BH3" s="21" t="str">
        <f t="shared" ref="BH3:BH66"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BI66"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1473</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6" t="s">
        <v>1552</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1553</v>
      </c>
      <c r="AI4" s="41"/>
      <c r="AJ4" s="41"/>
      <c r="AK4" s="3">
        <f>IF(AND(G4&lt;&gt;"LIBSETS_SETTYPE_BATTLEGROUND",G4&lt;&gt;"LIBSETS_SETTYPE_SPECIAL"),IF(AL4&lt;&gt;"",VLOOKUP(AL4,'ESO zone constants'!$D$5:$H$4955,5,FALSE),""),"")</f>
        <v>103</v>
      </c>
      <c r="AL4" t="s">
        <v>111</v>
      </c>
      <c r="AM4" s="42" t="s">
        <v>1554</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5" t="s">
        <v>2645</v>
      </c>
      <c r="BA4" s="75"/>
      <c r="BB4" s="75"/>
      <c r="BC4" s="75"/>
      <c r="BD4" s="75"/>
      <c r="BE4" s="21" t="str">
        <f t="shared" si="1"/>
        <v>[20] = {wayshrines={109,109,109,}, dlcId=DLC_BASE_GAME</v>
      </c>
      <c r="BF4" s="21" t="str">
        <f t="shared" si="2"/>
        <v>, zoneIds={103,103,341,103}, veteran=false</v>
      </c>
      <c r="BG4" s="21" t="str">
        <f t="shared" si="3"/>
        <v>, setType=LIBSETS_SETTYPE_OVERLAND</v>
      </c>
      <c r="BH4" s="21" t="str">
        <f t="shared" si="4"/>
        <v>, dropMechanic={LIBSETS_DROP_MECHANIC_OVERLAND_BOSS_DELVE,LIBSETS_DROP_MECHANIC_OVERLAND_WORLDBOSS,LIBSETS_DROP_MECHANIC_OVERLAND_BOSS_PUBLIC_DUNGEON,LIBSETS_DROP_MECHANIC_OVERLAND_CHEST}</v>
      </c>
      <c r="BI4" s="21" t="str">
        <f t="shared" si="5"/>
        <v>}, --Witchman Armor / Hexenwerk   [The Rift, The Rift, The Lion's Den, The Rift]</v>
      </c>
    </row>
    <row r="5" spans="1:61" x14ac:dyDescent="0.25">
      <c r="A5" s="12">
        <v>21</v>
      </c>
      <c r="B5" t="s">
        <v>732</v>
      </c>
      <c r="C5" t="s">
        <v>733</v>
      </c>
      <c r="D5" s="3">
        <f t="shared" si="0"/>
        <v>21</v>
      </c>
      <c r="G5" s="8" t="s">
        <v>1473</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6" t="s">
        <v>1552</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1553</v>
      </c>
      <c r="AI5" s="41"/>
      <c r="AJ5" s="41"/>
      <c r="AK5" s="3">
        <f>IF(AND(G5&lt;&gt;"LIBSETS_SETTYPE_BATTLEGROUND",G5&lt;&gt;"LIBSETS_SETTYPE_SPECIAL"),IF(AL5&lt;&gt;"",VLOOKUP(AL5,'ESO zone constants'!$D$5:$H$4955,5,FALSE),""),"")</f>
        <v>101</v>
      </c>
      <c r="AL5" t="s">
        <v>110</v>
      </c>
      <c r="AM5" s="42" t="s">
        <v>1554</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5" t="s">
        <v>2646</v>
      </c>
      <c r="BA5" s="75"/>
      <c r="BB5" s="75"/>
      <c r="BC5" s="75"/>
      <c r="BD5" s="75"/>
      <c r="BE5" s="21" t="str">
        <f t="shared" si="1"/>
        <v>[21] = {wayshrines={93,93,93,}, dlcId=DLC_BASE_GAME</v>
      </c>
      <c r="BF5" s="21" t="str">
        <f t="shared" si="2"/>
        <v>, zoneIds={101,101,339,101}, veteran=false</v>
      </c>
      <c r="BG5" s="21" t="str">
        <f t="shared" si="3"/>
        <v>, setType=LIBSETS_SETTYPE_OVERLAND</v>
      </c>
      <c r="BH5" s="21" t="str">
        <f t="shared" si="4"/>
        <v>, isProcSetAllowedInPvP=1, dropMechanic={LIBSETS_DROP_MECHANIC_OVERLAND_BOSS_DELVE,LIBSETS_DROP_MECHANIC_OVERLAND_WORLDBOSS,LIBSETS_DROP_MECHANIC_OVERLAND_BOSS_PUBLIC_DUNGEON,LIBSETS_DROP_MECHANIC_OVERLAND_CHEST}</v>
      </c>
      <c r="BI5" s="21" t="str">
        <f t="shared" si="5"/>
        <v>}, --Akaviri Dragonguard / Akavirische Drachengarde   [Eastmarch, Eastmarch, Hall of the Dead, Eastmarch]</v>
      </c>
    </row>
    <row r="6" spans="1:61" x14ac:dyDescent="0.25">
      <c r="A6" s="12">
        <v>22</v>
      </c>
      <c r="B6" t="s">
        <v>734</v>
      </c>
      <c r="C6" t="s">
        <v>2524</v>
      </c>
      <c r="D6" s="3">
        <f t="shared" si="0"/>
        <v>22</v>
      </c>
      <c r="G6" s="8" t="s">
        <v>1473</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6" t="s">
        <v>1552</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1553</v>
      </c>
      <c r="AI6" s="41"/>
      <c r="AJ6" s="41"/>
      <c r="AK6" s="3">
        <f>IF(AND(G6&lt;&gt;"LIBSETS_SETTYPE_BATTLEGROUND",G6&lt;&gt;"LIBSETS_SETTYPE_SPECIAL"),IF(AL6&lt;&gt;"",VLOOKUP(AL6,'ESO zone constants'!$D$5:$H$4955,5,FALSE),""),"")</f>
        <v>19</v>
      </c>
      <c r="AL6" t="s">
        <v>104</v>
      </c>
      <c r="AM6" s="42" t="s">
        <v>1554</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5" t="s">
        <v>2645</v>
      </c>
      <c r="BA6" s="75"/>
      <c r="BB6" s="75"/>
      <c r="BC6" s="75"/>
      <c r="BD6" s="75"/>
      <c r="BE6" s="21" t="str">
        <f t="shared" si="1"/>
        <v>[22] = {wayshrines={17,17,17,}, dlcId=DLC_BASE_GAME</v>
      </c>
      <c r="BF6" s="21" t="str">
        <f t="shared" si="2"/>
        <v>, zoneIds={19,19,142,19}, veteran=false</v>
      </c>
      <c r="BG6" s="21" t="str">
        <f t="shared" si="3"/>
        <v>, setType=LIBSETS_SETTYPE_OVERLAND</v>
      </c>
      <c r="BH6" s="21" t="str">
        <f t="shared" si="4"/>
        <v>, dropMechanic={LIBSETS_DROP_MECHANIC_OVERLAND_BOSS_DELVE,LIBSETS_DROP_MECHANIC_OVERLAND_WORLDBOSS,LIBSETS_DROP_MECHANIC_OVERLAND_BOSS_PUBLIC_DUNGEON,LIBSETS_DROP_MECHANIC_OVERLAND_CHEST}</v>
      </c>
      <c r="BI6" s="21" t="str">
        <f t="shared" si="5"/>
        <v>}, --Dreamer\'s Mantle / Mantel des Träumers   [Stormhaven, Stormhaven, Bonesnap Ruins, Stormhaven]</v>
      </c>
    </row>
    <row r="7" spans="1:61" x14ac:dyDescent="0.25">
      <c r="A7" s="12">
        <v>23</v>
      </c>
      <c r="B7" t="s">
        <v>735</v>
      </c>
      <c r="C7" t="s">
        <v>2525</v>
      </c>
      <c r="D7" s="3">
        <f t="shared" si="0"/>
        <v>23</v>
      </c>
      <c r="G7" s="8" t="s">
        <v>1465</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6" t="s">
        <v>1547</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6" t="s">
        <v>1547</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5" t="s">
        <v>2646</v>
      </c>
      <c r="BA7" s="75"/>
      <c r="BB7" s="75"/>
      <c r="BC7" s="75"/>
      <c r="BD7" s="75"/>
      <c r="BE7" s="21" t="str">
        <f t="shared" si="1"/>
        <v>[23] = {wayshrines={270,270,270,}, dlcId=DLC_CLOCKWORK_CITY</v>
      </c>
      <c r="BF7" s="21" t="str">
        <f t="shared" si="2"/>
        <v>, zoneIds={635,888,888}, veteran=false</v>
      </c>
      <c r="BG7" s="21" t="str">
        <f t="shared" si="3"/>
        <v>, setType=LIBSETS_SETTYPE_ARENA</v>
      </c>
      <c r="BH7" s="21" t="str">
        <f t="shared" si="4"/>
        <v>, isProcSetAllowedInPvP=1, dropMechanic={LIBSETS_DROP_MECHANIC_ARENA_STAGE_CHEST,LIBSETS_DROP_MECHANIC_ARENA_STAGE_CHEST}</v>
      </c>
      <c r="BI7" s="21" t="str">
        <f t="shared" si="5"/>
        <v>}, --Archer\'s Mind / Schützensinn   [Dragonstar Arena, Craglorn, Craglorn]</v>
      </c>
    </row>
    <row r="8" spans="1:61" x14ac:dyDescent="0.25">
      <c r="A8" s="12">
        <v>24</v>
      </c>
      <c r="B8" t="s">
        <v>736</v>
      </c>
      <c r="C8" t="s">
        <v>2526</v>
      </c>
      <c r="D8" s="3">
        <f t="shared" si="0"/>
        <v>24</v>
      </c>
      <c r="G8" s="8" t="s">
        <v>1465</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6" t="s">
        <v>1547</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6" t="s">
        <v>1547</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5" t="s">
        <v>2645</v>
      </c>
      <c r="BA8" s="75"/>
      <c r="BB8" s="75"/>
      <c r="BC8" s="75"/>
      <c r="BD8" s="75"/>
      <c r="BE8" s="21" t="str">
        <f t="shared" si="1"/>
        <v>[24] = {wayshrines={270,270,270,}, dlcId=DLC_CLOCKWORK_CITY</v>
      </c>
      <c r="BF8" s="21" t="str">
        <f t="shared" si="2"/>
        <v>, zoneIds={635,888,888}, veteran=false</v>
      </c>
      <c r="BG8" s="21" t="str">
        <f t="shared" si="3"/>
        <v>, setType=LIBSETS_SETTYPE_ARENA</v>
      </c>
      <c r="BH8" s="21" t="str">
        <f t="shared" si="4"/>
        <v>, dropMechanic={LIBSETS_DROP_MECHANIC_ARENA_STAGE_CHEST,LIBSETS_DROP_MECHANIC_ARENA_STAGE_CHEST}</v>
      </c>
      <c r="BI8" s="21" t="str">
        <f t="shared" si="5"/>
        <v>}, --Footman\'s Fortune / Geschick des Fußsoldaten   [Dragonstar Arena, Craglorn, Craglorn]</v>
      </c>
    </row>
    <row r="9" spans="1:61" x14ac:dyDescent="0.25">
      <c r="A9" s="12">
        <v>25</v>
      </c>
      <c r="B9" t="s">
        <v>737</v>
      </c>
      <c r="C9" t="s">
        <v>738</v>
      </c>
      <c r="D9" s="3">
        <f t="shared" si="0"/>
        <v>25</v>
      </c>
      <c r="E9" s="40"/>
      <c r="G9" s="8" t="s">
        <v>1468</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3718</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2756</v>
      </c>
      <c r="AK9" s="3">
        <f>IF(AND(G9&lt;&gt;"LIBSETS_SETTYPE_BATTLEGROUND",G9&lt;&gt;"LIBSETS_SETTYPE_SPECIAL"),IF(AL9&lt;&gt;"",VLOOKUP(AL9,'ESO zone constants'!$D$5:$H$4955,5,FALSE),""),"")</f>
        <v>181</v>
      </c>
      <c r="AL9" t="s">
        <v>125</v>
      </c>
      <c r="AM9" s="33" t="s">
        <v>3721</v>
      </c>
      <c r="AP9" s="3">
        <f>IF(AND(G9&lt;&gt;"LIBSETS_SETTYPE_BATTLEGROUND",G9&lt;&gt;"LIBSETS_SETTYPE_SPECIAL"),IF(AQ9&lt;&gt;"",VLOOKUP(AQ9,'ESO zone constants'!$D$5:$H$4955,5,FALSE),""),"")</f>
        <v>181</v>
      </c>
      <c r="AQ9" t="s">
        <v>125</v>
      </c>
      <c r="AR9" s="33" t="s">
        <v>1551</v>
      </c>
      <c r="AU9" s="3">
        <f>IF(AND(G9&lt;&gt;"LIBSETS_SETTYPE_BATTLEGROUND",G9&lt;&gt;"LIBSETS_SETTYPE_SPECIAL"),IF(AV9&lt;&gt;"",VLOOKUP(AV9,'ESO zone constants'!$D$5:$H$4955,5,FALSE),""),"")</f>
        <v>181</v>
      </c>
      <c r="AV9" t="s">
        <v>125</v>
      </c>
      <c r="AW9" s="33" t="s">
        <v>3225</v>
      </c>
      <c r="AZ9" s="75" t="s">
        <v>2645</v>
      </c>
      <c r="BA9" s="75"/>
      <c r="BB9" s="75"/>
      <c r="BC9" s="75"/>
      <c r="BD9" s="75"/>
      <c r="BE9" s="21" t="str">
        <f t="shared" si="1"/>
        <v>[25] = {wayshrines={-1,-1,-1,}, dlcId=DLC_BASE_GAME</v>
      </c>
      <c r="BF9" s="21" t="str">
        <f t="shared" si="2"/>
        <v>, zoneIds={181,181,181,181,181,181}, veteran=false</v>
      </c>
      <c r="BG9" s="21" t="str">
        <f t="shared" si="3"/>
        <v>, setType=LIBSETS_SETTYPE_CYRODIIL</v>
      </c>
      <c r="BH9" s="21"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5"/>
        <v>}, --Desert Rose / Wüstenrose   [Cyrodiil, Cyrodiil, Cyrodiil, Cyrodiil, Cyrodiil, Cyrodiil]</v>
      </c>
    </row>
    <row r="10" spans="1:61" x14ac:dyDescent="0.25">
      <c r="A10" s="12">
        <v>26</v>
      </c>
      <c r="B10" t="s">
        <v>739</v>
      </c>
      <c r="C10" t="s">
        <v>2527</v>
      </c>
      <c r="D10" s="3">
        <f t="shared" si="0"/>
        <v>26</v>
      </c>
      <c r="E10" s="40"/>
      <c r="G10" s="8" t="s">
        <v>1473</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1553</v>
      </c>
      <c r="AI10" s="41"/>
      <c r="AJ10" s="41"/>
      <c r="AK10" s="3">
        <f>IF(AND(G10&lt;&gt;"LIBSETS_SETTYPE_BATTLEGROUND",G10&lt;&gt;"LIBSETS_SETTYPE_SPECIAL"),IF(AL10&lt;&gt;"",VLOOKUP(AL10,'ESO zone constants'!$D$5:$H$4955,5,FALSE),""),"")</f>
        <v>347</v>
      </c>
      <c r="AL10" t="s">
        <v>239</v>
      </c>
      <c r="AM10" s="33" t="s">
        <v>1554</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5" t="s">
        <v>2645</v>
      </c>
      <c r="BA10" s="75"/>
      <c r="BB10" s="75"/>
      <c r="BC10" s="75"/>
      <c r="BD10" s="75"/>
      <c r="BE10" s="21" t="str">
        <f t="shared" si="1"/>
        <v>[26] = {wayshrines={131,131,131,}, dlcId=DLC_BASE_GAME</v>
      </c>
      <c r="BF10" s="21" t="str">
        <f t="shared" si="2"/>
        <v>, zoneIds={347,347,557,347}, veteran=false</v>
      </c>
      <c r="BG10" s="21" t="str">
        <f t="shared" si="3"/>
        <v>, setType=LIBSETS_SETTYPE_OVERLAND</v>
      </c>
      <c r="BH10" s="21" t="str">
        <f t="shared" si="4"/>
        <v>, dropMechanic={LIBSETS_DROP_MECHANIC_OVERLAND_BOSS_DELVE,LIBSETS_DROP_MECHANIC_OVERLAND_WORLDBOSS,LIBSETS_DROP_MECHANIC_OVERLAND_BOSS_PUBLIC_DUNGEON,LIBSETS_DROP_MECHANIC_OVERLAND_CHEST}</v>
      </c>
      <c r="BI10" s="21" t="str">
        <f t="shared" si="5"/>
        <v>}, --Prisoner\'s Rags / Lumpen des Gefangenen   [Coldharbour, Coldharbour, Village of the Lost, Coldharbour]</v>
      </c>
    </row>
    <row r="11" spans="1:61" x14ac:dyDescent="0.25">
      <c r="A11" s="12">
        <v>27</v>
      </c>
      <c r="B11" t="s">
        <v>740</v>
      </c>
      <c r="C11" t="s">
        <v>2528</v>
      </c>
      <c r="D11" s="3">
        <f t="shared" si="0"/>
        <v>27</v>
      </c>
      <c r="E11" s="40"/>
      <c r="G11" s="8" t="s">
        <v>1473</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1553</v>
      </c>
      <c r="AI11" s="41"/>
      <c r="AJ11" s="41"/>
      <c r="AK11" s="3">
        <f>IF(AND(G11&lt;&gt;"LIBSETS_SETTYPE_BATTLEGROUND",G11&lt;&gt;"LIBSETS_SETTYPE_SPECIAL"),IF(AL11&lt;&gt;"",VLOOKUP(AL11,'ESO zone constants'!$D$5:$H$4955,5,FALSE),""),"")</f>
        <v>101</v>
      </c>
      <c r="AL11" t="s">
        <v>110</v>
      </c>
      <c r="AM11" s="33" t="s">
        <v>1554</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5" t="s">
        <v>2645</v>
      </c>
      <c r="BA11" s="75"/>
      <c r="BB11" s="75"/>
      <c r="BC11" s="75"/>
      <c r="BD11" s="75"/>
      <c r="BE11" s="21" t="str">
        <f t="shared" si="1"/>
        <v>[27] = {wayshrines={93,93,93,}, dlcId=DLC_BASE_GAME</v>
      </c>
      <c r="BF11" s="21" t="str">
        <f t="shared" si="2"/>
        <v>, zoneIds={101,101,339,101}, veteran=false</v>
      </c>
      <c r="BG11" s="21" t="str">
        <f t="shared" si="3"/>
        <v>, setType=LIBSETS_SETTYPE_OVERLAND</v>
      </c>
      <c r="BH11" s="21" t="str">
        <f t="shared" si="4"/>
        <v>, dropMechanic={LIBSETS_DROP_MECHANIC_OVERLAND_BOSS_DELVE,LIBSETS_DROP_MECHANIC_OVERLAND_WORLDBOSS,LIBSETS_DROP_MECHANIC_OVERLAND_BOSS_PUBLIC_DUNGEON,LIBSETS_DROP_MECHANIC_OVERLAND_CHEST}</v>
      </c>
      <c r="BI11" s="21" t="str">
        <f t="shared" si="5"/>
        <v>}, --Fiord\'s Legacy / Fiords Erbe   [Eastmarch, Eastmarch, Hall of the Dead, Eastmarch]</v>
      </c>
    </row>
    <row r="12" spans="1:61" x14ac:dyDescent="0.25">
      <c r="A12" s="12">
        <v>28</v>
      </c>
      <c r="B12" t="s">
        <v>741</v>
      </c>
      <c r="C12" t="s">
        <v>742</v>
      </c>
      <c r="D12" s="3">
        <f t="shared" si="0"/>
        <v>28</v>
      </c>
      <c r="G12" s="8" t="s">
        <v>1470</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6"/>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5" t="s">
        <v>2645</v>
      </c>
      <c r="BA12" s="75"/>
      <c r="BB12" s="75"/>
      <c r="BC12" s="75"/>
      <c r="BD12" s="75"/>
      <c r="BE12" s="21" t="str">
        <f t="shared" si="1"/>
        <v>[28] = {wayshrines={191,191,191,}, dlcId=DLC_BASE_GAME</v>
      </c>
      <c r="BF12" s="21" t="str">
        <f t="shared" si="2"/>
        <v>, zoneIds={126,931,383}, veteran=false</v>
      </c>
      <c r="BG12" s="21" t="str">
        <f t="shared" si="3"/>
        <v>, setType=LIBSETS_SETTYPE_DUNGEON</v>
      </c>
      <c r="BH12" s="21" t="str">
        <f t="shared" si="4"/>
        <v>, dropMechanic={LIBSETS_DROP_MECHANIC_GROUP_DUNGEON_BOSS,LIBSETS_DROP_MECHANIC_GROUP_DUNGEON_BOSS}</v>
      </c>
      <c r="BI12" s="21" t="str">
        <f t="shared" si="5"/>
        <v>}, --Barkskin / Borkenhaut   [Elden Hollow I, Elden Hollow II, Grahtwood]</v>
      </c>
    </row>
    <row r="13" spans="1:61" x14ac:dyDescent="0.25">
      <c r="A13" s="12">
        <v>29</v>
      </c>
      <c r="B13" t="s">
        <v>743</v>
      </c>
      <c r="C13" t="s">
        <v>2529</v>
      </c>
      <c r="D13" s="3">
        <f t="shared" si="0"/>
        <v>29</v>
      </c>
      <c r="G13" s="8" t="s">
        <v>1470</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6"/>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5" t="s">
        <v>2646</v>
      </c>
      <c r="BA13" s="75"/>
      <c r="BB13" s="75"/>
      <c r="BC13" s="75"/>
      <c r="BD13" s="75"/>
      <c r="BE13" s="21" t="str">
        <f t="shared" si="1"/>
        <v>[29] = {wayshrines={189,189,189,}, dlcId=DLC_BASE_GAME</v>
      </c>
      <c r="BF13" s="21" t="str">
        <f t="shared" si="2"/>
        <v>, zoneIds={146,933,19}, veteran=false</v>
      </c>
      <c r="BG13" s="21" t="str">
        <f t="shared" si="3"/>
        <v>, setType=LIBSETS_SETTYPE_DUNGEON</v>
      </c>
      <c r="BH13" s="21" t="str">
        <f t="shared" si="4"/>
        <v>, isProcSetAllowedInPvP=1, dropMechanic={LIBSETS_DROP_MECHANIC_GROUP_DUNGEON_BOSS,LIBSETS_DROP_MECHANIC_GROUP_DUNGEON_BOSS}</v>
      </c>
      <c r="BI13" s="21" t="str">
        <f t="shared" si="5"/>
        <v>}, --Sergeant\'s Mail / Rüstung des Feldwebels   [Wayrest Sewers I, Wayrest Sewers II, Stormhaven]</v>
      </c>
    </row>
    <row r="14" spans="1:61" s="14" customFormat="1" x14ac:dyDescent="0.25">
      <c r="A14" s="12">
        <v>30</v>
      </c>
      <c r="B14" t="s">
        <v>744</v>
      </c>
      <c r="C14" t="s">
        <v>2530</v>
      </c>
      <c r="D14" s="3">
        <f t="shared" si="0"/>
        <v>30</v>
      </c>
      <c r="E14" s="40"/>
      <c r="F14"/>
      <c r="G14" s="8" t="s">
        <v>1473</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1553</v>
      </c>
      <c r="AI14" s="41"/>
      <c r="AJ14" s="41"/>
      <c r="AK14" s="3">
        <f>IF(AND(G14&lt;&gt;"LIBSETS_SETTYPE_BATTLEGROUND",G14&lt;&gt;"LIBSETS_SETTYPE_SPECIAL"),IF(AL14&lt;&gt;"",VLOOKUP(AL14,'ESO zone constants'!$D$5:$H$4955,5,FALSE),""),"")</f>
        <v>58</v>
      </c>
      <c r="AL14" t="s">
        <v>108</v>
      </c>
      <c r="AM14" s="33" t="s">
        <v>1554</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5" t="s">
        <v>2645</v>
      </c>
      <c r="BA14" s="75"/>
      <c r="BB14" s="75"/>
      <c r="BC14" s="75"/>
      <c r="BD14" s="75"/>
      <c r="BE14" s="21" t="str">
        <f t="shared" si="1"/>
        <v>[30] = {wayshrines={102,102,102,}, dlcId=DLC_BASE_GAME</v>
      </c>
      <c r="BF14" s="21" t="str">
        <f t="shared" si="2"/>
        <v>, zoneIds={58,58,138,58}, veteran=false</v>
      </c>
      <c r="BG14" s="21" t="str">
        <f t="shared" si="3"/>
        <v>, setType=LIBSETS_SETTYPE_OVERLAND</v>
      </c>
      <c r="BH14" s="21" t="str">
        <f t="shared" si="4"/>
        <v>, dropMechanic={LIBSETS_DROP_MECHANIC_OVERLAND_BOSS_DELVE,LIBSETS_DROP_MECHANIC_OVERLAND_WORLDBOSS,LIBSETS_DROP_MECHANIC_OVERLAND_BOSS_PUBLIC_DUNGEON,LIBSETS_DROP_MECHANIC_OVERLAND_CHEST}</v>
      </c>
      <c r="BI14" s="21" t="str">
        <f t="shared" si="5"/>
        <v>}, --Thunderbug\'s Carapace / Donnerkäferpanzer   [Malabal Tor, Malabal Tor, Crimson Cove, Malabal Tor]</v>
      </c>
    </row>
    <row r="15" spans="1:61" x14ac:dyDescent="0.25">
      <c r="A15" s="12">
        <v>31</v>
      </c>
      <c r="B15" t="s">
        <v>745</v>
      </c>
      <c r="C15" t="s">
        <v>746</v>
      </c>
      <c r="D15" s="3">
        <f t="shared" si="0"/>
        <v>31</v>
      </c>
      <c r="E15" s="40"/>
      <c r="G15" s="8" t="s">
        <v>1473</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1553</v>
      </c>
      <c r="AI15" s="41"/>
      <c r="AJ15" s="41"/>
      <c r="AK15" s="3">
        <f>IF(AND(G15&lt;&gt;"LIBSETS_SETTYPE_BATTLEGROUND",G15&lt;&gt;"LIBSETS_SETTYPE_SPECIAL"),IF(AL15&lt;&gt;"",VLOOKUP(AL15,'ESO zone constants'!$D$5:$H$4955,5,FALSE),""),"")</f>
        <v>41</v>
      </c>
      <c r="AL15" t="s">
        <v>106</v>
      </c>
      <c r="AM15" s="33" t="s">
        <v>1554</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5" t="s">
        <v>2646</v>
      </c>
      <c r="BA15" s="75"/>
      <c r="BB15" s="75"/>
      <c r="BC15" s="75"/>
      <c r="BD15" s="75"/>
      <c r="BE15" s="21" t="str">
        <f t="shared" si="1"/>
        <v>[31] = {wayshrines={65,65,65,}, dlcId=DLC_BASE_GAME</v>
      </c>
      <c r="BF15" s="21" t="str">
        <f t="shared" si="2"/>
        <v>, zoneIds={41,41,216,41}, veteran=false</v>
      </c>
      <c r="BG15" s="21" t="str">
        <f t="shared" si="3"/>
        <v>, setType=LIBSETS_SETTYPE_OVERLAND</v>
      </c>
      <c r="BH15" s="21" t="str">
        <f t="shared" si="4"/>
        <v>, isProcSetAllowedInPvP=1, dropMechanic={LIBSETS_DROP_MECHANIC_OVERLAND_BOSS_DELVE,LIBSETS_DROP_MECHANIC_OVERLAND_WORLDBOSS,LIBSETS_DROP_MECHANIC_OVERLAND_BOSS_PUBLIC_DUNGEON,LIBSETS_DROP_MECHANIC_OVERLAND_CHEST}</v>
      </c>
      <c r="BI15" s="21" t="str">
        <f t="shared" si="5"/>
        <v>}, --Silks of the Sun / Sonnenseide   [Stonefalls, Stonefalls, Crow's Wood, Stonefalls]</v>
      </c>
    </row>
    <row r="16" spans="1:61" x14ac:dyDescent="0.25">
      <c r="A16" s="12">
        <v>32</v>
      </c>
      <c r="B16" t="s">
        <v>747</v>
      </c>
      <c r="C16" t="s">
        <v>2531</v>
      </c>
      <c r="D16" s="3">
        <f t="shared" si="0"/>
        <v>32</v>
      </c>
      <c r="G16" s="8" t="s">
        <v>1465</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6" t="s">
        <v>1547</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1547</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5" t="s">
        <v>2645</v>
      </c>
      <c r="BA16" s="75"/>
      <c r="BB16" s="75"/>
      <c r="BC16" s="75"/>
      <c r="BD16" s="75"/>
      <c r="BE16" s="21" t="str">
        <f t="shared" si="1"/>
        <v>[32] = {wayshrines={270,270,270,}, dlcId=DLC_CLOCKWORK_CITY</v>
      </c>
      <c r="BF16" s="21" t="str">
        <f t="shared" si="2"/>
        <v>, zoneIds={635,888,888}, veteran=false</v>
      </c>
      <c r="BG16" s="21" t="str">
        <f t="shared" si="3"/>
        <v>, setType=LIBSETS_SETTYPE_ARENA</v>
      </c>
      <c r="BH16" s="21" t="str">
        <f t="shared" si="4"/>
        <v>, dropMechanic={LIBSETS_DROP_MECHANIC_ARENA_STAGE_CHEST,LIBSETS_DROP_MECHANIC_ARENA_STAGE_CHEST}</v>
      </c>
      <c r="BI16" s="21" t="str">
        <f t="shared" si="5"/>
        <v>}, --Healer\'s Habit / Bräuche des Heilers   [Dragonstar Arena, Craglorn, Craglorn]</v>
      </c>
    </row>
    <row r="17" spans="1:61" x14ac:dyDescent="0.25">
      <c r="A17" s="12">
        <v>33</v>
      </c>
      <c r="B17" t="s">
        <v>748</v>
      </c>
      <c r="C17" t="s">
        <v>2532</v>
      </c>
      <c r="D17" s="3">
        <f t="shared" si="0"/>
        <v>33</v>
      </c>
      <c r="G17" s="8" t="s">
        <v>1470</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6"/>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5" t="s">
        <v>2645</v>
      </c>
      <c r="BA17" s="75"/>
      <c r="BB17" s="75"/>
      <c r="BC17" s="75"/>
      <c r="BD17" s="75"/>
      <c r="BE17" s="21" t="str">
        <f t="shared" si="1"/>
        <v>[33] = {wayshrines={98,98,98,}, dlcId=DLC_BASE_GAME</v>
      </c>
      <c r="BF17" s="21" t="str">
        <f t="shared" si="2"/>
        <v>, zoneIds={283,934,41}, veteran=false</v>
      </c>
      <c r="BG17" s="21" t="str">
        <f t="shared" si="3"/>
        <v>, setType=LIBSETS_SETTYPE_DUNGEON</v>
      </c>
      <c r="BH17" s="21" t="str">
        <f t="shared" si="4"/>
        <v>, dropMechanic={LIBSETS_DROP_MECHANIC_GROUP_DUNGEON_BOSS,LIBSETS_DROP_MECHANIC_GROUP_DUNGEON_BOSS}</v>
      </c>
      <c r="BI17" s="21" t="str">
        <f t="shared" si="5"/>
        <v>}, --Viper\'s Sting / Vipernbiss   [Fungal Grotto I, Fungal Grotto II, Stonefalls]</v>
      </c>
    </row>
    <row r="18" spans="1:61" x14ac:dyDescent="0.25">
      <c r="A18" s="12">
        <v>34</v>
      </c>
      <c r="B18" t="s">
        <v>749</v>
      </c>
      <c r="C18" t="s">
        <v>2533</v>
      </c>
      <c r="D18" s="3">
        <f t="shared" si="0"/>
        <v>34</v>
      </c>
      <c r="E18" s="40"/>
      <c r="G18" s="8" t="s">
        <v>1473</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1553</v>
      </c>
      <c r="AI18" s="41"/>
      <c r="AJ18" s="41"/>
      <c r="AK18" s="3">
        <f>IF(AND(G18&lt;&gt;"LIBSETS_SETTYPE_BATTLEGROUND",G18&lt;&gt;"LIBSETS_SETTYPE_SPECIAL"),IF(AL18&lt;&gt;"",VLOOKUP(AL18,'ESO zone constants'!$D$5:$H$4955,5,FALSE),""),"")</f>
        <v>57</v>
      </c>
      <c r="AL18" t="s">
        <v>107</v>
      </c>
      <c r="AM18" s="33" t="s">
        <v>1554</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5" t="s">
        <v>2646</v>
      </c>
      <c r="BA18" s="75"/>
      <c r="BB18" s="75"/>
      <c r="BC18" s="75"/>
      <c r="BD18" s="75"/>
      <c r="BE18" s="21" t="str">
        <f t="shared" si="1"/>
        <v>[34] = {wayshrines={28,28,28,}, dlcId=DLC_BASE_GAME</v>
      </c>
      <c r="BF18" s="21" t="str">
        <f t="shared" si="2"/>
        <v>, zoneIds={57,57,306,57}, veteran=false</v>
      </c>
      <c r="BG18" s="21" t="str">
        <f t="shared" si="3"/>
        <v>, setType=LIBSETS_SETTYPE_OVERLAND</v>
      </c>
      <c r="BH18" s="21" t="str">
        <f t="shared" si="4"/>
        <v>, isProcSetAllowedInPvP=1, dropMechanic={LIBSETS_DROP_MECHANIC_OVERLAND_BOSS_DELVE,LIBSETS_DROP_MECHANIC_OVERLAND_WORLDBOSS,LIBSETS_DROP_MECHANIC_OVERLAND_BOSS_PUBLIC_DUNGEON,LIBSETS_DROP_MECHANIC_OVERLAND_CHEST}</v>
      </c>
      <c r="BI18" s="21" t="str">
        <f t="shared" si="5"/>
        <v>}, --Night Mother\'s Embrace / Umarmung der Mutter der Nacht   [Deshaan, Deshaan, Forgotten Crypts, Deshaan]</v>
      </c>
    </row>
    <row r="19" spans="1:61" x14ac:dyDescent="0.25">
      <c r="A19" s="12">
        <v>35</v>
      </c>
      <c r="B19" t="s">
        <v>750</v>
      </c>
      <c r="C19" t="s">
        <v>751</v>
      </c>
      <c r="D19" s="3">
        <f t="shared" si="0"/>
        <v>35</v>
      </c>
      <c r="G19" s="8" t="s">
        <v>1470</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6"/>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5" t="s">
        <v>2645</v>
      </c>
      <c r="BA19" s="75"/>
      <c r="BB19" s="75"/>
      <c r="BC19" s="75"/>
      <c r="BD19" s="75"/>
      <c r="BE19" s="21" t="str">
        <f t="shared" si="1"/>
        <v>[35] = {wayshrines={193,193,193,}, dlcId=DLC_BASE_GAME</v>
      </c>
      <c r="BF19" s="21" t="str">
        <f t="shared" si="2"/>
        <v>, zoneIds={144,936,3}, veteran=false</v>
      </c>
      <c r="BG19" s="21" t="str">
        <f t="shared" si="3"/>
        <v>, setType=LIBSETS_SETTYPE_DUNGEON</v>
      </c>
      <c r="BH19" s="21" t="str">
        <f t="shared" si="4"/>
        <v>, dropMechanic={LIBSETS_DROP_MECHANIC_GROUP_DUNGEON_BOSS,LIBSETS_DROP_MECHANIC_GROUP_DUNGEON_BOSS}</v>
      </c>
      <c r="BI19" s="21" t="str">
        <f t="shared" si="5"/>
        <v>}, --Knightmare / Albtraumritter   [Spindleclutch I, Spindleclutch II, Glenumbra]</v>
      </c>
    </row>
    <row r="20" spans="1:61" x14ac:dyDescent="0.25">
      <c r="A20" s="12">
        <v>36</v>
      </c>
      <c r="B20" t="s">
        <v>752</v>
      </c>
      <c r="C20" t="s">
        <v>753</v>
      </c>
      <c r="D20" s="3">
        <f t="shared" si="0"/>
        <v>36</v>
      </c>
      <c r="E20" s="40"/>
      <c r="G20" s="8" t="s">
        <v>1473</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1553</v>
      </c>
      <c r="AI20" s="41"/>
      <c r="AJ20" s="41"/>
      <c r="AK20" s="3">
        <f>IF(AND(G20&lt;&gt;"LIBSETS_SETTYPE_BATTLEGROUND",G20&lt;&gt;"LIBSETS_SETTYPE_SPECIAL"),IF(AL20&lt;&gt;"",VLOOKUP(AL20,'ESO zone constants'!$D$5:$H$4955,5,FALSE),""),"")</f>
        <v>381</v>
      </c>
      <c r="AL20" t="s">
        <v>262</v>
      </c>
      <c r="AM20" s="33" t="s">
        <v>1554</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5" t="s">
        <v>2645</v>
      </c>
      <c r="BA20" s="75"/>
      <c r="BB20" s="75"/>
      <c r="BC20" s="75"/>
      <c r="BD20" s="75"/>
      <c r="BE20" s="21" t="str">
        <f t="shared" si="1"/>
        <v>[36] = {wayshrines={121,121,121,}, dlcId=DLC_BASE_GAME</v>
      </c>
      <c r="BF20" s="21" t="str">
        <f t="shared" si="2"/>
        <v>, zoneIds={381,381,486,381}, veteran=false</v>
      </c>
      <c r="BG20" s="21" t="str">
        <f t="shared" si="3"/>
        <v>, setType=LIBSETS_SETTYPE_OVERLAND</v>
      </c>
      <c r="BH20" s="21" t="str">
        <f t="shared" si="4"/>
        <v>, dropMechanic={LIBSETS_DROP_MECHANIC_OVERLAND_BOSS_DELVE,LIBSETS_DROP_MECHANIC_OVERLAND_WORLDBOSS,LIBSETS_DROP_MECHANIC_OVERLAND_BOSS_PUBLIC_DUNGEON,LIBSETS_DROP_MECHANIC_OVERLAND_CHEST}</v>
      </c>
      <c r="BI20" s="21" t="str">
        <f t="shared" si="5"/>
        <v>}, --Armor of the Veiled Heritance / Rüstung des Schleiererbes   [Auridon, Auridon, Toothmaul Gully, Auridon]</v>
      </c>
    </row>
    <row r="21" spans="1:61" x14ac:dyDescent="0.25">
      <c r="A21" s="5">
        <v>37</v>
      </c>
      <c r="B21" t="s">
        <v>2763</v>
      </c>
      <c r="C21" t="s">
        <v>2534</v>
      </c>
      <c r="D21" s="3">
        <f t="shared" si="0"/>
        <v>37</v>
      </c>
      <c r="G21" s="8" t="s">
        <v>1467</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3276</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3276</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5" t="s">
        <v>2645</v>
      </c>
      <c r="BA21" s="75"/>
      <c r="BB21" s="75"/>
      <c r="BC21" s="75"/>
      <c r="BD21" s="75"/>
      <c r="BE21" s="21" t="str">
        <f t="shared" si="1"/>
        <v>[37] = {wayshrines={1,177,71,}, traitsNeeded=2, dlcId=DLC_BASE_GAME</v>
      </c>
      <c r="BF21" s="21" t="str">
        <f t="shared" si="2"/>
        <v>, zoneIds={3,381,41}, veteran=false</v>
      </c>
      <c r="BG21" s="21" t="str">
        <f t="shared" si="3"/>
        <v>, setType=LIBSETS_SETTYPE_CRAFTED</v>
      </c>
      <c r="BH21" s="21" t="str">
        <f t="shared" si="4"/>
        <v>, dropMechanic={LIBSETS_DROP_MECHANIC_CRAFTED,LIBSETS_DROP_MECHANIC_CRAFTED,LIBSETS_DROP_MECHANIC_CRAFTED}</v>
      </c>
      <c r="BI21" s="21" t="str">
        <f t="shared" si="5"/>
        <v>}, --Death\'s Wind / Todeswind   [Glenumbra, Auridon, Stonefalls]</v>
      </c>
    </row>
    <row r="22" spans="1:61" x14ac:dyDescent="0.25">
      <c r="A22" s="5">
        <v>38</v>
      </c>
      <c r="B22" t="s">
        <v>2764</v>
      </c>
      <c r="C22" t="s">
        <v>2535</v>
      </c>
      <c r="D22" s="3">
        <f t="shared" si="0"/>
        <v>38</v>
      </c>
      <c r="G22" s="8" t="s">
        <v>1467</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3276</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5" t="s">
        <v>2646</v>
      </c>
      <c r="BA22" s="75"/>
      <c r="BB22" s="75"/>
      <c r="BC22" s="75"/>
      <c r="BD22" s="75"/>
      <c r="BE22" s="21" t="str">
        <f t="shared" si="1"/>
        <v>[38] = {wayshrines={15,169,205,}, traitsNeeded=3, dlcId=DLC_BASE_GAME</v>
      </c>
      <c r="BF22" s="21" t="str">
        <f t="shared" si="2"/>
        <v>, zoneIds={19,383,57}, veteran=false</v>
      </c>
      <c r="BG22" s="21" t="str">
        <f t="shared" si="3"/>
        <v>, setType=LIBSETS_SETTYPE_CRAFTED</v>
      </c>
      <c r="BH22" s="21" t="str">
        <f t="shared" si="4"/>
        <v>, isProcSetAllowedInPvP=1, dropMechanic={LIBSETS_DROP_MECHANIC_CRAFTED,LIBSETS_DROP_MECHANIC_CRAFTED,LIBSETS_DROP_MECHANIC_CRAFTED}</v>
      </c>
      <c r="BI22" s="21" t="str">
        <f t="shared" si="5"/>
        <v>}, --Twilight\'s Embrace / Zwielichtkuss   [Stormhaven, Grahtwood, Deshaan]</v>
      </c>
    </row>
    <row r="23" spans="1:61" x14ac:dyDescent="0.25">
      <c r="A23" s="12">
        <v>39</v>
      </c>
      <c r="B23" t="s">
        <v>754</v>
      </c>
      <c r="C23" t="s">
        <v>755</v>
      </c>
      <c r="D23" s="3">
        <f t="shared" si="0"/>
        <v>39</v>
      </c>
      <c r="E23" s="40"/>
      <c r="G23" s="8" t="s">
        <v>1468</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3718</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2756</v>
      </c>
      <c r="AK23" s="3">
        <f>IF(AND(G23&lt;&gt;"LIBSETS_SETTYPE_BATTLEGROUND",G23&lt;&gt;"LIBSETS_SETTYPE_SPECIAL"),IF(AL23&lt;&gt;"",VLOOKUP(AL23,'ESO zone constants'!$D$5:$H$4955,5,FALSE),""),"")</f>
        <v>181</v>
      </c>
      <c r="AL23" t="s">
        <v>125</v>
      </c>
      <c r="AM23" s="33" t="s">
        <v>3721</v>
      </c>
      <c r="AP23" s="3">
        <f>IF(AND(G23&lt;&gt;"LIBSETS_SETTYPE_BATTLEGROUND",G23&lt;&gt;"LIBSETS_SETTYPE_SPECIAL"),IF(AQ23&lt;&gt;"",VLOOKUP(AQ23,'ESO zone constants'!$D$5:$H$4955,5,FALSE),""),"")</f>
        <v>181</v>
      </c>
      <c r="AQ23" t="s">
        <v>125</v>
      </c>
      <c r="AR23" s="33" t="s">
        <v>1551</v>
      </c>
      <c r="AU23" s="3">
        <f>IF(AND(G23&lt;&gt;"LIBSETS_SETTYPE_BATTLEGROUND",G23&lt;&gt;"LIBSETS_SETTYPE_SPECIAL"),IF(AV23&lt;&gt;"",VLOOKUP(AV23,'ESO zone constants'!$D$5:$H$4955,5,FALSE),""),"")</f>
        <v>181</v>
      </c>
      <c r="AV23" t="s">
        <v>125</v>
      </c>
      <c r="AW23" s="33" t="s">
        <v>3225</v>
      </c>
      <c r="AZ23" s="75" t="s">
        <v>2645</v>
      </c>
      <c r="BA23" s="75"/>
      <c r="BB23" s="75"/>
      <c r="BC23" s="75"/>
      <c r="BD23" s="75"/>
      <c r="BE23" s="21" t="str">
        <f t="shared" si="1"/>
        <v>[39] = {wayshrines={-1,-1,-1,}, dlcId=DLC_BASE_GAME</v>
      </c>
      <c r="BF23" s="21" t="str">
        <f t="shared" si="2"/>
        <v>, zoneIds={181,181,181,181,181,181}, veteran=false</v>
      </c>
      <c r="BG23" s="21" t="str">
        <f t="shared" si="3"/>
        <v>, setType=LIBSETS_SETTYPE_CYRODIIL</v>
      </c>
      <c r="BH23"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5"/>
        <v>}, --Alessian Order / Alessianischer Orden   [Cyrodiil, Cyrodiil, Cyrodiil, Cyrodiil, Cyrodiil, Cyrodiil]</v>
      </c>
    </row>
    <row r="24" spans="1:61" x14ac:dyDescent="0.25">
      <c r="A24" s="5">
        <v>40</v>
      </c>
      <c r="B24" t="s">
        <v>2765</v>
      </c>
      <c r="C24" t="s">
        <v>2536</v>
      </c>
      <c r="D24" s="3">
        <f t="shared" si="0"/>
        <v>40</v>
      </c>
      <c r="G24" s="8" t="s">
        <v>1467</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3276</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5" t="s">
        <v>2645</v>
      </c>
      <c r="BA24" s="75"/>
      <c r="BB24" s="75"/>
      <c r="BC24" s="75"/>
      <c r="BD24" s="75"/>
      <c r="BE24" s="21" t="str">
        <f t="shared" si="1"/>
        <v>[40] = {wayshrines={216,121,65,}, traitsNeeded=2, dlcId=DLC_BASE_GAME</v>
      </c>
      <c r="BF24" s="21" t="str">
        <f t="shared" si="2"/>
        <v>, zoneIds={3,381,41}, veteran=false</v>
      </c>
      <c r="BG24" s="21" t="str">
        <f t="shared" si="3"/>
        <v>, setType=LIBSETS_SETTYPE_CRAFTED</v>
      </c>
      <c r="BH24" s="21" t="str">
        <f t="shared" si="4"/>
        <v>, dropMechanic={LIBSETS_DROP_MECHANIC_CRAFTED,LIBSETS_DROP_MECHANIC_CRAFTED,LIBSETS_DROP_MECHANIC_CRAFTED}</v>
      </c>
      <c r="BI24" s="21" t="str">
        <f t="shared" si="5"/>
        <v>}, --Night\'s Silence / Stille der Nacht   [Glenumbra, Auridon, Stonefalls]</v>
      </c>
    </row>
    <row r="25" spans="1:61" x14ac:dyDescent="0.25">
      <c r="A25" s="5">
        <v>41</v>
      </c>
      <c r="B25" t="s">
        <v>2766</v>
      </c>
      <c r="C25" t="s">
        <v>2537</v>
      </c>
      <c r="D25" s="3">
        <f t="shared" si="0"/>
        <v>41</v>
      </c>
      <c r="G25" s="8" t="s">
        <v>1467</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3276</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5" t="s">
        <v>2645</v>
      </c>
      <c r="BA25" s="75"/>
      <c r="BB25" s="75"/>
      <c r="BC25" s="75"/>
      <c r="BD25" s="75"/>
      <c r="BE25" s="21" t="str">
        <f t="shared" si="1"/>
        <v>[41] = {wayshrines={82,151,78,}, traitsNeeded=4, dlcId=DLC_BASE_GAME</v>
      </c>
      <c r="BF25" s="21" t="str">
        <f t="shared" si="2"/>
        <v>, zoneIds={20,108,117}, veteran=false</v>
      </c>
      <c r="BG25" s="21" t="str">
        <f t="shared" si="3"/>
        <v>, setType=LIBSETS_SETTYPE_CRAFTED</v>
      </c>
      <c r="BH25" s="21" t="str">
        <f t="shared" si="4"/>
        <v>, dropMechanic={LIBSETS_DROP_MECHANIC_CRAFTED,LIBSETS_DROP_MECHANIC_CRAFTED,LIBSETS_DROP_MECHANIC_CRAFTED}</v>
      </c>
      <c r="BI25" s="21" t="str">
        <f t="shared" si="5"/>
        <v>}, --Whitestrake\'s Retribution / Weißplankes Vergeltung   [Rivenspire, Greenshade, Shadowfen]</v>
      </c>
    </row>
    <row r="26" spans="1:61" x14ac:dyDescent="0.25">
      <c r="A26" s="5">
        <v>43</v>
      </c>
      <c r="B26" t="s">
        <v>2767</v>
      </c>
      <c r="C26" t="s">
        <v>756</v>
      </c>
      <c r="D26" s="3">
        <f t="shared" si="0"/>
        <v>43</v>
      </c>
      <c r="G26" s="8" t="s">
        <v>1467</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3276</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3276</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5" t="s">
        <v>2646</v>
      </c>
      <c r="BA26" s="75"/>
      <c r="BB26" s="75"/>
      <c r="BC26" s="75"/>
      <c r="BD26" s="75"/>
      <c r="BE26" s="21" t="str">
        <f t="shared" si="1"/>
        <v>[43] = {wayshrines={23,164,32,}, traitsNeeded=3, dlcId=DLC_BASE_GAME</v>
      </c>
      <c r="BF26" s="21" t="str">
        <f t="shared" si="2"/>
        <v>, zoneIds={19,383,57}, veteran=false</v>
      </c>
      <c r="BG26" s="21" t="str">
        <f t="shared" si="3"/>
        <v>, setType=LIBSETS_SETTYPE_CRAFTED</v>
      </c>
      <c r="BH26" s="21" t="str">
        <f t="shared" si="4"/>
        <v>, isProcSetAllowedInPvP=1, dropMechanic={LIBSETS_DROP_MECHANIC_CRAFTED,LIBSETS_DROP_MECHANIC_CRAFTED,LIBSETS_DROP_MECHANIC_CRAFTED}</v>
      </c>
      <c r="BI26" s="21" t="str">
        <f t="shared" si="5"/>
        <v>}, --Armor of the Seducer / Rüstung der Verführung   [Stormhaven, Grahtwood, Deshaan]</v>
      </c>
    </row>
    <row r="27" spans="1:61" x14ac:dyDescent="0.25">
      <c r="A27" s="5">
        <v>44</v>
      </c>
      <c r="B27" t="s">
        <v>2768</v>
      </c>
      <c r="C27" t="s">
        <v>2538</v>
      </c>
      <c r="D27" s="3">
        <f t="shared" si="0"/>
        <v>44</v>
      </c>
      <c r="G27" s="8" t="s">
        <v>1467</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3276</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5" t="s">
        <v>2645</v>
      </c>
      <c r="BA27" s="75"/>
      <c r="BB27" s="75"/>
      <c r="BC27" s="75"/>
      <c r="BD27" s="75"/>
      <c r="BE27" s="21" t="str">
        <f t="shared" si="1"/>
        <v>[44] = {wayshrines={58,101,93,}, traitsNeeded=5, dlcId=DLC_BASE_GAME</v>
      </c>
      <c r="BF27" s="21" t="str">
        <f t="shared" si="2"/>
        <v>, zoneIds={104,58,101}, veteran=false</v>
      </c>
      <c r="BG27" s="21" t="str">
        <f t="shared" si="3"/>
        <v>, setType=LIBSETS_SETTYPE_CRAFTED</v>
      </c>
      <c r="BH27" s="21" t="str">
        <f t="shared" si="4"/>
        <v>, dropMechanic={LIBSETS_DROP_MECHANIC_CRAFTED,LIBSETS_DROP_MECHANIC_CRAFTED,LIBSETS_DROP_MECHANIC_CRAFTED}</v>
      </c>
      <c r="BI27" s="21" t="str">
        <f t="shared" si="5"/>
        <v>}, --Vampire\'s Kiss / Kuss des Vampirs   [Alik'r Desert, Malabal Tor, Eastmarch]</v>
      </c>
    </row>
    <row r="28" spans="1:61" x14ac:dyDescent="0.25">
      <c r="A28" s="12">
        <v>46</v>
      </c>
      <c r="B28" t="s">
        <v>757</v>
      </c>
      <c r="C28" t="s">
        <v>2539</v>
      </c>
      <c r="D28" s="3">
        <f t="shared" si="0"/>
        <v>46</v>
      </c>
      <c r="E28" s="40"/>
      <c r="G28" s="8" t="s">
        <v>1470</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5" t="s">
        <v>2645</v>
      </c>
      <c r="BA28" s="75"/>
      <c r="BB28" s="75"/>
      <c r="BC28" s="75"/>
      <c r="BD28" s="75"/>
      <c r="BE28" s="21" t="str">
        <f t="shared" si="1"/>
        <v>[46] = {wayshrines={187,187,187,}, dlcId=DLC_BASE_GAME</v>
      </c>
      <c r="BF28" s="21" t="str">
        <f t="shared" si="2"/>
        <v>, zoneIds={64,103,103}, veteran=false</v>
      </c>
      <c r="BG28" s="21" t="str">
        <f t="shared" si="3"/>
        <v>, setType=LIBSETS_SETTYPE_DUNGEON</v>
      </c>
      <c r="BH28" s="21" t="str">
        <f t="shared" si="4"/>
        <v>, dropMechanic={LIBSETS_DROP_MECHANIC_GROUP_DUNGEON_BOSS}</v>
      </c>
      <c r="BI28" s="21" t="str">
        <f t="shared" si="5"/>
        <v>}, --Noble Duelist\'s Silks / Seide des edlen Duellanten   [Blessed Crucible, The Rift, The Rift]</v>
      </c>
    </row>
    <row r="29" spans="1:61" x14ac:dyDescent="0.25">
      <c r="A29" s="12">
        <v>47</v>
      </c>
      <c r="B29" t="s">
        <v>758</v>
      </c>
      <c r="C29" t="s">
        <v>759</v>
      </c>
      <c r="D29" s="3">
        <f t="shared" si="0"/>
        <v>47</v>
      </c>
      <c r="E29" s="40"/>
      <c r="G29" s="8" t="s">
        <v>1473</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1553</v>
      </c>
      <c r="AI29" s="41"/>
      <c r="AJ29" s="41"/>
      <c r="AK29" s="3">
        <f>IF(AND(G29&lt;&gt;"LIBSETS_SETTYPE_BATTLEGROUND",G29&lt;&gt;"LIBSETS_SETTYPE_SPECIAL"),IF(AL29&lt;&gt;"",VLOOKUP(AL29,'ESO zone constants'!$D$5:$H$4955,5,FALSE),""),"")</f>
        <v>104</v>
      </c>
      <c r="AL29" t="s">
        <v>112</v>
      </c>
      <c r="AM29" s="33" t="s">
        <v>1554</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5" t="s">
        <v>2645</v>
      </c>
      <c r="BA29" s="75"/>
      <c r="BB29" s="75"/>
      <c r="BC29" s="75"/>
      <c r="BD29" s="75"/>
      <c r="BE29" s="21" t="str">
        <f t="shared" si="1"/>
        <v>[47] = {wayshrines={61,61,61,}, dlcId=DLC_BASE_GAME</v>
      </c>
      <c r="BF29" s="21" t="str">
        <f t="shared" si="2"/>
        <v>, zoneIds={104,104,308,104}, veteran=false</v>
      </c>
      <c r="BG29" s="21" t="str">
        <f t="shared" si="3"/>
        <v>, setType=LIBSETS_SETTYPE_OVERLAND</v>
      </c>
      <c r="BH29" s="21" t="str">
        <f t="shared" si="4"/>
        <v>, dropMechanic={LIBSETS_DROP_MECHANIC_OVERLAND_BOSS_DELVE,LIBSETS_DROP_MECHANIC_OVERLAND_WORLDBOSS,LIBSETS_DROP_MECHANIC_OVERLAND_BOSS_PUBLIC_DUNGEON,LIBSETS_DROP_MECHANIC_OVERLAND_CHEST}</v>
      </c>
      <c r="BI29" s="21" t="str">
        <f t="shared" si="5"/>
        <v>}, --Robes of the Withered Hand / Roben der Verdorrten Hand   [Alik'r Desert, Alik'r Desert, Lost City of the Na-Totambu, Alik'r Desert]</v>
      </c>
    </row>
    <row r="30" spans="1:61" x14ac:dyDescent="0.25">
      <c r="A30" s="5">
        <v>48</v>
      </c>
      <c r="B30" t="s">
        <v>760</v>
      </c>
      <c r="C30" t="s">
        <v>2540</v>
      </c>
      <c r="D30" s="3">
        <f t="shared" si="0"/>
        <v>48</v>
      </c>
      <c r="G30" s="8" t="s">
        <v>1467</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3276</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5" t="s">
        <v>2645</v>
      </c>
      <c r="BA30" s="75"/>
      <c r="BB30" s="75"/>
      <c r="BC30" s="75"/>
      <c r="BD30" s="75"/>
      <c r="BE30" s="21" t="str">
        <f t="shared" si="1"/>
        <v>[48] = {wayshrines={13,148,48,}, traitsNeeded=4, dlcId=DLC_BASE_GAME</v>
      </c>
      <c r="BF30" s="21" t="str">
        <f t="shared" si="2"/>
        <v>, zoneIds={20,108,117}, veteran=false</v>
      </c>
      <c r="BG30" s="21" t="str">
        <f t="shared" si="3"/>
        <v>, setType=LIBSETS_SETTYPE_CRAFTED</v>
      </c>
      <c r="BH30" s="21" t="str">
        <f t="shared" si="4"/>
        <v>, dropMechanic={LIBSETS_DROP_MECHANIC_CRAFTED,LIBSETS_DROP_MECHANIC_CRAFTED,LIBSETS_DROP_MECHANIC_CRAFTED}</v>
      </c>
      <c r="BI30" s="21" t="str">
        <f t="shared" si="5"/>
        <v>}, --Magnus\' Gift / Magnus' Gabe   [Rivenspire, Greenshade, Shadowfen]</v>
      </c>
    </row>
    <row r="31" spans="1:61" x14ac:dyDescent="0.25">
      <c r="A31" s="12">
        <v>49</v>
      </c>
      <c r="B31" t="s">
        <v>761</v>
      </c>
      <c r="C31" t="s">
        <v>762</v>
      </c>
      <c r="D31" s="3">
        <f t="shared" si="0"/>
        <v>49</v>
      </c>
      <c r="G31" s="8" t="s">
        <v>1473</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1553</v>
      </c>
      <c r="AI31" s="41"/>
      <c r="AJ31" s="41"/>
      <c r="AK31" s="3">
        <f>IF(AND(G31&lt;&gt;"LIBSETS_SETTYPE_BATTLEGROUND",G31&lt;&gt;"LIBSETS_SETTYPE_SPECIAL"),IF(AL31&lt;&gt;"",VLOOKUP(AL31,'ESO zone constants'!$D$5:$H$4955,5,FALSE),""),"")</f>
        <v>41</v>
      </c>
      <c r="AL31" t="s">
        <v>106</v>
      </c>
      <c r="AM31" s="33" t="s">
        <v>1554</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5" t="s">
        <v>2645</v>
      </c>
      <c r="BA31" s="75"/>
      <c r="BB31" s="75"/>
      <c r="BC31" s="75"/>
      <c r="BD31" s="75"/>
      <c r="BE31" s="21" t="str">
        <f t="shared" si="1"/>
        <v>[49] = {wayshrines={65,65,65,}, dlcId=DLC_BASE_GAME</v>
      </c>
      <c r="BF31" s="21" t="str">
        <f t="shared" si="2"/>
        <v>, zoneIds={41,41,216,41}, veteran=false</v>
      </c>
      <c r="BG31" s="21" t="str">
        <f t="shared" si="3"/>
        <v>, setType=LIBSETS_SETTYPE_OVERLAND</v>
      </c>
      <c r="BH31" s="21" t="str">
        <f t="shared" si="4"/>
        <v>, dropMechanic={LIBSETS_DROP_MECHANIC_OVERLAND_BOSS_DELVE,LIBSETS_DROP_MECHANIC_OVERLAND_WORLDBOSS,LIBSETS_DROP_MECHANIC_OVERLAND_BOSS_PUBLIC_DUNGEON,LIBSETS_DROP_MECHANIC_OVERLAND_CHEST}</v>
      </c>
      <c r="BI31" s="21" t="str">
        <f t="shared" si="5"/>
        <v>}, --Shadow of the Red Mountain / Schatten des Roten Berges   [Stonefalls, Stonefalls, Crow's Wood, Stonefalls]</v>
      </c>
    </row>
    <row r="32" spans="1:61" x14ac:dyDescent="0.25">
      <c r="A32" s="12">
        <v>50</v>
      </c>
      <c r="B32" t="s">
        <v>763</v>
      </c>
      <c r="C32" t="s">
        <v>764</v>
      </c>
      <c r="D32" s="3">
        <f t="shared" si="0"/>
        <v>50</v>
      </c>
      <c r="E32" s="40"/>
      <c r="G32" s="8" t="s">
        <v>1468</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2756</v>
      </c>
      <c r="AK32" s="3">
        <f>IF(AND(G32&lt;&gt;"LIBSETS_SETTYPE_BATTLEGROUND",G32&lt;&gt;"LIBSETS_SETTYPE_SPECIAL"),IF(AL32&lt;&gt;"",VLOOKUP(AL32,'ESO zone constants'!$D$5:$H$4955,5,FALSE),""),"")</f>
        <v>181</v>
      </c>
      <c r="AL32" t="s">
        <v>125</v>
      </c>
      <c r="AM32" s="33" t="s">
        <v>3721</v>
      </c>
      <c r="AP32" s="3">
        <f>IF(AND(G32&lt;&gt;"LIBSETS_SETTYPE_BATTLEGROUND",G32&lt;&gt;"LIBSETS_SETTYPE_SPECIAL"),IF(AQ32&lt;&gt;"",VLOOKUP(AQ32,'ESO zone constants'!$D$5:$H$4955,5,FALSE),""),"")</f>
        <v>181</v>
      </c>
      <c r="AQ32" t="s">
        <v>125</v>
      </c>
      <c r="AR32" s="33" t="s">
        <v>1551</v>
      </c>
      <c r="AU32" s="3">
        <f>IF(AND(G32&lt;&gt;"LIBSETS_SETTYPE_BATTLEGROUND",G32&lt;&gt;"LIBSETS_SETTYPE_SPECIAL"),IF(AV32&lt;&gt;"",VLOOKUP(AV32,'ESO zone constants'!$D$5:$H$4955,5,FALSE),""),"")</f>
        <v>181</v>
      </c>
      <c r="AV32" t="s">
        <v>125</v>
      </c>
      <c r="AW32" s="33" t="s">
        <v>3225</v>
      </c>
      <c r="AZ32" s="75" t="s">
        <v>2645</v>
      </c>
      <c r="BA32" s="75"/>
      <c r="BB32" s="75"/>
      <c r="BC32" s="75"/>
      <c r="BD32" s="75"/>
      <c r="BE32" s="21" t="str">
        <f t="shared" si="1"/>
        <v>[50] = {wayshrines={-1,-1,-1,}, dlcId=DLC_BASE_GAME</v>
      </c>
      <c r="BF32" s="21" t="str">
        <f t="shared" si="2"/>
        <v>, zoneIds={181,181,181,181,181,181}, veteran=false</v>
      </c>
      <c r="BG32" s="21" t="str">
        <f t="shared" si="3"/>
        <v>, setType=LIBSETS_SETTYPE_CYRODIIL</v>
      </c>
      <c r="BH32"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5"/>
        <v>}, --The Morag Tong / Morag Tong   [Cyrodiil, Cyrodiil, Cyrodiil, Cyrodiil, Cyrodiil, Cyrodiil]</v>
      </c>
    </row>
    <row r="33" spans="1:61" x14ac:dyDescent="0.25">
      <c r="A33" s="5">
        <v>51</v>
      </c>
      <c r="B33" t="s">
        <v>765</v>
      </c>
      <c r="C33" t="s">
        <v>2541</v>
      </c>
      <c r="D33" s="3">
        <f t="shared" si="0"/>
        <v>51</v>
      </c>
      <c r="G33" s="8" t="s">
        <v>1467</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3276</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5" t="s">
        <v>2645</v>
      </c>
      <c r="BA33" s="75"/>
      <c r="BB33" s="75"/>
      <c r="BC33" s="75"/>
      <c r="BD33" s="75"/>
      <c r="BE33" s="21" t="str">
        <f t="shared" si="1"/>
        <v>[51] = {wayshrines={34,156,118,}, traitsNeeded=6, dlcId=DLC_BASE_GAME</v>
      </c>
      <c r="BF33" s="21" t="str">
        <f t="shared" si="2"/>
        <v>, zoneIds={92,382,103}, veteran=false</v>
      </c>
      <c r="BG33" s="21" t="str">
        <f t="shared" si="3"/>
        <v>, setType=LIBSETS_SETTYPE_CRAFTED</v>
      </c>
      <c r="BH33" s="21" t="str">
        <f t="shared" si="4"/>
        <v>, dropMechanic={LIBSETS_DROP_MECHANIC_CRAFTED,LIBSETS_DROP_MECHANIC_CRAFTED,LIBSETS_DROP_MECHANIC_CRAFTED}</v>
      </c>
      <c r="BI33" s="21" t="str">
        <f t="shared" si="5"/>
        <v>}, --Night Mother\'s Gaze / Blick der Mutter der Nacht   [Bangkorai, Reaper's March, The Rift]</v>
      </c>
    </row>
    <row r="34" spans="1:61" x14ac:dyDescent="0.25">
      <c r="A34" s="12">
        <v>52</v>
      </c>
      <c r="B34" t="s">
        <v>766</v>
      </c>
      <c r="C34" t="s">
        <v>767</v>
      </c>
      <c r="D34" s="3">
        <f t="shared" si="0"/>
        <v>52</v>
      </c>
      <c r="E34" s="40"/>
      <c r="G34" s="8" t="s">
        <v>1468</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3718</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2756</v>
      </c>
      <c r="AK34" s="3">
        <f>IF(AND(G34&lt;&gt;"LIBSETS_SETTYPE_BATTLEGROUND",G34&lt;&gt;"LIBSETS_SETTYPE_SPECIAL"),IF(AL34&lt;&gt;"",VLOOKUP(AL34,'ESO zone constants'!$D$5:$H$4955,5,FALSE),""),"")</f>
        <v>181</v>
      </c>
      <c r="AL34" t="s">
        <v>125</v>
      </c>
      <c r="AM34" s="33" t="s">
        <v>3721</v>
      </c>
      <c r="AP34" s="3">
        <f>IF(AND(G34&lt;&gt;"LIBSETS_SETTYPE_BATTLEGROUND",G34&lt;&gt;"LIBSETS_SETTYPE_SPECIAL"),IF(AQ34&lt;&gt;"",VLOOKUP(AQ34,'ESO zone constants'!$D$5:$H$4955,5,FALSE),""),"")</f>
        <v>181</v>
      </c>
      <c r="AQ34" t="s">
        <v>125</v>
      </c>
      <c r="AR34" s="33" t="s">
        <v>1551</v>
      </c>
      <c r="AU34" s="3">
        <f>IF(AND(G34&lt;&gt;"LIBSETS_SETTYPE_BATTLEGROUND",G34&lt;&gt;"LIBSETS_SETTYPE_SPECIAL"),IF(AV34&lt;&gt;"",VLOOKUP(AV34,'ESO zone constants'!$D$5:$H$4955,5,FALSE),""),"")</f>
        <v>181</v>
      </c>
      <c r="AV34" t="s">
        <v>125</v>
      </c>
      <c r="AW34" s="33" t="s">
        <v>3225</v>
      </c>
      <c r="AZ34" s="75" t="s">
        <v>2645</v>
      </c>
      <c r="BA34" s="75"/>
      <c r="BB34" s="75"/>
      <c r="BC34" s="75"/>
      <c r="BD34" s="75"/>
      <c r="BE34" s="21" t="str">
        <f t="shared" si="1"/>
        <v>[52] = {wayshrines={-1,-1,-1,}, dlcId=DLC_BASE_GAME</v>
      </c>
      <c r="BF34" s="21" t="str">
        <f t="shared" si="2"/>
        <v>, zoneIds={181,181,181,181,181,181}, veteran=false</v>
      </c>
      <c r="BG34" s="21" t="str">
        <f t="shared" si="3"/>
        <v>, setType=LIBSETS_SETTYPE_CYRODIIL</v>
      </c>
      <c r="BH34"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5"/>
        <v>}, --Beckoning Steel / Klingender Stahl   [Cyrodiil, Cyrodiil, Cyrodiil, Cyrodiil, Cyrodiil, Cyrodiil]</v>
      </c>
    </row>
    <row r="35" spans="1:61" x14ac:dyDescent="0.25">
      <c r="A35" s="12">
        <v>53</v>
      </c>
      <c r="B35" t="s">
        <v>768</v>
      </c>
      <c r="C35" t="s">
        <v>769</v>
      </c>
      <c r="D35" s="3">
        <f t="shared" si="0"/>
        <v>53</v>
      </c>
      <c r="G35" s="8" t="s">
        <v>1470</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5" t="s">
        <v>2645</v>
      </c>
      <c r="BA35" s="75"/>
      <c r="BB35" s="75"/>
      <c r="BC35" s="75"/>
      <c r="BD35" s="75"/>
      <c r="BE35" s="21" t="str">
        <f t="shared" si="1"/>
        <v>[53] = {wayshrines={195,195,195,}, dlcId=DLC_BASE_GAME</v>
      </c>
      <c r="BF35" s="21" t="str">
        <f t="shared" si="2"/>
        <v>, zoneIds={449,101,101}, veteran=false</v>
      </c>
      <c r="BG35" s="21" t="str">
        <f t="shared" si="3"/>
        <v>, setType=LIBSETS_SETTYPE_DUNGEON</v>
      </c>
      <c r="BH35" s="21" t="str">
        <f t="shared" si="4"/>
        <v>, dropMechanic={LIBSETS_DROP_MECHANIC_GROUP_DUNGEON_BOSS}</v>
      </c>
      <c r="BI35" s="21" t="str">
        <f t="shared" si="5"/>
        <v>}, --The Ice Furnace / Eisschmiede   [Direfrost Keep, Eastmarch, Eastmarch]</v>
      </c>
    </row>
    <row r="36" spans="1:61" x14ac:dyDescent="0.25">
      <c r="A36" s="5">
        <v>54</v>
      </c>
      <c r="B36" t="s">
        <v>770</v>
      </c>
      <c r="C36" t="s">
        <v>771</v>
      </c>
      <c r="D36" s="3">
        <f t="shared" si="0"/>
        <v>54</v>
      </c>
      <c r="G36" s="8" t="s">
        <v>1467</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3276</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3276</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5" t="s">
        <v>2645</v>
      </c>
      <c r="BA36" s="75"/>
      <c r="BB36" s="75"/>
      <c r="BC36" s="75"/>
      <c r="BD36" s="75"/>
      <c r="BE36" s="21" t="str">
        <f t="shared" si="1"/>
        <v>[54] = {wayshrines={7,175,77,}, traitsNeeded=2, dlcId=DLC_BASE_GAME</v>
      </c>
      <c r="BF36" s="21" t="str">
        <f t="shared" si="2"/>
        <v>, zoneIds={3,381,41}, veteran=false</v>
      </c>
      <c r="BG36" s="21" t="str">
        <f t="shared" si="3"/>
        <v>, setType=LIBSETS_SETTYPE_CRAFTED</v>
      </c>
      <c r="BH36" s="21" t="str">
        <f t="shared" si="4"/>
        <v>, dropMechanic={LIBSETS_DROP_MECHANIC_CRAFTED,LIBSETS_DROP_MECHANIC_CRAFTED,LIBSETS_DROP_MECHANIC_CRAFTED}</v>
      </c>
      <c r="BI36" s="21" t="str">
        <f t="shared" si="5"/>
        <v>}, --Ashen Grip / Aschengriff   [Glenumbra, Auridon, Stonefalls]</v>
      </c>
    </row>
    <row r="37" spans="1:61" x14ac:dyDescent="0.25">
      <c r="A37" s="12">
        <v>55</v>
      </c>
      <c r="B37" t="s">
        <v>772</v>
      </c>
      <c r="C37" t="s">
        <v>773</v>
      </c>
      <c r="D37" s="3">
        <f t="shared" si="0"/>
        <v>55</v>
      </c>
      <c r="E37" s="56"/>
      <c r="G37" s="8" t="s">
        <v>1470</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3273</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6"/>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5" t="s">
        <v>2645</v>
      </c>
      <c r="BA37" s="75"/>
      <c r="BB37" s="75"/>
      <c r="BC37" s="75"/>
      <c r="BD37" s="75"/>
      <c r="BE37" s="21" t="str">
        <f t="shared" si="1"/>
        <v>[55] = {wayshrines={193,193,193,}, dlcId=DLC_BASE_GAME</v>
      </c>
      <c r="BF37" s="21" t="str">
        <f t="shared" si="2"/>
        <v>, zoneIds={144,936,3}, veteran=false</v>
      </c>
      <c r="BG37" s="21" t="str">
        <f t="shared" si="3"/>
        <v>, setType=LIBSETS_SETTYPE_DUNGEON</v>
      </c>
      <c r="BH37" s="21" t="str">
        <f t="shared" si="4"/>
        <v>, dropMechanic={LIBSETS_DROP_MECHANIC_GROUP_DUNGEON_BOSS,LIBSETS_DROP_MECHANIC_GROUP_DUNGEON_BOSS}</v>
      </c>
      <c r="BI37" s="21" t="str">
        <f t="shared" si="5"/>
        <v>}, --Prayer Shawl / Gebetstuch   [Spindleclutch I, Spindleclutch II, Glenumbra]</v>
      </c>
    </row>
    <row r="38" spans="1:61" x14ac:dyDescent="0.25">
      <c r="A38" s="12">
        <v>56</v>
      </c>
      <c r="B38" t="s">
        <v>774</v>
      </c>
      <c r="C38" t="s">
        <v>2542</v>
      </c>
      <c r="D38" s="3">
        <f t="shared" si="0"/>
        <v>56</v>
      </c>
      <c r="E38" s="56"/>
      <c r="G38" s="8" t="s">
        <v>1473</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1553</v>
      </c>
      <c r="AI38" s="41"/>
      <c r="AJ38" s="41"/>
      <c r="AK38" s="3">
        <f>IF(AND(G38&lt;&gt;"LIBSETS_SETTYPE_BATTLEGROUND",G38&lt;&gt;"LIBSETS_SETTYPE_SPECIAL"),IF(AL38&lt;&gt;"",VLOOKUP(AL38,'ESO zone constants'!$D$5:$H$4955,5,FALSE),""),"")</f>
        <v>101</v>
      </c>
      <c r="AL38" t="s">
        <v>110</v>
      </c>
      <c r="AM38" s="33" t="s">
        <v>1554</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5" t="s">
        <v>2645</v>
      </c>
      <c r="BA38" s="75"/>
      <c r="BB38" s="75"/>
      <c r="BC38" s="75"/>
      <c r="BD38" s="75"/>
      <c r="BE38" s="21" t="str">
        <f t="shared" si="1"/>
        <v>[56] = {wayshrines={93,93,93,}, dlcId=DLC_BASE_GAME</v>
      </c>
      <c r="BF38" s="21" t="str">
        <f t="shared" si="2"/>
        <v>, zoneIds={101,101,339,101}, veteran=false</v>
      </c>
      <c r="BG38" s="21" t="str">
        <f t="shared" si="3"/>
        <v>, setType=LIBSETS_SETTYPE_OVERLAND</v>
      </c>
      <c r="BH38" s="21" t="str">
        <f t="shared" si="4"/>
        <v>, dropMechanic={LIBSETS_DROP_MECHANIC_OVERLAND_BOSS_DELVE,LIBSETS_DROP_MECHANIC_OVERLAND_WORLDBOSS,LIBSETS_DROP_MECHANIC_OVERLAND_BOSS_PUBLIC_DUNGEON,LIBSETS_DROP_MECHANIC_OVERLAND_CHEST}</v>
      </c>
      <c r="BI38" s="21" t="str">
        <f t="shared" si="5"/>
        <v>}, --Stendarr\'s Embrace / Stendarrs Umarmung   [Eastmarch, Eastmarch, Hall of the Dead, Eastmarch]</v>
      </c>
    </row>
    <row r="39" spans="1:61" x14ac:dyDescent="0.25">
      <c r="A39" s="12">
        <v>57</v>
      </c>
      <c r="B39" t="s">
        <v>775</v>
      </c>
      <c r="C39" t="s">
        <v>2543</v>
      </c>
      <c r="D39" s="3">
        <f t="shared" si="0"/>
        <v>57</v>
      </c>
      <c r="E39" s="56"/>
      <c r="G39" s="8" t="s">
        <v>1473</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1553</v>
      </c>
      <c r="AI39" s="41"/>
      <c r="AJ39" s="41"/>
      <c r="AK39" s="3">
        <f>IF(AND(G39&lt;&gt;"LIBSETS_SETTYPE_BATTLEGROUND",G39&lt;&gt;"LIBSETS_SETTYPE_SPECIAL"),IF(AL39&lt;&gt;"",VLOOKUP(AL39,'ESO zone constants'!$D$5:$H$4955,5,FALSE),""),"")</f>
        <v>383</v>
      </c>
      <c r="AL39" t="s">
        <v>264</v>
      </c>
      <c r="AM39" s="33" t="s">
        <v>1554</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5" t="s">
        <v>2645</v>
      </c>
      <c r="BA39" s="75"/>
      <c r="BB39" s="75"/>
      <c r="BC39" s="75"/>
      <c r="BD39" s="75"/>
      <c r="BE39" s="21" t="str">
        <f t="shared" si="1"/>
        <v>[57] = {wayshrines={214,214,214,}, dlcId=DLC_BASE_GAME</v>
      </c>
      <c r="BF39" s="21" t="str">
        <f t="shared" si="2"/>
        <v>, zoneIds={383,383,124,383}, veteran=false</v>
      </c>
      <c r="BG39" s="21" t="str">
        <f t="shared" si="3"/>
        <v>, setType=LIBSETS_SETTYPE_OVERLAND</v>
      </c>
      <c r="BH39" s="21" t="str">
        <f t="shared" si="4"/>
        <v>, dropMechanic={LIBSETS_DROP_MECHANIC_OVERLAND_BOSS_DELVE,LIBSETS_DROP_MECHANIC_OVERLAND_WORLDBOSS,LIBSETS_DROP_MECHANIC_OVERLAND_BOSS_PUBLIC_DUNGEON,LIBSETS_DROP_MECHANIC_OVERLAND_CHEST}</v>
      </c>
      <c r="BI39" s="21" t="str">
        <f t="shared" si="5"/>
        <v>}, --Syrabane\'s Grip / Syrabanns Griff   [Grahtwood, Grahtwood, Root Sunder Ruins, Grahtwood]</v>
      </c>
    </row>
    <row r="40" spans="1:61" x14ac:dyDescent="0.25">
      <c r="A40" s="12">
        <v>58</v>
      </c>
      <c r="B40" t="s">
        <v>776</v>
      </c>
      <c r="C40" t="s">
        <v>777</v>
      </c>
      <c r="D40" s="3">
        <f t="shared" si="0"/>
        <v>58</v>
      </c>
      <c r="E40" s="56"/>
      <c r="G40" s="8" t="s">
        <v>1473</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1553</v>
      </c>
      <c r="AI40" s="41"/>
      <c r="AJ40" s="41"/>
      <c r="AK40" s="3">
        <f>IF(AND(G40&lt;&gt;"LIBSETS_SETTYPE_BATTLEGROUND",G40&lt;&gt;"LIBSETS_SETTYPE_SPECIAL"),IF(AL40&lt;&gt;"",VLOOKUP(AL40,'ESO zone constants'!$D$5:$H$4955,5,FALSE),""),"")</f>
        <v>3</v>
      </c>
      <c r="AL40" t="s">
        <v>103</v>
      </c>
      <c r="AM40" s="33" t="s">
        <v>1554</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5" t="s">
        <v>2645</v>
      </c>
      <c r="BA40" s="75"/>
      <c r="BB40" s="75"/>
      <c r="BC40" s="75"/>
      <c r="BD40" s="75"/>
      <c r="BE40" s="21" t="str">
        <f t="shared" si="1"/>
        <v>[58] = {wayshrines={62,62,62,}, dlcId=DLC_BASE_GAME</v>
      </c>
      <c r="BF40" s="21" t="str">
        <f t="shared" si="2"/>
        <v>, zoneIds={3,3,284,3}, veteran=false</v>
      </c>
      <c r="BG40" s="21" t="str">
        <f t="shared" si="3"/>
        <v>, setType=LIBSETS_SETTYPE_OVERLAND</v>
      </c>
      <c r="BH40" s="21" t="str">
        <f t="shared" si="4"/>
        <v>, dropMechanic={LIBSETS_DROP_MECHANIC_OVERLAND_BOSS_DELVE,LIBSETS_DROP_MECHANIC_OVERLAND_WORLDBOSS,LIBSETS_DROP_MECHANIC_OVERLAND_BOSS_PUBLIC_DUNGEON,LIBSETS_DROP_MECHANIC_OVERLAND_CHEST}</v>
      </c>
      <c r="BI40" s="21" t="str">
        <f t="shared" si="5"/>
        <v>}, --Hide of the Werewolf / Fell des Werwolfs   [Glenumbra, Glenumbra, Bad Man's Hallows, Glenumbra]</v>
      </c>
    </row>
    <row r="41" spans="1:61" x14ac:dyDescent="0.25">
      <c r="A41" s="12">
        <v>59</v>
      </c>
      <c r="B41" t="s">
        <v>778</v>
      </c>
      <c r="C41" t="s">
        <v>2544</v>
      </c>
      <c r="D41" s="3">
        <f t="shared" si="0"/>
        <v>59</v>
      </c>
      <c r="E41" s="56"/>
      <c r="G41" s="8" t="s">
        <v>1468</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2756</v>
      </c>
      <c r="AK41" s="3">
        <f>IF(AND(G41&lt;&gt;"LIBSETS_SETTYPE_BATTLEGROUND",G41&lt;&gt;"LIBSETS_SETTYPE_SPECIAL"),IF(AL41&lt;&gt;"",VLOOKUP(AL41,'ESO zone constants'!$D$5:$H$4955,5,FALSE),""),"")</f>
        <v>181</v>
      </c>
      <c r="AL41" t="s">
        <v>125</v>
      </c>
      <c r="AM41" s="33" t="s">
        <v>3721</v>
      </c>
      <c r="AP41" s="3">
        <f>IF(AND(G41&lt;&gt;"LIBSETS_SETTYPE_BATTLEGROUND",G41&lt;&gt;"LIBSETS_SETTYPE_SPECIAL"),IF(AQ41&lt;&gt;"",VLOOKUP(AQ41,'ESO zone constants'!$D$5:$H$4955,5,FALSE),""),"")</f>
        <v>181</v>
      </c>
      <c r="AQ41" t="s">
        <v>125</v>
      </c>
      <c r="AR41" s="33" t="s">
        <v>1551</v>
      </c>
      <c r="AU41" s="3">
        <f>IF(AND(G41&lt;&gt;"LIBSETS_SETTYPE_BATTLEGROUND",G41&lt;&gt;"LIBSETS_SETTYPE_SPECIAL"),IF(AV41&lt;&gt;"",VLOOKUP(AV41,'ESO zone constants'!$D$5:$H$4955,5,FALSE),""),"")</f>
        <v>181</v>
      </c>
      <c r="AV41" t="s">
        <v>125</v>
      </c>
      <c r="AW41" s="33" t="s">
        <v>3225</v>
      </c>
      <c r="AZ41" s="75" t="s">
        <v>2645</v>
      </c>
      <c r="BA41" s="75"/>
      <c r="BB41" s="75"/>
      <c r="BC41" s="75"/>
      <c r="BD41" s="75"/>
      <c r="BE41" s="21" t="str">
        <f t="shared" si="1"/>
        <v>[59] = {wayshrines={-1,-1,-1,}, dlcId=DLC_BASE_GAME</v>
      </c>
      <c r="BF41" s="21" t="str">
        <f t="shared" si="2"/>
        <v>, zoneIds={181,181,181,181,181,181}, veteran=false</v>
      </c>
      <c r="BG41" s="21" t="str">
        <f t="shared" si="3"/>
        <v>, setType=LIBSETS_SETTYPE_CYRODIIL</v>
      </c>
      <c r="BH41"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5"/>
        <v>}, --Kyne\'s Kiss / Kynes Kuss   [Cyrodiil, Cyrodiil, Cyrodiil, Cyrodiil, Cyrodiil, Cyrodiil]</v>
      </c>
    </row>
    <row r="42" spans="1:61" x14ac:dyDescent="0.25">
      <c r="A42" s="12">
        <v>60</v>
      </c>
      <c r="B42" t="s">
        <v>779</v>
      </c>
      <c r="C42" t="s">
        <v>780</v>
      </c>
      <c r="D42" s="3">
        <f t="shared" si="0"/>
        <v>60</v>
      </c>
      <c r="E42" s="56"/>
      <c r="G42" s="8" t="s">
        <v>1473</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1553</v>
      </c>
      <c r="AI42" s="41"/>
      <c r="AJ42" s="41"/>
      <c r="AK42" s="3">
        <f>IF(AND(G42&lt;&gt;"LIBSETS_SETTYPE_BATTLEGROUND",G42&lt;&gt;"LIBSETS_SETTYPE_SPECIAL"),IF(AL42&lt;&gt;"",VLOOKUP(AL42,'ESO zone constants'!$D$5:$H$4955,5,FALSE),""),"")</f>
        <v>20</v>
      </c>
      <c r="AL42" t="s">
        <v>105</v>
      </c>
      <c r="AM42" s="33" t="s">
        <v>1554</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5" t="s">
        <v>2646</v>
      </c>
      <c r="BA42" s="75"/>
      <c r="BB42" s="75"/>
      <c r="BC42" s="75"/>
      <c r="BD42" s="75"/>
      <c r="BE42" s="21" t="str">
        <f t="shared" si="1"/>
        <v>[60] = {wayshrines={55,55,55,}, dlcId=DLC_BASE_GAME</v>
      </c>
      <c r="BF42" s="21" t="str">
        <f t="shared" si="2"/>
        <v>, zoneIds={20,20,162,20}, veteran=false</v>
      </c>
      <c r="BG42" s="21" t="str">
        <f t="shared" si="3"/>
        <v>, setType=LIBSETS_SETTYPE_OVERLAND</v>
      </c>
      <c r="BH42" s="21" t="str">
        <f t="shared" si="4"/>
        <v>, isProcSetAllowedInPvP=1, dropMechanic={LIBSETS_DROP_MECHANIC_OVERLAND_BOSS_DELVE,LIBSETS_DROP_MECHANIC_OVERLAND_WORLDBOSS,LIBSETS_DROP_MECHANIC_OVERLAND_BOSS_PUBLIC_DUNGEON,LIBSETS_DROP_MECHANIC_OVERLAND_CHEST}</v>
      </c>
      <c r="BI42" s="21" t="str">
        <f t="shared" si="5"/>
        <v>}, --Darkstride / Dunkelschritt   [Rivenspire, Rivenspire, Obsidian Scar, Rivenspire]</v>
      </c>
    </row>
    <row r="43" spans="1:61" x14ac:dyDescent="0.25">
      <c r="A43" s="12">
        <v>61</v>
      </c>
      <c r="B43" t="s">
        <v>781</v>
      </c>
      <c r="C43" t="s">
        <v>782</v>
      </c>
      <c r="D43" s="3">
        <f t="shared" si="0"/>
        <v>61</v>
      </c>
      <c r="E43" s="56"/>
      <c r="G43" s="8" t="s">
        <v>1470</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6"/>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5" t="s">
        <v>2645</v>
      </c>
      <c r="BA43" s="75"/>
      <c r="BB43" s="75"/>
      <c r="BC43" s="75"/>
      <c r="BD43" s="75"/>
      <c r="BE43" s="21" t="str">
        <f t="shared" si="1"/>
        <v>[61] = {wayshrines={98,98,98,}, dlcId=DLC_BASE_GAME</v>
      </c>
      <c r="BF43" s="21" t="str">
        <f t="shared" si="2"/>
        <v>, zoneIds={283,934,41}, veteran=false</v>
      </c>
      <c r="BG43" s="21" t="str">
        <f t="shared" si="3"/>
        <v>, setType=LIBSETS_SETTYPE_DUNGEON</v>
      </c>
      <c r="BH43" s="21" t="str">
        <f t="shared" si="4"/>
        <v>, dropMechanic={LIBSETS_DROP_MECHANIC_GROUP_DUNGEON_BOSS,LIBSETS_DROP_MECHANIC_GROUP_DUNGEON_BOSS}</v>
      </c>
      <c r="BI43" s="21" t="str">
        <f t="shared" si="5"/>
        <v>}, --Dreugh King Slayer / Dreughkönigsschlächter   [Fungal Grotto I, Fungal Grotto II, Stonefalls]</v>
      </c>
    </row>
    <row r="44" spans="1:61" x14ac:dyDescent="0.25">
      <c r="A44" s="12">
        <v>62</v>
      </c>
      <c r="B44" t="s">
        <v>783</v>
      </c>
      <c r="C44" t="s">
        <v>2545</v>
      </c>
      <c r="D44" s="3">
        <f t="shared" si="0"/>
        <v>62</v>
      </c>
      <c r="E44" s="56"/>
      <c r="G44" s="8" t="s">
        <v>1473</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1553</v>
      </c>
      <c r="AI44" s="41"/>
      <c r="AJ44" s="41"/>
      <c r="AK44" s="3">
        <f>IF(AND(G44&lt;&gt;"LIBSETS_SETTYPE_BATTLEGROUND",G44&lt;&gt;"LIBSETS_SETTYPE_SPECIAL"),IF(AL44&lt;&gt;"",VLOOKUP(AL44,'ESO zone constants'!$D$5:$H$4955,5,FALSE),""),"")</f>
        <v>117</v>
      </c>
      <c r="AL44" t="s">
        <v>114</v>
      </c>
      <c r="AM44" s="33" t="s">
        <v>1554</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5" t="s">
        <v>2645</v>
      </c>
      <c r="BA44" s="75"/>
      <c r="BB44" s="75"/>
      <c r="BC44" s="75"/>
      <c r="BD44" s="75"/>
      <c r="BE44" s="21" t="str">
        <f t="shared" si="1"/>
        <v>[62] = {wayshrines={48,48,48,}, dlcId=DLC_BASE_GAME</v>
      </c>
      <c r="BF44" s="21" t="str">
        <f t="shared" si="2"/>
        <v>, zoneIds={117,117,134,117}, veteran=false</v>
      </c>
      <c r="BG44" s="21" t="str">
        <f t="shared" si="3"/>
        <v>, setType=LIBSETS_SETTYPE_OVERLAND</v>
      </c>
      <c r="BH44" s="21" t="str">
        <f t="shared" si="4"/>
        <v>, dropMechanic={LIBSETS_DROP_MECHANIC_OVERLAND_BOSS_DELVE,LIBSETS_DROP_MECHANIC_OVERLAND_WORLDBOSS,LIBSETS_DROP_MECHANIC_OVERLAND_BOSS_PUBLIC_DUNGEON,LIBSETS_DROP_MECHANIC_OVERLAND_CHEST}</v>
      </c>
      <c r="BI44" s="21" t="str">
        <f t="shared" si="5"/>
        <v>}, --Hatchling\'s Shell / Schlüpflingspanzer   [Shadowfen, Shadowfen, Sanguine's Demesne, Shadowfen]</v>
      </c>
    </row>
    <row r="45" spans="1:61" x14ac:dyDescent="0.25">
      <c r="A45" s="12">
        <v>63</v>
      </c>
      <c r="B45" t="s">
        <v>784</v>
      </c>
      <c r="C45" t="s">
        <v>785</v>
      </c>
      <c r="D45" s="3">
        <f t="shared" si="0"/>
        <v>63</v>
      </c>
      <c r="E45" s="56"/>
      <c r="G45" s="8" t="s">
        <v>1468</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2756</v>
      </c>
      <c r="AK45" s="3">
        <f>IF(AND(G45&lt;&gt;"LIBSETS_SETTYPE_BATTLEGROUND",G45&lt;&gt;"LIBSETS_SETTYPE_SPECIAL"),IF(AL45&lt;&gt;"",VLOOKUP(AL45,'ESO zone constants'!$D$5:$H$4955,5,FALSE),""),"")</f>
        <v>181</v>
      </c>
      <c r="AL45" t="s">
        <v>125</v>
      </c>
      <c r="AM45" s="33" t="s">
        <v>3721</v>
      </c>
      <c r="AP45" s="3">
        <f>IF(AND(G45&lt;&gt;"LIBSETS_SETTYPE_BATTLEGROUND",G45&lt;&gt;"LIBSETS_SETTYPE_SPECIAL"),IF(AQ45&lt;&gt;"",VLOOKUP(AQ45,'ESO zone constants'!$D$5:$H$4955,5,FALSE),""),"")</f>
        <v>181</v>
      </c>
      <c r="AQ45" t="s">
        <v>125</v>
      </c>
      <c r="AR45" s="33" t="s">
        <v>1551</v>
      </c>
      <c r="AU45" s="3">
        <f>IF(AND(G45&lt;&gt;"LIBSETS_SETTYPE_BATTLEGROUND",G45&lt;&gt;"LIBSETS_SETTYPE_SPECIAL"),IF(AV45&lt;&gt;"",VLOOKUP(AV45,'ESO zone constants'!$D$5:$H$4955,5,FALSE),""),"")</f>
        <v>181</v>
      </c>
      <c r="AV45" t="s">
        <v>125</v>
      </c>
      <c r="AW45" s="33" t="s">
        <v>3225</v>
      </c>
      <c r="AZ45" s="75" t="s">
        <v>2645</v>
      </c>
      <c r="BA45" s="75"/>
      <c r="BB45" s="75"/>
      <c r="BC45" s="75"/>
      <c r="BD45" s="75"/>
      <c r="BE45" s="21" t="str">
        <f t="shared" si="1"/>
        <v>[63] = {wayshrines={-1,-1,-1,}, dlcId=DLC_BASE_GAME</v>
      </c>
      <c r="BF45" s="21" t="str">
        <f t="shared" si="2"/>
        <v>, zoneIds={181,181,181,181,181,181}, veteran=false</v>
      </c>
      <c r="BG45" s="21" t="str">
        <f t="shared" si="3"/>
        <v>, setType=LIBSETS_SETTYPE_CYRODIIL</v>
      </c>
      <c r="BH45"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5"/>
        <v>}, --The Juggernaut / Koloss   [Cyrodiil, Cyrodiil, Cyrodiil, Cyrodiil, Cyrodiil, Cyrodiil]</v>
      </c>
    </row>
    <row r="46" spans="1:61" x14ac:dyDescent="0.25">
      <c r="A46" s="12">
        <v>64</v>
      </c>
      <c r="B46" t="s">
        <v>786</v>
      </c>
      <c r="C46" t="s">
        <v>2546</v>
      </c>
      <c r="D46" s="3">
        <f t="shared" si="0"/>
        <v>64</v>
      </c>
      <c r="E46" s="56"/>
      <c r="G46" s="8" t="s">
        <v>1473</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1553</v>
      </c>
      <c r="AI46" s="41"/>
      <c r="AJ46" s="41"/>
      <c r="AK46" s="3">
        <f>IF(AND(G46&lt;&gt;"LIBSETS_SETTYPE_BATTLEGROUND",G46&lt;&gt;"LIBSETS_SETTYPE_SPECIAL"),IF(AL46&lt;&gt;"",VLOOKUP(AL46,'ESO zone constants'!$D$5:$H$4955,5,FALSE),""),"")</f>
        <v>108</v>
      </c>
      <c r="AL46" t="s">
        <v>113</v>
      </c>
      <c r="AM46" s="33" t="s">
        <v>1554</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5" t="s">
        <v>2645</v>
      </c>
      <c r="BA46" s="75"/>
      <c r="BB46" s="75"/>
      <c r="BC46" s="75"/>
      <c r="BD46" s="75"/>
      <c r="BE46" s="21" t="str">
        <f t="shared" si="1"/>
        <v>[64] = {wayshrines={143,143,143,}, dlcId=DLC_BASE_GAME</v>
      </c>
      <c r="BF46" s="21" t="str">
        <f t="shared" si="2"/>
        <v>, zoneIds={108,108,137,108}, veteran=false</v>
      </c>
      <c r="BG46" s="21" t="str">
        <f t="shared" si="3"/>
        <v>, setType=LIBSETS_SETTYPE_OVERLAND</v>
      </c>
      <c r="BH46" s="21" t="str">
        <f t="shared" si="4"/>
        <v>, dropMechanic={LIBSETS_DROP_MECHANIC_OVERLAND_BOSS_DELVE,LIBSETS_DROP_MECHANIC_OVERLAND_WORLDBOSS,LIBSETS_DROP_MECHANIC_OVERLAND_BOSS_PUBLIC_DUNGEON,LIBSETS_DROP_MECHANIC_OVERLAND_CHEST}</v>
      </c>
      <c r="BI46" s="21" t="str">
        <f t="shared" si="5"/>
        <v>}, --Shadow Dancer\'s Raiment / Kleidung des Schattentänzers   [Greenshade, Greenshade, Rulanyil's Fall, Greenshade]</v>
      </c>
    </row>
    <row r="47" spans="1:61" x14ac:dyDescent="0.25">
      <c r="A47" s="12">
        <v>65</v>
      </c>
      <c r="B47" t="s">
        <v>787</v>
      </c>
      <c r="C47" t="s">
        <v>2547</v>
      </c>
      <c r="D47" s="3">
        <f t="shared" si="0"/>
        <v>65</v>
      </c>
      <c r="E47" s="56"/>
      <c r="G47" s="8" t="s">
        <v>1473</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1553</v>
      </c>
      <c r="AI47" s="41"/>
      <c r="AJ47" s="41"/>
      <c r="AK47" s="3">
        <f>IF(AND(G47&lt;&gt;"LIBSETS_SETTYPE_BATTLEGROUND",G47&lt;&gt;"LIBSETS_SETTYPE_SPECIAL"),IF(AL47&lt;&gt;"",VLOOKUP(AL47,'ESO zone constants'!$D$5:$H$4955,5,FALSE),""),"")</f>
        <v>3</v>
      </c>
      <c r="AL47" t="s">
        <v>103</v>
      </c>
      <c r="AM47" s="33" t="s">
        <v>1554</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5" t="s">
        <v>2645</v>
      </c>
      <c r="BA47" s="75"/>
      <c r="BB47" s="75"/>
      <c r="BC47" s="75"/>
      <c r="BD47" s="75"/>
      <c r="BE47" s="21" t="str">
        <f t="shared" si="1"/>
        <v>[65] = {wayshrines={62,62,62,}, dlcId=DLC_BASE_GAME</v>
      </c>
      <c r="BF47" s="21" t="str">
        <f t="shared" si="2"/>
        <v>, zoneIds={3,3,284,3}, veteran=false</v>
      </c>
      <c r="BG47" s="21" t="str">
        <f t="shared" si="3"/>
        <v>, setType=LIBSETS_SETTYPE_OVERLAND</v>
      </c>
      <c r="BH47" s="21" t="str">
        <f t="shared" si="4"/>
        <v>, dropMechanic={LIBSETS_DROP_MECHANIC_OVERLAND_BOSS_DELVE,LIBSETS_DROP_MECHANIC_OVERLAND_WORLDBOSS,LIBSETS_DROP_MECHANIC_OVERLAND_BOSS_PUBLIC_DUNGEON,LIBSETS_DROP_MECHANIC_OVERLAND_CHEST}</v>
      </c>
      <c r="BI47" s="21" t="str">
        <f t="shared" si="5"/>
        <v>}, --Bloodthorn\'s Touch / Spur eines Blutdorns   [Glenumbra, Glenumbra, Bad Man's Hallows, Glenumbra]</v>
      </c>
    </row>
    <row r="48" spans="1:61" x14ac:dyDescent="0.25">
      <c r="A48" s="12">
        <v>66</v>
      </c>
      <c r="B48" t="s">
        <v>788</v>
      </c>
      <c r="C48" t="s">
        <v>789</v>
      </c>
      <c r="D48" s="3">
        <f t="shared" si="0"/>
        <v>66</v>
      </c>
      <c r="E48" s="56"/>
      <c r="G48" s="8" t="s">
        <v>1473</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1553</v>
      </c>
      <c r="AI48" s="41"/>
      <c r="AJ48" s="41"/>
      <c r="AK48" s="3">
        <f>IF(AND(G48&lt;&gt;"LIBSETS_SETTYPE_BATTLEGROUND",G48&lt;&gt;"LIBSETS_SETTYPE_SPECIAL"),IF(AL48&lt;&gt;"",VLOOKUP(AL48,'ESO zone constants'!$D$5:$H$4955,5,FALSE),""),"")</f>
        <v>117</v>
      </c>
      <c r="AL48" t="s">
        <v>114</v>
      </c>
      <c r="AM48" s="33" t="s">
        <v>1554</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5" t="s">
        <v>2645</v>
      </c>
      <c r="BA48" s="75"/>
      <c r="BB48" s="75"/>
      <c r="BC48" s="75"/>
      <c r="BD48" s="75"/>
      <c r="BE48" s="21" t="str">
        <f t="shared" si="1"/>
        <v>[66] = {wayshrines={48,48,48,}, dlcId=DLC_BASE_GAME</v>
      </c>
      <c r="BF48" s="21" t="str">
        <f t="shared" si="2"/>
        <v>, zoneIds={117,117,134,117}, veteran=false</v>
      </c>
      <c r="BG48" s="21" t="str">
        <f t="shared" si="3"/>
        <v>, setType=LIBSETS_SETTYPE_OVERLAND</v>
      </c>
      <c r="BH48" s="21" t="str">
        <f t="shared" si="4"/>
        <v>, dropMechanic={LIBSETS_DROP_MECHANIC_OVERLAND_BOSS_DELVE,LIBSETS_DROP_MECHANIC_OVERLAND_WORLDBOSS,LIBSETS_DROP_MECHANIC_OVERLAND_BOSS_PUBLIC_DUNGEON,LIBSETS_DROP_MECHANIC_OVERLAND_CHEST}</v>
      </c>
      <c r="BI48" s="21" t="str">
        <f t="shared" si="5"/>
        <v>}, --Robes of the Hist / Roben des Hist   [Shadowfen, Shadowfen, Sanguine's Demesne, Shadowfen]</v>
      </c>
    </row>
    <row r="49" spans="1:61" x14ac:dyDescent="0.25">
      <c r="A49" s="12">
        <v>67</v>
      </c>
      <c r="B49" t="s">
        <v>790</v>
      </c>
      <c r="C49" t="s">
        <v>791</v>
      </c>
      <c r="D49" s="3">
        <f t="shared" si="0"/>
        <v>67</v>
      </c>
      <c r="E49" s="56"/>
      <c r="G49" s="8" t="s">
        <v>1468</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2756</v>
      </c>
      <c r="AK49" s="3">
        <f>IF(AND(G49&lt;&gt;"LIBSETS_SETTYPE_BATTLEGROUND",G49&lt;&gt;"LIBSETS_SETTYPE_SPECIAL"),IF(AL49&lt;&gt;"",VLOOKUP(AL49,'ESO zone constants'!$D$5:$H$4955,5,FALSE),""),"")</f>
        <v>181</v>
      </c>
      <c r="AL49" t="s">
        <v>125</v>
      </c>
      <c r="AM49" s="33" t="s">
        <v>3721</v>
      </c>
      <c r="AP49" s="3">
        <f>IF(AND(G49&lt;&gt;"LIBSETS_SETTYPE_BATTLEGROUND",G49&lt;&gt;"LIBSETS_SETTYPE_SPECIAL"),IF(AQ49&lt;&gt;"",VLOOKUP(AQ49,'ESO zone constants'!$D$5:$H$4955,5,FALSE),""),"")</f>
        <v>181</v>
      </c>
      <c r="AQ49" t="s">
        <v>125</v>
      </c>
      <c r="AR49" s="33" t="s">
        <v>1551</v>
      </c>
      <c r="AU49" s="3">
        <f>IF(AND(G49&lt;&gt;"LIBSETS_SETTYPE_BATTLEGROUND",G49&lt;&gt;"LIBSETS_SETTYPE_SPECIAL"),IF(AV49&lt;&gt;"",VLOOKUP(AV49,'ESO zone constants'!$D$5:$H$4955,5,FALSE),""),"")</f>
        <v>181</v>
      </c>
      <c r="AV49" t="s">
        <v>125</v>
      </c>
      <c r="AW49" s="33" t="s">
        <v>3225</v>
      </c>
      <c r="AZ49" s="75" t="s">
        <v>2645</v>
      </c>
      <c r="BA49" s="75"/>
      <c r="BB49" s="75"/>
      <c r="BC49" s="75"/>
      <c r="BD49" s="75"/>
      <c r="BE49" s="21" t="str">
        <f t="shared" si="1"/>
        <v>[67] = {wayshrines={-1,-1,-1,}, dlcId=DLC_BASE_GAME</v>
      </c>
      <c r="BF49" s="21" t="str">
        <f t="shared" si="2"/>
        <v>, zoneIds={181,181,181,181,181,181}, veteran=false</v>
      </c>
      <c r="BG49" s="21" t="str">
        <f t="shared" si="3"/>
        <v>, setType=LIBSETS_SETTYPE_CYRODIIL</v>
      </c>
      <c r="BH49"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5"/>
        <v>}, --Shadow Walker / Schattengänger   [Cyrodiil, Cyrodiil, Cyrodiil, Cyrodiil, Cyrodiil, Cyrodiil]</v>
      </c>
    </row>
    <row r="50" spans="1:61" x14ac:dyDescent="0.25">
      <c r="A50" s="12">
        <v>68</v>
      </c>
      <c r="B50" t="s">
        <v>792</v>
      </c>
      <c r="C50" t="s">
        <v>793</v>
      </c>
      <c r="D50" s="3">
        <f t="shared" si="0"/>
        <v>68</v>
      </c>
      <c r="E50" s="56"/>
      <c r="G50" s="8" t="s">
        <v>1473</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1553</v>
      </c>
      <c r="AI50" s="41"/>
      <c r="AJ50" s="41"/>
      <c r="AK50" s="3">
        <f>IF(AND(G50&lt;&gt;"LIBSETS_SETTYPE_BATTLEGROUND",G50&lt;&gt;"LIBSETS_SETTYPE_SPECIAL"),IF(AL50&lt;&gt;"",VLOOKUP(AL50,'ESO zone constants'!$D$5:$H$4955,5,FALSE),""),"")</f>
        <v>347</v>
      </c>
      <c r="AL50" t="s">
        <v>239</v>
      </c>
      <c r="AM50" s="33" t="s">
        <v>1554</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5" t="s">
        <v>2645</v>
      </c>
      <c r="BA50" s="75"/>
      <c r="BB50" s="75"/>
      <c r="BC50" s="75"/>
      <c r="BD50" s="75"/>
      <c r="BE50" s="21" t="str">
        <f t="shared" si="1"/>
        <v>[68] = {wayshrines={131,131,131,}, dlcId=DLC_BASE_GAME</v>
      </c>
      <c r="BF50" s="21" t="str">
        <f t="shared" si="2"/>
        <v>, zoneIds={347,347,557,347}, veteran=false</v>
      </c>
      <c r="BG50" s="21" t="str">
        <f t="shared" si="3"/>
        <v>, setType=LIBSETS_SETTYPE_OVERLAND</v>
      </c>
      <c r="BH50" s="21" t="str">
        <f t="shared" si="4"/>
        <v>, dropMechanic={LIBSETS_DROP_MECHANIC_OVERLAND_BOSS_DELVE,LIBSETS_DROP_MECHANIC_OVERLAND_WORLDBOSS,LIBSETS_DROP_MECHANIC_OVERLAND_BOSS_PUBLIC_DUNGEON,LIBSETS_DROP_MECHANIC_OVERLAND_CHEST}</v>
      </c>
      <c r="BI50" s="21" t="str">
        <f t="shared" si="5"/>
        <v>}, --Stygian / Stygier   [Coldharbour, Coldharbour, Village of the Lost, Coldharbour]</v>
      </c>
    </row>
    <row r="51" spans="1:61" x14ac:dyDescent="0.25">
      <c r="A51" s="12">
        <v>69</v>
      </c>
      <c r="B51" t="s">
        <v>794</v>
      </c>
      <c r="C51" t="s">
        <v>2548</v>
      </c>
      <c r="D51" s="3">
        <f t="shared" si="0"/>
        <v>69</v>
      </c>
      <c r="E51" s="56"/>
      <c r="G51" s="8" t="s">
        <v>1473</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1553</v>
      </c>
      <c r="AI51" s="41"/>
      <c r="AJ51" s="41"/>
      <c r="AK51" s="3">
        <f>IF(AND(G51&lt;&gt;"LIBSETS_SETTYPE_BATTLEGROUND",G51&lt;&gt;"LIBSETS_SETTYPE_SPECIAL"),IF(AL51&lt;&gt;"",VLOOKUP(AL51,'ESO zone constants'!$D$5:$H$4955,5,FALSE),""),"")</f>
        <v>383</v>
      </c>
      <c r="AL51" t="s">
        <v>264</v>
      </c>
      <c r="AM51" s="33" t="s">
        <v>1554</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5" t="s">
        <v>2646</v>
      </c>
      <c r="BA51" s="75"/>
      <c r="BB51" s="75"/>
      <c r="BC51" s="75"/>
      <c r="BD51" s="75"/>
      <c r="BE51" s="21" t="str">
        <f t="shared" si="1"/>
        <v>[69] = {wayshrines={214,214,214,}, dlcId=DLC_BASE_GAME</v>
      </c>
      <c r="BF51" s="21" t="str">
        <f t="shared" si="2"/>
        <v>, zoneIds={383,383,124,383}, veteran=false</v>
      </c>
      <c r="BG51" s="21" t="str">
        <f t="shared" si="3"/>
        <v>, setType=LIBSETS_SETTYPE_OVERLAND</v>
      </c>
      <c r="BH51" s="21" t="str">
        <f t="shared" si="4"/>
        <v>, isProcSetAllowedInPvP=1, dropMechanic={LIBSETS_DROP_MECHANIC_OVERLAND_BOSS_DELVE,LIBSETS_DROP_MECHANIC_OVERLAND_WORLDBOSS,LIBSETS_DROP_MECHANIC_OVERLAND_BOSS_PUBLIC_DUNGEON,LIBSETS_DROP_MECHANIC_OVERLAND_CHEST}</v>
      </c>
      <c r="BI51" s="21" t="str">
        <f t="shared" si="5"/>
        <v>}, --Ranger\'s Gait / Laufstil des Waldläufers   [Grahtwood, Grahtwood, Root Sunder Ruins, Grahtwood]</v>
      </c>
    </row>
    <row r="52" spans="1:61" x14ac:dyDescent="0.25">
      <c r="A52" s="12">
        <v>70</v>
      </c>
      <c r="B52" t="s">
        <v>795</v>
      </c>
      <c r="C52" t="s">
        <v>796</v>
      </c>
      <c r="D52" s="3">
        <f t="shared" si="0"/>
        <v>70</v>
      </c>
      <c r="E52" s="56"/>
      <c r="G52" s="8" t="s">
        <v>1473</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1553</v>
      </c>
      <c r="AI52" s="41"/>
      <c r="AJ52" s="41"/>
      <c r="AK52" s="3">
        <f>IF(AND(G52&lt;&gt;"LIBSETS_SETTYPE_BATTLEGROUND",G52&lt;&gt;"LIBSETS_SETTYPE_SPECIAL"),IF(AL52&lt;&gt;"",VLOOKUP(AL52,'ESO zone constants'!$D$5:$H$4955,5,FALSE),""),"")</f>
        <v>92</v>
      </c>
      <c r="AL52" t="s">
        <v>109</v>
      </c>
      <c r="AM52" s="33" t="s">
        <v>1554</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5" t="s">
        <v>2645</v>
      </c>
      <c r="BA52" s="75"/>
      <c r="BB52" s="75"/>
      <c r="BC52" s="75"/>
      <c r="BD52" s="75"/>
      <c r="BE52" s="21" t="str">
        <f t="shared" si="1"/>
        <v>[70] = {wayshrines={36,36,36,}, dlcId=DLC_BASE_GAME</v>
      </c>
      <c r="BF52" s="21" t="str">
        <f t="shared" si="2"/>
        <v>, zoneIds={92,92,169,92}, veteran=false</v>
      </c>
      <c r="BG52" s="21" t="str">
        <f t="shared" si="3"/>
        <v>, setType=LIBSETS_SETTYPE_OVERLAND</v>
      </c>
      <c r="BH52" s="21" t="str">
        <f t="shared" si="4"/>
        <v>, dropMechanic={LIBSETS_DROP_MECHANIC_OVERLAND_BOSS_DELVE,LIBSETS_DROP_MECHANIC_OVERLAND_WORLDBOSS,LIBSETS_DROP_MECHANIC_OVERLAND_BOSS_PUBLIC_DUNGEON,LIBSETS_DROP_MECHANIC_OVERLAND_CHEST}</v>
      </c>
      <c r="BI52" s="21" t="str">
        <f t="shared" si="5"/>
        <v>}, --Seventh Legion Brute / Rohling der siebten Legion   [Bangkorai, Bangkorai, Razak's Wheel, Bangkorai]</v>
      </c>
    </row>
    <row r="53" spans="1:61" x14ac:dyDescent="0.25">
      <c r="A53" s="12">
        <v>71</v>
      </c>
      <c r="B53" t="s">
        <v>797</v>
      </c>
      <c r="C53" t="s">
        <v>2549</v>
      </c>
      <c r="D53" s="3">
        <f t="shared" si="0"/>
        <v>71</v>
      </c>
      <c r="E53" s="56"/>
      <c r="G53" s="8" t="s">
        <v>1470</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5" t="s">
        <v>2645</v>
      </c>
      <c r="BA53" s="75"/>
      <c r="BB53" s="75"/>
      <c r="BC53" s="75"/>
      <c r="BD53" s="75"/>
      <c r="BE53" s="21" t="str">
        <f t="shared" si="1"/>
        <v>[71] = {wayshrines={185,185,185,}, dlcId=DLC_BASE_GAME</v>
      </c>
      <c r="BF53" s="21" t="str">
        <f t="shared" si="2"/>
        <v>, zoneIds={31,382,382}, veteran=false</v>
      </c>
      <c r="BG53" s="21" t="str">
        <f t="shared" si="3"/>
        <v>, setType=LIBSETS_SETTYPE_DUNGEON</v>
      </c>
      <c r="BH53" s="21" t="str">
        <f t="shared" si="4"/>
        <v>, dropMechanic={LIBSETS_DROP_MECHANIC_GROUP_DUNGEON_BOSS}</v>
      </c>
      <c r="BI53" s="21" t="str">
        <f t="shared" si="5"/>
        <v>}, --Durok\'s Bane / Duroks Fluch   [Selene's Web, Reaper's March, Reaper's March]</v>
      </c>
    </row>
    <row r="54" spans="1:61" x14ac:dyDescent="0.25">
      <c r="A54" s="12">
        <v>72</v>
      </c>
      <c r="B54" t="s">
        <v>798</v>
      </c>
      <c r="C54" t="s">
        <v>2550</v>
      </c>
      <c r="D54" s="3">
        <f t="shared" si="0"/>
        <v>72</v>
      </c>
      <c r="E54" s="56"/>
      <c r="G54" s="8" t="s">
        <v>1470</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5" t="s">
        <v>2645</v>
      </c>
      <c r="BA54" s="75"/>
      <c r="BB54" s="75"/>
      <c r="BC54" s="75"/>
      <c r="BD54" s="75"/>
      <c r="BE54" s="21" t="str">
        <f t="shared" si="1"/>
        <v>[72] = {wayshrines={187,187,187,}, dlcId=DLC_BASE_GAME</v>
      </c>
      <c r="BF54" s="21" t="str">
        <f t="shared" si="2"/>
        <v>, zoneIds={64,103,103}, veteran=false</v>
      </c>
      <c r="BG54" s="21" t="str">
        <f t="shared" si="3"/>
        <v>, setType=LIBSETS_SETTYPE_DUNGEON</v>
      </c>
      <c r="BH54" s="21" t="str">
        <f t="shared" si="4"/>
        <v>, dropMechanic={LIBSETS_DROP_MECHANIC_GROUP_DUNGEON_BOSS}</v>
      </c>
      <c r="BI54" s="21" t="str">
        <f t="shared" si="5"/>
        <v>}, --Nikulas\' Heavy Armor / Nikulas' schwere Rüstung   [Blessed Crucible, The Rift, The Rift]</v>
      </c>
    </row>
    <row r="55" spans="1:61" x14ac:dyDescent="0.25">
      <c r="A55" s="5">
        <v>73</v>
      </c>
      <c r="B55" t="s">
        <v>799</v>
      </c>
      <c r="C55" t="s">
        <v>2551</v>
      </c>
      <c r="D55" s="3">
        <f t="shared" si="0"/>
        <v>73</v>
      </c>
      <c r="E55" s="56"/>
      <c r="G55" s="8" t="s">
        <v>1467</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5" t="s">
        <v>2645</v>
      </c>
      <c r="BA55" s="75"/>
      <c r="BB55" s="75"/>
      <c r="BC55" s="75"/>
      <c r="BD55" s="75"/>
      <c r="BE55" s="21" t="str">
        <f t="shared" si="1"/>
        <v>[73] = {wayshrines={135,135,135,}, traitsNeeded=8, dlcId=DLC_BASE_GAME</v>
      </c>
      <c r="BF55" s="21" t="str">
        <f t="shared" si="2"/>
        <v>, zoneIds={347,347,347}, veteran=false</v>
      </c>
      <c r="BG55" s="21" t="str">
        <f t="shared" si="3"/>
        <v>, setType=LIBSETS_SETTYPE_CRAFTED</v>
      </c>
      <c r="BH55" s="21" t="str">
        <f t="shared" si="4"/>
        <v>, dropMechanic={LIBSETS_DROP_MECHANIC_CRAFTED,LIBSETS_DROP_MECHANIC_CRAFTED}</v>
      </c>
      <c r="BI55" s="21" t="str">
        <f t="shared" si="5"/>
        <v>}, --Oblivion\'s Foe / Erinnerung   [Coldharbour, Coldharbour, Coldharbour]</v>
      </c>
    </row>
    <row r="56" spans="1:61" x14ac:dyDescent="0.25">
      <c r="A56" s="5">
        <v>74</v>
      </c>
      <c r="B56" t="s">
        <v>800</v>
      </c>
      <c r="C56" t="s">
        <v>2552</v>
      </c>
      <c r="D56" s="3">
        <f t="shared" si="0"/>
        <v>74</v>
      </c>
      <c r="E56" s="56"/>
      <c r="G56" s="8" t="s">
        <v>1467</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5" t="s">
        <v>2645</v>
      </c>
      <c r="BA56" s="75"/>
      <c r="BB56" s="75"/>
      <c r="BC56" s="75"/>
      <c r="BD56" s="75"/>
      <c r="BE56" s="21" t="str">
        <f t="shared" si="1"/>
        <v>[74] = {wayshrines={133,133,133,}, traitsNeeded=8, dlcId=DLC_BASE_GAME</v>
      </c>
      <c r="BF56" s="21" t="str">
        <f t="shared" si="2"/>
        <v>, zoneIds={347,347,347}, veteran=false</v>
      </c>
      <c r="BG56" s="21" t="str">
        <f t="shared" si="3"/>
        <v>, setType=LIBSETS_SETTYPE_CRAFTED</v>
      </c>
      <c r="BH56" s="21" t="str">
        <f t="shared" si="4"/>
        <v>, dropMechanic={LIBSETS_DROP_MECHANIC_CRAFTED,LIBSETS_DROP_MECHANIC_CRAFTED}</v>
      </c>
      <c r="BI56" s="21" t="str">
        <f t="shared" si="5"/>
        <v>}, --Spectre\'s Eye / Schemenauge   [Coldharbour, Coldharbour, Coldharbour]</v>
      </c>
    </row>
    <row r="57" spans="1:61" x14ac:dyDescent="0.25">
      <c r="A57" s="5">
        <v>75</v>
      </c>
      <c r="B57" t="s">
        <v>801</v>
      </c>
      <c r="C57" t="s">
        <v>2553</v>
      </c>
      <c r="D57" s="3">
        <f t="shared" si="0"/>
        <v>75</v>
      </c>
      <c r="E57" s="56"/>
      <c r="G57" s="8" t="s">
        <v>1467</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3276</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5" t="s">
        <v>2646</v>
      </c>
      <c r="BA57" s="75"/>
      <c r="BB57" s="75"/>
      <c r="BC57" s="75"/>
      <c r="BD57" s="75"/>
      <c r="BE57" s="21" t="str">
        <f t="shared" si="1"/>
        <v>[75] = {wayshrines={19,165,24,}, traitsNeeded=3, dlcId=DLC_BASE_GAME</v>
      </c>
      <c r="BF57" s="21" t="str">
        <f t="shared" si="2"/>
        <v>, zoneIds={19,383,57}, veteran=false</v>
      </c>
      <c r="BG57" s="21" t="str">
        <f t="shared" si="3"/>
        <v>, setType=LIBSETS_SETTYPE_CRAFTED</v>
      </c>
      <c r="BH57" s="21" t="str">
        <f t="shared" si="4"/>
        <v>, isProcSetAllowedInPvP=1, dropMechanic={LIBSETS_DROP_MECHANIC_CRAFTED,LIBSETS_DROP_MECHANIC_CRAFTED,LIBSETS_DROP_MECHANIC_CRAFTED}</v>
      </c>
      <c r="BI57" s="21" t="str">
        <f t="shared" si="5"/>
        <v>}, --Torug\'s Pact / Torugs Pakt   [Stormhaven, Grahtwood, Deshaan]</v>
      </c>
    </row>
    <row r="58" spans="1:61" x14ac:dyDescent="0.25">
      <c r="A58" s="12">
        <v>76</v>
      </c>
      <c r="B58" t="s">
        <v>802</v>
      </c>
      <c r="C58" t="s">
        <v>803</v>
      </c>
      <c r="D58" s="3">
        <f t="shared" si="0"/>
        <v>76</v>
      </c>
      <c r="E58" s="56"/>
      <c r="G58" s="8" t="s">
        <v>1468</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3718</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2756</v>
      </c>
      <c r="AK58" s="3">
        <f>IF(AND(G58&lt;&gt;"LIBSETS_SETTYPE_BATTLEGROUND",G58&lt;&gt;"LIBSETS_SETTYPE_SPECIAL"),IF(AL58&lt;&gt;"",VLOOKUP(AL58,'ESO zone constants'!$D$5:$H$4955,5,FALSE),""),"")</f>
        <v>181</v>
      </c>
      <c r="AL58" t="s">
        <v>125</v>
      </c>
      <c r="AM58" s="33" t="s">
        <v>3721</v>
      </c>
      <c r="AP58" s="3">
        <f>IF(AND(G58&lt;&gt;"LIBSETS_SETTYPE_BATTLEGROUND",G58&lt;&gt;"LIBSETS_SETTYPE_SPECIAL"),IF(AQ58&lt;&gt;"",VLOOKUP(AQ58,'ESO zone constants'!$D$5:$H$4955,5,FALSE),""),"")</f>
        <v>181</v>
      </c>
      <c r="AQ58" t="s">
        <v>125</v>
      </c>
      <c r="AR58" s="33" t="s">
        <v>1551</v>
      </c>
      <c r="AU58" s="3">
        <f>IF(AND(G58&lt;&gt;"LIBSETS_SETTYPE_BATTLEGROUND",G58&lt;&gt;"LIBSETS_SETTYPE_SPECIAL"),IF(AV58&lt;&gt;"",VLOOKUP(AV58,'ESO zone constants'!$D$5:$H$4955,5,FALSE),""),"")</f>
        <v>181</v>
      </c>
      <c r="AV58" t="s">
        <v>125</v>
      </c>
      <c r="AW58" s="33" t="s">
        <v>3225</v>
      </c>
      <c r="AZ58" s="75" t="s">
        <v>2646</v>
      </c>
      <c r="BA58" s="75"/>
      <c r="BB58" s="75"/>
      <c r="BC58" s="75"/>
      <c r="BD58" s="75"/>
      <c r="BE58" s="21" t="str">
        <f t="shared" si="1"/>
        <v>[76] = {wayshrines={-1,-1,-1,}, dlcId=DLC_BASE_GAME</v>
      </c>
      <c r="BF58" s="21" t="str">
        <f t="shared" si="2"/>
        <v>, zoneIds={181,181,181,181,181,181}, veteran=false</v>
      </c>
      <c r="BG58" s="21" t="str">
        <f t="shared" si="3"/>
        <v>, setType=LIBSETS_SETTYPE_CYRODIIL</v>
      </c>
      <c r="BH58" s="21"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5"/>
        <v>}, --Robes of Alteration Mastery / Roben der Veränderungsbeherrschung   [Cyrodiil, Cyrodiil, Cyrodiil, Cyrodiil, Cyrodiil, Cyrodiil]</v>
      </c>
    </row>
    <row r="59" spans="1:61" x14ac:dyDescent="0.25">
      <c r="A59" s="12">
        <v>77</v>
      </c>
      <c r="B59" t="s">
        <v>804</v>
      </c>
      <c r="C59" t="s">
        <v>805</v>
      </c>
      <c r="D59" s="3">
        <f t="shared" si="0"/>
        <v>77</v>
      </c>
      <c r="E59" s="56"/>
      <c r="G59" s="8" t="s">
        <v>1470</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5" t="s">
        <v>2645</v>
      </c>
      <c r="BA59" s="75"/>
      <c r="BB59" s="75"/>
      <c r="BC59" s="75"/>
      <c r="BD59" s="75"/>
      <c r="BE59" s="21" t="str">
        <f t="shared" si="1"/>
        <v>[77] = {wayshrines={196,196,196,}, dlcId=DLC_BASE_GAME</v>
      </c>
      <c r="BF59" s="21" t="str">
        <f t="shared" si="2"/>
        <v>, zoneIds={22,104,104}, veteran=false</v>
      </c>
      <c r="BG59" s="21" t="str">
        <f t="shared" si="3"/>
        <v>, setType=LIBSETS_SETTYPE_DUNGEON</v>
      </c>
      <c r="BH59" s="21" t="str">
        <f t="shared" si="4"/>
        <v>, dropMechanic={LIBSETS_DROP_MECHANIC_GROUP_DUNGEON_BOSS}</v>
      </c>
      <c r="BI59" s="21" t="str">
        <f t="shared" si="5"/>
        <v>}, --Crusader / Glaubenskrieger   [Volenfell, Alik'r Desert, Alik'r Desert]</v>
      </c>
    </row>
    <row r="60" spans="1:61" x14ac:dyDescent="0.25">
      <c r="A60" s="5">
        <v>78</v>
      </c>
      <c r="B60" t="s">
        <v>806</v>
      </c>
      <c r="C60" t="s">
        <v>807</v>
      </c>
      <c r="D60" s="3">
        <f t="shared" si="0"/>
        <v>78</v>
      </c>
      <c r="E60" s="56"/>
      <c r="G60" s="8" t="s">
        <v>1467</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3276</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3276</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5" t="s">
        <v>2645</v>
      </c>
      <c r="BA60" s="75"/>
      <c r="BB60" s="75"/>
      <c r="BC60" s="75"/>
      <c r="BD60" s="75"/>
      <c r="BE60" s="21" t="str">
        <f t="shared" si="1"/>
        <v>[78] = {wayshrines={9,154,51,}, traitsNeeded=4, dlcId=DLC_BASE_GAME</v>
      </c>
      <c r="BF60" s="21" t="str">
        <f t="shared" si="2"/>
        <v>, zoneIds={20,108,117}, veteran=false</v>
      </c>
      <c r="BG60" s="21" t="str">
        <f t="shared" si="3"/>
        <v>, setType=LIBSETS_SETTYPE_CRAFTED</v>
      </c>
      <c r="BH60" s="21" t="str">
        <f t="shared" si="4"/>
        <v>, dropMechanic={LIBSETS_DROP_MECHANIC_CRAFTED,LIBSETS_DROP_MECHANIC_CRAFTED,LIBSETS_DROP_MECHANIC_CRAFTED}</v>
      </c>
      <c r="BI60" s="21" t="str">
        <f t="shared" si="5"/>
        <v>}, --Hist Bark / Histrinde   [Rivenspire, Greenshade, Shadowfen]</v>
      </c>
    </row>
    <row r="61" spans="1:61" x14ac:dyDescent="0.25">
      <c r="A61" s="5">
        <v>79</v>
      </c>
      <c r="B61" t="s">
        <v>808</v>
      </c>
      <c r="C61" t="s">
        <v>2554</v>
      </c>
      <c r="D61" s="3">
        <f t="shared" si="0"/>
        <v>79</v>
      </c>
      <c r="E61" s="56"/>
      <c r="G61" s="8" t="s">
        <v>1467</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3276</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5" t="s">
        <v>2646</v>
      </c>
      <c r="BA61" s="75"/>
      <c r="BB61" s="75"/>
      <c r="BC61" s="75"/>
      <c r="BD61" s="75"/>
      <c r="BE61" s="21" t="str">
        <f t="shared" si="1"/>
        <v>[79] = {wayshrines={35,144,111,}, traitsNeeded=6, dlcId=DLC_BASE_GAME</v>
      </c>
      <c r="BF61" s="21" t="str">
        <f t="shared" si="2"/>
        <v>, zoneIds={92,382,103}, veteran=false</v>
      </c>
      <c r="BG61" s="21" t="str">
        <f t="shared" si="3"/>
        <v>, setType=LIBSETS_SETTYPE_CRAFTED</v>
      </c>
      <c r="BH61" s="21" t="str">
        <f t="shared" si="4"/>
        <v>, isProcSetAllowedInPvP=1, dropMechanic={LIBSETS_DROP_MECHANIC_CRAFTED,LIBSETS_DROP_MECHANIC_CRAFTED,LIBSETS_DROP_MECHANIC_CRAFTED}</v>
      </c>
      <c r="BI61" s="21" t="str">
        <f t="shared" si="5"/>
        <v>}, --Willow\'s Path / Weidenpfad   [Bangkorai, Reaper's March, The Rift]</v>
      </c>
    </row>
    <row r="62" spans="1:61" x14ac:dyDescent="0.25">
      <c r="A62" s="5">
        <v>80</v>
      </c>
      <c r="B62" t="s">
        <v>809</v>
      </c>
      <c r="C62" t="s">
        <v>2555</v>
      </c>
      <c r="D62" s="3">
        <f t="shared" si="0"/>
        <v>80</v>
      </c>
      <c r="E62" s="56"/>
      <c r="G62" s="8" t="s">
        <v>1467</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3276</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3276</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5" t="s">
        <v>2645</v>
      </c>
      <c r="BA62" s="75"/>
      <c r="BB62" s="75"/>
      <c r="BC62" s="75"/>
      <c r="BD62" s="75"/>
      <c r="BE62" s="21" t="str">
        <f t="shared" si="1"/>
        <v>[80] = {wayshrines={39,161,113,}, traitsNeeded=6, dlcId=DLC_BASE_GAME</v>
      </c>
      <c r="BF62" s="21" t="str">
        <f t="shared" si="2"/>
        <v>, zoneIds={92,382,103}, veteran=false</v>
      </c>
      <c r="BG62" s="21" t="str">
        <f t="shared" si="3"/>
        <v>, setType=LIBSETS_SETTYPE_CRAFTED</v>
      </c>
      <c r="BH62" s="21" t="str">
        <f t="shared" si="4"/>
        <v>, dropMechanic={LIBSETS_DROP_MECHANIC_CRAFTED,LIBSETS_DROP_MECHANIC_CRAFTED,LIBSETS_DROP_MECHANIC_CRAFTED}</v>
      </c>
      <c r="BI62" s="21" t="str">
        <f t="shared" si="5"/>
        <v>}, --Hunding\'s Rage / Hundings Zorn   [Bangkorai, Reaper's March, The Rift]</v>
      </c>
    </row>
    <row r="63" spans="1:61" x14ac:dyDescent="0.25">
      <c r="A63" s="5">
        <v>81</v>
      </c>
      <c r="B63" t="s">
        <v>810</v>
      </c>
      <c r="C63" t="s">
        <v>811</v>
      </c>
      <c r="D63" s="3">
        <f t="shared" si="0"/>
        <v>81</v>
      </c>
      <c r="G63" s="8" t="s">
        <v>1467</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3276</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5" t="s">
        <v>2645</v>
      </c>
      <c r="BA63" s="75"/>
      <c r="BB63" s="75"/>
      <c r="BC63" s="75"/>
      <c r="BD63" s="75"/>
      <c r="BE63" s="21" t="str">
        <f t="shared" si="1"/>
        <v>[81] = {wayshrines={137,103,89,}, traitsNeeded=5, dlcId=DLC_BASE_GAME</v>
      </c>
      <c r="BF63" s="21" t="str">
        <f t="shared" si="2"/>
        <v>, zoneIds={104,58,101}, veteran=false</v>
      </c>
      <c r="BG63" s="21" t="str">
        <f t="shared" si="3"/>
        <v>, setType=LIBSETS_SETTYPE_CRAFTED</v>
      </c>
      <c r="BH63" s="21" t="str">
        <f t="shared" si="4"/>
        <v>, dropMechanic={LIBSETS_DROP_MECHANIC_CRAFTED,LIBSETS_DROP_MECHANIC_CRAFTED,LIBSETS_DROP_MECHANIC_CRAFTED}</v>
      </c>
      <c r="BI63" s="21" t="str">
        <f t="shared" si="5"/>
        <v>}, --Song of Lamae / Lied der Lamien   [Alik'r Desert, Malabal Tor, Eastmarch]</v>
      </c>
    </row>
    <row r="64" spans="1:61" x14ac:dyDescent="0.25">
      <c r="A64" s="5">
        <v>82</v>
      </c>
      <c r="B64" t="s">
        <v>812</v>
      </c>
      <c r="C64" t="s">
        <v>2556</v>
      </c>
      <c r="D64" s="3">
        <f t="shared" si="0"/>
        <v>82</v>
      </c>
      <c r="G64" s="8" t="s">
        <v>1467</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3276</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3276</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5" t="s">
        <v>2645</v>
      </c>
      <c r="BA64" s="75"/>
      <c r="BB64" s="75"/>
      <c r="BC64" s="75"/>
      <c r="BD64" s="75"/>
      <c r="BE64" s="21" t="str">
        <f t="shared" si="1"/>
        <v>[82] = {wayshrines={155,105,95,}, traitsNeeded=5, dlcId=DLC_BASE_GAME</v>
      </c>
      <c r="BF64" s="21" t="str">
        <f t="shared" si="2"/>
        <v>, zoneIds={104,58,101}, veteran=false</v>
      </c>
      <c r="BG64" s="21" t="str">
        <f t="shared" si="3"/>
        <v>, setType=LIBSETS_SETTYPE_CRAFTED</v>
      </c>
      <c r="BH64" s="21" t="str">
        <f t="shared" si="4"/>
        <v>, dropMechanic={LIBSETS_DROP_MECHANIC_CRAFTED,LIBSETS_DROP_MECHANIC_CRAFTED,LIBSETS_DROP_MECHANIC_CRAFTED}</v>
      </c>
      <c r="BI64" s="21" t="str">
        <f t="shared" si="5"/>
        <v>}, --Alessia\'s Bulwark / Alessias Bollwerk   [Alik'r Desert, Malabal Tor, Eastmarch]</v>
      </c>
    </row>
    <row r="65" spans="1:61" x14ac:dyDescent="0.25">
      <c r="A65" s="12">
        <v>83</v>
      </c>
      <c r="B65" t="s">
        <v>813</v>
      </c>
      <c r="C65" t="s">
        <v>814</v>
      </c>
      <c r="D65" s="3">
        <f t="shared" si="0"/>
        <v>83</v>
      </c>
      <c r="E65" s="40"/>
      <c r="G65" s="8" t="s">
        <v>1468</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3718</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2756</v>
      </c>
      <c r="AK65" s="3">
        <f>IF(AND(G65&lt;&gt;"LIBSETS_SETTYPE_BATTLEGROUND",G65&lt;&gt;"LIBSETS_SETTYPE_SPECIAL"),IF(AL65&lt;&gt;"",VLOOKUP(AL65,'ESO zone constants'!$D$5:$H$4955,5,FALSE),""),"")</f>
        <v>181</v>
      </c>
      <c r="AL65" t="s">
        <v>125</v>
      </c>
      <c r="AM65" s="33" t="s">
        <v>3721</v>
      </c>
      <c r="AP65" s="3">
        <f>IF(AND(G65&lt;&gt;"LIBSETS_SETTYPE_BATTLEGROUND",G65&lt;&gt;"LIBSETS_SETTYPE_SPECIAL"),IF(AQ65&lt;&gt;"",VLOOKUP(AQ65,'ESO zone constants'!$D$5:$H$4955,5,FALSE),""),"")</f>
        <v>181</v>
      </c>
      <c r="AQ65" t="s">
        <v>125</v>
      </c>
      <c r="AR65" s="33" t="s">
        <v>1551</v>
      </c>
      <c r="AU65" s="3">
        <f>IF(AND(G65&lt;&gt;"LIBSETS_SETTYPE_BATTLEGROUND",G65&lt;&gt;"LIBSETS_SETTYPE_SPECIAL"),IF(AV65&lt;&gt;"",VLOOKUP(AV65,'ESO zone constants'!$D$5:$H$4955,5,FALSE),""),"")</f>
        <v>181</v>
      </c>
      <c r="AV65" t="s">
        <v>125</v>
      </c>
      <c r="AW65" s="33" t="s">
        <v>3225</v>
      </c>
      <c r="AZ65" s="75" t="s">
        <v>2646</v>
      </c>
      <c r="BA65" s="75"/>
      <c r="BB65" s="75"/>
      <c r="BC65" s="75"/>
      <c r="BD65" s="75"/>
      <c r="BE65" s="21" t="str">
        <f t="shared" si="1"/>
        <v>[83] = {wayshrines={-1,-1,-1,}, dlcId=DLC_BASE_GAME</v>
      </c>
      <c r="BF65" s="21" t="str">
        <f t="shared" si="2"/>
        <v>, zoneIds={181,181,181,181,181,181}, veteran=false</v>
      </c>
      <c r="BG65" s="21" t="str">
        <f t="shared" si="3"/>
        <v>, setType=LIBSETS_SETTYPE_CYRODIIL</v>
      </c>
      <c r="BH65" s="21"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5"/>
        <v>}, --Elf Bane / Elfenfluch   [Cyrodiil, Cyrodiil, Cyrodiil, Cyrodiil, Cyrodiil, Cyrodiil]</v>
      </c>
    </row>
    <row r="66" spans="1:61" x14ac:dyDescent="0.25">
      <c r="A66" s="5">
        <v>84</v>
      </c>
      <c r="B66" t="s">
        <v>815</v>
      </c>
      <c r="C66" t="s">
        <v>2557</v>
      </c>
      <c r="D66" s="3">
        <f t="shared" si="0"/>
        <v>84</v>
      </c>
      <c r="G66" s="8" t="s">
        <v>1467</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5" t="s">
        <v>2646</v>
      </c>
      <c r="BA66" s="75"/>
      <c r="BB66" s="75"/>
      <c r="BC66" s="75"/>
      <c r="BD66" s="75"/>
      <c r="BE66" s="21" t="str">
        <f t="shared" si="1"/>
        <v>[84] = {wayshrines={-2,-2,-2,}, traitsNeeded=8, dlcId=DLC_BASE_GAME</v>
      </c>
      <c r="BF66" s="21" t="str">
        <f t="shared" si="2"/>
        <v>, zoneIds={208,643}, veteran=false</v>
      </c>
      <c r="BG66" s="21" t="str">
        <f t="shared" si="3"/>
        <v>, setType=LIBSETS_SETTYPE_CRAFTED</v>
      </c>
      <c r="BH66" s="21" t="str">
        <f t="shared" si="4"/>
        <v>, isProcSetAllowedInPvP=1, dropMechanic={LIBSETS_DROP_MECHANIC_CRAFTED,LIBSETS_DROP_MECHANIC_CRAFTED}</v>
      </c>
      <c r="BI66" s="21" t="str">
        <f t="shared" si="5"/>
        <v>}, --Orgnum\'s Scales / Orgnums Schuppen   [The Earth Forge, Imperial Sewers]</v>
      </c>
    </row>
    <row r="67" spans="1:61" x14ac:dyDescent="0.25">
      <c r="A67" s="12">
        <v>85</v>
      </c>
      <c r="B67" t="s">
        <v>816</v>
      </c>
      <c r="C67" t="s">
        <v>2558</v>
      </c>
      <c r="D67" s="3">
        <f t="shared" ref="D67:D130" si="6">A67</f>
        <v>85</v>
      </c>
      <c r="G67" s="8" t="s">
        <v>1468</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3718</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2756</v>
      </c>
      <c r="AK67" s="3">
        <f>IF(AND(G67&lt;&gt;"LIBSETS_SETTYPE_BATTLEGROUND",G67&lt;&gt;"LIBSETS_SETTYPE_SPECIAL"),IF(AL67&lt;&gt;"",VLOOKUP(AL67,'ESO zone constants'!$D$5:$H$4955,5,FALSE),""),"")</f>
        <v>181</v>
      </c>
      <c r="AL67" t="s">
        <v>125</v>
      </c>
      <c r="AM67" s="33" t="s">
        <v>3721</v>
      </c>
      <c r="AP67" s="3">
        <f>IF(AND(G67&lt;&gt;"LIBSETS_SETTYPE_BATTLEGROUND",G67&lt;&gt;"LIBSETS_SETTYPE_SPECIAL"),IF(AQ67&lt;&gt;"",VLOOKUP(AQ67,'ESO zone constants'!$D$5:$H$4955,5,FALSE),""),"")</f>
        <v>181</v>
      </c>
      <c r="AQ67" t="s">
        <v>125</v>
      </c>
      <c r="AR67" s="33" t="s">
        <v>1551</v>
      </c>
      <c r="AU67" s="3">
        <f>IF(AND(G67&lt;&gt;"LIBSETS_SETTYPE_BATTLEGROUND",G67&lt;&gt;"LIBSETS_SETTYPE_SPECIAL"),IF(AV67&lt;&gt;"",VLOOKUP(AV67,'ESO zone constants'!$D$5:$H$4955,5,FALSE),""),"")</f>
        <v>181</v>
      </c>
      <c r="AV67" t="s">
        <v>125</v>
      </c>
      <c r="AW67" s="33" t="s">
        <v>3225</v>
      </c>
      <c r="AZ67" s="75" t="s">
        <v>2645</v>
      </c>
      <c r="BA67" s="75"/>
      <c r="BB67" s="75"/>
      <c r="BC67" s="75"/>
      <c r="BD67" s="75"/>
      <c r="BE67" s="21"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1"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 CONCATENATE(", veteran=", I67), ""),""),"")</f>
        <v>, zoneIds={181,181,181,181,181,181}, veteran=false</v>
      </c>
      <c r="BG67" s="21" t="str">
        <f t="shared" ref="BG67:BG130" si="9">IF(A67&lt;&gt;"",IF(F67&lt;&gt;"Not in the game (anymore)",IF(A67&lt;&gt;"",", setType="&amp;G67,"")&amp;IF(G67="LIBSETS_SETTYPE_CLASS",", classId="&amp;BC67,"")&amp;IF(J67="true",", multiTrialSet=true",""),"")
&amp; IF(AND(H67&lt;&gt;"",ISNUMBER(H67)),", undauntedChestId=" &amp; H67,""),"")</f>
        <v>, setType=LIBSETS_SETTYPE_CYRODIIL</v>
      </c>
      <c r="BH67" s="21" t="str">
        <f t="shared" ref="BH67:BH130" si="10">IF(A67&lt;&gt;"",IF(F67&lt;&gt;"Not in the game (anymore)",IF(AZ67&lt;&gt;"",", isProcSetAllowedInPvP="&amp; AZ67,"")
&amp; IF(F67&lt;&gt;"Not in the game (anymore)",
  IF(V67&lt;&gt;"",", dropMechanic={"&amp;V67&amp;IF(AB67&lt;&gt;"",","&amp;AB67,"")&amp;IF(AH67&lt;&gt;"",","&amp;AH67,"")&amp;IF(AM67&lt;&gt;"",","&amp;AM67,"")&amp;IF(AR67&lt;&gt;"",","&amp;AR67,"")&amp;IF(AW67&lt;&gt;"",","&amp;AW67,"")&amp;"}"
     &amp;IF(OR(W67&lt;&gt;"",AC67&lt;&gt;"",AI67&lt;&gt;"",AN67&lt;&gt;"",AS67&lt;&gt;"",AX67&lt;&gt;"",X67&lt;&gt;"",AD67&lt;&gt;"",AJ67&lt;&gt;"",AO67&lt;&gt;"",AT67&lt;&gt;"",AY67&lt;&gt;""),", dropMechanicDropLocationNames={"
        &amp; IF(OR(W67&lt;&gt;"",AC67&lt;&gt;"",AI67&lt;&gt;"",AN67&lt;&gt;"",AS67&lt;&gt;"",AX67&lt;&gt;""),"['en']={"&amp;IF(W67&lt;&gt;"","'"&amp;W67&amp;"',","'',")&amp;IF(AC67&lt;&gt;"","'"&amp;AC67&amp;"',","'',")&amp;IF(AI67&lt;&gt;"","'"&amp;AI67&amp;"',","'',")&amp;IF(AN67&lt;&gt;"","'"&amp;AN67&amp;"',","'',")&amp;IF(AS67&lt;&gt;"","'"&amp;AS67&amp;"',","'',")&amp;IF(AX67&lt;&gt;"","'"&amp;AX67&amp;"',","'',")&amp;"},","")
        &amp; IF(OR(X67&lt;&gt;"",AD67&lt;&gt;"",AJ67&lt;&gt;"",AO67&lt;&gt;"",AT67&lt;&gt;"",AY67&lt;&gt;""),"['de']={"&amp;IF(X67&lt;&gt;"","'"&amp;X67&amp;"',","'',")&amp;IF(AD67&lt;&gt;"","'"&amp;AD67&amp;"',","'',")&amp;IF(AJ67&lt;&gt;"","'"&amp;AJ67&amp;"',","'',")&amp;IF(AO67&lt;&gt;"","'"&amp;AO67&amp;"',","'',")&amp;IF(AT67&lt;&gt;"","'"&amp;AT67&amp;"',","'',")&amp;IF(AY67&lt;&gt;"","'"&amp;AY67&amp;"',","'',")&amp;"},","")
     &amp; "}",""),"")),""),"")
&amp; IF(AND(BD67&lt;&gt;"",BD67&lt;&gt;"X"), ", perfectedSetId=" &amp; BD67, 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ref="BI67:BI130" si="11">IF(A67&lt;&gt;"",IF(F67&lt;&gt;"Not in the game (anymore)",
IF(OR(BA67&lt;&gt;"",BB67&lt;&gt;""),", addTooltip={" &amp; IF(BA67&lt;&gt;"","['en']='"&amp; BA67 &amp; "',","")  &amp; IF(AND(BA67&lt;&gt;"",BA67&lt;&gt;BB67), IF(BB67&lt;&gt;"","['de']='"&amp; BB67 &amp; "',",""),"") &amp; "},","")
&amp; "},"
&amp; 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817</v>
      </c>
      <c r="C68" t="s">
        <v>2559</v>
      </c>
      <c r="D68" s="3">
        <f t="shared" si="6"/>
        <v>86</v>
      </c>
      <c r="G68" s="8" t="s">
        <v>1473</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1553</v>
      </c>
      <c r="AI68" s="41"/>
      <c r="AJ68" s="41"/>
      <c r="AK68" s="3">
        <f>IF(AND(G68&lt;&gt;"LIBSETS_SETTYPE_BATTLEGROUND",G68&lt;&gt;"LIBSETS_SETTYPE_SPECIAL"),IF(AL68&lt;&gt;"",VLOOKUP(AL68,'ESO zone constants'!$D$5:$H$4955,5,FALSE),""),"")</f>
        <v>381</v>
      </c>
      <c r="AL68" t="s">
        <v>262</v>
      </c>
      <c r="AM68" s="33" t="s">
        <v>1554</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5" t="s">
        <v>2645</v>
      </c>
      <c r="BA68" s="75"/>
      <c r="BB68" s="75"/>
      <c r="BC68" s="75"/>
      <c r="BD68" s="75"/>
      <c r="BE68" s="21" t="str">
        <f t="shared" si="7"/>
        <v>[86] = {wayshrines={121,121,121,}, dlcId=DLC_BASE_GAME</v>
      </c>
      <c r="BF68" s="21" t="str">
        <f t="shared" si="8"/>
        <v>, zoneIds={381,381,486,381}, veteran=false</v>
      </c>
      <c r="BG68" s="21" t="str">
        <f t="shared" si="9"/>
        <v>, setType=LIBSETS_SETTYPE_OVERLAND</v>
      </c>
      <c r="BH68" s="21" t="str">
        <f t="shared" si="10"/>
        <v>, dropMechanic={LIBSETS_DROP_MECHANIC_OVERLAND_BOSS_DELVE,LIBSETS_DROP_MECHANIC_OVERLAND_WORLDBOSS,LIBSETS_DROP_MECHANIC_OVERLAND_BOSS_PUBLIC_DUNGEON,LIBSETS_DROP_MECHANIC_OVERLAND_CHEST}</v>
      </c>
      <c r="BI68" s="21" t="str">
        <f t="shared" si="11"/>
        <v>}, --Queen\'s Elegance / Eleganz der Königin   [Auridon, Auridon, Toothmaul Gully, Auridon]</v>
      </c>
    </row>
    <row r="69" spans="1:61" x14ac:dyDescent="0.25">
      <c r="A69" s="5">
        <v>87</v>
      </c>
      <c r="B69" t="s">
        <v>818</v>
      </c>
      <c r="C69" t="s">
        <v>819</v>
      </c>
      <c r="D69" s="3">
        <f t="shared" si="6"/>
        <v>87</v>
      </c>
      <c r="G69" s="8" t="s">
        <v>1467</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3276</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5" t="s">
        <v>2646</v>
      </c>
      <c r="BA69" s="75"/>
      <c r="BB69" s="75"/>
      <c r="BC69" s="75"/>
      <c r="BD69" s="75"/>
      <c r="BE69" s="21" t="str">
        <f t="shared" si="7"/>
        <v>[87] = {wayshrines={-2,-2,-2,}, traitsNeeded=8, dlcId=DLC_BASE_GAME</v>
      </c>
      <c r="BF69" s="21" t="str">
        <f t="shared" si="8"/>
        <v>, zoneIds={267,643}, veteran=false</v>
      </c>
      <c r="BG69" s="21" t="str">
        <f t="shared" si="9"/>
        <v>, setType=LIBSETS_SETTYPE_CRAFTED</v>
      </c>
      <c r="BH69" s="21" t="str">
        <f t="shared" si="10"/>
        <v>, isProcSetAllowedInPvP=1, dropMechanic={LIBSETS_DROP_MECHANIC_CRAFTED,LIBSETS_DROP_MECHANIC_CRAFTED}</v>
      </c>
      <c r="BI69" s="21" t="str">
        <f t="shared" si="11"/>
        <v>}, --Eyes of Mara / Augen von Mara   [Eyevea, Imperial Sewers]</v>
      </c>
    </row>
    <row r="70" spans="1:61" x14ac:dyDescent="0.25">
      <c r="A70" s="12">
        <v>88</v>
      </c>
      <c r="B70" t="s">
        <v>820</v>
      </c>
      <c r="C70" t="s">
        <v>821</v>
      </c>
      <c r="D70" s="3">
        <f t="shared" si="6"/>
        <v>88</v>
      </c>
      <c r="G70" s="8" t="s">
        <v>1465</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1547</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1547</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5" t="s">
        <v>2646</v>
      </c>
      <c r="BA70" s="75"/>
      <c r="BB70" s="75"/>
      <c r="BC70" s="75"/>
      <c r="BD70" s="75"/>
      <c r="BE70" s="21" t="str">
        <f t="shared" si="7"/>
        <v>[88] = {wayshrines={270,270,270,}, dlcId=DLC_CLOCKWORK_CITY</v>
      </c>
      <c r="BF70" s="21" t="str">
        <f t="shared" si="8"/>
        <v>, zoneIds={635,888,888}, veteran=false</v>
      </c>
      <c r="BG70" s="21" t="str">
        <f t="shared" si="9"/>
        <v>, setType=LIBSETS_SETTYPE_ARENA</v>
      </c>
      <c r="BH70" s="21" t="str">
        <f t="shared" si="10"/>
        <v>, isProcSetAllowedInPvP=1, dropMechanic={LIBSETS_DROP_MECHANIC_ARENA_STAGE_CHEST,LIBSETS_DROP_MECHANIC_ARENA_STAGE_CHEST}</v>
      </c>
      <c r="BI70" s="21" t="str">
        <f t="shared" si="11"/>
        <v>}, --Robes of Destruction Mastery / Roben der Zerstörungsbeherrschung   [Dragonstar Arena, Craglorn, Craglorn]</v>
      </c>
    </row>
    <row r="71" spans="1:61" x14ac:dyDescent="0.25">
      <c r="A71" s="12">
        <v>89</v>
      </c>
      <c r="B71" t="s">
        <v>822</v>
      </c>
      <c r="C71" t="s">
        <v>823</v>
      </c>
      <c r="D71" s="3">
        <f t="shared" si="6"/>
        <v>89</v>
      </c>
      <c r="G71" s="8" t="s">
        <v>1468</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2756</v>
      </c>
      <c r="AK71" s="3">
        <f>IF(AND(G71&lt;&gt;"LIBSETS_SETTYPE_BATTLEGROUND",G71&lt;&gt;"LIBSETS_SETTYPE_SPECIAL"),IF(AL71&lt;&gt;"",VLOOKUP(AL71,'ESO zone constants'!$D$5:$H$4955,5,FALSE),""),"")</f>
        <v>181</v>
      </c>
      <c r="AL71" t="s">
        <v>125</v>
      </c>
      <c r="AM71" s="33" t="s">
        <v>3721</v>
      </c>
      <c r="AP71" s="3">
        <f>IF(AND(G71&lt;&gt;"LIBSETS_SETTYPE_BATTLEGROUND",G71&lt;&gt;"LIBSETS_SETTYPE_SPECIAL"),IF(AQ71&lt;&gt;"",VLOOKUP(AQ71,'ESO zone constants'!$D$5:$H$4955,5,FALSE),""),"")</f>
        <v>181</v>
      </c>
      <c r="AQ71" t="s">
        <v>125</v>
      </c>
      <c r="AR71" s="33" t="s">
        <v>1551</v>
      </c>
      <c r="AU71" s="3">
        <f>IF(AND(G71&lt;&gt;"LIBSETS_SETTYPE_BATTLEGROUND",G71&lt;&gt;"LIBSETS_SETTYPE_SPECIAL"),IF(AV71&lt;&gt;"",VLOOKUP(AV71,'ESO zone constants'!$D$5:$H$4955,5,FALSE),""),"")</f>
        <v>181</v>
      </c>
      <c r="AV71" t="s">
        <v>125</v>
      </c>
      <c r="AW71" s="33" t="s">
        <v>3225</v>
      </c>
      <c r="AZ71" s="75" t="s">
        <v>2645</v>
      </c>
      <c r="BA71" s="75"/>
      <c r="BB71" s="75"/>
      <c r="BC71" s="75"/>
      <c r="BD71" s="75"/>
      <c r="BE71" s="21" t="str">
        <f t="shared" si="7"/>
        <v>[89] = {wayshrines={-1,-1,-1,}, dlcId=DLC_BASE_GAME</v>
      </c>
      <c r="BF71" s="21" t="str">
        <f t="shared" si="8"/>
        <v>, zoneIds={181,181,181,181,181,181}, veteran=false</v>
      </c>
      <c r="BG71" s="21" t="str">
        <f t="shared" si="9"/>
        <v>, setType=LIBSETS_SETTYPE_CYRODIIL</v>
      </c>
      <c r="BH71"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1"/>
        <v>}, --Sentry / Wachposten   [Cyrodiil, Cyrodiil, Cyrodiil, Cyrodiil, Cyrodiil, Cyrodiil]</v>
      </c>
    </row>
    <row r="72" spans="1:61" x14ac:dyDescent="0.25">
      <c r="A72" s="12">
        <v>90</v>
      </c>
      <c r="B72" t="s">
        <v>824</v>
      </c>
      <c r="C72" t="s">
        <v>2560</v>
      </c>
      <c r="D72" s="3">
        <f t="shared" si="6"/>
        <v>90</v>
      </c>
      <c r="G72" s="8" t="s">
        <v>1473</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1553</v>
      </c>
      <c r="AI72" s="41"/>
      <c r="AJ72" s="41"/>
      <c r="AK72" s="3">
        <f>IF(AND(G72&lt;&gt;"LIBSETS_SETTYPE_BATTLEGROUND",G72&lt;&gt;"LIBSETS_SETTYPE_SPECIAL"),IF(AL72&lt;&gt;"",VLOOKUP(AL72,'ESO zone constants'!$D$5:$H$4955,5,FALSE),""),"")</f>
        <v>382</v>
      </c>
      <c r="AL72" t="s">
        <v>263</v>
      </c>
      <c r="AM72" s="33" t="s">
        <v>1554</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5" t="s">
        <v>2645</v>
      </c>
      <c r="BA72" s="75"/>
      <c r="BB72" s="75"/>
      <c r="BC72" s="75"/>
      <c r="BD72" s="75"/>
      <c r="BE72" s="21" t="str">
        <f t="shared" si="7"/>
        <v>[90] = {wayshrines={162,162,162,}, dlcId=DLC_BASE_GAME</v>
      </c>
      <c r="BF72" s="21" t="str">
        <f t="shared" si="8"/>
        <v>, zoneIds={382,382,487,382}, veteran=false</v>
      </c>
      <c r="BG72" s="21" t="str">
        <f t="shared" si="9"/>
        <v>, setType=LIBSETS_SETTYPE_OVERLAND</v>
      </c>
      <c r="BH72" s="21" t="str">
        <f t="shared" si="10"/>
        <v>, dropMechanic={LIBSETS_DROP_MECHANIC_OVERLAND_BOSS_DELVE,LIBSETS_DROP_MECHANIC_OVERLAND_WORLDBOSS,LIBSETS_DROP_MECHANIC_OVERLAND_BOSS_PUBLIC_DUNGEON,LIBSETS_DROP_MECHANIC_OVERLAND_CHEST}</v>
      </c>
      <c r="BI72" s="21" t="str">
        <f t="shared" si="11"/>
        <v>}, --Senche\'s Bite / Biss des Senche   [Reaper's March, Reaper's March, The Vile Manse, Reaper's March]</v>
      </c>
    </row>
    <row r="73" spans="1:61" x14ac:dyDescent="0.25">
      <c r="A73" s="12">
        <v>91</v>
      </c>
      <c r="B73" t="s">
        <v>825</v>
      </c>
      <c r="C73" t="s">
        <v>2561</v>
      </c>
      <c r="D73" s="3">
        <f t="shared" si="6"/>
        <v>91</v>
      </c>
      <c r="G73" s="8" t="s">
        <v>1470</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5" t="s">
        <v>2645</v>
      </c>
      <c r="BA73" s="75"/>
      <c r="BB73" s="75"/>
      <c r="BC73" s="75"/>
      <c r="BD73" s="75"/>
      <c r="BE73" s="21" t="str">
        <f t="shared" si="7"/>
        <v>[91] = {wayshrines={184,184,184,}, dlcId=DLC_BASE_GAME</v>
      </c>
      <c r="BF73" s="21" t="str">
        <f t="shared" si="8"/>
        <v>, zoneIds={11,347,347}, veteran=false</v>
      </c>
      <c r="BG73" s="21" t="str">
        <f t="shared" si="9"/>
        <v>, setType=LIBSETS_SETTYPE_DUNGEON</v>
      </c>
      <c r="BH73" s="21" t="str">
        <f t="shared" si="10"/>
        <v>, dropMechanic={LIBSETS_DROP_MECHANIC_GROUP_DUNGEON_BOSS}</v>
      </c>
      <c r="BI73" s="21" t="str">
        <f t="shared" si="11"/>
        <v>}, --Oblivion\'s Edge / Vorteil des Vergessens   [Vaults of Madness, Coldharbour, Coldharbour]</v>
      </c>
    </row>
    <row r="74" spans="1:61" x14ac:dyDescent="0.25">
      <c r="A74" s="5">
        <v>92</v>
      </c>
      <c r="B74" t="s">
        <v>826</v>
      </c>
      <c r="C74" t="s">
        <v>2562</v>
      </c>
      <c r="D74" s="3">
        <f t="shared" si="6"/>
        <v>92</v>
      </c>
      <c r="G74" s="8" t="s">
        <v>1467</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5" t="s">
        <v>2645</v>
      </c>
      <c r="BA74" s="75"/>
      <c r="BB74" s="75"/>
      <c r="BC74" s="75"/>
      <c r="BD74" s="75"/>
      <c r="BE74" s="21" t="str">
        <f t="shared" si="7"/>
        <v>[92] = {wayshrines={-2,-2,-2,}, traitsNeeded=8, dlcId=DLC_BASE_GAME</v>
      </c>
      <c r="BF74" s="21" t="str">
        <f t="shared" si="8"/>
        <v>, zoneIds={208,643}, veteran=false</v>
      </c>
      <c r="BG74" s="21" t="str">
        <f t="shared" si="9"/>
        <v>, setType=LIBSETS_SETTYPE_CRAFTED</v>
      </c>
      <c r="BH74" s="21" t="str">
        <f t="shared" si="10"/>
        <v>, dropMechanic={LIBSETS_DROP_MECHANIC_CRAFTED,LIBSETS_DROP_MECHANIC_CRAFTED}</v>
      </c>
      <c r="BI74" s="21" t="str">
        <f t="shared" si="11"/>
        <v>}, --Kagrenac\'s Hope / Kagrenacs Hoffnung   [The Earth Forge, Imperial Sewers]</v>
      </c>
    </row>
    <row r="75" spans="1:61" x14ac:dyDescent="0.25">
      <c r="A75" s="12">
        <v>93</v>
      </c>
      <c r="B75" t="s">
        <v>827</v>
      </c>
      <c r="C75" t="s">
        <v>2563</v>
      </c>
      <c r="D75" s="3">
        <f t="shared" si="6"/>
        <v>93</v>
      </c>
      <c r="G75" s="8" t="s">
        <v>1473</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1553</v>
      </c>
      <c r="AI75" s="41"/>
      <c r="AJ75" s="41"/>
      <c r="AK75" s="3">
        <f>IF(AND(G75&lt;&gt;"LIBSETS_SETTYPE_BATTLEGROUND",G75&lt;&gt;"LIBSETS_SETTYPE_SPECIAL"),IF(AL75&lt;&gt;"",VLOOKUP(AL75,'ESO zone constants'!$D$5:$H$4955,5,FALSE),""),"")</f>
        <v>19</v>
      </c>
      <c r="AL75" t="s">
        <v>104</v>
      </c>
      <c r="AM75" s="33" t="s">
        <v>1554</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5" t="s">
        <v>2645</v>
      </c>
      <c r="BA75" s="75"/>
      <c r="BB75" s="75"/>
      <c r="BC75" s="75"/>
      <c r="BD75" s="75"/>
      <c r="BE75" s="21" t="str">
        <f t="shared" si="7"/>
        <v>[93] = {wayshrines={17,17,17,}, dlcId=DLC_BASE_GAME</v>
      </c>
      <c r="BF75" s="21" t="str">
        <f t="shared" si="8"/>
        <v>, zoneIds={19,19,142,19}, veteran=false</v>
      </c>
      <c r="BG75" s="21" t="str">
        <f t="shared" si="9"/>
        <v>, setType=LIBSETS_SETTYPE_OVERLAND</v>
      </c>
      <c r="BH75" s="21" t="str">
        <f t="shared" si="10"/>
        <v>, dropMechanic={LIBSETS_DROP_MECHANIC_OVERLAND_BOSS_DELVE,LIBSETS_DROP_MECHANIC_OVERLAND_WORLDBOSS,LIBSETS_DROP_MECHANIC_OVERLAND_BOSS_PUBLIC_DUNGEON,LIBSETS_DROP_MECHANIC_OVERLAND_CHEST}</v>
      </c>
      <c r="BI75" s="21" t="str">
        <f t="shared" si="11"/>
        <v>}, --Storm Knight\'s Plate / Wut des Sturmritters   [Stormhaven, Stormhaven, Bonesnap Ruins, Stormhaven]</v>
      </c>
    </row>
    <row r="76" spans="1:61" x14ac:dyDescent="0.25">
      <c r="A76" s="12">
        <v>94</v>
      </c>
      <c r="B76" t="s">
        <v>828</v>
      </c>
      <c r="C76" t="s">
        <v>2564</v>
      </c>
      <c r="D76" s="3">
        <f t="shared" si="6"/>
        <v>94</v>
      </c>
      <c r="E76" s="40"/>
      <c r="G76" s="8" t="s">
        <v>1473</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1553</v>
      </c>
      <c r="AI76" s="41"/>
      <c r="AJ76" s="41"/>
      <c r="AK76" s="3">
        <f>IF(AND(G76&lt;&gt;"LIBSETS_SETTYPE_BATTLEGROUND",G76&lt;&gt;"LIBSETS_SETTYPE_SPECIAL"),IF(AL76&lt;&gt;"",VLOOKUP(AL76,'ESO zone constants'!$D$5:$H$4955,5,FALSE),""),"")</f>
        <v>347</v>
      </c>
      <c r="AL76" t="s">
        <v>239</v>
      </c>
      <c r="AM76" s="33" t="s">
        <v>1554</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5" t="s">
        <v>2645</v>
      </c>
      <c r="BA76" s="75"/>
      <c r="BB76" s="75"/>
      <c r="BC76" s="75"/>
      <c r="BD76" s="75"/>
      <c r="BE76" s="21" t="str">
        <f t="shared" si="7"/>
        <v>[94] = {wayshrines={131,131,131,}, dlcId=DLC_BASE_GAME</v>
      </c>
      <c r="BF76" s="21" t="str">
        <f t="shared" si="8"/>
        <v>, zoneIds={347,347,557,347}, veteran=false</v>
      </c>
      <c r="BG76" s="21" t="str">
        <f t="shared" si="9"/>
        <v>, setType=LIBSETS_SETTYPE_OVERLAND</v>
      </c>
      <c r="BH76" s="21" t="str">
        <f t="shared" si="10"/>
        <v>, dropMechanic={LIBSETS_DROP_MECHANIC_OVERLAND_BOSS_DELVE,LIBSETS_DROP_MECHANIC_OVERLAND_WORLDBOSS,LIBSETS_DROP_MECHANIC_OVERLAND_BOSS_PUBLIC_DUNGEON,LIBSETS_DROP_MECHANIC_OVERLAND_CHEST}</v>
      </c>
      <c r="BI76" s="21" t="str">
        <f t="shared" si="11"/>
        <v>}, --Meridia\'s Blessed Armor / Meridias gesegnete Rüstung   [Coldharbour, Coldharbour, Village of the Lost, Coldharbour]</v>
      </c>
    </row>
    <row r="77" spans="1:61" x14ac:dyDescent="0.25">
      <c r="A77" s="5">
        <v>95</v>
      </c>
      <c r="B77" t="s">
        <v>829</v>
      </c>
      <c r="C77" t="s">
        <v>2565</v>
      </c>
      <c r="D77" s="3">
        <f t="shared" si="6"/>
        <v>95</v>
      </c>
      <c r="G77" s="8" t="s">
        <v>1467</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5" t="s">
        <v>2645</v>
      </c>
      <c r="BA77" s="75"/>
      <c r="BB77" s="75"/>
      <c r="BC77" s="75"/>
      <c r="BD77" s="75"/>
      <c r="BE77" s="21" t="str">
        <f t="shared" si="7"/>
        <v>[95] = {wayshrines={-2,-2,-2,}, traitsNeeded=8, dlcId=DLC_BASE_GAME</v>
      </c>
      <c r="BF77" s="21" t="str">
        <f t="shared" si="8"/>
        <v>, zoneIds={267,643}, veteran=false</v>
      </c>
      <c r="BG77" s="21" t="str">
        <f t="shared" si="9"/>
        <v>, setType=LIBSETS_SETTYPE_CRAFTED</v>
      </c>
      <c r="BH77" s="21" t="str">
        <f t="shared" si="10"/>
        <v>, dropMechanic={LIBSETS_DROP_MECHANIC_CRAFTED,LIBSETS_DROP_MECHANIC_CRAFTED}</v>
      </c>
      <c r="BI77" s="21" t="str">
        <f t="shared" si="11"/>
        <v>}, --Shalidor\'s Curse / Shalidors Fluch   [Eyevea, Imperial Sewers]</v>
      </c>
    </row>
    <row r="78" spans="1:61" x14ac:dyDescent="0.25">
      <c r="A78" s="12">
        <v>96</v>
      </c>
      <c r="B78" t="s">
        <v>830</v>
      </c>
      <c r="C78" t="s">
        <v>831</v>
      </c>
      <c r="D78" s="3">
        <f t="shared" si="6"/>
        <v>96</v>
      </c>
      <c r="G78" s="8" t="s">
        <v>1470</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6"/>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5" t="s">
        <v>2645</v>
      </c>
      <c r="BA78" s="75"/>
      <c r="BB78" s="75"/>
      <c r="BC78" s="75"/>
      <c r="BD78" s="75"/>
      <c r="BE78" s="21" t="str">
        <f t="shared" si="7"/>
        <v>[96] = {wayshrines={198,198,198,}, dlcId=DLC_BASE_GAME</v>
      </c>
      <c r="BF78" s="21" t="str">
        <f t="shared" si="8"/>
        <v>, zoneIds={63,930,57}, veteran=false</v>
      </c>
      <c r="BG78" s="21" t="str">
        <f t="shared" si="9"/>
        <v>, setType=LIBSETS_SETTYPE_DUNGEON</v>
      </c>
      <c r="BH78" s="21" t="str">
        <f t="shared" si="10"/>
        <v>, dropMechanic={LIBSETS_DROP_MECHANIC_GROUP_DUNGEON_BOSS,LIBSETS_DROP_MECHANIC_GROUP_DUNGEON_BOSS}</v>
      </c>
      <c r="BI78" s="21" t="str">
        <f t="shared" si="11"/>
        <v>}, --Armor of Truth / Rüstung der Wahrheit   [Darkshade Caverns I, Darkshade Caverns II, Deshaan]</v>
      </c>
    </row>
    <row r="79" spans="1:61" x14ac:dyDescent="0.25">
      <c r="A79" s="12">
        <v>97</v>
      </c>
      <c r="B79" t="s">
        <v>832</v>
      </c>
      <c r="C79" t="s">
        <v>833</v>
      </c>
      <c r="D79" s="3">
        <f t="shared" si="6"/>
        <v>97</v>
      </c>
      <c r="G79" s="8" t="s">
        <v>1468</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2756</v>
      </c>
      <c r="AK79" s="3">
        <f>IF(AND(G79&lt;&gt;"LIBSETS_SETTYPE_BATTLEGROUND",G79&lt;&gt;"LIBSETS_SETTYPE_SPECIAL"),IF(AL79&lt;&gt;"",VLOOKUP(AL79,'ESO zone constants'!$D$5:$H$4955,5,FALSE),""),"")</f>
        <v>181</v>
      </c>
      <c r="AL79" t="s">
        <v>125</v>
      </c>
      <c r="AM79" s="33" t="s">
        <v>3721</v>
      </c>
      <c r="AP79" s="3">
        <f>IF(AND(G79&lt;&gt;"LIBSETS_SETTYPE_BATTLEGROUND",G79&lt;&gt;"LIBSETS_SETTYPE_SPECIAL"),IF(AQ79&lt;&gt;"",VLOOKUP(AQ79,'ESO zone constants'!$D$5:$H$4955,5,FALSE),""),"")</f>
        <v>181</v>
      </c>
      <c r="AQ79" t="s">
        <v>125</v>
      </c>
      <c r="AR79" s="33" t="s">
        <v>1551</v>
      </c>
      <c r="AU79" s="3">
        <f>IF(AND(G79&lt;&gt;"LIBSETS_SETTYPE_BATTLEGROUND",G79&lt;&gt;"LIBSETS_SETTYPE_SPECIAL"),IF(AV79&lt;&gt;"",VLOOKUP(AV79,'ESO zone constants'!$D$5:$H$4955,5,FALSE),""),"")</f>
        <v>181</v>
      </c>
      <c r="AV79" t="s">
        <v>125</v>
      </c>
      <c r="AW79" s="33" t="s">
        <v>3225</v>
      </c>
      <c r="AZ79" s="75" t="s">
        <v>2645</v>
      </c>
      <c r="BA79" s="75"/>
      <c r="BB79" s="75"/>
      <c r="BC79" s="75"/>
      <c r="BD79" s="75"/>
      <c r="BE79" s="21" t="str">
        <f t="shared" si="7"/>
        <v>[97] = {wayshrines={-1,-1,-1,}, dlcId=DLC_BASE_GAME</v>
      </c>
      <c r="BF79" s="21" t="str">
        <f t="shared" si="8"/>
        <v>, zoneIds={181,181,181,181,181,181}, veteran=false</v>
      </c>
      <c r="BG79" s="21" t="str">
        <f t="shared" si="9"/>
        <v>, setType=LIBSETS_SETTYPE_CYRODIIL</v>
      </c>
      <c r="BH79"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1"/>
        <v>}, --The Arch-Mage / Erzmagier   [Cyrodiil, Cyrodiil, Cyrodiil, Cyrodiil, Cyrodiil, Cyrodiil]</v>
      </c>
    </row>
    <row r="80" spans="1:61" x14ac:dyDescent="0.25">
      <c r="A80" s="12">
        <v>98</v>
      </c>
      <c r="B80" t="s">
        <v>834</v>
      </c>
      <c r="C80" t="s">
        <v>835</v>
      </c>
      <c r="D80" s="3">
        <f t="shared" si="6"/>
        <v>98</v>
      </c>
      <c r="G80" s="8" t="s">
        <v>1473</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1553</v>
      </c>
      <c r="AI80" s="41"/>
      <c r="AJ80" s="41"/>
      <c r="AK80" s="3">
        <f>IF(AND(G80&lt;&gt;"LIBSETS_SETTYPE_BATTLEGROUND",G80&lt;&gt;"LIBSETS_SETTYPE_SPECIAL"),IF(AL80&lt;&gt;"",VLOOKUP(AL80,'ESO zone constants'!$D$5:$H$4955,5,FALSE),""),"")</f>
        <v>20</v>
      </c>
      <c r="AL80" t="s">
        <v>105</v>
      </c>
      <c r="AM80" s="33" t="s">
        <v>1554</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5" t="s">
        <v>2645</v>
      </c>
      <c r="BA80" s="75"/>
      <c r="BB80" s="75"/>
      <c r="BC80" s="75"/>
      <c r="BD80" s="75"/>
      <c r="BE80" s="21" t="str">
        <f t="shared" si="7"/>
        <v>[98] = {wayshrines={55,55,55,}, dlcId=DLC_BASE_GAME</v>
      </c>
      <c r="BF80" s="21" t="str">
        <f t="shared" si="8"/>
        <v>, zoneIds={20,20,162,20}, veteran=false</v>
      </c>
      <c r="BG80" s="21" t="str">
        <f t="shared" si="9"/>
        <v>, setType=LIBSETS_SETTYPE_OVERLAND</v>
      </c>
      <c r="BH80" s="21" t="str">
        <f t="shared" si="10"/>
        <v>, dropMechanic={LIBSETS_DROP_MECHANIC_OVERLAND_BOSS_DELVE,LIBSETS_DROP_MECHANIC_OVERLAND_WORLDBOSS,LIBSETS_DROP_MECHANIC_OVERLAND_BOSS_PUBLIC_DUNGEON,LIBSETS_DROP_MECHANIC_OVERLAND_CHEST}</v>
      </c>
      <c r="BI80" s="21" t="str">
        <f t="shared" si="11"/>
        <v>}, --Necropotence / Nekropotenz   [Rivenspire, Rivenspire, Obsidian Scar, Rivenspire]</v>
      </c>
    </row>
    <row r="81" spans="1:61" x14ac:dyDescent="0.25">
      <c r="A81" s="12">
        <v>99</v>
      </c>
      <c r="B81" t="s">
        <v>836</v>
      </c>
      <c r="C81" t="s">
        <v>837</v>
      </c>
      <c r="D81" s="3">
        <f t="shared" si="6"/>
        <v>99</v>
      </c>
      <c r="G81" s="8" t="s">
        <v>1473</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1553</v>
      </c>
      <c r="AI81" s="41"/>
      <c r="AJ81" s="41"/>
      <c r="AK81" s="3">
        <f>IF(AND(G81&lt;&gt;"LIBSETS_SETTYPE_BATTLEGROUND",G81&lt;&gt;"LIBSETS_SETTYPE_SPECIAL"),IF(AL81&lt;&gt;"",VLOOKUP(AL81,'ESO zone constants'!$D$5:$H$4955,5,FALSE),""),"")</f>
        <v>58</v>
      </c>
      <c r="AL81" t="s">
        <v>108</v>
      </c>
      <c r="AM81" s="33" t="s">
        <v>1554</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5" t="s">
        <v>2646</v>
      </c>
      <c r="BA81" s="75"/>
      <c r="BB81" s="75"/>
      <c r="BC81" s="75"/>
      <c r="BD81" s="75"/>
      <c r="BE81" s="21" t="str">
        <f t="shared" si="7"/>
        <v>[99] = {wayshrines={102,102,102,}, dlcId=DLC_BASE_GAME</v>
      </c>
      <c r="BF81" s="21" t="str">
        <f t="shared" si="8"/>
        <v>, zoneIds={58,58,138,58}, veteran=false</v>
      </c>
      <c r="BG81" s="21" t="str">
        <f t="shared" si="9"/>
        <v>, setType=LIBSETS_SETTYPE_OVERLAND</v>
      </c>
      <c r="BH81" s="21" t="str">
        <f t="shared" si="10"/>
        <v>, isProcSetAllowedInPvP=1, dropMechanic={LIBSETS_DROP_MECHANIC_OVERLAND_BOSS_DELVE,LIBSETS_DROP_MECHANIC_OVERLAND_WORLDBOSS,LIBSETS_DROP_MECHANIC_OVERLAND_BOSS_PUBLIC_DUNGEON,LIBSETS_DROP_MECHANIC_OVERLAND_CHEST}</v>
      </c>
      <c r="BI81" s="21" t="str">
        <f t="shared" si="11"/>
        <v>}, --Salvation / Erlösung   [Malabal Tor, Malabal Tor, Crimson Cove, Malabal Tor]</v>
      </c>
    </row>
    <row r="82" spans="1:61" x14ac:dyDescent="0.25">
      <c r="A82" s="12">
        <v>100</v>
      </c>
      <c r="B82" t="s">
        <v>838</v>
      </c>
      <c r="C82" t="s">
        <v>2566</v>
      </c>
      <c r="D82" s="3">
        <f t="shared" si="6"/>
        <v>100</v>
      </c>
      <c r="G82" s="8" t="s">
        <v>1468</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3718</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2756</v>
      </c>
      <c r="AK82" s="3">
        <f>IF(AND(G82&lt;&gt;"LIBSETS_SETTYPE_BATTLEGROUND",G82&lt;&gt;"LIBSETS_SETTYPE_SPECIAL"),IF(AL82&lt;&gt;"",VLOOKUP(AL82,'ESO zone constants'!$D$5:$H$4955,5,FALSE),""),"")</f>
        <v>181</v>
      </c>
      <c r="AL82" t="s">
        <v>125</v>
      </c>
      <c r="AM82" s="33" t="s">
        <v>3721</v>
      </c>
      <c r="AP82" s="3">
        <f>IF(AND(G82&lt;&gt;"LIBSETS_SETTYPE_BATTLEGROUND",G82&lt;&gt;"LIBSETS_SETTYPE_SPECIAL"),IF(AQ82&lt;&gt;"",VLOOKUP(AQ82,'ESO zone constants'!$D$5:$H$4955,5,FALSE),""),"")</f>
        <v>181</v>
      </c>
      <c r="AQ82" t="s">
        <v>125</v>
      </c>
      <c r="AR82" s="33" t="s">
        <v>1551</v>
      </c>
      <c r="AU82" s="3">
        <f>IF(AND(G82&lt;&gt;"LIBSETS_SETTYPE_BATTLEGROUND",G82&lt;&gt;"LIBSETS_SETTYPE_SPECIAL"),IF(AV82&lt;&gt;"",VLOOKUP(AV82,'ESO zone constants'!$D$5:$H$4955,5,FALSE),""),"")</f>
        <v>181</v>
      </c>
      <c r="AV82" t="s">
        <v>125</v>
      </c>
      <c r="AW82" s="33" t="s">
        <v>3225</v>
      </c>
      <c r="AZ82" s="75" t="s">
        <v>2646</v>
      </c>
      <c r="BA82" s="75"/>
      <c r="BB82" s="75"/>
      <c r="BC82" s="75"/>
      <c r="BD82" s="75"/>
      <c r="BE82" s="21" t="str">
        <f t="shared" si="7"/>
        <v>[100] = {wayshrines={-1,-1,-1,}, dlcId=DLC_BASE_GAME</v>
      </c>
      <c r="BF82" s="21" t="str">
        <f t="shared" si="8"/>
        <v>, zoneIds={181,181,181,181,181,181}, veteran=false</v>
      </c>
      <c r="BG82" s="21" t="str">
        <f t="shared" si="9"/>
        <v>, setType=LIBSETS_SETTYPE_CYRODIIL</v>
      </c>
      <c r="BH82"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1"/>
        <v>}, --Hawk\'s Eye / Falkenauge   [Cyrodiil, Cyrodiil, Cyrodiil, Cyrodiil, Cyrodiil, Cyrodiil]</v>
      </c>
    </row>
    <row r="83" spans="1:61" x14ac:dyDescent="0.25">
      <c r="A83" s="12">
        <v>101</v>
      </c>
      <c r="B83" t="s">
        <v>2760</v>
      </c>
      <c r="C83" t="s">
        <v>839</v>
      </c>
      <c r="D83" s="3">
        <f t="shared" si="6"/>
        <v>101</v>
      </c>
      <c r="E83" s="40"/>
      <c r="G83" s="8" t="s">
        <v>1468</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3718</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2756</v>
      </c>
      <c r="AK83" s="3">
        <f>IF(AND(G83&lt;&gt;"LIBSETS_SETTYPE_BATTLEGROUND",G83&lt;&gt;"LIBSETS_SETTYPE_SPECIAL"),IF(AL83&lt;&gt;"",VLOOKUP(AL83,'ESO zone constants'!$D$5:$H$4955,5,FALSE),""),"")</f>
        <v>181</v>
      </c>
      <c r="AL83" t="s">
        <v>125</v>
      </c>
      <c r="AM83" s="33" t="s">
        <v>3721</v>
      </c>
      <c r="AP83" s="3">
        <f>IF(AND(G83&lt;&gt;"LIBSETS_SETTYPE_BATTLEGROUND",G83&lt;&gt;"LIBSETS_SETTYPE_SPECIAL"),IF(AQ83&lt;&gt;"",VLOOKUP(AQ83,'ESO zone constants'!$D$5:$H$4955,5,FALSE),""),"")</f>
        <v>181</v>
      </c>
      <c r="AQ83" t="s">
        <v>125</v>
      </c>
      <c r="AR83" s="33" t="s">
        <v>1551</v>
      </c>
      <c r="AU83" s="3">
        <f>IF(AND(G83&lt;&gt;"LIBSETS_SETTYPE_BATTLEGROUND",G83&lt;&gt;"LIBSETS_SETTYPE_SPECIAL"),IF(AV83&lt;&gt;"",VLOOKUP(AV83,'ESO zone constants'!$D$5:$H$4955,5,FALSE),""),"")</f>
        <v>181</v>
      </c>
      <c r="AV83" t="s">
        <v>125</v>
      </c>
      <c r="AW83" s="33" t="s">
        <v>3225</v>
      </c>
      <c r="AZ83" s="75" t="s">
        <v>2645</v>
      </c>
      <c r="BA83" s="75"/>
      <c r="BB83" s="75"/>
      <c r="BC83" s="75"/>
      <c r="BD83" s="75"/>
      <c r="BE83" s="21" t="str">
        <f t="shared" si="7"/>
        <v>[101] = {wayshrines={-1,-1,-1,}, dlcId=DLC_BASE_GAME</v>
      </c>
      <c r="BF83" s="21" t="str">
        <f t="shared" si="8"/>
        <v>, zoneIds={181,181,181,181,181,181}, veteran=false</v>
      </c>
      <c r="BG83" s="21" t="str">
        <f t="shared" si="9"/>
        <v>, setType=LIBSETS_SETTYPE_CYRODIIL</v>
      </c>
      <c r="BH83"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1"/>
        <v>}, --Affliction / Elend (Befallen)   [Cyrodiil, Cyrodiil, Cyrodiil, Cyrodiil, Cyrodiil, Cyrodiil]</v>
      </c>
    </row>
    <row r="84" spans="1:61" x14ac:dyDescent="0.25">
      <c r="A84" s="12">
        <v>102</v>
      </c>
      <c r="B84" t="s">
        <v>840</v>
      </c>
      <c r="C84" t="s">
        <v>2567</v>
      </c>
      <c r="D84" s="3">
        <f t="shared" si="6"/>
        <v>102</v>
      </c>
      <c r="G84" s="8" t="s">
        <v>1470</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5" t="s">
        <v>2646</v>
      </c>
      <c r="BA84" s="75"/>
      <c r="BB84" s="75"/>
      <c r="BC84" s="75"/>
      <c r="BD84" s="75"/>
      <c r="BE84" s="21" t="str">
        <f t="shared" si="7"/>
        <v>[102] = {wayshrines={196,196,196,}, dlcId=DLC_BASE_GAME</v>
      </c>
      <c r="BF84" s="21" t="str">
        <f t="shared" si="8"/>
        <v>, zoneIds={22,104,104}, veteran=false</v>
      </c>
      <c r="BG84" s="21" t="str">
        <f t="shared" si="9"/>
        <v>, setType=LIBSETS_SETTYPE_DUNGEON</v>
      </c>
      <c r="BH84" s="21" t="str">
        <f t="shared" si="10"/>
        <v>, isProcSetAllowedInPvP=1, dropMechanic={LIBSETS_DROP_MECHANIC_GROUP_DUNGEON_BOSS}</v>
      </c>
      <c r="BI84" s="21" t="str">
        <f t="shared" si="11"/>
        <v>}, --Duneripper\'s Scales / Schuppen des Dünenbrechers   [Volenfell, Alik'r Desert, Alik'r Desert]</v>
      </c>
    </row>
    <row r="85" spans="1:61" x14ac:dyDescent="0.25">
      <c r="A85" s="12">
        <v>103</v>
      </c>
      <c r="B85" t="s">
        <v>841</v>
      </c>
      <c r="C85" t="s">
        <v>842</v>
      </c>
      <c r="D85" s="3">
        <f t="shared" si="6"/>
        <v>103</v>
      </c>
      <c r="G85" s="8" t="s">
        <v>1470</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5" t="s">
        <v>2645</v>
      </c>
      <c r="BA85" s="75"/>
      <c r="BB85" s="75"/>
      <c r="BC85" s="75"/>
      <c r="BD85" s="75"/>
      <c r="BE85" s="21" t="str">
        <f t="shared" si="7"/>
        <v>[103] = {wayshrines={195,195,195,}, dlcId=DLC_BASE_GAME</v>
      </c>
      <c r="BF85" s="21" t="str">
        <f t="shared" si="8"/>
        <v>, zoneIds={449,101,101}, veteran=false</v>
      </c>
      <c r="BG85" s="21" t="str">
        <f t="shared" si="9"/>
        <v>, setType=LIBSETS_SETTYPE_DUNGEON</v>
      </c>
      <c r="BH85" s="21" t="str">
        <f t="shared" si="10"/>
        <v>, dropMechanic={LIBSETS_DROP_MECHANIC_GROUP_DUNGEON_BOSS}</v>
      </c>
      <c r="BI85" s="21" t="str">
        <f t="shared" si="11"/>
        <v>}, --Magicka Furnace / Magickaschmiede   [Direfrost Keep, Eastmarch, Eastmarch]</v>
      </c>
    </row>
    <row r="86" spans="1:61" x14ac:dyDescent="0.25">
      <c r="A86" s="12">
        <v>104</v>
      </c>
      <c r="B86" t="s">
        <v>843</v>
      </c>
      <c r="C86" t="s">
        <v>844</v>
      </c>
      <c r="D86" s="3">
        <f t="shared" si="6"/>
        <v>104</v>
      </c>
      <c r="G86" s="8" t="s">
        <v>1468</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3718</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2756</v>
      </c>
      <c r="AK86" s="3">
        <f>IF(AND(G86&lt;&gt;"LIBSETS_SETTYPE_BATTLEGROUND",G86&lt;&gt;"LIBSETS_SETTYPE_SPECIAL"),IF(AL86&lt;&gt;"",VLOOKUP(AL86,'ESO zone constants'!$D$5:$H$4955,5,FALSE),""),"")</f>
        <v>181</v>
      </c>
      <c r="AL86" t="s">
        <v>125</v>
      </c>
      <c r="AM86" s="33" t="s">
        <v>3721</v>
      </c>
      <c r="AP86" s="3">
        <f>IF(AND(G86&lt;&gt;"LIBSETS_SETTYPE_BATTLEGROUND",G86&lt;&gt;"LIBSETS_SETTYPE_SPECIAL"),IF(AQ86&lt;&gt;"",VLOOKUP(AQ86,'ESO zone constants'!$D$5:$H$4955,5,FALSE),""),"")</f>
        <v>181</v>
      </c>
      <c r="AQ86" t="s">
        <v>125</v>
      </c>
      <c r="AR86" s="33" t="s">
        <v>1551</v>
      </c>
      <c r="AU86" s="3">
        <f>IF(AND(G86&lt;&gt;"LIBSETS_SETTYPE_BATTLEGROUND",G86&lt;&gt;"LIBSETS_SETTYPE_SPECIAL"),IF(AV86&lt;&gt;"",VLOOKUP(AV86,'ESO zone constants'!$D$5:$H$4955,5,FALSE),""),"")</f>
        <v>181</v>
      </c>
      <c r="AV86" t="s">
        <v>125</v>
      </c>
      <c r="AW86" s="33" t="s">
        <v>3225</v>
      </c>
      <c r="AZ86" s="75" t="s">
        <v>2645</v>
      </c>
      <c r="BA86" s="75"/>
      <c r="BB86" s="75"/>
      <c r="BC86" s="75"/>
      <c r="BD86" s="75"/>
      <c r="BE86" s="21" t="str">
        <f t="shared" si="7"/>
        <v>[104] = {wayshrines={-1,-1,-1,}, dlcId=DLC_BASE_GAME</v>
      </c>
      <c r="BF86" s="21" t="str">
        <f t="shared" si="8"/>
        <v>, zoneIds={181,181,181,181,181,181}, veteran=false</v>
      </c>
      <c r="BG86" s="21" t="str">
        <f t="shared" si="9"/>
        <v>, setType=LIBSETS_SETTYPE_CYRODIIL</v>
      </c>
      <c r="BH86"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1"/>
        <v>}, --Curse Eater / Fluchfresser   [Cyrodiil, Cyrodiil, Cyrodiil, Cyrodiil, Cyrodiil, Cyrodiil]</v>
      </c>
    </row>
    <row r="87" spans="1:61" x14ac:dyDescent="0.25">
      <c r="A87" s="12">
        <v>105</v>
      </c>
      <c r="B87" t="s">
        <v>845</v>
      </c>
      <c r="C87" t="s">
        <v>846</v>
      </c>
      <c r="D87" s="3">
        <f t="shared" si="6"/>
        <v>105</v>
      </c>
      <c r="G87" s="8" t="s">
        <v>1473</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1553</v>
      </c>
      <c r="AI87" s="41"/>
      <c r="AJ87" s="41"/>
      <c r="AK87" s="3">
        <f>IF(AND(G87&lt;&gt;"LIBSETS_SETTYPE_BATTLEGROUND",G87&lt;&gt;"LIBSETS_SETTYPE_SPECIAL"),IF(AL87&lt;&gt;"",VLOOKUP(AL87,'ESO zone constants'!$D$5:$H$4955,5,FALSE),""),"")</f>
        <v>381</v>
      </c>
      <c r="AL87" t="s">
        <v>262</v>
      </c>
      <c r="AM87" s="33" t="s">
        <v>1554</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5" t="s">
        <v>2645</v>
      </c>
      <c r="BA87" s="75"/>
      <c r="BB87" s="75"/>
      <c r="BC87" s="75"/>
      <c r="BD87" s="75"/>
      <c r="BE87" s="21" t="str">
        <f t="shared" si="7"/>
        <v>[105] = {wayshrines={121,121,121,}, dlcId=DLC_BASE_GAME</v>
      </c>
      <c r="BF87" s="21" t="str">
        <f t="shared" si="8"/>
        <v>, zoneIds={381,381,486,381}, veteran=false</v>
      </c>
      <c r="BG87" s="21" t="str">
        <f t="shared" si="9"/>
        <v>, setType=LIBSETS_SETTYPE_OVERLAND</v>
      </c>
      <c r="BH87" s="21" t="str">
        <f t="shared" si="10"/>
        <v>, dropMechanic={LIBSETS_DROP_MECHANIC_OVERLAND_BOSS_DELVE,LIBSETS_DROP_MECHANIC_OVERLAND_WORLDBOSS,LIBSETS_DROP_MECHANIC_OVERLAND_BOSS_PUBLIC_DUNGEON,LIBSETS_DROP_MECHANIC_OVERLAND_CHEST}</v>
      </c>
      <c r="BI87" s="21" t="str">
        <f t="shared" si="11"/>
        <v>}, --Twin Sisters / Zwillingsschwestern   [Auridon, Auridon, Toothmaul Gully, Auridon]</v>
      </c>
    </row>
    <row r="88" spans="1:61" x14ac:dyDescent="0.25">
      <c r="A88" s="12">
        <v>106</v>
      </c>
      <c r="B88" t="s">
        <v>847</v>
      </c>
      <c r="C88" t="s">
        <v>2568</v>
      </c>
      <c r="D88" s="3">
        <f t="shared" si="6"/>
        <v>106</v>
      </c>
      <c r="G88" s="8" t="s">
        <v>1473</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1553</v>
      </c>
      <c r="AI88" s="41"/>
      <c r="AJ88" s="41"/>
      <c r="AK88" s="3">
        <f>IF(AND(G88&lt;&gt;"LIBSETS_SETTYPE_BATTLEGROUND",G88&lt;&gt;"LIBSETS_SETTYPE_SPECIAL"),IF(AL88&lt;&gt;"",VLOOKUP(AL88,'ESO zone constants'!$D$5:$H$4955,5,FALSE),""),"")</f>
        <v>108</v>
      </c>
      <c r="AL88" t="s">
        <v>113</v>
      </c>
      <c r="AM88" s="33" t="s">
        <v>1554</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5" t="s">
        <v>2645</v>
      </c>
      <c r="BA88" s="75"/>
      <c r="BB88" s="75"/>
      <c r="BC88" s="75"/>
      <c r="BD88" s="75"/>
      <c r="BE88" s="21" t="str">
        <f t="shared" si="7"/>
        <v>[106] = {wayshrines={143,143,143,}, dlcId=DLC_BASE_GAME</v>
      </c>
      <c r="BF88" s="21" t="str">
        <f t="shared" si="8"/>
        <v>, zoneIds={108,108,137,108}, veteran=false</v>
      </c>
      <c r="BG88" s="21" t="str">
        <f t="shared" si="9"/>
        <v>, setType=LIBSETS_SETTYPE_OVERLAND</v>
      </c>
      <c r="BH88" s="21" t="str">
        <f t="shared" si="10"/>
        <v>, dropMechanic={LIBSETS_DROP_MECHANIC_OVERLAND_BOSS_DELVE,LIBSETS_DROP_MECHANIC_OVERLAND_WORLDBOSS,LIBSETS_DROP_MECHANIC_OVERLAND_BOSS_PUBLIC_DUNGEON,LIBSETS_DROP_MECHANIC_OVERLAND_CHEST}</v>
      </c>
      <c r="BI88" s="21" t="str">
        <f t="shared" si="11"/>
        <v>}, --Wilderqueen\'s Arch / Bogen der Wildkönigin   [Greenshade, Greenshade, Rulanyil's Fall, Greenshade]</v>
      </c>
    </row>
    <row r="89" spans="1:61" x14ac:dyDescent="0.25">
      <c r="A89" s="12">
        <v>107</v>
      </c>
      <c r="B89" t="s">
        <v>848</v>
      </c>
      <c r="C89" t="s">
        <v>2569</v>
      </c>
      <c r="D89" s="3">
        <f t="shared" si="6"/>
        <v>107</v>
      </c>
      <c r="G89" s="8" t="s">
        <v>1473</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1553</v>
      </c>
      <c r="AI89" s="41"/>
      <c r="AJ89" s="41"/>
      <c r="AK89" s="3">
        <f>IF(AND(G89&lt;&gt;"LIBSETS_SETTYPE_BATTLEGROUND",G89&lt;&gt;"LIBSETS_SETTYPE_SPECIAL"),IF(AL89&lt;&gt;"",VLOOKUP(AL89,'ESO zone constants'!$D$5:$H$4955,5,FALSE),""),"")</f>
        <v>3</v>
      </c>
      <c r="AL89" t="s">
        <v>103</v>
      </c>
      <c r="AM89" s="33" t="s">
        <v>1554</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5" t="s">
        <v>2645</v>
      </c>
      <c r="BA89" s="75"/>
      <c r="BB89" s="75"/>
      <c r="BC89" s="75"/>
      <c r="BD89" s="75"/>
      <c r="BE89" s="21" t="str">
        <f t="shared" si="7"/>
        <v>[107] = {wayshrines={62,62,62,}, dlcId=DLC_BASE_GAME</v>
      </c>
      <c r="BF89" s="21" t="str">
        <f t="shared" si="8"/>
        <v>, zoneIds={3,3,284,3}, veteran=false</v>
      </c>
      <c r="BG89" s="21" t="str">
        <f t="shared" si="9"/>
        <v>, setType=LIBSETS_SETTYPE_OVERLAND</v>
      </c>
      <c r="BH89" s="21" t="str">
        <f t="shared" si="10"/>
        <v>, dropMechanic={LIBSETS_DROP_MECHANIC_OVERLAND_BOSS_DELVE,LIBSETS_DROP_MECHANIC_OVERLAND_WORLDBOSS,LIBSETS_DROP_MECHANIC_OVERLAND_BOSS_PUBLIC_DUNGEON,LIBSETS_DROP_MECHANIC_OVERLAND_CHEST}</v>
      </c>
      <c r="BI89" s="21" t="str">
        <f t="shared" si="11"/>
        <v>}, --Wyrd Tree\'s Blessing / Segen des Wyrdbaums   [Glenumbra, Glenumbra, Bad Man's Hallows, Glenumbra]</v>
      </c>
    </row>
    <row r="90" spans="1:61" x14ac:dyDescent="0.25">
      <c r="A90" s="12">
        <v>108</v>
      </c>
      <c r="B90" t="s">
        <v>849</v>
      </c>
      <c r="C90" t="s">
        <v>850</v>
      </c>
      <c r="D90" s="3">
        <f t="shared" si="6"/>
        <v>108</v>
      </c>
      <c r="G90" s="8" t="s">
        <v>1468</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3718</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2756</v>
      </c>
      <c r="AK90" s="3">
        <f>IF(AND(G90&lt;&gt;"LIBSETS_SETTYPE_BATTLEGROUND",G90&lt;&gt;"LIBSETS_SETTYPE_SPECIAL"),IF(AL90&lt;&gt;"",VLOOKUP(AL90,'ESO zone constants'!$D$5:$H$4955,5,FALSE),""),"")</f>
        <v>181</v>
      </c>
      <c r="AL90" t="s">
        <v>125</v>
      </c>
      <c r="AM90" s="33" t="s">
        <v>3721</v>
      </c>
      <c r="AP90" s="3">
        <f>IF(AND(G90&lt;&gt;"LIBSETS_SETTYPE_BATTLEGROUND",G90&lt;&gt;"LIBSETS_SETTYPE_SPECIAL"),IF(AQ90&lt;&gt;"",VLOOKUP(AQ90,'ESO zone constants'!$D$5:$H$4955,5,FALSE),""),"")</f>
        <v>181</v>
      </c>
      <c r="AQ90" t="s">
        <v>125</v>
      </c>
      <c r="AR90" s="33" t="s">
        <v>1551</v>
      </c>
      <c r="AU90" s="3">
        <f>IF(AND(G90&lt;&gt;"LIBSETS_SETTYPE_BATTLEGROUND",G90&lt;&gt;"LIBSETS_SETTYPE_SPECIAL"),IF(AV90&lt;&gt;"",VLOOKUP(AV90,'ESO zone constants'!$D$5:$H$4955,5,FALSE),""),"")</f>
        <v>181</v>
      </c>
      <c r="AV90" t="s">
        <v>125</v>
      </c>
      <c r="AW90" s="33" t="s">
        <v>3225</v>
      </c>
      <c r="AZ90" s="75" t="s">
        <v>2645</v>
      </c>
      <c r="BA90" s="75"/>
      <c r="BB90" s="75"/>
      <c r="BC90" s="75"/>
      <c r="BD90" s="75"/>
      <c r="BE90" s="21" t="str">
        <f t="shared" si="7"/>
        <v>[108] = {wayshrines={-1,-1,-1,}, dlcId=DLC_BASE_GAME</v>
      </c>
      <c r="BF90" s="21" t="str">
        <f t="shared" si="8"/>
        <v>, zoneIds={181,181,181,181,181,181}, veteran=false</v>
      </c>
      <c r="BG90" s="21" t="str">
        <f t="shared" si="9"/>
        <v>, setType=LIBSETS_SETTYPE_CYRODIIL</v>
      </c>
      <c r="BH90"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1"/>
        <v>}, --Ravager / Verwüster   [Cyrodiil, Cyrodiil, Cyrodiil, Cyrodiil, Cyrodiil, Cyrodiil]</v>
      </c>
    </row>
    <row r="91" spans="1:61" s="28" customFormat="1" x14ac:dyDescent="0.25">
      <c r="A91" s="12">
        <v>109</v>
      </c>
      <c r="B91" t="s">
        <v>851</v>
      </c>
      <c r="C91" t="s">
        <v>852</v>
      </c>
      <c r="D91" s="3">
        <f t="shared" si="6"/>
        <v>109</v>
      </c>
      <c r="E91"/>
      <c r="F91"/>
      <c r="G91" s="8" t="s">
        <v>1468</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2756</v>
      </c>
      <c r="AI91" s="3"/>
      <c r="AJ91" s="3"/>
      <c r="AK91" s="3">
        <f>IF(AND(G91&lt;&gt;"LIBSETS_SETTYPE_BATTLEGROUND",G91&lt;&gt;"LIBSETS_SETTYPE_SPECIAL"),IF(AL91&lt;&gt;"",VLOOKUP(AL91,'ESO zone constants'!$D$5:$H$4955,5,FALSE),""),"")</f>
        <v>181</v>
      </c>
      <c r="AL91" t="s">
        <v>125</v>
      </c>
      <c r="AM91" s="33" t="s">
        <v>3721</v>
      </c>
      <c r="AN91" s="3"/>
      <c r="AO91" s="3"/>
      <c r="AP91" s="3">
        <f>IF(AND(G91&lt;&gt;"LIBSETS_SETTYPE_BATTLEGROUND",G91&lt;&gt;"LIBSETS_SETTYPE_SPECIAL"),IF(AQ91&lt;&gt;"",VLOOKUP(AQ91,'ESO zone constants'!$D$5:$H$4955,5,FALSE),""),"")</f>
        <v>181</v>
      </c>
      <c r="AQ91" t="s">
        <v>125</v>
      </c>
      <c r="AR91" s="33" t="s">
        <v>1551</v>
      </c>
      <c r="AS91" s="3"/>
      <c r="AT91" s="3"/>
      <c r="AU91" s="3">
        <f>IF(AND(G91&lt;&gt;"LIBSETS_SETTYPE_BATTLEGROUND",G91&lt;&gt;"LIBSETS_SETTYPE_SPECIAL"),IF(AV91&lt;&gt;"",VLOOKUP(AV91,'ESO zone constants'!$D$5:$H$4955,5,FALSE),""),"")</f>
        <v>181</v>
      </c>
      <c r="AV91" t="s">
        <v>125</v>
      </c>
      <c r="AW91" s="33" t="s">
        <v>3225</v>
      </c>
      <c r="AX91" s="3"/>
      <c r="AY91" s="3"/>
      <c r="AZ91" s="75" t="s">
        <v>2645</v>
      </c>
      <c r="BA91" s="75"/>
      <c r="BB91" s="75"/>
      <c r="BC91" s="75"/>
      <c r="BD91" s="75"/>
      <c r="BE91" s="21" t="str">
        <f t="shared" si="7"/>
        <v>[109] = {wayshrines={-1,-1,-1,}, dlcId=DLC_BASE_GAME</v>
      </c>
      <c r="BF91" s="21" t="str">
        <f t="shared" si="8"/>
        <v>, zoneIds={181,181,181,181,181,181}, veteran=false</v>
      </c>
      <c r="BG91" s="21" t="str">
        <f t="shared" si="9"/>
        <v>, setType=LIBSETS_SETTYPE_CYRODIIL</v>
      </c>
      <c r="BH91"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1"/>
        <v>}, --Light of Cyrodiil / Licht von Cyrodiil   [Cyrodiil, Cyrodiil, Cyrodiil, Cyrodiil, Cyrodiil, Cyrodiil]</v>
      </c>
    </row>
    <row r="92" spans="1:61" x14ac:dyDescent="0.25">
      <c r="A92" s="12">
        <v>110</v>
      </c>
      <c r="B92" t="s">
        <v>853</v>
      </c>
      <c r="C92" t="s">
        <v>854</v>
      </c>
      <c r="D92" s="3">
        <f t="shared" si="6"/>
        <v>110</v>
      </c>
      <c r="G92" s="8" t="s">
        <v>1470</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6"/>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5" t="s">
        <v>2645</v>
      </c>
      <c r="BA92" s="75"/>
      <c r="BB92" s="75"/>
      <c r="BC92" s="75"/>
      <c r="BD92" s="75"/>
      <c r="BE92" s="21" t="str">
        <f t="shared" si="7"/>
        <v>[110] = {wayshrines={194,194,194,}, dlcId=DLC_BASE_GAME</v>
      </c>
      <c r="BF92" s="21" t="str">
        <f t="shared" si="8"/>
        <v>, zoneIds={380,935,381}, veteran=false</v>
      </c>
      <c r="BG92" s="21" t="str">
        <f t="shared" si="9"/>
        <v>, setType=LIBSETS_SETTYPE_DUNGEON</v>
      </c>
      <c r="BH92" s="21" t="str">
        <f t="shared" si="10"/>
        <v>, dropMechanic={LIBSETS_DROP_MECHANIC_GROUP_DUNGEON_BOSS,LIBSETS_DROP_MECHANIC_GROUP_DUNGEON_BOSS}</v>
      </c>
      <c r="BI92" s="21" t="str">
        <f t="shared" si="11"/>
        <v>}, --Sanctuary / Heiligtum   [The Banished Cells I, The Banished Cells II, Auridon]</v>
      </c>
    </row>
    <row r="93" spans="1:61" x14ac:dyDescent="0.25">
      <c r="A93" s="12">
        <v>111</v>
      </c>
      <c r="B93" t="s">
        <v>855</v>
      </c>
      <c r="C93" t="s">
        <v>856</v>
      </c>
      <c r="D93" s="3">
        <f t="shared" si="6"/>
        <v>111</v>
      </c>
      <c r="G93" s="8" t="s">
        <v>1468</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2756</v>
      </c>
      <c r="AK93" s="3">
        <f>IF(AND(G93&lt;&gt;"LIBSETS_SETTYPE_BATTLEGROUND",G93&lt;&gt;"LIBSETS_SETTYPE_SPECIAL"),IF(AL93&lt;&gt;"",VLOOKUP(AL93,'ESO zone constants'!$D$5:$H$4955,5,FALSE),""),"")</f>
        <v>181</v>
      </c>
      <c r="AL93" t="s">
        <v>125</v>
      </c>
      <c r="AM93" s="33" t="s">
        <v>3721</v>
      </c>
      <c r="AP93" s="3">
        <f>IF(AND(G93&lt;&gt;"LIBSETS_SETTYPE_BATTLEGROUND",G93&lt;&gt;"LIBSETS_SETTYPE_SPECIAL"),IF(AQ93&lt;&gt;"",VLOOKUP(AQ93,'ESO zone constants'!$D$5:$H$4955,5,FALSE),""),"")</f>
        <v>181</v>
      </c>
      <c r="AQ93" t="s">
        <v>125</v>
      </c>
      <c r="AR93" s="33" t="s">
        <v>1551</v>
      </c>
      <c r="AU93" s="3">
        <f>IF(AND(G93&lt;&gt;"LIBSETS_SETTYPE_BATTLEGROUND",G93&lt;&gt;"LIBSETS_SETTYPE_SPECIAL"),IF(AV93&lt;&gt;"",VLOOKUP(AV93,'ESO zone constants'!$D$5:$H$4955,5,FALSE),""),"")</f>
        <v>181</v>
      </c>
      <c r="AV93" t="s">
        <v>125</v>
      </c>
      <c r="AW93" s="33" t="s">
        <v>3225</v>
      </c>
      <c r="AZ93" s="75" t="s">
        <v>2645</v>
      </c>
      <c r="BA93" s="75"/>
      <c r="BB93" s="75"/>
      <c r="BC93" s="75"/>
      <c r="BD93" s="75"/>
      <c r="BE93" s="21" t="str">
        <f t="shared" si="7"/>
        <v>[111] = {wayshrines={-1,-1,-1,}, dlcId=DLC_BASE_GAME</v>
      </c>
      <c r="BF93" s="21" t="str">
        <f t="shared" si="8"/>
        <v>, zoneIds={181,181,181,181,181,181}, veteran=false</v>
      </c>
      <c r="BG93" s="21" t="str">
        <f t="shared" si="9"/>
        <v>, setType=LIBSETS_SETTYPE_CYRODIIL</v>
      </c>
      <c r="BH93"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1"/>
        <v>}, --Ward of Cyrodiil / Schutz von Cyrodiil   [Cyrodiil, Cyrodiil, Cyrodiil, Cyrodiil, Cyrodiil, Cyrodiil]</v>
      </c>
    </row>
    <row r="94" spans="1:61" x14ac:dyDescent="0.25">
      <c r="A94" s="12">
        <v>112</v>
      </c>
      <c r="B94" t="s">
        <v>857</v>
      </c>
      <c r="C94" t="s">
        <v>858</v>
      </c>
      <c r="D94" s="3">
        <f t="shared" si="6"/>
        <v>112</v>
      </c>
      <c r="G94" s="8" t="s">
        <v>1473</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1553</v>
      </c>
      <c r="AI94" s="41"/>
      <c r="AJ94" s="41"/>
      <c r="AK94" s="3">
        <f>IF(AND(G94&lt;&gt;"LIBSETS_SETTYPE_BATTLEGROUND",G94&lt;&gt;"LIBSETS_SETTYPE_SPECIAL"),IF(AL94&lt;&gt;"",VLOOKUP(AL94,'ESO zone constants'!$D$5:$H$4955,5,FALSE),""),"")</f>
        <v>19</v>
      </c>
      <c r="AL94" t="s">
        <v>104</v>
      </c>
      <c r="AM94" s="33" t="s">
        <v>1554</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5" t="s">
        <v>2646</v>
      </c>
      <c r="BA94" s="75"/>
      <c r="BB94" s="75"/>
      <c r="BC94" s="75"/>
      <c r="BD94" s="75"/>
      <c r="BE94" s="21" t="str">
        <f t="shared" si="7"/>
        <v>[112] = {wayshrines={17,17,17,}, dlcId=DLC_BASE_GAME</v>
      </c>
      <c r="BF94" s="21" t="str">
        <f t="shared" si="8"/>
        <v>, zoneIds={19,19,142,19}, veteran=false</v>
      </c>
      <c r="BG94" s="21" t="str">
        <f t="shared" si="9"/>
        <v>, setType=LIBSETS_SETTYPE_OVERLAND</v>
      </c>
      <c r="BH94" s="21" t="str">
        <f t="shared" si="10"/>
        <v>, isProcSetAllowedInPvP=1, dropMechanic={LIBSETS_DROP_MECHANIC_OVERLAND_BOSS_DELVE,LIBSETS_DROP_MECHANIC_OVERLAND_WORLDBOSS,LIBSETS_DROP_MECHANIC_OVERLAND_BOSS_PUBLIC_DUNGEON,LIBSETS_DROP_MECHANIC_OVERLAND_CHEST}</v>
      </c>
      <c r="BI94" s="21" t="str">
        <f t="shared" si="11"/>
        <v>}, --Night Terror / Nachtschrecken   [Stormhaven, Stormhaven, Bonesnap Ruins, Stormhaven]</v>
      </c>
    </row>
    <row r="95" spans="1:61" x14ac:dyDescent="0.25">
      <c r="A95" s="12">
        <v>113</v>
      </c>
      <c r="B95" t="s">
        <v>859</v>
      </c>
      <c r="C95" t="s">
        <v>860</v>
      </c>
      <c r="D95" s="3">
        <f t="shared" si="6"/>
        <v>113</v>
      </c>
      <c r="G95" s="8" t="s">
        <v>1468</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3718</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2756</v>
      </c>
      <c r="AK95" s="3">
        <f>IF(AND(G95&lt;&gt;"LIBSETS_SETTYPE_BATTLEGROUND",G95&lt;&gt;"LIBSETS_SETTYPE_SPECIAL"),IF(AL95&lt;&gt;"",VLOOKUP(AL95,'ESO zone constants'!$D$5:$H$4955,5,FALSE),""),"")</f>
        <v>181</v>
      </c>
      <c r="AL95" t="s">
        <v>125</v>
      </c>
      <c r="AM95" s="33" t="s">
        <v>3721</v>
      </c>
      <c r="AP95" s="3">
        <f>IF(AND(G95&lt;&gt;"LIBSETS_SETTYPE_BATTLEGROUND",G95&lt;&gt;"LIBSETS_SETTYPE_SPECIAL"),IF(AQ95&lt;&gt;"",VLOOKUP(AQ95,'ESO zone constants'!$D$5:$H$4955,5,FALSE),""),"")</f>
        <v>181</v>
      </c>
      <c r="AQ95" t="s">
        <v>125</v>
      </c>
      <c r="AR95" s="33" t="s">
        <v>1551</v>
      </c>
      <c r="AU95" s="3">
        <f>IF(AND(G95&lt;&gt;"LIBSETS_SETTYPE_BATTLEGROUND",G95&lt;&gt;"LIBSETS_SETTYPE_SPECIAL"),IF(AV95&lt;&gt;"",VLOOKUP(AV95,'ESO zone constants'!$D$5:$H$4955,5,FALSE),""),"")</f>
        <v>181</v>
      </c>
      <c r="AV95" t="s">
        <v>125</v>
      </c>
      <c r="AW95" s="33" t="s">
        <v>3225</v>
      </c>
      <c r="AZ95" s="75" t="s">
        <v>2645</v>
      </c>
      <c r="BA95" s="75"/>
      <c r="BB95" s="75"/>
      <c r="BC95" s="75"/>
      <c r="BD95" s="75"/>
      <c r="BE95" s="21" t="str">
        <f t="shared" si="7"/>
        <v>[113] = {wayshrines={-1,-1,-1,}, dlcId=DLC_BASE_GAME</v>
      </c>
      <c r="BF95" s="21" t="str">
        <f t="shared" si="8"/>
        <v>, zoneIds={181,181,181,181,181,181}, veteran=false</v>
      </c>
      <c r="BG95" s="21" t="str">
        <f t="shared" si="9"/>
        <v>, setType=LIBSETS_SETTYPE_CYRODIIL</v>
      </c>
      <c r="BH95"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1"/>
        <v>}, --Crest of Cyrodiil / Wappen von Cyrodiil   [Cyrodiil, Cyrodiil, Cyrodiil, Cyrodiil, Cyrodiil, Cyrodiil]</v>
      </c>
    </row>
    <row r="96" spans="1:61" x14ac:dyDescent="0.25">
      <c r="A96" s="12">
        <v>114</v>
      </c>
      <c r="B96" t="s">
        <v>861</v>
      </c>
      <c r="C96" t="s">
        <v>862</v>
      </c>
      <c r="D96" s="3">
        <f t="shared" si="6"/>
        <v>114</v>
      </c>
      <c r="G96" s="8" t="s">
        <v>1473</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1553</v>
      </c>
      <c r="AI96" s="41"/>
      <c r="AJ96" s="41"/>
      <c r="AK96" s="3">
        <f>IF(AND(G96&lt;&gt;"LIBSETS_SETTYPE_BATTLEGROUND",G96&lt;&gt;"LIBSETS_SETTYPE_SPECIAL"),IF(AL96&lt;&gt;"",VLOOKUP(AL96,'ESO zone constants'!$D$5:$H$4955,5,FALSE),""),"")</f>
        <v>382</v>
      </c>
      <c r="AL96" t="s">
        <v>263</v>
      </c>
      <c r="AM96" s="33" t="s">
        <v>1554</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5" t="s">
        <v>2645</v>
      </c>
      <c r="BA96" s="75"/>
      <c r="BB96" s="75"/>
      <c r="BC96" s="75"/>
      <c r="BD96" s="75"/>
      <c r="BE96" s="21" t="str">
        <f t="shared" si="7"/>
        <v>[114] = {wayshrines={162,162,162,}, dlcId=DLC_BASE_GAME</v>
      </c>
      <c r="BF96" s="21" t="str">
        <f t="shared" si="8"/>
        <v>, zoneIds={382,382,487,382}, veteran=false</v>
      </c>
      <c r="BG96" s="21" t="str">
        <f t="shared" si="9"/>
        <v>, setType=LIBSETS_SETTYPE_OVERLAND</v>
      </c>
      <c r="BH96" s="21" t="str">
        <f t="shared" si="10"/>
        <v>, dropMechanic={LIBSETS_DROP_MECHANIC_OVERLAND_BOSS_DELVE,LIBSETS_DROP_MECHANIC_OVERLAND_WORLDBOSS,LIBSETS_DROP_MECHANIC_OVERLAND_BOSS_PUBLIC_DUNGEON,LIBSETS_DROP_MECHANIC_OVERLAND_CHEST}</v>
      </c>
      <c r="BI96" s="21" t="str">
        <f t="shared" si="11"/>
        <v>}, --Soulshine / Seelenschein   [Reaper's March, Reaper's March, The Vile Manse, Reaper's March]</v>
      </c>
    </row>
    <row r="97" spans="1:61" x14ac:dyDescent="0.25">
      <c r="A97" s="12">
        <v>116</v>
      </c>
      <c r="B97" t="s">
        <v>863</v>
      </c>
      <c r="C97" t="s">
        <v>864</v>
      </c>
      <c r="D97" s="3">
        <f t="shared" si="6"/>
        <v>116</v>
      </c>
      <c r="G97" s="8" t="s">
        <v>1470</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3273</v>
      </c>
      <c r="AI97" s="41"/>
      <c r="AJ97" s="41"/>
      <c r="AK97" s="3">
        <f>IF(AND(G97&lt;&gt;"LIBSETS_SETTYPE_BATTLEGROUND",G97&lt;&gt;"LIBSETS_SETTYPE_SPECIAL"),IF(AL97&lt;&gt;"",VLOOKUP(AL97,'ESO zone constants'!$D$5:$H$4955,5,FALSE),""),"")</f>
        <v>63</v>
      </c>
      <c r="AL97" t="s">
        <v>61</v>
      </c>
      <c r="AM97" s="33" t="s">
        <v>3273</v>
      </c>
      <c r="AN97" s="41"/>
      <c r="AO97" s="41"/>
      <c r="AP97" s="3">
        <f>IF(AND(G97&lt;&gt;"LIBSETS_SETTYPE_BATTLEGROUND",G97&lt;&gt;"LIBSETS_SETTYPE_SPECIAL"),IF(AQ97&lt;&gt;"",VLOOKUP(AQ97,'ESO zone constants'!$D$5:$H$4955,5,FALSE),""),"")</f>
        <v>283</v>
      </c>
      <c r="AQ97" t="s">
        <v>51</v>
      </c>
      <c r="AR97" s="33" t="s">
        <v>3273</v>
      </c>
      <c r="AS97" s="41"/>
      <c r="AT97" s="41"/>
      <c r="AU97" s="3" t="str">
        <f>IF(AND(G97&lt;&gt;"LIBSETS_SETTYPE_BATTLEGROUND",G97&lt;&gt;"LIBSETS_SETTYPE_SPECIAL"),IF(AV97&lt;&gt;"",VLOOKUP(AV97,'ESO zone constants'!$D$5:$H$4955,5,FALSE),""),"")</f>
        <v/>
      </c>
      <c r="AX97" s="41"/>
      <c r="AY97" s="41"/>
      <c r="AZ97" s="75" t="s">
        <v>2645</v>
      </c>
      <c r="BA97" s="75"/>
      <c r="BB97" s="75"/>
      <c r="BC97" s="75"/>
      <c r="BD97" s="75"/>
      <c r="BE97" s="21" t="str">
        <f t="shared" si="7"/>
        <v>[116] = {wayshrines={194,194,194,}, dlcId=DLC_BASE_GAME</v>
      </c>
      <c r="BF97" s="21" t="str">
        <f t="shared" si="8"/>
        <v>, zoneIds={381,146,126,63,283}, veteran=false</v>
      </c>
      <c r="BG97" s="21" t="str">
        <f t="shared" si="9"/>
        <v>, setType=LIBSETS_SETTYPE_DUNGEON</v>
      </c>
      <c r="BH97" s="21" t="str">
        <f t="shared" si="10"/>
        <v>, dropMechanic={LIBSETS_DROP_MECHANIC_GROUP_DUNGEON_BOSS,LIBSETS_DROP_MECHANIC_GROUP_DUNGEON_BOSS,LIBSETS_DROP_MECHANIC_GROUP_DUNGEON_BOSS,LIBSETS_DROP_MECHANIC_GROUP_DUNGEON_BOSS,LIBSETS_DROP_MECHANIC_GROUP_DUNGEON_BOSS}</v>
      </c>
      <c r="BI97" s="21" t="str">
        <f t="shared" si="11"/>
        <v>}, --The Destruction Suite / Garnitur der Zerstörung   [The Banished Cells I, Wayrest Sewers I, Elden Hollow I, Darkshade Caverns I, Fungal Grotto I]</v>
      </c>
    </row>
    <row r="98" spans="1:61" x14ac:dyDescent="0.25">
      <c r="A98" s="12">
        <v>117</v>
      </c>
      <c r="B98" t="s">
        <v>865</v>
      </c>
      <c r="C98" t="s">
        <v>1434</v>
      </c>
      <c r="D98" s="3">
        <f t="shared" si="6"/>
        <v>117</v>
      </c>
      <c r="G98" s="8" t="s">
        <v>1470</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3273</v>
      </c>
      <c r="AI98" s="41"/>
      <c r="AJ98" s="41"/>
      <c r="AK98" s="3">
        <f>IF(AND(G98&lt;&gt;"LIBSETS_SETTYPE_BATTLEGROUND",G98&lt;&gt;"LIBSETS_SETTYPE_SPECIAL"),IF(AL98&lt;&gt;"",VLOOKUP(AL98,'ESO zone constants'!$D$5:$H$4955,5,FALSE),""),"")</f>
        <v>63</v>
      </c>
      <c r="AL98" t="s">
        <v>61</v>
      </c>
      <c r="AM98" s="33" t="s">
        <v>3273</v>
      </c>
      <c r="AN98" s="41"/>
      <c r="AO98" s="41"/>
      <c r="AP98" s="3">
        <f>IF(AND(G98&lt;&gt;"LIBSETS_SETTYPE_BATTLEGROUND",G98&lt;&gt;"LIBSETS_SETTYPE_SPECIAL"),IF(AQ98&lt;&gt;"",VLOOKUP(AQ98,'ESO zone constants'!$D$5:$H$4955,5,FALSE),""),"")</f>
        <v>283</v>
      </c>
      <c r="AQ98" t="s">
        <v>51</v>
      </c>
      <c r="AR98" s="33" t="s">
        <v>3273</v>
      </c>
      <c r="AS98" s="41"/>
      <c r="AT98" s="41"/>
      <c r="AU98" s="3" t="str">
        <f>IF(AND(G98&lt;&gt;"LIBSETS_SETTYPE_BATTLEGROUND",G98&lt;&gt;"LIBSETS_SETTYPE_SPECIAL"),IF(AV98&lt;&gt;"",VLOOKUP(AV98,'ESO zone constants'!$D$5:$H$4955,5,FALSE),""),"")</f>
        <v/>
      </c>
      <c r="AX98" s="41"/>
      <c r="AY98" s="41"/>
      <c r="AZ98" s="75" t="s">
        <v>2646</v>
      </c>
      <c r="BA98" s="75"/>
      <c r="BB98" s="75"/>
      <c r="BC98" s="75"/>
      <c r="BD98" s="75"/>
      <c r="BE98" s="21" t="str">
        <f t="shared" si="7"/>
        <v>[117] = {wayshrines={194,194,194,}, dlcId=DLC_BASE_GAME</v>
      </c>
      <c r="BF98" s="21" t="str">
        <f t="shared" si="8"/>
        <v>, zoneIds={381,146,126,63,283}, veteran=false</v>
      </c>
      <c r="BG98" s="21" t="str">
        <f t="shared" si="9"/>
        <v>, setType=LIBSETS_SETTYPE_DUNGEON</v>
      </c>
      <c r="BH98" s="21" t="str">
        <f t="shared" si="10"/>
        <v>, isProcSetAllowedInPvP=1, dropMechanic={LIBSETS_DROP_MECHANIC_GROUP_DUNGEON_BOSS,LIBSETS_DROP_MECHANIC_GROUP_DUNGEON_BOSS,LIBSETS_DROP_MECHANIC_GROUP_DUNGEON_BOSS,LIBSETS_DROP_MECHANIC_GROUP_DUNGEON_BOSS,LIBSETS_DROP_MECHANIC_GROUP_DUNGEON_BOSS}</v>
      </c>
      <c r="BI98" s="21" t="str">
        <f t="shared" si="11"/>
        <v>}, --Relics of the Physician, Ansur / Relikte des Mediziners Ansur   [The Banished Cells I, Wayrest Sewers I, Elden Hollow I, Darkshade Caverns I, Fungal Grotto I]</v>
      </c>
    </row>
    <row r="99" spans="1:61" x14ac:dyDescent="0.25">
      <c r="A99" s="12">
        <v>118</v>
      </c>
      <c r="B99" t="s">
        <v>866</v>
      </c>
      <c r="C99" t="s">
        <v>867</v>
      </c>
      <c r="D99" s="3">
        <f t="shared" si="6"/>
        <v>118</v>
      </c>
      <c r="G99" s="8" t="s">
        <v>1470</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3273</v>
      </c>
      <c r="AI99" s="41"/>
      <c r="AJ99" s="41"/>
      <c r="AK99" s="3">
        <f>IF(AND(G99&lt;&gt;"LIBSETS_SETTYPE_BATTLEGROUND",G99&lt;&gt;"LIBSETS_SETTYPE_SPECIAL"),IF(AL99&lt;&gt;"",VLOOKUP(AL99,'ESO zone constants'!$D$5:$H$4955,5,FALSE),""),"")</f>
        <v>63</v>
      </c>
      <c r="AL99" t="s">
        <v>61</v>
      </c>
      <c r="AM99" s="33" t="s">
        <v>3273</v>
      </c>
      <c r="AN99" s="41"/>
      <c r="AO99" s="41"/>
      <c r="AP99" s="3">
        <f>IF(AND(G99&lt;&gt;"LIBSETS_SETTYPE_BATTLEGROUND",G99&lt;&gt;"LIBSETS_SETTYPE_SPECIAL"),IF(AQ99&lt;&gt;"",VLOOKUP(AQ99,'ESO zone constants'!$D$5:$H$4955,5,FALSE),""),"")</f>
        <v>283</v>
      </c>
      <c r="AQ99" t="s">
        <v>51</v>
      </c>
      <c r="AR99" s="33" t="s">
        <v>3273</v>
      </c>
      <c r="AS99" s="41"/>
      <c r="AT99" s="41"/>
      <c r="AU99" s="3" t="str">
        <f>IF(AND(G99&lt;&gt;"LIBSETS_SETTYPE_BATTLEGROUND",G99&lt;&gt;"LIBSETS_SETTYPE_SPECIAL"),IF(AV99&lt;&gt;"",VLOOKUP(AV99,'ESO zone constants'!$D$5:$H$4955,5,FALSE),""),"")</f>
        <v/>
      </c>
      <c r="AX99" s="41"/>
      <c r="AY99" s="41"/>
      <c r="AZ99" s="75" t="s">
        <v>2645</v>
      </c>
      <c r="BA99" s="75"/>
      <c r="BB99" s="75"/>
      <c r="BC99" s="75"/>
      <c r="BD99" s="75"/>
      <c r="BE99" s="21" t="str">
        <f t="shared" si="7"/>
        <v>[118] = {wayshrines={194,194,194,}, dlcId=DLC_BASE_GAME</v>
      </c>
      <c r="BF99" s="21" t="str">
        <f t="shared" si="8"/>
        <v>, zoneIds={381,146,126,63,283}, veteran=false</v>
      </c>
      <c r="BG99" s="21" t="str">
        <f t="shared" si="9"/>
        <v>, setType=LIBSETS_SETTYPE_DUNGEON</v>
      </c>
      <c r="BH99" s="21" t="str">
        <f t="shared" si="10"/>
        <v>, dropMechanic={LIBSETS_DROP_MECHANIC_GROUP_DUNGEON_BOSS,LIBSETS_DROP_MECHANIC_GROUP_DUNGEON_BOSS,LIBSETS_DROP_MECHANIC_GROUP_DUNGEON_BOSS,LIBSETS_DROP_MECHANIC_GROUP_DUNGEON_BOSS,LIBSETS_DROP_MECHANIC_GROUP_DUNGEON_BOSS}</v>
      </c>
      <c r="BI99" s="21" t="str">
        <f t="shared" si="11"/>
        <v>}, --Treasures of the Earthforge / Schätze der Erdenschmiede   [The Banished Cells I, Wayrest Sewers I, Elden Hollow I, Darkshade Caverns I, Fungal Grotto I]</v>
      </c>
    </row>
    <row r="100" spans="1:61" x14ac:dyDescent="0.25">
      <c r="A100" s="12">
        <v>119</v>
      </c>
      <c r="B100" t="s">
        <v>868</v>
      </c>
      <c r="C100" t="s">
        <v>869</v>
      </c>
      <c r="D100" s="3">
        <f t="shared" si="6"/>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3273</v>
      </c>
      <c r="AI100" s="41"/>
      <c r="AJ100" s="41"/>
      <c r="AK100" s="3">
        <f>IF(AND(G100&lt;&gt;"LIBSETS_SETTYPE_BATTLEGROUND",G100&lt;&gt;"LIBSETS_SETTYPE_SPECIAL"),IF(AL100&lt;&gt;"",VLOOKUP(AL100,'ESO zone constants'!$D$5:$H$4955,5,FALSE),""),"")</f>
        <v>63</v>
      </c>
      <c r="AL100" t="s">
        <v>61</v>
      </c>
      <c r="AM100" s="33" t="s">
        <v>3273</v>
      </c>
      <c r="AN100" s="41"/>
      <c r="AO100" s="41"/>
      <c r="AP100" s="3">
        <f>IF(AND(G100&lt;&gt;"LIBSETS_SETTYPE_BATTLEGROUND",G100&lt;&gt;"LIBSETS_SETTYPE_SPECIAL"),IF(AQ100&lt;&gt;"",VLOOKUP(AQ100,'ESO zone constants'!$D$5:$H$4955,5,FALSE),""),"")</f>
        <v>283</v>
      </c>
      <c r="AQ100" t="s">
        <v>51</v>
      </c>
      <c r="AR100" s="33" t="s">
        <v>3273</v>
      </c>
      <c r="AS100" s="41"/>
      <c r="AT100" s="41"/>
      <c r="AU100" s="3" t="str">
        <f>IF(AND(G100&lt;&gt;"LIBSETS_SETTYPE_BATTLEGROUND",G100&lt;&gt;"LIBSETS_SETTYPE_SPECIAL"),IF(AV100&lt;&gt;"",VLOOKUP(AV100,'ESO zone constants'!$D$5:$H$4955,5,FALSE),""),"")</f>
        <v/>
      </c>
      <c r="AX100" s="41"/>
      <c r="AY100" s="41"/>
      <c r="AZ100" s="75" t="s">
        <v>2645</v>
      </c>
      <c r="BA100" s="75"/>
      <c r="BB100" s="75"/>
      <c r="BC100" s="75"/>
      <c r="BD100" s="75"/>
      <c r="BE100" s="21" t="str">
        <f t="shared" si="7"/>
        <v>[119] = {wayshrines={194,194,194,}, dlcId=DLC_BASE_GAME</v>
      </c>
      <c r="BF100" s="21" t="str">
        <f t="shared" si="8"/>
        <v>, zoneIds={381,146,126,63,283}, veteran=false</v>
      </c>
      <c r="BG100" s="21" t="str">
        <f t="shared" si="9"/>
        <v>, setType=LIBSETS_SETTYPE_DUNGEON</v>
      </c>
      <c r="BH100" s="21" t="str">
        <f t="shared" si="10"/>
        <v>, dropMechanic={LIBSETS_DROP_MECHANIC_GROUP_DUNGEON_BOSS,LIBSETS_DROP_MECHANIC_GROUP_DUNGEON_BOSS,LIBSETS_DROP_MECHANIC_GROUP_DUNGEON_BOSS,LIBSETS_DROP_MECHANIC_GROUP_DUNGEON_BOSS,LIBSETS_DROP_MECHANIC_GROUP_DUNGEON_BOSS}</v>
      </c>
      <c r="BI100" s="21" t="str">
        <f t="shared" si="11"/>
        <v>}, --Relics of the Rebellion / Relikte der Rebellion   [The Banished Cells I, Wayrest Sewers I, Elden Hollow I, Darkshade Caverns I, Fungal Grotto I]</v>
      </c>
    </row>
    <row r="101" spans="1:61" x14ac:dyDescent="0.25">
      <c r="A101" s="12">
        <v>120</v>
      </c>
      <c r="B101" t="s">
        <v>870</v>
      </c>
      <c r="C101" t="s">
        <v>871</v>
      </c>
      <c r="D101" s="3">
        <f t="shared" si="6"/>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3273</v>
      </c>
      <c r="AI101" s="41"/>
      <c r="AJ101" s="41"/>
      <c r="AK101" s="3">
        <f>IF(AND(G101&lt;&gt;"LIBSETS_SETTYPE_BATTLEGROUND",G101&lt;&gt;"LIBSETS_SETTYPE_SPECIAL"),IF(AL101&lt;&gt;"",VLOOKUP(AL101,'ESO zone constants'!$D$5:$H$4955,5,FALSE),""),"")</f>
        <v>63</v>
      </c>
      <c r="AL101" t="s">
        <v>61</v>
      </c>
      <c r="AM101" s="33" t="s">
        <v>3273</v>
      </c>
      <c r="AN101" s="41"/>
      <c r="AO101" s="41"/>
      <c r="AP101" s="3">
        <f>IF(AND(G101&lt;&gt;"LIBSETS_SETTYPE_BATTLEGROUND",G101&lt;&gt;"LIBSETS_SETTYPE_SPECIAL"),IF(AQ101&lt;&gt;"",VLOOKUP(AQ101,'ESO zone constants'!$D$5:$H$4955,5,FALSE),""),"")</f>
        <v>283</v>
      </c>
      <c r="AQ101" t="s">
        <v>51</v>
      </c>
      <c r="AR101" s="33" t="s">
        <v>3273</v>
      </c>
      <c r="AS101" s="41"/>
      <c r="AT101" s="41"/>
      <c r="AU101" s="3" t="str">
        <f>IF(AND(G101&lt;&gt;"LIBSETS_SETTYPE_BATTLEGROUND",G101&lt;&gt;"LIBSETS_SETTYPE_SPECIAL"),IF(AV101&lt;&gt;"",VLOOKUP(AV101,'ESO zone constants'!$D$5:$H$4955,5,FALSE),""),"")</f>
        <v/>
      </c>
      <c r="AX101" s="41"/>
      <c r="AY101" s="41"/>
      <c r="AZ101" s="75" t="s">
        <v>2645</v>
      </c>
      <c r="BA101" s="75"/>
      <c r="BB101" s="75"/>
      <c r="BC101" s="75"/>
      <c r="BD101" s="75"/>
      <c r="BE101" s="21" t="str">
        <f t="shared" si="7"/>
        <v>[120] = {wayshrines={194,194,194,}, dlcId=DLC_BASE_GAME</v>
      </c>
      <c r="BF101" s="21" t="str">
        <f t="shared" si="8"/>
        <v>, zoneIds={381,146,126,63,283}, veteran=false</v>
      </c>
      <c r="BG101" s="21" t="str">
        <f t="shared" si="9"/>
        <v>, setType=LIBSETS_SETTYPE_DUNGEON</v>
      </c>
      <c r="BH101" s="21" t="str">
        <f t="shared" si="10"/>
        <v>, dropMechanic={LIBSETS_DROP_MECHANIC_GROUP_DUNGEON_BOSS,LIBSETS_DROP_MECHANIC_GROUP_DUNGEON_BOSS,LIBSETS_DROP_MECHANIC_GROUP_DUNGEON_BOSS,LIBSETS_DROP_MECHANIC_GROUP_DUNGEON_BOSS,LIBSETS_DROP_MECHANIC_GROUP_DUNGEON_BOSS}</v>
      </c>
      <c r="BI101" s="21" t="str">
        <f t="shared" si="11"/>
        <v>}, --Arms of Infernace / Waffen Infernals   [The Banished Cells I, Wayrest Sewers I, Elden Hollow I, Darkshade Caverns I, Fungal Grotto I]</v>
      </c>
    </row>
    <row r="102" spans="1:61" x14ac:dyDescent="0.25">
      <c r="A102" s="12">
        <v>121</v>
      </c>
      <c r="B102" t="s">
        <v>872</v>
      </c>
      <c r="C102" t="s">
        <v>873</v>
      </c>
      <c r="D102" s="3">
        <f t="shared" si="6"/>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3273</v>
      </c>
      <c r="AI102" s="41"/>
      <c r="AJ102" s="41"/>
      <c r="AK102" s="3">
        <f>IF(AND(G102&lt;&gt;"LIBSETS_SETTYPE_BATTLEGROUND",G102&lt;&gt;"LIBSETS_SETTYPE_SPECIAL"),IF(AL102&lt;&gt;"",VLOOKUP(AL102,'ESO zone constants'!$D$5:$H$4955,5,FALSE),""),"")</f>
        <v>63</v>
      </c>
      <c r="AL102" t="s">
        <v>61</v>
      </c>
      <c r="AM102" s="33" t="s">
        <v>3273</v>
      </c>
      <c r="AN102" s="41"/>
      <c r="AO102" s="41"/>
      <c r="AP102" s="3">
        <f>IF(AND(G102&lt;&gt;"LIBSETS_SETTYPE_BATTLEGROUND",G102&lt;&gt;"LIBSETS_SETTYPE_SPECIAL"),IF(AQ102&lt;&gt;"",VLOOKUP(AQ102,'ESO zone constants'!$D$5:$H$4955,5,FALSE),""),"")</f>
        <v>283</v>
      </c>
      <c r="AQ102" t="s">
        <v>51</v>
      </c>
      <c r="AR102" s="33" t="s">
        <v>3273</v>
      </c>
      <c r="AS102" s="41"/>
      <c r="AT102" s="41"/>
      <c r="AU102" s="3" t="str">
        <f>IF(AND(G102&lt;&gt;"LIBSETS_SETTYPE_BATTLEGROUND",G102&lt;&gt;"LIBSETS_SETTYPE_SPECIAL"),IF(AV102&lt;&gt;"",VLOOKUP(AV102,'ESO zone constants'!$D$5:$H$4955,5,FALSE),""),"")</f>
        <v/>
      </c>
      <c r="AX102" s="41"/>
      <c r="AY102" s="41"/>
      <c r="AZ102" s="75" t="s">
        <v>2645</v>
      </c>
      <c r="BA102" s="75"/>
      <c r="BB102" s="75"/>
      <c r="BC102" s="75"/>
      <c r="BD102" s="75"/>
      <c r="BE102" s="21" t="str">
        <f t="shared" si="7"/>
        <v>[121] = {wayshrines={194,194,194,}, dlcId=DLC_BASE_GAME</v>
      </c>
      <c r="BF102" s="21" t="str">
        <f t="shared" si="8"/>
        <v>, zoneIds={381,146,126,63,283}, veteran=false</v>
      </c>
      <c r="BG102" s="21" t="str">
        <f t="shared" si="9"/>
        <v>, setType=LIBSETS_SETTYPE_DUNGEON</v>
      </c>
      <c r="BH102" s="21" t="str">
        <f t="shared" si="10"/>
        <v>, dropMechanic={LIBSETS_DROP_MECHANIC_GROUP_DUNGEON_BOSS,LIBSETS_DROP_MECHANIC_GROUP_DUNGEON_BOSS,LIBSETS_DROP_MECHANIC_GROUP_DUNGEON_BOSS,LIBSETS_DROP_MECHANIC_GROUP_DUNGEON_BOSS,LIBSETS_DROP_MECHANIC_GROUP_DUNGEON_BOSS}</v>
      </c>
      <c r="BI102" s="21" t="str">
        <f t="shared" si="11"/>
        <v>}, --Arms of the Ancestors / Waffen der Ahnen   [The Banished Cells I, Wayrest Sewers I, Elden Hollow I, Darkshade Caverns I, Fungal Grotto I]</v>
      </c>
    </row>
    <row r="103" spans="1:61" x14ac:dyDescent="0.25">
      <c r="A103" s="12">
        <v>122</v>
      </c>
      <c r="B103" t="s">
        <v>874</v>
      </c>
      <c r="C103" t="s">
        <v>875</v>
      </c>
      <c r="D103" s="3">
        <f t="shared" si="6"/>
        <v>122</v>
      </c>
      <c r="G103" s="8" t="s">
        <v>1470</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6"/>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5" t="s">
        <v>2645</v>
      </c>
      <c r="BA103" s="75"/>
      <c r="BB103" s="75"/>
      <c r="BC103" s="75"/>
      <c r="BD103" s="75"/>
      <c r="BE103" s="21" t="str">
        <f t="shared" si="7"/>
        <v>[122] = {wayshrines={190,190,190,}, dlcId=DLC_BASE_GAME</v>
      </c>
      <c r="BF103" s="21" t="str">
        <f t="shared" si="8"/>
        <v>, zoneIds={130,932,20}, veteran=false</v>
      </c>
      <c r="BG103" s="21" t="str">
        <f t="shared" si="9"/>
        <v>, setType=LIBSETS_SETTYPE_DUNGEON</v>
      </c>
      <c r="BH103" s="21" t="str">
        <f t="shared" si="10"/>
        <v>, dropMechanic={LIBSETS_DROP_MECHANIC_GROUP_DUNGEON_BOSS,LIBSETS_DROP_MECHANIC_GROUP_DUNGEON_BOSS}</v>
      </c>
      <c r="BI103" s="21" t="str">
        <f t="shared" si="11"/>
        <v>}, --Ebon Armory / Ebenerzarsenal   [Crypt of Hearts I, Crypt of Hearts II, Rivenspire]</v>
      </c>
    </row>
    <row r="104" spans="1:61" x14ac:dyDescent="0.25">
      <c r="A104" s="12">
        <v>123</v>
      </c>
      <c r="B104" t="s">
        <v>876</v>
      </c>
      <c r="C104" t="s">
        <v>2570</v>
      </c>
      <c r="D104" s="3">
        <f t="shared" si="6"/>
        <v>123</v>
      </c>
      <c r="G104" s="8" t="s">
        <v>1470</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5" t="s">
        <v>2645</v>
      </c>
      <c r="BA104" s="75"/>
      <c r="BB104" s="75"/>
      <c r="BC104" s="75"/>
      <c r="BD104" s="75"/>
      <c r="BE104" s="21" t="str">
        <f t="shared" si="7"/>
        <v>[123] = {wayshrines={185,185,185,}, dlcId=DLC_BASE_GAME</v>
      </c>
      <c r="BF104" s="21" t="str">
        <f t="shared" si="8"/>
        <v>, zoneIds={31,382,382}, veteran=false</v>
      </c>
      <c r="BG104" s="21" t="str">
        <f t="shared" si="9"/>
        <v>, setType=LIBSETS_SETTYPE_DUNGEON</v>
      </c>
      <c r="BH104" s="21" t="str">
        <f t="shared" si="10"/>
        <v>, dropMechanic={LIBSETS_DROP_MECHANIC_GROUP_DUNGEON_BOSS}</v>
      </c>
      <c r="BI104" s="21" t="str">
        <f t="shared" si="11"/>
        <v>}, --Hircine\'s Veneer / Hircines Schein   [Selene's Web, Reaper's March, Reaper's March]</v>
      </c>
    </row>
    <row r="105" spans="1:61" x14ac:dyDescent="0.25">
      <c r="A105" s="12">
        <v>124</v>
      </c>
      <c r="B105" t="s">
        <v>877</v>
      </c>
      <c r="C105" t="s">
        <v>2571</v>
      </c>
      <c r="D105" s="3">
        <f t="shared" si="6"/>
        <v>124</v>
      </c>
      <c r="G105" s="8" t="s">
        <v>1470</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5" t="s">
        <v>2645</v>
      </c>
      <c r="BA105" s="75"/>
      <c r="BB105" s="75"/>
      <c r="BC105" s="75"/>
      <c r="BD105" s="75"/>
      <c r="BE105" s="21" t="str">
        <f t="shared" si="7"/>
        <v>[124] = {wayshrines={184,184,184,}, dlcId=DLC_BASE_GAME</v>
      </c>
      <c r="BF105" s="21" t="str">
        <f t="shared" si="8"/>
        <v>, zoneIds={11,347,347}, veteran=false</v>
      </c>
      <c r="BG105" s="21" t="str">
        <f t="shared" si="9"/>
        <v>, setType=LIBSETS_SETTYPE_DUNGEON</v>
      </c>
      <c r="BH105" s="21" t="str">
        <f t="shared" si="10"/>
        <v>, dropMechanic={LIBSETS_DROP_MECHANIC_GROUP_DUNGEON_BOSS}</v>
      </c>
      <c r="BI105" s="21" t="str">
        <f t="shared" si="11"/>
        <v>}, --The Worm\'s Raiment / Garderobe des Wurms   [Vaults of Madness, Coldharbour, Coldharbour]</v>
      </c>
    </row>
    <row r="106" spans="1:61" x14ac:dyDescent="0.25">
      <c r="A106" s="12">
        <v>125</v>
      </c>
      <c r="B106" t="s">
        <v>878</v>
      </c>
      <c r="C106" t="s">
        <v>879</v>
      </c>
      <c r="D106" s="3">
        <f t="shared" si="6"/>
        <v>125</v>
      </c>
      <c r="G106" s="8" t="s">
        <v>1468</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2756</v>
      </c>
      <c r="AK106" s="3">
        <f>IF(AND(G106&lt;&gt;"LIBSETS_SETTYPE_BATTLEGROUND",G106&lt;&gt;"LIBSETS_SETTYPE_SPECIAL"),IF(AL106&lt;&gt;"",VLOOKUP(AL106,'ESO zone constants'!$D$5:$H$4955,5,FALSE),""),"")</f>
        <v>181</v>
      </c>
      <c r="AL106" t="s">
        <v>125</v>
      </c>
      <c r="AM106" s="33" t="s">
        <v>3721</v>
      </c>
      <c r="AP106" s="3">
        <f>IF(AND(G106&lt;&gt;"LIBSETS_SETTYPE_BATTLEGROUND",G106&lt;&gt;"LIBSETS_SETTYPE_SPECIAL"),IF(AQ106&lt;&gt;"",VLOOKUP(AQ106,'ESO zone constants'!$D$5:$H$4955,5,FALSE),""),"")</f>
        <v>181</v>
      </c>
      <c r="AQ106" t="s">
        <v>125</v>
      </c>
      <c r="AR106" s="33" t="s">
        <v>1551</v>
      </c>
      <c r="AU106" s="3">
        <f>IF(AND(G106&lt;&gt;"LIBSETS_SETTYPE_BATTLEGROUND",G106&lt;&gt;"LIBSETS_SETTYPE_SPECIAL"),IF(AV106&lt;&gt;"",VLOOKUP(AV106,'ESO zone constants'!$D$5:$H$4955,5,FALSE),""),"")</f>
        <v>181</v>
      </c>
      <c r="AV106" t="s">
        <v>125</v>
      </c>
      <c r="AW106" s="33" t="s">
        <v>3225</v>
      </c>
      <c r="AZ106" s="75" t="s">
        <v>2646</v>
      </c>
      <c r="BA106" s="75"/>
      <c r="BB106" s="75"/>
      <c r="BC106" s="75"/>
      <c r="BD106" s="75"/>
      <c r="BE106" s="21" t="str">
        <f t="shared" si="7"/>
        <v>[125] = {wayshrines={-1,-1,-1,}, dlcId=DLC_BASE_GAME</v>
      </c>
      <c r="BF106" s="21" t="str">
        <f t="shared" si="8"/>
        <v>, zoneIds={181,181,181,181,181,181}, veteran=false</v>
      </c>
      <c r="BG106" s="21" t="str">
        <f t="shared" si="9"/>
        <v>, setType=LIBSETS_SETTYPE_CYRODIIL</v>
      </c>
      <c r="BH106"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1"/>
        <v>}, --Wrath of the Imperium / Zorn des Kaiserreichs   [Cyrodiil, Cyrodiil, Cyrodiil, Cyrodiil, Cyrodiil, Cyrodiil]</v>
      </c>
    </row>
    <row r="107" spans="1:61" x14ac:dyDescent="0.25">
      <c r="A107" s="12">
        <v>126</v>
      </c>
      <c r="B107" t="s">
        <v>2759</v>
      </c>
      <c r="C107" t="s">
        <v>880</v>
      </c>
      <c r="D107" s="3">
        <f t="shared" si="6"/>
        <v>126</v>
      </c>
      <c r="E107" s="40"/>
      <c r="G107" s="8" t="s">
        <v>1468</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2756</v>
      </c>
      <c r="AK107" s="3">
        <f>IF(AND(G107&lt;&gt;"LIBSETS_SETTYPE_BATTLEGROUND",G107&lt;&gt;"LIBSETS_SETTYPE_SPECIAL"),IF(AL107&lt;&gt;"",VLOOKUP(AL107,'ESO zone constants'!$D$5:$H$4955,5,FALSE),""),"")</f>
        <v>181</v>
      </c>
      <c r="AL107" t="s">
        <v>125</v>
      </c>
      <c r="AM107" s="33" t="s">
        <v>3721</v>
      </c>
      <c r="AP107" s="3">
        <f>IF(AND(G107&lt;&gt;"LIBSETS_SETTYPE_BATTLEGROUND",G107&lt;&gt;"LIBSETS_SETTYPE_SPECIAL"),IF(AQ107&lt;&gt;"",VLOOKUP(AQ107,'ESO zone constants'!$D$5:$H$4955,5,FALSE),""),"")</f>
        <v>181</v>
      </c>
      <c r="AQ107" t="s">
        <v>125</v>
      </c>
      <c r="AR107" s="33" t="s">
        <v>1551</v>
      </c>
      <c r="AU107" s="3">
        <f>IF(AND(G107&lt;&gt;"LIBSETS_SETTYPE_BATTLEGROUND",G107&lt;&gt;"LIBSETS_SETTYPE_SPECIAL"),IF(AV107&lt;&gt;"",VLOOKUP(AV107,'ESO zone constants'!$D$5:$H$4955,5,FALSE),""),"")</f>
        <v>181</v>
      </c>
      <c r="AV107" t="s">
        <v>125</v>
      </c>
      <c r="AW107" s="33" t="s">
        <v>3225</v>
      </c>
      <c r="AZ107" s="75" t="s">
        <v>2646</v>
      </c>
      <c r="BA107" s="75"/>
      <c r="BB107" s="75"/>
      <c r="BC107" s="75"/>
      <c r="BD107" s="75"/>
      <c r="BE107" s="21" t="str">
        <f t="shared" si="7"/>
        <v>[126] = {wayshrines={-1,-1,-1,}, dlcId=DLC_BASE_GAME</v>
      </c>
      <c r="BF107" s="21" t="str">
        <f t="shared" si="8"/>
        <v>, zoneIds={181,181,181,181,181,181}, veteran=false</v>
      </c>
      <c r="BG107" s="21" t="str">
        <f t="shared" si="9"/>
        <v>, setType=LIBSETS_SETTYPE_CYRODIIL</v>
      </c>
      <c r="BH107"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1"/>
        <v>}, --Grace of the Ancients / Anmut der Ahnen   [Cyrodiil, Cyrodiil, Cyrodiil, Cyrodiil, Cyrodiil, Cyrodiil]</v>
      </c>
    </row>
    <row r="108" spans="1:61" x14ac:dyDescent="0.25">
      <c r="A108" s="12">
        <v>127</v>
      </c>
      <c r="B108" t="s">
        <v>881</v>
      </c>
      <c r="C108" t="s">
        <v>882</v>
      </c>
      <c r="D108" s="3">
        <f t="shared" si="6"/>
        <v>127</v>
      </c>
      <c r="G108" s="8" t="s">
        <v>1468</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2756</v>
      </c>
      <c r="AK108" s="3">
        <f>IF(AND(G108&lt;&gt;"LIBSETS_SETTYPE_BATTLEGROUND",G108&lt;&gt;"LIBSETS_SETTYPE_SPECIAL"),IF(AL108&lt;&gt;"",VLOOKUP(AL108,'ESO zone constants'!$D$5:$H$4955,5,FALSE),""),"")</f>
        <v>181</v>
      </c>
      <c r="AL108" t="s">
        <v>125</v>
      </c>
      <c r="AM108" s="33" t="s">
        <v>3721</v>
      </c>
      <c r="AP108" s="3">
        <f>IF(AND(G108&lt;&gt;"LIBSETS_SETTYPE_BATTLEGROUND",G108&lt;&gt;"LIBSETS_SETTYPE_SPECIAL"),IF(AQ108&lt;&gt;"",VLOOKUP(AQ108,'ESO zone constants'!$D$5:$H$4955,5,FALSE),""),"")</f>
        <v>181</v>
      </c>
      <c r="AQ108" t="s">
        <v>125</v>
      </c>
      <c r="AR108" s="33" t="s">
        <v>1551</v>
      </c>
      <c r="AU108" s="3">
        <f>IF(AND(G108&lt;&gt;"LIBSETS_SETTYPE_BATTLEGROUND",G108&lt;&gt;"LIBSETS_SETTYPE_SPECIAL"),IF(AV108&lt;&gt;"",VLOOKUP(AV108,'ESO zone constants'!$D$5:$H$4955,5,FALSE),""),"")</f>
        <v>181</v>
      </c>
      <c r="AV108" t="s">
        <v>125</v>
      </c>
      <c r="AW108" s="33" t="s">
        <v>3225</v>
      </c>
      <c r="AZ108" s="75" t="s">
        <v>2646</v>
      </c>
      <c r="BA108" s="75"/>
      <c r="BB108" s="75"/>
      <c r="BC108" s="75"/>
      <c r="BD108" s="75"/>
      <c r="BE108" s="21" t="str">
        <f t="shared" si="7"/>
        <v>[127] = {wayshrines={-1,-1,-1,}, dlcId=DLC_BASE_GAME</v>
      </c>
      <c r="BF108" s="21" t="str">
        <f t="shared" si="8"/>
        <v>, zoneIds={181,181,181,181,181,181}, veteran=false</v>
      </c>
      <c r="BG108" s="21" t="str">
        <f t="shared" si="9"/>
        <v>, setType=LIBSETS_SETTYPE_CYRODIIL</v>
      </c>
      <c r="BH108"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1"/>
        <v>}, --Deadly Strike / Tödlicher Stoß   [Cyrodiil, Cyrodiil, Cyrodiil, Cyrodiil, Cyrodiil, Cyrodiil]</v>
      </c>
    </row>
    <row r="109" spans="1:61" x14ac:dyDescent="0.25">
      <c r="A109" s="12">
        <v>128</v>
      </c>
      <c r="B109" t="s">
        <v>883</v>
      </c>
      <c r="C109" t="s">
        <v>884</v>
      </c>
      <c r="D109" s="3">
        <f t="shared" si="6"/>
        <v>128</v>
      </c>
      <c r="E109" s="40"/>
      <c r="G109" s="8" t="s">
        <v>1468</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2756</v>
      </c>
      <c r="AK109" s="3">
        <f>IF(AND(G109&lt;&gt;"LIBSETS_SETTYPE_BATTLEGROUND",G109&lt;&gt;"LIBSETS_SETTYPE_SPECIAL"),IF(AL109&lt;&gt;"",VLOOKUP(AL109,'ESO zone constants'!$D$5:$H$4955,5,FALSE),""),"")</f>
        <v>181</v>
      </c>
      <c r="AL109" t="s">
        <v>125</v>
      </c>
      <c r="AM109" s="33" t="s">
        <v>3721</v>
      </c>
      <c r="AP109" s="3">
        <f>IF(AND(G109&lt;&gt;"LIBSETS_SETTYPE_BATTLEGROUND",G109&lt;&gt;"LIBSETS_SETTYPE_SPECIAL"),IF(AQ109&lt;&gt;"",VLOOKUP(AQ109,'ESO zone constants'!$D$5:$H$4955,5,FALSE),""),"")</f>
        <v>181</v>
      </c>
      <c r="AQ109" t="s">
        <v>125</v>
      </c>
      <c r="AR109" s="33" t="s">
        <v>1551</v>
      </c>
      <c r="AU109" s="3">
        <f>IF(AND(G109&lt;&gt;"LIBSETS_SETTYPE_BATTLEGROUND",G109&lt;&gt;"LIBSETS_SETTYPE_SPECIAL"),IF(AV109&lt;&gt;"",VLOOKUP(AV109,'ESO zone constants'!$D$5:$H$4955,5,FALSE),""),"")</f>
        <v>181</v>
      </c>
      <c r="AV109" t="s">
        <v>125</v>
      </c>
      <c r="AW109" s="33" t="s">
        <v>3225</v>
      </c>
      <c r="AZ109" s="75" t="s">
        <v>2646</v>
      </c>
      <c r="BA109" s="75"/>
      <c r="BB109" s="75"/>
      <c r="BC109" s="75"/>
      <c r="BD109" s="75"/>
      <c r="BE109" s="21" t="str">
        <f t="shared" si="7"/>
        <v>[128] = {wayshrines={-1,-1,-1,}, dlcId=DLC_BASE_GAME</v>
      </c>
      <c r="BF109" s="21" t="str">
        <f t="shared" si="8"/>
        <v>, zoneIds={181,181,181,181,181,181}, veteran=false</v>
      </c>
      <c r="BG109" s="21" t="str">
        <f t="shared" si="9"/>
        <v>, setType=LIBSETS_SETTYPE_CYRODIIL</v>
      </c>
      <c r="BH109"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1"/>
        <v>}, --Blessing of the Potentates / Segen des Potentaten   [Cyrodiil, Cyrodiil, Cyrodiil, Cyrodiil, Cyrodiil, Cyrodiil]</v>
      </c>
    </row>
    <row r="110" spans="1:61" x14ac:dyDescent="0.25">
      <c r="A110" s="12">
        <v>129</v>
      </c>
      <c r="B110" t="s">
        <v>885</v>
      </c>
      <c r="C110" t="s">
        <v>886</v>
      </c>
      <c r="D110" s="3">
        <f t="shared" si="6"/>
        <v>129</v>
      </c>
      <c r="G110" s="8" t="s">
        <v>1468</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2756</v>
      </c>
      <c r="AK110" s="3">
        <f>IF(AND(G110&lt;&gt;"LIBSETS_SETTYPE_BATTLEGROUND",G110&lt;&gt;"LIBSETS_SETTYPE_SPECIAL"),IF(AL110&lt;&gt;"",VLOOKUP(AL110,'ESO zone constants'!$D$5:$H$4955,5,FALSE),""),"")</f>
        <v>181</v>
      </c>
      <c r="AL110" t="s">
        <v>125</v>
      </c>
      <c r="AM110" s="33" t="s">
        <v>3721</v>
      </c>
      <c r="AP110" s="3">
        <f>IF(AND(G110&lt;&gt;"LIBSETS_SETTYPE_BATTLEGROUND",G110&lt;&gt;"LIBSETS_SETTYPE_SPECIAL"),IF(AQ110&lt;&gt;"",VLOOKUP(AQ110,'ESO zone constants'!$D$5:$H$4955,5,FALSE),""),"")</f>
        <v>181</v>
      </c>
      <c r="AQ110" t="s">
        <v>125</v>
      </c>
      <c r="AR110" s="33" t="s">
        <v>1551</v>
      </c>
      <c r="AU110" s="3">
        <f>IF(AND(G110&lt;&gt;"LIBSETS_SETTYPE_BATTLEGROUND",G110&lt;&gt;"LIBSETS_SETTYPE_SPECIAL"),IF(AV110&lt;&gt;"",VLOOKUP(AV110,'ESO zone constants'!$D$5:$H$4955,5,FALSE),""),"")</f>
        <v>181</v>
      </c>
      <c r="AV110" t="s">
        <v>125</v>
      </c>
      <c r="AW110" s="33" t="s">
        <v>3225</v>
      </c>
      <c r="AZ110" s="75" t="s">
        <v>2645</v>
      </c>
      <c r="BA110" s="75"/>
      <c r="BB110" s="75"/>
      <c r="BC110" s="75"/>
      <c r="BD110" s="75"/>
      <c r="BE110" s="21" t="str">
        <f t="shared" si="7"/>
        <v>[129] = {wayshrines={-1,-1,-1,}, dlcId=DLC_BASE_GAME</v>
      </c>
      <c r="BF110" s="21" t="str">
        <f t="shared" si="8"/>
        <v>, zoneIds={181,181,181,181,181,181}, veteran=false</v>
      </c>
      <c r="BG110" s="21" t="str">
        <f t="shared" si="9"/>
        <v>, setType=LIBSETS_SETTYPE_CYRODIIL</v>
      </c>
      <c r="BH110"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1"/>
        <v>}, --Vengeance Leech / Saugende Vergeltung   [Cyrodiil, Cyrodiil, Cyrodiil, Cyrodiil, Cyrodiil, Cyrodiil]</v>
      </c>
    </row>
    <row r="111" spans="1:61" x14ac:dyDescent="0.25">
      <c r="A111" s="12">
        <v>130</v>
      </c>
      <c r="B111" t="s">
        <v>887</v>
      </c>
      <c r="C111" t="s">
        <v>888</v>
      </c>
      <c r="D111" s="3">
        <f t="shared" si="6"/>
        <v>130</v>
      </c>
      <c r="G111" s="8" t="s">
        <v>1468</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2756</v>
      </c>
      <c r="AK111" s="3">
        <f>IF(AND(G111&lt;&gt;"LIBSETS_SETTYPE_BATTLEGROUND",G111&lt;&gt;"LIBSETS_SETTYPE_SPECIAL"),IF(AL111&lt;&gt;"",VLOOKUP(AL111,'ESO zone constants'!$D$5:$H$4955,5,FALSE),""),"")</f>
        <v>181</v>
      </c>
      <c r="AL111" t="s">
        <v>125</v>
      </c>
      <c r="AM111" s="33" t="s">
        <v>3721</v>
      </c>
      <c r="AP111" s="3">
        <f>IF(AND(G111&lt;&gt;"LIBSETS_SETTYPE_BATTLEGROUND",G111&lt;&gt;"LIBSETS_SETTYPE_SPECIAL"),IF(AQ111&lt;&gt;"",VLOOKUP(AQ111,'ESO zone constants'!$D$5:$H$4955,5,FALSE),""),"")</f>
        <v>181</v>
      </c>
      <c r="AQ111" t="s">
        <v>125</v>
      </c>
      <c r="AR111" s="33" t="s">
        <v>1551</v>
      </c>
      <c r="AU111" s="3">
        <f>IF(AND(G111&lt;&gt;"LIBSETS_SETTYPE_BATTLEGROUND",G111&lt;&gt;"LIBSETS_SETTYPE_SPECIAL"),IF(AV111&lt;&gt;"",VLOOKUP(AV111,'ESO zone constants'!$D$5:$H$4955,5,FALSE),""),"")</f>
        <v>181</v>
      </c>
      <c r="AV111" t="s">
        <v>125</v>
      </c>
      <c r="AW111" s="33" t="s">
        <v>3225</v>
      </c>
      <c r="AZ111" s="75" t="s">
        <v>2646</v>
      </c>
      <c r="BA111" s="75"/>
      <c r="BB111" s="75"/>
      <c r="BC111" s="75"/>
      <c r="BD111" s="75"/>
      <c r="BE111" s="21" t="str">
        <f t="shared" si="7"/>
        <v>[130] = {wayshrines={-1,-1,-1,}, dlcId=DLC_BASE_GAME</v>
      </c>
      <c r="BF111" s="21" t="str">
        <f t="shared" si="8"/>
        <v>, zoneIds={181,181,181,181,181,181}, veteran=false</v>
      </c>
      <c r="BG111" s="21" t="str">
        <f t="shared" si="9"/>
        <v>, setType=LIBSETS_SETTYPE_CYRODIIL</v>
      </c>
      <c r="BH111"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1"/>
        <v>}, --Eagle Eye / Adlerauge   [Cyrodiil, Cyrodiil, Cyrodiil, Cyrodiil, Cyrodiil, Cyrodiil]</v>
      </c>
    </row>
    <row r="112" spans="1:61" x14ac:dyDescent="0.25">
      <c r="A112" s="12">
        <v>131</v>
      </c>
      <c r="B112" t="s">
        <v>889</v>
      </c>
      <c r="C112" t="s">
        <v>890</v>
      </c>
      <c r="D112" s="3">
        <f t="shared" si="6"/>
        <v>131</v>
      </c>
      <c r="E112" s="40"/>
      <c r="G112" s="8" t="s">
        <v>1468</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2756</v>
      </c>
      <c r="AK112" s="3">
        <f>IF(AND(G112&lt;&gt;"LIBSETS_SETTYPE_BATTLEGROUND",G112&lt;&gt;"LIBSETS_SETTYPE_SPECIAL"),IF(AL112&lt;&gt;"",VLOOKUP(AL112,'ESO zone constants'!$D$5:$H$4955,5,FALSE),""),"")</f>
        <v>181</v>
      </c>
      <c r="AL112" t="s">
        <v>125</v>
      </c>
      <c r="AM112" s="33" t="s">
        <v>3721</v>
      </c>
      <c r="AP112" s="3">
        <f>IF(AND(G112&lt;&gt;"LIBSETS_SETTYPE_BATTLEGROUND",G112&lt;&gt;"LIBSETS_SETTYPE_SPECIAL"),IF(AQ112&lt;&gt;"",VLOOKUP(AQ112,'ESO zone constants'!$D$5:$H$4955,5,FALSE),""),"")</f>
        <v>181</v>
      </c>
      <c r="AQ112" t="s">
        <v>125</v>
      </c>
      <c r="AR112" s="33" t="s">
        <v>1551</v>
      </c>
      <c r="AU112" s="3">
        <f>IF(AND(G112&lt;&gt;"LIBSETS_SETTYPE_BATTLEGROUND",G112&lt;&gt;"LIBSETS_SETTYPE_SPECIAL"),IF(AV112&lt;&gt;"",VLOOKUP(AV112,'ESO zone constants'!$D$5:$H$4955,5,FALSE),""),"")</f>
        <v>181</v>
      </c>
      <c r="AV112" t="s">
        <v>125</v>
      </c>
      <c r="AW112" s="33" t="s">
        <v>3225</v>
      </c>
      <c r="AZ112" s="75" t="s">
        <v>2646</v>
      </c>
      <c r="BA112" s="75"/>
      <c r="BB112" s="75"/>
      <c r="BC112" s="75"/>
      <c r="BD112" s="75"/>
      <c r="BE112" s="21" t="str">
        <f t="shared" si="7"/>
        <v>[131] = {wayshrines={-1,-1,-1,}, dlcId=DLC_BASE_GAME</v>
      </c>
      <c r="BF112" s="21" t="str">
        <f t="shared" si="8"/>
        <v>, zoneIds={181,181,181,181,181,181}, veteran=false</v>
      </c>
      <c r="BG112" s="21" t="str">
        <f t="shared" si="9"/>
        <v>, setType=LIBSETS_SETTYPE_CYRODIIL</v>
      </c>
      <c r="BH112"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1"/>
        <v>}, --Bastion of the Heartland / Bastion des Herzlandes   [Cyrodiil, Cyrodiil, Cyrodiil, Cyrodiil, Cyrodiil, Cyrodiil]</v>
      </c>
    </row>
    <row r="113" spans="1:61" x14ac:dyDescent="0.25">
      <c r="A113" s="12">
        <v>132</v>
      </c>
      <c r="B113" t="s">
        <v>891</v>
      </c>
      <c r="C113" t="s">
        <v>892</v>
      </c>
      <c r="D113" s="3">
        <f t="shared" si="6"/>
        <v>132</v>
      </c>
      <c r="G113" s="8" t="s">
        <v>1468</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2756</v>
      </c>
      <c r="AK113" s="3">
        <f>IF(AND(G113&lt;&gt;"LIBSETS_SETTYPE_BATTLEGROUND",G113&lt;&gt;"LIBSETS_SETTYPE_SPECIAL"),IF(AL113&lt;&gt;"",VLOOKUP(AL113,'ESO zone constants'!$D$5:$H$4955,5,FALSE),""),"")</f>
        <v>181</v>
      </c>
      <c r="AL113" t="s">
        <v>125</v>
      </c>
      <c r="AM113" s="33" t="s">
        <v>3721</v>
      </c>
      <c r="AP113" s="3">
        <f>IF(AND(G113&lt;&gt;"LIBSETS_SETTYPE_BATTLEGROUND",G113&lt;&gt;"LIBSETS_SETTYPE_SPECIAL"),IF(AQ113&lt;&gt;"",VLOOKUP(AQ113,'ESO zone constants'!$D$5:$H$4955,5,FALSE),""),"")</f>
        <v>181</v>
      </c>
      <c r="AQ113" t="s">
        <v>125</v>
      </c>
      <c r="AR113" s="33" t="s">
        <v>1551</v>
      </c>
      <c r="AU113" s="3">
        <f>IF(AND(G113&lt;&gt;"LIBSETS_SETTYPE_BATTLEGROUND",G113&lt;&gt;"LIBSETS_SETTYPE_SPECIAL"),IF(AV113&lt;&gt;"",VLOOKUP(AV113,'ESO zone constants'!$D$5:$H$4955,5,FALSE),""),"")</f>
        <v>181</v>
      </c>
      <c r="AV113" t="s">
        <v>125</v>
      </c>
      <c r="AW113" s="33" t="s">
        <v>3225</v>
      </c>
      <c r="AZ113" s="75" t="s">
        <v>2646</v>
      </c>
      <c r="BA113" s="75"/>
      <c r="BB113" s="75"/>
      <c r="BC113" s="75"/>
      <c r="BD113" s="75"/>
      <c r="BE113" s="21" t="str">
        <f t="shared" si="7"/>
        <v>[132] = {wayshrines={-1,-1,-1,}, dlcId=DLC_BASE_GAME</v>
      </c>
      <c r="BF113" s="21" t="str">
        <f t="shared" si="8"/>
        <v>, zoneIds={181,181,181,181,181,181}, veteran=false</v>
      </c>
      <c r="BG113" s="21" t="str">
        <f t="shared" si="9"/>
        <v>, setType=LIBSETS_SETTYPE_CYRODIIL</v>
      </c>
      <c r="BH113"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1"/>
        <v>}, --Shield of the Valiant / Schild des Tapferen   [Cyrodiil, Cyrodiil, Cyrodiil, Cyrodiil, Cyrodiil, Cyrodiil]</v>
      </c>
    </row>
    <row r="114" spans="1:61" x14ac:dyDescent="0.25">
      <c r="A114" s="12">
        <v>133</v>
      </c>
      <c r="B114" t="s">
        <v>893</v>
      </c>
      <c r="C114" t="s">
        <v>894</v>
      </c>
      <c r="D114" s="3">
        <f t="shared" si="6"/>
        <v>133</v>
      </c>
      <c r="E114" s="40"/>
      <c r="G114" s="8" t="s">
        <v>1468</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2756</v>
      </c>
      <c r="AK114" s="3">
        <f>IF(AND(G114&lt;&gt;"LIBSETS_SETTYPE_BATTLEGROUND",G114&lt;&gt;"LIBSETS_SETTYPE_SPECIAL"),IF(AL114&lt;&gt;"",VLOOKUP(AL114,'ESO zone constants'!$D$5:$H$4955,5,FALSE),""),"")</f>
        <v>181</v>
      </c>
      <c r="AL114" t="s">
        <v>125</v>
      </c>
      <c r="AM114" s="33" t="s">
        <v>3721</v>
      </c>
      <c r="AP114" s="3">
        <f>IF(AND(G114&lt;&gt;"LIBSETS_SETTYPE_BATTLEGROUND",G114&lt;&gt;"LIBSETS_SETTYPE_SPECIAL"),IF(AQ114&lt;&gt;"",VLOOKUP(AQ114,'ESO zone constants'!$D$5:$H$4955,5,FALSE),""),"")</f>
        <v>181</v>
      </c>
      <c r="AQ114" t="s">
        <v>125</v>
      </c>
      <c r="AR114" s="33" t="s">
        <v>1551</v>
      </c>
      <c r="AU114" s="3">
        <f>IF(AND(G114&lt;&gt;"LIBSETS_SETTYPE_BATTLEGROUND",G114&lt;&gt;"LIBSETS_SETTYPE_SPECIAL"),IF(AV114&lt;&gt;"",VLOOKUP(AV114,'ESO zone constants'!$D$5:$H$4955,5,FALSE),""),"")</f>
        <v>181</v>
      </c>
      <c r="AV114" t="s">
        <v>125</v>
      </c>
      <c r="AW114" s="33" t="s">
        <v>3225</v>
      </c>
      <c r="AZ114" s="75" t="s">
        <v>2646</v>
      </c>
      <c r="BA114" s="75"/>
      <c r="BB114" s="75"/>
      <c r="BC114" s="75"/>
      <c r="BD114" s="75"/>
      <c r="BE114" s="21" t="str">
        <f t="shared" si="7"/>
        <v>[133] = {wayshrines={-1,-1,-1,}, dlcId=DLC_BASE_GAME</v>
      </c>
      <c r="BF114" s="21" t="str">
        <f t="shared" si="8"/>
        <v>, zoneIds={181,181,181,181,181,181}, veteran=false</v>
      </c>
      <c r="BG114" s="21" t="str">
        <f t="shared" si="9"/>
        <v>, setType=LIBSETS_SETTYPE_CYRODIIL</v>
      </c>
      <c r="BH114"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1"/>
        <v>}, --Buffer of the Swift / Dämpfer des Geschwinden   [Cyrodiil, Cyrodiil, Cyrodiil, Cyrodiil, Cyrodiil, Cyrodiil]</v>
      </c>
    </row>
    <row r="115" spans="1:61" x14ac:dyDescent="0.25">
      <c r="A115" s="12">
        <v>134</v>
      </c>
      <c r="B115" t="s">
        <v>895</v>
      </c>
      <c r="C115" t="s">
        <v>896</v>
      </c>
      <c r="D115" s="3">
        <f t="shared" si="6"/>
        <v>134</v>
      </c>
      <c r="G115" s="8" t="s">
        <v>1470</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6"/>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5" t="s">
        <v>2645</v>
      </c>
      <c r="BA115" s="75"/>
      <c r="BB115" s="75"/>
      <c r="BC115" s="75"/>
      <c r="BD115" s="75"/>
      <c r="BE115" s="21" t="str">
        <f t="shared" si="7"/>
        <v>[134] = {wayshrines={190,190,190,}, dlcId=DLC_BASE_GAME</v>
      </c>
      <c r="BF115" s="21" t="str">
        <f t="shared" si="8"/>
        <v>, zoneIds={130,932,20}, veteran=false</v>
      </c>
      <c r="BG115" s="21" t="str">
        <f t="shared" si="9"/>
        <v>, setType=LIBSETS_SETTYPE_DUNGEON</v>
      </c>
      <c r="BH115" s="21" t="str">
        <f t="shared" si="10"/>
        <v>, dropMechanic={LIBSETS_DROP_MECHANIC_GROUP_DUNGEON_BOSS,LIBSETS_DROP_MECHANIC_GROUP_DUNGEON_BOSS}</v>
      </c>
      <c r="BI115" s="21" t="str">
        <f t="shared" si="11"/>
        <v>}, --Shroud of the Lich / Tuch des Lich   [Crypt of Hearts I, Crypt of Hearts II, Rivenspire]</v>
      </c>
    </row>
    <row r="116" spans="1:61" s="14" customFormat="1" x14ac:dyDescent="0.25">
      <c r="A116" s="12">
        <v>135</v>
      </c>
      <c r="B116" t="s">
        <v>897</v>
      </c>
      <c r="C116" t="s">
        <v>2572</v>
      </c>
      <c r="D116" s="3">
        <f t="shared" si="6"/>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1553</v>
      </c>
      <c r="AI116" s="41"/>
      <c r="AJ116" s="41"/>
      <c r="AK116" s="3">
        <f>IF(AND(G116&lt;&gt;"LIBSETS_SETTYPE_BATTLEGROUND",G116&lt;&gt;"LIBSETS_SETTYPE_SPECIAL"),IF(AL116&lt;&gt;"",VLOOKUP(AL116,'ESO zone constants'!$D$5:$H$4955,5,FALSE),""),"")</f>
        <v>103</v>
      </c>
      <c r="AL116" t="s">
        <v>111</v>
      </c>
      <c r="AM116" s="33" t="s">
        <v>1554</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5" t="s">
        <v>2645</v>
      </c>
      <c r="BA116" s="75"/>
      <c r="BB116" s="75"/>
      <c r="BC116" s="75"/>
      <c r="BD116" s="75"/>
      <c r="BE116" s="21" t="str">
        <f t="shared" si="7"/>
        <v>[135] = {wayshrines={109,109,109,}, dlcId=DLC_BASE_GAME</v>
      </c>
      <c r="BF116" s="21" t="str">
        <f t="shared" si="8"/>
        <v>, zoneIds={103,103,341,103}, veteran=false</v>
      </c>
      <c r="BG116" s="21" t="str">
        <f t="shared" si="9"/>
        <v>, setType=LIBSETS_SETTYPE_OVERLAND</v>
      </c>
      <c r="BH116" s="21" t="str">
        <f t="shared" si="10"/>
        <v>, dropMechanic={LIBSETS_DROP_MECHANIC_OVERLAND_BOSS_DELVE,LIBSETS_DROP_MECHANIC_OVERLAND_WORLDBOSS,LIBSETS_DROP_MECHANIC_OVERLAND_BOSS_PUBLIC_DUNGEON,LIBSETS_DROP_MECHANIC_OVERLAND_CHEST}</v>
      </c>
      <c r="BI116" s="21" t="str">
        <f t="shared" si="11"/>
        <v>}, --Draugr\'s Heritage / Erbe des Draugrs   [The Rift, The Rift, The Lion's Den, The Rift]</v>
      </c>
    </row>
    <row r="117" spans="1:61" x14ac:dyDescent="0.25">
      <c r="A117" s="12">
        <v>136</v>
      </c>
      <c r="B117" t="s">
        <v>898</v>
      </c>
      <c r="C117" t="s">
        <v>899</v>
      </c>
      <c r="D117" s="3">
        <f t="shared" si="6"/>
        <v>136</v>
      </c>
      <c r="G117" s="8" t="s">
        <v>1474</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3254</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5" t="s">
        <v>2645</v>
      </c>
      <c r="BA117" s="75"/>
      <c r="BB117" s="75"/>
      <c r="BC117" s="75"/>
      <c r="BD117" s="75"/>
      <c r="BE117" s="21" t="str">
        <f t="shared" si="7"/>
        <v>[136] = {wayshrines={232,232,232,}, dlcId=DLC_BASE_GAME</v>
      </c>
      <c r="BF117" s="21" t="str">
        <f t="shared" si="8"/>
        <v>, zoneIds={639,639,639}, veteran=false</v>
      </c>
      <c r="BG117" s="21" t="str">
        <f t="shared" si="9"/>
        <v>, setType=LIBSETS_SETTYPE_TRIAL</v>
      </c>
      <c r="BH117" s="21" t="str">
        <f t="shared" si="10"/>
        <v>, dropMechanic={LIBSETS_DROP_MECHANIC_TRIAL_BOSS,LIBSETS_DROP_MECHANIC_TRIAL_BOSS,LIBSETS_DROP_MECHANIC_TRIAL_BOSS}</v>
      </c>
      <c r="BI117" s="21" t="str">
        <f t="shared" si="11"/>
        <v>}, --Immortal Warrior / Unsterblicher Krieger   [Sanctum Ophidia, Sanctum Ophidia, Sanctum Ophidia]</v>
      </c>
    </row>
    <row r="118" spans="1:61" x14ac:dyDescent="0.25">
      <c r="A118" s="12">
        <v>137</v>
      </c>
      <c r="B118" t="s">
        <v>900</v>
      </c>
      <c r="C118" t="s">
        <v>901</v>
      </c>
      <c r="D118" s="3">
        <f t="shared" si="6"/>
        <v>137</v>
      </c>
      <c r="E118" s="40"/>
      <c r="G118" s="8" t="s">
        <v>1474</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3254</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5" t="s">
        <v>2645</v>
      </c>
      <c r="BA118" s="75"/>
      <c r="BB118" s="75"/>
      <c r="BC118" s="75"/>
      <c r="BD118" s="75"/>
      <c r="BE118" s="21" t="str">
        <f t="shared" si="7"/>
        <v>[137] = {wayshrines={230,230,230,}, dlcId=DLC_BASE_GAME</v>
      </c>
      <c r="BF118" s="21" t="str">
        <f t="shared" si="8"/>
        <v>, zoneIds={636,636,636}, veteran=false</v>
      </c>
      <c r="BG118" s="21" t="str">
        <f t="shared" si="9"/>
        <v>, setType=LIBSETS_SETTYPE_TRIAL</v>
      </c>
      <c r="BH118" s="21" t="str">
        <f t="shared" si="10"/>
        <v>, dropMechanic={LIBSETS_DROP_MECHANIC_TRIAL_BOSS,LIBSETS_DROP_MECHANIC_TRIAL_BOSS,LIBSETS_DROP_MECHANIC_TRIAL_BOSS}</v>
      </c>
      <c r="BI118" s="21" t="str">
        <f t="shared" si="11"/>
        <v>}, --Berserking Warrior / Tobender Krieger   [Hel Ra Citadel, Hel Ra Citadel, Hel Ra Citadel]</v>
      </c>
    </row>
    <row r="119" spans="1:61" ht="15.75" x14ac:dyDescent="0.25">
      <c r="A119" s="12">
        <v>138</v>
      </c>
      <c r="B119" t="s">
        <v>902</v>
      </c>
      <c r="C119" t="s">
        <v>903</v>
      </c>
      <c r="D119" s="3">
        <f t="shared" si="6"/>
        <v>138</v>
      </c>
      <c r="G119" s="8" t="s">
        <v>1474</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3254</v>
      </c>
      <c r="AI119" s="38"/>
      <c r="AJ119" s="38"/>
      <c r="AK119" s="3" t="str">
        <f>IF(AND(G119&lt;&gt;"LIBSETS_SETTYPE_BATTLEGROUND",G119&lt;&gt;"LIBSETS_SETTYPE_SPECIAL"),IF(AL119&lt;&gt;"",VLOOKUP(AL119,'ESO zone constants'!$D$5:$H$4955,5,FALSE),""),"")</f>
        <v/>
      </c>
      <c r="AN119" s="96"/>
      <c r="AO119" s="96"/>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5" t="s">
        <v>2645</v>
      </c>
      <c r="BA119" s="75"/>
      <c r="BB119" s="75"/>
      <c r="BC119" s="75"/>
      <c r="BD119" s="75"/>
      <c r="BE119" s="21" t="str">
        <f t="shared" si="7"/>
        <v>[138] = {wayshrines={231,231,231,}, dlcId=DLC_BASE_GAME</v>
      </c>
      <c r="BF119" s="21" t="str">
        <f t="shared" si="8"/>
        <v>, zoneIds={638,638,638}, veteran=false</v>
      </c>
      <c r="BG119" s="21" t="str">
        <f t="shared" si="9"/>
        <v>, setType=LIBSETS_SETTYPE_TRIAL</v>
      </c>
      <c r="BH119"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1"/>
        <v>}, --Defending Warrior / Verteidigender Krieger   [Aetherian Archive, Aetherian Archive, Aetherian Archive]</v>
      </c>
    </row>
    <row r="120" spans="1:61" x14ac:dyDescent="0.25">
      <c r="A120" s="12">
        <v>139</v>
      </c>
      <c r="B120" t="s">
        <v>904</v>
      </c>
      <c r="C120" t="s">
        <v>905</v>
      </c>
      <c r="D120" s="3">
        <f t="shared" si="6"/>
        <v>139</v>
      </c>
      <c r="G120" s="8" t="s">
        <v>1474</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3254</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5" t="s">
        <v>2645</v>
      </c>
      <c r="BA120" s="75"/>
      <c r="BB120" s="75"/>
      <c r="BC120" s="75"/>
      <c r="BD120" s="75"/>
      <c r="BE120" s="21" t="str">
        <f t="shared" si="7"/>
        <v>[139] = {wayshrines={232,232,232,}, dlcId=DLC_BASE_GAME</v>
      </c>
      <c r="BF120" s="21" t="str">
        <f t="shared" si="8"/>
        <v>, zoneIds={639,639,639}, veteran=false</v>
      </c>
      <c r="BG120" s="21" t="str">
        <f t="shared" si="9"/>
        <v>, setType=LIBSETS_SETTYPE_TRIAL</v>
      </c>
      <c r="BH120" s="21" t="str">
        <f t="shared" si="10"/>
        <v>, dropMechanic={LIBSETS_DROP_MECHANIC_TRIAL_BOSS,LIBSETS_DROP_MECHANIC_TRIAL_BOSS,LIBSETS_DROP_MECHANIC_TRIAL_BOSS}</v>
      </c>
      <c r="BI120" s="21" t="str">
        <f t="shared" si="11"/>
        <v>}, --Wise Mage / Weiser Magier   [Sanctum Ophidia, Sanctum Ophidia, Sanctum Ophidia]</v>
      </c>
    </row>
    <row r="121" spans="1:61" x14ac:dyDescent="0.25">
      <c r="A121" s="12">
        <v>140</v>
      </c>
      <c r="B121" t="s">
        <v>906</v>
      </c>
      <c r="C121" t="s">
        <v>907</v>
      </c>
      <c r="D121" s="3">
        <f t="shared" si="6"/>
        <v>140</v>
      </c>
      <c r="G121" s="8" t="s">
        <v>1474</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3254</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5" t="s">
        <v>2645</v>
      </c>
      <c r="BA121" s="75"/>
      <c r="BB121" s="75"/>
      <c r="BC121" s="75"/>
      <c r="BD121" s="75"/>
      <c r="BE121" s="21" t="str">
        <f t="shared" si="7"/>
        <v>[140] = {wayshrines={230,230,230,}, dlcId=DLC_BASE_GAME</v>
      </c>
      <c r="BF121" s="21" t="str">
        <f t="shared" si="8"/>
        <v>, zoneIds={636,636,636}, veteran=false</v>
      </c>
      <c r="BG121" s="21" t="str">
        <f t="shared" si="9"/>
        <v>, setType=LIBSETS_SETTYPE_TRIAL</v>
      </c>
      <c r="BH121" s="21" t="str">
        <f t="shared" si="10"/>
        <v>, dropMechanic={LIBSETS_DROP_MECHANIC_TRIAL_BOSS,LIBSETS_DROP_MECHANIC_TRIAL_BOSS,LIBSETS_DROP_MECHANIC_TRIAL_BOSS}</v>
      </c>
      <c r="BI121" s="21" t="str">
        <f t="shared" si="11"/>
        <v>}, --Destructive Mage / Zerstörerischer Magier   [Hel Ra Citadel, Hel Ra Citadel, Hel Ra Citadel]</v>
      </c>
    </row>
    <row r="122" spans="1:61" ht="15.75" x14ac:dyDescent="0.25">
      <c r="A122" s="12">
        <v>141</v>
      </c>
      <c r="B122" t="s">
        <v>908</v>
      </c>
      <c r="C122" t="s">
        <v>909</v>
      </c>
      <c r="D122" s="3">
        <f t="shared" si="6"/>
        <v>141</v>
      </c>
      <c r="G122" s="8" t="s">
        <v>1474</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3254</v>
      </c>
      <c r="AI122" s="38"/>
      <c r="AJ122" s="38"/>
      <c r="AK122" s="3" t="str">
        <f>IF(AND(G122&lt;&gt;"LIBSETS_SETTYPE_BATTLEGROUND",G122&lt;&gt;"LIBSETS_SETTYPE_SPECIAL"),IF(AL122&lt;&gt;"",VLOOKUP(AL122,'ESO zone constants'!$D$5:$H$4955,5,FALSE),""),"")</f>
        <v/>
      </c>
      <c r="AN122" s="96"/>
      <c r="AO122" s="96"/>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5" t="s">
        <v>2645</v>
      </c>
      <c r="BA122" s="75"/>
      <c r="BB122" s="75"/>
      <c r="BC122" s="75"/>
      <c r="BD122" s="75"/>
      <c r="BE122" s="21" t="str">
        <f t="shared" si="7"/>
        <v>[141] = {wayshrines={231,231,231,}, dlcId=DLC_BASE_GAME</v>
      </c>
      <c r="BF122" s="21" t="str">
        <f t="shared" si="8"/>
        <v>, zoneIds={638,638,638}, veteran=false</v>
      </c>
      <c r="BG122" s="21" t="str">
        <f t="shared" si="9"/>
        <v>, setType=LIBSETS_SETTYPE_TRIAL</v>
      </c>
      <c r="BH122"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1"/>
        <v>}, --Healing Mage / Heilender Magier   [Aetherian Archive, Aetherian Archive, Aetherian Archive]</v>
      </c>
    </row>
    <row r="123" spans="1:61" ht="15.75" x14ac:dyDescent="0.25">
      <c r="A123" s="12">
        <v>142</v>
      </c>
      <c r="B123" t="s">
        <v>910</v>
      </c>
      <c r="C123" t="s">
        <v>911</v>
      </c>
      <c r="D123" s="3">
        <f t="shared" si="6"/>
        <v>142</v>
      </c>
      <c r="G123" s="8" t="s">
        <v>1474</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3254</v>
      </c>
      <c r="AI123" s="38"/>
      <c r="AJ123" s="38"/>
      <c r="AK123" s="3" t="str">
        <f>IF(AND(G123&lt;&gt;"LIBSETS_SETTYPE_BATTLEGROUND",G123&lt;&gt;"LIBSETS_SETTYPE_SPECIAL"),IF(AL123&lt;&gt;"",VLOOKUP(AL123,'ESO zone constants'!$D$5:$H$4955,5,FALSE),""),"")</f>
        <v/>
      </c>
      <c r="AN123" s="96"/>
      <c r="AO123" s="96"/>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5" t="s">
        <v>2645</v>
      </c>
      <c r="BA123" s="75"/>
      <c r="BB123" s="75"/>
      <c r="BC123" s="75"/>
      <c r="BD123" s="75"/>
      <c r="BE123" s="21" t="str">
        <f t="shared" si="7"/>
        <v>[142] = {wayshrines={231,231,231,}, dlcId=DLC_BASE_GAME</v>
      </c>
      <c r="BF123" s="21" t="str">
        <f t="shared" si="8"/>
        <v>, zoneIds={638,638,638}, veteran=false</v>
      </c>
      <c r="BG123" s="21" t="str">
        <f t="shared" si="9"/>
        <v>, setType=LIBSETS_SETTYPE_TRIAL</v>
      </c>
      <c r="BH123"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1"/>
        <v>}, --Quick Serpent / Flinke Schlange   [Aetherian Archive, Aetherian Archive, Aetherian Archive]</v>
      </c>
    </row>
    <row r="124" spans="1:61" x14ac:dyDescent="0.25">
      <c r="A124" s="12">
        <v>143</v>
      </c>
      <c r="B124" t="s">
        <v>912</v>
      </c>
      <c r="C124" t="s">
        <v>913</v>
      </c>
      <c r="D124" s="3">
        <f t="shared" si="6"/>
        <v>143</v>
      </c>
      <c r="G124" s="8" t="s">
        <v>1474</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3254</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5" t="s">
        <v>2645</v>
      </c>
      <c r="BA124" s="75"/>
      <c r="BB124" s="75"/>
      <c r="BC124" s="75"/>
      <c r="BD124" s="75"/>
      <c r="BE124" s="21" t="str">
        <f t="shared" si="7"/>
        <v>[143] = {wayshrines={230,230,230,}, dlcId=DLC_BASE_GAME</v>
      </c>
      <c r="BF124" s="21" t="str">
        <f t="shared" si="8"/>
        <v>, zoneIds={636,636,636}, veteran=false</v>
      </c>
      <c r="BG124" s="21" t="str">
        <f t="shared" si="9"/>
        <v>, setType=LIBSETS_SETTYPE_TRIAL</v>
      </c>
      <c r="BH124" s="21" t="str">
        <f t="shared" si="10"/>
        <v>, dropMechanic={LIBSETS_DROP_MECHANIC_TRIAL_BOSS,LIBSETS_DROP_MECHANIC_TRIAL_BOSS,LIBSETS_DROP_MECHANIC_TRIAL_BOSS}</v>
      </c>
      <c r="BI124" s="21" t="str">
        <f t="shared" si="11"/>
        <v>}, --Poisonous Serpent / Giftschlange   [Hel Ra Citadel, Hel Ra Citadel, Hel Ra Citadel]</v>
      </c>
    </row>
    <row r="125" spans="1:61" x14ac:dyDescent="0.25">
      <c r="A125" s="12">
        <v>144</v>
      </c>
      <c r="B125" t="s">
        <v>914</v>
      </c>
      <c r="C125" t="s">
        <v>915</v>
      </c>
      <c r="D125" s="3">
        <f t="shared" si="6"/>
        <v>144</v>
      </c>
      <c r="G125" s="8" t="s">
        <v>1474</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3254</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5" t="s">
        <v>2645</v>
      </c>
      <c r="BA125" s="75"/>
      <c r="BB125" s="75"/>
      <c r="BC125" s="75"/>
      <c r="BD125" s="75"/>
      <c r="BE125" s="21" t="str">
        <f t="shared" si="7"/>
        <v>[144] = {wayshrines={232,232,232,}, dlcId=DLC_BASE_GAME</v>
      </c>
      <c r="BF125" s="21" t="str">
        <f t="shared" si="8"/>
        <v>, zoneIds={639,639,639}, veteran=false</v>
      </c>
      <c r="BG125" s="21" t="str">
        <f t="shared" si="9"/>
        <v>, setType=LIBSETS_SETTYPE_TRIAL</v>
      </c>
      <c r="BH125" s="21" t="str">
        <f t="shared" si="10"/>
        <v>, dropMechanic={LIBSETS_DROP_MECHANIC_TRIAL_BOSS,LIBSETS_DROP_MECHANIC_TRIAL_BOSS,LIBSETS_DROP_MECHANIC_TRIAL_BOSS}</v>
      </c>
      <c r="BI125" s="21" t="str">
        <f t="shared" si="11"/>
        <v>}, --Twice-Fanged Serpent / Doppelzüngige Schlange   [Sanctum Ophidia, Sanctum Ophidia, Sanctum Ophidia]</v>
      </c>
    </row>
    <row r="126" spans="1:61" x14ac:dyDescent="0.25">
      <c r="A126" s="12">
        <v>145</v>
      </c>
      <c r="B126" t="s">
        <v>916</v>
      </c>
      <c r="C126" t="s">
        <v>917</v>
      </c>
      <c r="D126" s="3">
        <f t="shared" si="6"/>
        <v>145</v>
      </c>
      <c r="E126" s="40"/>
      <c r="G126" s="8" t="s">
        <v>1473</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1554</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5" t="s">
        <v>2645</v>
      </c>
      <c r="BA126" s="75"/>
      <c r="BB126" s="75"/>
      <c r="BC126" s="75"/>
      <c r="BD126" s="75"/>
      <c r="BE126" s="21" t="str">
        <f t="shared" si="7"/>
        <v>[145] = {wayshrines={220,220,220,}, dlcId=DLC_BLACKWOOD</v>
      </c>
      <c r="BF126" s="21" t="str">
        <f t="shared" si="8"/>
        <v>, zoneIds={888,888,888}, veteran=false</v>
      </c>
      <c r="BG126" s="21" t="str">
        <f t="shared" si="9"/>
        <v>, setType=LIBSETS_SETTYPE_OVERLAND</v>
      </c>
      <c r="BH126" s="21" t="str">
        <f t="shared" si="10"/>
        <v>, dropMechanic={LIBSETS_DROP_MECHANIC_OVERLAND_BOSS_DELVE,LIBSETS_DROP_MECHANIC_OVERLAND_WORLDBOSS,LIBSETS_DROP_MECHANIC_OVERLAND_CHEST}</v>
      </c>
      <c r="BI126" s="21" t="str">
        <f t="shared" si="11"/>
        <v>}, --Way of Fire / Weg des Feuers   [Craglorn, Craglorn, Craglorn]</v>
      </c>
    </row>
    <row r="127" spans="1:61" x14ac:dyDescent="0.25">
      <c r="A127" s="12">
        <v>146</v>
      </c>
      <c r="B127" t="s">
        <v>918</v>
      </c>
      <c r="C127" t="s">
        <v>919</v>
      </c>
      <c r="D127" s="3">
        <f t="shared" si="6"/>
        <v>146</v>
      </c>
      <c r="E127" s="40"/>
      <c r="G127" s="8" t="s">
        <v>1473</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1554</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5" t="s">
        <v>2646</v>
      </c>
      <c r="BA127" s="75"/>
      <c r="BB127" s="75"/>
      <c r="BC127" s="75"/>
      <c r="BD127" s="75"/>
      <c r="BE127" s="21" t="str">
        <f t="shared" si="7"/>
        <v>[146] = {wayshrines={220,220,220,}, dlcId=DLC_BLACKWOOD</v>
      </c>
      <c r="BF127" s="21" t="str">
        <f t="shared" si="8"/>
        <v>, zoneIds={888,888,888}, veteran=false</v>
      </c>
      <c r="BG127" s="21" t="str">
        <f t="shared" si="9"/>
        <v>, setType=LIBSETS_SETTYPE_OVERLAND</v>
      </c>
      <c r="BH127" s="21" t="str">
        <f t="shared" si="10"/>
        <v>, isProcSetAllowedInPvP=1, dropMechanic={LIBSETS_DROP_MECHANIC_OVERLAND_BOSS_DELVE,LIBSETS_DROP_MECHANIC_OVERLAND_WORLDBOSS,LIBSETS_DROP_MECHANIC_OVERLAND_CHEST}</v>
      </c>
      <c r="BI127" s="21" t="str">
        <f t="shared" si="11"/>
        <v>}, --Way of Air / Weg der Luft   [Craglorn, Craglorn, Craglorn]</v>
      </c>
    </row>
    <row r="128" spans="1:61" x14ac:dyDescent="0.25">
      <c r="A128" s="12">
        <v>147</v>
      </c>
      <c r="B128" t="s">
        <v>920</v>
      </c>
      <c r="C128" t="s">
        <v>921</v>
      </c>
      <c r="D128" s="3">
        <f t="shared" si="6"/>
        <v>147</v>
      </c>
      <c r="E128" s="40"/>
      <c r="G128" s="8" t="s">
        <v>1473</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1554</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5" t="s">
        <v>2645</v>
      </c>
      <c r="BA128" s="75"/>
      <c r="BB128" s="75"/>
      <c r="BC128" s="75"/>
      <c r="BD128" s="75"/>
      <c r="BE128" s="21" t="str">
        <f t="shared" si="7"/>
        <v>[147] = {wayshrines={220,220,220,}, dlcId=DLC_BLACKWOOD</v>
      </c>
      <c r="BF128" s="21" t="str">
        <f t="shared" si="8"/>
        <v>, zoneIds={888,888,888}, veteran=false</v>
      </c>
      <c r="BG128" s="21" t="str">
        <f t="shared" si="9"/>
        <v>, setType=LIBSETS_SETTYPE_OVERLAND</v>
      </c>
      <c r="BH128" s="21" t="str">
        <f t="shared" si="10"/>
        <v>, dropMechanic={LIBSETS_DROP_MECHANIC_OVERLAND_BOSS_DELVE,LIBSETS_DROP_MECHANIC_OVERLAND_WORLDBOSS,LIBSETS_DROP_MECHANIC_OVERLAND_CHEST}</v>
      </c>
      <c r="BI128" s="21" t="str">
        <f t="shared" si="11"/>
        <v>}, --Way of Martial Knowledge / Weg der Kampfkunst   [Craglorn, Craglorn, Craglorn]</v>
      </c>
    </row>
    <row r="129" spans="1:61" x14ac:dyDescent="0.25">
      <c r="A129" s="5">
        <v>148</v>
      </c>
      <c r="B129" t="s">
        <v>922</v>
      </c>
      <c r="C129" t="s">
        <v>923</v>
      </c>
      <c r="D129" s="3">
        <f t="shared" si="6"/>
        <v>148</v>
      </c>
      <c r="G129" s="8" t="s">
        <v>1467</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5" t="s">
        <v>2646</v>
      </c>
      <c r="BA129" s="75"/>
      <c r="BB129" s="75"/>
      <c r="BC129" s="75"/>
      <c r="BD129" s="75"/>
      <c r="BE129" s="21" t="str">
        <f t="shared" si="7"/>
        <v>[148] = {wayshrines={217,217,217,}, traitsNeeded=8, dlcId=DLC_BLACKWOOD</v>
      </c>
      <c r="BF129" s="21" t="str">
        <f t="shared" si="8"/>
        <v>, zoneIds={888,888,888}, veteran=false</v>
      </c>
      <c r="BG129" s="21" t="str">
        <f t="shared" si="9"/>
        <v>, setType=LIBSETS_SETTYPE_CRAFTED</v>
      </c>
      <c r="BH129" s="21" t="str">
        <f t="shared" si="10"/>
        <v>, isProcSetAllowedInPvP=1, dropMechanic={LIBSETS_DROP_MECHANIC_CRAFTED,LIBSETS_DROP_MECHANIC_CRAFTED}</v>
      </c>
      <c r="BI129" s="21" t="str">
        <f t="shared" si="11"/>
        <v>}, --Way of the Arena / Weg der Arena   [Craglorn, Craglorn, Craglorn]</v>
      </c>
    </row>
    <row r="130" spans="1:61" x14ac:dyDescent="0.25">
      <c r="A130" s="12">
        <v>155</v>
      </c>
      <c r="B130" t="s">
        <v>924</v>
      </c>
      <c r="C130" t="s">
        <v>925</v>
      </c>
      <c r="D130" s="3">
        <f t="shared" si="6"/>
        <v>155</v>
      </c>
      <c r="G130" s="8" t="s">
        <v>1470</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6"/>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5" t="s">
        <v>2645</v>
      </c>
      <c r="BA130" s="75"/>
      <c r="BB130" s="75"/>
      <c r="BC130" s="75"/>
      <c r="BD130" s="75"/>
      <c r="BE130" s="21" t="str">
        <f t="shared" si="7"/>
        <v>[155] = {wayshrines={191,191,191,}, dlcId=DLC_BASE_GAME</v>
      </c>
      <c r="BF130" s="21" t="str">
        <f t="shared" si="8"/>
        <v>, zoneIds={126,931,383}, veteran=false</v>
      </c>
      <c r="BG130" s="21" t="str">
        <f t="shared" si="9"/>
        <v>, setType=LIBSETS_SETTYPE_DUNGEON</v>
      </c>
      <c r="BH130" s="21" t="str">
        <f t="shared" si="10"/>
        <v>, dropMechanic={LIBSETS_DROP_MECHANIC_GROUP_DUNGEON_BOSS,LIBSETS_DROP_MECHANIC_GROUP_DUNGEON_BOSS}</v>
      </c>
      <c r="BI130" s="21" t="str">
        <f t="shared" si="11"/>
        <v>}, --Undaunted Bastion / Unerschrockenen-Bastion   [Elden Hollow I, Elden Hollow II, Grahtwood]</v>
      </c>
    </row>
    <row r="131" spans="1:61" x14ac:dyDescent="0.25">
      <c r="A131" s="12">
        <v>156</v>
      </c>
      <c r="B131" t="s">
        <v>926</v>
      </c>
      <c r="C131" t="s">
        <v>927</v>
      </c>
      <c r="D131" s="3">
        <f t="shared" ref="D131:D194" si="12">A131</f>
        <v>156</v>
      </c>
      <c r="G131" s="8" t="s">
        <v>1470</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5" t="s">
        <v>2645</v>
      </c>
      <c r="BA131" s="75"/>
      <c r="BB131" s="75"/>
      <c r="BC131" s="75"/>
      <c r="BD131" s="75"/>
      <c r="BE131" s="21"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1"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 CONCATENATE(", veteran=", I131), ""),""),"")</f>
        <v>, zoneIds={148,117,117}, veteran=false</v>
      </c>
      <c r="BG131" s="21" t="str">
        <f t="shared" ref="BG131:BG194" si="15">IF(A131&lt;&gt;"",IF(F131&lt;&gt;"Not in the game (anymore)",IF(A131&lt;&gt;"",", setType="&amp;G131,"")&amp;IF(G131="LIBSETS_SETTYPE_CLASS",", classId="&amp;BC131,"")&amp;IF(J131="true",", multiTrialSet=true",""),"")
&amp; IF(AND(H131&lt;&gt;"",ISNUMBER(H131)),", undauntedChestId=" &amp; H131,""),"")</f>
        <v>, setType=LIBSETS_SETTYPE_DUNGEON</v>
      </c>
      <c r="BH131" s="21" t="str">
        <f t="shared" ref="BH131:BH194" si="16">IF(A131&lt;&gt;"",IF(F131&lt;&gt;"Not in the game (anymore)",IF(AZ131&lt;&gt;"",", isProcSetAllowedInPvP="&amp; AZ131,"")
&amp; IF(F131&lt;&gt;"Not in the game (anymore)",
  IF(V131&lt;&gt;"",", dropMechanic={"&amp;V131&amp;IF(AB131&lt;&gt;"",","&amp;AB131,"")&amp;IF(AH131&lt;&gt;"",","&amp;AH131,"")&amp;IF(AM131&lt;&gt;"",","&amp;AM131,"")&amp;IF(AR131&lt;&gt;"",","&amp;AR131,"")&amp;IF(AW131&lt;&gt;"",","&amp;AW131,"")&amp;"}"
     &amp;IF(OR(W131&lt;&gt;"",AC131&lt;&gt;"",AI131&lt;&gt;"",AN131&lt;&gt;"",AS131&lt;&gt;"",AX131&lt;&gt;"",X131&lt;&gt;"",AD131&lt;&gt;"",AJ131&lt;&gt;"",AO131&lt;&gt;"",AT131&lt;&gt;"",AY131&lt;&gt;""),", dropMechanicDropLocationNames={"
        &amp; IF(OR(W131&lt;&gt;"",AC131&lt;&gt;"",AI131&lt;&gt;"",AN131&lt;&gt;"",AS131&lt;&gt;"",AX131&lt;&gt;""),"['en']={"&amp;IF(W131&lt;&gt;"","'"&amp;W131&amp;"',","'',")&amp;IF(AC131&lt;&gt;"","'"&amp;AC131&amp;"',","'',")&amp;IF(AI131&lt;&gt;"","'"&amp;AI131&amp;"',","'',")&amp;IF(AN131&lt;&gt;"","'"&amp;AN131&amp;"',","'',")&amp;IF(AS131&lt;&gt;"","'"&amp;AS131&amp;"',","'',")&amp;IF(AX131&lt;&gt;"","'"&amp;AX131&amp;"',","'',")&amp;"},","")
        &amp; IF(OR(X131&lt;&gt;"",AD131&lt;&gt;"",AJ131&lt;&gt;"",AO131&lt;&gt;"",AT131&lt;&gt;"",AY131&lt;&gt;""),"['de']={"&amp;IF(X131&lt;&gt;"","'"&amp;X131&amp;"',","'',")&amp;IF(AD131&lt;&gt;"","'"&amp;AD131&amp;"',","'',")&amp;IF(AJ131&lt;&gt;"","'"&amp;AJ131&amp;"',","'',")&amp;IF(AO131&lt;&gt;"","'"&amp;AO131&amp;"',","'',")&amp;IF(AT131&lt;&gt;"","'"&amp;AT131&amp;"',","'',")&amp;IF(AY131&lt;&gt;"","'"&amp;AY131&amp;"',","'',")&amp;"},","")
     &amp; "}",""),"")),""),"")
&amp; IF(AND(BD131&lt;&gt;"",BD131&lt;&gt;"X"), ", perfectedSetId=" &amp; BD131, IF(BD131&lt;&gt;"",", isPerfectedSet=1",""))</f>
        <v>, dropMechanic={LIBSETS_DROP_MECHANIC_GROUP_DUNGEON_BOSS}</v>
      </c>
      <c r="BI131" s="21" t="str">
        <f t="shared" ref="BI131:BI194" si="17">IF(A131&lt;&gt;"",IF(F131&lt;&gt;"Not in the game (anymore)",
IF(OR(BA131&lt;&gt;"",BB131&lt;&gt;""),", addTooltip={" &amp; IF(BA131&lt;&gt;"","['en']='"&amp; BA131 &amp; "',","")  &amp; IF(AND(BA131&lt;&gt;"",BA131&lt;&gt;BB131), IF(BB131&lt;&gt;"","['de']='"&amp; BB131 &amp; "',",""),"") &amp; "},","")
&amp; "},"
&amp; 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928</v>
      </c>
      <c r="C132" t="s">
        <v>929</v>
      </c>
      <c r="D132" s="3">
        <f t="shared" si="12"/>
        <v>157</v>
      </c>
      <c r="E132" s="40"/>
      <c r="G132" s="8" t="s">
        <v>1470</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5" t="s">
        <v>2645</v>
      </c>
      <c r="BA132" s="75"/>
      <c r="BB132" s="75"/>
      <c r="BC132" s="75"/>
      <c r="BD132" s="75"/>
      <c r="BE132" s="21" t="str">
        <f t="shared" si="13"/>
        <v>[157] = {wayshrines={186,186,186,}, dlcId=DLC_BASE_GAME</v>
      </c>
      <c r="BF132" s="21" t="str">
        <f t="shared" si="14"/>
        <v>, zoneIds={38,92,92}, veteran=false</v>
      </c>
      <c r="BG132" s="21" t="str">
        <f t="shared" si="15"/>
        <v>, setType=LIBSETS_SETTYPE_DUNGEON</v>
      </c>
      <c r="BH132" s="21" t="str">
        <f t="shared" si="16"/>
        <v>, dropMechanic={LIBSETS_DROP_MECHANIC_GROUP_DUNGEON_BOSS}</v>
      </c>
      <c r="BI132" s="21" t="str">
        <f t="shared" si="17"/>
        <v>}, --Undaunted Unweaver / Unerschrockener Entflechter   [Blackheart Haven, Bangkorai, Bangkorai]</v>
      </c>
    </row>
    <row r="133" spans="1:61" x14ac:dyDescent="0.25">
      <c r="A133" s="12">
        <v>158</v>
      </c>
      <c r="B133" t="s">
        <v>930</v>
      </c>
      <c r="C133" t="s">
        <v>931</v>
      </c>
      <c r="D133" s="3">
        <f t="shared" si="12"/>
        <v>158</v>
      </c>
      <c r="G133" s="8" t="s">
        <v>1470</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6"/>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5" t="s">
        <v>2645</v>
      </c>
      <c r="BA133" s="75"/>
      <c r="BB133" s="75"/>
      <c r="BC133" s="75"/>
      <c r="BD133" s="75"/>
      <c r="BE133" s="21" t="str">
        <f t="shared" si="13"/>
        <v>[158] = {wayshrines={197,197,197,}, dlcId=DLC_BASE_GAME</v>
      </c>
      <c r="BF133" s="21" t="str">
        <f t="shared" si="14"/>
        <v>, zoneIds={176,681,108}, veteran=false</v>
      </c>
      <c r="BG133" s="21" t="str">
        <f t="shared" si="15"/>
        <v>, setType=LIBSETS_SETTYPE_DUNGEON</v>
      </c>
      <c r="BH133" s="21" t="str">
        <f t="shared" si="16"/>
        <v>, dropMechanic={LIBSETS_DROP_MECHANIC_GROUP_DUNGEON_BOSS,LIBSETS_DROP_MECHANIC_GROUP_DUNGEON_BOSS}</v>
      </c>
      <c r="BI133" s="21" t="str">
        <f t="shared" si="17"/>
        <v>}, --Embershield / Glutschild   [City of Ash I, City of Ash II, Greenshade]</v>
      </c>
    </row>
    <row r="134" spans="1:61" x14ac:dyDescent="0.25">
      <c r="A134" s="12">
        <v>159</v>
      </c>
      <c r="B134" t="s">
        <v>932</v>
      </c>
      <c r="C134" t="s">
        <v>933</v>
      </c>
      <c r="D134" s="3">
        <f t="shared" si="12"/>
        <v>159</v>
      </c>
      <c r="G134" s="8" t="s">
        <v>1470</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6"/>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5" t="s">
        <v>2645</v>
      </c>
      <c r="BA134" s="75"/>
      <c r="BB134" s="75"/>
      <c r="BC134" s="75"/>
      <c r="BD134" s="75"/>
      <c r="BE134" s="21" t="str">
        <f t="shared" si="13"/>
        <v>[159] = {wayshrines={197,197,197,}, dlcId=DLC_BASE_GAME</v>
      </c>
      <c r="BF134" s="21" t="str">
        <f t="shared" si="14"/>
        <v>, zoneIds={176,681,108}, veteran=false</v>
      </c>
      <c r="BG134" s="21" t="str">
        <f t="shared" si="15"/>
        <v>, setType=LIBSETS_SETTYPE_DUNGEON</v>
      </c>
      <c r="BH134" s="21" t="str">
        <f t="shared" si="16"/>
        <v>, dropMechanic={LIBSETS_DROP_MECHANIC_GROUP_DUNGEON_BOSS,LIBSETS_DROP_MECHANIC_GROUP_DUNGEON_BOSS}</v>
      </c>
      <c r="BI134" s="21" t="str">
        <f t="shared" si="17"/>
        <v>}, --Sunderflame / Trennflamme   [City of Ash I, City of Ash II, Greenshade]</v>
      </c>
    </row>
    <row r="135" spans="1:61" x14ac:dyDescent="0.25">
      <c r="A135" s="12">
        <v>160</v>
      </c>
      <c r="B135" t="s">
        <v>934</v>
      </c>
      <c r="C135" t="s">
        <v>935</v>
      </c>
      <c r="D135" s="3">
        <f t="shared" si="12"/>
        <v>160</v>
      </c>
      <c r="E135" s="40"/>
      <c r="G135" s="8" t="s">
        <v>1470</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6"/>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5" t="s">
        <v>2645</v>
      </c>
      <c r="BA135" s="75"/>
      <c r="BB135" s="75"/>
      <c r="BC135" s="75"/>
      <c r="BD135" s="75"/>
      <c r="BE135" s="21" t="str">
        <f t="shared" si="13"/>
        <v>[160] = {wayshrines={197,197,197,}, dlcId=DLC_BASE_GAME</v>
      </c>
      <c r="BF135" s="21" t="str">
        <f t="shared" si="14"/>
        <v>, zoneIds={176,681,108}, veteran=false</v>
      </c>
      <c r="BG135" s="21" t="str">
        <f t="shared" si="15"/>
        <v>, setType=LIBSETS_SETTYPE_DUNGEON</v>
      </c>
      <c r="BH135" s="21" t="str">
        <f t="shared" si="16"/>
        <v>, dropMechanic={LIBSETS_DROP_MECHANIC_GROUP_DUNGEON_BOSS,LIBSETS_DROP_MECHANIC_GROUP_DUNGEON_BOSS}</v>
      </c>
      <c r="BI135" s="21" t="str">
        <f t="shared" si="17"/>
        <v>}, --Burning Spellweave / Branntzauberweber   [City of Ash I, City of Ash II, Greenshade]</v>
      </c>
    </row>
    <row r="136" spans="1:61" x14ac:dyDescent="0.25">
      <c r="A136" s="5">
        <v>161</v>
      </c>
      <c r="B136" t="s">
        <v>936</v>
      </c>
      <c r="C136" t="s">
        <v>937</v>
      </c>
      <c r="D136" s="3">
        <f t="shared" si="12"/>
        <v>161</v>
      </c>
      <c r="G136" s="8" t="s">
        <v>1467</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5" t="s">
        <v>2645</v>
      </c>
      <c r="BA136" s="75"/>
      <c r="BB136" s="75"/>
      <c r="BC136" s="75"/>
      <c r="BD136" s="75"/>
      <c r="BE136" s="21" t="str">
        <f t="shared" si="13"/>
        <v>[161] = {wayshrines={234,234,234,}, traitsNeeded=9, dlcId=DLC_BLACKWOOD</v>
      </c>
      <c r="BF136" s="21" t="str">
        <f t="shared" si="14"/>
        <v>, zoneIds={888,888,888}, veteran=false</v>
      </c>
      <c r="BG136" s="21" t="str">
        <f t="shared" si="15"/>
        <v>, setType=LIBSETS_SETTYPE_CRAFTED</v>
      </c>
      <c r="BH136" s="21" t="str">
        <f t="shared" si="16"/>
        <v>, dropMechanic={LIBSETS_DROP_MECHANIC_CRAFTED,LIBSETS_DROP_MECHANIC_CRAFTED}</v>
      </c>
      <c r="BI136" s="21" t="str">
        <f t="shared" si="17"/>
        <v>}, --Twice-Born Star / Doppelstern   [Craglorn, Craglorn, Craglorn]</v>
      </c>
    </row>
    <row r="137" spans="1:61" x14ac:dyDescent="0.25">
      <c r="A137" s="5">
        <v>162</v>
      </c>
      <c r="B137" t="s">
        <v>938</v>
      </c>
      <c r="C137" t="s">
        <v>24</v>
      </c>
      <c r="D137" s="3">
        <f t="shared" si="12"/>
        <v>162</v>
      </c>
      <c r="G137" s="8" t="s">
        <v>1472</v>
      </c>
      <c r="H137" s="83">
        <v>2</v>
      </c>
      <c r="I137" t="s">
        <v>1459</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5" t="s">
        <v>2645</v>
      </c>
      <c r="BA137" s="75"/>
      <c r="BB137" s="75"/>
      <c r="BC137" s="75"/>
      <c r="BD137" s="75"/>
      <c r="BE137" s="21" t="str">
        <f t="shared" si="13"/>
        <v>[162] = {wayshrines={266,266,266,}, dlcId=DLC_BASE_GAME</v>
      </c>
      <c r="BF137" s="21" t="str">
        <f t="shared" si="14"/>
        <v>, zoneIds={934,41,41}, veteran={[EQUIP_TYPE_HEAD]=true, [EQUIP_TYPE_SHOULDERS]=false}</v>
      </c>
      <c r="BG137" s="21" t="str">
        <f t="shared" si="15"/>
        <v>, setType=LIBSETS_SETTYPE_MONSTER, undauntedChestId=2</v>
      </c>
      <c r="BH137" s="21" t="str">
        <f t="shared" si="16"/>
        <v>, dropMechanic={LIBSETS_DROP_MECHANIC_MONSTER_NAME}, dropMechanicDropLocationNames={['en']={'Vila Theran','','','','','',},['de']={'Vila Theran','','','','','',},}</v>
      </c>
      <c r="BI137" s="21" t="str">
        <f t="shared" si="17"/>
        <v>}, --Spawn of Mephala / Mephalas Brut   [Fungal Grotto II, Stonefalls, Stonefalls]</v>
      </c>
    </row>
    <row r="138" spans="1:61" x14ac:dyDescent="0.25">
      <c r="A138" s="5">
        <v>163</v>
      </c>
      <c r="B138" t="s">
        <v>939</v>
      </c>
      <c r="C138" t="s">
        <v>1</v>
      </c>
      <c r="D138" s="3">
        <f t="shared" si="12"/>
        <v>163</v>
      </c>
      <c r="E138" s="40"/>
      <c r="G138" s="8" t="s">
        <v>1472</v>
      </c>
      <c r="H138" s="83">
        <v>2</v>
      </c>
      <c r="I138" t="s">
        <v>1459</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5" t="s">
        <v>2645</v>
      </c>
      <c r="BA138" s="75"/>
      <c r="BB138" s="75"/>
      <c r="BC138" s="75"/>
      <c r="BD138" s="75"/>
      <c r="BE138" s="21" t="str">
        <f t="shared" si="13"/>
        <v>[163] = {wayshrines={267,267,267,}, dlcId=DLC_BASE_GAME</v>
      </c>
      <c r="BF138" s="21" t="str">
        <f t="shared" si="14"/>
        <v>, zoneIds={936,3,3}, veteran={[EQUIP_TYPE_HEAD]=true, [EQUIP_TYPE_SHOULDERS]=false}</v>
      </c>
      <c r="BG138" s="21" t="str">
        <f t="shared" si="15"/>
        <v>, setType=LIBSETS_SETTYPE_MONSTER, undauntedChestId=2</v>
      </c>
      <c r="BH138" s="21" t="str">
        <f t="shared" si="16"/>
        <v>, dropMechanic={LIBSETS_DROP_MECHANIC_MONSTER_NAME}, dropMechanicDropLocationNames={['en']={'Vorenor Winterbourne','','','','','',},['de']={'Vorenor Winterkind','','','','','',},}</v>
      </c>
      <c r="BI138" s="21" t="str">
        <f t="shared" si="17"/>
        <v>}, --Blood Spawn / Blutbrut   [Spindleclutch II, Glenumbra, Glenumbra]</v>
      </c>
    </row>
    <row r="139" spans="1:61" x14ac:dyDescent="0.25">
      <c r="A139" s="5">
        <v>164</v>
      </c>
      <c r="B139" t="s">
        <v>940</v>
      </c>
      <c r="C139" t="s">
        <v>11</v>
      </c>
      <c r="D139" s="3">
        <f t="shared" si="12"/>
        <v>164</v>
      </c>
      <c r="E139" s="40"/>
      <c r="G139" s="8" t="s">
        <v>1472</v>
      </c>
      <c r="H139" s="83">
        <v>3</v>
      </c>
      <c r="I139" t="s">
        <v>1459</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5" t="s">
        <v>2645</v>
      </c>
      <c r="BA139" s="75"/>
      <c r="BB139" s="75"/>
      <c r="BC139" s="75"/>
      <c r="BD139" s="75"/>
      <c r="BE139" s="21" t="str">
        <f t="shared" si="13"/>
        <v>[164] = {wayshrines={236,236,236,}, dlcId=DLC_IMPERIAL_CITY</v>
      </c>
      <c r="BF139" s="21" t="str">
        <f t="shared" si="14"/>
        <v>, zoneIds={678,181,181}, veteran={[EQUIP_TYPE_HEAD]=true, [EQUIP_TYPE_SHOULDERS]=false}</v>
      </c>
      <c r="BG139" s="21" t="str">
        <f t="shared" si="15"/>
        <v>, setType=LIBSETS_SETTYPE_MONSTER, undauntedChestId=3</v>
      </c>
      <c r="BH139" s="21" t="str">
        <f t="shared" si="16"/>
        <v>, dropMechanic={LIBSETS_DROP_MECHANIC_MONSTER_NAME}, dropMechanicDropLocationNames={['en']={'Lord Warden Dusk','','','','','',},['de']={'Hochwärter Dämmer','','','','','',},}</v>
      </c>
      <c r="BI139" s="21" t="str">
        <f t="shared" si="17"/>
        <v>}, --Lord Warden / Hochwärter   [Imperial City Prison, Cyrodiil, Cyrodiil]</v>
      </c>
    </row>
    <row r="140" spans="1:61" x14ac:dyDescent="0.25">
      <c r="A140" s="5">
        <v>165</v>
      </c>
      <c r="B140" t="s">
        <v>941</v>
      </c>
      <c r="C140" t="s">
        <v>18</v>
      </c>
      <c r="D140" s="3">
        <f t="shared" si="12"/>
        <v>165</v>
      </c>
      <c r="G140" s="8" t="s">
        <v>1472</v>
      </c>
      <c r="H140" s="83">
        <v>2</v>
      </c>
      <c r="I140" t="s">
        <v>1459</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5" t="s">
        <v>2645</v>
      </c>
      <c r="BA140" s="75"/>
      <c r="BB140" s="75"/>
      <c r="BC140" s="75"/>
      <c r="BD140" s="75"/>
      <c r="BE140" s="21" t="str">
        <f t="shared" si="13"/>
        <v>[165] = {wayshrines={263,263,263,}, dlcId=DLC_BASE_GAME</v>
      </c>
      <c r="BF140" s="21" t="str">
        <f t="shared" si="14"/>
        <v>, zoneIds={933,19,19}, veteran={[EQUIP_TYPE_HEAD]=true, [EQUIP_TYPE_SHOULDERS]=false}</v>
      </c>
      <c r="BG140" s="21" t="str">
        <f t="shared" si="15"/>
        <v>, setType=LIBSETS_SETTYPE_MONSTER, undauntedChestId=2</v>
      </c>
      <c r="BH140" s="21" t="str">
        <f t="shared" si="16"/>
        <v>, dropMechanic={LIBSETS_DROP_MECHANIC_MONSTER_NAME}, dropMechanicDropLocationNames={['en']={'Varaine and Allene Pellingare','','','','','',},['de']={'Varaine und Allene Pellingare','','','','','',},}</v>
      </c>
      <c r="BI140" s="21" t="str">
        <f t="shared" si="17"/>
        <v>}, --Scourge Harvester / Geißelernter   [Wayrest Sewers II, Stormhaven, Stormhaven]</v>
      </c>
    </row>
    <row r="141" spans="1:61" x14ac:dyDescent="0.25">
      <c r="A141" s="5">
        <v>166</v>
      </c>
      <c r="B141" t="s">
        <v>942</v>
      </c>
      <c r="C141" t="s">
        <v>5</v>
      </c>
      <c r="D141" s="3">
        <f t="shared" si="12"/>
        <v>166</v>
      </c>
      <c r="G141" s="8" t="s">
        <v>1472</v>
      </c>
      <c r="H141" s="83">
        <v>2</v>
      </c>
      <c r="I141" t="s">
        <v>1459</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5" t="s">
        <v>2645</v>
      </c>
      <c r="BA141" s="75"/>
      <c r="BB141" s="75"/>
      <c r="BC141" s="75"/>
      <c r="BD141" s="75"/>
      <c r="BE141" s="21" t="str">
        <f t="shared" si="13"/>
        <v>[166] = {wayshrines={264,264,264,}, dlcId=DLC_BASE_GAME</v>
      </c>
      <c r="BF141" s="21" t="str">
        <f t="shared" si="14"/>
        <v>, zoneIds={930,57,57}, veteran={[EQUIP_TYPE_HEAD]=true, [EQUIP_TYPE_SHOULDERS]=false}</v>
      </c>
      <c r="BG141" s="21" t="str">
        <f t="shared" si="15"/>
        <v>, setType=LIBSETS_SETTYPE_MONSTER, undauntedChestId=2</v>
      </c>
      <c r="BH141" s="21" t="str">
        <f t="shared" si="16"/>
        <v>, dropMechanic={LIBSETS_DROP_MECHANIC_MONSTER_NAME}, dropMechanicDropLocationNames={['en']={'The Engine Guardian','','','','','',},['de']={'Der Maschinenwächter','','','','','',},}</v>
      </c>
      <c r="BI141" s="21" t="str">
        <f t="shared" si="17"/>
        <v>}, --Engine Guardian / Maschinenwächter   [Darkshade Caverns II, Deshaan, Deshaan]</v>
      </c>
    </row>
    <row r="142" spans="1:61" x14ac:dyDescent="0.25">
      <c r="A142" s="5">
        <v>167</v>
      </c>
      <c r="B142" t="s">
        <v>943</v>
      </c>
      <c r="C142" t="s">
        <v>16</v>
      </c>
      <c r="D142" s="3">
        <f t="shared" si="12"/>
        <v>167</v>
      </c>
      <c r="G142" s="8" t="s">
        <v>1472</v>
      </c>
      <c r="H142" s="83">
        <v>2</v>
      </c>
      <c r="I142" t="s">
        <v>1459</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5" t="s">
        <v>2645</v>
      </c>
      <c r="BA142" s="75"/>
      <c r="BB142" s="75"/>
      <c r="BC142" s="75"/>
      <c r="BD142" s="75"/>
      <c r="BE142" s="21" t="str">
        <f t="shared" si="13"/>
        <v>[167] = {wayshrines={265,265,265,}, dlcId=DLC_BASE_GAME</v>
      </c>
      <c r="BF142" s="21" t="str">
        <f t="shared" si="14"/>
        <v>, zoneIds={931,383,383}, veteran={[EQUIP_TYPE_HEAD]=true, [EQUIP_TYPE_SHOULDERS]=false}</v>
      </c>
      <c r="BG142" s="21" t="str">
        <f t="shared" si="15"/>
        <v>, setType=LIBSETS_SETTYPE_MONSTER, undauntedChestId=2</v>
      </c>
      <c r="BH142" s="21" t="str">
        <f t="shared" si="16"/>
        <v>, dropMechanic={LIBSETS_DROP_MECHANIC_MONSTER_NAME}, dropMechanicDropLocationNames={['en']={'Bogdan the Nightflame','','','','','',},['de']={'Bogdan die Nachtflamme','','','','','',},}</v>
      </c>
      <c r="BI142" s="21" t="str">
        <f t="shared" si="17"/>
        <v>}, --Nightflame / Nachtflamme   [Elden Hollow II, Grahtwood, Grahtwood]</v>
      </c>
    </row>
    <row r="143" spans="1:61" x14ac:dyDescent="0.25">
      <c r="A143" s="5">
        <v>168</v>
      </c>
      <c r="B143" t="s">
        <v>15</v>
      </c>
      <c r="C143" t="s">
        <v>1550</v>
      </c>
      <c r="D143" s="3">
        <f t="shared" si="12"/>
        <v>168</v>
      </c>
      <c r="G143" s="8" t="s">
        <v>1472</v>
      </c>
      <c r="H143" s="83">
        <v>1</v>
      </c>
      <c r="I143" t="s">
        <v>1459</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5" t="s">
        <v>2645</v>
      </c>
      <c r="BA143" s="75"/>
      <c r="BB143" s="75"/>
      <c r="BC143" s="75"/>
      <c r="BD143" s="75"/>
      <c r="BE143" s="21" t="str">
        <f t="shared" si="13"/>
        <v>[168] = {wayshrines={269,269,269,}, dlcId=DLC_BASE_GAME</v>
      </c>
      <c r="BF143" s="21" t="str">
        <f t="shared" si="14"/>
        <v>, zoneIds={932,20,20}, veteran={[EQUIP_TYPE_HEAD]=true, [EQUIP_TYPE_SHOULDERS]=false}</v>
      </c>
      <c r="BG143" s="21" t="str">
        <f t="shared" si="15"/>
        <v>, setType=LIBSETS_SETTYPE_MONSTER, undauntedChestId=1</v>
      </c>
      <c r="BH143" s="21" t="str">
        <f t="shared" si="16"/>
        <v>, dropMechanic={LIBSETS_DROP_MECHANIC_MONSTER_NAME}, dropMechanicDropLocationNames={['en']={'Nerien\'eth','','','','','',},['de']={'Nerien\'eth','','','','','',},}</v>
      </c>
      <c r="BI143" s="21" t="str">
        <f t="shared" si="17"/>
        <v>}, --Nerien\'eth / Nerien'eth   [Crypt of Hearts II, Rivenspire, Rivenspire]</v>
      </c>
    </row>
    <row r="144" spans="1:61" x14ac:dyDescent="0.25">
      <c r="A144" s="5">
        <v>169</v>
      </c>
      <c r="B144" t="s">
        <v>31</v>
      </c>
      <c r="C144" t="s">
        <v>31</v>
      </c>
      <c r="D144" s="3">
        <f t="shared" si="12"/>
        <v>169</v>
      </c>
      <c r="G144" s="8" t="s">
        <v>1472</v>
      </c>
      <c r="H144" s="83">
        <v>1</v>
      </c>
      <c r="I144" t="s">
        <v>1459</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5" t="s">
        <v>2645</v>
      </c>
      <c r="BA144" s="75"/>
      <c r="BB144" s="75"/>
      <c r="BC144" s="75"/>
      <c r="BD144" s="75"/>
      <c r="BE144" s="21" t="str">
        <f t="shared" si="13"/>
        <v>[169] = {wayshrines={268,268,268,}, dlcId=DLC_BASE_GAME</v>
      </c>
      <c r="BF144" s="21" t="str">
        <f t="shared" si="14"/>
        <v>, zoneIds={681,108,108}, veteran={[EQUIP_TYPE_HEAD]=true, [EQUIP_TYPE_SHOULDERS]=false}</v>
      </c>
      <c r="BG144" s="21" t="str">
        <f t="shared" si="15"/>
        <v>, setType=LIBSETS_SETTYPE_MONSTER, undauntedChestId=1</v>
      </c>
      <c r="BH144" s="21" t="str">
        <f t="shared" si="16"/>
        <v>, dropMechanic={LIBSETS_DROP_MECHANIC_MONSTER_NAME}, dropMechanicDropLocationNames={['en']={'Valkyn Skoria','','','','','',},['de']={'Valkyn Skoria','','','','','',},}</v>
      </c>
      <c r="BI144" s="21" t="str">
        <f t="shared" si="17"/>
        <v>}, --Valkyn Skoria / Valkyn Skoria   [City of Ash II, Greenshade, Greenshade]</v>
      </c>
    </row>
    <row r="145" spans="1:61" x14ac:dyDescent="0.25">
      <c r="A145" s="5">
        <v>170</v>
      </c>
      <c r="B145" t="s">
        <v>944</v>
      </c>
      <c r="C145" t="s">
        <v>12</v>
      </c>
      <c r="D145" s="3">
        <f t="shared" si="12"/>
        <v>170</v>
      </c>
      <c r="G145" s="8" t="s">
        <v>1472</v>
      </c>
      <c r="H145" s="83">
        <v>2</v>
      </c>
      <c r="I145" t="s">
        <v>1459</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5" t="s">
        <v>2645</v>
      </c>
      <c r="BA145" s="75"/>
      <c r="BB145" s="75"/>
      <c r="BC145" s="75"/>
      <c r="BD145" s="75"/>
      <c r="BE145" s="21" t="str">
        <f t="shared" si="13"/>
        <v>[170] = {wayshrines={262,262,262,}, dlcId=DLC_BASE_GAME</v>
      </c>
      <c r="BF145" s="21" t="str">
        <f t="shared" si="14"/>
        <v>, zoneIds={935,381,381}, veteran={[EQUIP_TYPE_HEAD]=true, [EQUIP_TYPE_SHOULDERS]=false}</v>
      </c>
      <c r="BG145" s="21" t="str">
        <f t="shared" si="15"/>
        <v>, setType=LIBSETS_SETTYPE_MONSTER, undauntedChestId=2</v>
      </c>
      <c r="BH145" s="21" t="str">
        <f t="shared" si="16"/>
        <v>, dropMechanic={LIBSETS_DROP_MECHANIC_MONSTER_NAME}, dropMechanicDropLocationNames={['en']={'High Kinlord Rilis','','','','','',},['de']={'Sippenhochfürst Rilis','','','','','',},}</v>
      </c>
      <c r="BI145" s="21" t="str">
        <f t="shared" si="17"/>
        <v>}, --Maw of the Infernal / Schlund des Infernalen   [The Banished Cells II, Auridon, Auridon]</v>
      </c>
    </row>
    <row r="146" spans="1:61" x14ac:dyDescent="0.25">
      <c r="A146" s="12">
        <v>171</v>
      </c>
      <c r="B146" t="s">
        <v>945</v>
      </c>
      <c r="C146" t="s">
        <v>946</v>
      </c>
      <c r="D146" s="3">
        <f t="shared" si="12"/>
        <v>171</v>
      </c>
      <c r="G146" s="8" t="s">
        <v>1474</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3254</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5" t="s">
        <v>2645</v>
      </c>
      <c r="BA146" s="75"/>
      <c r="BB146" s="75"/>
      <c r="BC146" s="75"/>
      <c r="BD146" s="75"/>
      <c r="BE146" s="21" t="str">
        <f t="shared" si="13"/>
        <v>[171] = {wayshrines={230,230,230,}, dlcId=DLC_BASE_GAME</v>
      </c>
      <c r="BF146" s="21" t="str">
        <f t="shared" si="14"/>
        <v>, zoneIds={636,636,636}, veteran=false</v>
      </c>
      <c r="BG146" s="21" t="str">
        <f t="shared" si="15"/>
        <v>, setType=LIBSETS_SETTYPE_TRIAL</v>
      </c>
      <c r="BH146" s="21" t="str">
        <f t="shared" si="16"/>
        <v>, dropMechanic={LIBSETS_DROP_MECHANIC_TRIAL_BOSS,LIBSETS_DROP_MECHANIC_TRIAL_BOSS,LIBSETS_DROP_MECHANIC_TRIAL_BOSS}</v>
      </c>
      <c r="BI146" s="21" t="str">
        <f t="shared" si="17"/>
        <v>}, --Eternal Warrior / Ewiger Krieger   [Hel Ra Citadel, Hel Ra Citadel, Hel Ra Citadel]</v>
      </c>
    </row>
    <row r="147" spans="1:61" ht="15.75" x14ac:dyDescent="0.25">
      <c r="A147" s="12">
        <v>172</v>
      </c>
      <c r="B147" t="s">
        <v>947</v>
      </c>
      <c r="C147" t="s">
        <v>948</v>
      </c>
      <c r="D147" s="3">
        <f t="shared" si="12"/>
        <v>172</v>
      </c>
      <c r="G147" s="8" t="s">
        <v>1474</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3254</v>
      </c>
      <c r="AI147" s="38"/>
      <c r="AJ147" s="38"/>
      <c r="AK147" s="3" t="str">
        <f>IF(AND(G147&lt;&gt;"LIBSETS_SETTYPE_BATTLEGROUND",G147&lt;&gt;"LIBSETS_SETTYPE_SPECIAL"),IF(AL147&lt;&gt;"",VLOOKUP(AL147,'ESO zone constants'!$D$5:$H$4955,5,FALSE),""),"")</f>
        <v/>
      </c>
      <c r="AN147" s="96"/>
      <c r="AO147" s="96"/>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5" t="s">
        <v>2645</v>
      </c>
      <c r="BA147" s="75"/>
      <c r="BB147" s="75"/>
      <c r="BC147" s="75"/>
      <c r="BD147" s="75"/>
      <c r="BE147" s="21" t="str">
        <f t="shared" si="13"/>
        <v>[172] = {wayshrines={230,230,230,}, dlcId=DLC_BASE_GAME</v>
      </c>
      <c r="BF147" s="21" t="str">
        <f t="shared" si="14"/>
        <v>, zoneIds={638,638,638}, veteran=false</v>
      </c>
      <c r="BG147" s="21" t="str">
        <f t="shared" si="15"/>
        <v>, setType=LIBSETS_SETTYPE_TRIAL</v>
      </c>
      <c r="BH147" s="21"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17"/>
        <v>}, --Infallible Mage / Unfehlbare Magierin   [Aetherian Archive, Aetherian Archive, Aetherian Archive]</v>
      </c>
    </row>
    <row r="148" spans="1:61" x14ac:dyDescent="0.25">
      <c r="A148" s="12">
        <v>173</v>
      </c>
      <c r="B148" t="s">
        <v>949</v>
      </c>
      <c r="C148" t="s">
        <v>950</v>
      </c>
      <c r="D148" s="3">
        <f t="shared" si="12"/>
        <v>173</v>
      </c>
      <c r="G148" s="8" t="s">
        <v>1474</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3254</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5" t="s">
        <v>2645</v>
      </c>
      <c r="BA148" s="75"/>
      <c r="BB148" s="75"/>
      <c r="BC148" s="75"/>
      <c r="BD148" s="75"/>
      <c r="BE148" s="21" t="str">
        <f t="shared" si="13"/>
        <v>[173] = {wayshrines={230,230,230,}, dlcId=DLC_BASE_GAME</v>
      </c>
      <c r="BF148" s="21" t="str">
        <f t="shared" si="14"/>
        <v>, zoneIds={639,639,639}, veteran=false</v>
      </c>
      <c r="BG148" s="21" t="str">
        <f t="shared" si="15"/>
        <v>, setType=LIBSETS_SETTYPE_TRIAL</v>
      </c>
      <c r="BH148" s="21" t="str">
        <f t="shared" si="16"/>
        <v>, dropMechanic={LIBSETS_DROP_MECHANIC_TRIAL_BOSS,LIBSETS_DROP_MECHANIC_TRIAL_BOSS,LIBSETS_DROP_MECHANIC_TRIAL_BOSS}</v>
      </c>
      <c r="BI148" s="21" t="str">
        <f t="shared" si="17"/>
        <v>}, --Vicious Serpent / Boshafte Schlange   [Sanctum Ophidia, Sanctum Ophidia, Sanctum Ophidia]</v>
      </c>
    </row>
    <row r="149" spans="1:61" x14ac:dyDescent="0.25">
      <c r="A149" s="5">
        <v>176</v>
      </c>
      <c r="B149" t="s">
        <v>951</v>
      </c>
      <c r="C149" t="s">
        <v>2573</v>
      </c>
      <c r="D149" s="3">
        <f t="shared" si="12"/>
        <v>176</v>
      </c>
      <c r="G149" s="8" t="s">
        <v>1467</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3276</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5" t="s">
        <v>2645</v>
      </c>
      <c r="BA149" s="75"/>
      <c r="BB149" s="75"/>
      <c r="BC149" s="75"/>
      <c r="BD149" s="75"/>
      <c r="BE149" s="21" t="str">
        <f t="shared" si="13"/>
        <v>[176] = {wayshrines={-1,-1,-1,}, traitsNeeded=5, dlcId=DLC_BASE_GAME</v>
      </c>
      <c r="BF149" s="21" t="str">
        <f t="shared" si="14"/>
        <v>, zoneIds={584}, veteran=false</v>
      </c>
      <c r="BG149" s="21" t="str">
        <f t="shared" si="15"/>
        <v>, setType=LIBSETS_SETTYPE_CRAFTED</v>
      </c>
      <c r="BH149" s="21" t="str">
        <f t="shared" si="16"/>
        <v>, dropMechanic={LIBSETS_DROP_MECHANIC_CRAFTED}</v>
      </c>
      <c r="BI149" s="21" t="str">
        <f t="shared" si="17"/>
        <v>}, --Noble\'s Conquest / Adelssieg   [Imperial City]</v>
      </c>
    </row>
    <row r="150" spans="1:61" x14ac:dyDescent="0.25">
      <c r="A150" s="5">
        <v>177</v>
      </c>
      <c r="B150" t="s">
        <v>952</v>
      </c>
      <c r="C150" t="s">
        <v>953</v>
      </c>
      <c r="D150" s="3">
        <f t="shared" si="12"/>
        <v>177</v>
      </c>
      <c r="G150" s="8" t="s">
        <v>1467</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3276</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5" t="s">
        <v>2645</v>
      </c>
      <c r="BA150" s="75"/>
      <c r="BB150" s="75"/>
      <c r="BC150" s="75"/>
      <c r="BD150" s="75"/>
      <c r="BE150" s="21" t="str">
        <f t="shared" si="13"/>
        <v>[177] = {wayshrines={-1,-1,-1,}, traitsNeeded=7, dlcId=DLC_BASE_GAME</v>
      </c>
      <c r="BF150" s="21" t="str">
        <f t="shared" si="14"/>
        <v>, zoneIds={584}, veteran=false</v>
      </c>
      <c r="BG150" s="21" t="str">
        <f t="shared" si="15"/>
        <v>, setType=LIBSETS_SETTYPE_CRAFTED</v>
      </c>
      <c r="BH150" s="21" t="str">
        <f t="shared" si="16"/>
        <v>, dropMechanic={LIBSETS_DROP_MECHANIC_CRAFTED}</v>
      </c>
      <c r="BI150" s="21" t="str">
        <f t="shared" si="17"/>
        <v>}, --Redistributor / Umverteilung   [Imperial City]</v>
      </c>
    </row>
    <row r="151" spans="1:61" x14ac:dyDescent="0.25">
      <c r="A151" s="5">
        <v>178</v>
      </c>
      <c r="B151" t="s">
        <v>954</v>
      </c>
      <c r="C151" t="s">
        <v>955</v>
      </c>
      <c r="D151" s="3">
        <f t="shared" si="12"/>
        <v>178</v>
      </c>
      <c r="G151" s="8" t="s">
        <v>1467</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3276</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5" t="s">
        <v>2645</v>
      </c>
      <c r="BA151" s="75"/>
      <c r="BB151" s="75"/>
      <c r="BC151" s="75"/>
      <c r="BD151" s="75"/>
      <c r="BE151" s="21" t="str">
        <f t="shared" si="13"/>
        <v>[178] = {wayshrines={-1,-1,-1,}, traitsNeeded=9, dlcId=DLC_BASE_GAME</v>
      </c>
      <c r="BF151" s="21" t="str">
        <f t="shared" si="14"/>
        <v>, zoneIds={584}, veteran=false</v>
      </c>
      <c r="BG151" s="21" t="str">
        <f t="shared" si="15"/>
        <v>, setType=LIBSETS_SETTYPE_CRAFTED</v>
      </c>
      <c r="BH151" s="21" t="str">
        <f t="shared" si="16"/>
        <v>, dropMechanic={LIBSETS_DROP_MECHANIC_CRAFTED}</v>
      </c>
      <c r="BI151" s="21" t="str">
        <f t="shared" si="17"/>
        <v>}, --Armor Master / Rüstungsmeister   [Imperial City]</v>
      </c>
    </row>
    <row r="152" spans="1:61" x14ac:dyDescent="0.25">
      <c r="A152" s="12">
        <v>179</v>
      </c>
      <c r="B152" t="s">
        <v>956</v>
      </c>
      <c r="C152" t="s">
        <v>957</v>
      </c>
      <c r="D152" s="3">
        <f t="shared" si="12"/>
        <v>179</v>
      </c>
      <c r="E152" s="40"/>
      <c r="G152" s="8" t="s">
        <v>1471</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2752</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5" t="s">
        <v>2646</v>
      </c>
      <c r="BA152" s="75"/>
      <c r="BB152" s="75"/>
      <c r="BC152" s="75"/>
      <c r="BD152" s="75"/>
      <c r="BE152" s="21" t="str">
        <f t="shared" si="13"/>
        <v>[179] = {wayshrines={-1,-1,-1,}, dlcId=DLC_MORROWIND</v>
      </c>
      <c r="BF152" s="21" t="str">
        <f t="shared" si="14"/>
        <v>, zoneIds={643}, veteran=false</v>
      </c>
      <c r="BG152" s="21" t="str">
        <f t="shared" si="15"/>
        <v>, setType=LIBSETS_SETTYPE_IMPERIALCITY</v>
      </c>
      <c r="BH152" s="21" t="str">
        <f t="shared" si="16"/>
        <v>, isProcSetAllowedInPvP=1, dropMechanic={LIBSETS_DROP_MECHANIC_TELVAR_EQUIPMENT_LOCKBOX_MERCHANT,LIBSETS_DROP_MECHANIC_IMPERIAL_CITY_TREASURE_TROVE_SCAMP}</v>
      </c>
      <c r="BI152" s="21" t="str">
        <f t="shared" si="17"/>
        <v>}, --Black Rose / Schwarze Rose   [Imperial Sewers]</v>
      </c>
    </row>
    <row r="153" spans="1:61" x14ac:dyDescent="0.25">
      <c r="A153" s="12">
        <v>180</v>
      </c>
      <c r="B153" t="s">
        <v>958</v>
      </c>
      <c r="C153" t="s">
        <v>959</v>
      </c>
      <c r="D153" s="3">
        <f t="shared" si="12"/>
        <v>180</v>
      </c>
      <c r="G153" s="8" t="s">
        <v>1471</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2752</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3723</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5" t="s">
        <v>2645</v>
      </c>
      <c r="BA153" s="75"/>
      <c r="BB153" s="75"/>
      <c r="BC153" s="75"/>
      <c r="BD153" s="75"/>
      <c r="BE153" s="21" t="str">
        <f t="shared" si="13"/>
        <v>[180] = {wayshrines={-1,-1,-1,}, dlcId=DLC_MORROWIND</v>
      </c>
      <c r="BF153" s="21" t="str">
        <f t="shared" si="14"/>
        <v>, zoneIds={643}, veteran=false</v>
      </c>
      <c r="BG153" s="21" t="str">
        <f t="shared" si="15"/>
        <v>, setType=LIBSETS_SETTYPE_IMPERIALCITY</v>
      </c>
      <c r="BH153" s="21" t="str">
        <f t="shared" si="16"/>
        <v>, dropMechanic={LIBSETS_DROP_MECHANIC_TELVAR_EQUIPMENT_LOCKBOX_MERCHANT,LIBSETS_DROP_MECHANIC_IMPERIAL_CITY_TREASURE_TROVE_SCAMP}</v>
      </c>
      <c r="BI153" s="21" t="str">
        <f t="shared" si="17"/>
        <v>}, --Powerful Assault / Kraftvoller Ansturm   [Imperial Sewers]</v>
      </c>
    </row>
    <row r="154" spans="1:61" x14ac:dyDescent="0.25">
      <c r="A154" s="12">
        <v>181</v>
      </c>
      <c r="B154" t="s">
        <v>960</v>
      </c>
      <c r="C154" t="s">
        <v>961</v>
      </c>
      <c r="D154" s="3">
        <f t="shared" si="12"/>
        <v>181</v>
      </c>
      <c r="G154" s="8" t="s">
        <v>1471</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2752</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5" t="s">
        <v>2645</v>
      </c>
      <c r="BA154" s="75"/>
      <c r="BB154" s="75"/>
      <c r="BC154" s="75"/>
      <c r="BD154" s="75"/>
      <c r="BE154" s="21" t="str">
        <f t="shared" si="13"/>
        <v>[181] = {wayshrines={-1,-1,-1,}, dlcId=DLC_MORROWIND</v>
      </c>
      <c r="BF154" s="21" t="str">
        <f t="shared" si="14"/>
        <v>, zoneIds={643}, veteran=false</v>
      </c>
      <c r="BG154" s="21" t="str">
        <f t="shared" si="15"/>
        <v>, setType=LIBSETS_SETTYPE_IMPERIALCITY</v>
      </c>
      <c r="BH154" s="21" t="str">
        <f t="shared" si="16"/>
        <v>, dropMechanic={LIBSETS_DROP_MECHANIC_TELVAR_EQUIPMENT_LOCKBOX_MERCHANT,LIBSETS_DROP_MECHANIC_IMPERIAL_CITY_TREASURE_TROVE_SCAMP}</v>
      </c>
      <c r="BI154" s="21" t="str">
        <f t="shared" si="17"/>
        <v>}, --Meritorious Service / Meritorischer Dienst   [Imperial Sewers]</v>
      </c>
    </row>
    <row r="155" spans="1:61" x14ac:dyDescent="0.25">
      <c r="A155" s="5">
        <v>183</v>
      </c>
      <c r="B155" t="s">
        <v>14</v>
      </c>
      <c r="C155" t="s">
        <v>14</v>
      </c>
      <c r="D155" s="3">
        <f t="shared" si="12"/>
        <v>183</v>
      </c>
      <c r="G155" s="8" t="s">
        <v>1472</v>
      </c>
      <c r="H155" s="83">
        <v>3</v>
      </c>
      <c r="I155" t="s">
        <v>1459</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5" t="s">
        <v>2645</v>
      </c>
      <c r="BA155" s="75"/>
      <c r="BB155" s="75"/>
      <c r="BC155" s="75"/>
      <c r="BD155" s="75"/>
      <c r="BE155" s="21" t="str">
        <f t="shared" si="13"/>
        <v>[183] = {wayshrines={247,247,247,}, dlcId=DLC_IMPERIAL_CITY</v>
      </c>
      <c r="BF155" s="21" t="str">
        <f t="shared" si="14"/>
        <v>, zoneIds={688,181,181}, veteran={[EQUIP_TYPE_HEAD]=true, [EQUIP_TYPE_SHOULDERS]=false}</v>
      </c>
      <c r="BG155" s="21" t="str">
        <f t="shared" si="15"/>
        <v>, setType=LIBSETS_SETTYPE_MONSTER, undauntedChestId=3</v>
      </c>
      <c r="BH155" s="21" t="str">
        <f t="shared" si="16"/>
        <v>, dropMechanic={LIBSETS_DROP_MECHANIC_MONSTER_NAME}, dropMechanicDropLocationNames={['en']={'Molag Kena','','','','','',},['de']={'Molag Kena','','','','','',},}</v>
      </c>
      <c r="BI155" s="21" t="str">
        <f t="shared" si="17"/>
        <v>}, --Molag Kena / Molag Kena   [White-Gold Tower, Cyrodiil, Cyrodiil]</v>
      </c>
    </row>
    <row r="156" spans="1:61" x14ac:dyDescent="0.25">
      <c r="A156" s="12">
        <v>184</v>
      </c>
      <c r="B156" t="s">
        <v>962</v>
      </c>
      <c r="C156" t="s">
        <v>963</v>
      </c>
      <c r="D156" s="3">
        <f t="shared" si="12"/>
        <v>184</v>
      </c>
      <c r="E156" s="40"/>
      <c r="G156" s="8" t="s">
        <v>1470</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1571</v>
      </c>
      <c r="AC156" s="41"/>
      <c r="AD156" s="41"/>
      <c r="AF156" s="3"/>
      <c r="AG156" t="str">
        <f>IF(AND(AF156&lt;&gt;"",ISNUMBER(AF156),NOT(ISNA(AF156))),VLOOKUP(AF156,'ESO zone constants'!$A$5:$D$10001,4,FALSE),"")</f>
        <v/>
      </c>
      <c r="AH156" s="86"/>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5" t="s">
        <v>2645</v>
      </c>
      <c r="BA156" s="75"/>
      <c r="BB156" s="75"/>
      <c r="BC156" s="75"/>
      <c r="BD156" s="75"/>
      <c r="BE156" s="21" t="str">
        <f t="shared" si="13"/>
        <v>[184] = {wayshrines={247,247,247,}, dlcId=DLC_IMPERIAL_CITY</v>
      </c>
      <c r="BF156" s="21" t="str">
        <f t="shared" si="14"/>
        <v>, zoneIds={688,584}, veteran=false</v>
      </c>
      <c r="BG156" s="21" t="str">
        <f t="shared" si="15"/>
        <v>, setType=LIBSETS_SETTYPE_DUNGEON</v>
      </c>
      <c r="BH156" s="21" t="str">
        <f t="shared" si="16"/>
        <v>, dropMechanic={LIBSETS_DROP_MECHANIC_GROUP_DUNGEON_BOSS,LIBSETS_DROP_MECHANIC_IMPERIAL_CITY_VAULTS}</v>
      </c>
      <c r="BI156" s="21" t="str">
        <f t="shared" si="17"/>
        <v>}, --Brands of Imperium / Male des Kaiserreichs   [White-Gold Tower, Imperial City]</v>
      </c>
    </row>
    <row r="157" spans="1:61" x14ac:dyDescent="0.25">
      <c r="A157" s="12">
        <v>185</v>
      </c>
      <c r="B157" t="s">
        <v>964</v>
      </c>
      <c r="C157" t="s">
        <v>965</v>
      </c>
      <c r="D157" s="3">
        <f t="shared" si="12"/>
        <v>185</v>
      </c>
      <c r="G157" s="8" t="s">
        <v>1470</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1571</v>
      </c>
      <c r="AC157" s="41"/>
      <c r="AD157" s="41"/>
      <c r="AF157" s="3"/>
      <c r="AG157" t="str">
        <f>IF(AND(AF157&lt;&gt;"",ISNUMBER(AF157),NOT(ISNA(AF157))),VLOOKUP(AF157,'ESO zone constants'!$A$5:$D$10001,4,FALSE),"")</f>
        <v/>
      </c>
      <c r="AH157" s="86"/>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5" t="s">
        <v>2645</v>
      </c>
      <c r="BA157" s="75"/>
      <c r="BB157" s="75"/>
      <c r="BC157" s="75"/>
      <c r="BD157" s="75"/>
      <c r="BE157" s="21" t="str">
        <f t="shared" si="13"/>
        <v>[185] = {wayshrines={247,247,247,}, dlcId=DLC_IMPERIAL_CITY</v>
      </c>
      <c r="BF157" s="21" t="str">
        <f t="shared" si="14"/>
        <v>, zoneIds={688,584}, veteran=false</v>
      </c>
      <c r="BG157" s="21" t="str">
        <f t="shared" si="15"/>
        <v>, setType=LIBSETS_SETTYPE_DUNGEON</v>
      </c>
      <c r="BH157" s="21" t="str">
        <f t="shared" si="16"/>
        <v>, dropMechanic={LIBSETS_DROP_MECHANIC_GROUP_DUNGEON_BOSS,LIBSETS_DROP_MECHANIC_IMPERIAL_CITY_VAULTS}</v>
      </c>
      <c r="BI157" s="21" t="str">
        <f t="shared" si="17"/>
        <v>}, --Spell Power Cure / Magiekraftheilung   [White-Gold Tower, Imperial City]</v>
      </c>
    </row>
    <row r="158" spans="1:61" x14ac:dyDescent="0.25">
      <c r="A158" s="12">
        <v>186</v>
      </c>
      <c r="B158" t="s">
        <v>966</v>
      </c>
      <c r="C158" t="s">
        <v>967</v>
      </c>
      <c r="D158" s="3">
        <f t="shared" si="12"/>
        <v>186</v>
      </c>
      <c r="G158" s="8" t="s">
        <v>1470</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5" t="s">
        <v>2645</v>
      </c>
      <c r="BA158" s="75"/>
      <c r="BB158" s="75"/>
      <c r="BC158" s="75"/>
      <c r="BD158" s="75"/>
      <c r="BE158" s="21" t="str">
        <f t="shared" si="13"/>
        <v>[186] = {wayshrines={188,188,188,}, dlcId=DLC_BASE_GAME</v>
      </c>
      <c r="BF158" s="21" t="str">
        <f t="shared" si="14"/>
        <v>, zoneIds={131,58,58}, veteran=false</v>
      </c>
      <c r="BG158" s="21" t="str">
        <f t="shared" si="15"/>
        <v>, setType=LIBSETS_SETTYPE_DUNGEON</v>
      </c>
      <c r="BH158" s="21" t="str">
        <f t="shared" si="16"/>
        <v>, dropMechanic={LIBSETS_DROP_MECHANIC_GROUP_DUNGEON_BOSS}</v>
      </c>
      <c r="BI158" s="21" t="str">
        <f t="shared" si="17"/>
        <v>}, --Jolting Arms / Rüttelnde Rüstung   [Tempest Island, Malabal Tor, Malabal Tor]</v>
      </c>
    </row>
    <row r="159" spans="1:61" x14ac:dyDescent="0.25">
      <c r="A159" s="12">
        <v>187</v>
      </c>
      <c r="B159" t="s">
        <v>968</v>
      </c>
      <c r="C159" t="s">
        <v>969</v>
      </c>
      <c r="D159" s="3">
        <f t="shared" si="12"/>
        <v>187</v>
      </c>
      <c r="G159" s="8" t="s">
        <v>1473</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1553</v>
      </c>
      <c r="AI159" s="41"/>
      <c r="AJ159" s="41"/>
      <c r="AK159" s="3">
        <f>IF(AND(G159&lt;&gt;"LIBSETS_SETTYPE_BATTLEGROUND",G159&lt;&gt;"LIBSETS_SETTYPE_SPECIAL"),IF(AL159&lt;&gt;"",VLOOKUP(AL159,'ESO zone constants'!$D$5:$H$4955,5,FALSE),""),"")</f>
        <v>117</v>
      </c>
      <c r="AL159" t="s">
        <v>114</v>
      </c>
      <c r="AM159" s="33" t="s">
        <v>1554</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5" t="s">
        <v>2646</v>
      </c>
      <c r="BA159" s="75"/>
      <c r="BB159" s="75"/>
      <c r="BC159" s="75"/>
      <c r="BD159" s="75"/>
      <c r="BE159" s="21" t="str">
        <f t="shared" si="13"/>
        <v>[187] = {wayshrines={48,48,48,}, dlcId=DLC_BASE_GAME</v>
      </c>
      <c r="BF159" s="21" t="str">
        <f t="shared" si="14"/>
        <v>, zoneIds={117,117,134,117}, veteran=false</v>
      </c>
      <c r="BG159" s="21" t="str">
        <f t="shared" si="15"/>
        <v>, setType=LIBSETS_SETTYPE_OVERLAND</v>
      </c>
      <c r="BH159" s="21" t="str">
        <f t="shared" si="16"/>
        <v>, isProcSetAllowedInPvP=1, dropMechanic={LIBSETS_DROP_MECHANIC_OVERLAND_BOSS_DELVE,LIBSETS_DROP_MECHANIC_OVERLAND_WORLDBOSS,LIBSETS_DROP_MECHANIC_OVERLAND_BOSS_PUBLIC_DUNGEON,LIBSETS_DROP_MECHANIC_OVERLAND_CHEST}</v>
      </c>
      <c r="BI159" s="21" t="str">
        <f t="shared" si="17"/>
        <v>}, --Swamp Raider / Sumpfräuber   [Shadowfen, Shadowfen, Sanguine's Demesne, Shadowfen]</v>
      </c>
    </row>
    <row r="160" spans="1:61" x14ac:dyDescent="0.25">
      <c r="A160" s="12">
        <v>188</v>
      </c>
      <c r="B160" t="s">
        <v>970</v>
      </c>
      <c r="C160" t="s">
        <v>971</v>
      </c>
      <c r="D160" s="3">
        <f t="shared" si="12"/>
        <v>188</v>
      </c>
      <c r="G160" s="8" t="s">
        <v>1470</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5" t="s">
        <v>2645</v>
      </c>
      <c r="BA160" s="75"/>
      <c r="BB160" s="75"/>
      <c r="BC160" s="75"/>
      <c r="BD160" s="75"/>
      <c r="BE160" s="21" t="str">
        <f t="shared" si="13"/>
        <v>[188] = {wayshrines={188,188,188,}, dlcId=DLC_BASE_GAME</v>
      </c>
      <c r="BF160" s="21" t="str">
        <f t="shared" si="14"/>
        <v>, zoneIds={131,58,58}, veteran=false</v>
      </c>
      <c r="BG160" s="21" t="str">
        <f t="shared" si="15"/>
        <v>, setType=LIBSETS_SETTYPE_DUNGEON</v>
      </c>
      <c r="BH160" s="21" t="str">
        <f t="shared" si="16"/>
        <v>, dropMechanic={LIBSETS_DROP_MECHANIC_GROUP_DUNGEON_BOSS}</v>
      </c>
      <c r="BI160" s="21" t="str">
        <f t="shared" si="17"/>
        <v>}, --Storm Master / Sturmmeister   [Tempest Island, Malabal Tor, Malabal Tor]</v>
      </c>
    </row>
    <row r="161" spans="1:61" x14ac:dyDescent="0.25">
      <c r="A161" s="12">
        <v>190</v>
      </c>
      <c r="B161" t="s">
        <v>972</v>
      </c>
      <c r="C161" t="s">
        <v>973</v>
      </c>
      <c r="D161" s="3">
        <f t="shared" si="12"/>
        <v>190</v>
      </c>
      <c r="G161" s="8" t="s">
        <v>1470</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1571</v>
      </c>
      <c r="AC161" s="41"/>
      <c r="AD161" s="41"/>
      <c r="AE161" s="41"/>
      <c r="AF161" s="3"/>
      <c r="AG161" t="str">
        <f>IF(AND(AF161&lt;&gt;"",ISNUMBER(AF161),NOT(ISNA(AF161))),VLOOKUP(AF161,'ESO zone constants'!$A$5:$D$10001,4,FALSE),"")</f>
        <v/>
      </c>
      <c r="AH161" s="86"/>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5" t="s">
        <v>2645</v>
      </c>
      <c r="BA161" s="75"/>
      <c r="BB161" s="75"/>
      <c r="BC161" s="75"/>
      <c r="BD161" s="75"/>
      <c r="BE161" s="21" t="str">
        <f t="shared" si="13"/>
        <v>[190] = {wayshrines={236,236,236,}, dlcId=DLC_IMPERIAL_CITY</v>
      </c>
      <c r="BF161" s="21" t="str">
        <f t="shared" si="14"/>
        <v>, zoneIds={678,584}, veteran=false</v>
      </c>
      <c r="BG161" s="21" t="str">
        <f t="shared" si="15"/>
        <v>, setType=LIBSETS_SETTYPE_DUNGEON</v>
      </c>
      <c r="BH161" s="21" t="str">
        <f t="shared" si="16"/>
        <v>, dropMechanic={LIBSETS_DROP_MECHANIC_GROUP_DUNGEON_BOSS,LIBSETS_DROP_MECHANIC_IMPERIAL_CITY_VAULTS}</v>
      </c>
      <c r="BI161" s="21" t="str">
        <f t="shared" si="17"/>
        <v>}, --Scathing Mage / Verletzender Magier   [Imperial City Prison, Imperial City]</v>
      </c>
    </row>
    <row r="162" spans="1:61" x14ac:dyDescent="0.25">
      <c r="A162" s="12">
        <v>193</v>
      </c>
      <c r="B162" t="s">
        <v>974</v>
      </c>
      <c r="C162" t="s">
        <v>975</v>
      </c>
      <c r="D162" s="3">
        <f t="shared" si="12"/>
        <v>193</v>
      </c>
      <c r="G162" s="8" t="s">
        <v>1470</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5" t="s">
        <v>2645</v>
      </c>
      <c r="BA162" s="75"/>
      <c r="BB162" s="75"/>
      <c r="BC162" s="75"/>
      <c r="BD162" s="75"/>
      <c r="BE162" s="21" t="str">
        <f t="shared" si="13"/>
        <v>[193] = {wayshrines={188,188,188,}, dlcId=DLC_BASE_GAME</v>
      </c>
      <c r="BF162" s="21" t="str">
        <f t="shared" si="14"/>
        <v>, zoneIds={131,58,58}, veteran=false</v>
      </c>
      <c r="BG162" s="21" t="str">
        <f t="shared" si="15"/>
        <v>, setType=LIBSETS_SETTYPE_DUNGEON</v>
      </c>
      <c r="BH162" s="21" t="str">
        <f t="shared" si="16"/>
        <v>, dropMechanic={LIBSETS_DROP_MECHANIC_GROUP_DUNGEON_BOSS}</v>
      </c>
      <c r="BI162" s="21" t="str">
        <f t="shared" si="17"/>
        <v>}, --Overwhelming Surge / Überwältigende Woge   [Tempest Island, Malabal Tor, Malabal Tor]</v>
      </c>
    </row>
    <row r="163" spans="1:61" x14ac:dyDescent="0.25">
      <c r="A163" s="12">
        <v>194</v>
      </c>
      <c r="B163" t="s">
        <v>976</v>
      </c>
      <c r="C163" t="s">
        <v>977</v>
      </c>
      <c r="D163" s="3">
        <f t="shared" si="12"/>
        <v>194</v>
      </c>
      <c r="G163" s="8" t="s">
        <v>1470</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6"/>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5" t="s">
        <v>2645</v>
      </c>
      <c r="BA163" s="75"/>
      <c r="BB163" s="75"/>
      <c r="BC163" s="75"/>
      <c r="BD163" s="75"/>
      <c r="BE163" s="21" t="str">
        <f t="shared" si="13"/>
        <v>[194] = {wayshrines={189,189,189,}, dlcId=DLC_BASE_GAME</v>
      </c>
      <c r="BF163" s="21" t="str">
        <f t="shared" si="14"/>
        <v>, zoneIds={146,933,19}, veteran=false</v>
      </c>
      <c r="BG163" s="21" t="str">
        <f t="shared" si="15"/>
        <v>, setType=LIBSETS_SETTYPE_DUNGEON</v>
      </c>
      <c r="BH163" s="21" t="str">
        <f t="shared" si="16"/>
        <v>, dropMechanic={LIBSETS_DROP_MECHANIC_GROUP_DUNGEON_BOSS,LIBSETS_DROP_MECHANIC_GROUP_DUNGEON_BOSS}</v>
      </c>
      <c r="BI163" s="21" t="str">
        <f t="shared" si="17"/>
        <v>}, --Combat Physician / Feldarzt   [Wayrest Sewers I, Wayrest Sewers II, Stormhaven]</v>
      </c>
    </row>
    <row r="164" spans="1:61" x14ac:dyDescent="0.25">
      <c r="A164" s="12">
        <v>195</v>
      </c>
      <c r="B164" t="s">
        <v>978</v>
      </c>
      <c r="C164" t="s">
        <v>979</v>
      </c>
      <c r="D164" s="3">
        <f t="shared" si="12"/>
        <v>195</v>
      </c>
      <c r="G164" s="8" t="s">
        <v>1470</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1571</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5" t="s">
        <v>2645</v>
      </c>
      <c r="BA164" s="75"/>
      <c r="BB164" s="75"/>
      <c r="BC164" s="75"/>
      <c r="BD164" s="75"/>
      <c r="BE164" s="21" t="str">
        <f t="shared" si="13"/>
        <v>[195] = {wayshrines={236,236,236,}, dlcId=DLC_IMPERIAL_CITY</v>
      </c>
      <c r="BF164" s="21" t="str">
        <f t="shared" si="14"/>
        <v>, zoneIds={678,584}, veteran=false</v>
      </c>
      <c r="BG164" s="21" t="str">
        <f t="shared" si="15"/>
        <v>, setType=LIBSETS_SETTYPE_DUNGEON</v>
      </c>
      <c r="BH164" s="21" t="str">
        <f t="shared" si="16"/>
        <v>, dropMechanic={LIBSETS_DROP_MECHANIC_GROUP_DUNGEON_BOSS,LIBSETS_DROP_MECHANIC_IMPERIAL_CITY_VAULTS}</v>
      </c>
      <c r="BI164" s="21" t="str">
        <f t="shared" si="17"/>
        <v>}, --Sheer Venom / Reingift   [Imperial City Prison, Imperial City]</v>
      </c>
    </row>
    <row r="165" spans="1:61" x14ac:dyDescent="0.25">
      <c r="A165" s="12">
        <v>196</v>
      </c>
      <c r="B165" t="s">
        <v>980</v>
      </c>
      <c r="C165" t="s">
        <v>981</v>
      </c>
      <c r="D165" s="3">
        <f t="shared" si="12"/>
        <v>196</v>
      </c>
      <c r="G165" s="8" t="s">
        <v>1470</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1571</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5" t="s">
        <v>2645</v>
      </c>
      <c r="BA165" s="75"/>
      <c r="BB165" s="75"/>
      <c r="BC165" s="75"/>
      <c r="BD165" s="75"/>
      <c r="BE165" s="21" t="str">
        <f t="shared" si="13"/>
        <v>[196] = {wayshrines={236,236,236,}, dlcId=DLC_IMPERIAL_CITY</v>
      </c>
      <c r="BF165" s="21" t="str">
        <f t="shared" si="14"/>
        <v>, zoneIds={678,584}, veteran=false</v>
      </c>
      <c r="BG165" s="21" t="str">
        <f t="shared" si="15"/>
        <v>, setType=LIBSETS_SETTYPE_DUNGEON</v>
      </c>
      <c r="BH165" s="21" t="str">
        <f t="shared" si="16"/>
        <v>, dropMechanic={LIBSETS_DROP_MECHANIC_GROUP_DUNGEON_BOSS,LIBSETS_DROP_MECHANIC_IMPERIAL_CITY_VAULTS}</v>
      </c>
      <c r="BI165" s="21" t="str">
        <f t="shared" si="17"/>
        <v>}, --Leeching Plate / Auslaugende Rüstung   [Imperial City Prison, Imperial City]</v>
      </c>
    </row>
    <row r="166" spans="1:61" x14ac:dyDescent="0.25">
      <c r="A166" s="12">
        <v>197</v>
      </c>
      <c r="B166" t="s">
        <v>982</v>
      </c>
      <c r="C166" t="s">
        <v>983</v>
      </c>
      <c r="D166" s="3">
        <f t="shared" si="12"/>
        <v>197</v>
      </c>
      <c r="G166" s="8" t="s">
        <v>1470</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6"/>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5" t="s">
        <v>2645</v>
      </c>
      <c r="BA166" s="75"/>
      <c r="BB166" s="75"/>
      <c r="BC166" s="75"/>
      <c r="BD166" s="75"/>
      <c r="BE166" s="21" t="str">
        <f t="shared" si="13"/>
        <v>[197] = {wayshrines={194,194,194,}, dlcId=DLC_BASE_GAME</v>
      </c>
      <c r="BF166" s="21" t="str">
        <f t="shared" si="14"/>
        <v>, zoneIds={380,935,381}, veteran=false</v>
      </c>
      <c r="BG166" s="21" t="str">
        <f t="shared" si="15"/>
        <v>, setType=LIBSETS_SETTYPE_DUNGEON</v>
      </c>
      <c r="BH166" s="21" t="str">
        <f t="shared" si="16"/>
        <v>, dropMechanic={LIBSETS_DROP_MECHANIC_GROUP_DUNGEON_BOSS,LIBSETS_DROP_MECHANIC_GROUP_DUNGEON_BOSS}</v>
      </c>
      <c r="BI166" s="21" t="str">
        <f t="shared" si="17"/>
        <v>}, --Tormentor / Quälender   [The Banished Cells I, The Banished Cells II, Auridon]</v>
      </c>
    </row>
    <row r="167" spans="1:61" x14ac:dyDescent="0.25">
      <c r="A167" s="12">
        <v>198</v>
      </c>
      <c r="B167" t="s">
        <v>984</v>
      </c>
      <c r="C167" t="s">
        <v>985</v>
      </c>
      <c r="D167" s="3">
        <f t="shared" si="12"/>
        <v>198</v>
      </c>
      <c r="G167" s="8" t="s">
        <v>1470</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1571</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5" t="s">
        <v>2645</v>
      </c>
      <c r="BA167" s="75"/>
      <c r="BB167" s="75"/>
      <c r="BC167" s="75"/>
      <c r="BD167" s="75"/>
      <c r="BE167" s="21" t="str">
        <f t="shared" si="13"/>
        <v>[198] = {wayshrines={247,247,247,}, dlcId=DLC_IMPERIAL_CITY</v>
      </c>
      <c r="BF167" s="21" t="str">
        <f t="shared" si="14"/>
        <v>, zoneIds={688,584}, veteran=false</v>
      </c>
      <c r="BG167" s="21" t="str">
        <f t="shared" si="15"/>
        <v>, setType=LIBSETS_SETTYPE_DUNGEON</v>
      </c>
      <c r="BH167" s="21" t="str">
        <f t="shared" si="16"/>
        <v>, dropMechanic={LIBSETS_DROP_MECHANIC_GROUP_DUNGEON_BOSS,LIBSETS_DROP_MECHANIC_IMPERIAL_CITY_VAULTS}</v>
      </c>
      <c r="BI167" s="21" t="str">
        <f t="shared" si="17"/>
        <v>}, --Essence Thief / Essenzdieb   [White-Gold Tower, Imperial City]</v>
      </c>
    </row>
    <row r="168" spans="1:61" x14ac:dyDescent="0.25">
      <c r="A168" s="12">
        <v>199</v>
      </c>
      <c r="B168" t="s">
        <v>986</v>
      </c>
      <c r="C168" t="s">
        <v>987</v>
      </c>
      <c r="D168" s="3">
        <f t="shared" si="12"/>
        <v>199</v>
      </c>
      <c r="G168" s="8" t="s">
        <v>1471</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2752</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5" t="s">
        <v>2646</v>
      </c>
      <c r="BA168" s="75"/>
      <c r="BB168" s="75"/>
      <c r="BC168" s="75"/>
      <c r="BD168" s="75"/>
      <c r="BE168" s="21" t="str">
        <f t="shared" si="13"/>
        <v>[199] = {wayshrines={-1,-1,-1,}, dlcId=DLC_MORROWIND</v>
      </c>
      <c r="BF168" s="21" t="str">
        <f t="shared" si="14"/>
        <v>, zoneIds={643}, veteran=false</v>
      </c>
      <c r="BG168" s="21" t="str">
        <f t="shared" si="15"/>
        <v>, setType=LIBSETS_SETTYPE_IMPERIALCITY</v>
      </c>
      <c r="BH168" s="21" t="str">
        <f t="shared" si="16"/>
        <v>, isProcSetAllowedInPvP=1, dropMechanic={LIBSETS_DROP_MECHANIC_TELVAR_EQUIPMENT_LOCKBOX_MERCHANT,LIBSETS_DROP_MECHANIC_IMPERIAL_CITY_TREASURE_TROVE_SCAMP}</v>
      </c>
      <c r="BI168" s="21" t="str">
        <f t="shared" si="17"/>
        <v>}, --Shield Breaker / Schildbrecher   [Imperial Sewers]</v>
      </c>
    </row>
    <row r="169" spans="1:61" x14ac:dyDescent="0.25">
      <c r="A169" s="12">
        <v>200</v>
      </c>
      <c r="B169" t="s">
        <v>988</v>
      </c>
      <c r="C169" t="s">
        <v>989</v>
      </c>
      <c r="D169" s="3">
        <f t="shared" si="12"/>
        <v>200</v>
      </c>
      <c r="G169" s="8" t="s">
        <v>1471</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2752</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5" t="s">
        <v>2645</v>
      </c>
      <c r="BA169" s="75"/>
      <c r="BB169" s="75"/>
      <c r="BC169" s="75"/>
      <c r="BD169" s="75"/>
      <c r="BE169" s="21" t="str">
        <f t="shared" si="13"/>
        <v>[200] = {wayshrines={-1,-1,-1,}, dlcId=DLC_MORROWIND</v>
      </c>
      <c r="BF169" s="21" t="str">
        <f t="shared" si="14"/>
        <v>, zoneIds={643}, veteran=false</v>
      </c>
      <c r="BG169" s="21" t="str">
        <f t="shared" si="15"/>
        <v>, setType=LIBSETS_SETTYPE_IMPERIALCITY</v>
      </c>
      <c r="BH169" s="21" t="str">
        <f t="shared" si="16"/>
        <v>, dropMechanic={LIBSETS_DROP_MECHANIC_TELVAR_EQUIPMENT_LOCKBOX_MERCHANT,LIBSETS_DROP_MECHANIC_IMPERIAL_CITY_TREASURE_TROVE_SCAMP}</v>
      </c>
      <c r="BI169" s="21" t="str">
        <f t="shared" si="17"/>
        <v>}, --Phoenix / Phönix   [Imperial Sewers]</v>
      </c>
    </row>
    <row r="170" spans="1:61" x14ac:dyDescent="0.25">
      <c r="A170" s="12">
        <v>201</v>
      </c>
      <c r="B170" t="s">
        <v>990</v>
      </c>
      <c r="C170" t="s">
        <v>991</v>
      </c>
      <c r="D170" s="3">
        <f t="shared" si="12"/>
        <v>201</v>
      </c>
      <c r="G170" s="8" t="s">
        <v>1471</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2752</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3723</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5" t="s">
        <v>2645</v>
      </c>
      <c r="BA170" s="75"/>
      <c r="BB170" s="75"/>
      <c r="BC170" s="75"/>
      <c r="BD170" s="75"/>
      <c r="BE170" s="21" t="str">
        <f t="shared" si="13"/>
        <v>[201] = {wayshrines={-1,-1,-1,}, dlcId=DLC_MORROWIND</v>
      </c>
      <c r="BF170" s="21" t="str">
        <f t="shared" si="14"/>
        <v>, zoneIds={643}, veteran=false</v>
      </c>
      <c r="BG170" s="21" t="str">
        <f t="shared" si="15"/>
        <v>, setType=LIBSETS_SETTYPE_IMPERIALCITY</v>
      </c>
      <c r="BH170" s="21" t="str">
        <f t="shared" si="16"/>
        <v>, dropMechanic={LIBSETS_DROP_MECHANIC_TELVAR_EQUIPMENT_LOCKBOX_MERCHANT,LIBSETS_DROP_MECHANIC_IMPERIAL_CITY_TREASURE_TROVE_SCAMP}</v>
      </c>
      <c r="BI170" s="21" t="str">
        <f t="shared" si="17"/>
        <v>}, --Reactive Armor / Reaktive Rüstung   [Imperial Sewers]</v>
      </c>
    </row>
    <row r="171" spans="1:61" x14ac:dyDescent="0.25">
      <c r="A171" s="12">
        <v>204</v>
      </c>
      <c r="B171" t="s">
        <v>992</v>
      </c>
      <c r="C171" t="s">
        <v>993</v>
      </c>
      <c r="D171" s="3">
        <f t="shared" si="12"/>
        <v>204</v>
      </c>
      <c r="G171" s="8" t="s">
        <v>1469</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1571</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5" t="s">
        <v>2646</v>
      </c>
      <c r="BA171" s="75"/>
      <c r="BB171" s="75"/>
      <c r="BC171" s="75"/>
      <c r="BD171" s="75"/>
      <c r="BE171" s="21" t="str">
        <f t="shared" si="13"/>
        <v>[204] = {wayshrines={-1,-1,-1,}, dlcId=DLC_BASE_GAME</v>
      </c>
      <c r="BF171" s="21" t="str">
        <f t="shared" si="14"/>
        <v>, zoneIds={584}, veteran=false</v>
      </c>
      <c r="BG171" s="21" t="str">
        <f t="shared" si="15"/>
        <v>, setType=LIBSETS_SETTYPE_DAILYRANDOMDUNGEONANDICREWARD</v>
      </c>
      <c r="BH171" s="21" t="str">
        <f t="shared" si="16"/>
        <v>, isProcSetAllowedInPvP=1, dropMechanic={LIBSETS_DROP_MECHANIC_IMPERIAL_CITY_VAULTS,LIBSETS_DROP_MECHANIC_MAIL_DAILY_RANDOM_DUNGEON_REWARD}, dropMechanicDropLocationNames={['en']={'','By mail','','','','',},['de']={'','Durch Nachricht','','','','',},}</v>
      </c>
      <c r="BI171" s="21" t="str">
        <f t="shared" si="17"/>
        <v>}, --Endurance / Beständigkeit   [Imperial City]</v>
      </c>
    </row>
    <row r="172" spans="1:61" x14ac:dyDescent="0.25">
      <c r="A172" s="12">
        <v>205</v>
      </c>
      <c r="B172" t="s">
        <v>994</v>
      </c>
      <c r="C172" t="s">
        <v>995</v>
      </c>
      <c r="D172" s="3">
        <f t="shared" si="12"/>
        <v>205</v>
      </c>
      <c r="G172" s="8" t="s">
        <v>1469</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1571</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5" t="s">
        <v>2646</v>
      </c>
      <c r="BA172" s="75"/>
      <c r="BB172" s="75"/>
      <c r="BC172" s="75"/>
      <c r="BD172" s="75"/>
      <c r="BE172" s="21" t="str">
        <f t="shared" si="13"/>
        <v>[205] = {wayshrines={-1,-1,-1,}, dlcId=DLC_BASE_GAME</v>
      </c>
      <c r="BF172" s="21" t="str">
        <f t="shared" si="14"/>
        <v>, zoneIds={584}, veteran=false</v>
      </c>
      <c r="BG172" s="21" t="str">
        <f t="shared" si="15"/>
        <v>, setType=LIBSETS_SETTYPE_DAILYRANDOMDUNGEONANDICREWARD</v>
      </c>
      <c r="BH172" s="21" t="str">
        <f t="shared" si="16"/>
        <v>, isProcSetAllowedInPvP=1, dropMechanic={LIBSETS_DROP_MECHANIC_IMPERIAL_CITY_VAULTS,LIBSETS_DROP_MECHANIC_MAIL_DAILY_RANDOM_DUNGEON_REWARD}, dropMechanicDropLocationNames={['en']={'','By mail','','','','',},['de']={'','Durch Nachricht','','','','',},}</v>
      </c>
      <c r="BI172" s="21" t="str">
        <f t="shared" si="17"/>
        <v>}, --Willpower / Willenskraft   [Imperial City]</v>
      </c>
    </row>
    <row r="173" spans="1:61" x14ac:dyDescent="0.25">
      <c r="A173" s="12">
        <v>206</v>
      </c>
      <c r="B173" t="s">
        <v>996</v>
      </c>
      <c r="C173" t="s">
        <v>997</v>
      </c>
      <c r="D173" s="3">
        <f t="shared" si="12"/>
        <v>206</v>
      </c>
      <c r="G173" s="8" t="s">
        <v>1469</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1571</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5" t="s">
        <v>2646</v>
      </c>
      <c r="BA173" s="75"/>
      <c r="BB173" s="75"/>
      <c r="BC173" s="75"/>
      <c r="BD173" s="75"/>
      <c r="BE173" s="21" t="str">
        <f t="shared" si="13"/>
        <v>[206] = {wayshrines={-1,-1,-1,}, dlcId=DLC_BASE_GAME</v>
      </c>
      <c r="BF173" s="21" t="str">
        <f t="shared" si="14"/>
        <v>, zoneIds={584}, veteran=false</v>
      </c>
      <c r="BG173" s="21" t="str">
        <f t="shared" si="15"/>
        <v>, setType=LIBSETS_SETTYPE_DAILYRANDOMDUNGEONANDICREWARD</v>
      </c>
      <c r="BH173" s="21" t="str">
        <f t="shared" si="16"/>
        <v>, isProcSetAllowedInPvP=1, dropMechanic={LIBSETS_DROP_MECHANIC_IMPERIAL_CITY_VAULTS,LIBSETS_DROP_MECHANIC_MAIL_DAILY_RANDOM_DUNGEON_REWARD}, dropMechanicDropLocationNames={['en']={'','By mail','','','','',},['de']={'','Durch Nachricht','','','','',},}</v>
      </c>
      <c r="BI173" s="21" t="str">
        <f t="shared" si="17"/>
        <v>}, --Agility / Agilität   [Imperial City]</v>
      </c>
    </row>
    <row r="174" spans="1:61" x14ac:dyDescent="0.25">
      <c r="A174" s="5">
        <v>207</v>
      </c>
      <c r="B174" t="s">
        <v>998</v>
      </c>
      <c r="C174" t="s">
        <v>999</v>
      </c>
      <c r="D174" s="3">
        <f t="shared" si="12"/>
        <v>207</v>
      </c>
      <c r="G174" s="8" t="s">
        <v>1467</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3276</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5" t="s">
        <v>2646</v>
      </c>
      <c r="BA174" s="75"/>
      <c r="BB174" s="75"/>
      <c r="BC174" s="75"/>
      <c r="BD174" s="75"/>
      <c r="BE174" s="21" t="str">
        <f t="shared" si="13"/>
        <v>[207] = {wayshrines={241,241,241,}, traitsNeeded=6, dlcId=DLC_SUMMERSET</v>
      </c>
      <c r="BF174" s="21" t="str">
        <f t="shared" si="14"/>
        <v>, zoneIds={684,684,684}, veteran=false</v>
      </c>
      <c r="BG174" s="21" t="str">
        <f t="shared" si="15"/>
        <v>, setType=LIBSETS_SETTYPE_CRAFTED</v>
      </c>
      <c r="BH174" s="21" t="str">
        <f t="shared" si="16"/>
        <v>, isProcSetAllowedInPvP=1, dropMechanic={LIBSETS_DROP_MECHANIC_CRAFTED,LIBSETS_DROP_MECHANIC_CRAFTED}</v>
      </c>
      <c r="BI174" s="21" t="str">
        <f t="shared" si="17"/>
        <v>}, --Law of Julianos / Gesetz von Julianos   [Wrothgar, Wrothgar, Wrothgar]</v>
      </c>
    </row>
    <row r="175" spans="1:61" x14ac:dyDescent="0.25">
      <c r="A175" s="5">
        <v>208</v>
      </c>
      <c r="B175" t="s">
        <v>1000</v>
      </c>
      <c r="C175" t="s">
        <v>1001</v>
      </c>
      <c r="D175" s="3">
        <f t="shared" si="12"/>
        <v>208</v>
      </c>
      <c r="G175" s="8" t="s">
        <v>1467</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3276</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5" t="s">
        <v>2646</v>
      </c>
      <c r="BA175" s="75"/>
      <c r="BB175" s="75"/>
      <c r="BC175" s="75"/>
      <c r="BD175" s="75"/>
      <c r="BE175" s="21" t="str">
        <f t="shared" si="13"/>
        <v>[208] = {wayshrines={237,237,237,}, traitsNeeded=3, dlcId=DLC_SUMMERSET</v>
      </c>
      <c r="BF175" s="21" t="str">
        <f t="shared" si="14"/>
        <v>, zoneIds={684,684,684}, veteran=false</v>
      </c>
      <c r="BG175" s="21" t="str">
        <f t="shared" si="15"/>
        <v>, setType=LIBSETS_SETTYPE_CRAFTED</v>
      </c>
      <c r="BH175" s="21" t="str">
        <f t="shared" si="16"/>
        <v>, isProcSetAllowedInPvP=1, dropMechanic={LIBSETS_DROP_MECHANIC_CRAFTED,LIBSETS_DROP_MECHANIC_CRAFTED}</v>
      </c>
      <c r="BI175" s="21" t="str">
        <f t="shared" si="17"/>
        <v>}, --Trial by Fire / Feuertaufe   [Wrothgar, Wrothgar, Wrothgar]</v>
      </c>
    </row>
    <row r="176" spans="1:61" s="14" customFormat="1" x14ac:dyDescent="0.25">
      <c r="A176" s="24">
        <v>209</v>
      </c>
      <c r="B176" s="14" t="s">
        <v>1002</v>
      </c>
      <c r="C176" t="s">
        <v>1002</v>
      </c>
      <c r="D176" s="25">
        <f t="shared" si="12"/>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5" t="s">
        <v>2645</v>
      </c>
      <c r="BA176" s="75"/>
      <c r="BB176" s="75"/>
      <c r="BC176" s="75"/>
      <c r="BD176" s="75"/>
      <c r="BE176" s="21" t="str">
        <f t="shared" si="13"/>
        <v/>
      </c>
      <c r="BF176" s="21" t="str">
        <f t="shared" si="14"/>
        <v/>
      </c>
      <c r="BG176" s="21" t="str">
        <f t="shared" si="15"/>
        <v/>
      </c>
      <c r="BH176" s="21" t="str">
        <f t="shared" si="16"/>
        <v/>
      </c>
      <c r="BI176" s="21" t="str">
        <f t="shared" si="17"/>
        <v/>
      </c>
    </row>
    <row r="177" spans="1:61" x14ac:dyDescent="0.25">
      <c r="A177" s="12">
        <v>210</v>
      </c>
      <c r="B177" t="s">
        <v>1003</v>
      </c>
      <c r="C177" t="s">
        <v>1004</v>
      </c>
      <c r="D177" s="3">
        <f t="shared" si="12"/>
        <v>210</v>
      </c>
      <c r="G177" s="8" t="s">
        <v>1473</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1551</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1553</v>
      </c>
      <c r="AI177" s="41"/>
      <c r="AJ177" s="41"/>
      <c r="AK177" s="3">
        <f>IF(AND(G177&lt;&gt;"LIBSETS_SETTYPE_BATTLEGROUND",G177&lt;&gt;"LIBSETS_SETTYPE_SPECIAL"),IF(AL177&lt;&gt;"",VLOOKUP(AL177,'ESO zone constants'!$D$5:$H$4955,5,FALSE),""),"")</f>
        <v>684</v>
      </c>
      <c r="AL177" t="s">
        <v>449</v>
      </c>
      <c r="AM177" s="33" t="s">
        <v>1554</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5" t="s">
        <v>2646</v>
      </c>
      <c r="BA177" s="75"/>
      <c r="BB177" s="75"/>
      <c r="BC177" s="75"/>
      <c r="BD177" s="75"/>
      <c r="BE177" s="21" t="str">
        <f t="shared" si="13"/>
        <v>[210] = {wayshrines={244,244,244,}, dlcId=DLC_SUMMERSET</v>
      </c>
      <c r="BF177" s="21" t="str">
        <f t="shared" si="14"/>
        <v>, zoneIds={684,684,684,684}, veteran=false</v>
      </c>
      <c r="BG177" s="21" t="str">
        <f t="shared" si="15"/>
        <v>, setType=LIBSETS_SETTYPE_OVERLAND</v>
      </c>
      <c r="BH177" s="21" t="str">
        <f t="shared" si="16"/>
        <v>, isProcSetAllowedInPvP=1, dropMechanic={LIBSETS_DROP_MECHANIC_OVERLAND_BOSS_DELVE,LIBSETS_DROP_MECHANIC_OVERLAND_WORLDBOSS,LIBSETS_DROP_MECHANIC_OVERLAND_BOSS_PUBLIC_DUNGEON,LIBSETS_DROP_MECHANIC_OVERLAND_CHEST}</v>
      </c>
      <c r="BI177" s="21" t="str">
        <f t="shared" si="17"/>
        <v>}, --Mark of the Pariah / Zeichen des Ausgestoßenen   [Wrothgar, Wrothgar, Wrothgar, Wrothgar]</v>
      </c>
    </row>
    <row r="178" spans="1:61" x14ac:dyDescent="0.25">
      <c r="A178" s="12">
        <v>211</v>
      </c>
      <c r="B178" t="s">
        <v>1005</v>
      </c>
      <c r="C178" t="s">
        <v>1005</v>
      </c>
      <c r="D178" s="3">
        <f t="shared" si="12"/>
        <v>211</v>
      </c>
      <c r="G178" s="8" t="s">
        <v>1465</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1547</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5" t="s">
        <v>2646</v>
      </c>
      <c r="BA178" s="75"/>
      <c r="BB178" s="75"/>
      <c r="BC178" s="75"/>
      <c r="BD178" s="75"/>
      <c r="BE178" s="21" t="str">
        <f t="shared" si="13"/>
        <v>[211] = {wayshrines={249,249,249,}, dlcId=DLC_SUMMERSET</v>
      </c>
      <c r="BF178" s="21" t="str">
        <f t="shared" si="14"/>
        <v>, zoneIds={677,684,684}, veteran=false</v>
      </c>
      <c r="BG178" s="21" t="str">
        <f t="shared" si="15"/>
        <v>, setType=LIBSETS_SETTYPE_ARENA</v>
      </c>
      <c r="BH178" s="21" t="str">
        <f t="shared" si="16"/>
        <v>, isProcSetAllowedInPvP=1, dropMechanic={LIBSETS_DROP_MECHANIC_ARENA_STAGE_CHEST,LIBSETS_DROP_MECHANIC_ARENA_STAGE_CHEST}</v>
      </c>
      <c r="BI178" s="21" t="str">
        <f t="shared" si="17"/>
        <v>}, --Permafrost / Permafrost   [Maelstrom Arena, Wrothgar, Wrothgar]</v>
      </c>
    </row>
    <row r="179" spans="1:61" x14ac:dyDescent="0.25">
      <c r="A179" s="12">
        <v>212</v>
      </c>
      <c r="B179" t="s">
        <v>1006</v>
      </c>
      <c r="C179" t="s">
        <v>1007</v>
      </c>
      <c r="D179" s="3">
        <f t="shared" si="12"/>
        <v>212</v>
      </c>
      <c r="E179" s="40"/>
      <c r="G179" s="8" t="s">
        <v>1473</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1551</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1553</v>
      </c>
      <c r="AI179" s="41"/>
      <c r="AJ179" s="41"/>
      <c r="AK179" s="3">
        <f>IF(AND(G179&lt;&gt;"LIBSETS_SETTYPE_BATTLEGROUND",G179&lt;&gt;"LIBSETS_SETTYPE_SPECIAL"),IF(AL179&lt;&gt;"",VLOOKUP(AL179,'ESO zone constants'!$D$5:$H$4955,5,FALSE),""),"")</f>
        <v>684</v>
      </c>
      <c r="AL179" t="s">
        <v>449</v>
      </c>
      <c r="AM179" s="33" t="s">
        <v>1554</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5" t="s">
        <v>2645</v>
      </c>
      <c r="BA179" s="75"/>
      <c r="BB179" s="75"/>
      <c r="BC179" s="75"/>
      <c r="BD179" s="75"/>
      <c r="BE179" s="21" t="str">
        <f t="shared" si="13"/>
        <v>[212] = {wayshrines={244,244,244,}, dlcId=DLC_SUMMERSET</v>
      </c>
      <c r="BF179" s="21" t="str">
        <f t="shared" si="14"/>
        <v>, zoneIds={684,684,684,684}, veteran=false</v>
      </c>
      <c r="BG179" s="21" t="str">
        <f t="shared" si="15"/>
        <v>, setType=LIBSETS_SETTYPE_OVERLAND</v>
      </c>
      <c r="BH179" s="21" t="str">
        <f t="shared" si="16"/>
        <v>, dropMechanic={LIBSETS_DROP_MECHANIC_OVERLAND_BOSS_DELVE,LIBSETS_DROP_MECHANIC_OVERLAND_WORLDBOSS,LIBSETS_DROP_MECHANIC_OVERLAND_BOSS_PUBLIC_DUNGEON,LIBSETS_DROP_MECHANIC_OVERLAND_CHEST}</v>
      </c>
      <c r="BI179" s="21" t="str">
        <f t="shared" si="17"/>
        <v>}, --Briarheart / Dornenherz   [Wrothgar, Wrothgar, Wrothgar, Wrothgar]</v>
      </c>
    </row>
    <row r="180" spans="1:61" x14ac:dyDescent="0.25">
      <c r="A180" s="12">
        <v>213</v>
      </c>
      <c r="B180" t="s">
        <v>1008</v>
      </c>
      <c r="C180" t="s">
        <v>1009</v>
      </c>
      <c r="D180" s="3">
        <f t="shared" si="12"/>
        <v>213</v>
      </c>
      <c r="G180" s="8" t="s">
        <v>1465</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1547</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1547</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5" t="s">
        <v>2645</v>
      </c>
      <c r="BA180" s="75"/>
      <c r="BB180" s="75"/>
      <c r="BC180" s="75"/>
      <c r="BD180" s="75"/>
      <c r="BE180" s="21" t="str">
        <f t="shared" si="13"/>
        <v>[213] = {wayshrines={249,249,249,}, dlcId=DLC_SUMMERSET</v>
      </c>
      <c r="BF180" s="21" t="str">
        <f t="shared" si="14"/>
        <v>, zoneIds={677,684,684}, veteran=false</v>
      </c>
      <c r="BG180" s="21" t="str">
        <f t="shared" si="15"/>
        <v>, setType=LIBSETS_SETTYPE_ARENA</v>
      </c>
      <c r="BH180" s="21" t="str">
        <f t="shared" si="16"/>
        <v>, dropMechanic={LIBSETS_DROP_MECHANIC_ARENA_STAGE_CHEST,LIBSETS_DROP_MECHANIC_ARENA_STAGE_CHEST}</v>
      </c>
      <c r="BI180" s="21" t="str">
        <f t="shared" si="17"/>
        <v>}, --Glorious Defender / Ruhmreicher Verteidiger   [Maelstrom Arena, Wrothgar, Wrothgar]</v>
      </c>
    </row>
    <row r="181" spans="1:61" x14ac:dyDescent="0.25">
      <c r="A181" s="12">
        <v>214</v>
      </c>
      <c r="B181" t="s">
        <v>1010</v>
      </c>
      <c r="C181" t="s">
        <v>1010</v>
      </c>
      <c r="D181" s="3">
        <f t="shared" si="12"/>
        <v>214</v>
      </c>
      <c r="G181" s="8" t="s">
        <v>1465</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1547</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5" t="s">
        <v>2645</v>
      </c>
      <c r="BA181" s="75"/>
      <c r="BB181" s="75"/>
      <c r="BC181" s="75"/>
      <c r="BD181" s="75"/>
      <c r="BE181" s="21" t="str">
        <f t="shared" si="13"/>
        <v>[214] = {wayshrines={249,249,249,}, dlcId=DLC_SUMMERSET</v>
      </c>
      <c r="BF181" s="21" t="str">
        <f t="shared" si="14"/>
        <v>, zoneIds={677,684,684}, veteran=false</v>
      </c>
      <c r="BG181" s="21" t="str">
        <f t="shared" si="15"/>
        <v>, setType=LIBSETS_SETTYPE_ARENA</v>
      </c>
      <c r="BH181" s="21" t="str">
        <f t="shared" si="16"/>
        <v>, dropMechanic={LIBSETS_DROP_MECHANIC_ARENA_STAGE_CHEST,LIBSETS_DROP_MECHANIC_ARENA_STAGE_CHEST}</v>
      </c>
      <c r="BI181" s="21" t="str">
        <f t="shared" si="17"/>
        <v>}, --Para Bellum / Para Bellum   [Maelstrom Arena, Wrothgar, Wrothgar]</v>
      </c>
    </row>
    <row r="182" spans="1:61" x14ac:dyDescent="0.25">
      <c r="A182" s="12">
        <v>215</v>
      </c>
      <c r="B182" t="s">
        <v>1011</v>
      </c>
      <c r="C182" t="s">
        <v>1012</v>
      </c>
      <c r="D182" s="3">
        <f t="shared" si="12"/>
        <v>215</v>
      </c>
      <c r="G182" s="8" t="s">
        <v>1465</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1547</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1547</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5" t="s">
        <v>2645</v>
      </c>
      <c r="BA182" s="75"/>
      <c r="BB182" s="75"/>
      <c r="BC182" s="75"/>
      <c r="BD182" s="75"/>
      <c r="BE182" s="21" t="str">
        <f t="shared" si="13"/>
        <v>[215] = {wayshrines={249,249,249,}, dlcId=DLC_SUMMERSET</v>
      </c>
      <c r="BF182" s="21" t="str">
        <f t="shared" si="14"/>
        <v>, zoneIds={677,684,684}, veteran=false</v>
      </c>
      <c r="BG182" s="21" t="str">
        <f t="shared" si="15"/>
        <v>, setType=LIBSETS_SETTYPE_ARENA</v>
      </c>
      <c r="BH182" s="21" t="str">
        <f t="shared" si="16"/>
        <v>, dropMechanic={LIBSETS_DROP_MECHANIC_ARENA_STAGE_CHEST,LIBSETS_DROP_MECHANIC_ARENA_STAGE_CHEST}</v>
      </c>
      <c r="BI182" s="21" t="str">
        <f t="shared" si="17"/>
        <v>}, --Elemental Succession / Elementarfolge   [Maelstrom Arena, Wrothgar, Wrothgar]</v>
      </c>
    </row>
    <row r="183" spans="1:61" x14ac:dyDescent="0.25">
      <c r="A183" s="12">
        <v>216</v>
      </c>
      <c r="B183" t="s">
        <v>1013</v>
      </c>
      <c r="C183" t="s">
        <v>1014</v>
      </c>
      <c r="D183" s="3">
        <f t="shared" si="12"/>
        <v>216</v>
      </c>
      <c r="G183" s="8" t="s">
        <v>1465</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1547</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1547</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5" t="s">
        <v>2645</v>
      </c>
      <c r="BA183" s="75"/>
      <c r="BB183" s="75"/>
      <c r="BC183" s="75"/>
      <c r="BD183" s="75"/>
      <c r="BE183" s="21" t="str">
        <f t="shared" si="13"/>
        <v>[216] = {wayshrines={249,249,249,}, dlcId=DLC_SUMMERSET</v>
      </c>
      <c r="BF183" s="21" t="str">
        <f t="shared" si="14"/>
        <v>, zoneIds={677,684,684}, veteran=false</v>
      </c>
      <c r="BG183" s="21" t="str">
        <f t="shared" si="15"/>
        <v>, setType=LIBSETS_SETTYPE_ARENA</v>
      </c>
      <c r="BH183" s="21" t="str">
        <f t="shared" si="16"/>
        <v>, dropMechanic={LIBSETS_DROP_MECHANIC_ARENA_STAGE_CHEST,LIBSETS_DROP_MECHANIC_ARENA_STAGE_CHEST}</v>
      </c>
      <c r="BI183" s="21" t="str">
        <f t="shared" si="17"/>
        <v>}, --Hunt Leader / Jagdleiter   [Maelstrom Arena, Wrothgar, Wrothgar]</v>
      </c>
    </row>
    <row r="184" spans="1:61" x14ac:dyDescent="0.25">
      <c r="A184" s="12">
        <v>217</v>
      </c>
      <c r="B184" t="s">
        <v>1015</v>
      </c>
      <c r="C184" t="s">
        <v>1016</v>
      </c>
      <c r="D184" s="3">
        <f t="shared" si="12"/>
        <v>217</v>
      </c>
      <c r="G184" s="8" t="s">
        <v>1465</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1547</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1547</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5" t="s">
        <v>2645</v>
      </c>
      <c r="BA184" s="75"/>
      <c r="BB184" s="75"/>
      <c r="BC184" s="75"/>
      <c r="BD184" s="75"/>
      <c r="BE184" s="21" t="str">
        <f t="shared" si="13"/>
        <v>[217] = {wayshrines={249,249,249,}, dlcId=DLC_SUMMERSET</v>
      </c>
      <c r="BF184" s="21" t="str">
        <f t="shared" si="14"/>
        <v>, zoneIds={677,684,684}, veteran=false</v>
      </c>
      <c r="BG184" s="21" t="str">
        <f t="shared" si="15"/>
        <v>, setType=LIBSETS_SETTYPE_ARENA</v>
      </c>
      <c r="BH184" s="21" t="str">
        <f t="shared" si="16"/>
        <v>, dropMechanic={LIBSETS_DROP_MECHANIC_ARENA_STAGE_CHEST,LIBSETS_DROP_MECHANIC_ARENA_STAGE_CHEST}</v>
      </c>
      <c r="BI184" s="21" t="str">
        <f t="shared" si="17"/>
        <v>}, --Winterborn / Winterkind   [Maelstrom Arena, Wrothgar, Wrothgar]</v>
      </c>
    </row>
    <row r="185" spans="1:61" x14ac:dyDescent="0.25">
      <c r="A185" s="12">
        <v>218</v>
      </c>
      <c r="B185" t="s">
        <v>1017</v>
      </c>
      <c r="C185" t="s">
        <v>2574</v>
      </c>
      <c r="D185" s="3">
        <f t="shared" si="12"/>
        <v>218</v>
      </c>
      <c r="G185" s="8" t="s">
        <v>1473</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1551</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1553</v>
      </c>
      <c r="AI185" s="41"/>
      <c r="AJ185" s="41"/>
      <c r="AK185" s="3">
        <f>IF(AND(G185&lt;&gt;"LIBSETS_SETTYPE_BATTLEGROUND",G185&lt;&gt;"LIBSETS_SETTYPE_SPECIAL"),IF(AL185&lt;&gt;"",VLOOKUP(AL185,'ESO zone constants'!$D$5:$H$4955,5,FALSE),""),"")</f>
        <v>684</v>
      </c>
      <c r="AL185" t="s">
        <v>449</v>
      </c>
      <c r="AM185" s="33" t="s">
        <v>1554</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5" t="s">
        <v>2645</v>
      </c>
      <c r="BA185" s="75"/>
      <c r="BB185" s="75"/>
      <c r="BC185" s="75"/>
      <c r="BD185" s="75"/>
      <c r="BE185" s="21" t="str">
        <f t="shared" si="13"/>
        <v>[218] = {wayshrines={244,244,244,}, dlcId=DLC_SUMMERSET</v>
      </c>
      <c r="BF185" s="21" t="str">
        <f t="shared" si="14"/>
        <v>, zoneIds={684,684,684,684}, veteran=false</v>
      </c>
      <c r="BG185" s="21" t="str">
        <f t="shared" si="15"/>
        <v>, setType=LIBSETS_SETTYPE_OVERLAND</v>
      </c>
      <c r="BH185" s="21" t="str">
        <f t="shared" si="16"/>
        <v>, dropMechanic={LIBSETS_DROP_MECHANIC_OVERLAND_BOSS_DELVE,LIBSETS_DROP_MECHANIC_OVERLAND_WORLDBOSS,LIBSETS_DROP_MECHANIC_OVERLAND_BOSS_PUBLIC_DUNGEON,LIBSETS_DROP_MECHANIC_OVERLAND_CHEST}</v>
      </c>
      <c r="BI185" s="21" t="str">
        <f t="shared" si="17"/>
        <v>}, --Trinimac\'s Valor / Trinimacs Heldenmut   [Wrothgar, Wrothgar, Wrothgar, Wrothgar]</v>
      </c>
    </row>
    <row r="186" spans="1:61" x14ac:dyDescent="0.25">
      <c r="A186" s="5">
        <v>219</v>
      </c>
      <c r="B186" t="s">
        <v>1018</v>
      </c>
      <c r="C186" t="s">
        <v>1018</v>
      </c>
      <c r="D186" s="3">
        <f t="shared" si="12"/>
        <v>219</v>
      </c>
      <c r="G186" s="8" t="s">
        <v>1467</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3276</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5" t="s">
        <v>2645</v>
      </c>
      <c r="BA186" s="75"/>
      <c r="BB186" s="75"/>
      <c r="BC186" s="75"/>
      <c r="BD186" s="75"/>
      <c r="BE186" s="21" t="str">
        <f t="shared" si="13"/>
        <v>[219] = {wayshrines={237,237,237,}, traitsNeeded=9, dlcId=DLC_SUMMERSET</v>
      </c>
      <c r="BF186" s="21" t="str">
        <f t="shared" si="14"/>
        <v>, zoneIds={684,684,684}, veteran=false</v>
      </c>
      <c r="BG186" s="21" t="str">
        <f t="shared" si="15"/>
        <v>, setType=LIBSETS_SETTYPE_CRAFTED</v>
      </c>
      <c r="BH186" s="21" t="str">
        <f t="shared" si="16"/>
        <v>, dropMechanic={LIBSETS_DROP_MECHANIC_CRAFTED,LIBSETS_DROP_MECHANIC_CRAFTED}</v>
      </c>
      <c r="BI186" s="21" t="str">
        <f t="shared" si="17"/>
        <v>}, --Morkuldin / Morkuldin   [Wrothgar, Wrothgar, Wrothgar]</v>
      </c>
    </row>
    <row r="187" spans="1:61" x14ac:dyDescent="0.25">
      <c r="A187" s="5">
        <v>224</v>
      </c>
      <c r="B187" t="s">
        <v>1019</v>
      </c>
      <c r="C187" t="s">
        <v>2575</v>
      </c>
      <c r="D187" s="3">
        <f t="shared" si="12"/>
        <v>224</v>
      </c>
      <c r="G187" s="8" t="s">
        <v>1467</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3276</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5" t="s">
        <v>2645</v>
      </c>
      <c r="BA187" s="75"/>
      <c r="BB187" s="75"/>
      <c r="BC187" s="75"/>
      <c r="BD187" s="75"/>
      <c r="BE187" s="21" t="str">
        <f t="shared" si="13"/>
        <v>[224] = {wayshrines={257,257,257,}, traitsNeeded=5, dlcId=DLC_GREYMOOR</v>
      </c>
      <c r="BF187" s="21" t="str">
        <f t="shared" si="14"/>
        <v>, zoneIds={816,816,816}, veteran=false</v>
      </c>
      <c r="BG187" s="21" t="str">
        <f t="shared" si="15"/>
        <v>, setType=LIBSETS_SETTYPE_CRAFTED</v>
      </c>
      <c r="BH187" s="21" t="str">
        <f t="shared" si="16"/>
        <v>, dropMechanic={LIBSETS_DROP_MECHANIC_CRAFTED,LIBSETS_DROP_MECHANIC_CRAFTED}</v>
      </c>
      <c r="BI187" s="21" t="str">
        <f t="shared" si="17"/>
        <v>}, --Tava\'s Favor / Tavas Gunst   [Hew's Bane, Hew's Bane, Hew's Bane]</v>
      </c>
    </row>
    <row r="188" spans="1:61" x14ac:dyDescent="0.25">
      <c r="A188" s="5">
        <v>225</v>
      </c>
      <c r="B188" t="s">
        <v>1020</v>
      </c>
      <c r="C188" t="s">
        <v>1021</v>
      </c>
      <c r="D188" s="3">
        <f t="shared" si="12"/>
        <v>225</v>
      </c>
      <c r="E188" s="40"/>
      <c r="G188" s="8" t="s">
        <v>1467</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3276</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3276</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5" t="s">
        <v>2645</v>
      </c>
      <c r="BA188" s="75"/>
      <c r="BB188" s="75"/>
      <c r="BC188" s="75"/>
      <c r="BD188" s="75"/>
      <c r="BE188" s="21" t="str">
        <f t="shared" si="13"/>
        <v>[225] = {wayshrines={257,257,257,}, traitsNeeded=7, dlcId=DLC_GREYMOOR</v>
      </c>
      <c r="BF188" s="21" t="str">
        <f t="shared" si="14"/>
        <v>, zoneIds={816,816,816}, veteran=false</v>
      </c>
      <c r="BG188" s="21" t="str">
        <f t="shared" si="15"/>
        <v>, setType=LIBSETS_SETTYPE_CRAFTED</v>
      </c>
      <c r="BH188" s="21" t="str">
        <f t="shared" si="16"/>
        <v>, dropMechanic={LIBSETS_DROP_MECHANIC_CRAFTED,LIBSETS_DROP_MECHANIC_CRAFTED}</v>
      </c>
      <c r="BI188" s="21" t="str">
        <f t="shared" si="17"/>
        <v>}, --Clever Alchemist / Schlauer Alchemist   [Hew's Bane, Hew's Bane, Hew's Bane]</v>
      </c>
    </row>
    <row r="189" spans="1:61" x14ac:dyDescent="0.25">
      <c r="A189" s="5">
        <v>226</v>
      </c>
      <c r="B189" t="s">
        <v>1022</v>
      </c>
      <c r="C189" t="s">
        <v>1023</v>
      </c>
      <c r="D189" s="3">
        <f t="shared" si="12"/>
        <v>226</v>
      </c>
      <c r="G189" s="8" t="s">
        <v>1467</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3276</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3276</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5" t="s">
        <v>2645</v>
      </c>
      <c r="BA189" s="75"/>
      <c r="BB189" s="75"/>
      <c r="BC189" s="75"/>
      <c r="BD189" s="75"/>
      <c r="BE189" s="21" t="str">
        <f t="shared" si="13"/>
        <v>[226] = {wayshrines={255,255,255,}, traitsNeeded=9, dlcId=DLC_GREYMOOR</v>
      </c>
      <c r="BF189" s="21" t="str">
        <f t="shared" si="14"/>
        <v>, zoneIds={816,816,816}, veteran=false</v>
      </c>
      <c r="BG189" s="21" t="str">
        <f t="shared" si="15"/>
        <v>, setType=LIBSETS_SETTYPE_CRAFTED</v>
      </c>
      <c r="BH189" s="21" t="str">
        <f t="shared" si="16"/>
        <v>, dropMechanic={LIBSETS_DROP_MECHANIC_CRAFTED,LIBSETS_DROP_MECHANIC_CRAFTED}</v>
      </c>
      <c r="BI189" s="21" t="str">
        <f t="shared" si="17"/>
        <v>}, --Eternal Hunt / Ewige Jagd   [Hew's Bane, Hew's Bane, Hew's Bane]</v>
      </c>
    </row>
    <row r="190" spans="1:61" x14ac:dyDescent="0.25">
      <c r="A190" s="12">
        <v>227</v>
      </c>
      <c r="B190" t="s">
        <v>1024</v>
      </c>
      <c r="C190" t="s">
        <v>2576</v>
      </c>
      <c r="D190" s="3">
        <f t="shared" si="12"/>
        <v>227</v>
      </c>
      <c r="G190" s="8" t="s">
        <v>1473</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1551</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1554</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5" t="s">
        <v>2646</v>
      </c>
      <c r="BA190" s="75"/>
      <c r="BB190" s="75"/>
      <c r="BC190" s="75"/>
      <c r="BD190" s="75"/>
      <c r="BE190" s="21" t="str">
        <f t="shared" si="13"/>
        <v>[227] = {wayshrines={255,255,255,}, dlcId=DLC_GREYMOOR</v>
      </c>
      <c r="BF190" s="21" t="str">
        <f t="shared" si="14"/>
        <v>, zoneIds={816,816,816}, veteran=false</v>
      </c>
      <c r="BG190" s="21" t="str">
        <f t="shared" si="15"/>
        <v>, setType=LIBSETS_SETTYPE_OVERLAND</v>
      </c>
      <c r="BH190" s="21" t="str">
        <f t="shared" si="16"/>
        <v>, isProcSetAllowedInPvP=1, dropMechanic={LIBSETS_DROP_MECHANIC_OVERLAND_BOSS_DELVE,LIBSETS_DROP_MECHANIC_OVERLAND_WORLDBOSS,LIBSETS_DROP_MECHANIC_OVERLAND_CHEST}</v>
      </c>
      <c r="BI190" s="21" t="str">
        <f t="shared" si="17"/>
        <v>}, --Bahraha\'s Curse / Bahrahas Fluch   [Hew's Bane, Hew's Bane, Hew's Bane]</v>
      </c>
    </row>
    <row r="191" spans="1:61" x14ac:dyDescent="0.25">
      <c r="A191" s="12">
        <v>228</v>
      </c>
      <c r="B191" t="s">
        <v>1025</v>
      </c>
      <c r="C191" t="s">
        <v>2577</v>
      </c>
      <c r="D191" s="3">
        <f t="shared" si="12"/>
        <v>228</v>
      </c>
      <c r="G191" s="8" t="s">
        <v>1473</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1551</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1554</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5" t="s">
        <v>2646</v>
      </c>
      <c r="BA191" s="75"/>
      <c r="BB191" s="75"/>
      <c r="BC191" s="75"/>
      <c r="BD191" s="75"/>
      <c r="BE191" s="21" t="str">
        <f t="shared" si="13"/>
        <v>[228] = {wayshrines={255,255,255,}, dlcId=DLC_GREYMOOR</v>
      </c>
      <c r="BF191" s="21" t="str">
        <f t="shared" si="14"/>
        <v>, zoneIds={816,816,816}, veteran=false</v>
      </c>
      <c r="BG191" s="21" t="str">
        <f t="shared" si="15"/>
        <v>, setType=LIBSETS_SETTYPE_OVERLAND</v>
      </c>
      <c r="BH191" s="21" t="str">
        <f t="shared" si="16"/>
        <v>, isProcSetAllowedInPvP=1, dropMechanic={LIBSETS_DROP_MECHANIC_OVERLAND_BOSS_DELVE,LIBSETS_DROP_MECHANIC_OVERLAND_WORLDBOSS,LIBSETS_DROP_MECHANIC_OVERLAND_CHEST}</v>
      </c>
      <c r="BI191" s="21" t="str">
        <f t="shared" si="17"/>
        <v>}, --Syvarra\'s Scales / Syvarras Schuppen   [Hew's Bane, Hew's Bane, Hew's Bane]</v>
      </c>
    </row>
    <row r="192" spans="1:61" x14ac:dyDescent="0.25">
      <c r="A192" s="12">
        <v>229</v>
      </c>
      <c r="B192" t="s">
        <v>1026</v>
      </c>
      <c r="C192" t="s">
        <v>1027</v>
      </c>
      <c r="D192" s="3">
        <f t="shared" si="12"/>
        <v>229</v>
      </c>
      <c r="G192" s="8" t="s">
        <v>1474</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3254</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5" t="s">
        <v>2645</v>
      </c>
      <c r="BA192" s="75"/>
      <c r="BB192" s="75"/>
      <c r="BC192" s="75"/>
      <c r="BD192" s="75"/>
      <c r="BE192" s="21" t="str">
        <f t="shared" si="13"/>
        <v>[229] = {wayshrines={258,258,258,}, dlcId=DLC_THIEVES_GUILD</v>
      </c>
      <c r="BF192" s="21" t="str">
        <f t="shared" si="14"/>
        <v>, zoneIds={725,725,725}, veteran=false</v>
      </c>
      <c r="BG192" s="21" t="str">
        <f t="shared" si="15"/>
        <v>, setType=LIBSETS_SETTYPE_TRIAL</v>
      </c>
      <c r="BH192" s="21" t="str">
        <f t="shared" si="16"/>
        <v>, dropMechanic={LIBSETS_DROP_MECHANIC_TRIAL_BOSS,LIBSETS_DROP_MECHANIC_TRIAL_BOSS,LIBSETS_DROP_MECHANIC_TRIAL_BOSS}</v>
      </c>
      <c r="BI192" s="21" t="str">
        <f t="shared" si="17"/>
        <v>}, --Twilight Remedy / Zwielichtgenesung   [Maw of Lorkhaj, Maw of Lorkhaj, Maw of Lorkhaj]</v>
      </c>
    </row>
    <row r="193" spans="1:61" x14ac:dyDescent="0.25">
      <c r="A193" s="12">
        <v>230</v>
      </c>
      <c r="B193" t="s">
        <v>1028</v>
      </c>
      <c r="C193" t="s">
        <v>1029</v>
      </c>
      <c r="D193" s="3">
        <f t="shared" si="12"/>
        <v>230</v>
      </c>
      <c r="G193" s="8" t="s">
        <v>1474</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3254</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5" t="s">
        <v>2645</v>
      </c>
      <c r="BA193" s="75"/>
      <c r="BB193" s="75"/>
      <c r="BC193" s="75"/>
      <c r="BD193" s="75"/>
      <c r="BE193" s="21" t="str">
        <f t="shared" si="13"/>
        <v>[230] = {wayshrines={258,258,258,}, dlcId=DLC_THIEVES_GUILD</v>
      </c>
      <c r="BF193" s="21" t="str">
        <f t="shared" si="14"/>
        <v>, zoneIds={725,725,725}, veteran=false</v>
      </c>
      <c r="BG193" s="21" t="str">
        <f t="shared" si="15"/>
        <v>, setType=LIBSETS_SETTYPE_TRIAL</v>
      </c>
      <c r="BH193" s="21" t="str">
        <f t="shared" si="16"/>
        <v>, dropMechanic={LIBSETS_DROP_MECHANIC_TRIAL_BOSS,LIBSETS_DROP_MECHANIC_TRIAL_BOSS,LIBSETS_DROP_MECHANIC_TRIAL_BOSS}</v>
      </c>
      <c r="BI193" s="21" t="str">
        <f t="shared" si="17"/>
        <v>}, --Moondancer / Mondtänzer   [Maw of Lorkhaj, Maw of Lorkhaj, Maw of Lorkhaj]</v>
      </c>
    </row>
    <row r="194" spans="1:61" x14ac:dyDescent="0.25">
      <c r="A194" s="12">
        <v>231</v>
      </c>
      <c r="B194" t="s">
        <v>1030</v>
      </c>
      <c r="C194" t="s">
        <v>1031</v>
      </c>
      <c r="D194" s="3">
        <f t="shared" si="12"/>
        <v>231</v>
      </c>
      <c r="G194" s="8" t="s">
        <v>1474</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3254</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5" t="s">
        <v>2645</v>
      </c>
      <c r="BA194" s="75"/>
      <c r="BB194" s="75"/>
      <c r="BC194" s="75"/>
      <c r="BD194" s="75"/>
      <c r="BE194" s="21" t="str">
        <f t="shared" si="13"/>
        <v>[231] = {wayshrines={258,258,258,}, dlcId=DLC_THIEVES_GUILD</v>
      </c>
      <c r="BF194" s="21" t="str">
        <f t="shared" si="14"/>
        <v>, zoneIds={725,725,725}, veteran=false</v>
      </c>
      <c r="BG194" s="21" t="str">
        <f t="shared" si="15"/>
        <v>, setType=LIBSETS_SETTYPE_TRIAL</v>
      </c>
      <c r="BH194" s="21" t="str">
        <f t="shared" si="16"/>
        <v>, dropMechanic={LIBSETS_DROP_MECHANIC_TRIAL_BOSS,LIBSETS_DROP_MECHANIC_TRIAL_BOSS,LIBSETS_DROP_MECHANIC_TRIAL_BOSS}</v>
      </c>
      <c r="BI194" s="21" t="str">
        <f t="shared" si="17"/>
        <v>}, --Lunar Bastion / Mondbastion   [Maw of Lorkhaj, Maw of Lorkhaj, Maw of Lorkhaj]</v>
      </c>
    </row>
    <row r="195" spans="1:61" x14ac:dyDescent="0.25">
      <c r="A195" s="12">
        <v>232</v>
      </c>
      <c r="B195" t="s">
        <v>1032</v>
      </c>
      <c r="C195" t="s">
        <v>1033</v>
      </c>
      <c r="D195" s="3">
        <f t="shared" ref="D195:D258" si="18">A195</f>
        <v>232</v>
      </c>
      <c r="G195" s="8" t="s">
        <v>1474</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3254</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5" t="s">
        <v>2645</v>
      </c>
      <c r="BA195" s="75"/>
      <c r="BB195" s="75"/>
      <c r="BC195" s="75"/>
      <c r="BD195" s="75"/>
      <c r="BE195" s="21"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1"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 CONCATENATE(", veteran=", I195), ""),""),"")</f>
        <v>, zoneIds={725,725,725}, veteran=false</v>
      </c>
      <c r="BG195" s="21" t="str">
        <f t="shared" ref="BG195:BG258" si="21">IF(A195&lt;&gt;"",IF(F195&lt;&gt;"Not in the game (anymore)",IF(A195&lt;&gt;"",", setType="&amp;G195,"")&amp;IF(G195="LIBSETS_SETTYPE_CLASS",", classId="&amp;BC195,"")&amp;IF(J195="true",", multiTrialSet=true",""),"")
&amp; IF(AND(H195&lt;&gt;"",ISNUMBER(H195)),", undauntedChestId=" &amp; H195,""),"")</f>
        <v>, setType=LIBSETS_SETTYPE_TRIAL</v>
      </c>
      <c r="BH195" s="21" t="str">
        <f t="shared" ref="BH195:BH258" si="22">IF(A195&lt;&gt;"",IF(F195&lt;&gt;"Not in the game (anymore)",IF(AZ195&lt;&gt;"",", isProcSetAllowedInPvP="&amp; AZ195,"")
&amp; IF(F195&lt;&gt;"Not in the game (anymore)",
  IF(V195&lt;&gt;"",", dropMechanic={"&amp;V195&amp;IF(AB195&lt;&gt;"",","&amp;AB195,"")&amp;IF(AH195&lt;&gt;"",","&amp;AH195,"")&amp;IF(AM195&lt;&gt;"",","&amp;AM195,"")&amp;IF(AR195&lt;&gt;"",","&amp;AR195,"")&amp;IF(AW195&lt;&gt;"",","&amp;AW195,"")&amp;"}"
     &amp;IF(OR(W195&lt;&gt;"",AC195&lt;&gt;"",AI195&lt;&gt;"",AN195&lt;&gt;"",AS195&lt;&gt;"",AX195&lt;&gt;"",X195&lt;&gt;"",AD195&lt;&gt;"",AJ195&lt;&gt;"",AO195&lt;&gt;"",AT195&lt;&gt;"",AY195&lt;&gt;""),", dropMechanicDropLocationNames={"
        &amp; IF(OR(W195&lt;&gt;"",AC195&lt;&gt;"",AI195&lt;&gt;"",AN195&lt;&gt;"",AS195&lt;&gt;"",AX195&lt;&gt;""),"['en']={"&amp;IF(W195&lt;&gt;"","'"&amp;W195&amp;"',","'',")&amp;IF(AC195&lt;&gt;"","'"&amp;AC195&amp;"',","'',")&amp;IF(AI195&lt;&gt;"","'"&amp;AI195&amp;"',","'',")&amp;IF(AN195&lt;&gt;"","'"&amp;AN195&amp;"',","'',")&amp;IF(AS195&lt;&gt;"","'"&amp;AS195&amp;"',","'',")&amp;IF(AX195&lt;&gt;"","'"&amp;AX195&amp;"',","'',")&amp;"},","")
        &amp; IF(OR(X195&lt;&gt;"",AD195&lt;&gt;"",AJ195&lt;&gt;"",AO195&lt;&gt;"",AT195&lt;&gt;"",AY195&lt;&gt;""),"['de']={"&amp;IF(X195&lt;&gt;"","'"&amp;X195&amp;"',","'',")&amp;IF(AD195&lt;&gt;"","'"&amp;AD195&amp;"',","'',")&amp;IF(AJ195&lt;&gt;"","'"&amp;AJ195&amp;"',","'',")&amp;IF(AO195&lt;&gt;"","'"&amp;AO195&amp;"',","'',")&amp;IF(AT195&lt;&gt;"","'"&amp;AT195&amp;"',","'',")&amp;IF(AY195&lt;&gt;"","'"&amp;AY195&amp;"',","'',")&amp;"},","")
     &amp; "}",""),"")),""),"")
&amp; IF(AND(BD195&lt;&gt;"",BD195&lt;&gt;"X"), ", perfectedSetId=" &amp; BD195, IF(BD195&lt;&gt;"",", isPerfectedSet=1",""))</f>
        <v>, dropMechanic={LIBSETS_DROP_MECHANIC_TRIAL_BOSS,LIBSETS_DROP_MECHANIC_TRIAL_BOSS,LIBSETS_DROP_MECHANIC_TRIAL_BOSS}</v>
      </c>
      <c r="BI195" s="21" t="str">
        <f t="shared" ref="BI195:BI258" si="23">IF(A195&lt;&gt;"",IF(F195&lt;&gt;"Not in the game (anymore)",
IF(OR(BA195&lt;&gt;"",BB195&lt;&gt;""),", addTooltip={" &amp; IF(BA195&lt;&gt;"","['en']='"&amp; BA195 &amp; "',","")  &amp; IF(AND(BA195&lt;&gt;"",BA195&lt;&gt;BB195), IF(BB195&lt;&gt;"","['de']='"&amp; BB195 &amp; "',",""),"") &amp; "},","")
&amp; "},"
&amp; 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1034</v>
      </c>
      <c r="C196" t="s">
        <v>2578</v>
      </c>
      <c r="D196" s="3">
        <f t="shared" si="18"/>
        <v>234</v>
      </c>
      <c r="G196" s="8" t="s">
        <v>1468</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5" t="s">
        <v>2756</v>
      </c>
      <c r="AK196" s="3">
        <f>IF(AND(G196&lt;&gt;"LIBSETS_SETTYPE_BATTLEGROUND",G196&lt;&gt;"LIBSETS_SETTYPE_SPECIAL"),IF(AL196&lt;&gt;"",VLOOKUP(AL196,'ESO zone constants'!$D$5:$H$4955,5,FALSE),""),"")</f>
        <v>181</v>
      </c>
      <c r="AL196" t="s">
        <v>125</v>
      </c>
      <c r="AM196" s="33" t="s">
        <v>3721</v>
      </c>
      <c r="AP196" s="3">
        <f>IF(AND(G196&lt;&gt;"LIBSETS_SETTYPE_BATTLEGROUND",G196&lt;&gt;"LIBSETS_SETTYPE_SPECIAL"),IF(AQ196&lt;&gt;"",VLOOKUP(AQ196,'ESO zone constants'!$D$5:$H$4955,5,FALSE),""),"")</f>
        <v>181</v>
      </c>
      <c r="AQ196" t="s">
        <v>125</v>
      </c>
      <c r="AR196" s="33" t="s">
        <v>1551</v>
      </c>
      <c r="AU196" s="3">
        <f>IF(AND(G196&lt;&gt;"LIBSETS_SETTYPE_BATTLEGROUND",G196&lt;&gt;"LIBSETS_SETTYPE_SPECIAL"),IF(AV196&lt;&gt;"",VLOOKUP(AV196,'ESO zone constants'!$D$5:$H$4955,5,FALSE),""),"")</f>
        <v>181</v>
      </c>
      <c r="AV196" t="s">
        <v>125</v>
      </c>
      <c r="AW196" s="33" t="s">
        <v>3225</v>
      </c>
      <c r="AZ196" s="75" t="s">
        <v>2646</v>
      </c>
      <c r="BA196" s="75"/>
      <c r="BB196" s="75"/>
      <c r="BC196" s="75"/>
      <c r="BD196" s="75"/>
      <c r="BE196" s="21" t="str">
        <f t="shared" si="19"/>
        <v>[234] = {wayshrines={-1,-1,-1,}, dlcId=DLC_BASE_GAME</v>
      </c>
      <c r="BF196" s="21" t="str">
        <f t="shared" si="20"/>
        <v>, zoneIds={181,181,181,181,181,181}, veteran=false</v>
      </c>
      <c r="BG196" s="21" t="str">
        <f t="shared" si="21"/>
        <v>, setType=LIBSETS_SETTYPE_CYRODIIL</v>
      </c>
      <c r="BH196"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si="23"/>
        <v>}, --Marksman\'s Crest / Wappen des Meisterschützen   [Cyrodiil, Cyrodiil, Cyrodiil, Cyrodiil, Cyrodiil, Cyrodiil]</v>
      </c>
    </row>
    <row r="197" spans="1:61" x14ac:dyDescent="0.25">
      <c r="A197" s="12">
        <v>235</v>
      </c>
      <c r="B197" t="s">
        <v>1035</v>
      </c>
      <c r="C197" t="s">
        <v>1036</v>
      </c>
      <c r="D197" s="3">
        <f t="shared" si="18"/>
        <v>235</v>
      </c>
      <c r="G197" s="8" t="s">
        <v>1468</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5" t="s">
        <v>2756</v>
      </c>
      <c r="AK197" s="3">
        <f>IF(AND(G197&lt;&gt;"LIBSETS_SETTYPE_BATTLEGROUND",G197&lt;&gt;"LIBSETS_SETTYPE_SPECIAL"),IF(AL197&lt;&gt;"",VLOOKUP(AL197,'ESO zone constants'!$D$5:$H$4955,5,FALSE),""),"")</f>
        <v>181</v>
      </c>
      <c r="AL197" t="s">
        <v>125</v>
      </c>
      <c r="AM197" s="33" t="s">
        <v>3721</v>
      </c>
      <c r="AP197" s="3">
        <f>IF(AND(G197&lt;&gt;"LIBSETS_SETTYPE_BATTLEGROUND",G197&lt;&gt;"LIBSETS_SETTYPE_SPECIAL"),IF(AQ197&lt;&gt;"",VLOOKUP(AQ197,'ESO zone constants'!$D$5:$H$4955,5,FALSE),""),"")</f>
        <v>181</v>
      </c>
      <c r="AQ197" t="s">
        <v>125</v>
      </c>
      <c r="AR197" s="33" t="s">
        <v>1551</v>
      </c>
      <c r="AU197" s="3">
        <f>IF(AND(G197&lt;&gt;"LIBSETS_SETTYPE_BATTLEGROUND",G197&lt;&gt;"LIBSETS_SETTYPE_SPECIAL"),IF(AV197&lt;&gt;"",VLOOKUP(AV197,'ESO zone constants'!$D$5:$H$4955,5,FALSE),""),"")</f>
        <v>181</v>
      </c>
      <c r="AV197" t="s">
        <v>125</v>
      </c>
      <c r="AW197" s="33" t="s">
        <v>3225</v>
      </c>
      <c r="AZ197" s="75" t="s">
        <v>2645</v>
      </c>
      <c r="BA197" s="75"/>
      <c r="BB197" s="75"/>
      <c r="BC197" s="75"/>
      <c r="BD197" s="75"/>
      <c r="BE197" s="21" t="str">
        <f t="shared" si="19"/>
        <v>[235] = {wayshrines={-1,-1,-1,}, dlcId=DLC_BASE_GAME</v>
      </c>
      <c r="BF197" s="21" t="str">
        <f t="shared" si="20"/>
        <v>, zoneIds={181,181,181,181,181,181}, veteran=false</v>
      </c>
      <c r="BG197" s="21" t="str">
        <f t="shared" si="21"/>
        <v>, setType=LIBSETS_SETTYPE_CYRODIIL</v>
      </c>
      <c r="BH197"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3"/>
        <v>}, --Robes of Transmutation / Roben der Transmutation   [Cyrodiil, Cyrodiil, Cyrodiil, Cyrodiil, Cyrodiil, Cyrodiil]</v>
      </c>
    </row>
    <row r="198" spans="1:61" x14ac:dyDescent="0.25">
      <c r="A198" s="12">
        <v>236</v>
      </c>
      <c r="B198" t="s">
        <v>1037</v>
      </c>
      <c r="C198" t="s">
        <v>1038</v>
      </c>
      <c r="D198" s="3">
        <f t="shared" si="18"/>
        <v>236</v>
      </c>
      <c r="G198" s="8" t="s">
        <v>1468</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2756</v>
      </c>
      <c r="AK198" s="3">
        <f>IF(AND(G198&lt;&gt;"LIBSETS_SETTYPE_BATTLEGROUND",G198&lt;&gt;"LIBSETS_SETTYPE_SPECIAL"),IF(AL198&lt;&gt;"",VLOOKUP(AL198,'ESO zone constants'!$D$5:$H$4955,5,FALSE),""),"")</f>
        <v>181</v>
      </c>
      <c r="AL198" t="s">
        <v>125</v>
      </c>
      <c r="AM198" s="33" t="s">
        <v>3721</v>
      </c>
      <c r="AP198" s="3">
        <f>IF(AND(G198&lt;&gt;"LIBSETS_SETTYPE_BATTLEGROUND",G198&lt;&gt;"LIBSETS_SETTYPE_SPECIAL"),IF(AQ198&lt;&gt;"",VLOOKUP(AQ198,'ESO zone constants'!$D$5:$H$4955,5,FALSE),""),"")</f>
        <v>181</v>
      </c>
      <c r="AQ198" t="s">
        <v>125</v>
      </c>
      <c r="AR198" s="33" t="s">
        <v>1551</v>
      </c>
      <c r="AU198" s="3">
        <f>IF(AND(G198&lt;&gt;"LIBSETS_SETTYPE_BATTLEGROUND",G198&lt;&gt;"LIBSETS_SETTYPE_SPECIAL"),IF(AV198&lt;&gt;"",VLOOKUP(AV198,'ESO zone constants'!$D$5:$H$4955,5,FALSE),""),"")</f>
        <v>181</v>
      </c>
      <c r="AV198" t="s">
        <v>125</v>
      </c>
      <c r="AW198" s="33" t="s">
        <v>3225</v>
      </c>
      <c r="AZ198" s="75" t="s">
        <v>2645</v>
      </c>
      <c r="BA198" s="75"/>
      <c r="BB198" s="75"/>
      <c r="BC198" s="75"/>
      <c r="BD198" s="75"/>
      <c r="BE198" s="21" t="str">
        <f t="shared" si="19"/>
        <v>[236] = {wayshrines={-1,-1,-1,}, dlcId=DLC_BASE_GAME</v>
      </c>
      <c r="BF198" s="21" t="str">
        <f t="shared" si="20"/>
        <v>, zoneIds={181,181,181,181,181,181}, veteran=false</v>
      </c>
      <c r="BG198" s="21" t="str">
        <f t="shared" si="21"/>
        <v>, setType=LIBSETS_SETTYPE_CYRODIIL</v>
      </c>
      <c r="BH198" s="21"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3"/>
        <v>}, --Vicious Death / Grausamer Tod   [Cyrodiil, Cyrodiil, Cyrodiil, Cyrodiil, Cyrodiil, Cyrodiil]</v>
      </c>
    </row>
    <row r="199" spans="1:61" x14ac:dyDescent="0.25">
      <c r="A199" s="12">
        <v>237</v>
      </c>
      <c r="B199" t="s">
        <v>1039</v>
      </c>
      <c r="C199" t="s">
        <v>2579</v>
      </c>
      <c r="D199" s="3">
        <f t="shared" si="18"/>
        <v>237</v>
      </c>
      <c r="G199" s="8" t="s">
        <v>1468</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5" t="s">
        <v>2756</v>
      </c>
      <c r="AK199" s="3">
        <f>IF(AND(G199&lt;&gt;"LIBSETS_SETTYPE_BATTLEGROUND",G199&lt;&gt;"LIBSETS_SETTYPE_SPECIAL"),IF(AL199&lt;&gt;"",VLOOKUP(AL199,'ESO zone constants'!$D$5:$H$4955,5,FALSE),""),"")</f>
        <v>181</v>
      </c>
      <c r="AL199" t="s">
        <v>125</v>
      </c>
      <c r="AM199" s="33" t="s">
        <v>3721</v>
      </c>
      <c r="AP199" s="3">
        <f>IF(AND(G199&lt;&gt;"LIBSETS_SETTYPE_BATTLEGROUND",G199&lt;&gt;"LIBSETS_SETTYPE_SPECIAL"),IF(AQ199&lt;&gt;"",VLOOKUP(AQ199,'ESO zone constants'!$D$5:$H$4955,5,FALSE),""),"")</f>
        <v>181</v>
      </c>
      <c r="AQ199" t="s">
        <v>125</v>
      </c>
      <c r="AR199" s="33" t="s">
        <v>1551</v>
      </c>
      <c r="AU199" s="3">
        <f>IF(AND(G199&lt;&gt;"LIBSETS_SETTYPE_BATTLEGROUND",G199&lt;&gt;"LIBSETS_SETTYPE_SPECIAL"),IF(AV199&lt;&gt;"",VLOOKUP(AV199,'ESO zone constants'!$D$5:$H$4955,5,FALSE),""),"")</f>
        <v>181</v>
      </c>
      <c r="AV199" t="s">
        <v>125</v>
      </c>
      <c r="AW199" s="33" t="s">
        <v>3225</v>
      </c>
      <c r="AZ199" s="75" t="s">
        <v>2646</v>
      </c>
      <c r="BA199" s="75"/>
      <c r="BB199" s="75"/>
      <c r="BC199" s="75"/>
      <c r="BD199" s="75"/>
      <c r="BE199" s="21" t="str">
        <f t="shared" si="19"/>
        <v>[237] = {wayshrines={-1,-1,-1,}, dlcId=DLC_BASE_GAME</v>
      </c>
      <c r="BF199" s="21" t="str">
        <f t="shared" si="20"/>
        <v>, zoneIds={181,181,181,181,181,181}, veteran=false</v>
      </c>
      <c r="BG199" s="21" t="str">
        <f t="shared" si="21"/>
        <v>, setType=LIBSETS_SETTYPE_CYRODIIL</v>
      </c>
      <c r="BH199"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3"/>
        <v>}, --Leki\'s Focus / Lekis Fokus   [Cyrodiil, Cyrodiil, Cyrodiil, Cyrodiil, Cyrodiil, Cyrodiil]</v>
      </c>
    </row>
    <row r="200" spans="1:61" x14ac:dyDescent="0.25">
      <c r="A200" s="12">
        <v>238</v>
      </c>
      <c r="B200" t="s">
        <v>1040</v>
      </c>
      <c r="C200" t="s">
        <v>2580</v>
      </c>
      <c r="D200" s="3">
        <f t="shared" si="18"/>
        <v>238</v>
      </c>
      <c r="G200" s="8" t="s">
        <v>1468</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5" t="s">
        <v>2756</v>
      </c>
      <c r="AK200" s="3">
        <f>IF(AND(G200&lt;&gt;"LIBSETS_SETTYPE_BATTLEGROUND",G200&lt;&gt;"LIBSETS_SETTYPE_SPECIAL"),IF(AL200&lt;&gt;"",VLOOKUP(AL200,'ESO zone constants'!$D$5:$H$4955,5,FALSE),""),"")</f>
        <v>181</v>
      </c>
      <c r="AL200" t="s">
        <v>125</v>
      </c>
      <c r="AM200" s="33" t="s">
        <v>3721</v>
      </c>
      <c r="AP200" s="3">
        <f>IF(AND(G200&lt;&gt;"LIBSETS_SETTYPE_BATTLEGROUND",G200&lt;&gt;"LIBSETS_SETTYPE_SPECIAL"),IF(AQ200&lt;&gt;"",VLOOKUP(AQ200,'ESO zone constants'!$D$5:$H$4955,5,FALSE),""),"")</f>
        <v>181</v>
      </c>
      <c r="AQ200" t="s">
        <v>125</v>
      </c>
      <c r="AR200" s="33" t="s">
        <v>1551</v>
      </c>
      <c r="AU200" s="3">
        <f>IF(AND(G200&lt;&gt;"LIBSETS_SETTYPE_BATTLEGROUND",G200&lt;&gt;"LIBSETS_SETTYPE_SPECIAL"),IF(AV200&lt;&gt;"",VLOOKUP(AV200,'ESO zone constants'!$D$5:$H$4955,5,FALSE),""),"")</f>
        <v>181</v>
      </c>
      <c r="AV200" t="s">
        <v>125</v>
      </c>
      <c r="AW200" s="33" t="s">
        <v>3225</v>
      </c>
      <c r="AZ200" s="75" t="s">
        <v>2645</v>
      </c>
      <c r="BA200" s="75"/>
      <c r="BB200" s="75"/>
      <c r="BC200" s="75"/>
      <c r="BD200" s="75"/>
      <c r="BE200" s="21" t="str">
        <f t="shared" si="19"/>
        <v>[238] = {wayshrines={-1,-1,-1,}, dlcId=DLC_BASE_GAME</v>
      </c>
      <c r="BF200" s="21" t="str">
        <f t="shared" si="20"/>
        <v>, zoneIds={181,181,181,181,181,181}, veteran=false</v>
      </c>
      <c r="BG200" s="21" t="str">
        <f t="shared" si="21"/>
        <v>, setType=LIBSETS_SETTYPE_CYRODIIL</v>
      </c>
      <c r="BH200"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3"/>
        <v>}, --Fasalla\'s Guile / Fasallas List   [Cyrodiil, Cyrodiil, Cyrodiil, Cyrodiil, Cyrodiil, Cyrodiil]</v>
      </c>
    </row>
    <row r="201" spans="1:61" x14ac:dyDescent="0.25">
      <c r="A201" s="12">
        <v>239</v>
      </c>
      <c r="B201" t="s">
        <v>1041</v>
      </c>
      <c r="C201" t="s">
        <v>2581</v>
      </c>
      <c r="D201" s="3">
        <f t="shared" si="18"/>
        <v>239</v>
      </c>
      <c r="G201" s="8" t="s">
        <v>1468</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5" t="s">
        <v>2756</v>
      </c>
      <c r="AK201" s="3">
        <f>IF(AND(G201&lt;&gt;"LIBSETS_SETTYPE_BATTLEGROUND",G201&lt;&gt;"LIBSETS_SETTYPE_SPECIAL"),IF(AL201&lt;&gt;"",VLOOKUP(AL201,'ESO zone constants'!$D$5:$H$4955,5,FALSE),""),"")</f>
        <v>181</v>
      </c>
      <c r="AL201" t="s">
        <v>125</v>
      </c>
      <c r="AM201" s="33" t="s">
        <v>3721</v>
      </c>
      <c r="AP201" s="3">
        <f>IF(AND(G201&lt;&gt;"LIBSETS_SETTYPE_BATTLEGROUND",G201&lt;&gt;"LIBSETS_SETTYPE_SPECIAL"),IF(AQ201&lt;&gt;"",VLOOKUP(AQ201,'ESO zone constants'!$D$5:$H$4955,5,FALSE),""),"")</f>
        <v>181</v>
      </c>
      <c r="AQ201" t="s">
        <v>125</v>
      </c>
      <c r="AR201" s="33" t="s">
        <v>1551</v>
      </c>
      <c r="AU201" s="3">
        <f>IF(AND(G201&lt;&gt;"LIBSETS_SETTYPE_BATTLEGROUND",G201&lt;&gt;"LIBSETS_SETTYPE_SPECIAL"),IF(AV201&lt;&gt;"",VLOOKUP(AV201,'ESO zone constants'!$D$5:$H$4955,5,FALSE),""),"")</f>
        <v>181</v>
      </c>
      <c r="AV201" t="s">
        <v>125</v>
      </c>
      <c r="AW201" s="33" t="s">
        <v>3225</v>
      </c>
      <c r="AZ201" s="75" t="s">
        <v>2645</v>
      </c>
      <c r="BA201" s="75"/>
      <c r="BB201" s="75"/>
      <c r="BC201" s="75"/>
      <c r="BD201" s="75"/>
      <c r="BE201" s="21" t="str">
        <f t="shared" si="19"/>
        <v>[239] = {wayshrines={-1,-1,-1,}, dlcId=DLC_BASE_GAME</v>
      </c>
      <c r="BF201" s="21" t="str">
        <f t="shared" si="20"/>
        <v>, zoneIds={181,181,181,181,181,181}, veteran=false</v>
      </c>
      <c r="BG201" s="21" t="str">
        <f t="shared" si="21"/>
        <v>, setType=LIBSETS_SETTYPE_CYRODIIL</v>
      </c>
      <c r="BH201"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3"/>
        <v>}, --Warrior\'s Fury / Raserei des Kriegers   [Cyrodiil, Cyrodiil, Cyrodiil, Cyrodiil, Cyrodiil, Cyrodiil]</v>
      </c>
    </row>
    <row r="202" spans="1:61" x14ac:dyDescent="0.25">
      <c r="A202" s="5">
        <v>240</v>
      </c>
      <c r="B202" t="s">
        <v>1042</v>
      </c>
      <c r="C202" t="s">
        <v>1043</v>
      </c>
      <c r="D202" s="3">
        <f t="shared" si="18"/>
        <v>240</v>
      </c>
      <c r="G202" s="8" t="s">
        <v>1467</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3276</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5" t="s">
        <v>2646</v>
      </c>
      <c r="BA202" s="75"/>
      <c r="BB202" s="75"/>
      <c r="BC202" s="75"/>
      <c r="BD202" s="75"/>
      <c r="BE202" s="21" t="str">
        <f t="shared" si="19"/>
        <v>[240] = {wayshrines={254,254,254,}, traitsNeeded=5, dlcId=DLC_BASE_GAME</v>
      </c>
      <c r="BF202" s="21" t="str">
        <f t="shared" si="20"/>
        <v>, zoneIds={823,823,823}, veteran=false</v>
      </c>
      <c r="BG202" s="21" t="str">
        <f t="shared" si="21"/>
        <v>, setType=LIBSETS_SETTYPE_CRAFTED</v>
      </c>
      <c r="BH202" s="21" t="str">
        <f t="shared" si="22"/>
        <v>, isProcSetAllowedInPvP=1, dropMechanic={LIBSETS_DROP_MECHANIC_CRAFTED,LIBSETS_DROP_MECHANIC_CRAFTED}</v>
      </c>
      <c r="BI202" s="21" t="str">
        <f t="shared" si="23"/>
        <v>}, --Kvatch Gladiator / Gladiator von Kvatch   [Gold Coast, Gold Coast, Gold Coast]</v>
      </c>
    </row>
    <row r="203" spans="1:61" x14ac:dyDescent="0.25">
      <c r="A203" s="5">
        <v>241</v>
      </c>
      <c r="B203" t="s">
        <v>1044</v>
      </c>
      <c r="C203" t="s">
        <v>2582</v>
      </c>
      <c r="D203" s="3">
        <f t="shared" si="18"/>
        <v>241</v>
      </c>
      <c r="G203" s="8" t="s">
        <v>1467</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3276</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5" t="s">
        <v>2645</v>
      </c>
      <c r="BA203" s="75"/>
      <c r="BB203" s="75"/>
      <c r="BC203" s="75"/>
      <c r="BD203" s="75"/>
      <c r="BE203" s="21" t="str">
        <f t="shared" si="19"/>
        <v>[241] = {wayshrines={251,251,251,}, traitsNeeded=7, dlcId=DLC_BASE_GAME</v>
      </c>
      <c r="BF203" s="21" t="str">
        <f t="shared" si="20"/>
        <v>, zoneIds={823,823,823}, veteran=false</v>
      </c>
      <c r="BG203" s="21" t="str">
        <f t="shared" si="21"/>
        <v>, setType=LIBSETS_SETTYPE_CRAFTED</v>
      </c>
      <c r="BH203" s="21" t="str">
        <f t="shared" si="22"/>
        <v>, dropMechanic={LIBSETS_DROP_MECHANIC_CRAFTED,LIBSETS_DROP_MECHANIC_CRAFTED}</v>
      </c>
      <c r="BI203" s="21" t="str">
        <f t="shared" si="23"/>
        <v>}, --Varen\'s Legacy / Varens Erbe   [Gold Coast, Gold Coast, Gold Coast]</v>
      </c>
    </row>
    <row r="204" spans="1:61" x14ac:dyDescent="0.25">
      <c r="A204" s="5">
        <v>242</v>
      </c>
      <c r="B204" t="s">
        <v>1045</v>
      </c>
      <c r="C204" t="s">
        <v>2583</v>
      </c>
      <c r="D204" s="3">
        <f t="shared" si="18"/>
        <v>242</v>
      </c>
      <c r="G204" s="8" t="s">
        <v>1467</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3276</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5" t="s">
        <v>2645</v>
      </c>
      <c r="BA204" s="75"/>
      <c r="BB204" s="75"/>
      <c r="BC204" s="75"/>
      <c r="BD204" s="75"/>
      <c r="BE204" s="21" t="str">
        <f t="shared" si="19"/>
        <v>[242] = {wayshrines={254,254,254,}, traitsNeeded=9, dlcId=DLC_BASE_GAME</v>
      </c>
      <c r="BF204" s="21" t="str">
        <f t="shared" si="20"/>
        <v>, zoneIds={823,823,823}, veteran=false</v>
      </c>
      <c r="BG204" s="21" t="str">
        <f t="shared" si="21"/>
        <v>, setType=LIBSETS_SETTYPE_CRAFTED</v>
      </c>
      <c r="BH204" s="21" t="str">
        <f t="shared" si="22"/>
        <v>, dropMechanic={LIBSETS_DROP_MECHANIC_CRAFTED,LIBSETS_DROP_MECHANIC_CRAFTED}</v>
      </c>
      <c r="BI204" s="21" t="str">
        <f t="shared" si="23"/>
        <v>}, --Pelinal\'s Aptitude / Pelinals Talent   [Gold Coast, Gold Coast, Gold Coast]</v>
      </c>
    </row>
    <row r="205" spans="1:61" x14ac:dyDescent="0.25">
      <c r="A205" s="12">
        <v>243</v>
      </c>
      <c r="B205" t="s">
        <v>1046</v>
      </c>
      <c r="C205" t="s">
        <v>1047</v>
      </c>
      <c r="D205" s="3">
        <f t="shared" si="18"/>
        <v>243</v>
      </c>
      <c r="G205" s="8" t="s">
        <v>1473</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1551</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1554</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5" t="s">
        <v>2645</v>
      </c>
      <c r="BA205" s="75"/>
      <c r="BB205" s="75"/>
      <c r="BC205" s="75"/>
      <c r="BD205" s="75"/>
      <c r="BE205" s="21" t="str">
        <f t="shared" si="19"/>
        <v>[243] = {wayshrines={254,254,254,}, dlcId=DLC_BASE_GAME</v>
      </c>
      <c r="BF205" s="21" t="str">
        <f t="shared" si="20"/>
        <v>, zoneIds={823,823,823}, veteran=false</v>
      </c>
      <c r="BG205" s="21" t="str">
        <f t="shared" si="21"/>
        <v>, setType=LIBSETS_SETTYPE_OVERLAND</v>
      </c>
      <c r="BH205" s="21" t="str">
        <f t="shared" si="22"/>
        <v>, dropMechanic={LIBSETS_DROP_MECHANIC_OVERLAND_BOSS_DELVE,LIBSETS_DROP_MECHANIC_OVERLAND_WORLDBOSS,LIBSETS_DROP_MECHANIC_OVERLAND_CHEST}</v>
      </c>
      <c r="BI205" s="21" t="str">
        <f t="shared" si="23"/>
        <v>}, --Hide of Morihaus / Haut von Morihaus   [Gold Coast, Gold Coast, Gold Coast]</v>
      </c>
    </row>
    <row r="206" spans="1:61" x14ac:dyDescent="0.25">
      <c r="A206" s="12">
        <v>244</v>
      </c>
      <c r="B206" t="s">
        <v>1048</v>
      </c>
      <c r="C206" t="s">
        <v>1049</v>
      </c>
      <c r="D206" s="3">
        <f t="shared" si="18"/>
        <v>244</v>
      </c>
      <c r="G206" s="8" t="s">
        <v>1473</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1551</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1554</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5" t="s">
        <v>2646</v>
      </c>
      <c r="BA206" s="75"/>
      <c r="BB206" s="75"/>
      <c r="BC206" s="75"/>
      <c r="BD206" s="75"/>
      <c r="BE206" s="21" t="str">
        <f t="shared" si="19"/>
        <v>[244] = {wayshrines={254,254,254,}, dlcId=DLC_BASE_GAME</v>
      </c>
      <c r="BF206" s="21" t="str">
        <f t="shared" si="20"/>
        <v>, zoneIds={823,823,823}, veteran=false</v>
      </c>
      <c r="BG206" s="21" t="str">
        <f t="shared" si="21"/>
        <v>, setType=LIBSETS_SETTYPE_OVERLAND</v>
      </c>
      <c r="BH206" s="21" t="str">
        <f t="shared" si="22"/>
        <v>, isProcSetAllowedInPvP=1, dropMechanic={LIBSETS_DROP_MECHANIC_OVERLAND_BOSS_DELVE,LIBSETS_DROP_MECHANIC_OVERLAND_WORLDBOSS,LIBSETS_DROP_MECHANIC_OVERLAND_CHEST}</v>
      </c>
      <c r="BI206" s="21" t="str">
        <f t="shared" si="23"/>
        <v>}, --Flanking Strategist / Flankierender Stratege   [Gold Coast, Gold Coast, Gold Coast]</v>
      </c>
    </row>
    <row r="207" spans="1:61" x14ac:dyDescent="0.25">
      <c r="A207" s="12">
        <v>245</v>
      </c>
      <c r="B207" t="s">
        <v>1050</v>
      </c>
      <c r="C207" t="s">
        <v>2584</v>
      </c>
      <c r="D207" s="3">
        <f t="shared" si="18"/>
        <v>245</v>
      </c>
      <c r="G207" s="8" t="s">
        <v>1473</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1551</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1554</v>
      </c>
      <c r="AI207" s="39"/>
      <c r="AJ207" s="39"/>
      <c r="AK207" s="3">
        <f>IF(AND(G207&lt;&gt;"LIBSETS_SETTYPE_BATTLEGROUND",G207&lt;&gt;"LIBSETS_SETTYPE_SPECIAL"),IF(AL207&lt;&gt;"",VLOOKUP(AL207,'ESO zone constants'!$D$5:$H$4955,5,FALSE),""),"")</f>
        <v>823</v>
      </c>
      <c r="AL207" t="s">
        <v>512</v>
      </c>
      <c r="AM207" s="3" t="s">
        <v>3202</v>
      </c>
      <c r="AN207" s="39" t="s">
        <v>3728</v>
      </c>
      <c r="AO207" s="39" t="s">
        <v>3729</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5" t="s">
        <v>2645</v>
      </c>
      <c r="BA207" s="75"/>
      <c r="BB207" s="75"/>
      <c r="BC207" s="75"/>
      <c r="BD207" s="75"/>
      <c r="BE207" s="21" t="str">
        <f t="shared" si="19"/>
        <v>[245] = {wayshrines={254,254,254,}, dlcId=DLC_BASE_GAME</v>
      </c>
      <c r="BF207" s="21" t="str">
        <f t="shared" si="20"/>
        <v>, zoneIds={823,823,823,823}, veteran=false</v>
      </c>
      <c r="BG207" s="21" t="str">
        <f t="shared" si="21"/>
        <v>, setType=LIBSETS_SETTYPE_OVERLAND</v>
      </c>
      <c r="BH207" s="21" t="str">
        <f t="shared" si="22"/>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3"/>
        <v>}, --Sithis\' Touch / Sithis' Berührung   [Gold Coast, Gold Coast, Gold Coast, Gold Coast]</v>
      </c>
    </row>
    <row r="208" spans="1:61" x14ac:dyDescent="0.25">
      <c r="A208" s="12">
        <v>246</v>
      </c>
      <c r="B208" t="s">
        <v>1051</v>
      </c>
      <c r="C208" t="s">
        <v>2585</v>
      </c>
      <c r="D208" s="3">
        <f t="shared" si="18"/>
        <v>246</v>
      </c>
      <c r="G208" s="8" t="s">
        <v>1471</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2752</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5" t="s">
        <v>2645</v>
      </c>
      <c r="BA208" s="75"/>
      <c r="BB208" s="75"/>
      <c r="BC208" s="75"/>
      <c r="BD208" s="75"/>
      <c r="BE208" s="21" t="str">
        <f t="shared" si="19"/>
        <v>[246] = {wayshrines={-1,-1,-1,}, dlcId=DLC_MORROWIND</v>
      </c>
      <c r="BF208" s="21" t="str">
        <f t="shared" si="20"/>
        <v>, zoneIds={643}, veteran=false</v>
      </c>
      <c r="BG208" s="21" t="str">
        <f t="shared" si="21"/>
        <v>, setType=LIBSETS_SETTYPE_IMPERIALCITY</v>
      </c>
      <c r="BH208" s="21" t="str">
        <f t="shared" si="22"/>
        <v>, dropMechanic={LIBSETS_DROP_MECHANIC_TELVAR_EQUIPMENT_LOCKBOX_MERCHANT,LIBSETS_DROP_MECHANIC_IMPERIAL_CITY_TREASURE_TROVE_SCAMP}</v>
      </c>
      <c r="BI208" s="21" t="str">
        <f t="shared" si="23"/>
        <v>}, --Galerion\'s Revenge / Galerions Revanche   [Imperial Sewers]</v>
      </c>
    </row>
    <row r="209" spans="1:61" x14ac:dyDescent="0.25">
      <c r="A209" s="12">
        <v>247</v>
      </c>
      <c r="B209" t="s">
        <v>1052</v>
      </c>
      <c r="C209" t="s">
        <v>1053</v>
      </c>
      <c r="D209" s="3">
        <f t="shared" si="18"/>
        <v>247</v>
      </c>
      <c r="G209" s="8" t="s">
        <v>1471</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2752</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5" t="s">
        <v>2645</v>
      </c>
      <c r="BA209" s="75"/>
      <c r="BB209" s="75"/>
      <c r="BC209" s="75"/>
      <c r="BD209" s="75"/>
      <c r="BE209" s="21" t="str">
        <f t="shared" si="19"/>
        <v>[247] = {wayshrines={-1,-1,-1,}, dlcId=DLC_MORROWIND</v>
      </c>
      <c r="BF209" s="21" t="str">
        <f t="shared" si="20"/>
        <v>, zoneIds={643}, veteran=false</v>
      </c>
      <c r="BG209" s="21" t="str">
        <f t="shared" si="21"/>
        <v>, setType=LIBSETS_SETTYPE_IMPERIALCITY</v>
      </c>
      <c r="BH209" s="21" t="str">
        <f t="shared" si="22"/>
        <v>, dropMechanic={LIBSETS_DROP_MECHANIC_TELVAR_EQUIPMENT_LOCKBOX_MERCHANT,LIBSETS_DROP_MECHANIC_IMPERIAL_CITY_TREASURE_TROVE_SCAMP}</v>
      </c>
      <c r="BI209" s="21" t="str">
        <f t="shared" si="23"/>
        <v>}, --Vicecanon of Venom / Vizekanoniker des Gifts   [Imperial Sewers]</v>
      </c>
    </row>
    <row r="210" spans="1:61" x14ac:dyDescent="0.25">
      <c r="A210" s="12">
        <v>248</v>
      </c>
      <c r="B210" t="s">
        <v>1054</v>
      </c>
      <c r="C210" t="s">
        <v>1055</v>
      </c>
      <c r="D210" s="3">
        <f t="shared" si="18"/>
        <v>248</v>
      </c>
      <c r="G210" s="8" t="s">
        <v>1471</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2752</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5" t="s">
        <v>2645</v>
      </c>
      <c r="BA210" s="75"/>
      <c r="BB210" s="75"/>
      <c r="BC210" s="75"/>
      <c r="BD210" s="75"/>
      <c r="BE210" s="21" t="str">
        <f t="shared" si="19"/>
        <v>[248] = {wayshrines={-1,-1,-1,}, dlcId=DLC_MORROWIND</v>
      </c>
      <c r="BF210" s="21" t="str">
        <f t="shared" si="20"/>
        <v>, zoneIds={643}, veteran=false</v>
      </c>
      <c r="BG210" s="21" t="str">
        <f t="shared" si="21"/>
        <v>, setType=LIBSETS_SETTYPE_IMPERIALCITY</v>
      </c>
      <c r="BH210" s="21" t="str">
        <f t="shared" si="22"/>
        <v>, dropMechanic={LIBSETS_DROP_MECHANIC_TELVAR_EQUIPMENT_LOCKBOX_MERCHANT,LIBSETS_DROP_MECHANIC_IMPERIAL_CITY_TREASURE_TROVE_SCAMP}</v>
      </c>
      <c r="BI210" s="21" t="str">
        <f t="shared" si="23"/>
        <v>}, --Thews of the Harbinger / Muskeln des Vorboten   [Imperial Sewers]</v>
      </c>
    </row>
    <row r="211" spans="1:61" x14ac:dyDescent="0.25">
      <c r="A211" s="12">
        <v>253</v>
      </c>
      <c r="B211" t="s">
        <v>1056</v>
      </c>
      <c r="C211" t="s">
        <v>1057</v>
      </c>
      <c r="D211" s="3">
        <f t="shared" si="18"/>
        <v>253</v>
      </c>
      <c r="G211" s="8" t="s">
        <v>1471</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2752</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5" t="s">
        <v>2645</v>
      </c>
      <c r="BA211" s="75"/>
      <c r="BB211" s="75"/>
      <c r="BC211" s="75"/>
      <c r="BD211" s="75"/>
      <c r="BE211" s="21" t="str">
        <f t="shared" si="19"/>
        <v>[253] = {wayshrines={-1,-1,-1,}, dlcId=DLC_MORROWIND</v>
      </c>
      <c r="BF211" s="21" t="str">
        <f t="shared" si="20"/>
        <v>, zoneIds={643}, veteran=false</v>
      </c>
      <c r="BG211" s="21" t="str">
        <f t="shared" si="21"/>
        <v>, setType=LIBSETS_SETTYPE_IMPERIALCITY</v>
      </c>
      <c r="BH211" s="21" t="str">
        <f t="shared" si="22"/>
        <v>, dropMechanic={LIBSETS_DROP_MECHANIC_TELVAR_EQUIPMENT_LOCKBOX_MERCHANT,LIBSETS_DROP_MECHANIC_IMPERIAL_CITY_TREASURE_TROVE_SCAMP}</v>
      </c>
      <c r="BI211" s="21" t="str">
        <f t="shared" si="23"/>
        <v>}, --Imperial Physique / Kaiserliche Physis   [Imperial Sewers]</v>
      </c>
    </row>
    <row r="212" spans="1:61" x14ac:dyDescent="0.25">
      <c r="A212" s="5">
        <v>256</v>
      </c>
      <c r="B212" t="s">
        <v>1058</v>
      </c>
      <c r="C212" t="s">
        <v>13</v>
      </c>
      <c r="D212" s="3">
        <f t="shared" si="18"/>
        <v>256</v>
      </c>
      <c r="G212" s="8" t="s">
        <v>1472</v>
      </c>
      <c r="H212" s="83">
        <v>3</v>
      </c>
      <c r="I212" t="s">
        <v>1459</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5" t="s">
        <v>2645</v>
      </c>
      <c r="BA212" s="75"/>
      <c r="BB212" s="75"/>
      <c r="BC212" s="75"/>
      <c r="BD212" s="75"/>
      <c r="BE212" s="21" t="str">
        <f t="shared" si="19"/>
        <v>[256] = {wayshrines={260,260,260,}, dlcId=DLC_SHADOWS_OF_THE_HIST</v>
      </c>
      <c r="BF212" s="21" t="str">
        <f t="shared" si="20"/>
        <v>, zoneIds={843,117,117}, veteran={[EQUIP_TYPE_HEAD]=true, [EQUIP_TYPE_SHOULDERS]=false}</v>
      </c>
      <c r="BG212" s="21" t="str">
        <f t="shared" si="21"/>
        <v>, setType=LIBSETS_SETTYPE_MONSTER, undauntedChestId=3</v>
      </c>
      <c r="BH212" s="21" t="str">
        <f t="shared" si="22"/>
        <v>, dropMechanic={LIBSETS_DROP_MECHANIC_MONSTER_NAME}, dropMechanicDropLocationNames={['en']={'Tree-Minder Na-Kesh','','','','','',},['de']={'Baumhirtin Na-Kesh','','','','','',},}</v>
      </c>
      <c r="BI212" s="21" t="str">
        <f t="shared" si="23"/>
        <v>}, --Mighty Chudan / Mächtiger Chudan   [Ruins of Mazzatun, Shadowfen, Shadowfen]</v>
      </c>
    </row>
    <row r="213" spans="1:61" x14ac:dyDescent="0.25">
      <c r="A213" s="5">
        <v>257</v>
      </c>
      <c r="B213" t="s">
        <v>32</v>
      </c>
      <c r="C213" t="s">
        <v>32</v>
      </c>
      <c r="D213" s="3">
        <f t="shared" si="18"/>
        <v>257</v>
      </c>
      <c r="G213" s="8" t="s">
        <v>1472</v>
      </c>
      <c r="H213" s="83">
        <v>3</v>
      </c>
      <c r="I213" t="s">
        <v>1459</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5" t="s">
        <v>2645</v>
      </c>
      <c r="BA213" s="75"/>
      <c r="BB213" s="75"/>
      <c r="BC213" s="75"/>
      <c r="BD213" s="75"/>
      <c r="BE213" s="21" t="str">
        <f t="shared" si="19"/>
        <v>[257] = {wayshrines={261,261,261,}, dlcId=DLC_SHADOWS_OF_THE_HIST</v>
      </c>
      <c r="BF213" s="21" t="str">
        <f t="shared" si="20"/>
        <v>, zoneIds={848,117,117}, veteran={[EQUIP_TYPE_HEAD]=true, [EQUIP_TYPE_SHOULDERS]=false}</v>
      </c>
      <c r="BG213" s="21" t="str">
        <f t="shared" si="21"/>
        <v>, setType=LIBSETS_SETTYPE_MONSTER, undauntedChestId=3</v>
      </c>
      <c r="BH213" s="21" t="str">
        <f t="shared" si="22"/>
        <v>, dropMechanic={LIBSETS_DROP_MECHANIC_MONSTER_NAME}, dropMechanicDropLocationNames={['en']={'Velidreth','','','','','',},['de']={'Velidreth','','','','','',},}</v>
      </c>
      <c r="BI213" s="21" t="str">
        <f t="shared" si="23"/>
        <v>}, --Velidreth / Velidreth   [Cradle of Shadows, Shadowfen, Shadowfen]</v>
      </c>
    </row>
    <row r="214" spans="1:61" x14ac:dyDescent="0.25">
      <c r="A214" s="12">
        <v>258</v>
      </c>
      <c r="B214" t="s">
        <v>1059</v>
      </c>
      <c r="C214" t="s">
        <v>1060</v>
      </c>
      <c r="D214" s="3">
        <f t="shared" si="18"/>
        <v>258</v>
      </c>
      <c r="G214" s="8" t="s">
        <v>1470</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5" t="s">
        <v>2646</v>
      </c>
      <c r="BA214" s="75"/>
      <c r="BB214" s="75"/>
      <c r="BC214" s="75"/>
      <c r="BD214" s="75"/>
      <c r="BE214" s="21" t="str">
        <f t="shared" si="19"/>
        <v>[258] = {wayshrines={260,260,260,}, dlcId=DLC_SHADOWS_OF_THE_HIST</v>
      </c>
      <c r="BF214" s="21" t="str">
        <f t="shared" si="20"/>
        <v>, zoneIds={843,117,117}, veteran=false</v>
      </c>
      <c r="BG214" s="21" t="str">
        <f t="shared" si="21"/>
        <v>, setType=LIBSETS_SETTYPE_DUNGEON</v>
      </c>
      <c r="BH214" s="21" t="str">
        <f t="shared" si="22"/>
        <v>, isProcSetAllowedInPvP=1, dropMechanic={LIBSETS_DROP_MECHANIC_GROUP_DUNGEON_BOSS}</v>
      </c>
      <c r="BI214" s="21" t="str">
        <f t="shared" si="23"/>
        <v>}, --Amber Plasm / Bernsteinplasma   [Ruins of Mazzatun, Shadowfen, Shadowfen]</v>
      </c>
    </row>
    <row r="215" spans="1:61" x14ac:dyDescent="0.25">
      <c r="A215" s="12">
        <v>259</v>
      </c>
      <c r="B215" t="s">
        <v>1061</v>
      </c>
      <c r="C215" t="s">
        <v>2586</v>
      </c>
      <c r="D215" s="3">
        <f t="shared" si="18"/>
        <v>259</v>
      </c>
      <c r="G215" s="8" t="s">
        <v>1470</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5" t="s">
        <v>2645</v>
      </c>
      <c r="BA215" s="75"/>
      <c r="BB215" s="75"/>
      <c r="BC215" s="75"/>
      <c r="BD215" s="75"/>
      <c r="BE215" s="21" t="str">
        <f t="shared" si="19"/>
        <v>[259] = {wayshrines={260,260,260,}, dlcId=DLC_SHADOWS_OF_THE_HIST</v>
      </c>
      <c r="BF215" s="21" t="str">
        <f t="shared" si="20"/>
        <v>, zoneIds={843,117,117}, veteran=false</v>
      </c>
      <c r="BG215" s="21" t="str">
        <f t="shared" si="21"/>
        <v>, setType=LIBSETS_SETTYPE_DUNGEON</v>
      </c>
      <c r="BH215" s="21" t="str">
        <f t="shared" si="22"/>
        <v>, dropMechanic={LIBSETS_DROP_MECHANIC_GROUP_DUNGEON_BOSS}</v>
      </c>
      <c r="BI215" s="21" t="str">
        <f t="shared" si="23"/>
        <v>}, --Heem-Jas\' Retribution / Heem-Jas' Vergeltung   [Ruins of Mazzatun, Shadowfen, Shadowfen]</v>
      </c>
    </row>
    <row r="216" spans="1:61" x14ac:dyDescent="0.25">
      <c r="A216" s="12">
        <v>260</v>
      </c>
      <c r="B216" t="s">
        <v>1062</v>
      </c>
      <c r="C216" t="s">
        <v>1063</v>
      </c>
      <c r="D216" s="3">
        <f t="shared" si="18"/>
        <v>260</v>
      </c>
      <c r="G216" s="8" t="s">
        <v>1470</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5" t="s">
        <v>2645</v>
      </c>
      <c r="BA216" s="75"/>
      <c r="BB216" s="75"/>
      <c r="BC216" s="75"/>
      <c r="BD216" s="75"/>
      <c r="BE216" s="21" t="str">
        <f t="shared" si="19"/>
        <v>[260] = {wayshrines={260,260,260,}, dlcId=DLC_SHADOWS_OF_THE_HIST</v>
      </c>
      <c r="BF216" s="21" t="str">
        <f t="shared" si="20"/>
        <v>, zoneIds={843,117,117}, veteran=false</v>
      </c>
      <c r="BG216" s="21" t="str">
        <f t="shared" si="21"/>
        <v>, setType=LIBSETS_SETTYPE_DUNGEON</v>
      </c>
      <c r="BH216" s="21" t="str">
        <f t="shared" si="22"/>
        <v>, dropMechanic={LIBSETS_DROP_MECHANIC_GROUP_DUNGEON_BOSS}</v>
      </c>
      <c r="BI216" s="21" t="str">
        <f t="shared" si="23"/>
        <v>}, --Aspect of Mazzatun / Aspekt von Mazzatun   [Ruins of Mazzatun, Shadowfen, Shadowfen]</v>
      </c>
    </row>
    <row r="217" spans="1:61" x14ac:dyDescent="0.25">
      <c r="A217" s="12">
        <v>261</v>
      </c>
      <c r="B217" t="s">
        <v>1064</v>
      </c>
      <c r="C217" t="s">
        <v>1065</v>
      </c>
      <c r="D217" s="3">
        <f t="shared" si="18"/>
        <v>261</v>
      </c>
      <c r="G217" s="8" t="s">
        <v>1470</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5" t="s">
        <v>2645</v>
      </c>
      <c r="BA217" s="75"/>
      <c r="BB217" s="75"/>
      <c r="BC217" s="75"/>
      <c r="BD217" s="75"/>
      <c r="BE217" s="21" t="str">
        <f t="shared" si="19"/>
        <v>[261] = {wayshrines={261,261,261,}, dlcId=DLC_SHADOWS_OF_THE_HIST</v>
      </c>
      <c r="BF217" s="21" t="str">
        <f t="shared" si="20"/>
        <v>, zoneIds={848,117,117}, veteran=false</v>
      </c>
      <c r="BG217" s="21" t="str">
        <f t="shared" si="21"/>
        <v>, setType=LIBSETS_SETTYPE_DUNGEON</v>
      </c>
      <c r="BH217" s="21" t="str">
        <f t="shared" si="22"/>
        <v>, dropMechanic={LIBSETS_DROP_MECHANIC_GROUP_DUNGEON_BOSS}</v>
      </c>
      <c r="BI217" s="21" t="str">
        <f t="shared" si="23"/>
        <v>}, --Gossamer / Gespinst   [Cradle of Shadows, Shadowfen, Shadowfen]</v>
      </c>
    </row>
    <row r="218" spans="1:61" x14ac:dyDescent="0.25">
      <c r="A218" s="12">
        <v>262</v>
      </c>
      <c r="B218" t="s">
        <v>1066</v>
      </c>
      <c r="C218" t="s">
        <v>1067</v>
      </c>
      <c r="D218" s="3">
        <f t="shared" si="18"/>
        <v>262</v>
      </c>
      <c r="G218" s="8" t="s">
        <v>1470</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5" t="s">
        <v>2645</v>
      </c>
      <c r="BA218" s="75"/>
      <c r="BB218" s="75"/>
      <c r="BC218" s="75"/>
      <c r="BD218" s="75"/>
      <c r="BE218" s="21" t="str">
        <f t="shared" si="19"/>
        <v>[262] = {wayshrines={261,261,261,}, dlcId=DLC_SHADOWS_OF_THE_HIST</v>
      </c>
      <c r="BF218" s="21" t="str">
        <f t="shared" si="20"/>
        <v>, zoneIds={848,117,117}, veteran=false</v>
      </c>
      <c r="BG218" s="21" t="str">
        <f t="shared" si="21"/>
        <v>, setType=LIBSETS_SETTYPE_DUNGEON</v>
      </c>
      <c r="BH218" s="21" t="str">
        <f t="shared" si="22"/>
        <v>, dropMechanic={LIBSETS_DROP_MECHANIC_GROUP_DUNGEON_BOSS}</v>
      </c>
      <c r="BI218" s="21" t="str">
        <f t="shared" si="23"/>
        <v>}, --Widowmaker / Witwenmacher   [Cradle of Shadows, Shadowfen, Shadowfen]</v>
      </c>
    </row>
    <row r="219" spans="1:61" s="28" customFormat="1" x14ac:dyDescent="0.25">
      <c r="A219" s="12">
        <v>263</v>
      </c>
      <c r="B219" t="s">
        <v>1068</v>
      </c>
      <c r="C219" t="s">
        <v>1069</v>
      </c>
      <c r="D219" s="3">
        <f t="shared" si="18"/>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5" t="s">
        <v>2645</v>
      </c>
      <c r="BA219" s="75"/>
      <c r="BB219" s="75"/>
      <c r="BC219" s="75"/>
      <c r="BD219" s="75"/>
      <c r="BE219" s="21" t="str">
        <f t="shared" si="19"/>
        <v>[263] = {wayshrines={261,261,261,}, dlcId=DLC_SHADOWS_OF_THE_HIST</v>
      </c>
      <c r="BF219" s="21" t="str">
        <f t="shared" si="20"/>
        <v>, zoneIds={848,117,117}, veteran=false</v>
      </c>
      <c r="BG219" s="21" t="str">
        <f t="shared" si="21"/>
        <v>, setType=LIBSETS_SETTYPE_DUNGEON</v>
      </c>
      <c r="BH219" s="21" t="str">
        <f t="shared" si="22"/>
        <v>, dropMechanic={LIBSETS_DROP_MECHANIC_GROUP_DUNGEON_BOSS}</v>
      </c>
      <c r="BI219" s="21" t="str">
        <f t="shared" si="23"/>
        <v>}, --Hand of Mephala / Hand von Mephala   [Cradle of Shadows, Shadowfen, Shadowfen]</v>
      </c>
    </row>
    <row r="220" spans="1:61" s="14" customFormat="1" x14ac:dyDescent="0.25">
      <c r="A220" s="16">
        <v>264</v>
      </c>
      <c r="B220" s="14" t="s">
        <v>1070</v>
      </c>
      <c r="C220" t="s">
        <v>1071</v>
      </c>
      <c r="D220" s="25">
        <f t="shared" si="18"/>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5" t="s">
        <v>2645</v>
      </c>
      <c r="BA220" s="75"/>
      <c r="BB220" s="75"/>
      <c r="BC220" s="75"/>
      <c r="BD220" s="75"/>
      <c r="BE220" s="21" t="str">
        <f t="shared" si="19"/>
        <v/>
      </c>
      <c r="BF220" s="21" t="str">
        <f t="shared" si="20"/>
        <v/>
      </c>
      <c r="BG220" s="21" t="str">
        <f t="shared" si="21"/>
        <v/>
      </c>
      <c r="BH220" s="21" t="str">
        <f t="shared" si="22"/>
        <v/>
      </c>
      <c r="BI220" s="21" t="str">
        <f t="shared" si="23"/>
        <v/>
      </c>
    </row>
    <row r="221" spans="1:61" x14ac:dyDescent="0.25">
      <c r="A221" s="5">
        <v>265</v>
      </c>
      <c r="B221" t="s">
        <v>1072</v>
      </c>
      <c r="C221" t="s">
        <v>22</v>
      </c>
      <c r="D221" s="3">
        <f t="shared" si="18"/>
        <v>265</v>
      </c>
      <c r="G221" s="8" t="s">
        <v>1472</v>
      </c>
      <c r="H221" s="83">
        <v>2</v>
      </c>
      <c r="I221" t="s">
        <v>1459</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5" t="s">
        <v>2645</v>
      </c>
      <c r="BA221" s="75"/>
      <c r="BB221" s="75"/>
      <c r="BC221" s="75"/>
      <c r="BD221" s="75"/>
      <c r="BE221" s="21" t="str">
        <f t="shared" si="19"/>
        <v>[265] = {wayshrines={194,194,194,}, dlcId=DLC_BASE_GAME</v>
      </c>
      <c r="BF221" s="21" t="str">
        <f t="shared" si="20"/>
        <v>, zoneIds={380,381,381}, veteran={[EQUIP_TYPE_HEAD]=true, [EQUIP_TYPE_SHOULDERS]=false}</v>
      </c>
      <c r="BG221" s="21" t="str">
        <f t="shared" si="21"/>
        <v>, setType=LIBSETS_SETTYPE_MONSTER, undauntedChestId=2</v>
      </c>
      <c r="BH221" s="21" t="str">
        <f t="shared" si="22"/>
        <v>, dropMechanic={LIBSETS_DROP_MECHANIC_MONSTER_NAME}, dropMechanicDropLocationNames={['en']={'High Kinlord Rilis','','','','','',},['de']={'Sippenhochfürst Rilis','','','','','',},}</v>
      </c>
      <c r="BI221" s="21" t="str">
        <f t="shared" si="23"/>
        <v>}, --Shadowrend / Schattenriss   [The Banished Cells I, Auridon, Auridon]</v>
      </c>
    </row>
    <row r="222" spans="1:61" x14ac:dyDescent="0.25">
      <c r="A222" s="5">
        <v>266</v>
      </c>
      <c r="B222" t="s">
        <v>10</v>
      </c>
      <c r="C222" t="s">
        <v>2587</v>
      </c>
      <c r="D222" s="3">
        <f t="shared" si="18"/>
        <v>266</v>
      </c>
      <c r="G222" s="8" t="s">
        <v>1472</v>
      </c>
      <c r="H222" s="83">
        <v>2</v>
      </c>
      <c r="I222" t="s">
        <v>1459</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5" t="s">
        <v>2645</v>
      </c>
      <c r="BA222" s="75"/>
      <c r="BB222" s="75"/>
      <c r="BC222" s="75"/>
      <c r="BD222" s="75"/>
      <c r="BE222" s="21" t="str">
        <f t="shared" si="19"/>
        <v>[266] = {wayshrines={98,98,98,}, dlcId=DLC_BASE_GAME</v>
      </c>
      <c r="BF222" s="21" t="str">
        <f t="shared" si="20"/>
        <v>, zoneIds={283,41,41}, veteran={[EQUIP_TYPE_HEAD]=true, [EQUIP_TYPE_SHOULDERS]=false}</v>
      </c>
      <c r="BG222" s="21" t="str">
        <f t="shared" si="21"/>
        <v>, setType=LIBSETS_SETTYPE_MONSTER, undauntedChestId=2</v>
      </c>
      <c r="BH222" s="21" t="str">
        <f t="shared" si="22"/>
        <v>, dropMechanic={LIBSETS_DROP_MECHANIC_MONSTER_NAME}, dropMechanicDropLocationNames={['en']={'Kra\'gh the Dreugh King','','','','','',},['de']={'Kra\'gh der Dreughkönig','','','','','',},}</v>
      </c>
      <c r="BI222" s="21" t="str">
        <f t="shared" si="23"/>
        <v>}, --Kra\'gh / Kra'gh   [Fungal Grotto I, Stonefalls, Stonefalls]</v>
      </c>
    </row>
    <row r="223" spans="1:61" x14ac:dyDescent="0.25">
      <c r="A223" s="5">
        <v>267</v>
      </c>
      <c r="B223" t="s">
        <v>1073</v>
      </c>
      <c r="C223" t="s">
        <v>27</v>
      </c>
      <c r="D223" s="3">
        <f t="shared" si="18"/>
        <v>267</v>
      </c>
      <c r="G223" s="8" t="s">
        <v>1472</v>
      </c>
      <c r="H223" s="83">
        <v>2</v>
      </c>
      <c r="I223" t="s">
        <v>1459</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5" t="s">
        <v>2645</v>
      </c>
      <c r="BA223" s="75"/>
      <c r="BB223" s="75"/>
      <c r="BC223" s="75"/>
      <c r="BD223" s="75"/>
      <c r="BE223" s="21" t="str">
        <f t="shared" si="19"/>
        <v>[267] = {wayshrines={193,193,193,}, dlcId=DLC_BASE_GAME</v>
      </c>
      <c r="BF223" s="21" t="str">
        <f t="shared" si="20"/>
        <v>, zoneIds={144,3,3}, veteran={[EQUIP_TYPE_HEAD]=true, [EQUIP_TYPE_SHOULDERS]=false}</v>
      </c>
      <c r="BG223" s="21" t="str">
        <f t="shared" si="21"/>
        <v>, setType=LIBSETS_SETTYPE_MONSTER, undauntedChestId=2</v>
      </c>
      <c r="BH223" s="21" t="str">
        <f t="shared" si="22"/>
        <v>, dropMechanic={LIBSETS_DROP_MECHANIC_MONSTER_NAME}, dropMechanicDropLocationNames={['en']={'The Whisperer','','','','','',},['de']={'Die Flüsterin','','','','','',},}</v>
      </c>
      <c r="BI223" s="21" t="str">
        <f t="shared" si="23"/>
        <v>}, --Swarm Mother / Schwarmmutter   [Spindleclutch I, Glenumbra, Glenumbra]</v>
      </c>
    </row>
    <row r="224" spans="1:61" x14ac:dyDescent="0.25">
      <c r="A224" s="5">
        <v>268</v>
      </c>
      <c r="B224" t="s">
        <v>1074</v>
      </c>
      <c r="C224" t="s">
        <v>21</v>
      </c>
      <c r="D224" s="3">
        <f t="shared" si="18"/>
        <v>268</v>
      </c>
      <c r="G224" s="8" t="s">
        <v>1472</v>
      </c>
      <c r="H224" s="83">
        <v>2</v>
      </c>
      <c r="I224" t="s">
        <v>1459</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5" t="s">
        <v>2645</v>
      </c>
      <c r="BA224" s="75"/>
      <c r="BB224" s="75"/>
      <c r="BC224" s="75"/>
      <c r="BD224" s="75"/>
      <c r="BE224" s="21" t="str">
        <f t="shared" si="19"/>
        <v>[268] = {wayshrines={198,198,198,}, dlcId=DLC_BASE_GAME</v>
      </c>
      <c r="BF224" s="21" t="str">
        <f t="shared" si="20"/>
        <v>, zoneIds={63,57,57}, veteran={[EQUIP_TYPE_HEAD]=true, [EQUIP_TYPE_SHOULDERS]=false}</v>
      </c>
      <c r="BG224" s="21" t="str">
        <f t="shared" si="21"/>
        <v>, setType=LIBSETS_SETTYPE_MONSTER, undauntedChestId=2</v>
      </c>
      <c r="BH224" s="21" t="str">
        <f t="shared" si="22"/>
        <v>, dropMechanic={LIBSETS_DROP_MECHANIC_MONSTER_NAME}, dropMechanicDropLocationNames={['en']={'Sentinel of Rkugamz','','','','','',},['de']={'Wachposten von Rkugamz','','','','','',},}</v>
      </c>
      <c r="BI224" s="21" t="str">
        <f t="shared" si="23"/>
        <v>}, --Sentinel of Rkugamz / Wachposten von Rkugamz   [Darkshade Caverns I, Deshaan, Deshaan]</v>
      </c>
    </row>
    <row r="225" spans="1:61" x14ac:dyDescent="0.25">
      <c r="A225" s="5">
        <v>269</v>
      </c>
      <c r="B225" t="s">
        <v>1075</v>
      </c>
      <c r="C225" t="s">
        <v>2</v>
      </c>
      <c r="D225" s="3">
        <f t="shared" si="18"/>
        <v>269</v>
      </c>
      <c r="G225" s="8" t="s">
        <v>1472</v>
      </c>
      <c r="H225" s="83">
        <v>2</v>
      </c>
      <c r="I225" t="s">
        <v>1459</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5" t="s">
        <v>2645</v>
      </c>
      <c r="BA225" s="75"/>
      <c r="BB225" s="75"/>
      <c r="BC225" s="75"/>
      <c r="BD225" s="75"/>
      <c r="BE225" s="21" t="str">
        <f t="shared" si="19"/>
        <v>[269] = {wayshrines={191,191,191,}, dlcId=DLC_BASE_GAME</v>
      </c>
      <c r="BF225" s="21" t="str">
        <f t="shared" si="20"/>
        <v>, zoneIds={126,383,383}, veteran={[EQUIP_TYPE_HEAD]=true, [EQUIP_TYPE_SHOULDERS]=false}</v>
      </c>
      <c r="BG225" s="21" t="str">
        <f t="shared" si="21"/>
        <v>, setType=LIBSETS_SETTYPE_MONSTER, undauntedChestId=2</v>
      </c>
      <c r="BH225" s="21" t="str">
        <f t="shared" si="22"/>
        <v>, dropMechanic={LIBSETS_DROP_MECHANIC_MONSTER_NAME}, dropMechanicDropLocationNames={['en']={'Canonreeve Oraneth','','','','','',},['de']={'Stiftsvogt Oraneth','','','','','',},}</v>
      </c>
      <c r="BI225" s="21" t="str">
        <f t="shared" si="23"/>
        <v>}, --Chokethorn / Würgedorn   [Elden Hollow I, Grahtwood, Grahtwood]</v>
      </c>
    </row>
    <row r="226" spans="1:61" x14ac:dyDescent="0.25">
      <c r="A226" s="5">
        <v>270</v>
      </c>
      <c r="B226" t="s">
        <v>1076</v>
      </c>
      <c r="C226" t="s">
        <v>23</v>
      </c>
      <c r="D226" s="3">
        <f t="shared" si="18"/>
        <v>270</v>
      </c>
      <c r="G226" s="8" t="s">
        <v>1472</v>
      </c>
      <c r="H226" s="83">
        <v>2</v>
      </c>
      <c r="I226" t="s">
        <v>1459</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5" t="s">
        <v>2645</v>
      </c>
      <c r="BA226" s="75"/>
      <c r="BB226" s="75"/>
      <c r="BC226" s="75"/>
      <c r="BD226" s="75"/>
      <c r="BE226" s="21" t="str">
        <f t="shared" si="19"/>
        <v>[270] = {wayshrines={189,189,189,}, dlcId=DLC_BASE_GAME</v>
      </c>
      <c r="BF226" s="21" t="str">
        <f t="shared" si="20"/>
        <v>, zoneIds={146,19,19}, veteran={[EQUIP_TYPE_HEAD]=true, [EQUIP_TYPE_SHOULDERS]=false}</v>
      </c>
      <c r="BG226" s="21" t="str">
        <f t="shared" si="21"/>
        <v>, setType=LIBSETS_SETTYPE_MONSTER, undauntedChestId=2</v>
      </c>
      <c r="BH226" s="21" t="str">
        <f t="shared" si="22"/>
        <v>, dropMechanic={LIBSETS_DROP_MECHANIC_MONSTER_NAME}, dropMechanicDropLocationNames={['en']={'Varaine and Allene Pellingare','','','','','',},['de']={'Varaine und Allene Pellingare','','','','','',},}</v>
      </c>
      <c r="BI226" s="21" t="str">
        <f t="shared" si="23"/>
        <v>}, --Slimecraw / Schleimkropf   [Wayrest Sewers I, Stormhaven, Stormhaven]</v>
      </c>
    </row>
    <row r="227" spans="1:61" x14ac:dyDescent="0.25">
      <c r="A227" s="5">
        <v>271</v>
      </c>
      <c r="B227" t="s">
        <v>20</v>
      </c>
      <c r="C227" t="s">
        <v>20</v>
      </c>
      <c r="D227" s="3">
        <f t="shared" si="18"/>
        <v>271</v>
      </c>
      <c r="G227" s="8" t="s">
        <v>1472</v>
      </c>
      <c r="H227" s="83">
        <v>1</v>
      </c>
      <c r="I227" t="s">
        <v>1459</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5" t="s">
        <v>2645</v>
      </c>
      <c r="BA227" s="75"/>
      <c r="BB227" s="75"/>
      <c r="BC227" s="75"/>
      <c r="BD227" s="75"/>
      <c r="BE227" s="21" t="str">
        <f t="shared" si="19"/>
        <v>[271] = {wayshrines={192,192,192,}, dlcId=DLC_BASE_GAME</v>
      </c>
      <c r="BF227" s="21" t="str">
        <f t="shared" si="20"/>
        <v>, zoneIds={148,117,117}, veteran={[EQUIP_TYPE_HEAD]=true, [EQUIP_TYPE_SHOULDERS]=false}</v>
      </c>
      <c r="BG227" s="21" t="str">
        <f t="shared" si="21"/>
        <v>, setType=LIBSETS_SETTYPE_MONSTER, undauntedChestId=1</v>
      </c>
      <c r="BH227" s="21" t="str">
        <f t="shared" si="22"/>
        <v>, dropMechanic={LIBSETS_DROP_MECHANIC_MONSTER_NAME}, dropMechanicDropLocationNames={['en']={'Sellistrix the Lamia Queen','','','','','',},['de']={'Sellistrix die Lamienkönigin','','','','','',},}</v>
      </c>
      <c r="BI227" s="21" t="str">
        <f t="shared" si="23"/>
        <v>}, --Sellistrix / Sellistrix   [Arx Corinium, Shadowfen, Shadowfen]</v>
      </c>
    </row>
    <row r="228" spans="1:61" x14ac:dyDescent="0.25">
      <c r="A228" s="5">
        <v>272</v>
      </c>
      <c r="B228" t="s">
        <v>1077</v>
      </c>
      <c r="C228" t="s">
        <v>9</v>
      </c>
      <c r="D228" s="3">
        <f t="shared" si="18"/>
        <v>272</v>
      </c>
      <c r="G228" s="8" t="s">
        <v>1472</v>
      </c>
      <c r="H228" s="83">
        <v>1</v>
      </c>
      <c r="I228" t="s">
        <v>1459</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5" t="s">
        <v>2645</v>
      </c>
      <c r="BA228" s="75"/>
      <c r="BB228" s="75"/>
      <c r="BC228" s="75"/>
      <c r="BD228" s="75"/>
      <c r="BE228" s="21" t="str">
        <f t="shared" si="19"/>
        <v>[272] = {wayshrines={197,197,197,}, dlcId=DLC_BASE_GAME</v>
      </c>
      <c r="BF228" s="21" t="str">
        <f t="shared" si="20"/>
        <v>, zoneIds={176,108,108}, veteran={[EQUIP_TYPE_HEAD]=true, [EQUIP_TYPE_SHOULDERS]=false}</v>
      </c>
      <c r="BG228" s="21" t="str">
        <f t="shared" si="21"/>
        <v>, setType=LIBSETS_SETTYPE_MONSTER, undauntedChestId=1</v>
      </c>
      <c r="BH228" s="21" t="str">
        <f t="shared" si="22"/>
        <v>, dropMechanic={LIBSETS_DROP_MECHANIC_MONSTER_NAME}, dropMechanicDropLocationNames={['en']={'Razor Master Erthas','','','','','',},['de']={'Klingenmeister Erthas','','','','','',},}</v>
      </c>
      <c r="BI228" s="21" t="str">
        <f t="shared" si="23"/>
        <v>}, --Infernal Guardian / Infernaler Wächter   [City of Ash I, Greenshade, Greenshade]</v>
      </c>
    </row>
    <row r="229" spans="1:61" x14ac:dyDescent="0.25">
      <c r="A229" s="5">
        <v>273</v>
      </c>
      <c r="B229" t="s">
        <v>8</v>
      </c>
      <c r="C229" t="s">
        <v>8</v>
      </c>
      <c r="D229" s="3">
        <f t="shared" si="18"/>
        <v>273</v>
      </c>
      <c r="G229" s="8" t="s">
        <v>1472</v>
      </c>
      <c r="H229" s="83">
        <v>1</v>
      </c>
      <c r="I229" t="s">
        <v>1459</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1535</v>
      </c>
      <c r="W229" s="3" t="s">
        <v>4021</v>
      </c>
      <c r="X229" s="3" t="s">
        <v>4018</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5" t="s">
        <v>2645</v>
      </c>
      <c r="BA229" s="75"/>
      <c r="BB229" s="75"/>
      <c r="BC229" s="75"/>
      <c r="BD229" s="75"/>
      <c r="BE229" s="21" t="str">
        <f t="shared" si="19"/>
        <v>[273] = {wayshrines={190,190,190,}, dlcId=DLC_BASE_GAME</v>
      </c>
      <c r="BF229" s="21" t="str">
        <f t="shared" si="20"/>
        <v>, zoneIds={130,20,20}, veteran={[EQUIP_TYPE_HEAD]=true, [EQUIP_TYPE_SHOULDERS]=false}</v>
      </c>
      <c r="BG229" s="21" t="str">
        <f t="shared" si="21"/>
        <v>, setType=LIBSETS_SETTYPE_MONSTER, undauntedChestId=1</v>
      </c>
      <c r="BH229" s="21" t="str">
        <f t="shared" si="22"/>
        <v>, dropMechanic={LIBSETS_DROP_MECHANIC_MONSTER_NAME}, dropMechanicDropLocationNames={['en']={'Ilambris twins (Athor or Zaven)','','','','','',},['de']={'Ilambris Zwillinge (Athor oder Zaven)','','','','','',},}</v>
      </c>
      <c r="BI229" s="21" t="str">
        <f t="shared" si="23"/>
        <v>}, --Ilambris / Ilambris   [Crypt of Hearts I, Rivenspire, Rivenspire]</v>
      </c>
    </row>
    <row r="230" spans="1:61" x14ac:dyDescent="0.25">
      <c r="A230" s="5">
        <v>274</v>
      </c>
      <c r="B230" t="s">
        <v>1078</v>
      </c>
      <c r="C230" t="s">
        <v>7</v>
      </c>
      <c r="D230" s="3">
        <f t="shared" si="18"/>
        <v>274</v>
      </c>
      <c r="G230" s="8" t="s">
        <v>1472</v>
      </c>
      <c r="H230" s="83">
        <v>1</v>
      </c>
      <c r="I230" t="s">
        <v>1459</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5" t="s">
        <v>2645</v>
      </c>
      <c r="BA230" s="75"/>
      <c r="BB230" s="75"/>
      <c r="BC230" s="75"/>
      <c r="BD230" s="75"/>
      <c r="BE230" s="21" t="str">
        <f t="shared" si="19"/>
        <v>[274] = {wayshrines={195,195,195,}, dlcId=DLC_BASE_GAME</v>
      </c>
      <c r="BF230" s="21" t="str">
        <f t="shared" si="20"/>
        <v>, zoneIds={449,101,101}, veteran={[EQUIP_TYPE_HEAD]=true, [EQUIP_TYPE_SHOULDERS]=false}</v>
      </c>
      <c r="BG230" s="21" t="str">
        <f t="shared" si="21"/>
        <v>, setType=LIBSETS_SETTYPE_MONSTER, undauntedChestId=1</v>
      </c>
      <c r="BH230" s="21" t="str">
        <f t="shared" si="22"/>
        <v>, dropMechanic={LIBSETS_DROP_MECHANIC_MONSTER_NAME}, dropMechanicDropLocationNames={['en']={'Drodda of Icereach','','','','','',},['de']={'Drodda von Eiskap','','','','','',},}</v>
      </c>
      <c r="BI230" s="21" t="str">
        <f t="shared" si="23"/>
        <v>}, --Iceheart / Eisherz   [Direfrost Keep, Eastmarch, Eastmarch]</v>
      </c>
    </row>
    <row r="231" spans="1:61" x14ac:dyDescent="0.25">
      <c r="A231" s="5">
        <v>275</v>
      </c>
      <c r="B231" t="s">
        <v>1079</v>
      </c>
      <c r="C231" t="s">
        <v>26</v>
      </c>
      <c r="D231" s="3">
        <f t="shared" si="18"/>
        <v>275</v>
      </c>
      <c r="G231" s="8" t="s">
        <v>1472</v>
      </c>
      <c r="H231" s="83">
        <v>1</v>
      </c>
      <c r="I231" t="s">
        <v>1459</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5" t="s">
        <v>2645</v>
      </c>
      <c r="BA231" s="75"/>
      <c r="BB231" s="75"/>
      <c r="BC231" s="75"/>
      <c r="BD231" s="75"/>
      <c r="BE231" s="21" t="str">
        <f t="shared" si="19"/>
        <v>[275] = {wayshrines={188,188,188,}, dlcId=DLC_BASE_GAME</v>
      </c>
      <c r="BF231" s="21" t="str">
        <f t="shared" si="20"/>
        <v>, zoneIds={131,58,58}, veteran={[EQUIP_TYPE_HEAD]=true, [EQUIP_TYPE_SHOULDERS]=false}</v>
      </c>
      <c r="BG231" s="21" t="str">
        <f t="shared" si="21"/>
        <v>, setType=LIBSETS_SETTYPE_MONSTER, undauntedChestId=1</v>
      </c>
      <c r="BH231" s="21" t="str">
        <f t="shared" si="22"/>
        <v>, dropMechanic={LIBSETS_DROP_MECHANIC_MONSTER_NAME}, dropMechanicDropLocationNames={['en']={'Stormreeve Neidir','','','','','',},['de']={'Sturmvogt Neidir','','','','','',},}</v>
      </c>
      <c r="BI231" s="21" t="str">
        <f t="shared" si="23"/>
        <v>}, --Stormfist / Sturmfaust   [Tempest Island, Malabal Tor, Malabal Tor]</v>
      </c>
    </row>
    <row r="232" spans="1:61" x14ac:dyDescent="0.25">
      <c r="A232" s="5">
        <v>276</v>
      </c>
      <c r="B232" t="s">
        <v>1080</v>
      </c>
      <c r="C232" t="s">
        <v>29</v>
      </c>
      <c r="D232" s="3">
        <f t="shared" si="18"/>
        <v>276</v>
      </c>
      <c r="G232" s="8" t="s">
        <v>1472</v>
      </c>
      <c r="H232" s="83">
        <v>1</v>
      </c>
      <c r="I232" t="s">
        <v>1459</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5" t="s">
        <v>2645</v>
      </c>
      <c r="BA232" s="75"/>
      <c r="BB232" s="75"/>
      <c r="BC232" s="75"/>
      <c r="BD232" s="75"/>
      <c r="BE232" s="21" t="str">
        <f t="shared" si="19"/>
        <v>[276] = {wayshrines={196,196,196,}, dlcId=DLC_BASE_GAME</v>
      </c>
      <c r="BF232" s="21" t="str">
        <f t="shared" si="20"/>
        <v>, zoneIds={22,104,104}, veteran={[EQUIP_TYPE_HEAD]=true, [EQUIP_TYPE_SHOULDERS]=false}</v>
      </c>
      <c r="BG232" s="21" t="str">
        <f t="shared" si="21"/>
        <v>, setType=LIBSETS_SETTYPE_MONSTER, undauntedChestId=1</v>
      </c>
      <c r="BH232" s="21" t="str">
        <f t="shared" si="22"/>
        <v>, dropMechanic={LIBSETS_DROP_MECHANIC_MONSTER_NAME}, dropMechanicDropLocationNames={['en']={'The Guardian Council','','','','','',},['de']={'Die Wächter','','','','','',},}</v>
      </c>
      <c r="BI232" s="21" t="str">
        <f t="shared" si="23"/>
        <v>}, --Tremorscale / Bebenschuppe   [Volenfell, Alik'r Desert, Alik'r Desert]</v>
      </c>
    </row>
    <row r="233" spans="1:61" x14ac:dyDescent="0.25">
      <c r="A233" s="5">
        <v>277</v>
      </c>
      <c r="B233" t="s">
        <v>1081</v>
      </c>
      <c r="C233" t="s">
        <v>17</v>
      </c>
      <c r="D233" s="3">
        <f t="shared" si="18"/>
        <v>277</v>
      </c>
      <c r="G233" s="8" t="s">
        <v>1472</v>
      </c>
      <c r="H233" s="83">
        <v>1</v>
      </c>
      <c r="I233" t="s">
        <v>1459</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5" t="s">
        <v>2645</v>
      </c>
      <c r="BA233" s="75"/>
      <c r="BB233" s="75"/>
      <c r="BC233" s="75"/>
      <c r="BD233" s="75"/>
      <c r="BE233" s="21" t="str">
        <f t="shared" si="19"/>
        <v>[277] = {wayshrines={186,186,186,}, dlcId=DLC_BASE_GAME</v>
      </c>
      <c r="BF233" s="21" t="str">
        <f t="shared" si="20"/>
        <v>, zoneIds={38,92,92}, veteran={[EQUIP_TYPE_HEAD]=true, [EQUIP_TYPE_SHOULDERS]=false}</v>
      </c>
      <c r="BG233" s="21" t="str">
        <f t="shared" si="21"/>
        <v>, setType=LIBSETS_SETTYPE_MONSTER, undauntedChestId=1</v>
      </c>
      <c r="BH233" s="21" t="str">
        <f t="shared" si="22"/>
        <v>, dropMechanic={LIBSETS_DROP_MECHANIC_MONSTER_NAME}, dropMechanicDropLocationNames={['en']={'Captain Blackheart','','','','','',},['de']={'Kapitän Schwarzherz','','','','','',},}</v>
      </c>
      <c r="BI233" s="21" t="str">
        <f t="shared" si="23"/>
        <v>}, --Pirate Skeleton / Piratenskelett   [Blackheart Haven, Bangkorai, Bangkorai]</v>
      </c>
    </row>
    <row r="234" spans="1:61" x14ac:dyDescent="0.25">
      <c r="A234" s="5">
        <v>278</v>
      </c>
      <c r="B234" t="s">
        <v>1082</v>
      </c>
      <c r="C234" t="s">
        <v>1083</v>
      </c>
      <c r="D234" s="3">
        <f t="shared" si="18"/>
        <v>278</v>
      </c>
      <c r="G234" s="8" t="s">
        <v>1472</v>
      </c>
      <c r="H234" s="83">
        <v>1</v>
      </c>
      <c r="I234" t="s">
        <v>1459</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5" t="s">
        <v>2645</v>
      </c>
      <c r="BA234" s="75"/>
      <c r="BB234" s="75"/>
      <c r="BC234" s="75"/>
      <c r="BD234" s="75"/>
      <c r="BE234" s="21" t="str">
        <f t="shared" si="19"/>
        <v>[278] = {wayshrines={187,187,187,}, dlcId=DLC_BASE_GAME</v>
      </c>
      <c r="BF234" s="21" t="str">
        <f t="shared" si="20"/>
        <v>, zoneIds={64,103,103}, veteran={[EQUIP_TYPE_HEAD]=true, [EQUIP_TYPE_SHOULDERS]=false}</v>
      </c>
      <c r="BG234" s="21" t="str">
        <f t="shared" si="21"/>
        <v>, setType=LIBSETS_SETTYPE_MONSTER, undauntedChestId=1</v>
      </c>
      <c r="BH234" s="21" t="str">
        <f t="shared" si="22"/>
        <v>, dropMechanic={LIBSETS_DROP_MECHANIC_MONSTER_NAME}, dropMechanicDropLocationNames={['en']={'The Lava Queen','','','','','',},['de']={'Die Lavakönigin','','','','','',},}</v>
      </c>
      <c r="BI234" s="21" t="str">
        <f t="shared" si="23"/>
        <v>}, --The Troll King / Trollkönig   [Blessed Crucible, The Rift, The Rift]</v>
      </c>
    </row>
    <row r="235" spans="1:61" x14ac:dyDescent="0.25">
      <c r="A235" s="5">
        <v>279</v>
      </c>
      <c r="B235" t="s">
        <v>19</v>
      </c>
      <c r="C235" t="s">
        <v>19</v>
      </c>
      <c r="D235" s="3">
        <f t="shared" si="18"/>
        <v>279</v>
      </c>
      <c r="G235" s="8" t="s">
        <v>1472</v>
      </c>
      <c r="H235" s="83">
        <v>1</v>
      </c>
      <c r="I235" t="s">
        <v>1459</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5" t="s">
        <v>2645</v>
      </c>
      <c r="BA235" s="75"/>
      <c r="BB235" s="75"/>
      <c r="BC235" s="75"/>
      <c r="BD235" s="75"/>
      <c r="BE235" s="21" t="str">
        <f t="shared" si="19"/>
        <v>[279] = {wayshrines={185,185,185,}, dlcId=DLC_BASE_GAME</v>
      </c>
      <c r="BF235" s="21" t="str">
        <f t="shared" si="20"/>
        <v>, zoneIds={31,382,382}, veteran={[EQUIP_TYPE_HEAD]=true, [EQUIP_TYPE_SHOULDERS]=false}</v>
      </c>
      <c r="BG235" s="21" t="str">
        <f t="shared" si="21"/>
        <v>, setType=LIBSETS_SETTYPE_MONSTER, undauntedChestId=1</v>
      </c>
      <c r="BH235" s="21" t="str">
        <f t="shared" si="22"/>
        <v>, dropMechanic={LIBSETS_DROP_MECHANIC_MONSTER_NAME}, dropMechanicDropLocationNames={['en']={'Selene','','','','','',},['de']={'Selene','','','','','',},}</v>
      </c>
      <c r="BI235" s="21" t="str">
        <f t="shared" si="23"/>
        <v>}, --Selene / Selene   [Selene's Web, Reaper's March, Reaper's March]</v>
      </c>
    </row>
    <row r="236" spans="1:61" x14ac:dyDescent="0.25">
      <c r="A236" s="5">
        <v>280</v>
      </c>
      <c r="B236" t="s">
        <v>6</v>
      </c>
      <c r="C236" t="s">
        <v>6</v>
      </c>
      <c r="D236" s="3">
        <f t="shared" si="18"/>
        <v>280</v>
      </c>
      <c r="G236" s="8" t="s">
        <v>1472</v>
      </c>
      <c r="H236" s="83">
        <v>1</v>
      </c>
      <c r="I236" t="s">
        <v>1459</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5" t="s">
        <v>2645</v>
      </c>
      <c r="BA236" s="75"/>
      <c r="BB236" s="75"/>
      <c r="BC236" s="75"/>
      <c r="BD236" s="75"/>
      <c r="BE236" s="21" t="str">
        <f t="shared" si="19"/>
        <v>[280] = {wayshrines={184,184,184,}, dlcId=DLC_BASE_GAME</v>
      </c>
      <c r="BF236" s="21" t="str">
        <f t="shared" si="20"/>
        <v>, zoneIds={11,347,347}, veteran={[EQUIP_TYPE_HEAD]=true, [EQUIP_TYPE_SHOULDERS]=false}</v>
      </c>
      <c r="BG236" s="21" t="str">
        <f t="shared" si="21"/>
        <v>, setType=LIBSETS_SETTYPE_MONSTER, undauntedChestId=1</v>
      </c>
      <c r="BH236" s="21" t="str">
        <f t="shared" si="22"/>
        <v>, dropMechanic={LIBSETS_DROP_MECHANIC_MONSTER_NAME}, dropMechanicDropLocationNames={['en']={'Mad Architect','','','','','',},['de']={'Der Verrückte Architekt','','','','','',},}</v>
      </c>
      <c r="BI236" s="21" t="str">
        <f t="shared" si="23"/>
        <v>}, --Grothdarr / Grothdarr   [Vaults of Madness, Coldharbour, Coldharbour]</v>
      </c>
    </row>
    <row r="237" spans="1:61" x14ac:dyDescent="0.25">
      <c r="A237" s="12">
        <v>281</v>
      </c>
      <c r="B237" t="s">
        <v>1084</v>
      </c>
      <c r="C237" t="s">
        <v>1085</v>
      </c>
      <c r="D237" s="3">
        <f t="shared" si="18"/>
        <v>281</v>
      </c>
      <c r="G237" s="8" t="s">
        <v>1473</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1554</v>
      </c>
      <c r="AI237" s="39"/>
      <c r="AJ237" s="39"/>
      <c r="AK237" s="3">
        <f>IF(AND(G237&lt;&gt;"LIBSETS_SETTYPE_BATTLEGROUND",G237&lt;&gt;"LIBSETS_SETTYPE_SPECIAL"),IF(AL237&lt;&gt;"",VLOOKUP(AL237,'ESO zone constants'!$D$5:$H$4955,5,FALSE),""),"")</f>
        <v>280</v>
      </c>
      <c r="AL237" s="4" t="s">
        <v>196</v>
      </c>
      <c r="AM237" s="33" t="s">
        <v>1554</v>
      </c>
      <c r="AN237" s="39"/>
      <c r="AO237" s="39"/>
      <c r="AP237" s="3">
        <f>IF(AND(G237&lt;&gt;"LIBSETS_SETTYPE_BATTLEGROUND",G237&lt;&gt;"LIBSETS_SETTYPE_SPECIAL"),IF(AQ237&lt;&gt;"",VLOOKUP(AQ237,'ESO zone constants'!$D$5:$H$4955,5,FALSE),""),"")</f>
        <v>281</v>
      </c>
      <c r="AQ237" t="s">
        <v>197</v>
      </c>
      <c r="AR237" s="33" t="s">
        <v>1554</v>
      </c>
      <c r="AS237" s="39"/>
      <c r="AT237" s="39"/>
      <c r="AU237" s="3" t="str">
        <f>IF(AND(G237&lt;&gt;"LIBSETS_SETTYPE_BATTLEGROUND",G237&lt;&gt;"LIBSETS_SETTYPE_SPECIAL"),IF(AV237&lt;&gt;"",VLOOKUP(AV237,'ESO zone constants'!$D$5:$H$4955,5,FALSE),""),"")</f>
        <v/>
      </c>
      <c r="AV237" s="4"/>
      <c r="AX237" s="39"/>
      <c r="AY237" s="39"/>
      <c r="AZ237" s="75" t="s">
        <v>2646</v>
      </c>
      <c r="BA237" s="75"/>
      <c r="BB237" s="75"/>
      <c r="BC237" s="75"/>
      <c r="BD237" s="75"/>
      <c r="BE237" s="21" t="str">
        <f t="shared" si="19"/>
        <v>[281] = {wayshrines={138,141,181,}, dlcId=DLC_BASE_GAME</v>
      </c>
      <c r="BF237" s="21" t="str">
        <f t="shared" si="20"/>
        <v>, zoneIds={534,537,535,280,281}, veteran=false</v>
      </c>
      <c r="BG237" s="21" t="str">
        <f t="shared" si="21"/>
        <v>, setType=LIBSETS_SETTYPE_OVERLAND</v>
      </c>
      <c r="BH237" s="21" t="str">
        <f t="shared" si="22"/>
        <v>, isProcSetAllowedInPvP=1, dropMechanic={LIBSETS_DROP_MECHANIC_OVERLAND_CHEST,LIBSETS_DROP_MECHANIC_OVERLAND_CHEST,LIBSETS_DROP_MECHANIC_OVERLAND_CHEST,LIBSETS_DROP_MECHANIC_OVERLAND_CHEST,LIBSETS_DROP_MECHANIC_OVERLAND_CHEST}</v>
      </c>
      <c r="BI237" s="21" t="str">
        <f t="shared" si="23"/>
        <v>}, --Armor of the Trainee / Rüstung des Auszubildenden   [Stros M'Kai, Khenarthi's Roost, Betnikh, Bleakrock Isle, Bal Foyen]</v>
      </c>
    </row>
    <row r="238" spans="1:61" x14ac:dyDescent="0.25">
      <c r="A238" s="12">
        <v>282</v>
      </c>
      <c r="B238" t="s">
        <v>1086</v>
      </c>
      <c r="C238" t="s">
        <v>1087</v>
      </c>
      <c r="D238" s="3">
        <f t="shared" si="18"/>
        <v>282</v>
      </c>
      <c r="G238" s="8" t="s">
        <v>1473</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1553</v>
      </c>
      <c r="AI238" s="39"/>
      <c r="AJ238" s="39"/>
      <c r="AK238" s="3">
        <f>IF(AND(G238&lt;&gt;"LIBSETS_SETTYPE_BATTLEGROUND",G238&lt;&gt;"LIBSETS_SETTYPE_SPECIAL"),IF(AL238&lt;&gt;"",VLOOKUP(AL238,'ESO zone constants'!$D$5:$H$4955,5,FALSE),""),"")</f>
        <v>20</v>
      </c>
      <c r="AL238" t="s">
        <v>105</v>
      </c>
      <c r="AM238" s="33" t="s">
        <v>1554</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5" t="s">
        <v>2645</v>
      </c>
      <c r="BA238" s="75"/>
      <c r="BB238" s="75"/>
      <c r="BC238" s="75"/>
      <c r="BD238" s="75"/>
      <c r="BE238" s="21" t="str">
        <f t="shared" si="19"/>
        <v>[282] = {wayshrines={55,55,55,}, dlcId=DLC_BASE_GAME</v>
      </c>
      <c r="BF238" s="21" t="str">
        <f t="shared" si="20"/>
        <v>, zoneIds={20,20,162,20}, veteran=false</v>
      </c>
      <c r="BG238" s="21" t="str">
        <f t="shared" si="21"/>
        <v>, setType=LIBSETS_SETTYPE_OVERLAND</v>
      </c>
      <c r="BH238" s="21" t="str">
        <f t="shared" si="22"/>
        <v>, dropMechanic={LIBSETS_DROP_MECHANIC_OVERLAND_BOSS_DELVE,LIBSETS_DROP_MECHANIC_OVERLAND_WORLDBOSS,LIBSETS_DROP_MECHANIC_OVERLAND_BOSS_PUBLIC_DUNGEON,LIBSETS_DROP_MECHANIC_OVERLAND_CHEST}</v>
      </c>
      <c r="BI238" s="21" t="str">
        <f t="shared" si="23"/>
        <v>}, --Vampire Cloak / Vampirumhang   [Rivenspire, Rivenspire, Obsidian Scar, Rivenspire]</v>
      </c>
    </row>
    <row r="239" spans="1:61" x14ac:dyDescent="0.25">
      <c r="A239" s="12">
        <v>283</v>
      </c>
      <c r="B239" t="s">
        <v>1088</v>
      </c>
      <c r="C239" t="s">
        <v>1089</v>
      </c>
      <c r="D239" s="3">
        <f t="shared" si="18"/>
        <v>283</v>
      </c>
      <c r="G239" s="8" t="s">
        <v>1473</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1553</v>
      </c>
      <c r="AI239" s="39"/>
      <c r="AJ239" s="39"/>
      <c r="AK239" s="3">
        <f>IF(AND(G239&lt;&gt;"LIBSETS_SETTYPE_BATTLEGROUND",G239&lt;&gt;"LIBSETS_SETTYPE_SPECIAL"),IF(AL239&lt;&gt;"",VLOOKUP(AL239,'ESO zone constants'!$D$5:$H$4955,5,FALSE),""),"")</f>
        <v>104</v>
      </c>
      <c r="AL239" t="s">
        <v>112</v>
      </c>
      <c r="AM239" s="33" t="s">
        <v>1554</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5" t="s">
        <v>2646</v>
      </c>
      <c r="BA239" s="75"/>
      <c r="BB239" s="75"/>
      <c r="BC239" s="75"/>
      <c r="BD239" s="75"/>
      <c r="BE239" s="21" t="str">
        <f t="shared" si="19"/>
        <v>[283] = {wayshrines={61,61,61,}, dlcId=DLC_BASE_GAME</v>
      </c>
      <c r="BF239" s="21" t="str">
        <f t="shared" si="20"/>
        <v>, zoneIds={104,104,308,104}, veteran=false</v>
      </c>
      <c r="BG239" s="21" t="str">
        <f t="shared" si="21"/>
        <v>, setType=LIBSETS_SETTYPE_OVERLAND</v>
      </c>
      <c r="BH239" s="21" t="str">
        <f t="shared" si="22"/>
        <v>, isProcSetAllowedInPvP=1, dropMechanic={LIBSETS_DROP_MECHANIC_OVERLAND_BOSS_DELVE,LIBSETS_DROP_MECHANIC_OVERLAND_WORLDBOSS,LIBSETS_DROP_MECHANIC_OVERLAND_BOSS_PUBLIC_DUNGEON,LIBSETS_DROP_MECHANIC_OVERLAND_CHEST}</v>
      </c>
      <c r="BI239" s="21" t="str">
        <f t="shared" si="23"/>
        <v>}, --Sword-Singer / Schwertsänger   [Alik'r Desert, Alik'r Desert, Lost City of the Na-Totambu, Alik'r Desert]</v>
      </c>
    </row>
    <row r="240" spans="1:61" x14ac:dyDescent="0.25">
      <c r="A240" s="12">
        <v>284</v>
      </c>
      <c r="B240" t="s">
        <v>1090</v>
      </c>
      <c r="C240" t="s">
        <v>1091</v>
      </c>
      <c r="D240" s="3">
        <f t="shared" si="18"/>
        <v>284</v>
      </c>
      <c r="G240" s="8" t="s">
        <v>1473</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1553</v>
      </c>
      <c r="AI240" s="39"/>
      <c r="AJ240" s="39"/>
      <c r="AK240" s="3">
        <f>IF(AND(G240&lt;&gt;"LIBSETS_SETTYPE_BATTLEGROUND",G240&lt;&gt;"LIBSETS_SETTYPE_SPECIAL"),IF(AL240&lt;&gt;"",VLOOKUP(AL240,'ESO zone constants'!$D$5:$H$4955,5,FALSE),""),"")</f>
        <v>104</v>
      </c>
      <c r="AL240" t="s">
        <v>112</v>
      </c>
      <c r="AM240" s="33" t="s">
        <v>1554</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5" t="s">
        <v>2645</v>
      </c>
      <c r="BA240" s="75"/>
      <c r="BB240" s="75"/>
      <c r="BC240" s="75"/>
      <c r="BD240" s="75"/>
      <c r="BE240" s="21" t="str">
        <f t="shared" si="19"/>
        <v>[284] = {wayshrines={61,61,61,}, dlcId=DLC_BASE_GAME</v>
      </c>
      <c r="BF240" s="21" t="str">
        <f t="shared" si="20"/>
        <v>, zoneIds={104,104,308,104}, veteran=false</v>
      </c>
      <c r="BG240" s="21" t="str">
        <f t="shared" si="21"/>
        <v>, setType=LIBSETS_SETTYPE_OVERLAND</v>
      </c>
      <c r="BH240" s="21" t="str">
        <f t="shared" si="22"/>
        <v>, dropMechanic={LIBSETS_DROP_MECHANIC_OVERLAND_BOSS_DELVE,LIBSETS_DROP_MECHANIC_OVERLAND_WORLDBOSS,LIBSETS_DROP_MECHANIC_OVERLAND_BOSS_PUBLIC_DUNGEON,LIBSETS_DROP_MECHANIC_OVERLAND_CHEST}</v>
      </c>
      <c r="BI240" s="21" t="str">
        <f t="shared" si="23"/>
        <v>}, --Order of Diagna / Orden von Diagna   [Alik'r Desert, Alik'r Desert, Lost City of the Na-Totambu, Alik'r Desert]</v>
      </c>
    </row>
    <row r="241" spans="1:61" x14ac:dyDescent="0.25">
      <c r="A241" s="12">
        <v>285</v>
      </c>
      <c r="B241" t="s">
        <v>1092</v>
      </c>
      <c r="C241" t="s">
        <v>1093</v>
      </c>
      <c r="D241" s="3">
        <f t="shared" si="18"/>
        <v>285</v>
      </c>
      <c r="G241" s="8" t="s">
        <v>1473</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1553</v>
      </c>
      <c r="AI241" s="39"/>
      <c r="AJ241" s="39"/>
      <c r="AK241" s="3">
        <f>IF(AND(G241&lt;&gt;"LIBSETS_SETTYPE_BATTLEGROUND",G241&lt;&gt;"LIBSETS_SETTYPE_SPECIAL"),IF(AL241&lt;&gt;"",VLOOKUP(AL241,'ESO zone constants'!$D$5:$H$4955,5,FALSE),""),"")</f>
        <v>92</v>
      </c>
      <c r="AL241" t="s">
        <v>109</v>
      </c>
      <c r="AM241" s="33" t="s">
        <v>1554</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5" t="s">
        <v>2645</v>
      </c>
      <c r="BA241" s="75"/>
      <c r="BB241" s="75"/>
      <c r="BC241" s="75"/>
      <c r="BD241" s="75"/>
      <c r="BE241" s="21" t="str">
        <f t="shared" si="19"/>
        <v>[285] = {wayshrines={36,36,36,}, dlcId=DLC_BASE_GAME</v>
      </c>
      <c r="BF241" s="21" t="str">
        <f t="shared" si="20"/>
        <v>, zoneIds={92,92,169,92}, veteran=false</v>
      </c>
      <c r="BG241" s="21" t="str">
        <f t="shared" si="21"/>
        <v>, setType=LIBSETS_SETTYPE_OVERLAND</v>
      </c>
      <c r="BH241" s="21" t="str">
        <f t="shared" si="22"/>
        <v>, dropMechanic={LIBSETS_DROP_MECHANIC_OVERLAND_BOSS_DELVE,LIBSETS_DROP_MECHANIC_OVERLAND_WORLDBOSS,LIBSETS_DROP_MECHANIC_OVERLAND_BOSS_PUBLIC_DUNGEON,LIBSETS_DROP_MECHANIC_OVERLAND_CHEST}</v>
      </c>
      <c r="BI241" s="21" t="str">
        <f t="shared" si="23"/>
        <v>}, --Vampire Lord / Vampirfürst   [Bangkorai, Bangkorai, Razak's Wheel, Bangkorai]</v>
      </c>
    </row>
    <row r="242" spans="1:61" x14ac:dyDescent="0.25">
      <c r="A242" s="12">
        <v>286</v>
      </c>
      <c r="B242" t="s">
        <v>1094</v>
      </c>
      <c r="C242" t="s">
        <v>2523</v>
      </c>
      <c r="D242" s="3">
        <f t="shared" si="18"/>
        <v>286</v>
      </c>
      <c r="E242" s="40"/>
      <c r="G242" s="8" t="s">
        <v>1473</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1553</v>
      </c>
      <c r="AI242" s="39"/>
      <c r="AJ242" s="39"/>
      <c r="AK242" s="3">
        <f>IF(AND(G242&lt;&gt;"LIBSETS_SETTYPE_BATTLEGROUND",G242&lt;&gt;"LIBSETS_SETTYPE_SPECIAL"),IF(AL242&lt;&gt;"",VLOOKUP(AL242,'ESO zone constants'!$D$5:$H$4955,5,FALSE),""),"")</f>
        <v>92</v>
      </c>
      <c r="AL242" t="s">
        <v>109</v>
      </c>
      <c r="AM242" s="33" t="s">
        <v>1554</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5" t="s">
        <v>2646</v>
      </c>
      <c r="BA242" s="75"/>
      <c r="BB242" s="75"/>
      <c r="BC242" s="75"/>
      <c r="BD242" s="75"/>
      <c r="BE242" s="21" t="str">
        <f t="shared" si="19"/>
        <v>[286] = {wayshrines={36,36,36,}, dlcId=DLC_BASE_GAME</v>
      </c>
      <c r="BF242" s="21" t="str">
        <f t="shared" si="20"/>
        <v>, zoneIds={92,92,169,92}, veteran=false</v>
      </c>
      <c r="BG242" s="21" t="str">
        <f t="shared" si="21"/>
        <v>, setType=LIBSETS_SETTYPE_OVERLAND</v>
      </c>
      <c r="BH242" s="21" t="str">
        <f t="shared" si="22"/>
        <v>, isProcSetAllowedInPvP=1, dropMechanic={LIBSETS_DROP_MECHANIC_OVERLAND_BOSS_DELVE,LIBSETS_DROP_MECHANIC_OVERLAND_WORLDBOSS,LIBSETS_DROP_MECHANIC_OVERLAND_BOSS_PUBLIC_DUNGEON,LIBSETS_DROP_MECHANIC_OVERLAND_CHEST}</v>
      </c>
      <c r="BI242" s="21" t="str">
        <f t="shared" si="23"/>
        <v>}, --Spriggan\'s Thorns / Dornen des Zweiglings   [Bangkorai, Bangkorai, Razak's Wheel, Bangkorai]</v>
      </c>
    </row>
    <row r="243" spans="1:61" x14ac:dyDescent="0.25">
      <c r="A243" s="12">
        <v>287</v>
      </c>
      <c r="B243" t="s">
        <v>1095</v>
      </c>
      <c r="C243" t="s">
        <v>1096</v>
      </c>
      <c r="D243" s="3">
        <f t="shared" si="18"/>
        <v>287</v>
      </c>
      <c r="G243" s="8" t="s">
        <v>1473</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1553</v>
      </c>
      <c r="AI243" s="39"/>
      <c r="AJ243" s="39"/>
      <c r="AK243" s="3">
        <f>IF(AND(G243&lt;&gt;"LIBSETS_SETTYPE_BATTLEGROUND",G243&lt;&gt;"LIBSETS_SETTYPE_SPECIAL"),IF(AL243&lt;&gt;"",VLOOKUP(AL243,'ESO zone constants'!$D$5:$H$4955,5,FALSE),""),"")</f>
        <v>383</v>
      </c>
      <c r="AL243" t="s">
        <v>264</v>
      </c>
      <c r="AM243" s="33" t="s">
        <v>1554</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5" t="s">
        <v>2645</v>
      </c>
      <c r="BA243" s="75"/>
      <c r="BB243" s="75"/>
      <c r="BC243" s="75"/>
      <c r="BD243" s="75"/>
      <c r="BE243" s="21" t="str">
        <f t="shared" si="19"/>
        <v>[287] = {wayshrines={214,214,214,}, dlcId=DLC_BASE_GAME</v>
      </c>
      <c r="BF243" s="21" t="str">
        <f t="shared" si="20"/>
        <v>, zoneIds={383,383,124,383}, veteran=false</v>
      </c>
      <c r="BG243" s="21" t="str">
        <f t="shared" si="21"/>
        <v>, setType=LIBSETS_SETTYPE_OVERLAND</v>
      </c>
      <c r="BH243" s="21" t="str">
        <f t="shared" si="22"/>
        <v>, dropMechanic={LIBSETS_DROP_MECHANIC_OVERLAND_BOSS_DELVE,LIBSETS_DROP_MECHANIC_OVERLAND_WORLDBOSS,LIBSETS_DROP_MECHANIC_OVERLAND_BOSS_PUBLIC_DUNGEON,LIBSETS_DROP_MECHANIC_OVERLAND_CHEST}</v>
      </c>
      <c r="BI243" s="21" t="str">
        <f t="shared" si="23"/>
        <v>}, --Green Pact / Der Grüne Pakt   [Grahtwood, Grahtwood, Root Sunder Ruins, Grahtwood]</v>
      </c>
    </row>
    <row r="244" spans="1:61" s="14" customFormat="1" x14ac:dyDescent="0.25">
      <c r="A244" s="12">
        <v>288</v>
      </c>
      <c r="B244" t="s">
        <v>1097</v>
      </c>
      <c r="C244" t="s">
        <v>2588</v>
      </c>
      <c r="D244" s="3">
        <f t="shared" si="18"/>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1553</v>
      </c>
      <c r="AI244" s="41"/>
      <c r="AJ244" s="41"/>
      <c r="AK244" s="3">
        <f>IF(AND(G244&lt;&gt;"LIBSETS_SETTYPE_BATTLEGROUND",G244&lt;&gt;"LIBSETS_SETTYPE_SPECIAL"),IF(AL244&lt;&gt;"",VLOOKUP(AL244,'ESO zone constants'!$D$5:$H$4955,5,FALSE),""),"")</f>
        <v>108</v>
      </c>
      <c r="AL244" t="s">
        <v>113</v>
      </c>
      <c r="AM244" s="33" t="s">
        <v>1554</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5" t="s">
        <v>2646</v>
      </c>
      <c r="BA244" s="75"/>
      <c r="BB244" s="75"/>
      <c r="BC244" s="75"/>
      <c r="BD244" s="75"/>
      <c r="BE244" s="21" t="str">
        <f t="shared" si="19"/>
        <v>[288] = {wayshrines={143,143,143,}, dlcId=DLC_BASE_GAME</v>
      </c>
      <c r="BF244" s="21" t="str">
        <f t="shared" si="20"/>
        <v>, zoneIds={108,108,137,108}, veteran=false</v>
      </c>
      <c r="BG244" s="21" t="str">
        <f t="shared" si="21"/>
        <v>, setType=LIBSETS_SETTYPE_OVERLAND</v>
      </c>
      <c r="BH244" s="21" t="str">
        <f t="shared" si="22"/>
        <v>, isProcSetAllowedInPvP=1, dropMechanic={LIBSETS_DROP_MECHANIC_OVERLAND_BOSS_DELVE,LIBSETS_DROP_MECHANIC_OVERLAND_WORLDBOSS,LIBSETS_DROP_MECHANIC_OVERLAND_BOSS_PUBLIC_DUNGEON,LIBSETS_DROP_MECHANIC_OVERLAND_CHEST}</v>
      </c>
      <c r="BI244" s="21" t="str">
        <f t="shared" si="23"/>
        <v>}, --Beekeeper\'s Gear / Werkzeug des Bienenhüters   [Greenshade, Greenshade, Rulanyil's Fall, Greenshade]</v>
      </c>
    </row>
    <row r="245" spans="1:61" x14ac:dyDescent="0.25">
      <c r="A245" s="12">
        <v>289</v>
      </c>
      <c r="B245" t="s">
        <v>1098</v>
      </c>
      <c r="C245" t="s">
        <v>2522</v>
      </c>
      <c r="D245" s="3">
        <f t="shared" si="18"/>
        <v>289</v>
      </c>
      <c r="G245" s="8" t="s">
        <v>1473</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1553</v>
      </c>
      <c r="AI245" s="41"/>
      <c r="AJ245" s="41"/>
      <c r="AK245" s="3">
        <f>IF(AND(G245&lt;&gt;"LIBSETS_SETTYPE_BATTLEGROUND",G245&lt;&gt;"LIBSETS_SETTYPE_SPECIAL"),IF(AL245&lt;&gt;"",VLOOKUP(AL245,'ESO zone constants'!$D$5:$H$4955,5,FALSE),""),"")</f>
        <v>58</v>
      </c>
      <c r="AL245" t="s">
        <v>108</v>
      </c>
      <c r="AM245" s="33" t="s">
        <v>1554</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5" t="s">
        <v>2646</v>
      </c>
      <c r="BA245" s="75"/>
      <c r="BB245" s="75"/>
      <c r="BC245" s="75"/>
      <c r="BD245" s="75"/>
      <c r="BE245" s="21" t="str">
        <f t="shared" si="19"/>
        <v>[289] = {wayshrines={102,102,102,}, dlcId=DLC_BASE_GAME</v>
      </c>
      <c r="BF245" s="21" t="str">
        <f t="shared" si="20"/>
        <v>, zoneIds={58,58,138,58}, veteran=false</v>
      </c>
      <c r="BG245" s="21" t="str">
        <f t="shared" si="21"/>
        <v>, setType=LIBSETS_SETTYPE_OVERLAND</v>
      </c>
      <c r="BH245" s="21" t="str">
        <f t="shared" si="22"/>
        <v>, isProcSetAllowedInPvP=1, dropMechanic={LIBSETS_DROP_MECHANIC_OVERLAND_BOSS_DELVE,LIBSETS_DROP_MECHANIC_OVERLAND_WORLDBOSS,LIBSETS_DROP_MECHANIC_OVERLAND_BOSS_PUBLIC_DUNGEON,LIBSETS_DROP_MECHANIC_OVERLAND_CHEST}</v>
      </c>
      <c r="BI245" s="21" t="str">
        <f t="shared" si="23"/>
        <v>}, --Spinner\'s Garments / Gewänder des Webers   [Malabal Tor, Malabal Tor, Crimson Cove, Malabal Tor]</v>
      </c>
    </row>
    <row r="246" spans="1:61" x14ac:dyDescent="0.25">
      <c r="A246" s="12">
        <v>290</v>
      </c>
      <c r="B246" t="s">
        <v>1099</v>
      </c>
      <c r="C246" t="s">
        <v>1100</v>
      </c>
      <c r="D246" s="3">
        <f t="shared" si="18"/>
        <v>290</v>
      </c>
      <c r="G246" s="8" t="s">
        <v>1473</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1553</v>
      </c>
      <c r="AI246" s="41"/>
      <c r="AJ246" s="41"/>
      <c r="AK246" s="3">
        <f>IF(AND(G246&lt;&gt;"LIBSETS_SETTYPE_BATTLEGROUND",G246&lt;&gt;"LIBSETS_SETTYPE_SPECIAL"),IF(AL246&lt;&gt;"",VLOOKUP(AL246,'ESO zone constants'!$D$5:$H$4955,5,FALSE),""),"")</f>
        <v>382</v>
      </c>
      <c r="AL246" t="s">
        <v>263</v>
      </c>
      <c r="AM246" s="33" t="s">
        <v>1554</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5" t="s">
        <v>2645</v>
      </c>
      <c r="BA246" s="75"/>
      <c r="BB246" s="75"/>
      <c r="BC246" s="75"/>
      <c r="BD246" s="75"/>
      <c r="BE246" s="21" t="str">
        <f t="shared" si="19"/>
        <v>[290] = {wayshrines={162,162,162,}, dlcId=DLC_BASE_GAME</v>
      </c>
      <c r="BF246" s="21" t="str">
        <f t="shared" si="20"/>
        <v>, zoneIds={382,382,487,382}, veteran=false</v>
      </c>
      <c r="BG246" s="21" t="str">
        <f t="shared" si="21"/>
        <v>, setType=LIBSETS_SETTYPE_OVERLAND</v>
      </c>
      <c r="BH246" s="21" t="str">
        <f t="shared" si="22"/>
        <v>, dropMechanic={LIBSETS_DROP_MECHANIC_OVERLAND_BOSS_DELVE,LIBSETS_DROP_MECHANIC_OVERLAND_WORLDBOSS,LIBSETS_DROP_MECHANIC_OVERLAND_BOSS_PUBLIC_DUNGEON,LIBSETS_DROP_MECHANIC_OVERLAND_CHEST}</v>
      </c>
      <c r="BI246" s="21" t="str">
        <f t="shared" si="23"/>
        <v>}, --Skooma Smuggler / Skoomaschmuggler   [Reaper's March, Reaper's March, The Vile Manse, Reaper's March]</v>
      </c>
    </row>
    <row r="247" spans="1:61" x14ac:dyDescent="0.25">
      <c r="A247" s="12">
        <v>291</v>
      </c>
      <c r="B247" t="s">
        <v>1101</v>
      </c>
      <c r="C247" t="s">
        <v>1102</v>
      </c>
      <c r="D247" s="3">
        <f t="shared" si="18"/>
        <v>291</v>
      </c>
      <c r="G247" s="8" t="s">
        <v>1473</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1553</v>
      </c>
      <c r="AI247" s="41"/>
      <c r="AJ247" s="41"/>
      <c r="AK247" s="3">
        <f>IF(AND(G247&lt;&gt;"LIBSETS_SETTYPE_BATTLEGROUND",G247&lt;&gt;"LIBSETS_SETTYPE_SPECIAL"),IF(AL247&lt;&gt;"",VLOOKUP(AL247,'ESO zone constants'!$D$5:$H$4955,5,FALSE),""),"")</f>
        <v>41</v>
      </c>
      <c r="AL247" t="s">
        <v>106</v>
      </c>
      <c r="AM247" s="33" t="s">
        <v>1554</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5" t="s">
        <v>2645</v>
      </c>
      <c r="BA247" s="75"/>
      <c r="BB247" s="75"/>
      <c r="BC247" s="75"/>
      <c r="BD247" s="75"/>
      <c r="BE247" s="21" t="str">
        <f t="shared" si="19"/>
        <v>[291] = {wayshrines={65,65,65,}, dlcId=DLC_BASE_GAME</v>
      </c>
      <c r="BF247" s="21" t="str">
        <f t="shared" si="20"/>
        <v>, zoneIds={41,41,216,41}, veteran=false</v>
      </c>
      <c r="BG247" s="21" t="str">
        <f t="shared" si="21"/>
        <v>, setType=LIBSETS_SETTYPE_OVERLAND</v>
      </c>
      <c r="BH247" s="21" t="str">
        <f t="shared" si="22"/>
        <v>, dropMechanic={LIBSETS_DROP_MECHANIC_OVERLAND_BOSS_DELVE,LIBSETS_DROP_MECHANIC_OVERLAND_WORLDBOSS,LIBSETS_DROP_MECHANIC_OVERLAND_BOSS_PUBLIC_DUNGEON,LIBSETS_DROP_MECHANIC_OVERLAND_CHEST}</v>
      </c>
      <c r="BI247" s="21" t="str">
        <f t="shared" si="23"/>
        <v>}, --Shalk Exoskeleton / Schröterpanzer   [Stonefalls, Stonefalls, Crow's Wood, Stonefalls]</v>
      </c>
    </row>
    <row r="248" spans="1:61" x14ac:dyDescent="0.25">
      <c r="A248" s="12">
        <v>292</v>
      </c>
      <c r="B248" t="s">
        <v>1103</v>
      </c>
      <c r="C248" t="s">
        <v>2589</v>
      </c>
      <c r="D248" s="3">
        <f t="shared" si="18"/>
        <v>292</v>
      </c>
      <c r="G248" s="8" t="s">
        <v>1473</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1553</v>
      </c>
      <c r="AI248" s="41"/>
      <c r="AJ248" s="41"/>
      <c r="AK248" s="3">
        <f>IF(AND(G248&lt;&gt;"LIBSETS_SETTYPE_BATTLEGROUND",G248&lt;&gt;"LIBSETS_SETTYPE_SPECIAL"),IF(AL248&lt;&gt;"",VLOOKUP(AL248,'ESO zone constants'!$D$5:$H$4955,5,FALSE),""),"")</f>
        <v>57</v>
      </c>
      <c r="AL248" t="s">
        <v>107</v>
      </c>
      <c r="AM248" s="33" t="s">
        <v>1554</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5" t="s">
        <v>2645</v>
      </c>
      <c r="BA248" s="75"/>
      <c r="BB248" s="75"/>
      <c r="BC248" s="75"/>
      <c r="BD248" s="75"/>
      <c r="BE248" s="21" t="str">
        <f t="shared" si="19"/>
        <v>[292] = {wayshrines={28,28,28,}, dlcId=DLC_BASE_GAME</v>
      </c>
      <c r="BF248" s="21" t="str">
        <f t="shared" si="20"/>
        <v>, zoneIds={57,57,306,57}, veteran=false</v>
      </c>
      <c r="BG248" s="21" t="str">
        <f t="shared" si="21"/>
        <v>, setType=LIBSETS_SETTYPE_OVERLAND</v>
      </c>
      <c r="BH248" s="21" t="str">
        <f t="shared" si="22"/>
        <v>, dropMechanic={LIBSETS_DROP_MECHANIC_OVERLAND_BOSS_DELVE,LIBSETS_DROP_MECHANIC_OVERLAND_WORLDBOSS,LIBSETS_DROP_MECHANIC_OVERLAND_BOSS_PUBLIC_DUNGEON,LIBSETS_DROP_MECHANIC_OVERLAND_CHEST}</v>
      </c>
      <c r="BI248" s="21" t="str">
        <f t="shared" si="23"/>
        <v>}, --Mother\'s Sorrow / Muttertränen   [Deshaan, Deshaan, Forgotten Crypts, Deshaan]</v>
      </c>
    </row>
    <row r="249" spans="1:61" x14ac:dyDescent="0.25">
      <c r="A249" s="12">
        <v>293</v>
      </c>
      <c r="B249" t="s">
        <v>1104</v>
      </c>
      <c r="C249" t="s">
        <v>1105</v>
      </c>
      <c r="D249" s="3">
        <f t="shared" si="18"/>
        <v>293</v>
      </c>
      <c r="G249" s="8" t="s">
        <v>1473</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1553</v>
      </c>
      <c r="AI249" s="41"/>
      <c r="AJ249" s="41"/>
      <c r="AK249" s="3">
        <f>IF(AND(G249&lt;&gt;"LIBSETS_SETTYPE_BATTLEGROUND",G249&lt;&gt;"LIBSETS_SETTYPE_SPECIAL"),IF(AL249&lt;&gt;"",VLOOKUP(AL249,'ESO zone constants'!$D$5:$H$4955,5,FALSE),""),"")</f>
        <v>57</v>
      </c>
      <c r="AL249" t="s">
        <v>107</v>
      </c>
      <c r="AM249" s="33" t="s">
        <v>1554</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5" t="s">
        <v>2646</v>
      </c>
      <c r="BA249" s="75"/>
      <c r="BB249" s="75"/>
      <c r="BC249" s="75"/>
      <c r="BD249" s="75"/>
      <c r="BE249" s="21" t="str">
        <f t="shared" si="19"/>
        <v>[293] = {wayshrines={28,28,28,}, dlcId=DLC_BASE_GAME</v>
      </c>
      <c r="BF249" s="21" t="str">
        <f t="shared" si="20"/>
        <v>, zoneIds={57,57,306,57}, veteran=false</v>
      </c>
      <c r="BG249" s="21" t="str">
        <f t="shared" si="21"/>
        <v>, setType=LIBSETS_SETTYPE_OVERLAND</v>
      </c>
      <c r="BH249" s="21" t="str">
        <f t="shared" si="22"/>
        <v>, isProcSetAllowedInPvP=1, dropMechanic={LIBSETS_DROP_MECHANIC_OVERLAND_BOSS_DELVE,LIBSETS_DROP_MECHANIC_OVERLAND_WORLDBOSS,LIBSETS_DROP_MECHANIC_OVERLAND_BOSS_PUBLIC_DUNGEON,LIBSETS_DROP_MECHANIC_OVERLAND_CHEST}</v>
      </c>
      <c r="BI249" s="21" t="str">
        <f t="shared" si="23"/>
        <v>}, --Plague Doctor / Seuchendoktor   [Deshaan, Deshaan, Forgotten Crypts, Deshaan]</v>
      </c>
    </row>
    <row r="250" spans="1:61" x14ac:dyDescent="0.25">
      <c r="A250" s="12">
        <v>294</v>
      </c>
      <c r="B250" t="s">
        <v>1106</v>
      </c>
      <c r="C250" t="s">
        <v>2590</v>
      </c>
      <c r="D250" s="3">
        <f t="shared" si="18"/>
        <v>294</v>
      </c>
      <c r="G250" s="8" t="s">
        <v>1473</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1553</v>
      </c>
      <c r="AI250" s="41"/>
      <c r="AJ250" s="41"/>
      <c r="AK250" s="3">
        <f>IF(AND(G250&lt;&gt;"LIBSETS_SETTYPE_BATTLEGROUND",G250&lt;&gt;"LIBSETS_SETTYPE_SPECIAL"),IF(AL250&lt;&gt;"",VLOOKUP(AL250,'ESO zone constants'!$D$5:$H$4955,5,FALSE),""),"")</f>
        <v>103</v>
      </c>
      <c r="AL250" t="s">
        <v>111</v>
      </c>
      <c r="AM250" s="33" t="s">
        <v>1554</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5" t="s">
        <v>2646</v>
      </c>
      <c r="BA250" s="75"/>
      <c r="BB250" s="75"/>
      <c r="BC250" s="75"/>
      <c r="BD250" s="75"/>
      <c r="BE250" s="21" t="str">
        <f t="shared" si="19"/>
        <v>[294] = {wayshrines={109,109,109,}, dlcId=DLC_BASE_GAME</v>
      </c>
      <c r="BF250" s="21" t="str">
        <f t="shared" si="20"/>
        <v>, zoneIds={103,103,341,103}, veteran=false</v>
      </c>
      <c r="BG250" s="21" t="str">
        <f t="shared" si="21"/>
        <v>, setType=LIBSETS_SETTYPE_OVERLAND</v>
      </c>
      <c r="BH250" s="21" t="str">
        <f t="shared" si="22"/>
        <v>, isProcSetAllowedInPvP=1, dropMechanic={LIBSETS_DROP_MECHANIC_OVERLAND_BOSS_DELVE,LIBSETS_DROP_MECHANIC_OVERLAND_WORLDBOSS,LIBSETS_DROP_MECHANIC_OVERLAND_BOSS_PUBLIC_DUNGEON,LIBSETS_DROP_MECHANIC_OVERLAND_CHEST}</v>
      </c>
      <c r="BI250" s="21" t="str">
        <f t="shared" si="23"/>
        <v>}, --Ysgramor\'s Birthright / Ysgramors Geburtsrecht   [The Rift, The Rift, The Lion's Den, The Rift]</v>
      </c>
    </row>
    <row r="251" spans="1:61" x14ac:dyDescent="0.25">
      <c r="A251" s="12">
        <v>295</v>
      </c>
      <c r="B251" t="s">
        <v>1107</v>
      </c>
      <c r="C251" t="s">
        <v>1108</v>
      </c>
      <c r="D251" s="3">
        <f t="shared" si="18"/>
        <v>295</v>
      </c>
      <c r="G251" s="8" t="s">
        <v>1470</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6"/>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5" t="s">
        <v>2645</v>
      </c>
      <c r="BA251" s="75"/>
      <c r="BB251" s="75"/>
      <c r="BC251" s="75"/>
      <c r="BD251" s="75"/>
      <c r="BE251" s="21" t="str">
        <f t="shared" si="19"/>
        <v>[295] = {wayshrines={194,194,194,}, dlcId=DLC_BASE_GAME</v>
      </c>
      <c r="BF251" s="21" t="str">
        <f t="shared" si="20"/>
        <v>, zoneIds={380,935,381}, veteran=false</v>
      </c>
      <c r="BG251" s="21" t="str">
        <f t="shared" si="21"/>
        <v>, setType=LIBSETS_SETTYPE_DUNGEON</v>
      </c>
      <c r="BH251" s="21" t="str">
        <f t="shared" si="22"/>
        <v>, dropMechanic={LIBSETS_DROP_MECHANIC_GROUP_DUNGEON_BOSS,LIBSETS_DROP_MECHANIC_GROUP_DUNGEON_BOSS}</v>
      </c>
      <c r="BI251" s="21" t="str">
        <f t="shared" si="23"/>
        <v>}, --Jailbreaker / Ausbrecher   [The Banished Cells I, The Banished Cells II, Auridon]</v>
      </c>
    </row>
    <row r="252" spans="1:61" x14ac:dyDescent="0.25">
      <c r="A252" s="12">
        <v>296</v>
      </c>
      <c r="B252" t="s">
        <v>1109</v>
      </c>
      <c r="C252" t="s">
        <v>1110</v>
      </c>
      <c r="D252" s="3">
        <f t="shared" si="18"/>
        <v>296</v>
      </c>
      <c r="G252" s="8" t="s">
        <v>1470</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6"/>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5" t="s">
        <v>2645</v>
      </c>
      <c r="BA252" s="75"/>
      <c r="BB252" s="75"/>
      <c r="BC252" s="75"/>
      <c r="BD252" s="75"/>
      <c r="BE252" s="21" t="str">
        <f t="shared" si="19"/>
        <v>[296] = {wayshrines={193,193,193,}, dlcId=DLC_BASE_GAME</v>
      </c>
      <c r="BF252" s="21" t="str">
        <f t="shared" si="20"/>
        <v>, zoneIds={144,936,3}, veteran=false</v>
      </c>
      <c r="BG252" s="21" t="str">
        <f t="shared" si="21"/>
        <v>, setType=LIBSETS_SETTYPE_DUNGEON</v>
      </c>
      <c r="BH252" s="21" t="str">
        <f t="shared" si="22"/>
        <v>, dropMechanic={LIBSETS_DROP_MECHANIC_GROUP_DUNGEON_BOSS,LIBSETS_DROP_MECHANIC_GROUP_DUNGEON_BOSS}</v>
      </c>
      <c r="BI252" s="21" t="str">
        <f t="shared" si="23"/>
        <v>}, --Spelunker / Höhlenforscher   [Spindleclutch I, Spindleclutch II, Glenumbra]</v>
      </c>
    </row>
    <row r="253" spans="1:61" x14ac:dyDescent="0.25">
      <c r="A253" s="12">
        <v>297</v>
      </c>
      <c r="B253" t="s">
        <v>1111</v>
      </c>
      <c r="C253" t="s">
        <v>1112</v>
      </c>
      <c r="D253" s="3">
        <f t="shared" si="18"/>
        <v>297</v>
      </c>
      <c r="G253" s="8" t="s">
        <v>1470</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6"/>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5" t="s">
        <v>2646</v>
      </c>
      <c r="BA253" s="75"/>
      <c r="BB253" s="75"/>
      <c r="BC253" s="75"/>
      <c r="BD253" s="75"/>
      <c r="BE253" s="21" t="str">
        <f t="shared" si="19"/>
        <v>[297] = {wayshrines={98,98,98,}, dlcId=DLC_BASE_GAME</v>
      </c>
      <c r="BF253" s="21" t="str">
        <f t="shared" si="20"/>
        <v>, zoneIds={283,934,41}, veteran=false</v>
      </c>
      <c r="BG253" s="21" t="str">
        <f t="shared" si="21"/>
        <v>, setType=LIBSETS_SETTYPE_DUNGEON</v>
      </c>
      <c r="BH253" s="21" t="str">
        <f t="shared" si="22"/>
        <v>, isProcSetAllowedInPvP=1, dropMechanic={LIBSETS_DROP_MECHANIC_GROUP_DUNGEON_BOSS,LIBSETS_DROP_MECHANIC_GROUP_DUNGEON_BOSS}</v>
      </c>
      <c r="BI253" s="21" t="str">
        <f t="shared" si="23"/>
        <v>}, --Spider Cultist Cowl / Spinnenkultistenkutte   [Fungal Grotto I, Fungal Grotto II, Stonefalls]</v>
      </c>
    </row>
    <row r="254" spans="1:61" x14ac:dyDescent="0.25">
      <c r="A254" s="12">
        <v>298</v>
      </c>
      <c r="B254" t="s">
        <v>1113</v>
      </c>
      <c r="C254" t="s">
        <v>1114</v>
      </c>
      <c r="D254" s="3">
        <f t="shared" si="18"/>
        <v>298</v>
      </c>
      <c r="G254" s="8" t="s">
        <v>1470</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6"/>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5" t="s">
        <v>2646</v>
      </c>
      <c r="BA254" s="75"/>
      <c r="BB254" s="75"/>
      <c r="BC254" s="75"/>
      <c r="BD254" s="75"/>
      <c r="BE254" s="21" t="str">
        <f t="shared" si="19"/>
        <v>[298] = {wayshrines={191,191,191,}, dlcId=DLC_BASE_GAME</v>
      </c>
      <c r="BF254" s="21" t="str">
        <f t="shared" si="20"/>
        <v>, zoneIds={126,931,383}, veteran=false</v>
      </c>
      <c r="BG254" s="21" t="str">
        <f t="shared" si="21"/>
        <v>, setType=LIBSETS_SETTYPE_DUNGEON</v>
      </c>
      <c r="BH254" s="21" t="str">
        <f t="shared" si="22"/>
        <v>, isProcSetAllowedInPvP=1, dropMechanic={LIBSETS_DROP_MECHANIC_GROUP_DUNGEON_BOSS,LIBSETS_DROP_MECHANIC_GROUP_DUNGEON_BOSS}</v>
      </c>
      <c r="BI254" s="21" t="str">
        <f t="shared" si="23"/>
        <v>}, --Light Speaker / Lichtsprecher   [Elden Hollow I, Elden Hollow II, Grahtwood]</v>
      </c>
    </row>
    <row r="255" spans="1:61" x14ac:dyDescent="0.25">
      <c r="A255" s="12">
        <v>299</v>
      </c>
      <c r="B255" t="s">
        <v>1115</v>
      </c>
      <c r="C255" t="s">
        <v>1116</v>
      </c>
      <c r="D255" s="3">
        <f t="shared" si="18"/>
        <v>299</v>
      </c>
      <c r="G255" s="8" t="s">
        <v>1470</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6"/>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5" t="s">
        <v>2645</v>
      </c>
      <c r="BA255" s="75"/>
      <c r="BB255" s="75"/>
      <c r="BC255" s="75"/>
      <c r="BD255" s="75"/>
      <c r="BE255" s="21" t="str">
        <f t="shared" si="19"/>
        <v>[299] = {wayshrines={189,189,189,}, dlcId=DLC_BASE_GAME</v>
      </c>
      <c r="BF255" s="21" t="str">
        <f t="shared" si="20"/>
        <v>, zoneIds={146,933,19}, veteran=false</v>
      </c>
      <c r="BG255" s="21" t="str">
        <f t="shared" si="21"/>
        <v>, setType=LIBSETS_SETTYPE_DUNGEON</v>
      </c>
      <c r="BH255" s="21" t="str">
        <f t="shared" si="22"/>
        <v>, dropMechanic={LIBSETS_DROP_MECHANIC_GROUP_DUNGEON_BOSS,LIBSETS_DROP_MECHANIC_GROUP_DUNGEON_BOSS}</v>
      </c>
      <c r="BI255" s="21" t="str">
        <f t="shared" si="23"/>
        <v>}, --Toothrow / Zahnreihe   [Wayrest Sewers I, Wayrest Sewers II, Stormhaven]</v>
      </c>
    </row>
    <row r="256" spans="1:61" x14ac:dyDescent="0.25">
      <c r="A256" s="12">
        <v>300</v>
      </c>
      <c r="B256" t="s">
        <v>1117</v>
      </c>
      <c r="C256" t="s">
        <v>2591</v>
      </c>
      <c r="D256" s="3">
        <f t="shared" si="18"/>
        <v>300</v>
      </c>
      <c r="G256" s="8" t="s">
        <v>1470</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6"/>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5" t="s">
        <v>2646</v>
      </c>
      <c r="BA256" s="75"/>
      <c r="BB256" s="75"/>
      <c r="BC256" s="75"/>
      <c r="BD256" s="75"/>
      <c r="BE256" s="21" t="str">
        <f t="shared" si="19"/>
        <v>[300] = {wayshrines={198,198,198,}, dlcId=DLC_BASE_GAME</v>
      </c>
      <c r="BF256" s="21" t="str">
        <f t="shared" si="20"/>
        <v>, zoneIds={63,930,57}, veteran=false</v>
      </c>
      <c r="BG256" s="21" t="str">
        <f t="shared" si="21"/>
        <v>, setType=LIBSETS_SETTYPE_DUNGEON</v>
      </c>
      <c r="BH256" s="21" t="str">
        <f t="shared" si="22"/>
        <v>, isProcSetAllowedInPvP=1, dropMechanic={LIBSETS_DROP_MECHANIC_GROUP_DUNGEON_BOSS,LIBSETS_DROP_MECHANIC_GROUP_DUNGEON_BOSS}</v>
      </c>
      <c r="BI256" s="21" t="str">
        <f t="shared" si="23"/>
        <v>}, --Netch\'s Touch / Berührung des Netch   [Darkshade Caverns I, Darkshade Caverns II, Deshaan]</v>
      </c>
    </row>
    <row r="257" spans="1:61" x14ac:dyDescent="0.25">
      <c r="A257" s="12">
        <v>301</v>
      </c>
      <c r="B257" t="s">
        <v>1118</v>
      </c>
      <c r="C257" t="s">
        <v>1119</v>
      </c>
      <c r="D257" s="3">
        <f t="shared" si="18"/>
        <v>301</v>
      </c>
      <c r="G257" s="8" t="s">
        <v>1470</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6"/>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5" t="s">
        <v>2646</v>
      </c>
      <c r="BA257" s="75"/>
      <c r="BB257" s="75"/>
      <c r="BC257" s="75"/>
      <c r="BD257" s="75"/>
      <c r="BE257" s="21" t="str">
        <f t="shared" si="19"/>
        <v>[301] = {wayshrines={198,198,198,}, dlcId=DLC_BASE_GAME</v>
      </c>
      <c r="BF257" s="21" t="str">
        <f t="shared" si="20"/>
        <v>, zoneIds={63,930,57}, veteran=false</v>
      </c>
      <c r="BG257" s="21" t="str">
        <f t="shared" si="21"/>
        <v>, setType=LIBSETS_SETTYPE_DUNGEON</v>
      </c>
      <c r="BH257" s="21" t="str">
        <f t="shared" si="22"/>
        <v>, isProcSetAllowedInPvP=1, dropMechanic={LIBSETS_DROP_MECHANIC_GROUP_DUNGEON_BOSS,LIBSETS_DROP_MECHANIC_GROUP_DUNGEON_BOSS}</v>
      </c>
      <c r="BI257" s="21" t="str">
        <f t="shared" si="23"/>
        <v>}, --Strength of the Automaton / Stärke des Automaten   [Darkshade Caverns I, Darkshade Caverns II, Deshaan]</v>
      </c>
    </row>
    <row r="258" spans="1:61" x14ac:dyDescent="0.25">
      <c r="A258" s="12">
        <v>302</v>
      </c>
      <c r="B258" t="s">
        <v>1120</v>
      </c>
      <c r="C258" t="s">
        <v>1120</v>
      </c>
      <c r="D258" s="3">
        <f t="shared" si="18"/>
        <v>302</v>
      </c>
      <c r="G258" s="8" t="s">
        <v>1470</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6"/>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5" t="s">
        <v>2646</v>
      </c>
      <c r="BA258" s="75"/>
      <c r="BB258" s="75"/>
      <c r="BC258" s="75"/>
      <c r="BD258" s="75"/>
      <c r="BE258" s="21" t="str">
        <f t="shared" si="19"/>
        <v>[302] = {wayshrines={190,190,190,}, dlcId=DLC_BASE_GAME</v>
      </c>
      <c r="BF258" s="21" t="str">
        <f t="shared" si="20"/>
        <v>, zoneIds={130,932,20}, veteran=false</v>
      </c>
      <c r="BG258" s="21" t="str">
        <f t="shared" si="21"/>
        <v>, setType=LIBSETS_SETTYPE_DUNGEON</v>
      </c>
      <c r="BH258" s="21" t="str">
        <f t="shared" si="22"/>
        <v>, isProcSetAllowedInPvP=1, dropMechanic={LIBSETS_DROP_MECHANIC_GROUP_DUNGEON_BOSS,LIBSETS_DROP_MECHANIC_GROUP_DUNGEON_BOSS}</v>
      </c>
      <c r="BI258" s="21" t="str">
        <f t="shared" si="23"/>
        <v>}, --Leviathan / Leviathan   [Crypt of Hearts I, Crypt of Hearts II, Rivenspire]</v>
      </c>
    </row>
    <row r="259" spans="1:61" x14ac:dyDescent="0.25">
      <c r="A259" s="12">
        <v>303</v>
      </c>
      <c r="B259" t="s">
        <v>1121</v>
      </c>
      <c r="C259" t="s">
        <v>2592</v>
      </c>
      <c r="D259" s="3">
        <f t="shared" ref="D259:D322" si="24">A259</f>
        <v>303</v>
      </c>
      <c r="G259" s="8" t="s">
        <v>1470</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5" t="s">
        <v>2645</v>
      </c>
      <c r="BA259" s="75"/>
      <c r="BB259" s="75"/>
      <c r="BC259" s="75"/>
      <c r="BD259" s="75"/>
      <c r="BE259" s="21"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1"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 CONCATENATE(", veteran=", I259), ""),""),"")</f>
        <v>, zoneIds={148,117,117}, veteran=false</v>
      </c>
      <c r="BG259" s="21" t="str">
        <f t="shared" ref="BG259:BG322" si="27">IF(A259&lt;&gt;"",IF(F259&lt;&gt;"Not in the game (anymore)",IF(A259&lt;&gt;"",", setType="&amp;G259,"")&amp;IF(G259="LIBSETS_SETTYPE_CLASS",", classId="&amp;BC259,"")&amp;IF(J259="true",", multiTrialSet=true",""),"")
&amp; IF(AND(H259&lt;&gt;"",ISNUMBER(H259)),", undauntedChestId=" &amp; H259,""),"")</f>
        <v>, setType=LIBSETS_SETTYPE_DUNGEON</v>
      </c>
      <c r="BH259" s="21" t="str">
        <f t="shared" ref="BH259:BH322" si="28">IF(A259&lt;&gt;"",IF(F259&lt;&gt;"Not in the game (anymore)",IF(AZ259&lt;&gt;"",", isProcSetAllowedInPvP="&amp; AZ259,"")
&amp; IF(F259&lt;&gt;"Not in the game (anymore)",
  IF(V259&lt;&gt;"",", dropMechanic={"&amp;V259&amp;IF(AB259&lt;&gt;"",","&amp;AB259,"")&amp;IF(AH259&lt;&gt;"",","&amp;AH259,"")&amp;IF(AM259&lt;&gt;"",","&amp;AM259,"")&amp;IF(AR259&lt;&gt;"",","&amp;AR259,"")&amp;IF(AW259&lt;&gt;"",","&amp;AW259,"")&amp;"}"
     &amp;IF(OR(W259&lt;&gt;"",AC259&lt;&gt;"",AI259&lt;&gt;"",AN259&lt;&gt;"",AS259&lt;&gt;"",AX259&lt;&gt;"",X259&lt;&gt;"",AD259&lt;&gt;"",AJ259&lt;&gt;"",AO259&lt;&gt;"",AT259&lt;&gt;"",AY259&lt;&gt;""),", dropMechanicDropLocationNames={"
        &amp; IF(OR(W259&lt;&gt;"",AC259&lt;&gt;"",AI259&lt;&gt;"",AN259&lt;&gt;"",AS259&lt;&gt;"",AX259&lt;&gt;""),"['en']={"&amp;IF(W259&lt;&gt;"","'"&amp;W259&amp;"',","'',")&amp;IF(AC259&lt;&gt;"","'"&amp;AC259&amp;"',","'',")&amp;IF(AI259&lt;&gt;"","'"&amp;AI259&amp;"',","'',")&amp;IF(AN259&lt;&gt;"","'"&amp;AN259&amp;"',","'',")&amp;IF(AS259&lt;&gt;"","'"&amp;AS259&amp;"',","'',")&amp;IF(AX259&lt;&gt;"","'"&amp;AX259&amp;"',","'',")&amp;"},","")
        &amp; IF(OR(X259&lt;&gt;"",AD259&lt;&gt;"",AJ259&lt;&gt;"",AO259&lt;&gt;"",AT259&lt;&gt;"",AY259&lt;&gt;""),"['de']={"&amp;IF(X259&lt;&gt;"","'"&amp;X259&amp;"',","'',")&amp;IF(AD259&lt;&gt;"","'"&amp;AD259&amp;"',","'',")&amp;IF(AJ259&lt;&gt;"","'"&amp;AJ259&amp;"',","'',")&amp;IF(AO259&lt;&gt;"","'"&amp;AO259&amp;"',","'',")&amp;IF(AT259&lt;&gt;"","'"&amp;AT259&amp;"',","'',")&amp;IF(AY259&lt;&gt;"","'"&amp;AY259&amp;"',","'',")&amp;"},","")
     &amp; "}",""),"")),""),"")
&amp; IF(AND(BD259&lt;&gt;"",BD259&lt;&gt;"X"), ", perfectedSetId=" &amp; BD259, IF(BD259&lt;&gt;"",", isPerfectedSet=1",""))</f>
        <v>, dropMechanic={LIBSETS_DROP_MECHANIC_GROUP_DUNGEON_BOSS}</v>
      </c>
      <c r="BI259" s="21" t="str">
        <f t="shared" ref="BI259:BI322" si="29">IF(A259&lt;&gt;"",IF(F259&lt;&gt;"Not in the game (anymore)",
IF(OR(BA259&lt;&gt;"",BB259&lt;&gt;""),", addTooltip={" &amp; IF(BA259&lt;&gt;"","['en']='"&amp; BA259 &amp; "',","")  &amp; IF(AND(BA259&lt;&gt;"",BA259&lt;&gt;BB259), IF(BB259&lt;&gt;"","['de']='"&amp; BB259 &amp; "',",""),"") &amp; "},","")
&amp; "},"
&amp; 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1122</v>
      </c>
      <c r="C260" t="s">
        <v>1123</v>
      </c>
      <c r="D260" s="3">
        <f t="shared" si="24"/>
        <v>304</v>
      </c>
      <c r="G260" s="8" t="s">
        <v>1470</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5" t="s">
        <v>2645</v>
      </c>
      <c r="BA260" s="75"/>
      <c r="BB260" s="75"/>
      <c r="BC260" s="75"/>
      <c r="BD260" s="75"/>
      <c r="BE260" s="21" t="str">
        <f t="shared" si="25"/>
        <v>[304] = {wayshrines={192,192,192,}, dlcId=DLC_BASE_GAME</v>
      </c>
      <c r="BF260" s="21" t="str">
        <f t="shared" si="26"/>
        <v>, zoneIds={148,117,117}, veteran=false</v>
      </c>
      <c r="BG260" s="21" t="str">
        <f t="shared" si="27"/>
        <v>, setType=LIBSETS_SETTYPE_DUNGEON</v>
      </c>
      <c r="BH260" s="21" t="str">
        <f t="shared" si="28"/>
        <v>, dropMechanic={LIBSETS_DROP_MECHANIC_GROUP_DUNGEON_BOSS}</v>
      </c>
      <c r="BI260" s="21" t="str">
        <f t="shared" si="29"/>
        <v>}, --Medusa / Versteinernder Blick   [Arx Corinium, Shadowfen, Shadowfen]</v>
      </c>
    </row>
    <row r="261" spans="1:61" x14ac:dyDescent="0.25">
      <c r="A261" s="12">
        <v>305</v>
      </c>
      <c r="B261" t="s">
        <v>1124</v>
      </c>
      <c r="C261" t="s">
        <v>1125</v>
      </c>
      <c r="D261" s="3">
        <f t="shared" si="24"/>
        <v>305</v>
      </c>
      <c r="G261" s="8" t="s">
        <v>1470</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5" t="s">
        <v>2645</v>
      </c>
      <c r="BA261" s="75"/>
      <c r="BB261" s="75"/>
      <c r="BC261" s="75"/>
      <c r="BD261" s="75"/>
      <c r="BE261" s="21" t="str">
        <f t="shared" si="25"/>
        <v>[305] = {wayshrines={196,196,196,}, dlcId=DLC_BASE_GAME</v>
      </c>
      <c r="BF261" s="21" t="str">
        <f t="shared" si="26"/>
        <v>, zoneIds={22,104,104}, veteran=false</v>
      </c>
      <c r="BG261" s="21" t="str">
        <f t="shared" si="27"/>
        <v>, setType=LIBSETS_SETTYPE_DUNGEON</v>
      </c>
      <c r="BH261" s="21" t="str">
        <f t="shared" si="28"/>
        <v>, dropMechanic={LIBSETS_DROP_MECHANIC_GROUP_DUNGEON_BOSS}</v>
      </c>
      <c r="BI261" s="21" t="str">
        <f t="shared" si="29"/>
        <v>}, --Treasure Hunter / Schatzjäger   [Volenfell, Alik'r Desert, Alik'r Desert]</v>
      </c>
    </row>
    <row r="262" spans="1:61" x14ac:dyDescent="0.25">
      <c r="A262" s="12">
        <v>307</v>
      </c>
      <c r="B262" t="s">
        <v>1126</v>
      </c>
      <c r="C262" t="s">
        <v>1127</v>
      </c>
      <c r="D262" s="3">
        <f t="shared" si="24"/>
        <v>307</v>
      </c>
      <c r="G262" s="8" t="s">
        <v>1470</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5" t="s">
        <v>2646</v>
      </c>
      <c r="BA262" s="75"/>
      <c r="BB262" s="75"/>
      <c r="BC262" s="75"/>
      <c r="BD262" s="75"/>
      <c r="BE262" s="21" t="str">
        <f t="shared" si="25"/>
        <v>[307] = {wayshrines={195,195,195,}, dlcId=DLC_BASE_GAME</v>
      </c>
      <c r="BF262" s="21" t="str">
        <f t="shared" si="26"/>
        <v>, zoneIds={449,101,101}, veteran=false</v>
      </c>
      <c r="BG262" s="21" t="str">
        <f t="shared" si="27"/>
        <v>, setType=LIBSETS_SETTYPE_DUNGEON</v>
      </c>
      <c r="BH262" s="21" t="str">
        <f t="shared" si="28"/>
        <v>, isProcSetAllowedInPvP=1, dropMechanic={LIBSETS_DROP_MECHANIC_GROUP_DUNGEON_BOSS}</v>
      </c>
      <c r="BI262" s="21" t="str">
        <f t="shared" si="29"/>
        <v>}, --Draugr Hulk / Schwerfälliger Draugr   [Direfrost Keep, Eastmarch, Eastmarch]</v>
      </c>
    </row>
    <row r="263" spans="1:61" x14ac:dyDescent="0.25">
      <c r="A263" s="12">
        <v>308</v>
      </c>
      <c r="B263" t="s">
        <v>1128</v>
      </c>
      <c r="C263" t="s">
        <v>2593</v>
      </c>
      <c r="D263" s="3">
        <f t="shared" si="24"/>
        <v>308</v>
      </c>
      <c r="E263" s="40"/>
      <c r="G263" s="8" t="s">
        <v>1470</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5" t="s">
        <v>2645</v>
      </c>
      <c r="BA263" s="75"/>
      <c r="BB263" s="75"/>
      <c r="BC263" s="75"/>
      <c r="BD263" s="75"/>
      <c r="BE263" s="21" t="str">
        <f t="shared" si="25"/>
        <v>[308] = {wayshrines={186,186,186,}, dlcId=DLC_BASE_GAME</v>
      </c>
      <c r="BF263" s="21" t="str">
        <f t="shared" si="26"/>
        <v>, zoneIds={38,92,92}, veteran=false</v>
      </c>
      <c r="BG263" s="21" t="str">
        <f t="shared" si="27"/>
        <v>, setType=LIBSETS_SETTYPE_DUNGEON</v>
      </c>
      <c r="BH263" s="21" t="str">
        <f t="shared" si="28"/>
        <v>, dropMechanic={LIBSETS_DROP_MECHANIC_GROUP_DUNGEON_BOSS}</v>
      </c>
      <c r="BI263" s="21" t="str">
        <f t="shared" si="29"/>
        <v>}, --Bone Pirate\'s Tatters / Lumpen des Knochenpiraten   [Blackheart Haven, Bangkorai, Bangkorai]</v>
      </c>
    </row>
    <row r="264" spans="1:61" x14ac:dyDescent="0.25">
      <c r="A264" s="12">
        <v>309</v>
      </c>
      <c r="B264" t="s">
        <v>1129</v>
      </c>
      <c r="C264" t="s">
        <v>2594</v>
      </c>
      <c r="D264" s="3">
        <f t="shared" si="24"/>
        <v>309</v>
      </c>
      <c r="E264" s="40"/>
      <c r="G264" s="8" t="s">
        <v>1470</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5" t="s">
        <v>2645</v>
      </c>
      <c r="BA264" s="75"/>
      <c r="BB264" s="75"/>
      <c r="BC264" s="75"/>
      <c r="BD264" s="75"/>
      <c r="BE264" s="21" t="str">
        <f t="shared" si="25"/>
        <v>[309] = {wayshrines={186,186,186,}, dlcId=DLC_BASE_GAME</v>
      </c>
      <c r="BF264" s="21" t="str">
        <f t="shared" si="26"/>
        <v>, zoneIds={38,92,92}, veteran=false</v>
      </c>
      <c r="BG264" s="21" t="str">
        <f t="shared" si="27"/>
        <v>, setType=LIBSETS_SETTYPE_DUNGEON</v>
      </c>
      <c r="BH264" s="21" t="str">
        <f t="shared" si="28"/>
        <v>, dropMechanic={LIBSETS_DROP_MECHANIC_GROUP_DUNGEON_BOSS}</v>
      </c>
      <c r="BI264" s="21" t="str">
        <f t="shared" si="29"/>
        <v>}, --Knight-errant\'s Mail / Platten des Wanderritters   [Blackheart Haven, Bangkorai, Bangkorai]</v>
      </c>
    </row>
    <row r="265" spans="1:61" x14ac:dyDescent="0.25">
      <c r="A265" s="12">
        <v>310</v>
      </c>
      <c r="B265" t="s">
        <v>1130</v>
      </c>
      <c r="C265" t="s">
        <v>1131</v>
      </c>
      <c r="D265" s="3">
        <f t="shared" si="24"/>
        <v>310</v>
      </c>
      <c r="E265" s="40"/>
      <c r="G265" s="8" t="s">
        <v>1470</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5" t="s">
        <v>2646</v>
      </c>
      <c r="BA265" s="75"/>
      <c r="BB265" s="75"/>
      <c r="BC265" s="75"/>
      <c r="BD265" s="75"/>
      <c r="BE265" s="21" t="str">
        <f t="shared" si="25"/>
        <v>[310] = {wayshrines={187,187,187,}, dlcId=DLC_BASE_GAME</v>
      </c>
      <c r="BF265" s="21" t="str">
        <f t="shared" si="26"/>
        <v>, zoneIds={64,103,103}, veteran=false</v>
      </c>
      <c r="BG265" s="21" t="str">
        <f t="shared" si="27"/>
        <v>, setType=LIBSETS_SETTYPE_DUNGEON</v>
      </c>
      <c r="BH265" s="21" t="str">
        <f t="shared" si="28"/>
        <v>, isProcSetAllowedInPvP=1, dropMechanic={LIBSETS_DROP_MECHANIC_GROUP_DUNGEON_BOSS}</v>
      </c>
      <c r="BI265" s="21" t="str">
        <f t="shared" si="29"/>
        <v>}, --Sword Dancer / Schwerttänzer   [Blessed Crucible, The Rift, The Rift]</v>
      </c>
    </row>
    <row r="266" spans="1:61" x14ac:dyDescent="0.25">
      <c r="A266" s="12">
        <v>311</v>
      </c>
      <c r="B266" t="s">
        <v>1132</v>
      </c>
      <c r="C266" t="s">
        <v>1133</v>
      </c>
      <c r="D266" s="3">
        <f t="shared" si="24"/>
        <v>311</v>
      </c>
      <c r="G266" s="8" t="s">
        <v>1470</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5" t="s">
        <v>2645</v>
      </c>
      <c r="BA266" s="75"/>
      <c r="BB266" s="75"/>
      <c r="BC266" s="75"/>
      <c r="BD266" s="75"/>
      <c r="BE266" s="21" t="str">
        <f t="shared" si="25"/>
        <v>[311] = {wayshrines={184,184,184,}, dlcId=DLC_BASE_GAME</v>
      </c>
      <c r="BF266" s="21" t="str">
        <f t="shared" si="26"/>
        <v>, zoneIds={11,347,347}, veteran=false</v>
      </c>
      <c r="BG266" s="21" t="str">
        <f t="shared" si="27"/>
        <v>, setType=LIBSETS_SETTYPE_DUNGEON</v>
      </c>
      <c r="BH266" s="21" t="str">
        <f t="shared" si="28"/>
        <v>, dropMechanic={LIBSETS_DROP_MECHANIC_GROUP_DUNGEON_BOSS}</v>
      </c>
      <c r="BI266" s="21" t="str">
        <f t="shared" si="29"/>
        <v>}, --Rattlecage / Klapperkäfig   [Vaults of Madness, Coldharbour, Coldharbour]</v>
      </c>
    </row>
    <row r="267" spans="1:61" x14ac:dyDescent="0.25">
      <c r="A267" s="12">
        <v>313</v>
      </c>
      <c r="B267" t="s">
        <v>1134</v>
      </c>
      <c r="C267" t="s">
        <v>1135</v>
      </c>
      <c r="D267" s="3">
        <f t="shared" si="24"/>
        <v>313</v>
      </c>
      <c r="G267" s="8" t="s">
        <v>1465</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1547</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1547</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5" t="s">
        <v>2645</v>
      </c>
      <c r="BA267" s="75"/>
      <c r="BB267" s="75"/>
      <c r="BC267" s="75"/>
      <c r="BD267" s="75">
        <v>528</v>
      </c>
      <c r="BE267" s="21" t="str">
        <f t="shared" si="25"/>
        <v>[313] = {wayshrines={270,270,270,}, dlcId=DLC_CLOCKWORK_CITY</v>
      </c>
      <c r="BF267" s="21" t="str">
        <f t="shared" si="26"/>
        <v>, zoneIds={635,888,888}, veteran=false</v>
      </c>
      <c r="BG267" s="21" t="str">
        <f t="shared" si="27"/>
        <v>, setType=LIBSETS_SETTYPE_ARENA</v>
      </c>
      <c r="BH267" s="21" t="str">
        <f t="shared" si="28"/>
        <v>, dropMechanic={LIBSETS_DROP_MECHANIC_ARENA_STAGE_CHEST,LIBSETS_DROP_MECHANIC_ARENA_STAGE_CHEST}, perfectedSetId=528</v>
      </c>
      <c r="BI267" s="21" t="str">
        <f t="shared" si="29"/>
        <v>}, --Titanic Cleave / Titanisches Trennen   [Dragonstar Arena, Craglorn, Craglorn]</v>
      </c>
    </row>
    <row r="268" spans="1:61" x14ac:dyDescent="0.25">
      <c r="A268" s="12">
        <v>314</v>
      </c>
      <c r="B268" t="s">
        <v>1136</v>
      </c>
      <c r="C268" t="s">
        <v>1137</v>
      </c>
      <c r="D268" s="3">
        <f t="shared" si="24"/>
        <v>314</v>
      </c>
      <c r="G268" s="8" t="s">
        <v>1465</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1547</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1547</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5" t="s">
        <v>2645</v>
      </c>
      <c r="BA268" s="75"/>
      <c r="BB268" s="75"/>
      <c r="BC268" s="75"/>
      <c r="BD268" s="75">
        <v>529</v>
      </c>
      <c r="BE268" s="21" t="str">
        <f t="shared" si="25"/>
        <v>[314] = {wayshrines={270,270,270,}, dlcId=DLC_CLOCKWORK_CITY</v>
      </c>
      <c r="BF268" s="21" t="str">
        <f t="shared" si="26"/>
        <v>, zoneIds={635,888,888}, veteran=false</v>
      </c>
      <c r="BG268" s="21" t="str">
        <f t="shared" si="27"/>
        <v>, setType=LIBSETS_SETTYPE_ARENA</v>
      </c>
      <c r="BH268" s="21" t="str">
        <f t="shared" si="28"/>
        <v>, dropMechanic={LIBSETS_DROP_MECHANIC_ARENA_STAGE_CHEST,LIBSETS_DROP_MECHANIC_ARENA_STAGE_CHEST}, perfectedSetId=529</v>
      </c>
      <c r="BI268" s="21" t="str">
        <f t="shared" si="29"/>
        <v>}, --Puncturing Remedy / Durchschlagende Genesung   [Dragonstar Arena, Craglorn, Craglorn]</v>
      </c>
    </row>
    <row r="269" spans="1:61" x14ac:dyDescent="0.25">
      <c r="A269" s="12">
        <v>315</v>
      </c>
      <c r="B269" t="s">
        <v>1138</v>
      </c>
      <c r="C269" t="s">
        <v>1139</v>
      </c>
      <c r="D269" s="3">
        <f t="shared" si="24"/>
        <v>315</v>
      </c>
      <c r="G269" s="8" t="s">
        <v>1465</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1547</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5" t="s">
        <v>2645</v>
      </c>
      <c r="BA269" s="75"/>
      <c r="BB269" s="75"/>
      <c r="BC269" s="75"/>
      <c r="BD269" s="75">
        <v>530</v>
      </c>
      <c r="BE269" s="21" t="str">
        <f t="shared" si="25"/>
        <v>[315] = {wayshrines={270,270,270,}, dlcId=DLC_CLOCKWORK_CITY</v>
      </c>
      <c r="BF269" s="21" t="str">
        <f t="shared" si="26"/>
        <v>, zoneIds={635,888,888}, veteran=false</v>
      </c>
      <c r="BG269" s="21" t="str">
        <f t="shared" si="27"/>
        <v>, setType=LIBSETS_SETTYPE_ARENA</v>
      </c>
      <c r="BH269" s="21" t="str">
        <f t="shared" si="28"/>
        <v>, dropMechanic={LIBSETS_DROP_MECHANIC_ARENA_STAGE_CHEST,LIBSETS_DROP_MECHANIC_ARENA_STAGE_CHEST}, perfectedSetId=530</v>
      </c>
      <c r="BI269" s="21" t="str">
        <f t="shared" si="29"/>
        <v>}, --Stinging Slashes / Stechende Schnitte   [Dragonstar Arena, Craglorn, Craglorn]</v>
      </c>
    </row>
    <row r="270" spans="1:61" x14ac:dyDescent="0.25">
      <c r="A270" s="12">
        <v>316</v>
      </c>
      <c r="B270" t="s">
        <v>1140</v>
      </c>
      <c r="C270" t="s">
        <v>1141</v>
      </c>
      <c r="D270" s="3">
        <f t="shared" si="24"/>
        <v>316</v>
      </c>
      <c r="E270" s="40"/>
      <c r="G270" s="8" t="s">
        <v>1465</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1547</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1547</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5">
        <v>0</v>
      </c>
      <c r="BA270" s="75"/>
      <c r="BB270" s="75"/>
      <c r="BC270" s="75"/>
      <c r="BD270" s="75">
        <v>531</v>
      </c>
      <c r="BE270" s="21" t="str">
        <f t="shared" si="25"/>
        <v>[316] = {wayshrines={270,270,270,}, dlcId=DLC_CLOCKWORK_CITY</v>
      </c>
      <c r="BF270" s="21" t="str">
        <f t="shared" si="26"/>
        <v>, zoneIds={635,888,888}, veteran=false</v>
      </c>
      <c r="BG270" s="21" t="str">
        <f t="shared" si="27"/>
        <v>, setType=LIBSETS_SETTYPE_ARENA</v>
      </c>
      <c r="BH270" s="21" t="str">
        <f t="shared" si="28"/>
        <v>, isProcSetAllowedInPvP=0, dropMechanic={LIBSETS_DROP_MECHANIC_ARENA_STAGE_CHEST,LIBSETS_DROP_MECHANIC_ARENA_STAGE_CHEST}, perfectedSetId=531</v>
      </c>
      <c r="BI270" s="21" t="str">
        <f t="shared" si="29"/>
        <v>}, --Caustic Arrow / Beißender Pfeil   [Dragonstar Arena, Craglorn, Craglorn]</v>
      </c>
    </row>
    <row r="271" spans="1:61" x14ac:dyDescent="0.25">
      <c r="A271" s="12">
        <v>317</v>
      </c>
      <c r="B271" t="s">
        <v>1142</v>
      </c>
      <c r="C271" t="s">
        <v>1143</v>
      </c>
      <c r="D271" s="3">
        <f t="shared" si="24"/>
        <v>317</v>
      </c>
      <c r="G271" s="8" t="s">
        <v>1465</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1547</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1547</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5" t="s">
        <v>2645</v>
      </c>
      <c r="BA271" s="75"/>
      <c r="BB271" s="75"/>
      <c r="BC271" s="75"/>
      <c r="BD271" s="75">
        <v>532</v>
      </c>
      <c r="BE271" s="21" t="str">
        <f t="shared" si="25"/>
        <v>[317] = {wayshrines={270,270,270,}, dlcId=DLC_CLOCKWORK_CITY</v>
      </c>
      <c r="BF271" s="21" t="str">
        <f t="shared" si="26"/>
        <v>, zoneIds={635,888,888}, veteran=false</v>
      </c>
      <c r="BG271" s="21" t="str">
        <f t="shared" si="27"/>
        <v>, setType=LIBSETS_SETTYPE_ARENA</v>
      </c>
      <c r="BH271" s="21" t="str">
        <f t="shared" si="28"/>
        <v>, dropMechanic={LIBSETS_DROP_MECHANIC_ARENA_STAGE_CHEST,LIBSETS_DROP_MECHANIC_ARENA_STAGE_CHEST}, perfectedSetId=532</v>
      </c>
      <c r="BI271" s="21" t="str">
        <f t="shared" si="29"/>
        <v>}, --Destructive Impact / Zerstörerischer Einschlag   [Dragonstar Arena, Craglorn, Craglorn]</v>
      </c>
    </row>
    <row r="272" spans="1:61" x14ac:dyDescent="0.25">
      <c r="A272" s="12">
        <v>318</v>
      </c>
      <c r="B272" t="s">
        <v>1144</v>
      </c>
      <c r="C272" t="s">
        <v>1145</v>
      </c>
      <c r="D272" s="3">
        <f t="shared" si="24"/>
        <v>318</v>
      </c>
      <c r="G272" s="8" t="s">
        <v>1465</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1547</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1547</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5" t="s">
        <v>2645</v>
      </c>
      <c r="BA272" s="75"/>
      <c r="BB272" s="75"/>
      <c r="BC272" s="75"/>
      <c r="BD272" s="75">
        <v>533</v>
      </c>
      <c r="BE272" s="21" t="str">
        <f t="shared" si="25"/>
        <v>[318] = {wayshrines={270,270,270,}, dlcId=DLC_CLOCKWORK_CITY</v>
      </c>
      <c r="BF272" s="21" t="str">
        <f t="shared" si="26"/>
        <v>, zoneIds={635,888,888}, veteran=false</v>
      </c>
      <c r="BG272" s="21" t="str">
        <f t="shared" si="27"/>
        <v>, setType=LIBSETS_SETTYPE_ARENA</v>
      </c>
      <c r="BH272" s="21" t="str">
        <f t="shared" si="28"/>
        <v>, dropMechanic={LIBSETS_DROP_MECHANIC_ARENA_STAGE_CHEST,LIBSETS_DROP_MECHANIC_ARENA_STAGE_CHEST}, perfectedSetId=533</v>
      </c>
      <c r="BI272" s="21" t="str">
        <f t="shared" si="29"/>
        <v>}, --Grand Rejuvenation / Große Verjüngung   [Dragonstar Arena, Craglorn, Craglorn]</v>
      </c>
    </row>
    <row r="273" spans="1:61" x14ac:dyDescent="0.25">
      <c r="A273" s="12">
        <v>320</v>
      </c>
      <c r="B273" t="s">
        <v>1146</v>
      </c>
      <c r="C273" t="s">
        <v>1147</v>
      </c>
      <c r="D273" s="3">
        <f t="shared" si="24"/>
        <v>320</v>
      </c>
      <c r="G273" s="8" t="s">
        <v>1473</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1551</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1553</v>
      </c>
      <c r="AI273" s="41"/>
      <c r="AJ273" s="41"/>
      <c r="AK273" s="3">
        <f>IF(AND(G273&lt;&gt;"LIBSETS_SETTYPE_BATTLEGROUND",G273&lt;&gt;"LIBSETS_SETTYPE_SPECIAL"),IF(AL273&lt;&gt;"",VLOOKUP(AL273,'ESO zone constants'!$D$5:$H$4955,5,FALSE),""),"")</f>
        <v>849</v>
      </c>
      <c r="AL273" t="s">
        <v>529</v>
      </c>
      <c r="AM273" s="33" t="s">
        <v>1554</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5" t="s">
        <v>2646</v>
      </c>
      <c r="BA273" s="75"/>
      <c r="BB273" s="75"/>
      <c r="BC273" s="75"/>
      <c r="BD273" s="75"/>
      <c r="BE273" s="21" t="str">
        <f t="shared" si="25"/>
        <v>[320] = {wayshrines={284,284,284,}, dlcId=DLC_BASE_GAME</v>
      </c>
      <c r="BF273" s="21" t="str">
        <f t="shared" si="26"/>
        <v>, zoneIds={849,849,849,849}, veteran=false</v>
      </c>
      <c r="BG273" s="21" t="str">
        <f t="shared" si="27"/>
        <v>, setType=LIBSETS_SETTYPE_OVERLAND</v>
      </c>
      <c r="BH273" s="21" t="str">
        <f t="shared" si="28"/>
        <v>, isProcSetAllowedInPvP=1, dropMechanic={LIBSETS_DROP_MECHANIC_OVERLAND_BOSS_DELVE,LIBSETS_DROP_MECHANIC_OVERLAND_WORLDBOSS,LIBSETS_DROP_MECHANIC_OVERLAND_BOSS_PUBLIC_DUNGEON,LIBSETS_DROP_MECHANIC_OVERLAND_CHEST}</v>
      </c>
      <c r="BI273" s="21" t="str">
        <f t="shared" si="29"/>
        <v>}, --War Maiden / Kriegsjungfer   [Vvardenfell, Vvardenfell, Vvardenfell, Vvardenfell]</v>
      </c>
    </row>
    <row r="274" spans="1:61" x14ac:dyDescent="0.25">
      <c r="A274" s="12">
        <v>321</v>
      </c>
      <c r="B274" t="s">
        <v>1148</v>
      </c>
      <c r="C274" t="s">
        <v>1149</v>
      </c>
      <c r="D274" s="3">
        <f t="shared" si="24"/>
        <v>321</v>
      </c>
      <c r="G274" s="8" t="s">
        <v>1473</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1551</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1553</v>
      </c>
      <c r="AI274" s="41"/>
      <c r="AJ274" s="41"/>
      <c r="AK274" s="3">
        <f>IF(AND(G274&lt;&gt;"LIBSETS_SETTYPE_BATTLEGROUND",G274&lt;&gt;"LIBSETS_SETTYPE_SPECIAL"),IF(AL274&lt;&gt;"",VLOOKUP(AL274,'ESO zone constants'!$D$5:$H$4955,5,FALSE),""),"")</f>
        <v>849</v>
      </c>
      <c r="AL274" t="s">
        <v>529</v>
      </c>
      <c r="AM274" s="33" t="s">
        <v>1554</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5" t="s">
        <v>2645</v>
      </c>
      <c r="BA274" s="75"/>
      <c r="BB274" s="75"/>
      <c r="BC274" s="75"/>
      <c r="BD274" s="75"/>
      <c r="BE274" s="21" t="str">
        <f t="shared" si="25"/>
        <v>[321] = {wayshrines={284,284,284,}, dlcId=DLC_BASE_GAME</v>
      </c>
      <c r="BF274" s="21" t="str">
        <f t="shared" si="26"/>
        <v>, zoneIds={849,849,849,849}, veteran=false</v>
      </c>
      <c r="BG274" s="21" t="str">
        <f t="shared" si="27"/>
        <v>, setType=LIBSETS_SETTYPE_OVERLAND</v>
      </c>
      <c r="BH274" s="21" t="str">
        <f t="shared" si="28"/>
        <v>, dropMechanic={LIBSETS_DROP_MECHANIC_OVERLAND_BOSS_DELVE,LIBSETS_DROP_MECHANIC_OVERLAND_WORLDBOSS,LIBSETS_DROP_MECHANIC_OVERLAND_BOSS_PUBLIC_DUNGEON,LIBSETS_DROP_MECHANIC_OVERLAND_CHEST}</v>
      </c>
      <c r="BI274" s="21" t="str">
        <f t="shared" si="29"/>
        <v>}, --Defiler / Schänder   [Vvardenfell, Vvardenfell, Vvardenfell, Vvardenfell]</v>
      </c>
    </row>
    <row r="275" spans="1:61" x14ac:dyDescent="0.25">
      <c r="A275" s="12">
        <v>322</v>
      </c>
      <c r="B275" t="s">
        <v>1150</v>
      </c>
      <c r="C275" t="s">
        <v>1151</v>
      </c>
      <c r="D275" s="3">
        <f t="shared" si="24"/>
        <v>322</v>
      </c>
      <c r="G275" s="8" t="s">
        <v>1473</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1551</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1553</v>
      </c>
      <c r="AI275" s="41"/>
      <c r="AJ275" s="41"/>
      <c r="AK275" s="3">
        <f>IF(AND(G275&lt;&gt;"LIBSETS_SETTYPE_BATTLEGROUND",G275&lt;&gt;"LIBSETS_SETTYPE_SPECIAL"),IF(AL275&lt;&gt;"",VLOOKUP(AL275,'ESO zone constants'!$D$5:$H$4955,5,FALSE),""),"")</f>
        <v>849</v>
      </c>
      <c r="AL275" t="s">
        <v>529</v>
      </c>
      <c r="AM275" s="33" t="s">
        <v>1554</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5" t="s">
        <v>2645</v>
      </c>
      <c r="BA275" s="75"/>
      <c r="BB275" s="75"/>
      <c r="BC275" s="75"/>
      <c r="BD275" s="75"/>
      <c r="BE275" s="21" t="str">
        <f t="shared" si="25"/>
        <v>[322] = {wayshrines={284,284,284,}, dlcId=DLC_BASE_GAME</v>
      </c>
      <c r="BF275" s="21" t="str">
        <f t="shared" si="26"/>
        <v>, zoneIds={849,849,849,849}, veteran=false</v>
      </c>
      <c r="BG275" s="21" t="str">
        <f t="shared" si="27"/>
        <v>, setType=LIBSETS_SETTYPE_OVERLAND</v>
      </c>
      <c r="BH275" s="21" t="str">
        <f t="shared" si="28"/>
        <v>, dropMechanic={LIBSETS_DROP_MECHANIC_OVERLAND_BOSS_DELVE,LIBSETS_DROP_MECHANIC_OVERLAND_WORLDBOSS,LIBSETS_DROP_MECHANIC_OVERLAND_BOSS_PUBLIC_DUNGEON,LIBSETS_DROP_MECHANIC_OVERLAND_CHEST}</v>
      </c>
      <c r="BI275" s="21" t="str">
        <f t="shared" si="29"/>
        <v>}, --Warrior-Poet / Kriegerpoet   [Vvardenfell, Vvardenfell, Vvardenfell, Vvardenfell]</v>
      </c>
    </row>
    <row r="276" spans="1:61" x14ac:dyDescent="0.25">
      <c r="A276" s="5">
        <v>323</v>
      </c>
      <c r="B276" t="s">
        <v>1152</v>
      </c>
      <c r="C276" t="s">
        <v>2595</v>
      </c>
      <c r="D276" s="3">
        <f t="shared" si="24"/>
        <v>323</v>
      </c>
      <c r="G276" s="8" t="s">
        <v>1467</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3276</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3276</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5" t="s">
        <v>2646</v>
      </c>
      <c r="BA276" s="75"/>
      <c r="BB276" s="75"/>
      <c r="BC276" s="75"/>
      <c r="BD276" s="75"/>
      <c r="BE276" s="21" t="str">
        <f t="shared" si="25"/>
        <v>[323] = {wayshrines={276,276,276,}, traitsNeeded=3, dlcId=DLC_BASE_GAME</v>
      </c>
      <c r="BF276" s="21" t="str">
        <f t="shared" si="26"/>
        <v>, zoneIds={849,849,849}, veteran=false</v>
      </c>
      <c r="BG276" s="21" t="str">
        <f t="shared" si="27"/>
        <v>, setType=LIBSETS_SETTYPE_CRAFTED</v>
      </c>
      <c r="BH276" s="21" t="str">
        <f t="shared" si="28"/>
        <v>, isProcSetAllowedInPvP=1, dropMechanic={LIBSETS_DROP_MECHANIC_CRAFTED,LIBSETS_DROP_MECHANIC_CRAFTED}</v>
      </c>
      <c r="BI276" s="21" t="str">
        <f t="shared" si="29"/>
        <v>}, --Assassin\'s Guile / Assassinenlist   [Vvardenfell, Vvardenfell, Vvardenfell]</v>
      </c>
    </row>
    <row r="277" spans="1:61" x14ac:dyDescent="0.25">
      <c r="A277" s="5">
        <v>324</v>
      </c>
      <c r="B277" t="s">
        <v>1153</v>
      </c>
      <c r="C277" t="s">
        <v>1154</v>
      </c>
      <c r="D277" s="3">
        <f t="shared" si="24"/>
        <v>324</v>
      </c>
      <c r="E277" s="40"/>
      <c r="G277" s="8" t="s">
        <v>1467</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3276</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3276</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5" t="s">
        <v>2645</v>
      </c>
      <c r="BA277" s="75"/>
      <c r="BB277" s="75"/>
      <c r="BC277" s="75"/>
      <c r="BD277" s="75"/>
      <c r="BE277" s="21" t="str">
        <f t="shared" si="25"/>
        <v>[324] = {wayshrines={329,329,329,}, traitsNeeded=8, dlcId=DLC_BASE_GAME</v>
      </c>
      <c r="BF277" s="21" t="str">
        <f t="shared" si="26"/>
        <v>, zoneIds={849,849,849}, veteran=false</v>
      </c>
      <c r="BG277" s="21" t="str">
        <f t="shared" si="27"/>
        <v>, setType=LIBSETS_SETTYPE_CRAFTED</v>
      </c>
      <c r="BH277" s="21" t="str">
        <f t="shared" si="28"/>
        <v>, dropMechanic={LIBSETS_DROP_MECHANIC_CRAFTED,LIBSETS_DROP_MECHANIC_CRAFTED}</v>
      </c>
      <c r="BI277" s="21" t="str">
        <f t="shared" si="29"/>
        <v>}, --Daedric Trickery / Daedrische Gaunerei   [Vvardenfell, Vvardenfell, Vvardenfell]</v>
      </c>
    </row>
    <row r="278" spans="1:61" x14ac:dyDescent="0.25">
      <c r="A278" s="5">
        <v>325</v>
      </c>
      <c r="B278" t="s">
        <v>1155</v>
      </c>
      <c r="C278" t="s">
        <v>1156</v>
      </c>
      <c r="D278" s="3">
        <f t="shared" si="24"/>
        <v>325</v>
      </c>
      <c r="G278" s="8" t="s">
        <v>1467</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3276</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5" t="s">
        <v>2646</v>
      </c>
      <c r="BA278" s="75"/>
      <c r="BB278" s="75"/>
      <c r="BC278" s="75"/>
      <c r="BD278" s="75"/>
      <c r="BE278" s="21" t="str">
        <f t="shared" si="25"/>
        <v>[325] = {wayshrines={282,282,282,}, traitsNeeded=6, dlcId=DLC_BASE_GAME</v>
      </c>
      <c r="BF278" s="21" t="str">
        <f t="shared" si="26"/>
        <v>, zoneIds={849,849,849}, veteran=false</v>
      </c>
      <c r="BG278" s="21" t="str">
        <f t="shared" si="27"/>
        <v>, setType=LIBSETS_SETTYPE_CRAFTED</v>
      </c>
      <c r="BH278" s="21" t="str">
        <f t="shared" si="28"/>
        <v>, isProcSetAllowedInPvP=1, dropMechanic={LIBSETS_DROP_MECHANIC_CRAFTED,LIBSETS_DROP_MECHANIC_CRAFTED}</v>
      </c>
      <c r="BI278" s="21" t="str">
        <f t="shared" si="29"/>
        <v>}, --Shacklebreaker / Kettensprenger   [Vvardenfell, Vvardenfell, Vvardenfell]</v>
      </c>
    </row>
    <row r="279" spans="1:61" x14ac:dyDescent="0.25">
      <c r="A279" s="12">
        <v>326</v>
      </c>
      <c r="B279" t="s">
        <v>1157</v>
      </c>
      <c r="C279" t="s">
        <v>2596</v>
      </c>
      <c r="D279" s="3">
        <f t="shared" si="24"/>
        <v>326</v>
      </c>
      <c r="G279" s="8" t="s">
        <v>1466</v>
      </c>
      <c r="I279" t="s">
        <v>91</v>
      </c>
      <c r="J279" t="s">
        <v>91</v>
      </c>
      <c r="K279">
        <v>-1</v>
      </c>
      <c r="L279">
        <v>-1</v>
      </c>
      <c r="M279">
        <v>-1</v>
      </c>
      <c r="O279" s="61" t="s">
        <v>1505</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5" t="s">
        <v>2645</v>
      </c>
      <c r="BA279" s="75"/>
      <c r="BB279" s="75"/>
      <c r="BC279" s="75"/>
      <c r="BD279" s="75"/>
      <c r="BE279" s="21" t="str">
        <f t="shared" si="25"/>
        <v>[326] = {wayshrines={-1,-1,-1,}, dlcId=DLC_BASE_GAME</v>
      </c>
      <c r="BF279" s="21" t="str">
        <f t="shared" si="26"/>
        <v>, zoneIds={-98}, veteran=false</v>
      </c>
      <c r="BG279" s="21" t="str">
        <f t="shared" si="27"/>
        <v>, setType=LIBSETS_SETTYPE_BATTLEGROUND</v>
      </c>
      <c r="BH279" s="21" t="str">
        <f t="shared" si="28"/>
        <v>, dropMechanic={LIBSETS_DROP_MECHANIC_BATTLEGROUND_REWARD}</v>
      </c>
      <c r="BI279" s="21" t="str">
        <f t="shared" si="29"/>
        <v>}, --Vanguard\'s Challenge / Vorhutdisput   [!Battleground]</v>
      </c>
    </row>
    <row r="280" spans="1:61" x14ac:dyDescent="0.25">
      <c r="A280" s="12">
        <v>327</v>
      </c>
      <c r="B280" t="s">
        <v>1158</v>
      </c>
      <c r="C280" t="s">
        <v>2597</v>
      </c>
      <c r="D280" s="3">
        <f t="shared" si="24"/>
        <v>327</v>
      </c>
      <c r="G280" s="8" t="s">
        <v>1466</v>
      </c>
      <c r="I280" t="s">
        <v>91</v>
      </c>
      <c r="J280" t="s">
        <v>91</v>
      </c>
      <c r="K280">
        <v>-1</v>
      </c>
      <c r="L280">
        <v>-1</v>
      </c>
      <c r="M280">
        <v>-1</v>
      </c>
      <c r="O280" s="61" t="s">
        <v>1505</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5" t="s">
        <v>2645</v>
      </c>
      <c r="BA280" s="75"/>
      <c r="BB280" s="75"/>
      <c r="BC280" s="75"/>
      <c r="BD280" s="75"/>
      <c r="BE280" s="21" t="str">
        <f t="shared" si="25"/>
        <v>[327] = {wayshrines={-1,-1,-1,}, dlcId=DLC_BASE_GAME</v>
      </c>
      <c r="BF280" s="21" t="str">
        <f t="shared" si="26"/>
        <v>, zoneIds={-98}, veteran=false</v>
      </c>
      <c r="BG280" s="21" t="str">
        <f t="shared" si="27"/>
        <v>, setType=LIBSETS_SETTYPE_BATTLEGROUND</v>
      </c>
      <c r="BH280" s="21" t="str">
        <f t="shared" si="28"/>
        <v>, dropMechanic={LIBSETS_DROP_MECHANIC_BATTLEGROUND_REWARD}</v>
      </c>
      <c r="BI280" s="21" t="str">
        <f t="shared" si="29"/>
        <v>}, --Coward\'s Gear / Feiglingstracht   [!Battleground]</v>
      </c>
    </row>
    <row r="281" spans="1:61" x14ac:dyDescent="0.25">
      <c r="A281" s="12">
        <v>328</v>
      </c>
      <c r="B281" t="s">
        <v>1159</v>
      </c>
      <c r="C281" t="s">
        <v>1160</v>
      </c>
      <c r="D281" s="3">
        <f t="shared" si="24"/>
        <v>328</v>
      </c>
      <c r="G281" s="8" t="s">
        <v>1466</v>
      </c>
      <c r="I281" t="s">
        <v>91</v>
      </c>
      <c r="J281" t="s">
        <v>91</v>
      </c>
      <c r="K281">
        <v>-1</v>
      </c>
      <c r="L281">
        <v>-1</v>
      </c>
      <c r="M281">
        <v>-1</v>
      </c>
      <c r="O281" s="61" t="s">
        <v>1505</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5" t="s">
        <v>2645</v>
      </c>
      <c r="BA281" s="75"/>
      <c r="BB281" s="75"/>
      <c r="BC281" s="75"/>
      <c r="BD281" s="75"/>
      <c r="BE281" s="21" t="str">
        <f t="shared" si="25"/>
        <v>[328] = {wayshrines={-1,-1,-1,}, dlcId=DLC_BASE_GAME</v>
      </c>
      <c r="BF281" s="21" t="str">
        <f t="shared" si="26"/>
        <v>, zoneIds={-98}, veteran=false</v>
      </c>
      <c r="BG281" s="21" t="str">
        <f t="shared" si="27"/>
        <v>, setType=LIBSETS_SETTYPE_BATTLEGROUND</v>
      </c>
      <c r="BH281" s="21" t="str">
        <f t="shared" si="28"/>
        <v>, dropMechanic={LIBSETS_DROP_MECHANIC_BATTLEGROUND_REWARD}</v>
      </c>
      <c r="BI281" s="21" t="str">
        <f t="shared" si="29"/>
        <v>}, --Knight Slayer / Ritterschlächter   [!Battleground]</v>
      </c>
    </row>
    <row r="282" spans="1:61" x14ac:dyDescent="0.25">
      <c r="A282" s="12">
        <v>329</v>
      </c>
      <c r="B282" t="s">
        <v>1161</v>
      </c>
      <c r="C282" t="s">
        <v>2598</v>
      </c>
      <c r="D282" s="3">
        <f t="shared" si="24"/>
        <v>329</v>
      </c>
      <c r="G282" s="8" t="s">
        <v>1466</v>
      </c>
      <c r="I282" t="s">
        <v>91</v>
      </c>
      <c r="J282" t="s">
        <v>91</v>
      </c>
      <c r="K282">
        <v>-1</v>
      </c>
      <c r="L282">
        <v>-1</v>
      </c>
      <c r="M282">
        <v>-1</v>
      </c>
      <c r="O282" s="61" t="s">
        <v>1505</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5" t="s">
        <v>2645</v>
      </c>
      <c r="BA282" s="75"/>
      <c r="BB282" s="75"/>
      <c r="BC282" s="75"/>
      <c r="BD282" s="75"/>
      <c r="BE282" s="21" t="str">
        <f t="shared" si="25"/>
        <v>[329] = {wayshrines={-1,-1,-1,}, dlcId=DLC_BASE_GAME</v>
      </c>
      <c r="BF282" s="21" t="str">
        <f t="shared" si="26"/>
        <v>, zoneIds={-98}, veteran=false</v>
      </c>
      <c r="BG282" s="21" t="str">
        <f t="shared" si="27"/>
        <v>, setType=LIBSETS_SETTYPE_BATTLEGROUND</v>
      </c>
      <c r="BH282" s="21" t="str">
        <f t="shared" si="28"/>
        <v>, dropMechanic={LIBSETS_DROP_MECHANIC_BATTLEGROUND_REWARD}</v>
      </c>
      <c r="BI282" s="21" t="str">
        <f t="shared" si="29"/>
        <v>}, --Wizard\'s Riposte / Zaubererreplik   [!Battleground]</v>
      </c>
    </row>
    <row r="283" spans="1:61" x14ac:dyDescent="0.25">
      <c r="A283" s="12">
        <v>330</v>
      </c>
      <c r="B283" t="s">
        <v>1162</v>
      </c>
      <c r="C283" t="s">
        <v>1163</v>
      </c>
      <c r="D283" s="3">
        <f t="shared" si="24"/>
        <v>330</v>
      </c>
      <c r="G283" s="8" t="s">
        <v>1474</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3254</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5" t="s">
        <v>2645</v>
      </c>
      <c r="BA283" s="75"/>
      <c r="BB283" s="75"/>
      <c r="BC283" s="75"/>
      <c r="BD283" s="75"/>
      <c r="BE283" s="21" t="str">
        <f t="shared" si="25"/>
        <v>[330] = {wayshrines={331,331,331,}, dlcId=DLC_CLOCKWORK_CITY</v>
      </c>
      <c r="BF283" s="21" t="str">
        <f t="shared" si="26"/>
        <v>, zoneIds={975,975,975}, veteran=false</v>
      </c>
      <c r="BG283" s="21" t="str">
        <f t="shared" si="27"/>
        <v>, setType=LIBSETS_SETTYPE_TRIAL</v>
      </c>
      <c r="BH283" s="21" t="str">
        <f t="shared" si="28"/>
        <v>, dropMechanic={LIBSETS_DROP_MECHANIC_TRIAL_BOSS,LIBSETS_DROP_MECHANIC_TRIAL_BOSS,LIBSETS_DROP_MECHANIC_TRIAL_BOSS}</v>
      </c>
      <c r="BI283" s="21" t="str">
        <f t="shared" si="29"/>
        <v>}, --Automated Defense / Automatisierte Verteidigung   [Halls of Fabrication, Halls of Fabrication, Halls of Fabrication]</v>
      </c>
    </row>
    <row r="284" spans="1:61" x14ac:dyDescent="0.25">
      <c r="A284" s="12">
        <v>331</v>
      </c>
      <c r="B284" t="s">
        <v>1164</v>
      </c>
      <c r="C284" t="s">
        <v>1165</v>
      </c>
      <c r="D284" s="3">
        <f t="shared" si="24"/>
        <v>331</v>
      </c>
      <c r="G284" s="8" t="s">
        <v>1474</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3254</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5" t="s">
        <v>2645</v>
      </c>
      <c r="BA284" s="75"/>
      <c r="BB284" s="75"/>
      <c r="BC284" s="75"/>
      <c r="BD284" s="75"/>
      <c r="BE284" s="21" t="str">
        <f t="shared" si="25"/>
        <v>[331] = {wayshrines={331,331,331,}, dlcId=DLC_CLOCKWORK_CITY</v>
      </c>
      <c r="BF284" s="21" t="str">
        <f t="shared" si="26"/>
        <v>, zoneIds={975,975,975}, veteran=false</v>
      </c>
      <c r="BG284" s="21" t="str">
        <f t="shared" si="27"/>
        <v>, setType=LIBSETS_SETTYPE_TRIAL</v>
      </c>
      <c r="BH284" s="21" t="str">
        <f t="shared" si="28"/>
        <v>, dropMechanic={LIBSETS_DROP_MECHANIC_TRIAL_BOSS,LIBSETS_DROP_MECHANIC_TRIAL_BOSS,LIBSETS_DROP_MECHANIC_TRIAL_BOSS}</v>
      </c>
      <c r="BI284" s="21" t="str">
        <f t="shared" si="29"/>
        <v>}, --War Machine / Kriegsmaschine   [Halls of Fabrication, Halls of Fabrication, Halls of Fabrication]</v>
      </c>
    </row>
    <row r="285" spans="1:61" x14ac:dyDescent="0.25">
      <c r="A285" s="12">
        <v>332</v>
      </c>
      <c r="B285" t="s">
        <v>1166</v>
      </c>
      <c r="C285" t="s">
        <v>1167</v>
      </c>
      <c r="D285" s="3">
        <f t="shared" si="24"/>
        <v>332</v>
      </c>
      <c r="G285" s="8" t="s">
        <v>1474</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3254</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5" t="s">
        <v>2645</v>
      </c>
      <c r="BA285" s="75"/>
      <c r="BB285" s="75"/>
      <c r="BC285" s="75"/>
      <c r="BD285" s="75"/>
      <c r="BE285" s="21" t="str">
        <f t="shared" si="25"/>
        <v>[332] = {wayshrines={331,331,331,}, dlcId=DLC_CLOCKWORK_CITY</v>
      </c>
      <c r="BF285" s="21" t="str">
        <f t="shared" si="26"/>
        <v>, zoneIds={975,975,975}, veteran=false</v>
      </c>
      <c r="BG285" s="21" t="str">
        <f t="shared" si="27"/>
        <v>, setType=LIBSETS_SETTYPE_TRIAL</v>
      </c>
      <c r="BH285" s="21" t="str">
        <f t="shared" si="28"/>
        <v>, dropMechanic={LIBSETS_DROP_MECHANIC_TRIAL_BOSS,LIBSETS_DROP_MECHANIC_TRIAL_BOSS,LIBSETS_DROP_MECHANIC_TRIAL_BOSS}</v>
      </c>
      <c r="BI285" s="21" t="str">
        <f t="shared" si="29"/>
        <v>}, --Master Architect / Meisterarchitekt   [Halls of Fabrication, Halls of Fabrication, Halls of Fabrication]</v>
      </c>
    </row>
    <row r="286" spans="1:61" x14ac:dyDescent="0.25">
      <c r="A286" s="12">
        <v>333</v>
      </c>
      <c r="B286" t="s">
        <v>1168</v>
      </c>
      <c r="C286" t="s">
        <v>2599</v>
      </c>
      <c r="D286" s="3">
        <f t="shared" si="24"/>
        <v>333</v>
      </c>
      <c r="G286" s="8" t="s">
        <v>1474</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3254</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5" t="s">
        <v>2645</v>
      </c>
      <c r="BA286" s="75"/>
      <c r="BB286" s="75"/>
      <c r="BC286" s="75"/>
      <c r="BD286" s="75"/>
      <c r="BE286" s="21" t="str">
        <f t="shared" si="25"/>
        <v>[333] = {wayshrines={331,331,331,}, dlcId=DLC_CLOCKWORK_CITY</v>
      </c>
      <c r="BF286" s="21" t="str">
        <f t="shared" si="26"/>
        <v>, zoneIds={975,975,975}, veteran=false</v>
      </c>
      <c r="BG286" s="21" t="str">
        <f t="shared" si="27"/>
        <v>, setType=LIBSETS_SETTYPE_TRIAL</v>
      </c>
      <c r="BH286" s="21" t="str">
        <f t="shared" si="28"/>
        <v>, dropMechanic={LIBSETS_DROP_MECHANIC_TRIAL_BOSS,LIBSETS_DROP_MECHANIC_TRIAL_BOSS,LIBSETS_DROP_MECHANIC_TRIAL_BOSS}</v>
      </c>
      <c r="BI286" s="21" t="str">
        <f t="shared" si="29"/>
        <v>}, --Inventor\'s Guard / Erfindergarde   [Halls of Fabrication, Halls of Fabrication, Halls of Fabrication]</v>
      </c>
    </row>
    <row r="287" spans="1:61" x14ac:dyDescent="0.25">
      <c r="A287" s="12">
        <v>334</v>
      </c>
      <c r="B287" t="s">
        <v>1169</v>
      </c>
      <c r="C287" t="s">
        <v>1170</v>
      </c>
      <c r="D287" s="3">
        <f t="shared" si="24"/>
        <v>334</v>
      </c>
      <c r="G287" s="8" t="s">
        <v>1466</v>
      </c>
      <c r="I287" t="s">
        <v>91</v>
      </c>
      <c r="J287" t="s">
        <v>91</v>
      </c>
      <c r="K287">
        <v>-1</v>
      </c>
      <c r="L287">
        <v>-1</v>
      </c>
      <c r="M287">
        <v>-1</v>
      </c>
      <c r="O287" s="61" t="s">
        <v>1505</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5" t="s">
        <v>2646</v>
      </c>
      <c r="BA287" s="75"/>
      <c r="BB287" s="75"/>
      <c r="BC287" s="75"/>
      <c r="BD287" s="75"/>
      <c r="BE287" s="21" t="str">
        <f t="shared" si="25"/>
        <v>[334] = {wayshrines={-1,-1,-1,}, dlcId=DLC_BASE_GAME</v>
      </c>
      <c r="BF287" s="21" t="str">
        <f t="shared" si="26"/>
        <v>, zoneIds={-98}, veteran=false</v>
      </c>
      <c r="BG287" s="21" t="str">
        <f t="shared" si="27"/>
        <v>, setType=LIBSETS_SETTYPE_BATTLEGROUND</v>
      </c>
      <c r="BH287" s="21" t="str">
        <f t="shared" si="28"/>
        <v>, isProcSetAllowedInPvP=1, dropMechanic={LIBSETS_DROP_MECHANIC_BATTLEGROUND_REWARD}</v>
      </c>
      <c r="BI287" s="21" t="str">
        <f t="shared" si="29"/>
        <v>}, --Impregnable Armor / Unüberwindliche Rüstung   [!Battleground]</v>
      </c>
    </row>
    <row r="288" spans="1:61" x14ac:dyDescent="0.25">
      <c r="A288" s="12">
        <v>335</v>
      </c>
      <c r="B288" t="s">
        <v>1171</v>
      </c>
      <c r="C288" t="s">
        <v>2600</v>
      </c>
      <c r="D288" s="3">
        <f t="shared" si="24"/>
        <v>335</v>
      </c>
      <c r="G288" s="8" t="s">
        <v>1470</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5" t="s">
        <v>2645</v>
      </c>
      <c r="BA288" s="75"/>
      <c r="BB288" s="75"/>
      <c r="BC288" s="75"/>
      <c r="BD288" s="75"/>
      <c r="BE288" s="21" t="str">
        <f t="shared" si="25"/>
        <v>[335] = {wayshrines={332,332,332,}, dlcId=DLC_HORNS_OF_THE_REACH</v>
      </c>
      <c r="BF288" s="21" t="str">
        <f t="shared" si="26"/>
        <v>, zoneIds={974,888,888}, veteran=false</v>
      </c>
      <c r="BG288" s="21" t="str">
        <f t="shared" si="27"/>
        <v>, setType=LIBSETS_SETTYPE_DUNGEON</v>
      </c>
      <c r="BH288" s="21" t="str">
        <f t="shared" si="28"/>
        <v>, dropMechanic={LIBSETS_DROP_MECHANIC_GROUP_DUNGEON_BOSS}</v>
      </c>
      <c r="BI288" s="21" t="str">
        <f t="shared" si="29"/>
        <v>}, --Draugr\'s Rest / Draugrruhe   [Falkreath Hold, Craglorn, Craglorn]</v>
      </c>
    </row>
    <row r="289" spans="1:61" x14ac:dyDescent="0.25">
      <c r="A289" s="12">
        <v>336</v>
      </c>
      <c r="B289" t="s">
        <v>1172</v>
      </c>
      <c r="C289" t="s">
        <v>1173</v>
      </c>
      <c r="D289" s="3">
        <f t="shared" si="24"/>
        <v>336</v>
      </c>
      <c r="G289" s="8" t="s">
        <v>1470</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5" t="s">
        <v>2645</v>
      </c>
      <c r="BA289" s="75"/>
      <c r="BB289" s="75"/>
      <c r="BC289" s="75"/>
      <c r="BD289" s="75"/>
      <c r="BE289" s="21" t="str">
        <f t="shared" si="25"/>
        <v>[336] = {wayshrines={332,332,332,}, dlcId=DLC_HORNS_OF_THE_REACH</v>
      </c>
      <c r="BF289" s="21" t="str">
        <f t="shared" si="26"/>
        <v>, zoneIds={974,888,888}, veteran=false</v>
      </c>
      <c r="BG289" s="21" t="str">
        <f t="shared" si="27"/>
        <v>, setType=LIBSETS_SETTYPE_DUNGEON</v>
      </c>
      <c r="BH289" s="21" t="str">
        <f t="shared" si="28"/>
        <v>, dropMechanic={LIBSETS_DROP_MECHANIC_GROUP_DUNGEON_BOSS}</v>
      </c>
      <c r="BI289" s="21" t="str">
        <f t="shared" si="29"/>
        <v>}, --Pillar of Nirn / Säulen von Nirn   [Falkreath Hold, Craglorn, Craglorn]</v>
      </c>
    </row>
    <row r="290" spans="1:61" x14ac:dyDescent="0.25">
      <c r="A290" s="12">
        <v>337</v>
      </c>
      <c r="B290" t="s">
        <v>1174</v>
      </c>
      <c r="C290" t="s">
        <v>1175</v>
      </c>
      <c r="D290" s="3">
        <f t="shared" si="24"/>
        <v>337</v>
      </c>
      <c r="G290" s="8" t="s">
        <v>1470</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5" t="s">
        <v>2645</v>
      </c>
      <c r="BA290" s="75"/>
      <c r="BB290" s="75"/>
      <c r="BC290" s="75"/>
      <c r="BD290" s="75"/>
      <c r="BE290" s="21" t="str">
        <f t="shared" si="25"/>
        <v>[337] = {wayshrines={332,332,332,}, dlcId=DLC_HORNS_OF_THE_REACH</v>
      </c>
      <c r="BF290" s="21" t="str">
        <f t="shared" si="26"/>
        <v>, zoneIds={974,888,888}, veteran=false</v>
      </c>
      <c r="BG290" s="21" t="str">
        <f t="shared" si="27"/>
        <v>, setType=LIBSETS_SETTYPE_DUNGEON</v>
      </c>
      <c r="BH290" s="21" t="str">
        <f t="shared" si="28"/>
        <v>, dropMechanic={LIBSETS_DROP_MECHANIC_GROUP_DUNGEON_BOSS}</v>
      </c>
      <c r="BI290" s="21" t="str">
        <f t="shared" si="29"/>
        <v>}, --Ironblood / Eisenblut   [Falkreath Hold, Craglorn, Craglorn]</v>
      </c>
    </row>
    <row r="291" spans="1:61" x14ac:dyDescent="0.25">
      <c r="A291" s="12">
        <v>338</v>
      </c>
      <c r="B291" t="s">
        <v>1176</v>
      </c>
      <c r="C291" t="s">
        <v>1177</v>
      </c>
      <c r="D291" s="3">
        <f t="shared" si="24"/>
        <v>338</v>
      </c>
      <c r="E291" s="40"/>
      <c r="G291" s="8" t="s">
        <v>1470</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5" t="s">
        <v>2645</v>
      </c>
      <c r="BA291" s="75"/>
      <c r="BB291" s="75"/>
      <c r="BC291" s="75"/>
      <c r="BD291" s="75"/>
      <c r="BE291" s="21" t="str">
        <f t="shared" si="25"/>
        <v>[338] = {wayshrines={326,326,326,}, dlcId=DLC_HORNS_OF_THE_REACH</v>
      </c>
      <c r="BF291" s="21" t="str">
        <f t="shared" si="26"/>
        <v>, zoneIds={973,888,888}, veteran=false</v>
      </c>
      <c r="BG291" s="21" t="str">
        <f t="shared" si="27"/>
        <v>, setType=LIBSETS_SETTYPE_DUNGEON</v>
      </c>
      <c r="BH291" s="21" t="str">
        <f t="shared" si="28"/>
        <v>, dropMechanic={LIBSETS_DROP_MECHANIC_GROUP_DUNGEON_BOSS}</v>
      </c>
      <c r="BI291" s="21" t="str">
        <f t="shared" si="29"/>
        <v>}, --Flame Blossom / Flammenblüte   [Bloodroot Forge, Craglorn, Craglorn]</v>
      </c>
    </row>
    <row r="292" spans="1:61" x14ac:dyDescent="0.25">
      <c r="A292" s="12">
        <v>339</v>
      </c>
      <c r="B292" t="s">
        <v>1178</v>
      </c>
      <c r="C292" t="s">
        <v>1179</v>
      </c>
      <c r="D292" s="3">
        <f t="shared" si="24"/>
        <v>339</v>
      </c>
      <c r="E292" s="40"/>
      <c r="G292" s="8" t="s">
        <v>1470</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5" t="s">
        <v>2646</v>
      </c>
      <c r="BA292" s="75"/>
      <c r="BB292" s="75"/>
      <c r="BC292" s="75"/>
      <c r="BD292" s="75"/>
      <c r="BE292" s="21" t="str">
        <f t="shared" si="25"/>
        <v>[339] = {wayshrines={326,326,326,}, dlcId=DLC_HORNS_OF_THE_REACH</v>
      </c>
      <c r="BF292" s="21" t="str">
        <f t="shared" si="26"/>
        <v>, zoneIds={973,888,888}, veteran=false</v>
      </c>
      <c r="BG292" s="21" t="str">
        <f t="shared" si="27"/>
        <v>, setType=LIBSETS_SETTYPE_DUNGEON</v>
      </c>
      <c r="BH292" s="21" t="str">
        <f t="shared" si="28"/>
        <v>, isProcSetAllowedInPvP=1, dropMechanic={LIBSETS_DROP_MECHANIC_GROUP_DUNGEON_BOSS}</v>
      </c>
      <c r="BI292" s="21" t="str">
        <f t="shared" si="29"/>
        <v>}, --Blooddrinker / Bluttrinker   [Bloodroot Forge, Craglorn, Craglorn]</v>
      </c>
    </row>
    <row r="293" spans="1:61" x14ac:dyDescent="0.25">
      <c r="A293" s="12">
        <v>340</v>
      </c>
      <c r="B293" t="s">
        <v>1180</v>
      </c>
      <c r="C293" t="s">
        <v>2601</v>
      </c>
      <c r="D293" s="3">
        <f t="shared" si="24"/>
        <v>340</v>
      </c>
      <c r="E293" s="40"/>
      <c r="G293" s="8" t="s">
        <v>1470</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5" t="s">
        <v>2645</v>
      </c>
      <c r="BA293" s="75"/>
      <c r="BB293" s="75"/>
      <c r="BC293" s="75"/>
      <c r="BD293" s="75"/>
      <c r="BE293" s="21" t="str">
        <f t="shared" si="25"/>
        <v>[340] = {wayshrines={326,326,326,}, dlcId=DLC_HORNS_OF_THE_REACH</v>
      </c>
      <c r="BF293" s="21" t="str">
        <f t="shared" si="26"/>
        <v>, zoneIds={973,888,888}, veteran=false</v>
      </c>
      <c r="BG293" s="21" t="str">
        <f t="shared" si="27"/>
        <v>, setType=LIBSETS_SETTYPE_DUNGEON</v>
      </c>
      <c r="BH293" s="21" t="str">
        <f t="shared" si="28"/>
        <v>, dropMechanic={LIBSETS_DROP_MECHANIC_GROUP_DUNGEON_BOSS}</v>
      </c>
      <c r="BI293" s="21" t="str">
        <f t="shared" si="29"/>
        <v>}, --Hagraven\'s Garden / Vettelgarten   [Bloodroot Forge, Craglorn, Craglorn]</v>
      </c>
    </row>
    <row r="294" spans="1:61" x14ac:dyDescent="0.25">
      <c r="A294" s="5">
        <v>341</v>
      </c>
      <c r="B294" t="s">
        <v>1181</v>
      </c>
      <c r="C294" t="s">
        <v>4</v>
      </c>
      <c r="D294" s="3">
        <f t="shared" si="24"/>
        <v>341</v>
      </c>
      <c r="G294" s="8" t="s">
        <v>1472</v>
      </c>
      <c r="H294" s="83">
        <v>3</v>
      </c>
      <c r="I294" t="s">
        <v>1459</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5" t="s">
        <v>2645</v>
      </c>
      <c r="BA294" s="75"/>
      <c r="BB294" s="75"/>
      <c r="BC294" s="75"/>
      <c r="BD294" s="75"/>
      <c r="BE294" s="21" t="str">
        <f t="shared" si="25"/>
        <v>[341] = {wayshrines={326,326,326,}, dlcId=DLC_HORNS_OF_THE_REACH</v>
      </c>
      <c r="BF294" s="21" t="str">
        <f t="shared" si="26"/>
        <v>, zoneIds={973,888,888}, veteran={[EQUIP_TYPE_HEAD]=true, [EQUIP_TYPE_SHOULDERS]=false}</v>
      </c>
      <c r="BG294" s="21" t="str">
        <f t="shared" si="27"/>
        <v>, setType=LIBSETS_SETTYPE_MONSTER, undauntedChestId=3</v>
      </c>
      <c r="BH294" s="21" t="str">
        <f t="shared" si="28"/>
        <v>, dropMechanic={LIBSETS_DROP_MECHANIC_MONSTER_NAME}, dropMechanicDropLocationNames={['en']={'Earthgore Amalgam','','','','','',},['de']={'Erdbluter-Amalgam','','','','','',},}</v>
      </c>
      <c r="BI294" s="21" t="str">
        <f t="shared" si="29"/>
        <v>}, --Earthgore / Erdbluter   [Bloodroot Forge, Craglorn, Craglorn]</v>
      </c>
    </row>
    <row r="295" spans="1:61" x14ac:dyDescent="0.25">
      <c r="A295" s="5">
        <v>342</v>
      </c>
      <c r="B295" t="s">
        <v>3</v>
      </c>
      <c r="C295" t="s">
        <v>3</v>
      </c>
      <c r="D295" s="3">
        <f t="shared" si="24"/>
        <v>342</v>
      </c>
      <c r="G295" s="8" t="s">
        <v>1472</v>
      </c>
      <c r="H295" s="83">
        <v>3</v>
      </c>
      <c r="I295" t="s">
        <v>1459</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5" t="s">
        <v>2645</v>
      </c>
      <c r="BA295" s="75"/>
      <c r="BB295" s="75"/>
      <c r="BC295" s="75"/>
      <c r="BD295" s="75"/>
      <c r="BE295" s="21" t="str">
        <f t="shared" si="25"/>
        <v>[342] = {wayshrines={332,332,332,}, dlcId=DLC_HORNS_OF_THE_REACH</v>
      </c>
      <c r="BF295" s="21" t="str">
        <f t="shared" si="26"/>
        <v>, zoneIds={974,888,888}, veteran={[EQUIP_TYPE_HEAD]=true, [EQUIP_TYPE_SHOULDERS]=false}</v>
      </c>
      <c r="BG295" s="21" t="str">
        <f t="shared" si="27"/>
        <v>, setType=LIBSETS_SETTYPE_MONSTER, undauntedChestId=3</v>
      </c>
      <c r="BH295" s="21" t="str">
        <f t="shared" si="28"/>
        <v>, dropMechanic={LIBSETS_DROP_MECHANIC_MONSTER_NAME}, dropMechanicDropLocationNames={['en']={'Domihaus the Bloody-Hornedin','','','','','',},['de']={'Domihaus der Blutgehörnte','','','','','',},}</v>
      </c>
      <c r="BI295" s="21" t="str">
        <f t="shared" si="29"/>
        <v>}, --Domihaus / Domihaus   [Falkreath Hold, Craglorn, Craglorn]</v>
      </c>
    </row>
    <row r="296" spans="1:61" x14ac:dyDescent="0.25">
      <c r="A296" s="12">
        <v>343</v>
      </c>
      <c r="B296" t="s">
        <v>1182</v>
      </c>
      <c r="C296" t="s">
        <v>2602</v>
      </c>
      <c r="D296" s="3">
        <f t="shared" si="24"/>
        <v>343</v>
      </c>
      <c r="E296" s="40"/>
      <c r="G296" s="8" t="s">
        <v>1470</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5" t="s">
        <v>2645</v>
      </c>
      <c r="BA296" s="75"/>
      <c r="BB296" s="75"/>
      <c r="BC296" s="75"/>
      <c r="BD296" s="75"/>
      <c r="BE296" s="21" t="str">
        <f t="shared" si="25"/>
        <v>[343] = {wayshrines={341,341,341,}, dlcId=DLC_DRAGON_BONES</v>
      </c>
      <c r="BF296" s="21" t="str">
        <f t="shared" si="26"/>
        <v>, zoneIds={1009,92,92}, veteran=false</v>
      </c>
      <c r="BG296" s="21" t="str">
        <f t="shared" si="27"/>
        <v>, setType=LIBSETS_SETTYPE_DUNGEON</v>
      </c>
      <c r="BH296" s="21" t="str">
        <f t="shared" si="28"/>
        <v>, dropMechanic={LIBSETS_DROP_MECHANIC_GROUP_DUNGEON_BOSS}</v>
      </c>
      <c r="BI296" s="21" t="str">
        <f t="shared" si="29"/>
        <v>}, --Caluurion\'s Legacy / Caluurions Erbe   [Fang Lair, Bangkorai, Bangkorai]</v>
      </c>
    </row>
    <row r="297" spans="1:61" x14ac:dyDescent="0.25">
      <c r="A297" s="12">
        <v>344</v>
      </c>
      <c r="B297" t="s">
        <v>1183</v>
      </c>
      <c r="C297" t="s">
        <v>1184</v>
      </c>
      <c r="D297" s="3">
        <f t="shared" si="24"/>
        <v>344</v>
      </c>
      <c r="G297" s="8" t="s">
        <v>1470</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5" t="s">
        <v>2645</v>
      </c>
      <c r="BA297" s="75"/>
      <c r="BB297" s="75"/>
      <c r="BC297" s="75"/>
      <c r="BD297" s="75"/>
      <c r="BE297" s="21" t="str">
        <f t="shared" si="25"/>
        <v>[344] = {wayshrines={341,341,341,}, dlcId=DLC_DRAGON_BONES</v>
      </c>
      <c r="BF297" s="21" t="str">
        <f t="shared" si="26"/>
        <v>, zoneIds={1009,92,92}, veteran=false</v>
      </c>
      <c r="BG297" s="21" t="str">
        <f t="shared" si="27"/>
        <v>, setType=LIBSETS_SETTYPE_DUNGEON</v>
      </c>
      <c r="BH297" s="21" t="str">
        <f t="shared" si="28"/>
        <v>, dropMechanic={LIBSETS_DROP_MECHANIC_GROUP_DUNGEON_BOSS}</v>
      </c>
      <c r="BI297" s="21" t="str">
        <f t="shared" si="29"/>
        <v>}, --Trappings of Invigoration / Stärkungsprunk   [Fang Lair, Bangkorai, Bangkorai]</v>
      </c>
    </row>
    <row r="298" spans="1:61" x14ac:dyDescent="0.25">
      <c r="A298" s="12">
        <v>345</v>
      </c>
      <c r="B298" t="s">
        <v>1185</v>
      </c>
      <c r="C298" t="s">
        <v>2603</v>
      </c>
      <c r="D298" s="3">
        <f t="shared" si="24"/>
        <v>345</v>
      </c>
      <c r="G298" s="8" t="s">
        <v>1470</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5" t="s">
        <v>2645</v>
      </c>
      <c r="BA298" s="75"/>
      <c r="BB298" s="75"/>
      <c r="BC298" s="75"/>
      <c r="BD298" s="75"/>
      <c r="BE298" s="21" t="str">
        <f t="shared" si="25"/>
        <v>[345] = {wayshrines={341,341,341,}, dlcId=DLC_DRAGON_BONES</v>
      </c>
      <c r="BF298" s="21" t="str">
        <f t="shared" si="26"/>
        <v>, zoneIds={1009,92,92}, veteran=false</v>
      </c>
      <c r="BG298" s="21" t="str">
        <f t="shared" si="27"/>
        <v>, setType=LIBSETS_SETTYPE_DUNGEON</v>
      </c>
      <c r="BH298" s="21" t="str">
        <f t="shared" si="28"/>
        <v>, dropMechanic={LIBSETS_DROP_MECHANIC_GROUP_DUNGEON_BOSS}</v>
      </c>
      <c r="BI298" s="21" t="str">
        <f t="shared" si="29"/>
        <v>}, --Ulfnor\'s Favor / Ulfnors Gunst   [Fang Lair, Bangkorai, Bangkorai]</v>
      </c>
    </row>
    <row r="299" spans="1:61" x14ac:dyDescent="0.25">
      <c r="A299" s="12">
        <v>346</v>
      </c>
      <c r="B299" t="s">
        <v>1186</v>
      </c>
      <c r="C299" t="s">
        <v>2604</v>
      </c>
      <c r="D299" s="3">
        <f t="shared" si="24"/>
        <v>346</v>
      </c>
      <c r="G299" s="8" t="s">
        <v>1470</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5" t="s">
        <v>2646</v>
      </c>
      <c r="BA299" s="75"/>
      <c r="BB299" s="75"/>
      <c r="BC299" s="75"/>
      <c r="BD299" s="75"/>
      <c r="BE299" s="21" t="str">
        <f t="shared" si="25"/>
        <v>[346] = {wayshrines={363,363,363,}, dlcId=DLC_DRAGON_BONES</v>
      </c>
      <c r="BF299" s="21" t="str">
        <f t="shared" si="26"/>
        <v>, zoneIds={1010,19,19}, veteran=false</v>
      </c>
      <c r="BG299" s="21" t="str">
        <f t="shared" si="27"/>
        <v>, setType=LIBSETS_SETTYPE_DUNGEON</v>
      </c>
      <c r="BH299" s="21" t="str">
        <f t="shared" si="28"/>
        <v>, isProcSetAllowedInPvP=1, dropMechanic={LIBSETS_DROP_MECHANIC_GROUP_DUNGEON_BOSS}</v>
      </c>
      <c r="BI299" s="21" t="str">
        <f t="shared" si="29"/>
        <v>}, --Jorvuld\'s Guidance / Jorvulds Führung   [Scalecaller Peak, Stormhaven, Stormhaven]</v>
      </c>
    </row>
    <row r="300" spans="1:61" x14ac:dyDescent="0.25">
      <c r="A300" s="12">
        <v>347</v>
      </c>
      <c r="B300" t="s">
        <v>1187</v>
      </c>
      <c r="C300" t="s">
        <v>1188</v>
      </c>
      <c r="D300" s="3">
        <f t="shared" si="24"/>
        <v>347</v>
      </c>
      <c r="G300" s="8" t="s">
        <v>1470</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5" t="s">
        <v>2645</v>
      </c>
      <c r="BA300" s="75"/>
      <c r="BB300" s="75"/>
      <c r="BC300" s="75"/>
      <c r="BD300" s="75"/>
      <c r="BE300" s="21" t="str">
        <f t="shared" si="25"/>
        <v>[347] = {wayshrines={363,363,363,}, dlcId=DLC_DRAGON_BONES</v>
      </c>
      <c r="BF300" s="21" t="str">
        <f t="shared" si="26"/>
        <v>, zoneIds={1010,19,19}, veteran=false</v>
      </c>
      <c r="BG300" s="21" t="str">
        <f t="shared" si="27"/>
        <v>, setType=LIBSETS_SETTYPE_DUNGEON</v>
      </c>
      <c r="BH300" s="21" t="str">
        <f t="shared" si="28"/>
        <v>, dropMechanic={LIBSETS_DROP_MECHANIC_GROUP_DUNGEON_BOSS}</v>
      </c>
      <c r="BI300" s="21" t="str">
        <f t="shared" si="29"/>
        <v>}, --Plague Slinger / Seuchenschleuder   [Scalecaller Peak, Stormhaven, Stormhaven]</v>
      </c>
    </row>
    <row r="301" spans="1:61" x14ac:dyDescent="0.25">
      <c r="A301" s="12">
        <v>348</v>
      </c>
      <c r="B301" t="s">
        <v>1189</v>
      </c>
      <c r="C301" t="s">
        <v>1190</v>
      </c>
      <c r="D301" s="3">
        <f t="shared" si="24"/>
        <v>348</v>
      </c>
      <c r="G301" s="8" t="s">
        <v>1470</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5" t="s">
        <v>2645</v>
      </c>
      <c r="BA301" s="75"/>
      <c r="BB301" s="75"/>
      <c r="BC301" s="75"/>
      <c r="BD301" s="75"/>
      <c r="BE301" s="21" t="str">
        <f t="shared" si="25"/>
        <v>[348] = {wayshrines={363,363,363,}, dlcId=DLC_DRAGON_BONES</v>
      </c>
      <c r="BF301" s="21" t="str">
        <f t="shared" si="26"/>
        <v>, zoneIds={1010,19,19}, veteran=false</v>
      </c>
      <c r="BG301" s="21" t="str">
        <f t="shared" si="27"/>
        <v>, setType=LIBSETS_SETTYPE_DUNGEON</v>
      </c>
      <c r="BH301" s="21" t="str">
        <f t="shared" si="28"/>
        <v>, dropMechanic={LIBSETS_DROP_MECHANIC_GROUP_DUNGEON_BOSS}</v>
      </c>
      <c r="BI301" s="21" t="str">
        <f t="shared" si="29"/>
        <v>}, --Curse of Doylemish / Fluch von Doylemish   [Scalecaller Peak, Stormhaven, Stormhaven]</v>
      </c>
    </row>
    <row r="302" spans="1:61" x14ac:dyDescent="0.25">
      <c r="A302" s="5">
        <v>349</v>
      </c>
      <c r="B302" t="s">
        <v>30</v>
      </c>
      <c r="C302" t="s">
        <v>30</v>
      </c>
      <c r="D302" s="3">
        <f t="shared" si="24"/>
        <v>349</v>
      </c>
      <c r="G302" s="8" t="s">
        <v>1472</v>
      </c>
      <c r="H302" s="83">
        <v>3</v>
      </c>
      <c r="I302" t="s">
        <v>1459</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5" t="s">
        <v>2645</v>
      </c>
      <c r="BA302" s="75"/>
      <c r="BB302" s="75"/>
      <c r="BC302" s="75"/>
      <c r="BD302" s="75"/>
      <c r="BE302" s="21" t="str">
        <f t="shared" si="25"/>
        <v>[349] = {wayshrines={341,341,341,}, dlcId=DLC_DRAGON_BONES</v>
      </c>
      <c r="BF302" s="21" t="str">
        <f t="shared" si="26"/>
        <v>, zoneIds={1009,92,92}, veteran={[EQUIP_TYPE_HEAD]=true, [EQUIP_TYPE_SHOULDERS]=false}</v>
      </c>
      <c r="BG302" s="21" t="str">
        <f t="shared" si="27"/>
        <v>, setType=LIBSETS_SETTYPE_MONSTER, undauntedChestId=3</v>
      </c>
      <c r="BH302" s="21" t="str">
        <f t="shared" si="28"/>
        <v>, dropMechanic={LIBSETS_DROP_MECHANIC_MONSTER_NAME}, dropMechanicDropLocationNames={['en']={'Thurvokun','','','','','',},['de']={'Thurvokun','','','','','',},}</v>
      </c>
      <c r="BI302" s="21" t="str">
        <f t="shared" si="29"/>
        <v>}, --Thurvokun / Thurvokun   [Fang Lair, Bangkorai, Bangkorai]</v>
      </c>
    </row>
    <row r="303" spans="1:61" x14ac:dyDescent="0.25">
      <c r="A303" s="5">
        <v>350</v>
      </c>
      <c r="B303" t="s">
        <v>34</v>
      </c>
      <c r="C303" t="s">
        <v>34</v>
      </c>
      <c r="D303" s="3">
        <f t="shared" si="24"/>
        <v>350</v>
      </c>
      <c r="G303" s="8" t="s">
        <v>1472</v>
      </c>
      <c r="H303" s="83">
        <v>3</v>
      </c>
      <c r="I303" t="s">
        <v>1459</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5" t="s">
        <v>2645</v>
      </c>
      <c r="BA303" s="75"/>
      <c r="BB303" s="75"/>
      <c r="BC303" s="75"/>
      <c r="BD303" s="75"/>
      <c r="BE303" s="21" t="str">
        <f t="shared" si="25"/>
        <v>[350] = {wayshrines={363,363,363,}, dlcId=DLC_DRAGON_BONES</v>
      </c>
      <c r="BF303" s="21" t="str">
        <f t="shared" si="26"/>
        <v>, zoneIds={1010,19,19}, veteran={[EQUIP_TYPE_HEAD]=true, [EQUIP_TYPE_SHOULDERS]=false}</v>
      </c>
      <c r="BG303" s="21" t="str">
        <f t="shared" si="27"/>
        <v>, setType=LIBSETS_SETTYPE_MONSTER, undauntedChestId=3</v>
      </c>
      <c r="BH303" s="21" t="str">
        <f t="shared" si="28"/>
        <v>, dropMechanic={LIBSETS_DROP_MECHANIC_MONSTER_NAME}, dropMechanicDropLocationNames={['en']={'Zaan','','','','','',},['de']={'Zaan','','','','','',},}</v>
      </c>
      <c r="BI303" s="21" t="str">
        <f t="shared" si="29"/>
        <v>}, --Zaan / Zaan   [Scalecaller Peak, Stormhaven, Stormhaven]</v>
      </c>
    </row>
    <row r="304" spans="1:61" x14ac:dyDescent="0.25">
      <c r="A304" s="5">
        <v>351</v>
      </c>
      <c r="B304" t="s">
        <v>1191</v>
      </c>
      <c r="C304" t="s">
        <v>1192</v>
      </c>
      <c r="D304" s="3">
        <f t="shared" si="24"/>
        <v>351</v>
      </c>
      <c r="G304" s="8" t="s">
        <v>1467</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5" t="s">
        <v>2646</v>
      </c>
      <c r="BA304" s="75"/>
      <c r="BB304" s="75"/>
      <c r="BC304" s="75"/>
      <c r="BD304" s="75"/>
      <c r="BE304" s="21" t="str">
        <f t="shared" si="25"/>
        <v>[351] = {wayshrines={339,339,339,}, traitsNeeded=2, dlcId=DLC_NECROM</v>
      </c>
      <c r="BF304" s="21" t="str">
        <f t="shared" si="26"/>
        <v>, zoneIds={980,980,980}, veteran=false</v>
      </c>
      <c r="BG304" s="21" t="str">
        <f t="shared" si="27"/>
        <v>, setType=LIBSETS_SETTYPE_CRAFTED</v>
      </c>
      <c r="BH304" s="21" t="str">
        <f t="shared" si="28"/>
        <v>, isProcSetAllowedInPvP=1, dropMechanic={LIBSETS_DROP_MECHANIC_CRAFTED,LIBSETS_DROP_MECHANIC_CRAFTED}</v>
      </c>
      <c r="BI304" s="21" t="str">
        <f t="shared" si="29"/>
        <v>}, --Innate Axiom / Kernaxiom   [Clockwork City, Clockwork City, Clockwork City]</v>
      </c>
    </row>
    <row r="305" spans="1:61" x14ac:dyDescent="0.25">
      <c r="A305" s="5">
        <v>352</v>
      </c>
      <c r="B305" t="s">
        <v>1193</v>
      </c>
      <c r="C305" t="s">
        <v>1194</v>
      </c>
      <c r="D305" s="3">
        <f t="shared" si="24"/>
        <v>352</v>
      </c>
      <c r="G305" s="8" t="s">
        <v>1467</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3276</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5" t="s">
        <v>2646</v>
      </c>
      <c r="BA305" s="75"/>
      <c r="BB305" s="75"/>
      <c r="BC305" s="75"/>
      <c r="BD305" s="75"/>
      <c r="BE305" s="21" t="str">
        <f t="shared" si="25"/>
        <v>[352] = {wayshrines={337,337,337,}, traitsNeeded=4, dlcId=DLC_NECROM</v>
      </c>
      <c r="BF305" s="21" t="str">
        <f t="shared" si="26"/>
        <v>, zoneIds={980,980,980}, veteran=false</v>
      </c>
      <c r="BG305" s="21" t="str">
        <f t="shared" si="27"/>
        <v>, setType=LIBSETS_SETTYPE_CRAFTED</v>
      </c>
      <c r="BH305" s="21" t="str">
        <f t="shared" si="28"/>
        <v>, isProcSetAllowedInPvP=1, dropMechanic={LIBSETS_DROP_MECHANIC_CRAFTED,LIBSETS_DROP_MECHANIC_CRAFTED}</v>
      </c>
      <c r="BI305" s="21" t="str">
        <f t="shared" si="29"/>
        <v>}, --Fortified Brass / Messingpanzer   [Clockwork City, Clockwork City, Clockwork City]</v>
      </c>
    </row>
    <row r="306" spans="1:61" x14ac:dyDescent="0.25">
      <c r="A306" s="5">
        <v>353</v>
      </c>
      <c r="B306" t="s">
        <v>1195</v>
      </c>
      <c r="C306" t="s">
        <v>1196</v>
      </c>
      <c r="D306" s="3">
        <f t="shared" si="24"/>
        <v>353</v>
      </c>
      <c r="G306" s="8" t="s">
        <v>1467</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3276</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5" t="s">
        <v>2645</v>
      </c>
      <c r="BA306" s="75"/>
      <c r="BB306" s="75"/>
      <c r="BC306" s="75"/>
      <c r="BD306" s="75"/>
      <c r="BE306" s="21" t="str">
        <f t="shared" si="25"/>
        <v>[353] = {wayshrines={338,338,338,}, traitsNeeded=6, dlcId=DLC_NECROM</v>
      </c>
      <c r="BF306" s="21" t="str">
        <f t="shared" si="26"/>
        <v>, zoneIds={980,980,980}, veteran=false</v>
      </c>
      <c r="BG306" s="21" t="str">
        <f t="shared" si="27"/>
        <v>, setType=LIBSETS_SETTYPE_CRAFTED</v>
      </c>
      <c r="BH306" s="21" t="str">
        <f t="shared" si="28"/>
        <v>, dropMechanic={LIBSETS_DROP_MECHANIC_CRAFTED,LIBSETS_DROP_MECHANIC_CRAFTED}</v>
      </c>
      <c r="BI306" s="21" t="str">
        <f t="shared" si="29"/>
        <v>}, --Mechanical Acuity / Mechanikblick   [Clockwork City, Clockwork City, Clockwork City]</v>
      </c>
    </row>
    <row r="307" spans="1:61" x14ac:dyDescent="0.25">
      <c r="A307" s="12">
        <v>354</v>
      </c>
      <c r="B307" t="s">
        <v>1197</v>
      </c>
      <c r="C307" t="s">
        <v>1198</v>
      </c>
      <c r="D307" s="3">
        <f t="shared" si="24"/>
        <v>354</v>
      </c>
      <c r="E307" s="40"/>
      <c r="G307" s="8" t="s">
        <v>1473</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1554</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5" t="s">
        <v>2645</v>
      </c>
      <c r="BA307" s="75"/>
      <c r="BB307" s="75"/>
      <c r="BC307" s="75"/>
      <c r="BD307" s="75"/>
      <c r="BE307" s="21" t="str">
        <f t="shared" si="25"/>
        <v>[354] = {wayshrines={338,338,338,}, dlcId=DLC_NECROM</v>
      </c>
      <c r="BF307" s="21" t="str">
        <f t="shared" si="26"/>
        <v>, zoneIds={980,980,980}, veteran=false</v>
      </c>
      <c r="BG307" s="21" t="str">
        <f t="shared" si="27"/>
        <v>, setType=LIBSETS_SETTYPE_OVERLAND</v>
      </c>
      <c r="BH307" s="21" t="str">
        <f t="shared" si="28"/>
        <v>, dropMechanic={LIBSETS_DROP_MECHANIC_OVERLAND_BOSS_DELVE,LIBSETS_DROP_MECHANIC_OVERLAND_WORLDBOSS,LIBSETS_DROP_MECHANIC_OVERLAND_CHEST}</v>
      </c>
      <c r="BI307" s="21" t="str">
        <f t="shared" si="29"/>
        <v>}, --Mad Tinkerer / Wahntüftler   [Clockwork City, Clockwork City, Clockwork City]</v>
      </c>
    </row>
    <row r="308" spans="1:61" x14ac:dyDescent="0.25">
      <c r="A308" s="12">
        <v>355</v>
      </c>
      <c r="B308" t="s">
        <v>1199</v>
      </c>
      <c r="C308" t="s">
        <v>1200</v>
      </c>
      <c r="D308" s="3">
        <f t="shared" si="24"/>
        <v>355</v>
      </c>
      <c r="E308" s="40"/>
      <c r="G308" s="8" t="s">
        <v>1473</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1554</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5" t="s">
        <v>2645</v>
      </c>
      <c r="BA308" s="75"/>
      <c r="BB308" s="75"/>
      <c r="BC308" s="75"/>
      <c r="BD308" s="75"/>
      <c r="BE308" s="21" t="str">
        <f t="shared" si="25"/>
        <v>[355] = {wayshrines={338,338,338,}, dlcId=DLC_NECROM</v>
      </c>
      <c r="BF308" s="21" t="str">
        <f t="shared" si="26"/>
        <v>, zoneIds={980,980,980}, veteran=false</v>
      </c>
      <c r="BG308" s="21" t="str">
        <f t="shared" si="27"/>
        <v>, setType=LIBSETS_SETTYPE_OVERLAND</v>
      </c>
      <c r="BH308" s="21" t="str">
        <f t="shared" si="28"/>
        <v>, dropMechanic={LIBSETS_DROP_MECHANIC_OVERLAND_BOSS_DELVE,LIBSETS_DROP_MECHANIC_OVERLAND_WORLDBOSS,LIBSETS_DROP_MECHANIC_OVERLAND_CHEST}</v>
      </c>
      <c r="BI308" s="21" t="str">
        <f t="shared" si="29"/>
        <v>}, --Unfathomable Darkness / Unermessliche Dunkelheit   [Clockwork City, Clockwork City, Clockwork City]</v>
      </c>
    </row>
    <row r="309" spans="1:61" x14ac:dyDescent="0.25">
      <c r="A309" s="12">
        <v>356</v>
      </c>
      <c r="B309" t="s">
        <v>1201</v>
      </c>
      <c r="C309" t="s">
        <v>1202</v>
      </c>
      <c r="D309" s="3">
        <f t="shared" si="24"/>
        <v>356</v>
      </c>
      <c r="E309" s="40"/>
      <c r="G309" s="8" t="s">
        <v>1473</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1554</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5" t="s">
        <v>2645</v>
      </c>
      <c r="BA309" s="75"/>
      <c r="BB309" s="75"/>
      <c r="BC309" s="75"/>
      <c r="BD309" s="75"/>
      <c r="BE309" s="21" t="str">
        <f t="shared" si="25"/>
        <v>[356] = {wayshrines={338,338,338,}, dlcId=DLC_NECROM</v>
      </c>
      <c r="BF309" s="21" t="str">
        <f t="shared" si="26"/>
        <v>, zoneIds={980,980,980}, veteran=false</v>
      </c>
      <c r="BG309" s="21" t="str">
        <f t="shared" si="27"/>
        <v>, setType=LIBSETS_SETTYPE_OVERLAND</v>
      </c>
      <c r="BH309" s="21" t="str">
        <f t="shared" si="28"/>
        <v>, dropMechanic={LIBSETS_DROP_MECHANIC_OVERLAND_BOSS_DELVE,LIBSETS_DROP_MECHANIC_OVERLAND_WORLDBOSS,LIBSETS_DROP_MECHANIC_OVERLAND_CHEST}</v>
      </c>
      <c r="BI309" s="21" t="str">
        <f t="shared" si="29"/>
        <v>}, --Livewire / Stromschlag   [Clockwork City, Clockwork City, Clockwork City]</v>
      </c>
    </row>
    <row r="310" spans="1:61" x14ac:dyDescent="0.25">
      <c r="A310" s="12">
        <v>357</v>
      </c>
      <c r="B310" t="s">
        <v>1203</v>
      </c>
      <c r="C310" t="s">
        <v>1204</v>
      </c>
      <c r="D310" s="3">
        <f t="shared" si="24"/>
        <v>357</v>
      </c>
      <c r="G310" s="8" t="s">
        <v>1474</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3254</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5" t="s">
        <v>2645</v>
      </c>
      <c r="BA310" s="75"/>
      <c r="BB310" s="75"/>
      <c r="BC310" s="75"/>
      <c r="BD310" s="75" t="s">
        <v>3812</v>
      </c>
      <c r="BE310" s="21" t="str">
        <f t="shared" si="25"/>
        <v>[357] = {wayshrines={346,346,346,}, dlcId=DLC_CLOCKWORK_CITY</v>
      </c>
      <c r="BF310" s="21" t="str">
        <f t="shared" si="26"/>
        <v>, zoneIds={1000,1000,1000}, veteran=true</v>
      </c>
      <c r="BG310" s="21" t="str">
        <f t="shared" si="27"/>
        <v>, setType=LIBSETS_SETTYPE_TRIAL</v>
      </c>
      <c r="BH310" s="21" t="str">
        <f t="shared" si="28"/>
        <v>, dropMechanic={LIBSETS_DROP_MECHANIC_TRIAL_BOSS,LIBSETS_DROP_MECHANIC_TRIAL_BOSS,LIBSETS_DROP_MECHANIC_TRIAL_BOSS}, isPerfectedSet=1</v>
      </c>
      <c r="BI310" s="21" t="str">
        <f t="shared" si="29"/>
        <v>}, --Disciplined Slash (Perfected) / Disziplinierter Schnitt (vollendet)   [Asylum Sanctorium, Asylum Sanctorium, Asylum Sanctorium]</v>
      </c>
    </row>
    <row r="311" spans="1:61" x14ac:dyDescent="0.25">
      <c r="A311" s="12">
        <v>358</v>
      </c>
      <c r="B311" t="s">
        <v>1205</v>
      </c>
      <c r="C311" t="s">
        <v>1206</v>
      </c>
      <c r="D311" s="3">
        <f t="shared" si="24"/>
        <v>358</v>
      </c>
      <c r="G311" s="8" t="s">
        <v>1474</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3254</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5" t="s">
        <v>2645</v>
      </c>
      <c r="BA311" s="75"/>
      <c r="BB311" s="75"/>
      <c r="BC311" s="75"/>
      <c r="BD311" s="75" t="s">
        <v>3812</v>
      </c>
      <c r="BE311" s="21" t="str">
        <f t="shared" si="25"/>
        <v>[358] = {wayshrines={346,346,346,}, dlcId=DLC_CLOCKWORK_CITY</v>
      </c>
      <c r="BF311" s="21" t="str">
        <f t="shared" si="26"/>
        <v>, zoneIds={1000,1000,1000}, veteran=true</v>
      </c>
      <c r="BG311" s="21" t="str">
        <f t="shared" si="27"/>
        <v>, setType=LIBSETS_SETTYPE_TRIAL</v>
      </c>
      <c r="BH311" s="21" t="str">
        <f t="shared" si="28"/>
        <v>, dropMechanic={LIBSETS_DROP_MECHANIC_TRIAL_BOSS,LIBSETS_DROP_MECHANIC_TRIAL_BOSS,LIBSETS_DROP_MECHANIC_TRIAL_BOSS}, isPerfectedSet=1</v>
      </c>
      <c r="BI311" s="21" t="str">
        <f t="shared" si="29"/>
        <v>}, --Defensive Position (Perfected) / Defensive Position (vollendet)   [Asylum Sanctorium, Asylum Sanctorium, Asylum Sanctorium]</v>
      </c>
    </row>
    <row r="312" spans="1:61" x14ac:dyDescent="0.25">
      <c r="A312" s="12">
        <v>359</v>
      </c>
      <c r="B312" t="s">
        <v>1207</v>
      </c>
      <c r="C312" t="s">
        <v>1208</v>
      </c>
      <c r="D312" s="3">
        <f t="shared" si="24"/>
        <v>359</v>
      </c>
      <c r="E312" s="40"/>
      <c r="G312" s="8" t="s">
        <v>1474</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3254</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5" t="s">
        <v>2645</v>
      </c>
      <c r="BA312" s="75"/>
      <c r="BB312" s="75"/>
      <c r="BC312" s="75"/>
      <c r="BD312" s="75" t="s">
        <v>3812</v>
      </c>
      <c r="BE312" s="21" t="str">
        <f t="shared" si="25"/>
        <v>[359] = {wayshrines={346,346,346,}, dlcId=DLC_CLOCKWORK_CITY</v>
      </c>
      <c r="BF312" s="21" t="str">
        <f t="shared" si="26"/>
        <v>, zoneIds={1000,1000,1000}, veteran=true</v>
      </c>
      <c r="BG312" s="21" t="str">
        <f t="shared" si="27"/>
        <v>, setType=LIBSETS_SETTYPE_TRIAL</v>
      </c>
      <c r="BH312" s="21" t="str">
        <f t="shared" si="28"/>
        <v>, dropMechanic={LIBSETS_DROP_MECHANIC_TRIAL_BOSS,LIBSETS_DROP_MECHANIC_TRIAL_BOSS,LIBSETS_DROP_MECHANIC_TRIAL_BOSS}, isPerfectedSet=1</v>
      </c>
      <c r="BI312" s="21" t="str">
        <f t="shared" si="29"/>
        <v>}, --Chaotic Whirlwind (Perfected) / Chaotischer Wirbelwind (vollendet)   [Asylum Sanctorium, Asylum Sanctorium, Asylum Sanctorium]</v>
      </c>
    </row>
    <row r="313" spans="1:61" x14ac:dyDescent="0.25">
      <c r="A313" s="12">
        <v>360</v>
      </c>
      <c r="B313" t="s">
        <v>1209</v>
      </c>
      <c r="C313" t="s">
        <v>1210</v>
      </c>
      <c r="D313" s="3">
        <f t="shared" si="24"/>
        <v>360</v>
      </c>
      <c r="G313" s="8" t="s">
        <v>1474</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3254</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5" t="s">
        <v>2645</v>
      </c>
      <c r="BA313" s="75"/>
      <c r="BB313" s="75"/>
      <c r="BC313" s="75"/>
      <c r="BD313" s="75" t="s">
        <v>3812</v>
      </c>
      <c r="BE313" s="21" t="str">
        <f t="shared" si="25"/>
        <v>[360] = {wayshrines={346,346,346,}, dlcId=DLC_CLOCKWORK_CITY</v>
      </c>
      <c r="BF313" s="21" t="str">
        <f t="shared" si="26"/>
        <v>, zoneIds={1000,1000,1000}, veteran=true</v>
      </c>
      <c r="BG313" s="21" t="str">
        <f t="shared" si="27"/>
        <v>, setType=LIBSETS_SETTYPE_TRIAL</v>
      </c>
      <c r="BH313" s="21" t="str">
        <f t="shared" si="28"/>
        <v>, dropMechanic={LIBSETS_DROP_MECHANIC_TRIAL_BOSS,LIBSETS_DROP_MECHANIC_TRIAL_BOSS,LIBSETS_DROP_MECHANIC_TRIAL_BOSS}, isPerfectedSet=1</v>
      </c>
      <c r="BI313" s="21" t="str">
        <f t="shared" si="29"/>
        <v>}, --Piercing Spray (Perfected) / Durchdringende Salve (vollendet)   [Asylum Sanctorium, Asylum Sanctorium, Asylum Sanctorium]</v>
      </c>
    </row>
    <row r="314" spans="1:61" x14ac:dyDescent="0.25">
      <c r="A314" s="12">
        <v>361</v>
      </c>
      <c r="B314" t="s">
        <v>1211</v>
      </c>
      <c r="C314" t="s">
        <v>1212</v>
      </c>
      <c r="D314" s="3">
        <f t="shared" si="24"/>
        <v>361</v>
      </c>
      <c r="G314" s="8" t="s">
        <v>1474</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3254</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5" t="s">
        <v>2645</v>
      </c>
      <c r="BA314" s="75"/>
      <c r="BB314" s="75"/>
      <c r="BC314" s="75"/>
      <c r="BD314" s="75" t="s">
        <v>3812</v>
      </c>
      <c r="BE314" s="21" t="str">
        <f t="shared" si="25"/>
        <v>[361] = {wayshrines={346,346,346,}, dlcId=DLC_CLOCKWORK_CITY</v>
      </c>
      <c r="BF314" s="21" t="str">
        <f t="shared" si="26"/>
        <v>, zoneIds={1000,1000,1000}, veteran=true</v>
      </c>
      <c r="BG314" s="21" t="str">
        <f t="shared" si="27"/>
        <v>, setType=LIBSETS_SETTYPE_TRIAL</v>
      </c>
      <c r="BH314" s="21" t="str">
        <f t="shared" si="28"/>
        <v>, dropMechanic={LIBSETS_DROP_MECHANIC_TRIAL_BOSS,LIBSETS_DROP_MECHANIC_TRIAL_BOSS,LIBSETS_DROP_MECHANIC_TRIAL_BOSS}, isPerfectedSet=1</v>
      </c>
      <c r="BI314" s="21" t="str">
        <f t="shared" si="29"/>
        <v>}, --Concentrated Force (Perfected) / Konzentrierte Kraft (vollendet)   [Asylum Sanctorium, Asylum Sanctorium, Asylum Sanctorium]</v>
      </c>
    </row>
    <row r="315" spans="1:61" x14ac:dyDescent="0.25">
      <c r="A315" s="12">
        <v>362</v>
      </c>
      <c r="B315" t="s">
        <v>1213</v>
      </c>
      <c r="C315" t="s">
        <v>1214</v>
      </c>
      <c r="D315" s="3">
        <f t="shared" si="24"/>
        <v>362</v>
      </c>
      <c r="G315" s="8" t="s">
        <v>1474</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3254</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5" t="s">
        <v>2645</v>
      </c>
      <c r="BA315" s="75"/>
      <c r="BB315" s="75"/>
      <c r="BC315" s="75"/>
      <c r="BD315" s="75" t="s">
        <v>3812</v>
      </c>
      <c r="BE315" s="21" t="str">
        <f t="shared" si="25"/>
        <v>[362] = {wayshrines={346,346,346,}, dlcId=DLC_CLOCKWORK_CITY</v>
      </c>
      <c r="BF315" s="21" t="str">
        <f t="shared" si="26"/>
        <v>, zoneIds={1000,1000,1000}, veteran=true</v>
      </c>
      <c r="BG315" s="21" t="str">
        <f t="shared" si="27"/>
        <v>, setType=LIBSETS_SETTYPE_TRIAL</v>
      </c>
      <c r="BH315" s="21" t="str">
        <f t="shared" si="28"/>
        <v>, dropMechanic={LIBSETS_DROP_MECHANIC_TRIAL_BOSS,LIBSETS_DROP_MECHANIC_TRIAL_BOSS,LIBSETS_DROP_MECHANIC_TRIAL_BOSS}, isPerfectedSet=1</v>
      </c>
      <c r="BI315" s="21" t="str">
        <f t="shared" si="29"/>
        <v>}, --Timeless Blessing (Perfected) / Zeitloser Segen (vollendet)   [Asylum Sanctorium, Asylum Sanctorium, Asylum Sanctorium]</v>
      </c>
    </row>
    <row r="316" spans="1:61" x14ac:dyDescent="0.25">
      <c r="A316" s="12">
        <v>363</v>
      </c>
      <c r="B316" t="s">
        <v>1215</v>
      </c>
      <c r="C316" t="s">
        <v>1216</v>
      </c>
      <c r="D316" s="3">
        <f t="shared" si="24"/>
        <v>363</v>
      </c>
      <c r="G316" s="8" t="s">
        <v>1474</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3254</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5" t="s">
        <v>2645</v>
      </c>
      <c r="BA316" s="75"/>
      <c r="BB316" s="75"/>
      <c r="BC316" s="75"/>
      <c r="BD316" s="75">
        <v>357</v>
      </c>
      <c r="BE316" s="21" t="str">
        <f t="shared" si="25"/>
        <v>[363] = {wayshrines={346,346,346,}, dlcId=DLC_CLOCKWORK_CITY</v>
      </c>
      <c r="BF316" s="21" t="str">
        <f t="shared" si="26"/>
        <v>, zoneIds={1000,1000,1000}, veteran=false</v>
      </c>
      <c r="BG316" s="21" t="str">
        <f t="shared" si="27"/>
        <v>, setType=LIBSETS_SETTYPE_TRIAL</v>
      </c>
      <c r="BH316" s="21" t="str">
        <f t="shared" si="28"/>
        <v>, dropMechanic={LIBSETS_DROP_MECHANIC_TRIAL_BOSS,LIBSETS_DROP_MECHANIC_TRIAL_BOSS,LIBSETS_DROP_MECHANIC_TRIAL_BOSS}, perfectedSetId=357</v>
      </c>
      <c r="BI316" s="21" t="str">
        <f t="shared" si="29"/>
        <v>}, --Disciplined Slash / Disziplinierter Schnitt   [Asylum Sanctorium, Asylum Sanctorium, Asylum Sanctorium]</v>
      </c>
    </row>
    <row r="317" spans="1:61" x14ac:dyDescent="0.25">
      <c r="A317" s="12">
        <v>364</v>
      </c>
      <c r="B317" t="s">
        <v>1217</v>
      </c>
      <c r="C317" t="s">
        <v>1217</v>
      </c>
      <c r="D317" s="3">
        <f t="shared" si="24"/>
        <v>364</v>
      </c>
      <c r="G317" s="8" t="s">
        <v>1474</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3254</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5" t="s">
        <v>2645</v>
      </c>
      <c r="BA317" s="75"/>
      <c r="BB317" s="75"/>
      <c r="BC317" s="75"/>
      <c r="BD317" s="75">
        <v>358</v>
      </c>
      <c r="BE317" s="21" t="str">
        <f t="shared" si="25"/>
        <v>[364] = {wayshrines={346,346,346,}, dlcId=DLC_CLOCKWORK_CITY</v>
      </c>
      <c r="BF317" s="21" t="str">
        <f t="shared" si="26"/>
        <v>, zoneIds={1000,1000,1000}, veteran=false</v>
      </c>
      <c r="BG317" s="21" t="str">
        <f t="shared" si="27"/>
        <v>, setType=LIBSETS_SETTYPE_TRIAL</v>
      </c>
      <c r="BH317" s="21" t="str">
        <f t="shared" si="28"/>
        <v>, dropMechanic={LIBSETS_DROP_MECHANIC_TRIAL_BOSS,LIBSETS_DROP_MECHANIC_TRIAL_BOSS,LIBSETS_DROP_MECHANIC_TRIAL_BOSS}, perfectedSetId=358</v>
      </c>
      <c r="BI317" s="21" t="str">
        <f t="shared" si="29"/>
        <v>}, --Defensive Position / Defensive Position   [Asylum Sanctorium, Asylum Sanctorium, Asylum Sanctorium]</v>
      </c>
    </row>
    <row r="318" spans="1:61" x14ac:dyDescent="0.25">
      <c r="A318" s="12">
        <v>365</v>
      </c>
      <c r="B318" t="s">
        <v>1218</v>
      </c>
      <c r="C318" t="s">
        <v>1219</v>
      </c>
      <c r="D318" s="3">
        <f t="shared" si="24"/>
        <v>365</v>
      </c>
      <c r="E318" s="40"/>
      <c r="G318" s="8" t="s">
        <v>1474</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3254</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5" t="s">
        <v>2645</v>
      </c>
      <c r="BA318" s="75"/>
      <c r="BB318" s="75"/>
      <c r="BC318" s="75"/>
      <c r="BD318" s="75">
        <v>359</v>
      </c>
      <c r="BE318" s="21" t="str">
        <f t="shared" si="25"/>
        <v>[365] = {wayshrines={346,346,346,}, dlcId=DLC_CLOCKWORK_CITY</v>
      </c>
      <c r="BF318" s="21" t="str">
        <f t="shared" si="26"/>
        <v>, zoneIds={1000,1000,1000}, veteran=false</v>
      </c>
      <c r="BG318" s="21" t="str">
        <f t="shared" si="27"/>
        <v>, setType=LIBSETS_SETTYPE_TRIAL</v>
      </c>
      <c r="BH318" s="21" t="str">
        <f t="shared" si="28"/>
        <v>, dropMechanic={LIBSETS_DROP_MECHANIC_TRIAL_BOSS,LIBSETS_DROP_MECHANIC_TRIAL_BOSS,LIBSETS_DROP_MECHANIC_TRIAL_BOSS}, perfectedSetId=359</v>
      </c>
      <c r="BI318" s="21" t="str">
        <f t="shared" si="29"/>
        <v>}, --Chaotic Whirlwind / Chaotischer Wirbelwind   [Asylum Sanctorium, Asylum Sanctorium, Asylum Sanctorium]</v>
      </c>
    </row>
    <row r="319" spans="1:61" x14ac:dyDescent="0.25">
      <c r="A319" s="12">
        <v>366</v>
      </c>
      <c r="B319" t="s">
        <v>1220</v>
      </c>
      <c r="C319" t="s">
        <v>1221</v>
      </c>
      <c r="D319" s="3">
        <f t="shared" si="24"/>
        <v>366</v>
      </c>
      <c r="G319" s="8" t="s">
        <v>1474</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3254</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5" t="s">
        <v>2645</v>
      </c>
      <c r="BA319" s="75"/>
      <c r="BB319" s="75"/>
      <c r="BC319" s="75"/>
      <c r="BD319" s="75">
        <v>360</v>
      </c>
      <c r="BE319" s="21" t="str">
        <f t="shared" si="25"/>
        <v>[366] = {wayshrines={346,346,346,}, dlcId=DLC_CLOCKWORK_CITY</v>
      </c>
      <c r="BF319" s="21" t="str">
        <f t="shared" si="26"/>
        <v>, zoneIds={1000,1000,1000}, veteran=false</v>
      </c>
      <c r="BG319" s="21" t="str">
        <f t="shared" si="27"/>
        <v>, setType=LIBSETS_SETTYPE_TRIAL</v>
      </c>
      <c r="BH319" s="21" t="str">
        <f t="shared" si="28"/>
        <v>, dropMechanic={LIBSETS_DROP_MECHANIC_TRIAL_BOSS,LIBSETS_DROP_MECHANIC_TRIAL_BOSS,LIBSETS_DROP_MECHANIC_TRIAL_BOSS}, perfectedSetId=360</v>
      </c>
      <c r="BI319" s="21" t="str">
        <f t="shared" si="29"/>
        <v>}, --Piercing Spray / Durchdringende Salve   [Asylum Sanctorium, Asylum Sanctorium, Asylum Sanctorium]</v>
      </c>
    </row>
    <row r="320" spans="1:61" x14ac:dyDescent="0.25">
      <c r="A320" s="12">
        <v>367</v>
      </c>
      <c r="B320" t="s">
        <v>1222</v>
      </c>
      <c r="C320" t="s">
        <v>1223</v>
      </c>
      <c r="D320" s="3">
        <f t="shared" si="24"/>
        <v>367</v>
      </c>
      <c r="G320" s="8" t="s">
        <v>1474</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3254</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5" t="s">
        <v>2645</v>
      </c>
      <c r="BA320" s="75"/>
      <c r="BB320" s="75"/>
      <c r="BC320" s="75"/>
      <c r="BD320" s="75">
        <v>361</v>
      </c>
      <c r="BE320" s="21" t="str">
        <f t="shared" si="25"/>
        <v>[367] = {wayshrines={346,346,346,}, dlcId=DLC_CLOCKWORK_CITY</v>
      </c>
      <c r="BF320" s="21" t="str">
        <f t="shared" si="26"/>
        <v>, zoneIds={1000,1000,1000}, veteran=false</v>
      </c>
      <c r="BG320" s="21" t="str">
        <f t="shared" si="27"/>
        <v>, setType=LIBSETS_SETTYPE_TRIAL</v>
      </c>
      <c r="BH320" s="21" t="str">
        <f t="shared" si="28"/>
        <v>, dropMechanic={LIBSETS_DROP_MECHANIC_TRIAL_BOSS,LIBSETS_DROP_MECHANIC_TRIAL_BOSS,LIBSETS_DROP_MECHANIC_TRIAL_BOSS}, perfectedSetId=361</v>
      </c>
      <c r="BI320" s="21" t="str">
        <f t="shared" si="29"/>
        <v>}, --Concentrated Force / Konzentrierte Kraft   [Asylum Sanctorium, Asylum Sanctorium, Asylum Sanctorium]</v>
      </c>
    </row>
    <row r="321" spans="1:61" x14ac:dyDescent="0.25">
      <c r="A321" s="12">
        <v>368</v>
      </c>
      <c r="B321" t="s">
        <v>1224</v>
      </c>
      <c r="C321" t="s">
        <v>1225</v>
      </c>
      <c r="D321" s="3">
        <f t="shared" si="24"/>
        <v>368</v>
      </c>
      <c r="G321" s="8" t="s">
        <v>1474</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3254</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5" t="s">
        <v>2645</v>
      </c>
      <c r="BA321" s="75"/>
      <c r="BB321" s="75"/>
      <c r="BC321" s="75"/>
      <c r="BD321" s="75">
        <v>362</v>
      </c>
      <c r="BE321" s="21" t="str">
        <f t="shared" si="25"/>
        <v>[368] = {wayshrines={346,346,346,}, dlcId=DLC_CLOCKWORK_CITY</v>
      </c>
      <c r="BF321" s="21" t="str">
        <f t="shared" si="26"/>
        <v>, zoneIds={1000,1000,1000}, veteran=false</v>
      </c>
      <c r="BG321" s="21" t="str">
        <f t="shared" si="27"/>
        <v>, setType=LIBSETS_SETTYPE_TRIAL</v>
      </c>
      <c r="BH321" s="21" t="str">
        <f t="shared" si="28"/>
        <v>, dropMechanic={LIBSETS_DROP_MECHANIC_TRIAL_BOSS,LIBSETS_DROP_MECHANIC_TRIAL_BOSS,LIBSETS_DROP_MECHANIC_TRIAL_BOSS}, perfectedSetId=362</v>
      </c>
      <c r="BI321" s="21" t="str">
        <f t="shared" si="29"/>
        <v>}, --Timeless Blessing / Zeitloser Segen   [Asylum Sanctorium, Asylum Sanctorium, Asylum Sanctorium]</v>
      </c>
    </row>
    <row r="322" spans="1:61" x14ac:dyDescent="0.25">
      <c r="A322" s="12">
        <v>369</v>
      </c>
      <c r="B322" t="s">
        <v>1226</v>
      </c>
      <c r="C322" t="s">
        <v>1227</v>
      </c>
      <c r="D322" s="3">
        <f t="shared" si="24"/>
        <v>369</v>
      </c>
      <c r="G322" s="8" t="s">
        <v>1465</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1547</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5" t="s">
        <v>2645</v>
      </c>
      <c r="BA322" s="75"/>
      <c r="BB322" s="75"/>
      <c r="BC322" s="75"/>
      <c r="BD322" s="75">
        <v>522</v>
      </c>
      <c r="BE322" s="21" t="str">
        <f t="shared" si="25"/>
        <v>[369] = {wayshrines={249,249,249,}, dlcId=DLC_SUMMERSET</v>
      </c>
      <c r="BF322" s="21" t="str">
        <f t="shared" si="26"/>
        <v>, zoneIds={677,684,684}, veteran=false</v>
      </c>
      <c r="BG322" s="21" t="str">
        <f t="shared" si="27"/>
        <v>, setType=LIBSETS_SETTYPE_ARENA</v>
      </c>
      <c r="BH322" s="21" t="str">
        <f t="shared" si="28"/>
        <v>, dropMechanic={LIBSETS_DROP_MECHANIC_ARENA_STAGE_CHEST,LIBSETS_DROP_MECHANIC_ARENA_STAGE_CHEST}, perfectedSetId=522</v>
      </c>
      <c r="BI322" s="21" t="str">
        <f t="shared" si="29"/>
        <v>}, --Merciless Charge / Gnadenloser Ansturm   [Maelstrom Arena, Wrothgar, Wrothgar]</v>
      </c>
    </row>
    <row r="323" spans="1:61" x14ac:dyDescent="0.25">
      <c r="A323" s="12">
        <v>370</v>
      </c>
      <c r="B323" t="s">
        <v>1228</v>
      </c>
      <c r="C323" t="s">
        <v>1229</v>
      </c>
      <c r="D323" s="3">
        <f t="shared" ref="D323:D386" si="30">A323</f>
        <v>370</v>
      </c>
      <c r="G323" s="8" t="s">
        <v>1465</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1547</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1547</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5" t="s">
        <v>2645</v>
      </c>
      <c r="BA323" s="75"/>
      <c r="BB323" s="75"/>
      <c r="BC323" s="75"/>
      <c r="BD323" s="75">
        <v>523</v>
      </c>
      <c r="BE323" s="21"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dlcId=DLC_SUMMERSET</v>
      </c>
      <c r="BF323" s="21"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 CONCATENATE(", veteran=", I323), ""),""),"")</f>
        <v>, zoneIds={677,684,684}, veteran=false</v>
      </c>
      <c r="BG323" s="21" t="str">
        <f t="shared" ref="BG323:BG386" si="33">IF(A323&lt;&gt;"",IF(F323&lt;&gt;"Not in the game (anymore)",IF(A323&lt;&gt;"",", setType="&amp;G323,"")&amp;IF(G323="LIBSETS_SETTYPE_CLASS",", classId="&amp;BC323,"")&amp;IF(J323="true",", multiTrialSet=true",""),"")
&amp; IF(AND(H323&lt;&gt;"",ISNUMBER(H323)),", undauntedChestId=" &amp; H323,""),"")</f>
        <v>, setType=LIBSETS_SETTYPE_ARENA</v>
      </c>
      <c r="BH323" s="21" t="str">
        <f t="shared" ref="BH323:BH386" si="34">IF(A323&lt;&gt;"",IF(F323&lt;&gt;"Not in the game (anymore)",IF(AZ323&lt;&gt;"",", isProcSetAllowedInPvP="&amp; AZ323,"")
&amp; IF(F323&lt;&gt;"Not in the game (anymore)",
  IF(V323&lt;&gt;"",", dropMechanic={"&amp;V323&amp;IF(AB323&lt;&gt;"",","&amp;AB323,"")&amp;IF(AH323&lt;&gt;"",","&amp;AH323,"")&amp;IF(AM323&lt;&gt;"",","&amp;AM323,"")&amp;IF(AR323&lt;&gt;"",","&amp;AR323,"")&amp;IF(AW323&lt;&gt;"",","&amp;AW323,"")&amp;"}"
     &amp;IF(OR(W323&lt;&gt;"",AC323&lt;&gt;"",AI323&lt;&gt;"",AN323&lt;&gt;"",AS323&lt;&gt;"",AX323&lt;&gt;"",X323&lt;&gt;"",AD323&lt;&gt;"",AJ323&lt;&gt;"",AO323&lt;&gt;"",AT323&lt;&gt;"",AY323&lt;&gt;""),", dropMechanicDropLocationNames={"
        &amp; IF(OR(W323&lt;&gt;"",AC323&lt;&gt;"",AI323&lt;&gt;"",AN323&lt;&gt;"",AS323&lt;&gt;"",AX323&lt;&gt;""),"['en']={"&amp;IF(W323&lt;&gt;"","'"&amp;W323&amp;"',","'',")&amp;IF(AC323&lt;&gt;"","'"&amp;AC323&amp;"',","'',")&amp;IF(AI323&lt;&gt;"","'"&amp;AI323&amp;"',","'',")&amp;IF(AN323&lt;&gt;"","'"&amp;AN323&amp;"',","'',")&amp;IF(AS323&lt;&gt;"","'"&amp;AS323&amp;"',","'',")&amp;IF(AX323&lt;&gt;"","'"&amp;AX323&amp;"',","'',")&amp;"},","")
        &amp; IF(OR(X323&lt;&gt;"",AD323&lt;&gt;"",AJ323&lt;&gt;"",AO323&lt;&gt;"",AT323&lt;&gt;"",AY323&lt;&gt;""),"['de']={"&amp;IF(X323&lt;&gt;"","'"&amp;X323&amp;"',","'',")&amp;IF(AD323&lt;&gt;"","'"&amp;AD323&amp;"',","'',")&amp;IF(AJ323&lt;&gt;"","'"&amp;AJ323&amp;"',","'',")&amp;IF(AO323&lt;&gt;"","'"&amp;AO323&amp;"',","'',")&amp;IF(AT323&lt;&gt;"","'"&amp;AT323&amp;"',","'',")&amp;IF(AY323&lt;&gt;"","'"&amp;AY323&amp;"',","'',")&amp;"},","")
     &amp; "}",""),"")),""),"")
&amp; IF(AND(BD323&lt;&gt;"",BD323&lt;&gt;"X"), ", perfectedSetId=" &amp; BD323, IF(BD323&lt;&gt;"",", isPerfectedSet=1",""))</f>
        <v>, dropMechanic={LIBSETS_DROP_MECHANIC_ARENA_STAGE_CHEST,LIBSETS_DROP_MECHANIC_ARENA_STAGE_CHEST}, perfectedSetId=523</v>
      </c>
      <c r="BI323" s="21" t="str">
        <f t="shared" ref="BI323:BI386" si="35">IF(A323&lt;&gt;"",IF(F323&lt;&gt;"Not in the game (anymore)",
IF(OR(BA323&lt;&gt;"",BB323&lt;&gt;""),", addTooltip={" &amp; IF(BA323&lt;&gt;"","['en']='"&amp; BA323 &amp; "',","")  &amp; IF(AND(BA323&lt;&gt;"",BA323&lt;&gt;BB323), IF(BB323&lt;&gt;"","['de']='"&amp; BB323 &amp; "',",""),"") &amp; "},","")
&amp; "},"
&amp; 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1230</v>
      </c>
      <c r="C324" t="s">
        <v>1231</v>
      </c>
      <c r="D324" s="3">
        <f t="shared" si="30"/>
        <v>371</v>
      </c>
      <c r="G324" s="8" t="s">
        <v>1465</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1547</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1547</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5" t="s">
        <v>2645</v>
      </c>
      <c r="BA324" s="75"/>
      <c r="BB324" s="75"/>
      <c r="BC324" s="75"/>
      <c r="BD324" s="75">
        <v>524</v>
      </c>
      <c r="BE324" s="21" t="str">
        <f t="shared" si="31"/>
        <v>[371] = {wayshrines={249,249,249,}, dlcId=DLC_SUMMERSET</v>
      </c>
      <c r="BF324" s="21" t="str">
        <f t="shared" si="32"/>
        <v>, zoneIds={677,684,684}, veteran=false</v>
      </c>
      <c r="BG324" s="21" t="str">
        <f t="shared" si="33"/>
        <v>, setType=LIBSETS_SETTYPE_ARENA</v>
      </c>
      <c r="BH324" s="21" t="str">
        <f t="shared" si="34"/>
        <v>, dropMechanic={LIBSETS_DROP_MECHANIC_ARENA_STAGE_CHEST,LIBSETS_DROP_MECHANIC_ARENA_STAGE_CHEST}, perfectedSetId=524</v>
      </c>
      <c r="BI324" s="21" t="str">
        <f t="shared" si="35"/>
        <v>}, --Cruel Flurry / Grausamer Schlaghagel   [Maelstrom Arena, Wrothgar, Wrothgar]</v>
      </c>
    </row>
    <row r="325" spans="1:61" x14ac:dyDescent="0.25">
      <c r="A325" s="12">
        <v>372</v>
      </c>
      <c r="B325" t="s">
        <v>1232</v>
      </c>
      <c r="C325" t="s">
        <v>1233</v>
      </c>
      <c r="D325" s="3">
        <f t="shared" si="30"/>
        <v>372</v>
      </c>
      <c r="G325" s="8" t="s">
        <v>1465</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1547</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1547</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5" t="s">
        <v>2645</v>
      </c>
      <c r="BA325" s="75"/>
      <c r="BB325" s="75"/>
      <c r="BC325" s="75"/>
      <c r="BD325" s="75">
        <v>525</v>
      </c>
      <c r="BE325" s="21" t="str">
        <f t="shared" si="31"/>
        <v>[372] = {wayshrines={249,249,249,}, dlcId=DLC_SUMMERSET</v>
      </c>
      <c r="BF325" s="21" t="str">
        <f t="shared" si="32"/>
        <v>, zoneIds={677,684,684}, veteran=false</v>
      </c>
      <c r="BG325" s="21" t="str">
        <f t="shared" si="33"/>
        <v>, setType=LIBSETS_SETTYPE_ARENA</v>
      </c>
      <c r="BH325" s="21" t="str">
        <f t="shared" si="34"/>
        <v>, dropMechanic={LIBSETS_DROP_MECHANIC_ARENA_STAGE_CHEST,LIBSETS_DROP_MECHANIC_ARENA_STAGE_CHEST}, perfectedSetId=525</v>
      </c>
      <c r="BI325" s="21" t="str">
        <f t="shared" si="35"/>
        <v>}, --Thunderous Volley / Donnernde Salve   [Maelstrom Arena, Wrothgar, Wrothgar]</v>
      </c>
    </row>
    <row r="326" spans="1:61" x14ac:dyDescent="0.25">
      <c r="A326" s="12">
        <v>373</v>
      </c>
      <c r="B326" t="s">
        <v>1234</v>
      </c>
      <c r="C326" t="s">
        <v>1235</v>
      </c>
      <c r="D326" s="3">
        <f t="shared" si="30"/>
        <v>373</v>
      </c>
      <c r="G326" s="8" t="s">
        <v>1465</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1547</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1547</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5" t="s">
        <v>2646</v>
      </c>
      <c r="BA326" s="75"/>
      <c r="BB326" s="75"/>
      <c r="BC326" s="75"/>
      <c r="BD326" s="75">
        <v>526</v>
      </c>
      <c r="BE326" s="21" t="str">
        <f t="shared" si="31"/>
        <v>[373] = {wayshrines={249,249,249,}, dlcId=DLC_SUMMERSET</v>
      </c>
      <c r="BF326" s="21" t="str">
        <f t="shared" si="32"/>
        <v>, zoneIds={677,684,684}, veteran=false</v>
      </c>
      <c r="BG326" s="21" t="str">
        <f t="shared" si="33"/>
        <v>, setType=LIBSETS_SETTYPE_ARENA</v>
      </c>
      <c r="BH326" s="21" t="str">
        <f t="shared" si="34"/>
        <v>, isProcSetAllowedInPvP=1, dropMechanic={LIBSETS_DROP_MECHANIC_ARENA_STAGE_CHEST,LIBSETS_DROP_MECHANIC_ARENA_STAGE_CHEST}, perfectedSetId=526</v>
      </c>
      <c r="BI326" s="21" t="str">
        <f t="shared" si="35"/>
        <v>}, --Crushing Wall / Zermalmende Mauer   [Maelstrom Arena, Wrothgar, Wrothgar]</v>
      </c>
    </row>
    <row r="327" spans="1:61" x14ac:dyDescent="0.25">
      <c r="A327" s="12">
        <v>374</v>
      </c>
      <c r="B327" t="s">
        <v>1236</v>
      </c>
      <c r="C327" t="s">
        <v>1237</v>
      </c>
      <c r="D327" s="3">
        <f t="shared" si="30"/>
        <v>374</v>
      </c>
      <c r="G327" s="8" t="s">
        <v>1465</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1547</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1547</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5" t="s">
        <v>2645</v>
      </c>
      <c r="BA327" s="75"/>
      <c r="BB327" s="75"/>
      <c r="BC327" s="75"/>
      <c r="BD327" s="75">
        <v>527</v>
      </c>
      <c r="BE327" s="21" t="str">
        <f t="shared" si="31"/>
        <v>[374] = {wayshrines={249,249,249,}, dlcId=DLC_SUMMERSET</v>
      </c>
      <c r="BF327" s="21" t="str">
        <f t="shared" si="32"/>
        <v>, zoneIds={677,684,684}, veteran=false</v>
      </c>
      <c r="BG327" s="21" t="str">
        <f t="shared" si="33"/>
        <v>, setType=LIBSETS_SETTYPE_ARENA</v>
      </c>
      <c r="BH327" s="21" t="str">
        <f t="shared" si="34"/>
        <v>, dropMechanic={LIBSETS_DROP_MECHANIC_ARENA_STAGE_CHEST,LIBSETS_DROP_MECHANIC_ARENA_STAGE_CHEST}, perfectedSetId=527</v>
      </c>
      <c r="BI327" s="21" t="str">
        <f t="shared" si="35"/>
        <v>}, --Precise Regeneration / Präzise Regeneration   [Maelstrom Arena, Wrothgar, Wrothgar]</v>
      </c>
    </row>
    <row r="328" spans="1:61" x14ac:dyDescent="0.25">
      <c r="A328" s="12">
        <v>380</v>
      </c>
      <c r="B328" t="s">
        <v>1238</v>
      </c>
      <c r="C328" t="s">
        <v>2605</v>
      </c>
      <c r="D328" s="3">
        <f t="shared" si="30"/>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5" t="s">
        <v>2645</v>
      </c>
      <c r="BA328" s="75"/>
      <c r="BB328" s="75"/>
      <c r="BC328" s="75"/>
      <c r="BD328" s="75"/>
      <c r="BE328" s="21" t="str">
        <f t="shared" si="31"/>
        <v>[380] = {wayshrines={-1,-1,-1,}, dlcId=DLC_BASE_GAME</v>
      </c>
      <c r="BF328" s="21" t="str">
        <f t="shared" si="32"/>
        <v>, zoneIds={-99}, veteran=false</v>
      </c>
      <c r="BG328" s="21" t="str">
        <f t="shared" si="33"/>
        <v>, setType=LIBSETS_SETTYPE_SPECIAL</v>
      </c>
      <c r="BH328" s="21" t="str">
        <f t="shared" si="34"/>
        <v>, dropMechanic={LIBSETS_DROP_MECHANIC_LEVEL_UP_REWARD}</v>
      </c>
      <c r="BI328" s="21" t="str">
        <f t="shared" si="35"/>
        <v>}, --Prophet\'s / Prophet   [!Level up advisor]</v>
      </c>
    </row>
    <row r="329" spans="1:61" x14ac:dyDescent="0.25">
      <c r="A329" s="12">
        <v>381</v>
      </c>
      <c r="B329" t="s">
        <v>1239</v>
      </c>
      <c r="C329" t="s">
        <v>1240</v>
      </c>
      <c r="D329" s="3">
        <f t="shared" si="30"/>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5" t="s">
        <v>2645</v>
      </c>
      <c r="BA329" s="75"/>
      <c r="BB329" s="75"/>
      <c r="BC329" s="75"/>
      <c r="BD329" s="75"/>
      <c r="BE329" s="21" t="str">
        <f t="shared" si="31"/>
        <v>[381] = {wayshrines={-1,-1,-1,}, dlcId=DLC_BASE_GAME</v>
      </c>
      <c r="BF329" s="21" t="str">
        <f t="shared" si="32"/>
        <v>, zoneIds={-99}, veteran=false</v>
      </c>
      <c r="BG329" s="21" t="str">
        <f t="shared" si="33"/>
        <v>, setType=LIBSETS_SETTYPE_SPECIAL</v>
      </c>
      <c r="BH329" s="21" t="str">
        <f t="shared" si="34"/>
        <v>, dropMechanic={LIBSETS_DROP_MECHANIC_LEVEL_UP_REWARD}</v>
      </c>
      <c r="BI329" s="21" t="str">
        <f t="shared" si="35"/>
        <v>}, --Broken Soul / Zerbrochene Seele   [!Level up advisor]</v>
      </c>
    </row>
    <row r="330" spans="1:61" x14ac:dyDescent="0.25">
      <c r="A330" s="12">
        <v>382</v>
      </c>
      <c r="B330" t="s">
        <v>1241</v>
      </c>
      <c r="C330" t="s">
        <v>1242</v>
      </c>
      <c r="D330" s="3">
        <f t="shared" si="30"/>
        <v>382</v>
      </c>
      <c r="G330" s="8" t="s">
        <v>1473</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1553</v>
      </c>
      <c r="AI330" s="41"/>
      <c r="AJ330" s="41"/>
      <c r="AK330" s="3">
        <f>IF(AND(G330&lt;&gt;"LIBSETS_SETTYPE_BATTLEGROUND",G330&lt;&gt;"LIBSETS_SETTYPE_SPECIAL"),IF(AL330&lt;&gt;"",VLOOKUP(AL330,'ESO zone constants'!$D$5:$H$4955,5,FALSE),""),"")</f>
        <v>1011</v>
      </c>
      <c r="AL330" t="s">
        <v>79</v>
      </c>
      <c r="AM330" s="33" t="s">
        <v>1554</v>
      </c>
      <c r="AN330" s="41"/>
      <c r="AO330" s="41"/>
      <c r="AP330" s="3">
        <f>IF(AND(G330&lt;&gt;"LIBSETS_SETTYPE_BATTLEGROUND",G330&lt;&gt;"LIBSETS_SETTYPE_SPECIAL"),IF(AQ330&lt;&gt;"",VLOOKUP(AQ330,'ESO zone constants'!$D$5:$H$4955,5,FALSE),""),"")</f>
        <v>1027</v>
      </c>
      <c r="AQ330" t="s">
        <v>678</v>
      </c>
      <c r="AR330" s="33" t="s">
        <v>1551</v>
      </c>
      <c r="AS330" s="41"/>
      <c r="AT330" s="41"/>
      <c r="AU330" s="3">
        <f>IF(AND(G330&lt;&gt;"LIBSETS_SETTYPE_BATTLEGROUND",G330&lt;&gt;"LIBSETS_SETTYPE_SPECIAL"),IF(AV330&lt;&gt;"",VLOOKUP(AV330,'ESO zone constants'!$D$5:$H$4955,5,FALSE),""),"")</f>
        <v>1027</v>
      </c>
      <c r="AV330" t="s">
        <v>678</v>
      </c>
      <c r="AW330" s="33" t="s">
        <v>1554</v>
      </c>
      <c r="AX330" s="41"/>
      <c r="AY330" s="41"/>
      <c r="AZ330" s="75" t="s">
        <v>2645</v>
      </c>
      <c r="BA330" s="75"/>
      <c r="BB330" s="75"/>
      <c r="BC330" s="75"/>
      <c r="BD330" s="75"/>
      <c r="BE330" s="21" t="str">
        <f t="shared" si="31"/>
        <v>[382] = {wayshrines={355,355,355,}, dlcId=DLC_NECROM</v>
      </c>
      <c r="BF330" s="21" t="str">
        <f t="shared" si="32"/>
        <v>, zoneIds={1011,1011,1011,1011,1027,1027}, veteran=false</v>
      </c>
      <c r="BG330" s="21" t="str">
        <f t="shared" si="33"/>
        <v>, setType=LIBSETS_SETTYPE_OVERLAND</v>
      </c>
      <c r="BH330"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5"/>
        <v>}, --Grace of Gloom / Anmut der Gräue   [Summerset, Summerset, Summerset, Summerset, Artaeum, Artaeum]</v>
      </c>
    </row>
    <row r="331" spans="1:61" x14ac:dyDescent="0.25">
      <c r="A331" s="12">
        <v>383</v>
      </c>
      <c r="B331" t="s">
        <v>1243</v>
      </c>
      <c r="C331" t="s">
        <v>2606</v>
      </c>
      <c r="D331" s="3">
        <f t="shared" si="30"/>
        <v>383</v>
      </c>
      <c r="G331" s="8" t="s">
        <v>1473</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1553</v>
      </c>
      <c r="AI331" s="41"/>
      <c r="AJ331" s="41"/>
      <c r="AK331" s="3">
        <f>IF(AND(G331&lt;&gt;"LIBSETS_SETTYPE_BATTLEGROUND",G331&lt;&gt;"LIBSETS_SETTYPE_SPECIAL"),IF(AL331&lt;&gt;"",VLOOKUP(AL331,'ESO zone constants'!$D$5:$H$4955,5,FALSE),""),"")</f>
        <v>1011</v>
      </c>
      <c r="AL331" t="s">
        <v>79</v>
      </c>
      <c r="AM331" s="33" t="s">
        <v>1554</v>
      </c>
      <c r="AN331" s="41"/>
      <c r="AO331" s="41"/>
      <c r="AP331" s="3">
        <f>IF(AND(G331&lt;&gt;"LIBSETS_SETTYPE_BATTLEGROUND",G331&lt;&gt;"LIBSETS_SETTYPE_SPECIAL"),IF(AQ331&lt;&gt;"",VLOOKUP(AQ331,'ESO zone constants'!$D$5:$H$4955,5,FALSE),""),"")</f>
        <v>1027</v>
      </c>
      <c r="AQ331" t="s">
        <v>678</v>
      </c>
      <c r="AR331" s="33" t="s">
        <v>1551</v>
      </c>
      <c r="AS331" s="41"/>
      <c r="AT331" s="41"/>
      <c r="AU331" s="3">
        <f>IF(AND(G331&lt;&gt;"LIBSETS_SETTYPE_BATTLEGROUND",G331&lt;&gt;"LIBSETS_SETTYPE_SPECIAL"),IF(AV331&lt;&gt;"",VLOOKUP(AV331,'ESO zone constants'!$D$5:$H$4955,5,FALSE),""),"")</f>
        <v>1027</v>
      </c>
      <c r="AV331" t="s">
        <v>678</v>
      </c>
      <c r="AW331" s="33" t="s">
        <v>1554</v>
      </c>
      <c r="AX331" s="41"/>
      <c r="AY331" s="41"/>
      <c r="AZ331" s="75" t="s">
        <v>2645</v>
      </c>
      <c r="BA331" s="75"/>
      <c r="BB331" s="75"/>
      <c r="BC331" s="75"/>
      <c r="BD331" s="75"/>
      <c r="BE331" s="21" t="str">
        <f t="shared" si="31"/>
        <v>[383] = {wayshrines={355,355,355,}, dlcId=DLC_NECROM</v>
      </c>
      <c r="BF331" s="21" t="str">
        <f t="shared" si="32"/>
        <v>, zoneIds={1011,1011,1011,1011,1027,1027}, veteran=false</v>
      </c>
      <c r="BG331" s="21" t="str">
        <f t="shared" si="33"/>
        <v>, setType=LIBSETS_SETTYPE_OVERLAND</v>
      </c>
      <c r="BH331"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5"/>
        <v>}, --Gryphon\'s Ferocity / Wildheit des Greifen   [Summerset, Summerset, Summerset, Summerset, Artaeum, Artaeum]</v>
      </c>
    </row>
    <row r="332" spans="1:61" x14ac:dyDescent="0.25">
      <c r="A332" s="12">
        <v>384</v>
      </c>
      <c r="B332" t="s">
        <v>1244</v>
      </c>
      <c r="C332" t="s">
        <v>1245</v>
      </c>
      <c r="D332" s="3">
        <f t="shared" si="30"/>
        <v>384</v>
      </c>
      <c r="G332" s="8" t="s">
        <v>1473</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1553</v>
      </c>
      <c r="AI332" s="41"/>
      <c r="AJ332" s="41"/>
      <c r="AK332" s="3">
        <f>IF(AND(G332&lt;&gt;"LIBSETS_SETTYPE_BATTLEGROUND",G332&lt;&gt;"LIBSETS_SETTYPE_SPECIAL"),IF(AL332&lt;&gt;"",VLOOKUP(AL332,'ESO zone constants'!$D$5:$H$4955,5,FALSE),""),"")</f>
        <v>1011</v>
      </c>
      <c r="AL332" t="s">
        <v>79</v>
      </c>
      <c r="AM332" s="33" t="s">
        <v>1554</v>
      </c>
      <c r="AN332" s="41"/>
      <c r="AO332" s="41"/>
      <c r="AP332" s="3">
        <f>IF(AND(G332&lt;&gt;"LIBSETS_SETTYPE_BATTLEGROUND",G332&lt;&gt;"LIBSETS_SETTYPE_SPECIAL"),IF(AQ332&lt;&gt;"",VLOOKUP(AQ332,'ESO zone constants'!$D$5:$H$4955,5,FALSE),""),"")</f>
        <v>1027</v>
      </c>
      <c r="AQ332" t="s">
        <v>678</v>
      </c>
      <c r="AR332" s="33" t="s">
        <v>1551</v>
      </c>
      <c r="AS332" s="41"/>
      <c r="AT332" s="41"/>
      <c r="AU332" s="3">
        <f>IF(AND(G332&lt;&gt;"LIBSETS_SETTYPE_BATTLEGROUND",G332&lt;&gt;"LIBSETS_SETTYPE_SPECIAL"),IF(AV332&lt;&gt;"",VLOOKUP(AV332,'ESO zone constants'!$D$5:$H$4955,5,FALSE),""),"")</f>
        <v>1027</v>
      </c>
      <c r="AV332" t="s">
        <v>678</v>
      </c>
      <c r="AW332" s="33" t="s">
        <v>1554</v>
      </c>
      <c r="AX332" s="41"/>
      <c r="AY332" s="41"/>
      <c r="AZ332" s="75" t="s">
        <v>2645</v>
      </c>
      <c r="BA332" s="75"/>
      <c r="BB332" s="75"/>
      <c r="BC332" s="75"/>
      <c r="BD332" s="75"/>
      <c r="BE332" s="21" t="str">
        <f t="shared" si="31"/>
        <v>[384] = {wayshrines={355,355,355,}, dlcId=DLC_NECROM</v>
      </c>
      <c r="BF332" s="21" t="str">
        <f t="shared" si="32"/>
        <v>, zoneIds={1011,1011,1011,1011,1027,1027}, veteran=false</v>
      </c>
      <c r="BG332" s="21" t="str">
        <f t="shared" si="33"/>
        <v>, setType=LIBSETS_SETTYPE_OVERLAND</v>
      </c>
      <c r="BH332"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5"/>
        <v>}, --Wisdom of Vanus / Weisheit von Vanus   [Summerset, Summerset, Summerset, Summerset, Artaeum, Artaeum]</v>
      </c>
    </row>
    <row r="333" spans="1:61" x14ac:dyDescent="0.25">
      <c r="A333" s="5">
        <v>385</v>
      </c>
      <c r="B333" t="s">
        <v>1246</v>
      </c>
      <c r="C333" t="s">
        <v>1247</v>
      </c>
      <c r="D333" s="3">
        <f t="shared" si="30"/>
        <v>385</v>
      </c>
      <c r="G333" s="8" t="s">
        <v>1467</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3276</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3276</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5" t="s">
        <v>2645</v>
      </c>
      <c r="BA333" s="75"/>
      <c r="BB333" s="75"/>
      <c r="BC333" s="75"/>
      <c r="BD333" s="75"/>
      <c r="BE333" s="21" t="str">
        <f t="shared" si="31"/>
        <v>[385] = {wayshrines={359,359,359,}, traitsNeeded=3, dlcId=DLC_NECROM</v>
      </c>
      <c r="BF333" s="21" t="str">
        <f t="shared" si="32"/>
        <v>, zoneIds={1011,1011,1011}, veteran=false</v>
      </c>
      <c r="BG333" s="21" t="str">
        <f t="shared" si="33"/>
        <v>, setType=LIBSETS_SETTYPE_CRAFTED</v>
      </c>
      <c r="BH333" s="21" t="str">
        <f t="shared" si="34"/>
        <v>, dropMechanic={LIBSETS_DROP_MECHANIC_CRAFTED,LIBSETS_DROP_MECHANIC_CRAFTED,LIBSETS_DROP_MECHANIC_CRAFTED}</v>
      </c>
      <c r="BI333" s="21" t="str">
        <f t="shared" si="35"/>
        <v>}, --Adept Rider / Versierter Reiter   [Summerset, Summerset, Summerset]</v>
      </c>
    </row>
    <row r="334" spans="1:61" x14ac:dyDescent="0.25">
      <c r="A334" s="5">
        <v>386</v>
      </c>
      <c r="B334" t="s">
        <v>1248</v>
      </c>
      <c r="C334" t="s">
        <v>2607</v>
      </c>
      <c r="D334" s="3">
        <f t="shared" si="30"/>
        <v>386</v>
      </c>
      <c r="G334" s="8" t="s">
        <v>1467</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3276</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3276</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5" t="s">
        <v>2645</v>
      </c>
      <c r="BA334" s="75"/>
      <c r="BB334" s="75"/>
      <c r="BC334" s="75"/>
      <c r="BD334" s="75"/>
      <c r="BE334" s="21" t="str">
        <f t="shared" si="31"/>
        <v>[386] = {wayshrines={360,360,360,}, traitsNeeded=6, dlcId=DLC_NECROM</v>
      </c>
      <c r="BF334" s="21" t="str">
        <f t="shared" si="32"/>
        <v>, zoneIds={1027,1027,1027}, veteran=false</v>
      </c>
      <c r="BG334" s="21" t="str">
        <f t="shared" si="33"/>
        <v>, setType=LIBSETS_SETTYPE_CRAFTED</v>
      </c>
      <c r="BH334" s="21" t="str">
        <f t="shared" si="34"/>
        <v>, dropMechanic={LIBSETS_DROP_MECHANIC_CRAFTED,LIBSETS_DROP_MECHANIC_CRAFTED,LIBSETS_DROP_MECHANIC_CRAFTED}</v>
      </c>
      <c r="BI334" s="21" t="str">
        <f t="shared" si="35"/>
        <v>}, --Sload\'s Semblance / Kreckenantlitz   [Artaeum, Artaeum, Artaeum]</v>
      </c>
    </row>
    <row r="335" spans="1:61" x14ac:dyDescent="0.25">
      <c r="A335" s="5">
        <v>387</v>
      </c>
      <c r="B335" t="s">
        <v>1249</v>
      </c>
      <c r="C335" t="s">
        <v>2608</v>
      </c>
      <c r="D335" s="3">
        <f t="shared" si="30"/>
        <v>387</v>
      </c>
      <c r="G335" s="8" t="s">
        <v>1467</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3276</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3276</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5" t="s">
        <v>2645</v>
      </c>
      <c r="BA335" s="75"/>
      <c r="BB335" s="75"/>
      <c r="BC335" s="75"/>
      <c r="BD335" s="75"/>
      <c r="BE335" s="21" t="str">
        <f t="shared" si="31"/>
        <v>[387] = {wayshrines={354,354,354,}, traitsNeeded=9, dlcId=DLC_NECROM</v>
      </c>
      <c r="BF335" s="21" t="str">
        <f t="shared" si="32"/>
        <v>, zoneIds={1011,1011,1011}, veteran=false</v>
      </c>
      <c r="BG335" s="21" t="str">
        <f t="shared" si="33"/>
        <v>, setType=LIBSETS_SETTYPE_CRAFTED</v>
      </c>
      <c r="BH335" s="21" t="str">
        <f t="shared" si="34"/>
        <v>, dropMechanic={LIBSETS_DROP_MECHANIC_CRAFTED,LIBSETS_DROP_MECHANIC_CRAFTED,LIBSETS_DROP_MECHANIC_CRAFTED}</v>
      </c>
      <c r="BI335" s="21" t="str">
        <f t="shared" si="35"/>
        <v>}, --Nocturnal\'s Favor / Nocturnals Gunst   [Summerset, Summerset, Summerset]</v>
      </c>
    </row>
    <row r="336" spans="1:61" x14ac:dyDescent="0.25">
      <c r="A336" s="12">
        <v>388</v>
      </c>
      <c r="B336" t="s">
        <v>1250</v>
      </c>
      <c r="C336" t="s">
        <v>1251</v>
      </c>
      <c r="D336" s="3">
        <f t="shared" si="30"/>
        <v>388</v>
      </c>
      <c r="G336" s="8" t="s">
        <v>1474</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3254</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5" t="s">
        <v>2645</v>
      </c>
      <c r="BA336" s="75"/>
      <c r="BB336" s="75"/>
      <c r="BC336" s="75"/>
      <c r="BD336" s="75">
        <v>392</v>
      </c>
      <c r="BE336" s="21" t="str">
        <f t="shared" si="31"/>
        <v>[388] = {wayshrines={364,364,364,}, dlcId=DLC_SUMMERSET</v>
      </c>
      <c r="BF336" s="21" t="str">
        <f t="shared" si="32"/>
        <v>, zoneIds={1051,1051,1051}, veteran=false</v>
      </c>
      <c r="BG336" s="21" t="str">
        <f t="shared" si="33"/>
        <v>, setType=LIBSETS_SETTYPE_TRIAL</v>
      </c>
      <c r="BH336" s="21" t="str">
        <f t="shared" si="34"/>
        <v>, dropMechanic={LIBSETS_DROP_MECHANIC_TRIAL_BOSS,LIBSETS_DROP_MECHANIC_TRIAL_BOSS,LIBSETS_DROP_MECHANIC_TRIAL_BOSS}, perfectedSetId=392</v>
      </c>
      <c r="BI336" s="21" t="str">
        <f t="shared" si="35"/>
        <v>}, --Aegis of Galenwe / Ägis von Galenwe   [Cloudrest, Cloudrest, Cloudrest]</v>
      </c>
    </row>
    <row r="337" spans="1:61" x14ac:dyDescent="0.25">
      <c r="A337" s="12">
        <v>389</v>
      </c>
      <c r="B337" t="s">
        <v>1252</v>
      </c>
      <c r="C337" t="s">
        <v>1253</v>
      </c>
      <c r="D337" s="3">
        <f t="shared" si="30"/>
        <v>389</v>
      </c>
      <c r="G337" s="8" t="s">
        <v>1474</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3254</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5" t="s">
        <v>2645</v>
      </c>
      <c r="BA337" s="75"/>
      <c r="BB337" s="75"/>
      <c r="BC337" s="75"/>
      <c r="BD337" s="75">
        <v>393</v>
      </c>
      <c r="BE337" s="21" t="str">
        <f t="shared" si="31"/>
        <v>[389] = {wayshrines={364,364,364,}, dlcId=DLC_SUMMERSET</v>
      </c>
      <c r="BF337" s="21" t="str">
        <f t="shared" si="32"/>
        <v>, zoneIds={1051,1051,1051}, veteran=false</v>
      </c>
      <c r="BG337" s="21" t="str">
        <f t="shared" si="33"/>
        <v>, setType=LIBSETS_SETTYPE_TRIAL</v>
      </c>
      <c r="BH337" s="21" t="str">
        <f t="shared" si="34"/>
        <v>, dropMechanic={LIBSETS_DROP_MECHANIC_TRIAL_BOSS,LIBSETS_DROP_MECHANIC_TRIAL_BOSS,LIBSETS_DROP_MECHANIC_TRIAL_BOSS}, perfectedSetId=393</v>
      </c>
      <c r="BI337" s="21" t="str">
        <f t="shared" si="35"/>
        <v>}, --Arms of Relequen / Waffen von Relequen   [Cloudrest, Cloudrest, Cloudrest]</v>
      </c>
    </row>
    <row r="338" spans="1:61" x14ac:dyDescent="0.25">
      <c r="A338" s="12">
        <v>390</v>
      </c>
      <c r="B338" t="s">
        <v>1254</v>
      </c>
      <c r="C338" t="s">
        <v>1255</v>
      </c>
      <c r="D338" s="3">
        <f t="shared" si="30"/>
        <v>390</v>
      </c>
      <c r="G338" s="8" t="s">
        <v>1474</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3254</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5" t="s">
        <v>2645</v>
      </c>
      <c r="BA338" s="75"/>
      <c r="BB338" s="75"/>
      <c r="BC338" s="75"/>
      <c r="BD338" s="75">
        <v>394</v>
      </c>
      <c r="BE338" s="21" t="str">
        <f t="shared" si="31"/>
        <v>[390] = {wayshrines={364,364,364,}, dlcId=DLC_SUMMERSET</v>
      </c>
      <c r="BF338" s="21" t="str">
        <f t="shared" si="32"/>
        <v>, zoneIds={1051,1051,1051}, veteran=false</v>
      </c>
      <c r="BG338" s="21" t="str">
        <f t="shared" si="33"/>
        <v>, setType=LIBSETS_SETTYPE_TRIAL</v>
      </c>
      <c r="BH338" s="21" t="str">
        <f t="shared" si="34"/>
        <v>, dropMechanic={LIBSETS_DROP_MECHANIC_TRIAL_BOSS,LIBSETS_DROP_MECHANIC_TRIAL_BOSS,LIBSETS_DROP_MECHANIC_TRIAL_BOSS}, perfectedSetId=394</v>
      </c>
      <c r="BI338" s="21" t="str">
        <f t="shared" si="35"/>
        <v>}, --Mantle of Siroria / Mantel von Siroria   [Cloudrest, Cloudrest, Cloudrest]</v>
      </c>
    </row>
    <row r="339" spans="1:61" x14ac:dyDescent="0.25">
      <c r="A339" s="12">
        <v>391</v>
      </c>
      <c r="B339" t="s">
        <v>1256</v>
      </c>
      <c r="C339" t="s">
        <v>1257</v>
      </c>
      <c r="D339" s="3">
        <f t="shared" si="30"/>
        <v>391</v>
      </c>
      <c r="G339" s="8" t="s">
        <v>1474</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3254</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5" t="s">
        <v>2645</v>
      </c>
      <c r="BA339" s="75"/>
      <c r="BB339" s="75"/>
      <c r="BC339" s="75"/>
      <c r="BD339" s="75">
        <v>395</v>
      </c>
      <c r="BE339" s="21" t="str">
        <f t="shared" si="31"/>
        <v>[391] = {wayshrines={364,364,364,}, dlcId=DLC_SUMMERSET</v>
      </c>
      <c r="BF339" s="21" t="str">
        <f t="shared" si="32"/>
        <v>, zoneIds={1051,1051,1051}, veteran=false</v>
      </c>
      <c r="BG339" s="21" t="str">
        <f t="shared" si="33"/>
        <v>, setType=LIBSETS_SETTYPE_TRIAL</v>
      </c>
      <c r="BH339" s="21" t="str">
        <f t="shared" si="34"/>
        <v>, dropMechanic={LIBSETS_DROP_MECHANIC_TRIAL_BOSS,LIBSETS_DROP_MECHANIC_TRIAL_BOSS,LIBSETS_DROP_MECHANIC_TRIAL_BOSS}, perfectedSetId=395</v>
      </c>
      <c r="BI339" s="21" t="str">
        <f t="shared" si="35"/>
        <v>}, --Vestment of Olorime / Gewandung von Olorime   [Cloudrest, Cloudrest, Cloudrest]</v>
      </c>
    </row>
    <row r="340" spans="1:61" x14ac:dyDescent="0.25">
      <c r="A340" s="12">
        <v>392</v>
      </c>
      <c r="B340" t="s">
        <v>1258</v>
      </c>
      <c r="C340" t="s">
        <v>1259</v>
      </c>
      <c r="D340" s="3">
        <f t="shared" si="30"/>
        <v>392</v>
      </c>
      <c r="G340" s="8" t="s">
        <v>1474</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3254</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5" t="s">
        <v>2645</v>
      </c>
      <c r="BA340" s="75"/>
      <c r="BB340" s="75"/>
      <c r="BC340" s="75"/>
      <c r="BD340" s="75" t="s">
        <v>3812</v>
      </c>
      <c r="BE340" s="21" t="str">
        <f t="shared" si="31"/>
        <v>[392] = {wayshrines={364,364,364,}, dlcId=DLC_SUMMERSET</v>
      </c>
      <c r="BF340" s="21" t="str">
        <f t="shared" si="32"/>
        <v>, zoneIds={1051,1051,1051}, veteran=true</v>
      </c>
      <c r="BG340" s="21" t="str">
        <f t="shared" si="33"/>
        <v>, setType=LIBSETS_SETTYPE_TRIAL</v>
      </c>
      <c r="BH340" s="21" t="str">
        <f t="shared" si="34"/>
        <v>, dropMechanic={LIBSETS_DROP_MECHANIC_TRIAL_BOSS,LIBSETS_DROP_MECHANIC_TRIAL_BOSS,LIBSETS_DROP_MECHANIC_TRIAL_BOSS}, isPerfectedSet=1</v>
      </c>
      <c r="BI340" s="21" t="str">
        <f t="shared" si="35"/>
        <v>}, --Perfect Aegis of Galenwe / Perfekte Ägis von Galenwe   [Cloudrest, Cloudrest, Cloudrest]</v>
      </c>
    </row>
    <row r="341" spans="1:61" x14ac:dyDescent="0.25">
      <c r="A341" s="43">
        <v>393</v>
      </c>
      <c r="B341" t="s">
        <v>1260</v>
      </c>
      <c r="C341" t="s">
        <v>1261</v>
      </c>
      <c r="D341" s="3">
        <f t="shared" si="30"/>
        <v>393</v>
      </c>
      <c r="G341" s="8" t="s">
        <v>1474</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3254</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5" t="s">
        <v>2645</v>
      </c>
      <c r="BA341" s="75"/>
      <c r="BB341" s="75"/>
      <c r="BC341" s="75"/>
      <c r="BD341" s="75" t="s">
        <v>3812</v>
      </c>
      <c r="BE341" s="21" t="str">
        <f t="shared" si="31"/>
        <v>[393] = {wayshrines={364,364,364,}, dlcId=DLC_SUMMERSET</v>
      </c>
      <c r="BF341" s="21" t="str">
        <f t="shared" si="32"/>
        <v>, zoneIds={1051,1051,1051}, veteran=true</v>
      </c>
      <c r="BG341" s="21" t="str">
        <f t="shared" si="33"/>
        <v>, setType=LIBSETS_SETTYPE_TRIAL</v>
      </c>
      <c r="BH341" s="21" t="str">
        <f t="shared" si="34"/>
        <v>, dropMechanic={LIBSETS_DROP_MECHANIC_TRIAL_BOSS,LIBSETS_DROP_MECHANIC_TRIAL_BOSS,LIBSETS_DROP_MECHANIC_TRIAL_BOSS}, isPerfectedSet=1</v>
      </c>
      <c r="BI341" s="21" t="str">
        <f t="shared" si="35"/>
        <v>}, --Perfect Arms of Relequen / Perfekte Waffen von Relequen   [Cloudrest, Cloudrest, Cloudrest]</v>
      </c>
    </row>
    <row r="342" spans="1:61" x14ac:dyDescent="0.25">
      <c r="A342" s="12">
        <v>394</v>
      </c>
      <c r="B342" t="s">
        <v>1262</v>
      </c>
      <c r="C342" t="s">
        <v>1263</v>
      </c>
      <c r="D342" s="3">
        <f t="shared" si="30"/>
        <v>394</v>
      </c>
      <c r="G342" s="8" t="s">
        <v>1474</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3254</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5" t="s">
        <v>2645</v>
      </c>
      <c r="BA342" s="75"/>
      <c r="BB342" s="75"/>
      <c r="BC342" s="75"/>
      <c r="BD342" s="75" t="s">
        <v>3812</v>
      </c>
      <c r="BE342" s="21" t="str">
        <f t="shared" si="31"/>
        <v>[394] = {wayshrines={364,364,364,}, dlcId=DLC_SUMMERSET</v>
      </c>
      <c r="BF342" s="21" t="str">
        <f t="shared" si="32"/>
        <v>, zoneIds={1051,1051,1051}, veteran=true</v>
      </c>
      <c r="BG342" s="21" t="str">
        <f t="shared" si="33"/>
        <v>, setType=LIBSETS_SETTYPE_TRIAL</v>
      </c>
      <c r="BH342" s="21" t="str">
        <f t="shared" si="34"/>
        <v>, dropMechanic={LIBSETS_DROP_MECHANIC_TRIAL_BOSS,LIBSETS_DROP_MECHANIC_TRIAL_BOSS,LIBSETS_DROP_MECHANIC_TRIAL_BOSS}, isPerfectedSet=1</v>
      </c>
      <c r="BI342" s="21" t="str">
        <f t="shared" si="35"/>
        <v>}, --Perfect Mantle of Siroria / Perfekter Mantel von Siroria   [Cloudrest, Cloudrest, Cloudrest]</v>
      </c>
    </row>
    <row r="343" spans="1:61" x14ac:dyDescent="0.25">
      <c r="A343" s="12">
        <v>395</v>
      </c>
      <c r="B343" t="s">
        <v>1264</v>
      </c>
      <c r="C343" t="s">
        <v>1265</v>
      </c>
      <c r="D343" s="3">
        <f t="shared" si="30"/>
        <v>395</v>
      </c>
      <c r="G343" s="8" t="s">
        <v>1474</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3254</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5" t="s">
        <v>2645</v>
      </c>
      <c r="BA343" s="75"/>
      <c r="BB343" s="75"/>
      <c r="BC343" s="75"/>
      <c r="BD343" s="75" t="s">
        <v>3812</v>
      </c>
      <c r="BE343" s="21" t="str">
        <f t="shared" si="31"/>
        <v>[395] = {wayshrines={364,364,364,}, dlcId=DLC_SUMMERSET</v>
      </c>
      <c r="BF343" s="21" t="str">
        <f t="shared" si="32"/>
        <v>, zoneIds={1051,1051,1051}, veteran=true</v>
      </c>
      <c r="BG343" s="21" t="str">
        <f t="shared" si="33"/>
        <v>, setType=LIBSETS_SETTYPE_TRIAL</v>
      </c>
      <c r="BH343" s="21" t="str">
        <f t="shared" si="34"/>
        <v>, dropMechanic={LIBSETS_DROP_MECHANIC_TRIAL_BOSS,LIBSETS_DROP_MECHANIC_TRIAL_BOSS,LIBSETS_DROP_MECHANIC_TRIAL_BOSS}, isPerfectedSet=1</v>
      </c>
      <c r="BI343" s="21" t="str">
        <f t="shared" si="35"/>
        <v>}, --Perfect Vestment of Olorime / Perfekte Gewandung von Olorime   [Cloudrest, Cloudrest, Cloudrest]</v>
      </c>
    </row>
    <row r="344" spans="1:61" x14ac:dyDescent="0.25">
      <c r="A344" s="5">
        <v>397</v>
      </c>
      <c r="B344" t="s">
        <v>0</v>
      </c>
      <c r="C344" t="s">
        <v>0</v>
      </c>
      <c r="D344" s="3">
        <f t="shared" si="30"/>
        <v>397</v>
      </c>
      <c r="G344" s="8" t="s">
        <v>1472</v>
      </c>
      <c r="H344" s="83">
        <v>3</v>
      </c>
      <c r="I344" t="s">
        <v>1459</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5" t="s">
        <v>2645</v>
      </c>
      <c r="BA344" s="75"/>
      <c r="BB344" s="75"/>
      <c r="BC344" s="75"/>
      <c r="BD344" s="75"/>
      <c r="BE344" s="21" t="str">
        <f t="shared" si="31"/>
        <v>[397] = {wayshrines={370,370,370,}, dlcId=DLC_WOLFHUNTER</v>
      </c>
      <c r="BF344" s="21" t="str">
        <f t="shared" si="32"/>
        <v>, zoneIds={1055,108,108}, veteran={[EQUIP_TYPE_HEAD]=true, [EQUIP_TYPE_SHOULDERS]=false}</v>
      </c>
      <c r="BG344" s="21" t="str">
        <f t="shared" si="33"/>
        <v>, setType=LIBSETS_SETTYPE_MONSTER, undauntedChestId=3</v>
      </c>
      <c r="BH344" s="21" t="str">
        <f t="shared" si="34"/>
        <v>, dropMechanic={LIBSETS_DROP_MECHANIC_MONSTER_NAME}, dropMechanicDropLocationNames={['en']={'Balorgh','','','','','',},['de']={'Balorgh','','','','','',},}</v>
      </c>
      <c r="BI344" s="21" t="str">
        <f t="shared" si="35"/>
        <v>}, --Balorgh / Balorgh   [March of Sacrifices, Greenshade, Greenshade]</v>
      </c>
    </row>
    <row r="345" spans="1:61" x14ac:dyDescent="0.25">
      <c r="A345" s="5">
        <v>398</v>
      </c>
      <c r="B345" t="s">
        <v>33</v>
      </c>
      <c r="C345" t="s">
        <v>33</v>
      </c>
      <c r="D345" s="3">
        <f t="shared" si="30"/>
        <v>398</v>
      </c>
      <c r="G345" s="8" t="s">
        <v>1472</v>
      </c>
      <c r="H345" s="83">
        <v>3</v>
      </c>
      <c r="I345" t="s">
        <v>1459</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5" t="s">
        <v>2645</v>
      </c>
      <c r="BA345" s="75"/>
      <c r="BB345" s="75"/>
      <c r="BC345" s="75"/>
      <c r="BD345" s="75"/>
      <c r="BE345" s="21" t="str">
        <f t="shared" si="31"/>
        <v>[398] = {wayshrines={371,371,371,}, dlcId=DLC_WOLFHUNTER</v>
      </c>
      <c r="BF345" s="21" t="str">
        <f t="shared" si="32"/>
        <v>, zoneIds={1052,382,382}, veteran={[EQUIP_TYPE_HEAD]=true, [EQUIP_TYPE_SHOULDERS]=false}</v>
      </c>
      <c r="BG345" s="21" t="str">
        <f t="shared" si="33"/>
        <v>, setType=LIBSETS_SETTYPE_MONSTER, undauntedChestId=3</v>
      </c>
      <c r="BH345" s="21" t="str">
        <f t="shared" si="34"/>
        <v>, dropMechanic={LIBSETS_DROP_MECHANIC_MONSTER_NAME}, dropMechanicDropLocationNames={['en']={'Vykosa','','','','','',},['de']={'Vykosa','','','','','',},}</v>
      </c>
      <c r="BI345" s="21" t="str">
        <f t="shared" si="35"/>
        <v>}, --Vykosa / Vykosa   [Moon Hunter Keep, Reaper's March, Reaper's March]</v>
      </c>
    </row>
    <row r="346" spans="1:61" x14ac:dyDescent="0.25">
      <c r="A346" s="12">
        <v>399</v>
      </c>
      <c r="B346" t="s">
        <v>1266</v>
      </c>
      <c r="C346" t="s">
        <v>2609</v>
      </c>
      <c r="D346" s="3">
        <f t="shared" si="30"/>
        <v>399</v>
      </c>
      <c r="G346" s="8" t="s">
        <v>1470</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5" t="s">
        <v>2645</v>
      </c>
      <c r="BA346" s="75"/>
      <c r="BB346" s="75"/>
      <c r="BC346" s="75"/>
      <c r="BD346" s="75"/>
      <c r="BE346" s="21" t="str">
        <f t="shared" si="31"/>
        <v>[399] = {wayshrines={370,370,370,}, dlcId=DLC_WOLFHUNTER</v>
      </c>
      <c r="BF346" s="21" t="str">
        <f t="shared" si="32"/>
        <v>, zoneIds={1055,108,108}, veteran=false</v>
      </c>
      <c r="BG346" s="21" t="str">
        <f t="shared" si="33"/>
        <v>, setType=LIBSETS_SETTYPE_DUNGEON</v>
      </c>
      <c r="BH346" s="21" t="str">
        <f t="shared" si="34"/>
        <v>, dropMechanic={LIBSETS_DROP_MECHANIC_GROUP_DUNGEON_BOSS}</v>
      </c>
      <c r="BI346" s="21" t="str">
        <f t="shared" si="35"/>
        <v>}, --Hanu\'s Compassion / Hanus Mitgefühl   [March of Sacrifices, Greenshade, Greenshade]</v>
      </c>
    </row>
    <row r="347" spans="1:61" x14ac:dyDescent="0.25">
      <c r="A347" s="12">
        <v>400</v>
      </c>
      <c r="B347" t="s">
        <v>1267</v>
      </c>
      <c r="C347" t="s">
        <v>1268</v>
      </c>
      <c r="D347" s="3">
        <f t="shared" si="30"/>
        <v>400</v>
      </c>
      <c r="E347" s="40"/>
      <c r="G347" s="8" t="s">
        <v>1470</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5" t="s">
        <v>2645</v>
      </c>
      <c r="BA347" s="75"/>
      <c r="BB347" s="75"/>
      <c r="BC347" s="75"/>
      <c r="BD347" s="75"/>
      <c r="BE347" s="21" t="str">
        <f t="shared" si="31"/>
        <v>[400] = {wayshrines={370,370,370,}, dlcId=DLC_WOLFHUNTER</v>
      </c>
      <c r="BF347" s="21" t="str">
        <f t="shared" si="32"/>
        <v>, zoneIds={1055,108,108}, veteran=false</v>
      </c>
      <c r="BG347" s="21" t="str">
        <f t="shared" si="33"/>
        <v>, setType=LIBSETS_SETTYPE_DUNGEON</v>
      </c>
      <c r="BH347" s="21" t="str">
        <f t="shared" si="34"/>
        <v>, dropMechanic={LIBSETS_DROP_MECHANIC_GROUP_DUNGEON_BOSS}</v>
      </c>
      <c r="BI347" s="21" t="str">
        <f t="shared" si="35"/>
        <v>}, --Blood Moon / Blutmond   [March of Sacrifices, Greenshade, Greenshade]</v>
      </c>
    </row>
    <row r="348" spans="1:61" x14ac:dyDescent="0.25">
      <c r="A348" s="12">
        <v>401</v>
      </c>
      <c r="B348" t="s">
        <v>1269</v>
      </c>
      <c r="C348" t="s">
        <v>1270</v>
      </c>
      <c r="D348" s="3">
        <f t="shared" si="30"/>
        <v>401</v>
      </c>
      <c r="G348" s="8" t="s">
        <v>1470</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5" t="s">
        <v>2645</v>
      </c>
      <c r="BA348" s="75"/>
      <c r="BB348" s="75"/>
      <c r="BC348" s="75"/>
      <c r="BD348" s="75"/>
      <c r="BE348" s="21" t="str">
        <f t="shared" si="31"/>
        <v>[401] = {wayshrines={370,370,370,}, dlcId=DLC_WOLFHUNTER</v>
      </c>
      <c r="BF348" s="21" t="str">
        <f t="shared" si="32"/>
        <v>, zoneIds={1055,108,108}, veteran=false</v>
      </c>
      <c r="BG348" s="21" t="str">
        <f t="shared" si="33"/>
        <v>, setType=LIBSETS_SETTYPE_DUNGEON</v>
      </c>
      <c r="BH348" s="21" t="str">
        <f t="shared" si="34"/>
        <v>, dropMechanic={LIBSETS_DROP_MECHANIC_GROUP_DUNGEON_BOSS}</v>
      </c>
      <c r="BI348" s="21" t="str">
        <f t="shared" si="35"/>
        <v>}, --Haven of Ursus / Zuflucht von Ursus   [March of Sacrifices, Greenshade, Greenshade]</v>
      </c>
    </row>
    <row r="349" spans="1:61" x14ac:dyDescent="0.25">
      <c r="A349" s="12">
        <v>402</v>
      </c>
      <c r="B349" t="s">
        <v>1271</v>
      </c>
      <c r="C349" t="s">
        <v>1272</v>
      </c>
      <c r="D349" s="3">
        <f t="shared" si="30"/>
        <v>402</v>
      </c>
      <c r="G349" s="8" t="s">
        <v>1470</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5" t="s">
        <v>2645</v>
      </c>
      <c r="BA349" s="75"/>
      <c r="BB349" s="75"/>
      <c r="BC349" s="75"/>
      <c r="BD349" s="75"/>
      <c r="BE349" s="21" t="str">
        <f t="shared" si="31"/>
        <v>[402] = {wayshrines={371,371,371,}, dlcId=DLC_WOLFHUNTER</v>
      </c>
      <c r="BF349" s="21" t="str">
        <f t="shared" si="32"/>
        <v>, zoneIds={1052,382,382}, veteran=false</v>
      </c>
      <c r="BG349" s="21" t="str">
        <f t="shared" si="33"/>
        <v>, setType=LIBSETS_SETTYPE_DUNGEON</v>
      </c>
      <c r="BH349" s="21" t="str">
        <f t="shared" si="34"/>
        <v>, dropMechanic={LIBSETS_DROP_MECHANIC_GROUP_DUNGEON_BOSS}</v>
      </c>
      <c r="BI349" s="21" t="str">
        <f t="shared" si="35"/>
        <v>}, --Moon Hunter / Mondjäger   [Moon Hunter Keep, Reaper's March, Reaper's March]</v>
      </c>
    </row>
    <row r="350" spans="1:61" x14ac:dyDescent="0.25">
      <c r="A350" s="12">
        <v>403</v>
      </c>
      <c r="B350" t="s">
        <v>1273</v>
      </c>
      <c r="C350" t="s">
        <v>1274</v>
      </c>
      <c r="D350" s="3">
        <f t="shared" si="30"/>
        <v>403</v>
      </c>
      <c r="G350" s="8" t="s">
        <v>1470</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5" t="s">
        <v>2645</v>
      </c>
      <c r="BA350" s="75"/>
      <c r="BB350" s="75"/>
      <c r="BC350" s="75"/>
      <c r="BD350" s="75"/>
      <c r="BE350" s="21" t="str">
        <f t="shared" si="31"/>
        <v>[403] = {wayshrines={371,371,371,}, dlcId=DLC_WOLFHUNTER</v>
      </c>
      <c r="BF350" s="21" t="str">
        <f t="shared" si="32"/>
        <v>, zoneIds={1052,382,382}, veteran=false</v>
      </c>
      <c r="BG350" s="21" t="str">
        <f t="shared" si="33"/>
        <v>, setType=LIBSETS_SETTYPE_DUNGEON</v>
      </c>
      <c r="BH350" s="21" t="str">
        <f t="shared" si="34"/>
        <v>, dropMechanic={LIBSETS_DROP_MECHANIC_GROUP_DUNGEON_BOSS}</v>
      </c>
      <c r="BI350" s="21" t="str">
        <f t="shared" si="35"/>
        <v>}, --Savage Werewolf / Wilder Werwolf   [Moon Hunter Keep, Reaper's March, Reaper's March]</v>
      </c>
    </row>
    <row r="351" spans="1:61" x14ac:dyDescent="0.25">
      <c r="A351" s="12">
        <v>404</v>
      </c>
      <c r="B351" t="s">
        <v>1275</v>
      </c>
      <c r="C351" t="s">
        <v>2610</v>
      </c>
      <c r="D351" s="3">
        <f t="shared" si="30"/>
        <v>404</v>
      </c>
      <c r="G351" s="8" t="s">
        <v>1470</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5" t="s">
        <v>2645</v>
      </c>
      <c r="BA351" s="75"/>
      <c r="BB351" s="75"/>
      <c r="BC351" s="75"/>
      <c r="BD351" s="75"/>
      <c r="BE351" s="21" t="str">
        <f t="shared" si="31"/>
        <v>[404] = {wayshrines={371,371,371,}, dlcId=DLC_WOLFHUNTER</v>
      </c>
      <c r="BF351" s="21" t="str">
        <f t="shared" si="32"/>
        <v>, zoneIds={1052,382,382}, veteran=false</v>
      </c>
      <c r="BG351" s="21" t="str">
        <f t="shared" si="33"/>
        <v>, setType=LIBSETS_SETTYPE_DUNGEON</v>
      </c>
      <c r="BH351" s="21" t="str">
        <f t="shared" si="34"/>
        <v>, dropMechanic={LIBSETS_DROP_MECHANIC_GROUP_DUNGEON_BOSS}</v>
      </c>
      <c r="BI351" s="21" t="str">
        <f t="shared" si="35"/>
        <v>}, --Jailer\'s Tenacity / Tenazität des Kerkermeisters   [Moon Hunter Keep, Reaper's March, Reaper's March]</v>
      </c>
    </row>
    <row r="352" spans="1:61" x14ac:dyDescent="0.25">
      <c r="A352" s="12">
        <v>405</v>
      </c>
      <c r="B352" t="s">
        <v>1276</v>
      </c>
      <c r="C352" t="s">
        <v>2611</v>
      </c>
      <c r="D352" s="3">
        <f t="shared" si="30"/>
        <v>405</v>
      </c>
      <c r="E352" s="40"/>
      <c r="G352" s="8" t="s">
        <v>1473</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1554</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5" t="s">
        <v>2645</v>
      </c>
      <c r="BA352" s="75"/>
      <c r="BB352" s="75"/>
      <c r="BC352" s="75"/>
      <c r="BD352" s="75"/>
      <c r="BE352" s="21" t="str">
        <f t="shared" si="31"/>
        <v>[405] = {wayshrines={374,374,374,}, dlcId=DLC_ELSWEYR</v>
      </c>
      <c r="BF352" s="21" t="str">
        <f t="shared" si="32"/>
        <v>, zoneIds={726,726,726}, veteran=false</v>
      </c>
      <c r="BG352" s="21" t="str">
        <f t="shared" si="33"/>
        <v>, setType=LIBSETS_SETTYPE_OVERLAND</v>
      </c>
      <c r="BH352" s="21" t="str">
        <f t="shared" si="34"/>
        <v>, dropMechanic={LIBSETS_DROP_MECHANIC_OVERLAND_BOSS_DELVE,LIBSETS_DROP_MECHANIC_OVERLAND_WORLDBOSS,LIBSETS_DROP_MECHANIC_OVERLAND_CHEST}</v>
      </c>
      <c r="BI352" s="21" t="str">
        <f t="shared" si="35"/>
        <v>}, --Bright-Throat\'s Boast / Hellhalsstolz   [Murkmire, Murkmire, Murkmire]</v>
      </c>
    </row>
    <row r="353" spans="1:61" x14ac:dyDescent="0.25">
      <c r="A353" s="12">
        <v>406</v>
      </c>
      <c r="B353" t="s">
        <v>1277</v>
      </c>
      <c r="C353" t="s">
        <v>2612</v>
      </c>
      <c r="D353" s="3">
        <f t="shared" si="30"/>
        <v>406</v>
      </c>
      <c r="G353" s="8" t="s">
        <v>1473</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1554</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5" t="s">
        <v>2645</v>
      </c>
      <c r="BA353" s="75"/>
      <c r="BB353" s="75"/>
      <c r="BC353" s="75"/>
      <c r="BD353" s="75"/>
      <c r="BE353" s="21" t="str">
        <f t="shared" si="31"/>
        <v>[406] = {wayshrines={374,374,374,}, dlcId=DLC_ELSWEYR</v>
      </c>
      <c r="BF353" s="21" t="str">
        <f t="shared" si="32"/>
        <v>, zoneIds={726,726,726}, veteran=false</v>
      </c>
      <c r="BG353" s="21" t="str">
        <f t="shared" si="33"/>
        <v>, setType=LIBSETS_SETTYPE_OVERLAND</v>
      </c>
      <c r="BH353" s="21" t="str">
        <f t="shared" si="34"/>
        <v>, dropMechanic={LIBSETS_DROP_MECHANIC_OVERLAND_BOSS_DELVE,LIBSETS_DROP_MECHANIC_OVERLAND_WORLDBOSS,LIBSETS_DROP_MECHANIC_OVERLAND_CHEST}</v>
      </c>
      <c r="BI353" s="21" t="str">
        <f t="shared" si="35"/>
        <v>}, --Dead-Water\'s Guile / Totwassertücke   [Murkmire, Murkmire, Murkmire]</v>
      </c>
    </row>
    <row r="354" spans="1:61" x14ac:dyDescent="0.25">
      <c r="A354" s="12">
        <v>407</v>
      </c>
      <c r="B354" t="s">
        <v>1278</v>
      </c>
      <c r="C354" t="s">
        <v>1279</v>
      </c>
      <c r="D354" s="3">
        <f t="shared" si="30"/>
        <v>407</v>
      </c>
      <c r="E354" s="40"/>
      <c r="G354" s="8" t="s">
        <v>1473</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1554</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5" t="s">
        <v>2645</v>
      </c>
      <c r="BA354" s="75"/>
      <c r="BB354" s="75"/>
      <c r="BC354" s="75"/>
      <c r="BD354" s="75"/>
      <c r="BE354" s="21" t="str">
        <f t="shared" si="31"/>
        <v>[407] = {wayshrines={374,374,374,}, dlcId=DLC_ELSWEYR</v>
      </c>
      <c r="BF354" s="21" t="str">
        <f t="shared" si="32"/>
        <v>, zoneIds={726,726,726}, veteran=false</v>
      </c>
      <c r="BG354" s="21" t="str">
        <f t="shared" si="33"/>
        <v>, setType=LIBSETS_SETTYPE_OVERLAND</v>
      </c>
      <c r="BH354" s="21" t="str">
        <f t="shared" si="34"/>
        <v>, dropMechanic={LIBSETS_DROP_MECHANIC_OVERLAND_BOSS_DELVE,LIBSETS_DROP_MECHANIC_OVERLAND_WORLDBOSS,LIBSETS_DROP_MECHANIC_OVERLAND_CHEST}</v>
      </c>
      <c r="BI354" s="21" t="str">
        <f t="shared" si="35"/>
        <v>}, --Champion of the Hist / Histchampion   [Murkmire, Murkmire, Murkmire]</v>
      </c>
    </row>
    <row r="355" spans="1:61" x14ac:dyDescent="0.25">
      <c r="A355" s="5">
        <v>408</v>
      </c>
      <c r="B355" t="s">
        <v>1280</v>
      </c>
      <c r="C355" t="s">
        <v>1281</v>
      </c>
      <c r="D355" s="3">
        <f t="shared" si="30"/>
        <v>408</v>
      </c>
      <c r="G355" s="8" t="s">
        <v>1467</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3276</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5" t="s">
        <v>2645</v>
      </c>
      <c r="BA355" s="75"/>
      <c r="BB355" s="75"/>
      <c r="BC355" s="75"/>
      <c r="BD355" s="75"/>
      <c r="BE355" s="21" t="str">
        <f t="shared" si="31"/>
        <v>[408] = {wayshrines={375,375,375,}, traitsNeeded=7, dlcId=DLC_ELSWEYR</v>
      </c>
      <c r="BF355" s="21" t="str">
        <f t="shared" si="32"/>
        <v>, zoneIds={726,726,726}, veteran=false</v>
      </c>
      <c r="BG355" s="21" t="str">
        <f t="shared" si="33"/>
        <v>, setType=LIBSETS_SETTYPE_CRAFTED</v>
      </c>
      <c r="BH355" s="21" t="str">
        <f t="shared" si="34"/>
        <v>, dropMechanic={LIBSETS_DROP_MECHANIC_CRAFTED,LIBSETS_DROP_MECHANIC_CRAFTED}</v>
      </c>
      <c r="BI355" s="21" t="str">
        <f t="shared" si="35"/>
        <v>}, --Grave-Stake Collector / Grabpflocksammler   [Murkmire, Murkmire, Murkmire]</v>
      </c>
    </row>
    <row r="356" spans="1:61" x14ac:dyDescent="0.25">
      <c r="A356" s="5">
        <v>409</v>
      </c>
      <c r="B356" t="s">
        <v>1282</v>
      </c>
      <c r="C356" t="s">
        <v>1283</v>
      </c>
      <c r="D356" s="3">
        <f t="shared" si="30"/>
        <v>409</v>
      </c>
      <c r="G356" s="8" t="s">
        <v>1467</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5" t="s">
        <v>2645</v>
      </c>
      <c r="BA356" s="75"/>
      <c r="BB356" s="75"/>
      <c r="BC356" s="75"/>
      <c r="BD356" s="75"/>
      <c r="BE356" s="21" t="str">
        <f t="shared" si="31"/>
        <v>[409] = {wayshrines={379,379,379,}, traitsNeeded=2, dlcId=DLC_ELSWEYR</v>
      </c>
      <c r="BF356" s="21" t="str">
        <f t="shared" si="32"/>
        <v>, zoneIds={726,726,726}, veteran=false</v>
      </c>
      <c r="BG356" s="21" t="str">
        <f t="shared" si="33"/>
        <v>, setType=LIBSETS_SETTYPE_CRAFTED</v>
      </c>
      <c r="BH356" s="21" t="str">
        <f t="shared" si="34"/>
        <v>, dropMechanic={LIBSETS_DROP_MECHANIC_CRAFTED,LIBSETS_DROP_MECHANIC_CRAFTED}</v>
      </c>
      <c r="BI356" s="21" t="str">
        <f t="shared" si="35"/>
        <v>}, --Naga Shaman / Nagaschamane   [Murkmire, Murkmire, Murkmire]</v>
      </c>
    </row>
    <row r="357" spans="1:61" x14ac:dyDescent="0.25">
      <c r="A357" s="5">
        <v>410</v>
      </c>
      <c r="B357" t="s">
        <v>1284</v>
      </c>
      <c r="C357" t="s">
        <v>1285</v>
      </c>
      <c r="D357" s="3">
        <f t="shared" si="30"/>
        <v>410</v>
      </c>
      <c r="G357" s="8" t="s">
        <v>1467</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5" t="s">
        <v>2645</v>
      </c>
      <c r="BA357" s="75"/>
      <c r="BB357" s="75"/>
      <c r="BC357" s="75"/>
      <c r="BD357" s="75"/>
      <c r="BE357" s="21" t="str">
        <f t="shared" si="31"/>
        <v>[410] = {wayshrines={379,379,379,}, traitsNeeded=4, dlcId=DLC_ELSWEYR</v>
      </c>
      <c r="BF357" s="21" t="str">
        <f t="shared" si="32"/>
        <v>, zoneIds={726,726,726}, veteran=false</v>
      </c>
      <c r="BG357" s="21" t="str">
        <f t="shared" si="33"/>
        <v>, setType=LIBSETS_SETTYPE_CRAFTED</v>
      </c>
      <c r="BH357" s="21" t="str">
        <f t="shared" si="34"/>
        <v>, dropMechanic={LIBSETS_DROP_MECHANIC_CRAFTED,LIBSETS_DROP_MECHANIC_CRAFTED}</v>
      </c>
      <c r="BI357" s="21" t="str">
        <f t="shared" si="35"/>
        <v>}, --Might of the Lost Legion / Macht der Verlorenen Legion   [Murkmire, Murkmire, Murkmire]</v>
      </c>
    </row>
    <row r="358" spans="1:61" x14ac:dyDescent="0.25">
      <c r="A358" s="12">
        <v>411</v>
      </c>
      <c r="B358" t="s">
        <v>1286</v>
      </c>
      <c r="C358" t="s">
        <v>1287</v>
      </c>
      <c r="D358" s="3">
        <f t="shared" si="30"/>
        <v>411</v>
      </c>
      <c r="G358" s="8" t="s">
        <v>1465</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1547</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1547</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5" t="s">
        <v>2645</v>
      </c>
      <c r="BA358" s="75"/>
      <c r="BB358" s="75"/>
      <c r="BC358" s="75"/>
      <c r="BD358" s="75">
        <v>423</v>
      </c>
      <c r="BE358" s="21" t="str">
        <f t="shared" si="31"/>
        <v>[411] = {wayshrines={378,378,378,}, dlcId=DLC_BLACKWOOD</v>
      </c>
      <c r="BF358" s="21" t="str">
        <f t="shared" si="32"/>
        <v>, zoneIds={1082,726,726}, veteran=false</v>
      </c>
      <c r="BG358" s="21" t="str">
        <f t="shared" si="33"/>
        <v>, setType=LIBSETS_SETTYPE_ARENA</v>
      </c>
      <c r="BH358" s="21" t="str">
        <f t="shared" si="34"/>
        <v>, dropMechanic={LIBSETS_DROP_MECHANIC_ARENA_STAGE_CHEST,LIBSETS_DROP_MECHANIC_ARENA_STAGE_CHEST}, perfectedSetId=423</v>
      </c>
      <c r="BI358" s="21" t="str">
        <f t="shared" si="35"/>
        <v>}, --Gallant Charge / Galanter Ansturm   [Blackrose Prison, Murkmire, Murkmire]</v>
      </c>
    </row>
    <row r="359" spans="1:61" x14ac:dyDescent="0.25">
      <c r="A359" s="12">
        <v>412</v>
      </c>
      <c r="B359" t="s">
        <v>1288</v>
      </c>
      <c r="C359" t="s">
        <v>1289</v>
      </c>
      <c r="D359" s="3">
        <f t="shared" si="30"/>
        <v>412</v>
      </c>
      <c r="G359" s="8" t="s">
        <v>1465</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1547</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1547</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5" t="s">
        <v>2645</v>
      </c>
      <c r="BA359" s="75"/>
      <c r="BB359" s="75"/>
      <c r="BC359" s="75"/>
      <c r="BD359" s="75">
        <v>424</v>
      </c>
      <c r="BE359" s="21" t="str">
        <f t="shared" si="31"/>
        <v>[412] = {wayshrines={378,378,378,}, dlcId=DLC_BLACKWOOD</v>
      </c>
      <c r="BF359" s="21" t="str">
        <f t="shared" si="32"/>
        <v>, zoneIds={1082,726,726}, veteran=false</v>
      </c>
      <c r="BG359" s="21" t="str">
        <f t="shared" si="33"/>
        <v>, setType=LIBSETS_SETTYPE_ARENA</v>
      </c>
      <c r="BH359" s="21" t="str">
        <f t="shared" si="34"/>
        <v>, dropMechanic={LIBSETS_DROP_MECHANIC_ARENA_STAGE_CHEST,LIBSETS_DROP_MECHANIC_ARENA_STAGE_CHEST}, perfectedSetId=424</v>
      </c>
      <c r="BI359" s="21" t="str">
        <f t="shared" si="35"/>
        <v>}, --Radial Uppercut / Rundum-Aufwärtsschnitt   [Blackrose Prison, Murkmire, Murkmire]</v>
      </c>
    </row>
    <row r="360" spans="1:61" x14ac:dyDescent="0.25">
      <c r="A360" s="12">
        <v>413</v>
      </c>
      <c r="B360" t="s">
        <v>1290</v>
      </c>
      <c r="C360" t="s">
        <v>1291</v>
      </c>
      <c r="D360" s="3">
        <f t="shared" si="30"/>
        <v>413</v>
      </c>
      <c r="G360" s="8" t="s">
        <v>1465</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1547</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5" t="s">
        <v>2645</v>
      </c>
      <c r="BA360" s="75"/>
      <c r="BB360" s="75"/>
      <c r="BC360" s="75"/>
      <c r="BD360" s="75">
        <v>425</v>
      </c>
      <c r="BE360" s="21" t="str">
        <f t="shared" si="31"/>
        <v>[413] = {wayshrines={378,378,378,}, dlcId=DLC_BLACKWOOD</v>
      </c>
      <c r="BF360" s="21" t="str">
        <f t="shared" si="32"/>
        <v>, zoneIds={1082,726,726}, veteran=false</v>
      </c>
      <c r="BG360" s="21" t="str">
        <f t="shared" si="33"/>
        <v>, setType=LIBSETS_SETTYPE_ARENA</v>
      </c>
      <c r="BH360" s="21" t="str">
        <f t="shared" si="34"/>
        <v>, dropMechanic={LIBSETS_DROP_MECHANIC_ARENA_STAGE_CHEST,LIBSETS_DROP_MECHANIC_ARENA_STAGE_CHEST}, perfectedSetId=425</v>
      </c>
      <c r="BI360" s="21" t="str">
        <f t="shared" si="35"/>
        <v>}, --Spectral Cloak / Spektraler Mantel   [Blackrose Prison, Murkmire, Murkmire]</v>
      </c>
    </row>
    <row r="361" spans="1:61" x14ac:dyDescent="0.25">
      <c r="A361" s="12">
        <v>414</v>
      </c>
      <c r="B361" t="s">
        <v>1292</v>
      </c>
      <c r="C361" t="s">
        <v>1293</v>
      </c>
      <c r="D361" s="3">
        <f t="shared" si="30"/>
        <v>414</v>
      </c>
      <c r="G361" s="8" t="s">
        <v>1465</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1547</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5" t="s">
        <v>2645</v>
      </c>
      <c r="BA361" s="75"/>
      <c r="BB361" s="75"/>
      <c r="BC361" s="75"/>
      <c r="BD361" s="75">
        <v>426</v>
      </c>
      <c r="BE361" s="21" t="str">
        <f t="shared" si="31"/>
        <v>[414] = {wayshrines={378,378,378,}, dlcId=DLC_BLACKWOOD</v>
      </c>
      <c r="BF361" s="21" t="str">
        <f t="shared" si="32"/>
        <v>, zoneIds={1082,726,726}, veteran=false</v>
      </c>
      <c r="BG361" s="21" t="str">
        <f t="shared" si="33"/>
        <v>, setType=LIBSETS_SETTYPE_ARENA</v>
      </c>
      <c r="BH361" s="21" t="str">
        <f t="shared" si="34"/>
        <v>, dropMechanic={LIBSETS_DROP_MECHANIC_ARENA_STAGE_CHEST,LIBSETS_DROP_MECHANIC_ARENA_STAGE_CHEST}, perfectedSetId=426</v>
      </c>
      <c r="BI361" s="21" t="str">
        <f t="shared" si="35"/>
        <v>}, --Virulent Shot / Virulenter Schuss   [Blackrose Prison, Murkmire, Murkmire]</v>
      </c>
    </row>
    <row r="362" spans="1:61" x14ac:dyDescent="0.25">
      <c r="A362" s="12">
        <v>415</v>
      </c>
      <c r="B362" t="s">
        <v>1294</v>
      </c>
      <c r="C362" t="s">
        <v>1295</v>
      </c>
      <c r="D362" s="3">
        <f t="shared" si="30"/>
        <v>415</v>
      </c>
      <c r="G362" s="8" t="s">
        <v>1465</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1547</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1547</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5" t="s">
        <v>2645</v>
      </c>
      <c r="BA362" s="75"/>
      <c r="BB362" s="75"/>
      <c r="BC362" s="75"/>
      <c r="BD362" s="75">
        <v>427</v>
      </c>
      <c r="BE362" s="21" t="str">
        <f t="shared" si="31"/>
        <v>[415] = {wayshrines={378,378,378,}, dlcId=DLC_BLACKWOOD</v>
      </c>
      <c r="BF362" s="21" t="str">
        <f t="shared" si="32"/>
        <v>, zoneIds={1082,726,726}, veteran=false</v>
      </c>
      <c r="BG362" s="21" t="str">
        <f t="shared" si="33"/>
        <v>, setType=LIBSETS_SETTYPE_ARENA</v>
      </c>
      <c r="BH362" s="21" t="str">
        <f t="shared" si="34"/>
        <v>, dropMechanic={LIBSETS_DROP_MECHANIC_ARENA_STAGE_CHEST,LIBSETS_DROP_MECHANIC_ARENA_STAGE_CHEST}, perfectedSetId=427</v>
      </c>
      <c r="BI362" s="21" t="str">
        <f t="shared" si="35"/>
        <v>}, --Wild Impulse / Wilder Impuls   [Blackrose Prison, Murkmire, Murkmire]</v>
      </c>
    </row>
    <row r="363" spans="1:61" x14ac:dyDescent="0.25">
      <c r="A363" s="12">
        <v>416</v>
      </c>
      <c r="B363" t="s">
        <v>1296</v>
      </c>
      <c r="C363" t="s">
        <v>2613</v>
      </c>
      <c r="D363" s="3">
        <f t="shared" si="30"/>
        <v>416</v>
      </c>
      <c r="G363" s="8" t="s">
        <v>1465</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1547</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5" t="s">
        <v>2645</v>
      </c>
      <c r="BA363" s="75"/>
      <c r="BB363" s="75"/>
      <c r="BC363" s="75"/>
      <c r="BD363" s="75">
        <v>428</v>
      </c>
      <c r="BE363" s="21" t="str">
        <f t="shared" si="31"/>
        <v>[416] = {wayshrines={378,378,378,}, dlcId=DLC_BLACKWOOD</v>
      </c>
      <c r="BF363" s="21" t="str">
        <f t="shared" si="32"/>
        <v>, zoneIds={1082,726,726}, veteran=false</v>
      </c>
      <c r="BG363" s="21" t="str">
        <f t="shared" si="33"/>
        <v>, setType=LIBSETS_SETTYPE_ARENA</v>
      </c>
      <c r="BH363" s="21" t="str">
        <f t="shared" si="34"/>
        <v>, dropMechanic={LIBSETS_DROP_MECHANIC_ARENA_STAGE_CHEST,LIBSETS_DROP_MECHANIC_ARENA_STAGE_CHEST}, perfectedSetId=428</v>
      </c>
      <c r="BI363" s="21" t="str">
        <f t="shared" si="35"/>
        <v>}, --Mender\'s Ward / Schutz des Pflegers   [Blackrose Prison, Murkmire, Murkmire]</v>
      </c>
    </row>
    <row r="364" spans="1:61" x14ac:dyDescent="0.25">
      <c r="A364" s="12">
        <v>417</v>
      </c>
      <c r="B364" t="s">
        <v>1297</v>
      </c>
      <c r="C364" t="s">
        <v>1298</v>
      </c>
      <c r="D364" s="3">
        <f t="shared" si="30"/>
        <v>417</v>
      </c>
      <c r="G364" s="8" t="s">
        <v>1468</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2756</v>
      </c>
      <c r="AK364" s="3">
        <f>IF(AND(G364&lt;&gt;"LIBSETS_SETTYPE_BATTLEGROUND",G364&lt;&gt;"LIBSETS_SETTYPE_SPECIAL"),IF(AL364&lt;&gt;"",VLOOKUP(AL364,'ESO zone constants'!$D$5:$H$4955,5,FALSE),""),"")</f>
        <v>181</v>
      </c>
      <c r="AL364" t="s">
        <v>125</v>
      </c>
      <c r="AM364" s="33" t="s">
        <v>3721</v>
      </c>
      <c r="AP364" s="3">
        <f>IF(AND(G364&lt;&gt;"LIBSETS_SETTYPE_BATTLEGROUND",G364&lt;&gt;"LIBSETS_SETTYPE_SPECIAL"),IF(AQ364&lt;&gt;"",VLOOKUP(AQ364,'ESO zone constants'!$D$5:$H$4955,5,FALSE),""),"")</f>
        <v>181</v>
      </c>
      <c r="AQ364" t="s">
        <v>125</v>
      </c>
      <c r="AR364" s="33" t="s">
        <v>1551</v>
      </c>
      <c r="AU364" s="3">
        <f>IF(AND(G364&lt;&gt;"LIBSETS_SETTYPE_BATTLEGROUND",G364&lt;&gt;"LIBSETS_SETTYPE_SPECIAL"),IF(AV364&lt;&gt;"",VLOOKUP(AV364,'ESO zone constants'!$D$5:$H$4955,5,FALSE),""),"")</f>
        <v>181</v>
      </c>
      <c r="AV364" t="s">
        <v>125</v>
      </c>
      <c r="AW364" s="33" t="s">
        <v>3225</v>
      </c>
      <c r="AZ364" s="75" t="s">
        <v>2645</v>
      </c>
      <c r="BA364" s="75"/>
      <c r="BB364" s="75"/>
      <c r="BC364" s="75"/>
      <c r="BD364" s="75"/>
      <c r="BE364" s="21" t="str">
        <f t="shared" si="31"/>
        <v>[417] = {wayshrines={-1,-1,-1,}, dlcId=DLC_BASE_GAME</v>
      </c>
      <c r="BF364" s="21" t="str">
        <f t="shared" si="32"/>
        <v>, zoneIds={181,181,181,181,181,181}, veteran=false</v>
      </c>
      <c r="BG364" s="21" t="str">
        <f t="shared" si="33"/>
        <v>, setType=LIBSETS_SETTYPE_CYRODIIL</v>
      </c>
      <c r="BH364"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5"/>
        <v>}, --Indomitable Fury / Unbeugsamer Zorn   [Cyrodiil, Cyrodiil, Cyrodiil, Cyrodiil, Cyrodiil, Cyrodiil]</v>
      </c>
    </row>
    <row r="365" spans="1:61" x14ac:dyDescent="0.25">
      <c r="A365" s="12">
        <v>418</v>
      </c>
      <c r="B365" t="s">
        <v>1299</v>
      </c>
      <c r="C365" t="s">
        <v>1300</v>
      </c>
      <c r="D365" s="3">
        <f t="shared" si="30"/>
        <v>418</v>
      </c>
      <c r="G365" s="8" t="s">
        <v>1468</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2756</v>
      </c>
      <c r="AK365" s="3">
        <f>IF(AND(G365&lt;&gt;"LIBSETS_SETTYPE_BATTLEGROUND",G365&lt;&gt;"LIBSETS_SETTYPE_SPECIAL"),IF(AL365&lt;&gt;"",VLOOKUP(AL365,'ESO zone constants'!$D$5:$H$4955,5,FALSE),""),"")</f>
        <v>181</v>
      </c>
      <c r="AL365" t="s">
        <v>125</v>
      </c>
      <c r="AM365" s="33" t="s">
        <v>3721</v>
      </c>
      <c r="AP365" s="3">
        <f>IF(AND(G365&lt;&gt;"LIBSETS_SETTYPE_BATTLEGROUND",G365&lt;&gt;"LIBSETS_SETTYPE_SPECIAL"),IF(AQ365&lt;&gt;"",VLOOKUP(AQ365,'ESO zone constants'!$D$5:$H$4955,5,FALSE),""),"")</f>
        <v>181</v>
      </c>
      <c r="AQ365" t="s">
        <v>125</v>
      </c>
      <c r="AR365" s="33" t="s">
        <v>1551</v>
      </c>
      <c r="AU365" s="3">
        <f>IF(AND(G365&lt;&gt;"LIBSETS_SETTYPE_BATTLEGROUND",G365&lt;&gt;"LIBSETS_SETTYPE_SPECIAL"),IF(AV365&lt;&gt;"",VLOOKUP(AV365,'ESO zone constants'!$D$5:$H$4955,5,FALSE),""),"")</f>
        <v>181</v>
      </c>
      <c r="AV365" t="s">
        <v>125</v>
      </c>
      <c r="AW365" s="33" t="s">
        <v>3225</v>
      </c>
      <c r="AZ365" s="75" t="s">
        <v>2645</v>
      </c>
      <c r="BA365" s="75"/>
      <c r="BB365" s="75"/>
      <c r="BC365" s="75"/>
      <c r="BD365" s="75"/>
      <c r="BE365" s="21" t="str">
        <f t="shared" si="31"/>
        <v>[418] = {wayshrines={-1,-1,-1,}, dlcId=DLC_BASE_GAME</v>
      </c>
      <c r="BF365" s="21" t="str">
        <f t="shared" si="32"/>
        <v>, zoneIds={181,181,181,181,181,181}, veteran=false</v>
      </c>
      <c r="BG365" s="21" t="str">
        <f t="shared" si="33"/>
        <v>, setType=LIBSETS_SETTYPE_CYRODIIL</v>
      </c>
      <c r="BH365"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5"/>
        <v>}, --Spell Strategist / Zauberstratege   [Cyrodiil, Cyrodiil, Cyrodiil, Cyrodiil, Cyrodiil, Cyrodiil]</v>
      </c>
    </row>
    <row r="366" spans="1:61" x14ac:dyDescent="0.25">
      <c r="A366" s="12">
        <v>419</v>
      </c>
      <c r="B366" t="s">
        <v>1301</v>
      </c>
      <c r="C366" t="s">
        <v>1302</v>
      </c>
      <c r="D366" s="3">
        <f t="shared" si="30"/>
        <v>419</v>
      </c>
      <c r="E366" s="40"/>
      <c r="G366" s="8" t="s">
        <v>1468</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2756</v>
      </c>
      <c r="AK366" s="3">
        <f>IF(AND(G366&lt;&gt;"LIBSETS_SETTYPE_BATTLEGROUND",G366&lt;&gt;"LIBSETS_SETTYPE_SPECIAL"),IF(AL366&lt;&gt;"",VLOOKUP(AL366,'ESO zone constants'!$D$5:$H$4955,5,FALSE),""),"")</f>
        <v>181</v>
      </c>
      <c r="AL366" t="s">
        <v>125</v>
      </c>
      <c r="AM366" s="33" t="s">
        <v>3721</v>
      </c>
      <c r="AP366" s="3">
        <f>IF(AND(G366&lt;&gt;"LIBSETS_SETTYPE_BATTLEGROUND",G366&lt;&gt;"LIBSETS_SETTYPE_SPECIAL"),IF(AQ366&lt;&gt;"",VLOOKUP(AQ366,'ESO zone constants'!$D$5:$H$4955,5,FALSE),""),"")</f>
        <v>181</v>
      </c>
      <c r="AQ366" t="s">
        <v>125</v>
      </c>
      <c r="AR366" s="33" t="s">
        <v>1551</v>
      </c>
      <c r="AU366" s="3">
        <f>IF(AND(G366&lt;&gt;"LIBSETS_SETTYPE_BATTLEGROUND",G366&lt;&gt;"LIBSETS_SETTYPE_SPECIAL"),IF(AV366&lt;&gt;"",VLOOKUP(AV366,'ESO zone constants'!$D$5:$H$4955,5,FALSE),""),"")</f>
        <v>181</v>
      </c>
      <c r="AV366" t="s">
        <v>125</v>
      </c>
      <c r="AW366" s="33" t="s">
        <v>3225</v>
      </c>
      <c r="AZ366" s="75" t="s">
        <v>2646</v>
      </c>
      <c r="BA366" s="75"/>
      <c r="BB366" s="75"/>
      <c r="BC366" s="75"/>
      <c r="BD366" s="75"/>
      <c r="BE366" s="21" t="str">
        <f t="shared" si="31"/>
        <v>[419] = {wayshrines={-1,-1,-1,}, dlcId=DLC_BASE_GAME</v>
      </c>
      <c r="BF366" s="21" t="str">
        <f t="shared" si="32"/>
        <v>, zoneIds={181,181,181,181,181,181}, veteran=false</v>
      </c>
      <c r="BG366" s="21" t="str">
        <f t="shared" si="33"/>
        <v>, setType=LIBSETS_SETTYPE_CYRODIIL</v>
      </c>
      <c r="BH366" s="21"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5"/>
        <v>}, --Battlefield Acrobat / Schlachtfeldakrobat   [Cyrodiil, Cyrodiil, Cyrodiil, Cyrodiil, Cyrodiil, Cyrodiil]</v>
      </c>
    </row>
    <row r="367" spans="1:61" x14ac:dyDescent="0.25">
      <c r="A367" s="12">
        <v>420</v>
      </c>
      <c r="B367" t="s">
        <v>1303</v>
      </c>
      <c r="C367" t="s">
        <v>1304</v>
      </c>
      <c r="D367" s="3">
        <f t="shared" si="30"/>
        <v>420</v>
      </c>
      <c r="G367" s="8" t="s">
        <v>1468</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2756</v>
      </c>
      <c r="AK367" s="3">
        <f>IF(AND(G367&lt;&gt;"LIBSETS_SETTYPE_BATTLEGROUND",G367&lt;&gt;"LIBSETS_SETTYPE_SPECIAL"),IF(AL367&lt;&gt;"",VLOOKUP(AL367,'ESO zone constants'!$D$5:$H$4955,5,FALSE),""),"")</f>
        <v>181</v>
      </c>
      <c r="AL367" t="s">
        <v>125</v>
      </c>
      <c r="AM367" s="33" t="s">
        <v>3721</v>
      </c>
      <c r="AP367" s="3">
        <f>IF(AND(G367&lt;&gt;"LIBSETS_SETTYPE_BATTLEGROUND",G367&lt;&gt;"LIBSETS_SETTYPE_SPECIAL"),IF(AQ367&lt;&gt;"",VLOOKUP(AQ367,'ESO zone constants'!$D$5:$H$4955,5,FALSE),""),"")</f>
        <v>181</v>
      </c>
      <c r="AQ367" t="s">
        <v>125</v>
      </c>
      <c r="AR367" s="33" t="s">
        <v>1551</v>
      </c>
      <c r="AU367" s="3">
        <f>IF(AND(G367&lt;&gt;"LIBSETS_SETTYPE_BATTLEGROUND",G367&lt;&gt;"LIBSETS_SETTYPE_SPECIAL"),IF(AV367&lt;&gt;"",VLOOKUP(AV367,'ESO zone constants'!$D$5:$H$4955,5,FALSE),""),"")</f>
        <v>181</v>
      </c>
      <c r="AV367" t="s">
        <v>125</v>
      </c>
      <c r="AW367" s="33" t="s">
        <v>3225</v>
      </c>
      <c r="AZ367" s="75" t="s">
        <v>2645</v>
      </c>
      <c r="BA367" s="75"/>
      <c r="BB367" s="75"/>
      <c r="BC367" s="75"/>
      <c r="BD367" s="75"/>
      <c r="BE367" s="21" t="str">
        <f t="shared" si="31"/>
        <v>[420] = {wayshrines={-1,-1,-1,}, dlcId=DLC_BASE_GAME</v>
      </c>
      <c r="BF367" s="21" t="str">
        <f t="shared" si="32"/>
        <v>, zoneIds={181,181,181,181,181,181}, veteran=false</v>
      </c>
      <c r="BG367" s="21" t="str">
        <f t="shared" si="33"/>
        <v>, setType=LIBSETS_SETTYPE_CYRODIIL</v>
      </c>
      <c r="BH367"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5"/>
        <v>}, --Soldier of Anguish / Soldat der Pein   [Cyrodiil, Cyrodiil, Cyrodiil, Cyrodiil, Cyrodiil, Cyrodiil]</v>
      </c>
    </row>
    <row r="368" spans="1:61" x14ac:dyDescent="0.25">
      <c r="A368" s="12">
        <v>421</v>
      </c>
      <c r="B368" t="s">
        <v>1305</v>
      </c>
      <c r="C368" t="s">
        <v>1306</v>
      </c>
      <c r="D368" s="3">
        <f t="shared" si="30"/>
        <v>421</v>
      </c>
      <c r="G368" s="8" t="s">
        <v>1468</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2756</v>
      </c>
      <c r="AK368" s="3">
        <f>IF(AND(G368&lt;&gt;"LIBSETS_SETTYPE_BATTLEGROUND",G368&lt;&gt;"LIBSETS_SETTYPE_SPECIAL"),IF(AL368&lt;&gt;"",VLOOKUP(AL368,'ESO zone constants'!$D$5:$H$4955,5,FALSE),""),"")</f>
        <v>181</v>
      </c>
      <c r="AL368" t="s">
        <v>125</v>
      </c>
      <c r="AM368" s="33" t="s">
        <v>3721</v>
      </c>
      <c r="AP368" s="3">
        <f>IF(AND(G368&lt;&gt;"LIBSETS_SETTYPE_BATTLEGROUND",G368&lt;&gt;"LIBSETS_SETTYPE_SPECIAL"),IF(AQ368&lt;&gt;"",VLOOKUP(AQ368,'ESO zone constants'!$D$5:$H$4955,5,FALSE),""),"")</f>
        <v>181</v>
      </c>
      <c r="AQ368" t="s">
        <v>125</v>
      </c>
      <c r="AR368" s="33" t="s">
        <v>1551</v>
      </c>
      <c r="AU368" s="3">
        <f>IF(AND(G368&lt;&gt;"LIBSETS_SETTYPE_BATTLEGROUND",G368&lt;&gt;"LIBSETS_SETTYPE_SPECIAL"),IF(AV368&lt;&gt;"",VLOOKUP(AV368,'ESO zone constants'!$D$5:$H$4955,5,FALSE),""),"")</f>
        <v>181</v>
      </c>
      <c r="AV368" t="s">
        <v>125</v>
      </c>
      <c r="AW368" s="33" t="s">
        <v>3225</v>
      </c>
      <c r="AZ368" s="75" t="s">
        <v>2645</v>
      </c>
      <c r="BA368" s="75"/>
      <c r="BB368" s="75"/>
      <c r="BC368" s="75"/>
      <c r="BD368" s="75"/>
      <c r="BE368" s="21" t="str">
        <f t="shared" si="31"/>
        <v>[421] = {wayshrines={-1,-1,-1,}, dlcId=DLC_BASE_GAME</v>
      </c>
      <c r="BF368" s="21" t="str">
        <f t="shared" si="32"/>
        <v>, zoneIds={181,181,181,181,181,181}, veteran=false</v>
      </c>
      <c r="BG368" s="21" t="str">
        <f t="shared" si="33"/>
        <v>, setType=LIBSETS_SETTYPE_CYRODIIL</v>
      </c>
      <c r="BH368"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5"/>
        <v>}, --Steadfast Hero / Standhafter Held   [Cyrodiil, Cyrodiil, Cyrodiil, Cyrodiil, Cyrodiil, Cyrodiil]</v>
      </c>
    </row>
    <row r="369" spans="1:61" x14ac:dyDescent="0.25">
      <c r="A369" s="12">
        <v>422</v>
      </c>
      <c r="B369" t="s">
        <v>1307</v>
      </c>
      <c r="C369" t="s">
        <v>1308</v>
      </c>
      <c r="D369" s="3">
        <f t="shared" si="30"/>
        <v>422</v>
      </c>
      <c r="E369" s="40"/>
      <c r="G369" s="8" t="s">
        <v>1468</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2756</v>
      </c>
      <c r="AK369" s="3">
        <f>IF(AND(G369&lt;&gt;"LIBSETS_SETTYPE_BATTLEGROUND",G369&lt;&gt;"LIBSETS_SETTYPE_SPECIAL"),IF(AL369&lt;&gt;"",VLOOKUP(AL369,'ESO zone constants'!$D$5:$H$4955,5,FALSE),""),"")</f>
        <v>181</v>
      </c>
      <c r="AL369" t="s">
        <v>125</v>
      </c>
      <c r="AM369" s="33" t="s">
        <v>3721</v>
      </c>
      <c r="AP369" s="3">
        <f>IF(AND(G369&lt;&gt;"LIBSETS_SETTYPE_BATTLEGROUND",G369&lt;&gt;"LIBSETS_SETTYPE_SPECIAL"),IF(AQ369&lt;&gt;"",VLOOKUP(AQ369,'ESO zone constants'!$D$5:$H$4955,5,FALSE),""),"")</f>
        <v>181</v>
      </c>
      <c r="AQ369" t="s">
        <v>125</v>
      </c>
      <c r="AR369" s="33" t="s">
        <v>1551</v>
      </c>
      <c r="AU369" s="3">
        <f>IF(AND(G369&lt;&gt;"LIBSETS_SETTYPE_BATTLEGROUND",G369&lt;&gt;"LIBSETS_SETTYPE_SPECIAL"),IF(AV369&lt;&gt;"",VLOOKUP(AV369,'ESO zone constants'!$D$5:$H$4955,5,FALSE),""),"")</f>
        <v>181</v>
      </c>
      <c r="AV369" t="s">
        <v>125</v>
      </c>
      <c r="AW369" s="33" t="s">
        <v>3225</v>
      </c>
      <c r="AZ369" s="75" t="s">
        <v>2645</v>
      </c>
      <c r="BA369" s="75"/>
      <c r="BB369" s="75"/>
      <c r="BC369" s="75"/>
      <c r="BD369" s="75"/>
      <c r="BE369" s="21" t="str">
        <f t="shared" si="31"/>
        <v>[422] = {wayshrines={-1,-1,-1,}, dlcId=DLC_BASE_GAME</v>
      </c>
      <c r="BF369" s="21" t="str">
        <f t="shared" si="32"/>
        <v>, zoneIds={181,181,181,181,181,181}, veteran=false</v>
      </c>
      <c r="BG369" s="21" t="str">
        <f t="shared" si="33"/>
        <v>, setType=LIBSETS_SETTYPE_CYRODIIL</v>
      </c>
      <c r="BH369"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5"/>
        <v>}, --Battalion Defender / Bataillonsverteidiger   [Cyrodiil, Cyrodiil, Cyrodiil, Cyrodiil, Cyrodiil, Cyrodiil]</v>
      </c>
    </row>
    <row r="370" spans="1:61" x14ac:dyDescent="0.25">
      <c r="A370" s="12">
        <v>423</v>
      </c>
      <c r="B370" t="s">
        <v>1309</v>
      </c>
      <c r="C370" t="s">
        <v>1310</v>
      </c>
      <c r="D370" s="3">
        <f t="shared" si="30"/>
        <v>423</v>
      </c>
      <c r="G370" s="8" t="s">
        <v>1465</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1547</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5" t="s">
        <v>2645</v>
      </c>
      <c r="BA370" s="75"/>
      <c r="BB370" s="75"/>
      <c r="BC370" s="75"/>
      <c r="BD370" s="75" t="s">
        <v>3812</v>
      </c>
      <c r="BE370" s="21" t="str">
        <f t="shared" si="31"/>
        <v>[423] = {wayshrines={378,378,378,}, dlcId=DLC_BLACKWOOD</v>
      </c>
      <c r="BF370" s="21" t="str">
        <f t="shared" si="32"/>
        <v>, zoneIds={1082,726,726}, veteran=true</v>
      </c>
      <c r="BG370" s="21" t="str">
        <f t="shared" si="33"/>
        <v>, setType=LIBSETS_SETTYPE_ARENA</v>
      </c>
      <c r="BH370" s="21" t="str">
        <f t="shared" si="34"/>
        <v>, dropMechanic={LIBSETS_DROP_MECHANIC_ARENA_STAGE_CHEST,LIBSETS_DROP_MECHANIC_ARENA_STAGE_CHEST}, isPerfectedSet=1</v>
      </c>
      <c r="BI370" s="21" t="str">
        <f t="shared" si="35"/>
        <v>}, --Perfect Gallant Charge / Perfekter galanter Ansturm   [Blackrose Prison, Murkmire, Murkmire]</v>
      </c>
    </row>
    <row r="371" spans="1:61" x14ac:dyDescent="0.25">
      <c r="A371" s="12">
        <v>424</v>
      </c>
      <c r="B371" t="s">
        <v>1311</v>
      </c>
      <c r="C371" t="s">
        <v>1312</v>
      </c>
      <c r="D371" s="3">
        <f t="shared" si="30"/>
        <v>424</v>
      </c>
      <c r="G371" s="8" t="s">
        <v>1465</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1547</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5" t="s">
        <v>2645</v>
      </c>
      <c r="BA371" s="75"/>
      <c r="BB371" s="75"/>
      <c r="BC371" s="75"/>
      <c r="BD371" s="75" t="s">
        <v>3812</v>
      </c>
      <c r="BE371" s="21" t="str">
        <f t="shared" si="31"/>
        <v>[424] = {wayshrines={378,378,378,}, dlcId=DLC_BLACKWOOD</v>
      </c>
      <c r="BF371" s="21" t="str">
        <f t="shared" si="32"/>
        <v>, zoneIds={1082,726,726}, veteran=true</v>
      </c>
      <c r="BG371" s="21" t="str">
        <f t="shared" si="33"/>
        <v>, setType=LIBSETS_SETTYPE_ARENA</v>
      </c>
      <c r="BH371" s="21" t="str">
        <f t="shared" si="34"/>
        <v>, dropMechanic={LIBSETS_DROP_MECHANIC_ARENA_STAGE_CHEST,LIBSETS_DROP_MECHANIC_ARENA_STAGE_CHEST}, isPerfectedSet=1</v>
      </c>
      <c r="BI371" s="21" t="str">
        <f t="shared" si="35"/>
        <v>}, --Perfect Radial Uppercut / Perfekter Rundum-Aufwärtsschnitt   [Blackrose Prison, Murkmire, Murkmire]</v>
      </c>
    </row>
    <row r="372" spans="1:61" x14ac:dyDescent="0.25">
      <c r="A372" s="12">
        <v>425</v>
      </c>
      <c r="B372" t="s">
        <v>1313</v>
      </c>
      <c r="C372" t="s">
        <v>1314</v>
      </c>
      <c r="D372" s="3">
        <f t="shared" si="30"/>
        <v>425</v>
      </c>
      <c r="G372" s="8" t="s">
        <v>1465</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1547</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5" t="s">
        <v>2645</v>
      </c>
      <c r="BA372" s="75"/>
      <c r="BB372" s="75"/>
      <c r="BC372" s="75"/>
      <c r="BD372" s="75" t="s">
        <v>3812</v>
      </c>
      <c r="BE372" s="21" t="str">
        <f t="shared" si="31"/>
        <v>[425] = {wayshrines={378,378,378,}, dlcId=DLC_BLACKWOOD</v>
      </c>
      <c r="BF372" s="21" t="str">
        <f t="shared" si="32"/>
        <v>, zoneIds={1082,726,726}, veteran=true</v>
      </c>
      <c r="BG372" s="21" t="str">
        <f t="shared" si="33"/>
        <v>, setType=LIBSETS_SETTYPE_ARENA</v>
      </c>
      <c r="BH372" s="21" t="str">
        <f t="shared" si="34"/>
        <v>, dropMechanic={LIBSETS_DROP_MECHANIC_ARENA_STAGE_CHEST,LIBSETS_DROP_MECHANIC_ARENA_STAGE_CHEST}, isPerfectedSet=1</v>
      </c>
      <c r="BI372" s="21" t="str">
        <f t="shared" si="35"/>
        <v>}, --Perfect Spectral Cloak / Perfekter spektraler Mantel   [Blackrose Prison, Murkmire, Murkmire]</v>
      </c>
    </row>
    <row r="373" spans="1:61" x14ac:dyDescent="0.25">
      <c r="A373" s="12">
        <v>426</v>
      </c>
      <c r="B373" t="s">
        <v>1315</v>
      </c>
      <c r="C373" t="s">
        <v>1316</v>
      </c>
      <c r="D373" s="3">
        <f t="shared" si="30"/>
        <v>426</v>
      </c>
      <c r="G373" s="8" t="s">
        <v>1465</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1547</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5" t="s">
        <v>2645</v>
      </c>
      <c r="BA373" s="75"/>
      <c r="BB373" s="75"/>
      <c r="BC373" s="75"/>
      <c r="BD373" s="75" t="s">
        <v>3812</v>
      </c>
      <c r="BE373" s="21" t="str">
        <f t="shared" si="31"/>
        <v>[426] = {wayshrines={378,378,378,}, dlcId=DLC_BLACKWOOD</v>
      </c>
      <c r="BF373" s="21" t="str">
        <f t="shared" si="32"/>
        <v>, zoneIds={1082,726,726}, veteran=true</v>
      </c>
      <c r="BG373" s="21" t="str">
        <f t="shared" si="33"/>
        <v>, setType=LIBSETS_SETTYPE_ARENA</v>
      </c>
      <c r="BH373" s="21" t="str">
        <f t="shared" si="34"/>
        <v>, dropMechanic={LIBSETS_DROP_MECHANIC_ARENA_STAGE_CHEST,LIBSETS_DROP_MECHANIC_ARENA_STAGE_CHEST}, isPerfectedSet=1</v>
      </c>
      <c r="BI373" s="21" t="str">
        <f t="shared" si="35"/>
        <v>}, --Perfect Virulent Shot / Perfekter virulenter Schuss   [Blackrose Prison, Murkmire, Murkmire]</v>
      </c>
    </row>
    <row r="374" spans="1:61" x14ac:dyDescent="0.25">
      <c r="A374" s="12">
        <v>427</v>
      </c>
      <c r="B374" t="s">
        <v>1317</v>
      </c>
      <c r="C374" t="s">
        <v>1318</v>
      </c>
      <c r="D374" s="3">
        <f t="shared" si="30"/>
        <v>427</v>
      </c>
      <c r="G374" s="8" t="s">
        <v>1465</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1547</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5" t="s">
        <v>2645</v>
      </c>
      <c r="BA374" s="75"/>
      <c r="BB374" s="75"/>
      <c r="BC374" s="75"/>
      <c r="BD374" s="75" t="s">
        <v>3812</v>
      </c>
      <c r="BE374" s="21" t="str">
        <f t="shared" si="31"/>
        <v>[427] = {wayshrines={378,378,378,}, dlcId=DLC_BLACKWOOD</v>
      </c>
      <c r="BF374" s="21" t="str">
        <f t="shared" si="32"/>
        <v>, zoneIds={1082,726,726}, veteran=true</v>
      </c>
      <c r="BG374" s="21" t="str">
        <f t="shared" si="33"/>
        <v>, setType=LIBSETS_SETTYPE_ARENA</v>
      </c>
      <c r="BH374" s="21" t="str">
        <f t="shared" si="34"/>
        <v>, dropMechanic={LIBSETS_DROP_MECHANIC_ARENA_STAGE_CHEST,LIBSETS_DROP_MECHANIC_ARENA_STAGE_CHEST}, isPerfectedSet=1</v>
      </c>
      <c r="BI374" s="21" t="str">
        <f t="shared" si="35"/>
        <v>}, --Perfect Wild Impulse / Perfekter wilder Impuls   [Blackrose Prison, Murkmire, Murkmire]</v>
      </c>
    </row>
    <row r="375" spans="1:61" x14ac:dyDescent="0.25">
      <c r="A375" s="12">
        <v>428</v>
      </c>
      <c r="B375" t="s">
        <v>1319</v>
      </c>
      <c r="C375" t="s">
        <v>2614</v>
      </c>
      <c r="D375" s="3">
        <f t="shared" si="30"/>
        <v>428</v>
      </c>
      <c r="G375" s="8" t="s">
        <v>1465</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1547</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5" t="s">
        <v>2645</v>
      </c>
      <c r="BA375" s="75"/>
      <c r="BB375" s="75"/>
      <c r="BC375" s="75"/>
      <c r="BD375" s="75" t="s">
        <v>3812</v>
      </c>
      <c r="BE375" s="21" t="str">
        <f t="shared" si="31"/>
        <v>[428] = {wayshrines={378,378,378,}, dlcId=DLC_BLACKWOOD</v>
      </c>
      <c r="BF375" s="21" t="str">
        <f t="shared" si="32"/>
        <v>, zoneIds={1082,726,726}, veteran=true</v>
      </c>
      <c r="BG375" s="21" t="str">
        <f t="shared" si="33"/>
        <v>, setType=LIBSETS_SETTYPE_ARENA</v>
      </c>
      <c r="BH375" s="21" t="str">
        <f t="shared" si="34"/>
        <v>, dropMechanic={LIBSETS_DROP_MECHANIC_ARENA_STAGE_CHEST,LIBSETS_DROP_MECHANIC_ARENA_STAGE_CHEST}, isPerfectedSet=1</v>
      </c>
      <c r="BI375" s="21" t="str">
        <f t="shared" si="35"/>
        <v>}, --Perfect Mender\'s Ward / Perfekter Schutz des Pflegers   [Blackrose Prison, Murkmire, Murkmire]</v>
      </c>
    </row>
    <row r="376" spans="1:61" x14ac:dyDescent="0.25">
      <c r="A376" s="12">
        <v>429</v>
      </c>
      <c r="B376" t="s">
        <v>1320</v>
      </c>
      <c r="C376" t="s">
        <v>1321</v>
      </c>
      <c r="D376" s="3">
        <f t="shared" si="30"/>
        <v>429</v>
      </c>
      <c r="G376" s="8" t="s">
        <v>1470</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5" t="s">
        <v>2645</v>
      </c>
      <c r="BA376" s="75"/>
      <c r="BB376" s="75"/>
      <c r="BC376" s="75"/>
      <c r="BD376" s="75"/>
      <c r="BE376" s="21" t="str">
        <f t="shared" si="31"/>
        <v>[429] = {wayshrines={389,389,389,}, dlcId=DLC_WRATHSTONE</v>
      </c>
      <c r="BF376" s="21" t="str">
        <f t="shared" si="32"/>
        <v>, zoneIds={1080,101,101}, veteran=false</v>
      </c>
      <c r="BG376" s="21" t="str">
        <f t="shared" si="33"/>
        <v>, setType=LIBSETS_SETTYPE_DUNGEON</v>
      </c>
      <c r="BH376" s="21" t="str">
        <f t="shared" si="34"/>
        <v>, dropMechanic={LIBSETS_DROP_MECHANIC_GROUP_DUNGEON_BOSS}</v>
      </c>
      <c r="BI376" s="21" t="str">
        <f t="shared" si="35"/>
        <v>}, --Mighty Glacier / Mächtiger Gletscher   [Frostvault, Eastmarch, Eastmarch]</v>
      </c>
    </row>
    <row r="377" spans="1:61" x14ac:dyDescent="0.25">
      <c r="A377" s="12">
        <v>430</v>
      </c>
      <c r="B377" t="s">
        <v>1322</v>
      </c>
      <c r="C377" t="s">
        <v>2615</v>
      </c>
      <c r="D377" s="3">
        <f t="shared" si="30"/>
        <v>430</v>
      </c>
      <c r="G377" s="8" t="s">
        <v>1470</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5" t="s">
        <v>2645</v>
      </c>
      <c r="BA377" s="75"/>
      <c r="BB377" s="75"/>
      <c r="BC377" s="75"/>
      <c r="BD377" s="75"/>
      <c r="BE377" s="21" t="str">
        <f t="shared" si="31"/>
        <v>[430] = {wayshrines={389,389,389,}, dlcId=DLC_WRATHSTONE</v>
      </c>
      <c r="BF377" s="21" t="str">
        <f t="shared" si="32"/>
        <v>, zoneIds={1080,101,101}, veteran=false</v>
      </c>
      <c r="BG377" s="21" t="str">
        <f t="shared" si="33"/>
        <v>, setType=LIBSETS_SETTYPE_DUNGEON</v>
      </c>
      <c r="BH377" s="21" t="str">
        <f t="shared" si="34"/>
        <v>, dropMechanic={LIBSETS_DROP_MECHANIC_GROUP_DUNGEON_BOSS}</v>
      </c>
      <c r="BI377" s="21" t="str">
        <f t="shared" si="35"/>
        <v>}, --Tzogvin\'s Warband / Tzogvins Kriegstrupp   [Frostvault, Eastmarch, Eastmarch]</v>
      </c>
    </row>
    <row r="378" spans="1:61" x14ac:dyDescent="0.25">
      <c r="A378" s="12">
        <v>431</v>
      </c>
      <c r="B378" t="s">
        <v>1323</v>
      </c>
      <c r="C378" t="s">
        <v>1324</v>
      </c>
      <c r="D378" s="3">
        <f t="shared" si="30"/>
        <v>431</v>
      </c>
      <c r="G378" s="8" t="s">
        <v>1470</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5" t="s">
        <v>2645</v>
      </c>
      <c r="BA378" s="75"/>
      <c r="BB378" s="75"/>
      <c r="BC378" s="75"/>
      <c r="BD378" s="75"/>
      <c r="BE378" s="21" t="str">
        <f t="shared" si="31"/>
        <v>[431] = {wayshrines={389,389,389,}, dlcId=DLC_WRATHSTONE</v>
      </c>
      <c r="BF378" s="21" t="str">
        <f t="shared" si="32"/>
        <v>, zoneIds={1080,101,101}, veteran=false</v>
      </c>
      <c r="BG378" s="21" t="str">
        <f t="shared" si="33"/>
        <v>, setType=LIBSETS_SETTYPE_DUNGEON</v>
      </c>
      <c r="BH378" s="21" t="str">
        <f t="shared" si="34"/>
        <v>, dropMechanic={LIBSETS_DROP_MECHANIC_GROUP_DUNGEON_BOSS}</v>
      </c>
      <c r="BI378" s="21" t="str">
        <f t="shared" si="35"/>
        <v>}, --Icy Conjuror / Eisiger Anrufer   [Frostvault, Eastmarch, Eastmarch]</v>
      </c>
    </row>
    <row r="379" spans="1:61" x14ac:dyDescent="0.25">
      <c r="A379" s="5">
        <v>432</v>
      </c>
      <c r="B379" t="s">
        <v>1325</v>
      </c>
      <c r="C379" t="s">
        <v>25</v>
      </c>
      <c r="D379" s="3">
        <f t="shared" si="30"/>
        <v>432</v>
      </c>
      <c r="G379" s="8" t="s">
        <v>1472</v>
      </c>
      <c r="H379" s="83">
        <v>3</v>
      </c>
      <c r="I379" t="s">
        <v>1459</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5" t="s">
        <v>2645</v>
      </c>
      <c r="BA379" s="75"/>
      <c r="BB379" s="75"/>
      <c r="BC379" s="75"/>
      <c r="BD379" s="75"/>
      <c r="BE379" s="21" t="str">
        <f t="shared" si="31"/>
        <v>[432] = {wayshrines={389,389,389,}, dlcId=DLC_WRATHSTONE</v>
      </c>
      <c r="BF379" s="21" t="str">
        <f t="shared" si="32"/>
        <v>, zoneIds={1080,101,101}, veteran={[EQUIP_TYPE_HEAD]=true, [EQUIP_TYPE_SHOULDERS]=false}</v>
      </c>
      <c r="BG379" s="21" t="str">
        <f t="shared" si="33"/>
        <v>, setType=LIBSETS_SETTYPE_MONSTER, undauntedChestId=3</v>
      </c>
      <c r="BH379" s="21" t="str">
        <f t="shared" si="34"/>
        <v>, dropMechanic={LIBSETS_DROP_MECHANIC_MONSTER_NAME}, dropMechanicDropLocationNames={['en']={'The Stonekeeper','','','','','',},['de']={'Der Steinwahrer','','','','','',},}</v>
      </c>
      <c r="BI379" s="21" t="str">
        <f t="shared" si="35"/>
        <v>}, --Stonekeeper / Steinwahrer   [Frostvault, Eastmarch, Eastmarch]</v>
      </c>
    </row>
    <row r="380" spans="1:61" x14ac:dyDescent="0.25">
      <c r="A380" s="12">
        <v>433</v>
      </c>
      <c r="B380" t="s">
        <v>1326</v>
      </c>
      <c r="C380" t="s">
        <v>1327</v>
      </c>
      <c r="D380" s="3">
        <f t="shared" si="30"/>
        <v>433</v>
      </c>
      <c r="G380" s="8" t="s">
        <v>1470</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5" t="s">
        <v>2645</v>
      </c>
      <c r="BA380" s="75"/>
      <c r="BB380" s="75"/>
      <c r="BC380" s="75"/>
      <c r="BD380" s="75"/>
      <c r="BE380" s="21" t="str">
        <f t="shared" si="31"/>
        <v>[433] = {wayshrines={390,390,390,}, dlcId=DLC_WRATHSTONE</v>
      </c>
      <c r="BF380" s="21" t="str">
        <f t="shared" si="32"/>
        <v>, zoneIds={1081,823,823}, veteran=false</v>
      </c>
      <c r="BG380" s="21" t="str">
        <f t="shared" si="33"/>
        <v>, setType=LIBSETS_SETTYPE_DUNGEON</v>
      </c>
      <c r="BH380" s="21" t="str">
        <f t="shared" si="34"/>
        <v>, dropMechanic={LIBSETS_DROP_MECHANIC_GROUP_DUNGEON_BOSS}</v>
      </c>
      <c r="BI380" s="21" t="str">
        <f t="shared" si="35"/>
        <v>}, --Frozen Watcher / Gefrorener Beobachter   [Depths of Malatar, Gold Coast, Gold Coast]</v>
      </c>
    </row>
    <row r="381" spans="1:61" x14ac:dyDescent="0.25">
      <c r="A381" s="12">
        <v>434</v>
      </c>
      <c r="B381" t="s">
        <v>1328</v>
      </c>
      <c r="C381" t="s">
        <v>1329</v>
      </c>
      <c r="D381" s="3">
        <f t="shared" si="30"/>
        <v>434</v>
      </c>
      <c r="G381" s="8" t="s">
        <v>1470</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5" t="s">
        <v>2645</v>
      </c>
      <c r="BA381" s="75"/>
      <c r="BB381" s="75"/>
      <c r="BC381" s="75"/>
      <c r="BD381" s="75"/>
      <c r="BE381" s="21" t="str">
        <f t="shared" si="31"/>
        <v>[434] = {wayshrines={390,390,390,}, dlcId=DLC_WRATHSTONE</v>
      </c>
      <c r="BF381" s="21" t="str">
        <f t="shared" si="32"/>
        <v>, zoneIds={1081,823,823}, veteran=false</v>
      </c>
      <c r="BG381" s="21" t="str">
        <f t="shared" si="33"/>
        <v>, setType=LIBSETS_SETTYPE_DUNGEON</v>
      </c>
      <c r="BH381" s="21" t="str">
        <f t="shared" si="34"/>
        <v>, dropMechanic={LIBSETS_DROP_MECHANIC_GROUP_DUNGEON_BOSS}</v>
      </c>
      <c r="BI381" s="21" t="str">
        <f t="shared" si="35"/>
        <v>}, --Scavenging Demise / Ausbeutender Niedergang   [Depths of Malatar, Gold Coast, Gold Coast]</v>
      </c>
    </row>
    <row r="382" spans="1:61" x14ac:dyDescent="0.25">
      <c r="A382" s="12">
        <v>435</v>
      </c>
      <c r="B382" t="s">
        <v>1330</v>
      </c>
      <c r="C382" t="s">
        <v>2616</v>
      </c>
      <c r="D382" s="3">
        <f t="shared" si="30"/>
        <v>435</v>
      </c>
      <c r="G382" s="8" t="s">
        <v>1470</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5" t="s">
        <v>2645</v>
      </c>
      <c r="BA382" s="75"/>
      <c r="BB382" s="75"/>
      <c r="BC382" s="75"/>
      <c r="BD382" s="75"/>
      <c r="BE382" s="21" t="str">
        <f t="shared" si="31"/>
        <v>[435] = {wayshrines={390,390,390,}, dlcId=DLC_WRATHSTONE</v>
      </c>
      <c r="BF382" s="21" t="str">
        <f t="shared" si="32"/>
        <v>, zoneIds={1081,823,823}, veteran=false</v>
      </c>
      <c r="BG382" s="21" t="str">
        <f t="shared" si="33"/>
        <v>, setType=LIBSETS_SETTYPE_DUNGEON</v>
      </c>
      <c r="BH382" s="21" t="str">
        <f t="shared" si="34"/>
        <v>, dropMechanic={LIBSETS_DROP_MECHANIC_GROUP_DUNGEON_BOSS}</v>
      </c>
      <c r="BI382" s="21" t="str">
        <f t="shared" si="35"/>
        <v>}, --Auroran\'s Thunder / Donner des Auroraners   [Depths of Malatar, Gold Coast, Gold Coast]</v>
      </c>
    </row>
    <row r="383" spans="1:61" x14ac:dyDescent="0.25">
      <c r="A383" s="5">
        <v>436</v>
      </c>
      <c r="B383" t="s">
        <v>1331</v>
      </c>
      <c r="C383" t="s">
        <v>28</v>
      </c>
      <c r="D383" s="3">
        <f t="shared" si="30"/>
        <v>436</v>
      </c>
      <c r="G383" s="8" t="s">
        <v>1472</v>
      </c>
      <c r="H383" s="83">
        <v>3</v>
      </c>
      <c r="I383" t="s">
        <v>1459</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5" t="s">
        <v>2645</v>
      </c>
      <c r="BA383" s="75"/>
      <c r="BB383" s="75"/>
      <c r="BC383" s="75"/>
      <c r="BD383" s="75"/>
      <c r="BE383" s="21" t="str">
        <f t="shared" si="31"/>
        <v>[436] = {wayshrines={390,390,390,}, dlcId=DLC_WRATHSTONE</v>
      </c>
      <c r="BF383" s="21" t="str">
        <f t="shared" si="32"/>
        <v>, zoneIds={1081,823,823}, veteran={[EQUIP_TYPE_HEAD]=true, [EQUIP_TYPE_SHOULDERS]=false}</v>
      </c>
      <c r="BG383" s="21" t="str">
        <f t="shared" si="33"/>
        <v>, setType=LIBSETS_SETTYPE_MONSTER, undauntedChestId=3</v>
      </c>
      <c r="BH383" s="21" t="str">
        <f t="shared" si="34"/>
        <v>, dropMechanic={LIBSETS_DROP_MECHANIC_MONSTER_NAME}, dropMechanicDropLocationNames={['en']={'Symphony of Blades','','','','','',},['de']={'Die Sinfonie der Klingen','','','','','',},}</v>
      </c>
      <c r="BI383" s="21" t="str">
        <f t="shared" si="35"/>
        <v>}, --Symphony of Blades / Sinfonie der Klingen   [Depths of Malatar, Gold Coast, Gold Coast]</v>
      </c>
    </row>
    <row r="384" spans="1:61" x14ac:dyDescent="0.25">
      <c r="A384" s="12">
        <v>437</v>
      </c>
      <c r="B384" t="s">
        <v>1422</v>
      </c>
      <c r="C384" t="s">
        <v>2617</v>
      </c>
      <c r="D384" s="3">
        <f t="shared" si="30"/>
        <v>437</v>
      </c>
      <c r="E384" s="40"/>
      <c r="G384" s="8" t="s">
        <v>1467</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3276</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5" t="s">
        <v>2645</v>
      </c>
      <c r="BA384" s="75"/>
      <c r="BB384" s="75"/>
      <c r="BC384" s="75"/>
      <c r="BD384" s="75"/>
      <c r="BE384" s="21" t="str">
        <f t="shared" si="31"/>
        <v>[437] = {wayshrines={386,386,386,}, traitsNeeded=8, dlcId=DLC_BASE_GAME</v>
      </c>
      <c r="BF384" s="21" t="str">
        <f t="shared" si="32"/>
        <v>, zoneIds={1086,1086,1086}, veteran=false</v>
      </c>
      <c r="BG384" s="21" t="str">
        <f t="shared" si="33"/>
        <v>, setType=LIBSETS_SETTYPE_CRAFTED</v>
      </c>
      <c r="BH384" s="21" t="str">
        <f t="shared" si="34"/>
        <v>, dropMechanic={LIBSETS_DROP_MECHANIC_CRAFTED,LIBSETS_DROP_MECHANIC_CRAFTED}</v>
      </c>
      <c r="BI384" s="21" t="str">
        <f t="shared" si="35"/>
        <v>}, --Coldharbour\'s Favorite / Kalthafens Günstling   [Northern Elsweyr, Northern Elsweyr, Northern Elsweyr]</v>
      </c>
    </row>
    <row r="385" spans="1:61" x14ac:dyDescent="0.25">
      <c r="A385" s="12">
        <v>438</v>
      </c>
      <c r="B385" t="s">
        <v>1423</v>
      </c>
      <c r="C385" t="s">
        <v>2618</v>
      </c>
      <c r="D385" s="3">
        <f t="shared" si="30"/>
        <v>438</v>
      </c>
      <c r="G385" s="8" t="s">
        <v>1467</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3276</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5" t="s">
        <v>2645</v>
      </c>
      <c r="BA385" s="75"/>
      <c r="BB385" s="75"/>
      <c r="BC385" s="75"/>
      <c r="BD385" s="75"/>
      <c r="BE385" s="21" t="str">
        <f t="shared" si="31"/>
        <v>[438] = {wayshrines={397,397,397,}, traitsNeeded=5, dlcId=DLC_BASE_GAME</v>
      </c>
      <c r="BF385" s="21" t="str">
        <f t="shared" si="32"/>
        <v>, zoneIds={1086,1086,1086}, veteran=false</v>
      </c>
      <c r="BG385" s="21" t="str">
        <f t="shared" si="33"/>
        <v>, setType=LIBSETS_SETTYPE_CRAFTED</v>
      </c>
      <c r="BH385" s="21" t="str">
        <f t="shared" si="34"/>
        <v>, dropMechanic={LIBSETS_DROP_MECHANIC_CRAFTED,LIBSETS_DROP_MECHANIC_CRAFTED}</v>
      </c>
      <c r="BI385" s="21" t="str">
        <f t="shared" si="35"/>
        <v>}, --Senche-raht\'s Grit / Mut des Senche-raht   [Northern Elsweyr, Northern Elsweyr, Northern Elsweyr]</v>
      </c>
    </row>
    <row r="386" spans="1:61" x14ac:dyDescent="0.25">
      <c r="A386" s="5">
        <v>439</v>
      </c>
      <c r="B386" t="s">
        <v>1424</v>
      </c>
      <c r="C386" t="s">
        <v>2619</v>
      </c>
      <c r="D386" s="3">
        <f t="shared" si="30"/>
        <v>439</v>
      </c>
      <c r="G386" s="8" t="s">
        <v>1467</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3276</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5" t="s">
        <v>2645</v>
      </c>
      <c r="BA386" s="75"/>
      <c r="BB386" s="75"/>
      <c r="BC386" s="75"/>
      <c r="BD386" s="75"/>
      <c r="BE386" s="21" t="str">
        <f t="shared" si="31"/>
        <v>[439] = {wayshrines={382,382,382,}, traitsNeeded=3, dlcId=DLC_BASE_GAME</v>
      </c>
      <c r="BF386" s="21" t="str">
        <f t="shared" si="32"/>
        <v>, zoneIds={1086,1086,1086}, veteran=false</v>
      </c>
      <c r="BG386" s="21" t="str">
        <f t="shared" si="33"/>
        <v>, setType=LIBSETS_SETTYPE_CRAFTED</v>
      </c>
      <c r="BH386" s="21" t="str">
        <f t="shared" si="34"/>
        <v>, dropMechanic={LIBSETS_DROP_MECHANIC_CRAFTED,LIBSETS_DROP_MECHANIC_CRAFTED}</v>
      </c>
      <c r="BI386" s="21" t="str">
        <f t="shared" si="35"/>
        <v>}, --Vastarie\'s Tutelage / Vastaries Vormundschaft   [Northern Elsweyr, Northern Elsweyr, Northern Elsweyr]</v>
      </c>
    </row>
    <row r="387" spans="1:61" x14ac:dyDescent="0.25">
      <c r="A387" s="5">
        <v>440</v>
      </c>
      <c r="B387" t="s">
        <v>1430</v>
      </c>
      <c r="C387" t="s">
        <v>1343</v>
      </c>
      <c r="D387" s="3">
        <f t="shared" ref="D387:D450" si="36">A387</f>
        <v>440</v>
      </c>
      <c r="G387" s="8" t="s">
        <v>1473</v>
      </c>
      <c r="I387" t="s">
        <v>91</v>
      </c>
      <c r="J387" t="s">
        <v>91</v>
      </c>
      <c r="K387">
        <v>382</v>
      </c>
      <c r="L387">
        <v>382</v>
      </c>
      <c r="M387">
        <v>382</v>
      </c>
      <c r="O387" s="61" t="s">
        <v>1384</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1551</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1553</v>
      </c>
      <c r="AI387" s="39"/>
      <c r="AJ387" s="39"/>
      <c r="AK387" s="3">
        <f>IF(AND(G387&lt;&gt;"LIBSETS_SETTYPE_BATTLEGROUND",G387&lt;&gt;"LIBSETS_SETTYPE_SPECIAL"),IF(AL387&lt;&gt;"",VLOOKUP(AL387,'ESO zone constants'!$D$5:$H$4955,5,FALSE),""),"")</f>
        <v>1086</v>
      </c>
      <c r="AL387" t="s">
        <v>1384</v>
      </c>
      <c r="AM387" s="33" t="s">
        <v>1554</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5" t="s">
        <v>2646</v>
      </c>
      <c r="BA387" s="75"/>
      <c r="BB387" s="75"/>
      <c r="BC387" s="75"/>
      <c r="BD387" s="75"/>
      <c r="BE387" s="21"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dlcId=DLC_BASE_GAME</v>
      </c>
      <c r="BF387" s="21"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 CONCATENATE(", veteran=", I387), ""),""),"")</f>
        <v>, zoneIds={1086,1086,1086,1086}, veteran=false</v>
      </c>
      <c r="BG387" s="21" t="str">
        <f t="shared" ref="BG387:BG450" si="39">IF(A387&lt;&gt;"",IF(F387&lt;&gt;"Not in the game (anymore)",IF(A387&lt;&gt;"",", setType="&amp;G387,"")&amp;IF(G387="LIBSETS_SETTYPE_CLASS",", classId="&amp;BC387,"")&amp;IF(J387="true",", multiTrialSet=true",""),"")
&amp; IF(AND(H387&lt;&gt;"",ISNUMBER(H387)),", undauntedChestId=" &amp; H387,""),"")</f>
        <v>, setType=LIBSETS_SETTYPE_OVERLAND</v>
      </c>
      <c r="BH387" s="21" t="str">
        <f t="shared" ref="BH387:BH450" si="40">IF(A387&lt;&gt;"",IF(F387&lt;&gt;"Not in the game (anymore)",IF(AZ387&lt;&gt;"",", isProcSetAllowedInPvP="&amp; AZ387,"")
&amp; IF(F387&lt;&gt;"Not in the game (anymore)",
  IF(V387&lt;&gt;"",", dropMechanic={"&amp;V387&amp;IF(AB387&lt;&gt;"",","&amp;AB387,"")&amp;IF(AH387&lt;&gt;"",","&amp;AH387,"")&amp;IF(AM387&lt;&gt;"",","&amp;AM387,"")&amp;IF(AR387&lt;&gt;"",","&amp;AR387,"")&amp;IF(AW387&lt;&gt;"",","&amp;AW387,"")&amp;"}"
     &amp;IF(OR(W387&lt;&gt;"",AC387&lt;&gt;"",AI387&lt;&gt;"",AN387&lt;&gt;"",AS387&lt;&gt;"",AX387&lt;&gt;"",X387&lt;&gt;"",AD387&lt;&gt;"",AJ387&lt;&gt;"",AO387&lt;&gt;"",AT387&lt;&gt;"",AY387&lt;&gt;""),", dropMechanicDropLocationNames={"
        &amp; IF(OR(W387&lt;&gt;"",AC387&lt;&gt;"",AI387&lt;&gt;"",AN387&lt;&gt;"",AS387&lt;&gt;"",AX387&lt;&gt;""),"['en']={"&amp;IF(W387&lt;&gt;"","'"&amp;W387&amp;"',","'',")&amp;IF(AC387&lt;&gt;"","'"&amp;AC387&amp;"',","'',")&amp;IF(AI387&lt;&gt;"","'"&amp;AI387&amp;"',","'',")&amp;IF(AN387&lt;&gt;"","'"&amp;AN387&amp;"',","'',")&amp;IF(AS387&lt;&gt;"","'"&amp;AS387&amp;"',","'',")&amp;IF(AX387&lt;&gt;"","'"&amp;AX387&amp;"',","'',")&amp;"},","")
        &amp; IF(OR(X387&lt;&gt;"",AD387&lt;&gt;"",AJ387&lt;&gt;"",AO387&lt;&gt;"",AT387&lt;&gt;"",AY387&lt;&gt;""),"['de']={"&amp;IF(X387&lt;&gt;"","'"&amp;X387&amp;"',","'',")&amp;IF(AD387&lt;&gt;"","'"&amp;AD387&amp;"',","'',")&amp;IF(AJ387&lt;&gt;"","'"&amp;AJ387&amp;"',","'',")&amp;IF(AO387&lt;&gt;"","'"&amp;AO387&amp;"',","'',")&amp;IF(AT387&lt;&gt;"","'"&amp;AT387&amp;"',","'',")&amp;IF(AY387&lt;&gt;"","'"&amp;AY387&amp;"',","'',")&amp;"},","")
     &amp; "}",""),"")),""),"")
&amp; IF(AND(BD387&lt;&gt;"",BD387&lt;&gt;"X"), ", perfectedSetId=" &amp; BD387, IF(BD387&lt;&gt;"",", isPerfectedSet=1",""))</f>
        <v>, isProcSetAllowedInPvP=1, dropMechanic={LIBSETS_DROP_MECHANIC_OVERLAND_BOSS_DELVE,LIBSETS_DROP_MECHANIC_OVERLAND_WORLDBOSS,LIBSETS_DROP_MECHANIC_OVERLAND_BOSS_PUBLIC_DUNGEON,LIBSETS_DROP_MECHANIC_OVERLAND_CHEST}</v>
      </c>
      <c r="BI387" s="21" t="str">
        <f t="shared" ref="BI387:BI450" si="41">IF(A387&lt;&gt;"",IF(F387&lt;&gt;"Not in the game (anymore)",
IF(OR(BA387&lt;&gt;"",BB387&lt;&gt;""),", addTooltip={" &amp; IF(BA387&lt;&gt;"","['en']='"&amp; BA387 &amp; "',","")  &amp; IF(AND(BA387&lt;&gt;"",BA387&lt;&gt;BB387), IF(BB387&lt;&gt;"","['de']='"&amp; BB387 &amp; "',",""),"") &amp; "},","")
&amp; "},"
&amp; IF(C387&lt;&gt;"",CONCATENATE(" --",C387," / ",B387,"   [",IF(R387&lt;&gt;"",R387,""),IF(AA387&lt;&gt;"",", "&amp;AA387,""),IF(AG387&lt;&gt;"",", "&amp;AG387,""),IF(AL387&lt;&gt;"",", "&amp;AL387,""),IF(AQ387&lt;&gt;"",", "&amp;AQ387,""),IF(AV387&lt;&gt;"",", "&amp;AV387,""),"]")),""),"")</f>
        <v>}, --Crafty Alfiq / Listiger Alfiq   [Northern Elsweyr, Northern Elsweyr, Northern Elsweyr, Northern Elsweyr]</v>
      </c>
    </row>
    <row r="388" spans="1:61" x14ac:dyDescent="0.25">
      <c r="A388" s="5">
        <v>441</v>
      </c>
      <c r="B388" t="s">
        <v>1429</v>
      </c>
      <c r="C388" t="s">
        <v>1344</v>
      </c>
      <c r="D388" s="3">
        <f t="shared" si="36"/>
        <v>441</v>
      </c>
      <c r="G388" s="8" t="s">
        <v>1473</v>
      </c>
      <c r="I388" t="s">
        <v>91</v>
      </c>
      <c r="J388" t="s">
        <v>91</v>
      </c>
      <c r="K388">
        <v>382</v>
      </c>
      <c r="L388">
        <v>382</v>
      </c>
      <c r="M388">
        <v>382</v>
      </c>
      <c r="O388" s="61" t="s">
        <v>1384</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1551</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1553</v>
      </c>
      <c r="AI388" s="39"/>
      <c r="AJ388" s="39"/>
      <c r="AK388" s="3">
        <f>IF(AND(G388&lt;&gt;"LIBSETS_SETTYPE_BATTLEGROUND",G388&lt;&gt;"LIBSETS_SETTYPE_SPECIAL"),IF(AL388&lt;&gt;"",VLOOKUP(AL388,'ESO zone constants'!$D$5:$H$4955,5,FALSE),""),"")</f>
        <v>1086</v>
      </c>
      <c r="AL388" t="s">
        <v>1384</v>
      </c>
      <c r="AM388" s="33" t="s">
        <v>1554</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5" t="s">
        <v>2646</v>
      </c>
      <c r="BA388" s="75"/>
      <c r="BB388" s="75"/>
      <c r="BC388" s="75"/>
      <c r="BD388" s="75"/>
      <c r="BE388" s="21" t="str">
        <f t="shared" si="37"/>
        <v>[441] = {wayshrines={382,382,382,}, dlcId=DLC_BASE_GAME</v>
      </c>
      <c r="BF388" s="21" t="str">
        <f t="shared" si="38"/>
        <v>, zoneIds={1086,1086,1086,1086}, veteran=false</v>
      </c>
      <c r="BG388" s="21" t="str">
        <f t="shared" si="39"/>
        <v>, setType=LIBSETS_SETTYPE_OVERLAND</v>
      </c>
      <c r="BH388" s="21" t="str">
        <f t="shared" si="40"/>
        <v>, isProcSetAllowedInPvP=1, dropMechanic={LIBSETS_DROP_MECHANIC_OVERLAND_BOSS_DELVE,LIBSETS_DROP_MECHANIC_OVERLAND_WORLDBOSS,LIBSETS_DROP_MECHANIC_OVERLAND_BOSS_PUBLIC_DUNGEON,LIBSETS_DROP_MECHANIC_OVERLAND_CHEST}</v>
      </c>
      <c r="BI388" s="21" t="str">
        <f t="shared" si="41"/>
        <v>}, --Vesture of Darloc Brae / Gewandung von Darloc Brae   [Northern Elsweyr, Northern Elsweyr, Northern Elsweyr, Northern Elsweyr]</v>
      </c>
    </row>
    <row r="389" spans="1:61" x14ac:dyDescent="0.25">
      <c r="A389" s="5">
        <v>442</v>
      </c>
      <c r="B389" t="s">
        <v>1428</v>
      </c>
      <c r="C389" t="s">
        <v>1345</v>
      </c>
      <c r="D389" s="3">
        <f t="shared" si="36"/>
        <v>442</v>
      </c>
      <c r="E389" s="40"/>
      <c r="G389" s="8" t="s">
        <v>1473</v>
      </c>
      <c r="I389" t="s">
        <v>91</v>
      </c>
      <c r="J389" t="s">
        <v>91</v>
      </c>
      <c r="K389">
        <v>382</v>
      </c>
      <c r="L389">
        <v>382</v>
      </c>
      <c r="M389">
        <v>382</v>
      </c>
      <c r="O389" s="61" t="s">
        <v>1384</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1551</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1553</v>
      </c>
      <c r="AI389" s="39"/>
      <c r="AJ389" s="39"/>
      <c r="AK389" s="3">
        <f>IF(AND(G389&lt;&gt;"LIBSETS_SETTYPE_BATTLEGROUND",G389&lt;&gt;"LIBSETS_SETTYPE_SPECIAL"),IF(AL389&lt;&gt;"",VLOOKUP(AL389,'ESO zone constants'!$D$5:$H$4955,5,FALSE),""),"")</f>
        <v>1086</v>
      </c>
      <c r="AL389" t="s">
        <v>1384</v>
      </c>
      <c r="AM389" s="33" t="s">
        <v>1554</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5" t="s">
        <v>2645</v>
      </c>
      <c r="BA389" s="75"/>
      <c r="BB389" s="75"/>
      <c r="BC389" s="75"/>
      <c r="BD389" s="75"/>
      <c r="BE389" s="21" t="str">
        <f t="shared" si="37"/>
        <v>[442] = {wayshrines={382,382,382,}, dlcId=DLC_BASE_GAME</v>
      </c>
      <c r="BF389" s="21" t="str">
        <f t="shared" si="38"/>
        <v>, zoneIds={1086,1086,1086,1086}, veteran=false</v>
      </c>
      <c r="BG389" s="21" t="str">
        <f t="shared" si="39"/>
        <v>, setType=LIBSETS_SETTYPE_OVERLAND</v>
      </c>
      <c r="BH389" s="21" t="str">
        <f t="shared" si="40"/>
        <v>, dropMechanic={LIBSETS_DROP_MECHANIC_OVERLAND_BOSS_DELVE,LIBSETS_DROP_MECHANIC_OVERLAND_WORLDBOSS,LIBSETS_DROP_MECHANIC_OVERLAND_BOSS_PUBLIC_DUNGEON,LIBSETS_DROP_MECHANIC_OVERLAND_CHEST}</v>
      </c>
      <c r="BI389" s="21" t="str">
        <f t="shared" si="41"/>
        <v>}, --Call of the Undertaker / Ruf des Totengräbers   [Northern Elsweyr, Northern Elsweyr, Northern Elsweyr, Northern Elsweyr]</v>
      </c>
    </row>
    <row r="390" spans="1:61" x14ac:dyDescent="0.25">
      <c r="A390" s="5">
        <v>443</v>
      </c>
      <c r="B390" t="s">
        <v>1455</v>
      </c>
      <c r="C390" t="s">
        <v>1348</v>
      </c>
      <c r="D390" s="3">
        <f t="shared" si="36"/>
        <v>443</v>
      </c>
      <c r="G390" s="8" t="s">
        <v>1474</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3254</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5" t="s">
        <v>2645</v>
      </c>
      <c r="BA390" s="75"/>
      <c r="BB390" s="75"/>
      <c r="BC390" s="75"/>
      <c r="BD390" s="75">
        <v>448</v>
      </c>
      <c r="BE390" s="21" t="str">
        <f t="shared" si="37"/>
        <v>[443] = {wayshrines={399,399,399,}, dlcId=DLC_ELSWEYR</v>
      </c>
      <c r="BF390" s="21" t="str">
        <f t="shared" si="38"/>
        <v>, zoneIds={1121,1121,1121}, veteran=false</v>
      </c>
      <c r="BG390" s="21" t="str">
        <f t="shared" si="39"/>
        <v>, setType=LIBSETS_SETTYPE_TRIAL</v>
      </c>
      <c r="BH390" s="21" t="str">
        <f t="shared" si="40"/>
        <v>, dropMechanic={LIBSETS_DROP_MECHANIC_TRIAL_BOSS,LIBSETS_DROP_MECHANIC_TRIAL_BOSS,LIBSETS_DROP_MECHANIC_TRIAL_BOSS}, perfectedSetId=448</v>
      </c>
      <c r="BI390" s="21" t="str">
        <f t="shared" si="41"/>
        <v>}, --Eye of Nahviintaas / Auge von Nahviintaas   [Sunspire, Sunspire, Sunspire]</v>
      </c>
    </row>
    <row r="391" spans="1:61" x14ac:dyDescent="0.25">
      <c r="A391" s="5">
        <v>444</v>
      </c>
      <c r="B391" t="s">
        <v>1427</v>
      </c>
      <c r="C391" t="s">
        <v>2620</v>
      </c>
      <c r="D391" s="3">
        <f t="shared" si="36"/>
        <v>444</v>
      </c>
      <c r="G391" s="8" t="s">
        <v>1474</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3254</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5" t="s">
        <v>2645</v>
      </c>
      <c r="BA391" s="75"/>
      <c r="BB391" s="75"/>
      <c r="BC391" s="75"/>
      <c r="BD391" s="75">
        <v>449</v>
      </c>
      <c r="BE391" s="21" t="str">
        <f t="shared" si="37"/>
        <v>[444] = {wayshrines={399,399,399,}, dlcId=DLC_ELSWEYR</v>
      </c>
      <c r="BF391" s="21" t="str">
        <f t="shared" si="38"/>
        <v>, zoneIds={1121,1121,1121}, veteran=false</v>
      </c>
      <c r="BG391" s="21" t="str">
        <f t="shared" si="39"/>
        <v>, setType=LIBSETS_SETTYPE_TRIAL</v>
      </c>
      <c r="BH391" s="21" t="str">
        <f t="shared" si="40"/>
        <v>, dropMechanic={LIBSETS_DROP_MECHANIC_TRIAL_BOSS,LIBSETS_DROP_MECHANIC_TRIAL_BOSS,LIBSETS_DROP_MECHANIC_TRIAL_BOSS}, perfectedSetId=449</v>
      </c>
      <c r="BI391" s="21" t="str">
        <f t="shared" si="41"/>
        <v>}, --False God\'s Devotion / Ergebenheit des falschen Gottes   [Sunspire, Sunspire, Sunspire]</v>
      </c>
    </row>
    <row r="392" spans="1:61" x14ac:dyDescent="0.25">
      <c r="A392" s="5">
        <v>445</v>
      </c>
      <c r="B392" t="s">
        <v>1426</v>
      </c>
      <c r="C392" t="s">
        <v>1349</v>
      </c>
      <c r="D392" s="3">
        <f t="shared" si="36"/>
        <v>445</v>
      </c>
      <c r="G392" s="8" t="s">
        <v>1474</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3254</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5" t="s">
        <v>2645</v>
      </c>
      <c r="BA392" s="75"/>
      <c r="BB392" s="75"/>
      <c r="BC392" s="75"/>
      <c r="BD392" s="75">
        <v>450</v>
      </c>
      <c r="BE392" s="21" t="str">
        <f t="shared" si="37"/>
        <v>[445] = {wayshrines={399,399,399,}, dlcId=DLC_ELSWEYR</v>
      </c>
      <c r="BF392" s="21" t="str">
        <f t="shared" si="38"/>
        <v>, zoneIds={1121,1121,1121}, veteran=false</v>
      </c>
      <c r="BG392" s="21" t="str">
        <f t="shared" si="39"/>
        <v>, setType=LIBSETS_SETTYPE_TRIAL</v>
      </c>
      <c r="BH392" s="21" t="str">
        <f t="shared" si="40"/>
        <v>, dropMechanic={LIBSETS_DROP_MECHANIC_TRIAL_BOSS,LIBSETS_DROP_MECHANIC_TRIAL_BOSS,LIBSETS_DROP_MECHANIC_TRIAL_BOSS}, perfectedSetId=450</v>
      </c>
      <c r="BI392" s="21" t="str">
        <f t="shared" si="41"/>
        <v>}, --Tooth of Lokkestiiz / Zahn von Lokkestiiz   [Sunspire, Sunspire, Sunspire]</v>
      </c>
    </row>
    <row r="393" spans="1:61" x14ac:dyDescent="0.25">
      <c r="A393" s="12">
        <v>446</v>
      </c>
      <c r="B393" t="s">
        <v>1425</v>
      </c>
      <c r="C393" t="s">
        <v>1350</v>
      </c>
      <c r="D393" s="3">
        <f t="shared" si="36"/>
        <v>446</v>
      </c>
      <c r="G393" s="8" t="s">
        <v>1474</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3254</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5" t="s">
        <v>2645</v>
      </c>
      <c r="BA393" s="75"/>
      <c r="BB393" s="75"/>
      <c r="BC393" s="75"/>
      <c r="BD393" s="75">
        <v>451</v>
      </c>
      <c r="BE393" s="21" t="str">
        <f t="shared" si="37"/>
        <v>[446] = {wayshrines={399,399,399,}, dlcId=DLC_ELSWEYR</v>
      </c>
      <c r="BF393" s="21" t="str">
        <f t="shared" si="38"/>
        <v>, zoneIds={1121,1121,1121}, veteran=false</v>
      </c>
      <c r="BG393" s="21" t="str">
        <f t="shared" si="39"/>
        <v>, setType=LIBSETS_SETTYPE_TRIAL</v>
      </c>
      <c r="BH393" s="21" t="str">
        <f t="shared" si="40"/>
        <v>, dropMechanic={LIBSETS_DROP_MECHANIC_TRIAL_BOSS,LIBSETS_DROP_MECHANIC_TRIAL_BOSS,LIBSETS_DROP_MECHANIC_TRIAL_BOSS}, perfectedSetId=451</v>
      </c>
      <c r="BI393" s="21" t="str">
        <f t="shared" si="41"/>
        <v>}, --Claw of Yolnakhriin / Kralle von Yolnahkriin   [Sunspire, Sunspire, Sunspire]</v>
      </c>
    </row>
    <row r="394" spans="1:61" x14ac:dyDescent="0.25">
      <c r="A394" s="5">
        <v>448</v>
      </c>
      <c r="B394" t="s">
        <v>1456</v>
      </c>
      <c r="C394" t="s">
        <v>2755</v>
      </c>
      <c r="D394" s="3">
        <f t="shared" si="36"/>
        <v>448</v>
      </c>
      <c r="G394" s="8" t="s">
        <v>1474</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3254</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5" t="s">
        <v>2645</v>
      </c>
      <c r="BA394" s="75"/>
      <c r="BB394" s="75"/>
      <c r="BC394" s="75"/>
      <c r="BD394" s="75" t="s">
        <v>3812</v>
      </c>
      <c r="BE394" s="21" t="str">
        <f t="shared" si="37"/>
        <v>[448] = {wayshrines={399,399,399,}, dlcId=DLC_ELSWEYR</v>
      </c>
      <c r="BF394" s="21" t="str">
        <f t="shared" si="38"/>
        <v>, zoneIds={1121,1121,1121}, veteran=true</v>
      </c>
      <c r="BG394" s="21" t="str">
        <f t="shared" si="39"/>
        <v>, setType=LIBSETS_SETTYPE_TRIAL</v>
      </c>
      <c r="BH394" s="21" t="str">
        <f t="shared" si="40"/>
        <v>, dropMechanic={LIBSETS_DROP_MECHANIC_TRIAL_BOSS,LIBSETS_DROP_MECHANIC_TRIAL_BOSS,LIBSETS_DROP_MECHANIC_TRIAL_BOSS}, isPerfectedSet=1</v>
      </c>
      <c r="BI394" s="21" t="str">
        <f t="shared" si="41"/>
        <v>}, --Perfected Eye of Nahviintaas / Perfektioniertes Auge von Nahviintaas   [Sunspire, Sunspire, Sunspire]</v>
      </c>
    </row>
    <row r="395" spans="1:61" x14ac:dyDescent="0.25">
      <c r="A395" s="5">
        <v>449</v>
      </c>
      <c r="B395" t="s">
        <v>1453</v>
      </c>
      <c r="C395" t="s">
        <v>2621</v>
      </c>
      <c r="D395" s="3">
        <f t="shared" si="36"/>
        <v>449</v>
      </c>
      <c r="G395" s="8" t="s">
        <v>1474</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3254</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5" t="s">
        <v>2645</v>
      </c>
      <c r="BA395" s="75"/>
      <c r="BB395" s="75"/>
      <c r="BC395" s="75"/>
      <c r="BD395" s="75" t="s">
        <v>3812</v>
      </c>
      <c r="BE395" s="21" t="str">
        <f t="shared" si="37"/>
        <v>[449] = {wayshrines={399,399,399,}, dlcId=DLC_ELSWEYR</v>
      </c>
      <c r="BF395" s="21" t="str">
        <f t="shared" si="38"/>
        <v>, zoneIds={1121,1121,1121}, veteran=true</v>
      </c>
      <c r="BG395" s="21" t="str">
        <f t="shared" si="39"/>
        <v>, setType=LIBSETS_SETTYPE_TRIAL</v>
      </c>
      <c r="BH395" s="21" t="str">
        <f t="shared" si="40"/>
        <v>, dropMechanic={LIBSETS_DROP_MECHANIC_TRIAL_BOSS,LIBSETS_DROP_MECHANIC_TRIAL_BOSS,LIBSETS_DROP_MECHANIC_TRIAL_BOSS}, isPerfectedSet=1</v>
      </c>
      <c r="BI395" s="21" t="str">
        <f t="shared" si="41"/>
        <v>}, --Perfected False God\'s Devotion / Perfektionierte Ergebenheit zum falschen Gott   [Sunspire, Sunspire, Sunspire]</v>
      </c>
    </row>
    <row r="396" spans="1:61" x14ac:dyDescent="0.25">
      <c r="A396" s="5">
        <v>450</v>
      </c>
      <c r="B396" t="s">
        <v>1454</v>
      </c>
      <c r="C396" t="s">
        <v>1351</v>
      </c>
      <c r="D396" s="3">
        <f t="shared" si="36"/>
        <v>450</v>
      </c>
      <c r="G396" s="8" t="s">
        <v>1474</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3254</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5" t="s">
        <v>2645</v>
      </c>
      <c r="BA396" s="75"/>
      <c r="BB396" s="75"/>
      <c r="BC396" s="75"/>
      <c r="BD396" s="75" t="s">
        <v>3812</v>
      </c>
      <c r="BE396" s="21" t="str">
        <f t="shared" si="37"/>
        <v>[450] = {wayshrines={399,399,399,}, dlcId=DLC_ELSWEYR</v>
      </c>
      <c r="BF396" s="21" t="str">
        <f t="shared" si="38"/>
        <v>, zoneIds={1121,1121,1121}, veteran=true</v>
      </c>
      <c r="BG396" s="21" t="str">
        <f t="shared" si="39"/>
        <v>, setType=LIBSETS_SETTYPE_TRIAL</v>
      </c>
      <c r="BH396" s="21" t="str">
        <f t="shared" si="40"/>
        <v>, dropMechanic={LIBSETS_DROP_MECHANIC_TRIAL_BOSS,LIBSETS_DROP_MECHANIC_TRIAL_BOSS,LIBSETS_DROP_MECHANIC_TRIAL_BOSS}, isPerfectedSet=1</v>
      </c>
      <c r="BI396" s="21" t="str">
        <f t="shared" si="41"/>
        <v>}, --Perfected Tooth of Lokkestiiz / Perfektionierter Zahn von Lokkestiiz   [Sunspire, Sunspire, Sunspire]</v>
      </c>
    </row>
    <row r="397" spans="1:61" x14ac:dyDescent="0.25">
      <c r="A397" s="5">
        <v>451</v>
      </c>
      <c r="B397" t="s">
        <v>1452</v>
      </c>
      <c r="C397" t="s">
        <v>1352</v>
      </c>
      <c r="D397" s="3">
        <f t="shared" si="36"/>
        <v>451</v>
      </c>
      <c r="G397" s="8" t="s">
        <v>1474</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3254</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5" t="s">
        <v>2645</v>
      </c>
      <c r="BA397" s="75"/>
      <c r="BB397" s="75"/>
      <c r="BC397" s="75"/>
      <c r="BD397" s="75" t="s">
        <v>3812</v>
      </c>
      <c r="BE397" s="21" t="str">
        <f t="shared" si="37"/>
        <v>[451] = {wayshrines={399,399,399,}, dlcId=DLC_ELSWEYR</v>
      </c>
      <c r="BF397" s="21" t="str">
        <f t="shared" si="38"/>
        <v>, zoneIds={1121,1121,1121}, veteran=true</v>
      </c>
      <c r="BG397" s="21" t="str">
        <f t="shared" si="39"/>
        <v>, setType=LIBSETS_SETTYPE_TRIAL</v>
      </c>
      <c r="BH397" s="21" t="str">
        <f t="shared" si="40"/>
        <v>, dropMechanic={LIBSETS_DROP_MECHANIC_TRIAL_BOSS,LIBSETS_DROP_MECHANIC_TRIAL_BOSS,LIBSETS_DROP_MECHANIC_TRIAL_BOSS}, isPerfectedSet=1</v>
      </c>
      <c r="BI397" s="21" t="str">
        <f t="shared" si="41"/>
        <v>}, --Perfected Claw of Yolnakhriin / Perfektionierte Kralle von Yolnahkriin   [Sunspire, Sunspire, Sunspire]</v>
      </c>
    </row>
    <row r="398" spans="1:61" x14ac:dyDescent="0.25">
      <c r="A398" s="5">
        <v>452</v>
      </c>
      <c r="B398" t="s">
        <v>1493</v>
      </c>
      <c r="C398" t="s">
        <v>1492</v>
      </c>
      <c r="D398" s="3">
        <f t="shared" si="36"/>
        <v>452</v>
      </c>
      <c r="G398" s="3" t="s">
        <v>1470</v>
      </c>
      <c r="I398" t="s">
        <v>91</v>
      </c>
      <c r="J398" t="s">
        <v>91</v>
      </c>
      <c r="K398">
        <v>391</v>
      </c>
      <c r="L398">
        <v>391</v>
      </c>
      <c r="M398">
        <v>391</v>
      </c>
      <c r="O398" s="61" t="s">
        <v>1479</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5" t="s">
        <v>2645</v>
      </c>
      <c r="BA398" s="75"/>
      <c r="BB398" s="75"/>
      <c r="BC398" s="75"/>
      <c r="BD398" s="75"/>
      <c r="BE398" s="21" t="str">
        <f t="shared" si="37"/>
        <v>[452] = {wayshrines={391,391,391,}, dlcId=DLC_SCALEBREAKER</v>
      </c>
      <c r="BF398" s="21" t="str">
        <f t="shared" si="38"/>
        <v>, zoneIds={1122,1086,1086}, veteran=false</v>
      </c>
      <c r="BG398" s="21" t="str">
        <f t="shared" si="39"/>
        <v>, setType=LIBSETS_SETTYPE_DUNGEON</v>
      </c>
      <c r="BH398" s="21" t="str">
        <f t="shared" si="40"/>
        <v>, dropMechanic={LIBSETS_DROP_MECHANIC_GROUP_DUNGEON_BOSS}</v>
      </c>
      <c r="BI398" s="21" t="str">
        <f t="shared" si="41"/>
        <v>}, --Hollowfang Thirst / Hohlzahndurst   [Moongrave Fane, Northern Elsweyr, Northern Elsweyr]</v>
      </c>
    </row>
    <row r="399" spans="1:61" x14ac:dyDescent="0.25">
      <c r="A399" s="5">
        <v>453</v>
      </c>
      <c r="B399" t="s">
        <v>1494</v>
      </c>
      <c r="C399" t="s">
        <v>2622</v>
      </c>
      <c r="D399" s="3">
        <f t="shared" si="36"/>
        <v>453</v>
      </c>
      <c r="G399" s="3" t="s">
        <v>1470</v>
      </c>
      <c r="I399" t="s">
        <v>91</v>
      </c>
      <c r="J399" t="s">
        <v>91</v>
      </c>
      <c r="K399">
        <v>391</v>
      </c>
      <c r="L399">
        <v>391</v>
      </c>
      <c r="M399">
        <v>391</v>
      </c>
      <c r="O399" s="61" t="s">
        <v>1479</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5" t="s">
        <v>2645</v>
      </c>
      <c r="BA399" s="75"/>
      <c r="BB399" s="75"/>
      <c r="BC399" s="75"/>
      <c r="BD399" s="75"/>
      <c r="BE399" s="21" t="str">
        <f t="shared" si="37"/>
        <v>[453] = {wayshrines={391,391,391,}, dlcId=DLC_SCALEBREAKER</v>
      </c>
      <c r="BF399" s="21" t="str">
        <f t="shared" si="38"/>
        <v>, zoneIds={1122,1086,1086}, veteran=false</v>
      </c>
      <c r="BG399" s="21" t="str">
        <f t="shared" si="39"/>
        <v>, setType=LIBSETS_SETTYPE_DUNGEON</v>
      </c>
      <c r="BH399" s="21" t="str">
        <f t="shared" si="40"/>
        <v>, dropMechanic={LIBSETS_DROP_MECHANIC_GROUP_DUNGEON_BOSS}</v>
      </c>
      <c r="BI399" s="21" t="str">
        <f t="shared" si="41"/>
        <v>}, --Dro\'Zakar\'s Claws / Dro'Zakars Krallen   [Moongrave Fane, Northern Elsweyr, Northern Elsweyr]</v>
      </c>
    </row>
    <row r="400" spans="1:61" x14ac:dyDescent="0.25">
      <c r="A400" s="5">
        <v>454</v>
      </c>
      <c r="B400" t="s">
        <v>1495</v>
      </c>
      <c r="C400" t="s">
        <v>2623</v>
      </c>
      <c r="D400" s="3">
        <f t="shared" si="36"/>
        <v>454</v>
      </c>
      <c r="G400" s="3" t="s">
        <v>1470</v>
      </c>
      <c r="I400" t="s">
        <v>91</v>
      </c>
      <c r="J400" t="s">
        <v>91</v>
      </c>
      <c r="K400">
        <v>391</v>
      </c>
      <c r="L400">
        <v>391</v>
      </c>
      <c r="M400">
        <v>391</v>
      </c>
      <c r="O400" s="61" t="s">
        <v>1479</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5" t="s">
        <v>2645</v>
      </c>
      <c r="BA400" s="75"/>
      <c r="BB400" s="75"/>
      <c r="BC400" s="75"/>
      <c r="BD400" s="75"/>
      <c r="BE400" s="21" t="str">
        <f t="shared" si="37"/>
        <v>[454] = {wayshrines={391,391,391,}, dlcId=DLC_SCALEBREAKER</v>
      </c>
      <c r="BF400" s="21" t="str">
        <f t="shared" si="38"/>
        <v>, zoneIds={1122,1086,1086}, veteran=false</v>
      </c>
      <c r="BG400" s="21" t="str">
        <f t="shared" si="39"/>
        <v>, setType=LIBSETS_SETTYPE_DUNGEON</v>
      </c>
      <c r="BH400" s="21" t="str">
        <f t="shared" si="40"/>
        <v>, dropMechanic={LIBSETS_DROP_MECHANIC_GROUP_DUNGEON_BOSS}</v>
      </c>
      <c r="BI400" s="21" t="str">
        <f t="shared" si="41"/>
        <v>}, --Renald\'s Resolve / Renalds Entschlossenheit   [Moongrave Fane, Northern Elsweyr, Northern Elsweyr]</v>
      </c>
    </row>
    <row r="401" spans="1:61" x14ac:dyDescent="0.25">
      <c r="A401" s="5">
        <v>455</v>
      </c>
      <c r="B401" t="s">
        <v>1496</v>
      </c>
      <c r="C401" t="s">
        <v>2624</v>
      </c>
      <c r="D401" s="3">
        <f t="shared" si="36"/>
        <v>455</v>
      </c>
      <c r="G401" s="3" t="s">
        <v>1470</v>
      </c>
      <c r="I401" t="s">
        <v>91</v>
      </c>
      <c r="J401" t="s">
        <v>91</v>
      </c>
      <c r="K401">
        <v>398</v>
      </c>
      <c r="L401">
        <v>398</v>
      </c>
      <c r="M401">
        <v>398</v>
      </c>
      <c r="O401" s="61" t="s">
        <v>1480</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5" t="s">
        <v>2645</v>
      </c>
      <c r="BA401" s="75"/>
      <c r="BB401" s="75"/>
      <c r="BC401" s="75"/>
      <c r="BD401" s="75"/>
      <c r="BE401" s="21" t="str">
        <f t="shared" si="37"/>
        <v>[455] = {wayshrines={398,398,398,}, dlcId=DLC_SCALEBREAKER</v>
      </c>
      <c r="BF401" s="21" t="str">
        <f t="shared" si="38"/>
        <v>, zoneIds={1123,383,383}, veteran=false</v>
      </c>
      <c r="BG401" s="21" t="str">
        <f t="shared" si="39"/>
        <v>, setType=LIBSETS_SETTYPE_DUNGEON</v>
      </c>
      <c r="BH401" s="21" t="str">
        <f t="shared" si="40"/>
        <v>, dropMechanic={LIBSETS_DROP_MECHANIC_GROUP_DUNGEON_BOSS}</v>
      </c>
      <c r="BI401" s="21" t="str">
        <f t="shared" si="41"/>
        <v>}, --Z\'en\'s Redress / Z'ens Wiedergutmachung   [Lair of Maarselok, Grahtwood, Grahtwood]</v>
      </c>
    </row>
    <row r="402" spans="1:61" x14ac:dyDescent="0.25">
      <c r="A402" s="5">
        <v>456</v>
      </c>
      <c r="B402" t="s">
        <v>1498</v>
      </c>
      <c r="C402" t="s">
        <v>1497</v>
      </c>
      <c r="D402" s="3">
        <f t="shared" si="36"/>
        <v>456</v>
      </c>
      <c r="G402" s="3" t="s">
        <v>1470</v>
      </c>
      <c r="I402" t="s">
        <v>91</v>
      </c>
      <c r="J402" t="s">
        <v>91</v>
      </c>
      <c r="K402">
        <v>398</v>
      </c>
      <c r="L402">
        <v>398</v>
      </c>
      <c r="M402">
        <v>398</v>
      </c>
      <c r="O402" s="61" t="s">
        <v>1480</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5" t="s">
        <v>2645</v>
      </c>
      <c r="BA402" s="75"/>
      <c r="BB402" s="75"/>
      <c r="BC402" s="75"/>
      <c r="BD402" s="75"/>
      <c r="BE402" s="21" t="str">
        <f t="shared" si="37"/>
        <v>[456] = {wayshrines={398,398,398,}, dlcId=DLC_SCALEBREAKER</v>
      </c>
      <c r="BF402" s="21" t="str">
        <f t="shared" si="38"/>
        <v>, zoneIds={1123,383,383}, veteran=false</v>
      </c>
      <c r="BG402" s="21" t="str">
        <f t="shared" si="39"/>
        <v>, setType=LIBSETS_SETTYPE_DUNGEON</v>
      </c>
      <c r="BH402" s="21" t="str">
        <f t="shared" si="40"/>
        <v>, dropMechanic={LIBSETS_DROP_MECHANIC_GROUP_DUNGEON_BOSS}</v>
      </c>
      <c r="BI402" s="21" t="str">
        <f t="shared" si="41"/>
        <v>}, --Azureblight Reaper / Azurfäuleschnitter   [Lair of Maarselok, Grahtwood, Grahtwood]</v>
      </c>
    </row>
    <row r="403" spans="1:61" x14ac:dyDescent="0.25">
      <c r="A403" s="5">
        <v>457</v>
      </c>
      <c r="B403" t="s">
        <v>1499</v>
      </c>
      <c r="C403" t="s">
        <v>2625</v>
      </c>
      <c r="D403" s="3">
        <f t="shared" si="36"/>
        <v>457</v>
      </c>
      <c r="G403" s="3" t="s">
        <v>1470</v>
      </c>
      <c r="I403" t="s">
        <v>91</v>
      </c>
      <c r="J403" t="s">
        <v>91</v>
      </c>
      <c r="K403">
        <v>398</v>
      </c>
      <c r="L403">
        <v>398</v>
      </c>
      <c r="M403">
        <v>398</v>
      </c>
      <c r="O403" s="61" t="s">
        <v>1480</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5" t="s">
        <v>2645</v>
      </c>
      <c r="BA403" s="75"/>
      <c r="BB403" s="75"/>
      <c r="BC403" s="75"/>
      <c r="BD403" s="75"/>
      <c r="BE403" s="21" t="str">
        <f t="shared" si="37"/>
        <v>[457] = {wayshrines={398,398,398,}, dlcId=DLC_SCALEBREAKER</v>
      </c>
      <c r="BF403" s="21" t="str">
        <f t="shared" si="38"/>
        <v>, zoneIds={1123,383,383}, veteran=false</v>
      </c>
      <c r="BG403" s="21" t="str">
        <f t="shared" si="39"/>
        <v>, setType=LIBSETS_SETTYPE_DUNGEON</v>
      </c>
      <c r="BH403" s="21" t="str">
        <f t="shared" si="40"/>
        <v>, dropMechanic={LIBSETS_DROP_MECHANIC_GROUP_DUNGEON_BOSS}</v>
      </c>
      <c r="BI403" s="21" t="str">
        <f t="shared" si="41"/>
        <v>}, --Dragon\'s Defilement / Drachenschändung   [Lair of Maarselok, Grahtwood, Grahtwood]</v>
      </c>
    </row>
    <row r="404" spans="1:61" x14ac:dyDescent="0.25">
      <c r="A404" s="5">
        <v>458</v>
      </c>
      <c r="B404" t="s">
        <v>1500</v>
      </c>
      <c r="C404" t="s">
        <v>1500</v>
      </c>
      <c r="D404" s="3">
        <f t="shared" si="36"/>
        <v>458</v>
      </c>
      <c r="G404" s="3" t="s">
        <v>1472</v>
      </c>
      <c r="H404" s="83">
        <v>3</v>
      </c>
      <c r="I404" t="s">
        <v>1459</v>
      </c>
      <c r="J404" t="s">
        <v>91</v>
      </c>
      <c r="K404">
        <v>391</v>
      </c>
      <c r="L404">
        <v>391</v>
      </c>
      <c r="M404">
        <v>391</v>
      </c>
      <c r="O404" s="61" t="s">
        <v>1479</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5" t="s">
        <v>2645</v>
      </c>
      <c r="BA404" s="75"/>
      <c r="BB404" s="75"/>
      <c r="BC404" s="75"/>
      <c r="BD404" s="75"/>
      <c r="BE404" s="21" t="str">
        <f t="shared" si="37"/>
        <v>[458] = {wayshrines={391,391,391,}, dlcId=DLC_SCALEBREAKER</v>
      </c>
      <c r="BF404" s="21" t="str">
        <f t="shared" si="38"/>
        <v>, zoneIds={1122,1086,1086}, veteran={[EQUIP_TYPE_HEAD]=true, [EQUIP_TYPE_SHOULDERS]=false}</v>
      </c>
      <c r="BG404" s="21" t="str">
        <f t="shared" si="39"/>
        <v>, setType=LIBSETS_SETTYPE_MONSTER, undauntedChestId=3</v>
      </c>
      <c r="BH404" s="21" t="str">
        <f t="shared" si="40"/>
        <v>, dropMechanic={LIBSETS_DROP_MECHANIC_MONSTER_NAME}, dropMechanicDropLocationNames={['en']={'Grundwulf','','','','','',},['de']={'Grundwulf','','','','','',},}</v>
      </c>
      <c r="BI404" s="21" t="str">
        <f t="shared" si="41"/>
        <v>}, --Grundwulf / Grundwulf   [Moongrave Fane, Northern Elsweyr, Northern Elsweyr]</v>
      </c>
    </row>
    <row r="405" spans="1:61" x14ac:dyDescent="0.25">
      <c r="A405" s="5">
        <v>459</v>
      </c>
      <c r="B405" t="s">
        <v>1501</v>
      </c>
      <c r="C405" t="s">
        <v>1501</v>
      </c>
      <c r="D405" s="3">
        <f t="shared" si="36"/>
        <v>459</v>
      </c>
      <c r="G405" s="3" t="s">
        <v>1472</v>
      </c>
      <c r="H405" s="83">
        <v>3</v>
      </c>
      <c r="I405" t="s">
        <v>1459</v>
      </c>
      <c r="J405" t="s">
        <v>91</v>
      </c>
      <c r="K405">
        <v>398</v>
      </c>
      <c r="L405">
        <v>398</v>
      </c>
      <c r="M405">
        <v>398</v>
      </c>
      <c r="O405" s="61" t="s">
        <v>1480</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5" t="s">
        <v>2645</v>
      </c>
      <c r="BA405" s="75"/>
      <c r="BB405" s="75"/>
      <c r="BC405" s="75"/>
      <c r="BD405" s="75"/>
      <c r="BE405" s="21" t="str">
        <f t="shared" si="37"/>
        <v>[459] = {wayshrines={398,398,398,}, dlcId=DLC_SCALEBREAKER</v>
      </c>
      <c r="BF405" s="21" t="str">
        <f t="shared" si="38"/>
        <v>, zoneIds={1123,383,383}, veteran={[EQUIP_TYPE_HEAD]=true, [EQUIP_TYPE_SHOULDERS]=false}</v>
      </c>
      <c r="BG405" s="21" t="str">
        <f t="shared" si="39"/>
        <v>, setType=LIBSETS_SETTYPE_MONSTER, undauntedChestId=3</v>
      </c>
      <c r="BH405" s="21" t="str">
        <f t="shared" si="40"/>
        <v>, dropMechanic={LIBSETS_DROP_MECHANIC_MONSTER_NAME}, dropMechanicDropLocationNames={['en']={'Maarselok','','','','','',},['de']={'Maarselok','','','','','',},}</v>
      </c>
      <c r="BI405" s="21" t="str">
        <f t="shared" si="41"/>
        <v>}, --Maarselok / Maarselok   [Lair of Maarselok, Grahtwood, Grahtwood]</v>
      </c>
    </row>
    <row r="406" spans="1:61" x14ac:dyDescent="0.25">
      <c r="A406" s="5">
        <v>465</v>
      </c>
      <c r="B406" t="s">
        <v>1592</v>
      </c>
      <c r="C406" t="s">
        <v>1593</v>
      </c>
      <c r="D406" s="3">
        <f t="shared" si="36"/>
        <v>465</v>
      </c>
      <c r="G406" s="8" t="s">
        <v>1473</v>
      </c>
      <c r="I406" t="s">
        <v>91</v>
      </c>
      <c r="J406" t="s">
        <v>91</v>
      </c>
      <c r="K406">
        <v>402</v>
      </c>
      <c r="L406">
        <v>402</v>
      </c>
      <c r="M406">
        <v>402</v>
      </c>
      <c r="O406" s="61" t="s">
        <v>1577</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1554</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5" t="s">
        <v>2645</v>
      </c>
      <c r="BA406" s="75"/>
      <c r="BB406" s="75"/>
      <c r="BC406" s="75"/>
      <c r="BD406" s="75"/>
      <c r="BE406" s="21" t="str">
        <f t="shared" si="37"/>
        <v>[465] = {wayshrines={402,402,402,}, dlcId=DLC_BASE_GAME</v>
      </c>
      <c r="BF406" s="21" t="str">
        <f t="shared" si="38"/>
        <v>, zoneIds={1133,1133,1133}, veteran=false</v>
      </c>
      <c r="BG406" s="21" t="str">
        <f t="shared" si="39"/>
        <v>, setType=LIBSETS_SETTYPE_OVERLAND</v>
      </c>
      <c r="BH406" s="21" t="str">
        <f t="shared" si="40"/>
        <v>, dropMechanic={LIBSETS_DROP_MECHANIC_OVERLAND_BOSS_DELVE,LIBSETS_DROP_MECHANIC_OVERLAND_BOSS_DELVE,LIBSETS_DROP_MECHANIC_OVERLAND_CHEST}</v>
      </c>
      <c r="BI406" s="21" t="str">
        <f t="shared" si="41"/>
        <v>}, --Senchal Defender / Verteidiger von Senchal   [Southern Elsweyr, Southern Elsweyr, Southern Elsweyr]</v>
      </c>
    </row>
    <row r="407" spans="1:61" x14ac:dyDescent="0.25">
      <c r="A407" s="5">
        <v>466</v>
      </c>
      <c r="B407" t="s">
        <v>1602</v>
      </c>
      <c r="C407" t="s">
        <v>2626</v>
      </c>
      <c r="D407" s="3">
        <f t="shared" si="36"/>
        <v>466</v>
      </c>
      <c r="G407" s="8" t="s">
        <v>1473</v>
      </c>
      <c r="I407" t="s">
        <v>91</v>
      </c>
      <c r="J407" t="s">
        <v>91</v>
      </c>
      <c r="K407">
        <v>402</v>
      </c>
      <c r="L407">
        <v>402</v>
      </c>
      <c r="M407">
        <v>402</v>
      </c>
      <c r="O407" s="61" t="s">
        <v>1577</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1554</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5" t="s">
        <v>2645</v>
      </c>
      <c r="BA407" s="75"/>
      <c r="BB407" s="75"/>
      <c r="BC407" s="75"/>
      <c r="BD407" s="75"/>
      <c r="BE407" s="21" t="str">
        <f t="shared" si="37"/>
        <v>[466] = {wayshrines={402,402,402,}, dlcId=DLC_BASE_GAME</v>
      </c>
      <c r="BF407" s="21" t="str">
        <f t="shared" si="38"/>
        <v>, zoneIds={1133,1133,1133}, veteran=false</v>
      </c>
      <c r="BG407" s="21" t="str">
        <f t="shared" si="39"/>
        <v>, setType=LIBSETS_SETTYPE_OVERLAND</v>
      </c>
      <c r="BH407" s="21" t="str">
        <f t="shared" si="40"/>
        <v>, dropMechanic={LIBSETS_DROP_MECHANIC_OVERLAND_BOSS_DELVE,LIBSETS_DROP_MECHANIC_OVERLAND_BOSS_DELVE,LIBSETS_DROP_MECHANIC_OVERLAND_CHEST}</v>
      </c>
      <c r="BI407" s="21" t="str">
        <f t="shared" si="41"/>
        <v>}, --Marauder\'s Haste / Marodeurshast   [Southern Elsweyr, Southern Elsweyr, Southern Elsweyr]</v>
      </c>
    </row>
    <row r="408" spans="1:61" x14ac:dyDescent="0.25">
      <c r="A408" s="5">
        <v>467</v>
      </c>
      <c r="B408" t="s">
        <v>1601</v>
      </c>
      <c r="C408" t="s">
        <v>1594</v>
      </c>
      <c r="D408" s="3">
        <f t="shared" si="36"/>
        <v>467</v>
      </c>
      <c r="G408" s="8" t="s">
        <v>1473</v>
      </c>
      <c r="I408" t="s">
        <v>91</v>
      </c>
      <c r="J408" t="s">
        <v>91</v>
      </c>
      <c r="K408">
        <v>402</v>
      </c>
      <c r="L408">
        <v>402</v>
      </c>
      <c r="M408">
        <v>402</v>
      </c>
      <c r="O408" s="61" t="s">
        <v>1577</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1554</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5" t="s">
        <v>2645</v>
      </c>
      <c r="BA408" s="75"/>
      <c r="BB408" s="75"/>
      <c r="BC408" s="75"/>
      <c r="BD408" s="75"/>
      <c r="BE408" s="21" t="str">
        <f t="shared" si="37"/>
        <v>[467] = {wayshrines={402,402,402,}, dlcId=DLC_BASE_GAME</v>
      </c>
      <c r="BF408" s="21" t="str">
        <f t="shared" si="38"/>
        <v>, zoneIds={1133,1133,1133}, veteran=false</v>
      </c>
      <c r="BG408" s="21" t="str">
        <f t="shared" si="39"/>
        <v>, setType=LIBSETS_SETTYPE_OVERLAND</v>
      </c>
      <c r="BH408" s="21" t="str">
        <f t="shared" si="40"/>
        <v>, dropMechanic={LIBSETS_DROP_MECHANIC_OVERLAND_BOSS_DELVE,LIBSETS_DROP_MECHANIC_OVERLAND_BOSS_DELVE,LIBSETS_DROP_MECHANIC_OVERLAND_CHEST}</v>
      </c>
      <c r="BI408" s="21" t="str">
        <f t="shared" si="41"/>
        <v>}, --Dragonguard Elite / Drachengardeelite   [Southern Elsweyr, Southern Elsweyr, Southern Elsweyr]</v>
      </c>
    </row>
    <row r="409" spans="1:61" x14ac:dyDescent="0.25">
      <c r="A409" s="5">
        <v>468</v>
      </c>
      <c r="B409" t="s">
        <v>1600</v>
      </c>
      <c r="C409" t="s">
        <v>1595</v>
      </c>
      <c r="D409" s="3">
        <f t="shared" si="36"/>
        <v>468</v>
      </c>
      <c r="E409" s="40"/>
      <c r="G409" s="8" t="s">
        <v>1467</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5" t="s">
        <v>2645</v>
      </c>
      <c r="BA409" s="75"/>
      <c r="BB409" s="75"/>
      <c r="BC409" s="75"/>
      <c r="BD409" s="75"/>
      <c r="BE409" s="21" t="str">
        <f t="shared" si="37"/>
        <v>[468] = {wayshrines={403,403,403,}, traitsNeeded=3, dlcId=DLC_BASE_GAME</v>
      </c>
      <c r="BF409" s="21" t="str">
        <f t="shared" si="38"/>
        <v>, zoneIds={1133,1133,1133}, veteran=false</v>
      </c>
      <c r="BG409" s="21" t="str">
        <f t="shared" si="39"/>
        <v>, setType=LIBSETS_SETTYPE_CRAFTED</v>
      </c>
      <c r="BH409" s="21" t="str">
        <f t="shared" si="40"/>
        <v>, dropMechanic={LIBSETS_DROP_MECHANIC_CRAFTED,LIBSETS_DROP_MECHANIC_CRAFTED}</v>
      </c>
      <c r="BI409" s="21" t="str">
        <f t="shared" si="41"/>
        <v>}, --Daring Corsair / Kühner Korsar   [Southern Elsweyr, Southern Elsweyr, Southern Elsweyr]</v>
      </c>
    </row>
    <row r="410" spans="1:61" x14ac:dyDescent="0.25">
      <c r="A410" s="5">
        <v>469</v>
      </c>
      <c r="B410" t="s">
        <v>1599</v>
      </c>
      <c r="C410" t="s">
        <v>1596</v>
      </c>
      <c r="D410" s="3">
        <f t="shared" si="36"/>
        <v>469</v>
      </c>
      <c r="G410" s="8" t="s">
        <v>1467</v>
      </c>
      <c r="I410" t="s">
        <v>91</v>
      </c>
      <c r="J410" t="s">
        <v>91</v>
      </c>
      <c r="K410">
        <v>407</v>
      </c>
      <c r="L410">
        <v>407</v>
      </c>
      <c r="M410">
        <v>407</v>
      </c>
      <c r="N410">
        <v>6</v>
      </c>
      <c r="O410" s="61" t="s">
        <v>1577</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5" t="s">
        <v>2645</v>
      </c>
      <c r="BA410" s="75"/>
      <c r="BB410" s="75"/>
      <c r="BC410" s="75"/>
      <c r="BD410" s="75"/>
      <c r="BE410" s="21" t="str">
        <f t="shared" si="37"/>
        <v>[469] = {wayshrines={407,407,407,}, traitsNeeded=6, dlcId=DLC_BASE_GAME</v>
      </c>
      <c r="BF410" s="21" t="str">
        <f t="shared" si="38"/>
        <v>, zoneIds={1133,1133,1133}, veteran=false</v>
      </c>
      <c r="BG410" s="21" t="str">
        <f t="shared" si="39"/>
        <v>, setType=LIBSETS_SETTYPE_CRAFTED</v>
      </c>
      <c r="BH410" s="21" t="str">
        <f t="shared" si="40"/>
        <v>, dropMechanic={LIBSETS_DROP_MECHANIC_CRAFTED,LIBSETS_DROP_MECHANIC_CRAFTED}</v>
      </c>
      <c r="BI410" s="21" t="str">
        <f t="shared" si="41"/>
        <v>}, --Ancient Dragonguard / Alte Drachengarde   [Southern Elsweyr, Southern Elsweyr, Southern Elsweyr]</v>
      </c>
    </row>
    <row r="411" spans="1:61" x14ac:dyDescent="0.25">
      <c r="A411" s="5">
        <v>470</v>
      </c>
      <c r="B411" t="s">
        <v>1598</v>
      </c>
      <c r="C411" t="s">
        <v>1597</v>
      </c>
      <c r="D411" s="3">
        <f t="shared" si="36"/>
        <v>470</v>
      </c>
      <c r="G411" s="8" t="s">
        <v>1467</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3276</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5" t="s">
        <v>2645</v>
      </c>
      <c r="BA411" s="75"/>
      <c r="BB411" s="75"/>
      <c r="BC411" s="75"/>
      <c r="BD411" s="75"/>
      <c r="BE411" s="21" t="str">
        <f t="shared" si="37"/>
        <v>[470] = {wayshrines={406,406,406,}, traitsNeeded=9, dlcId=DLC_BASE_GAME</v>
      </c>
      <c r="BF411" s="21" t="str">
        <f t="shared" si="38"/>
        <v>, zoneIds={1133,1133,1133}, veteran=false</v>
      </c>
      <c r="BG411" s="21" t="str">
        <f t="shared" si="39"/>
        <v>, setType=LIBSETS_SETTYPE_CRAFTED</v>
      </c>
      <c r="BH411" s="21" t="str">
        <f t="shared" si="40"/>
        <v>, dropMechanic={LIBSETS_DROP_MECHANIC_CRAFTED,LIBSETS_DROP_MECHANIC_CRAFTED,LIBSETS_DROP_MECHANIC_CRAFTED}</v>
      </c>
      <c r="BI411" s="21" t="str">
        <f t="shared" si="41"/>
        <v>}, --New Moon Acolyte / Akolythin des Neuen Mondes   [Southern Elsweyr, Southern Elsweyr, Southern Elsweyr]</v>
      </c>
    </row>
    <row r="412" spans="1:61" x14ac:dyDescent="0.25">
      <c r="A412" s="5">
        <v>471</v>
      </c>
      <c r="B412" t="s">
        <v>1652</v>
      </c>
      <c r="C412" t="s">
        <v>1651</v>
      </c>
      <c r="D412" s="3">
        <f t="shared" si="36"/>
        <v>471</v>
      </c>
      <c r="G412" s="3" t="s">
        <v>1470</v>
      </c>
      <c r="I412" t="s">
        <v>91</v>
      </c>
      <c r="J412" t="s">
        <v>91</v>
      </c>
      <c r="K412">
        <v>424</v>
      </c>
      <c r="L412">
        <v>424</v>
      </c>
      <c r="M412">
        <v>424</v>
      </c>
      <c r="O412" s="61" t="s">
        <v>1638</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5" t="s">
        <v>2645</v>
      </c>
      <c r="BA412" s="75"/>
      <c r="BB412" s="75"/>
      <c r="BC412" s="75"/>
      <c r="BD412" s="75"/>
      <c r="BE412" s="21" t="str">
        <f t="shared" si="37"/>
        <v>[471] = {wayshrines={424,424,424,}, dlcId=DLC_HARROWSTORM</v>
      </c>
      <c r="BF412" s="21" t="str">
        <f t="shared" si="38"/>
        <v>, zoneIds={1152,684,684}, veteran=false</v>
      </c>
      <c r="BG412" s="21" t="str">
        <f t="shared" si="39"/>
        <v>, setType=LIBSETS_SETTYPE_DUNGEON</v>
      </c>
      <c r="BH412" s="21" t="str">
        <f t="shared" si="40"/>
        <v>, dropMechanic={LIBSETS_DROP_MECHANIC_GROUP_DUNGEON_BOSS}</v>
      </c>
      <c r="BI412" s="21" t="str">
        <f t="shared" si="41"/>
        <v>}, --Hiti\'s Hearth / Hitis Feuerstelle   [Icereach, Wrothgar, Wrothgar]</v>
      </c>
    </row>
    <row r="413" spans="1:61" x14ac:dyDescent="0.25">
      <c r="A413" s="5">
        <v>472</v>
      </c>
      <c r="B413" t="s">
        <v>1653</v>
      </c>
      <c r="C413" t="s">
        <v>1639</v>
      </c>
      <c r="D413" s="3">
        <f t="shared" si="36"/>
        <v>472</v>
      </c>
      <c r="G413" s="3" t="s">
        <v>1470</v>
      </c>
      <c r="I413" t="s">
        <v>91</v>
      </c>
      <c r="J413" t="s">
        <v>91</v>
      </c>
      <c r="K413">
        <v>424</v>
      </c>
      <c r="L413">
        <v>424</v>
      </c>
      <c r="M413">
        <v>424</v>
      </c>
      <c r="O413" s="61" t="s">
        <v>1638</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5" t="s">
        <v>2645</v>
      </c>
      <c r="BA413" s="75"/>
      <c r="BB413" s="75"/>
      <c r="BC413" s="75"/>
      <c r="BD413" s="75"/>
      <c r="BE413" s="21" t="str">
        <f t="shared" si="37"/>
        <v>[472] = {wayshrines={424,424,424,}, dlcId=DLC_HARROWSTORM</v>
      </c>
      <c r="BF413" s="21" t="str">
        <f t="shared" si="38"/>
        <v>, zoneIds={1152,684,684}, veteran=false</v>
      </c>
      <c r="BG413" s="21" t="str">
        <f t="shared" si="39"/>
        <v>, setType=LIBSETS_SETTYPE_DUNGEON</v>
      </c>
      <c r="BH413" s="21" t="str">
        <f t="shared" si="40"/>
        <v>, dropMechanic={LIBSETS_DROP_MECHANIC_GROUP_DUNGEON_BOSS}</v>
      </c>
      <c r="BI413" s="21" t="str">
        <f t="shared" si="41"/>
        <v>}, --Titanborn Strength / Titanenkinds Stärke   [Icereach, Wrothgar, Wrothgar]</v>
      </c>
    </row>
    <row r="414" spans="1:61" x14ac:dyDescent="0.25">
      <c r="A414" s="5">
        <v>473</v>
      </c>
      <c r="B414" t="s">
        <v>1654</v>
      </c>
      <c r="C414" t="s">
        <v>2746</v>
      </c>
      <c r="D414" s="3">
        <f t="shared" si="36"/>
        <v>473</v>
      </c>
      <c r="G414" s="3" t="s">
        <v>1470</v>
      </c>
      <c r="I414" t="s">
        <v>91</v>
      </c>
      <c r="J414" t="s">
        <v>91</v>
      </c>
      <c r="K414">
        <v>424</v>
      </c>
      <c r="L414">
        <v>424</v>
      </c>
      <c r="M414">
        <v>424</v>
      </c>
      <c r="O414" s="61" t="s">
        <v>1638</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5" t="s">
        <v>2645</v>
      </c>
      <c r="BA414" s="75"/>
      <c r="BB414" s="75"/>
      <c r="BC414" s="75"/>
      <c r="BD414" s="75"/>
      <c r="BE414" s="21" t="str">
        <f t="shared" si="37"/>
        <v>[473] = {wayshrines={424,424,424,}, dlcId=DLC_HARROWSTORM</v>
      </c>
      <c r="BF414" s="21" t="str">
        <f t="shared" si="38"/>
        <v>, zoneIds={1152,684,684}, veteran=false</v>
      </c>
      <c r="BG414" s="21" t="str">
        <f t="shared" si="39"/>
        <v>, setType=LIBSETS_SETTYPE_DUNGEON</v>
      </c>
      <c r="BH414" s="21" t="str">
        <f t="shared" si="40"/>
        <v>, dropMechanic={LIBSETS_DROP_MECHANIC_GROUP_DUNGEON_BOSS}</v>
      </c>
      <c r="BI414" s="21" t="str">
        <f t="shared" si="41"/>
        <v>}, --Bani\'s Torment / Banis Qual   [Icereach, Wrothgar, Wrothgar]</v>
      </c>
    </row>
    <row r="415" spans="1:61" x14ac:dyDescent="0.25">
      <c r="A415" s="5">
        <v>474</v>
      </c>
      <c r="B415" t="s">
        <v>1655</v>
      </c>
      <c r="C415" t="s">
        <v>2745</v>
      </c>
      <c r="D415" s="3">
        <f t="shared" si="36"/>
        <v>474</v>
      </c>
      <c r="G415" s="3" t="s">
        <v>1470</v>
      </c>
      <c r="I415" t="s">
        <v>91</v>
      </c>
      <c r="J415" t="s">
        <v>91</v>
      </c>
      <c r="K415">
        <v>425</v>
      </c>
      <c r="L415">
        <v>425</v>
      </c>
      <c r="M415">
        <v>425</v>
      </c>
      <c r="O415" s="61" t="s">
        <v>1637</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5" t="s">
        <v>2645</v>
      </c>
      <c r="BA415" s="75"/>
      <c r="BB415" s="75"/>
      <c r="BC415" s="75"/>
      <c r="BD415" s="75"/>
      <c r="BE415" s="21" t="str">
        <f t="shared" si="37"/>
        <v>[474] = {wayshrines={425,425,425,}, dlcId=DLC_HARROWSTORM</v>
      </c>
      <c r="BF415" s="21" t="str">
        <f t="shared" si="38"/>
        <v>, zoneIds={1153,92,92}, veteran=false</v>
      </c>
      <c r="BG415" s="21" t="str">
        <f t="shared" si="39"/>
        <v>, setType=LIBSETS_SETTYPE_DUNGEON</v>
      </c>
      <c r="BH415" s="21" t="str">
        <f t="shared" si="40"/>
        <v>, dropMechanic={LIBSETS_DROP_MECHANIC_GROUP_DUNGEON_BOSS}</v>
      </c>
      <c r="BI415" s="21" t="str">
        <f t="shared" si="41"/>
        <v>}, --Draugrkin\'s Grip / Griff der Draugrbrut   [Unhallowed Grave, Bangkorai, Bangkorai]</v>
      </c>
    </row>
    <row r="416" spans="1:61" x14ac:dyDescent="0.25">
      <c r="A416" s="5">
        <v>475</v>
      </c>
      <c r="B416" t="s">
        <v>1656</v>
      </c>
      <c r="C416" t="s">
        <v>1641</v>
      </c>
      <c r="D416" s="3">
        <f t="shared" si="36"/>
        <v>475</v>
      </c>
      <c r="G416" s="3" t="s">
        <v>1470</v>
      </c>
      <c r="I416" t="s">
        <v>91</v>
      </c>
      <c r="J416" t="s">
        <v>91</v>
      </c>
      <c r="K416">
        <v>425</v>
      </c>
      <c r="L416">
        <v>425</v>
      </c>
      <c r="M416">
        <v>425</v>
      </c>
      <c r="O416" s="61" t="s">
        <v>1637</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5" t="s">
        <v>2645</v>
      </c>
      <c r="BA416" s="75"/>
      <c r="BB416" s="75"/>
      <c r="BC416" s="75"/>
      <c r="BD416" s="75"/>
      <c r="BE416" s="21" t="str">
        <f t="shared" si="37"/>
        <v>[475] = {wayshrines={425,425,425,}, dlcId=DLC_HARROWSTORM</v>
      </c>
      <c r="BF416" s="21" t="str">
        <f t="shared" si="38"/>
        <v>, zoneIds={1153,92,92}, veteran=false</v>
      </c>
      <c r="BG416" s="21" t="str">
        <f t="shared" si="39"/>
        <v>, setType=LIBSETS_SETTYPE_DUNGEON</v>
      </c>
      <c r="BH416" s="21" t="str">
        <f t="shared" si="40"/>
        <v>, dropMechanic={LIBSETS_DROP_MECHANIC_GROUP_DUNGEON_BOSS}</v>
      </c>
      <c r="BI416" s="21" t="str">
        <f t="shared" si="41"/>
        <v>}, --Aegis Caller / Ägisrufer   [Unhallowed Grave, Bangkorai, Bangkorai]</v>
      </c>
    </row>
    <row r="417" spans="1:61" x14ac:dyDescent="0.25">
      <c r="A417" s="5">
        <v>476</v>
      </c>
      <c r="B417" t="s">
        <v>1657</v>
      </c>
      <c r="C417" t="s">
        <v>1642</v>
      </c>
      <c r="D417" s="3">
        <f t="shared" si="36"/>
        <v>476</v>
      </c>
      <c r="G417" s="3" t="s">
        <v>1470</v>
      </c>
      <c r="I417" t="s">
        <v>91</v>
      </c>
      <c r="J417" t="s">
        <v>91</v>
      </c>
      <c r="K417">
        <v>425</v>
      </c>
      <c r="L417">
        <v>425</v>
      </c>
      <c r="M417">
        <v>425</v>
      </c>
      <c r="O417" s="61" t="s">
        <v>1637</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5" t="s">
        <v>2645</v>
      </c>
      <c r="BA417" s="75"/>
      <c r="BB417" s="75"/>
      <c r="BC417" s="75"/>
      <c r="BD417" s="75"/>
      <c r="BE417" s="21" t="str">
        <f t="shared" si="37"/>
        <v>[476] = {wayshrines={425,425,425,}, dlcId=DLC_HARROWSTORM</v>
      </c>
      <c r="BF417" s="21" t="str">
        <f t="shared" si="38"/>
        <v>, zoneIds={1153,92,92}, veteran=false</v>
      </c>
      <c r="BG417" s="21" t="str">
        <f t="shared" si="39"/>
        <v>, setType=LIBSETS_SETTYPE_DUNGEON</v>
      </c>
      <c r="BH417" s="21" t="str">
        <f t="shared" si="40"/>
        <v>, dropMechanic={LIBSETS_DROP_MECHANIC_GROUP_DUNGEON_BOSS}</v>
      </c>
      <c r="BI417" s="21" t="str">
        <f t="shared" si="41"/>
        <v>}, --Grave Guardian  / Grabwächter   [Unhallowed Grave, Bangkorai, Bangkorai]</v>
      </c>
    </row>
    <row r="418" spans="1:61" x14ac:dyDescent="0.25">
      <c r="A418" s="5">
        <v>478</v>
      </c>
      <c r="B418" t="s">
        <v>1646</v>
      </c>
      <c r="C418" t="s">
        <v>1640</v>
      </c>
      <c r="D418" s="3">
        <f t="shared" si="36"/>
        <v>478</v>
      </c>
      <c r="G418" s="3" t="s">
        <v>1472</v>
      </c>
      <c r="H418" s="83">
        <v>3</v>
      </c>
      <c r="I418" t="s">
        <v>1459</v>
      </c>
      <c r="J418" t="s">
        <v>91</v>
      </c>
      <c r="K418">
        <v>424</v>
      </c>
      <c r="L418">
        <v>424</v>
      </c>
      <c r="M418">
        <v>424</v>
      </c>
      <c r="O418" s="61" t="s">
        <v>1638</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5" t="s">
        <v>2645</v>
      </c>
      <c r="BA418" s="75"/>
      <c r="BB418" s="75"/>
      <c r="BC418" s="75"/>
      <c r="BD418" s="75"/>
      <c r="BE418" s="21" t="str">
        <f t="shared" si="37"/>
        <v>[478] = {wayshrines={424,424,424,}, dlcId=DLC_HARROWSTORM</v>
      </c>
      <c r="BF418" s="21" t="str">
        <f t="shared" si="38"/>
        <v>, zoneIds={1152,684,684}, veteran={[EQUIP_TYPE_HEAD]=true, [EQUIP_TYPE_SHOULDERS]=false}</v>
      </c>
      <c r="BG418" s="21" t="str">
        <f t="shared" si="39"/>
        <v>, setType=LIBSETS_SETTYPE_MONSTER, undauntedChestId=3</v>
      </c>
      <c r="BH418" s="21" t="str">
        <f t="shared" si="40"/>
        <v>, dropMechanic={LIBSETS_DROP_MECHANIC_MONSTER_NAME}, dropMechanicDropLocationNames={['en']={'Mother Ciannait','','','','','',},['de']={'Mutter Ciannait','','','','','',},}</v>
      </c>
      <c r="BI418" s="21" t="str">
        <f t="shared" si="41"/>
        <v>}, --Mother Ciannait / Mutter Ciannait   [Icereach, Wrothgar, Wrothgar]</v>
      </c>
    </row>
    <row r="419" spans="1:61" x14ac:dyDescent="0.25">
      <c r="A419" s="5">
        <v>479</v>
      </c>
      <c r="B419" t="s">
        <v>3912</v>
      </c>
      <c r="C419" t="s">
        <v>3913</v>
      </c>
      <c r="D419" s="3">
        <f t="shared" si="36"/>
        <v>479</v>
      </c>
      <c r="G419" s="3" t="s">
        <v>1472</v>
      </c>
      <c r="H419" s="83">
        <v>3</v>
      </c>
      <c r="I419" t="s">
        <v>1459</v>
      </c>
      <c r="J419" t="s">
        <v>91</v>
      </c>
      <c r="K419">
        <v>425</v>
      </c>
      <c r="L419">
        <v>425</v>
      </c>
      <c r="M419">
        <v>425</v>
      </c>
      <c r="O419" s="61" t="s">
        <v>1637</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1535</v>
      </c>
      <c r="W419" s="3" t="s">
        <v>3913</v>
      </c>
      <c r="X419" s="3" t="s">
        <v>3912</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5" t="s">
        <v>2645</v>
      </c>
      <c r="BA419" s="75"/>
      <c r="BB419" s="75"/>
      <c r="BC419" s="75"/>
      <c r="BD419" s="75"/>
      <c r="BE419" s="21" t="str">
        <f t="shared" si="37"/>
        <v>[479] = {wayshrines={425,425,425,}, dlcId=DLC_HARROWSTORM</v>
      </c>
      <c r="BF419" s="21" t="str">
        <f t="shared" si="38"/>
        <v>, zoneIds={1153,92,92}, veteran={[EQUIP_TYPE_HEAD]=true, [EQUIP_TYPE_SHOULDERS]=false}</v>
      </c>
      <c r="BG419" s="21" t="str">
        <f t="shared" si="39"/>
        <v>, setType=LIBSETS_SETTYPE_MONSTER, undauntedChestId=3</v>
      </c>
      <c r="BH419" s="21" t="str">
        <f t="shared" si="40"/>
        <v>, dropMechanic={LIBSETS_DROP_MECHANIC_MONSTER_NAME}, dropMechanicDropLocationNames={['en']={'Kjalnar\'s Nightmare','','','','','',},['de']={'Kjalnar\'s Albtraum','','','','','',},}</v>
      </c>
      <c r="BI419" s="21" t="str">
        <f t="shared" si="41"/>
        <v>}, --Kjalnar\'s Nightmare / Kjalnar\'s Albtraum   [Unhallowed Grave, Bangkorai, Bangkorai]</v>
      </c>
    </row>
    <row r="420" spans="1:61" x14ac:dyDescent="0.25">
      <c r="A420" s="5">
        <v>480</v>
      </c>
      <c r="B420" t="s">
        <v>1658</v>
      </c>
      <c r="C420" t="s">
        <v>1643</v>
      </c>
      <c r="D420" s="3">
        <f t="shared" si="36"/>
        <v>480</v>
      </c>
      <c r="E420" s="40"/>
      <c r="G420" s="3" t="s">
        <v>1467</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5" t="s">
        <v>2645</v>
      </c>
      <c r="BA420" s="75"/>
      <c r="BB420" s="75"/>
      <c r="BC420" s="75"/>
      <c r="BD420" s="75"/>
      <c r="BE420" s="21" t="str">
        <f t="shared" si="37"/>
        <v>[480] = {wayshrines={-1,-1,-1,}, traitsNeeded=3, dlcId=DLC_BASE_GAME</v>
      </c>
      <c r="BF420" s="21" t="str">
        <f t="shared" si="38"/>
        <v>, zoneIds={181,181}, veteran=false</v>
      </c>
      <c r="BG420" s="21" t="str">
        <f t="shared" si="39"/>
        <v>, setType=LIBSETS_SETTYPE_CRAFTED</v>
      </c>
      <c r="BH420" s="21" t="str">
        <f t="shared" si="40"/>
        <v>, dropMechanic={LIBSETS_DROP_MECHANIC_CRAFTED,LIBSETS_DROP_MECHANIC_CITY_CYRODIIL_VLASTARUS}, dropMechanicDropLocationNames={['en']={'','City Vlastarus (quartermaster)','','','','',},['de']={'','Stadt Vlastarus (Quartiermeister)','','','','',},}</v>
      </c>
      <c r="BI420" s="21" t="str">
        <f t="shared" si="41"/>
        <v>}, --Critical Riposte / Kritischer Konter   [Cyrodiil, Cyrodiil]</v>
      </c>
    </row>
    <row r="421" spans="1:61" x14ac:dyDescent="0.25">
      <c r="A421" s="5">
        <v>481</v>
      </c>
      <c r="B421" t="s">
        <v>1659</v>
      </c>
      <c r="C421" t="s">
        <v>1644</v>
      </c>
      <c r="D421" s="3">
        <f t="shared" si="36"/>
        <v>481</v>
      </c>
      <c r="G421" s="3" t="s">
        <v>1467</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5" t="s">
        <v>2645</v>
      </c>
      <c r="BA421" s="75"/>
      <c r="BB421" s="75"/>
      <c r="BC421" s="75"/>
      <c r="BD421" s="75"/>
      <c r="BE421" s="21" t="str">
        <f t="shared" si="37"/>
        <v>[481] = {wayshrines={-1,-1,-1,}, traitsNeeded=3, dlcId=DLC_BASE_GAME</v>
      </c>
      <c r="BF421" s="21" t="str">
        <f t="shared" si="38"/>
        <v>, zoneIds={181,181}, veteran=false</v>
      </c>
      <c r="BG421" s="21" t="str">
        <f t="shared" si="39"/>
        <v>, setType=LIBSETS_SETTYPE_CRAFTED</v>
      </c>
      <c r="BH421" s="21" t="str">
        <f t="shared" si="40"/>
        <v>, dropMechanic={LIBSETS_DROP_MECHANIC_CRAFTED,LIBSETS_DROP_MECHANIC_CITY_CYRODIIL_BRUMA}, dropMechanicDropLocationNames={['en']={'','City Bruma (quartermaster)','','','','',},['de']={'','Stadt Bruma (Quartiermeister)','','','','',},}</v>
      </c>
      <c r="BI421" s="21" t="str">
        <f t="shared" si="41"/>
        <v>}, --Unchained Aggressor / Entfesselter Aggressor   [Cyrodiil, Cyrodiil]</v>
      </c>
    </row>
    <row r="422" spans="1:61" x14ac:dyDescent="0.25">
      <c r="A422" s="5">
        <v>482</v>
      </c>
      <c r="B422" t="s">
        <v>1660</v>
      </c>
      <c r="C422" t="s">
        <v>1645</v>
      </c>
      <c r="D422" s="3">
        <f t="shared" si="36"/>
        <v>482</v>
      </c>
      <c r="E422" s="40"/>
      <c r="G422" s="3" t="s">
        <v>1467</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5" t="s">
        <v>2645</v>
      </c>
      <c r="BA422" s="75"/>
      <c r="BB422" s="75"/>
      <c r="BC422" s="75"/>
      <c r="BD422" s="75"/>
      <c r="BE422" s="21" t="str">
        <f t="shared" si="37"/>
        <v>[482] = {wayshrines={-1,-1,-1,}, traitsNeeded=3, dlcId=DLC_BASE_GAME</v>
      </c>
      <c r="BF422" s="21" t="str">
        <f t="shared" si="38"/>
        <v>, zoneIds={181,181}, veteran=false</v>
      </c>
      <c r="BG422" s="21" t="str">
        <f t="shared" si="39"/>
        <v>, setType=LIBSETS_SETTYPE_CRAFTED</v>
      </c>
      <c r="BH422" s="21" t="str">
        <f t="shared" si="40"/>
        <v>, dropMechanic={LIBSETS_DROP_MECHANIC_CRAFTED,LIBSETS_DROP_MECHANIC_CITY_CYRODIIL_CROPSFORD}, dropMechanicDropLocationNames={['en']={'','City Cropsford (quartermaster)','','','','',},['de']={'','Stadt Erntefurt (Quartiermeister)','','','','',},}</v>
      </c>
      <c r="BI422" s="21" t="str">
        <f t="shared" si="41"/>
        <v>}, --Dauntless Combatant / Furchtloser Kombattant   [Cyrodiil, Cyrodiil]</v>
      </c>
    </row>
    <row r="423" spans="1:61" x14ac:dyDescent="0.25">
      <c r="A423" s="5">
        <v>483</v>
      </c>
      <c r="B423" t="s">
        <v>1716</v>
      </c>
      <c r="C423" t="s">
        <v>1716</v>
      </c>
      <c r="D423" s="3">
        <f t="shared" si="36"/>
        <v>483</v>
      </c>
      <c r="E423" s="55" t="s">
        <v>1779</v>
      </c>
      <c r="F423" s="30" t="s">
        <v>1457</v>
      </c>
      <c r="G423" s="8" t="s">
        <v>1475</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5" t="s">
        <v>2645</v>
      </c>
      <c r="BA423" s="75"/>
      <c r="BB423" s="75"/>
      <c r="BC423" s="75"/>
      <c r="BD423" s="75"/>
      <c r="BE423" s="21" t="str">
        <f t="shared" si="37"/>
        <v/>
      </c>
      <c r="BF423" s="21" t="str">
        <f t="shared" si="38"/>
        <v/>
      </c>
      <c r="BG423" s="21" t="str">
        <f t="shared" si="39"/>
        <v/>
      </c>
      <c r="BH423" s="21" t="str">
        <f t="shared" si="40"/>
        <v/>
      </c>
      <c r="BI423" s="21" t="str">
        <f t="shared" si="41"/>
        <v/>
      </c>
    </row>
    <row r="424" spans="1:61" x14ac:dyDescent="0.25">
      <c r="A424" s="5">
        <v>484</v>
      </c>
      <c r="B424" t="s">
        <v>1717</v>
      </c>
      <c r="C424" t="s">
        <v>1717</v>
      </c>
      <c r="D424" s="3">
        <f t="shared" si="36"/>
        <v>484</v>
      </c>
      <c r="E424" s="55" t="s">
        <v>1779</v>
      </c>
      <c r="F424" s="30" t="s">
        <v>1457</v>
      </c>
      <c r="G424" s="8" t="s">
        <v>1475</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5" t="s">
        <v>2645</v>
      </c>
      <c r="BA424" s="75"/>
      <c r="BB424" s="75"/>
      <c r="BC424" s="75"/>
      <c r="BD424" s="75"/>
      <c r="BE424" s="21" t="str">
        <f t="shared" si="37"/>
        <v/>
      </c>
      <c r="BF424" s="21" t="str">
        <f t="shared" si="38"/>
        <v/>
      </c>
      <c r="BG424" s="21" t="str">
        <f t="shared" si="39"/>
        <v/>
      </c>
      <c r="BH424" s="21" t="str">
        <f t="shared" si="40"/>
        <v/>
      </c>
      <c r="BI424" s="21" t="str">
        <f t="shared" si="41"/>
        <v/>
      </c>
    </row>
    <row r="425" spans="1:61" x14ac:dyDescent="0.25">
      <c r="A425" s="5">
        <v>485</v>
      </c>
      <c r="B425" t="s">
        <v>1718</v>
      </c>
      <c r="C425" t="s">
        <v>1718</v>
      </c>
      <c r="D425" s="3">
        <f t="shared" si="36"/>
        <v>485</v>
      </c>
      <c r="E425" s="55" t="s">
        <v>1779</v>
      </c>
      <c r="F425" s="30" t="s">
        <v>1457</v>
      </c>
      <c r="G425" s="8" t="s">
        <v>1475</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5" t="s">
        <v>2645</v>
      </c>
      <c r="BA425" s="75"/>
      <c r="BB425" s="75"/>
      <c r="BC425" s="75"/>
      <c r="BD425" s="75"/>
      <c r="BE425" s="21" t="str">
        <f t="shared" si="37"/>
        <v/>
      </c>
      <c r="BF425" s="21" t="str">
        <f t="shared" si="38"/>
        <v/>
      </c>
      <c r="BG425" s="21" t="str">
        <f t="shared" si="39"/>
        <v/>
      </c>
      <c r="BH425" s="21" t="str">
        <f t="shared" si="40"/>
        <v/>
      </c>
      <c r="BI425" s="21" t="str">
        <f t="shared" si="41"/>
        <v/>
      </c>
    </row>
    <row r="426" spans="1:61" x14ac:dyDescent="0.25">
      <c r="A426" s="5">
        <v>486</v>
      </c>
      <c r="B426" t="s">
        <v>1719</v>
      </c>
      <c r="C426" t="s">
        <v>1719</v>
      </c>
      <c r="D426" s="3">
        <f t="shared" si="36"/>
        <v>486</v>
      </c>
      <c r="E426" s="55" t="s">
        <v>1779</v>
      </c>
      <c r="F426" s="30" t="s">
        <v>1457</v>
      </c>
      <c r="G426" s="8" t="s">
        <v>1475</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5" t="s">
        <v>2645</v>
      </c>
      <c r="BA426" s="75"/>
      <c r="BB426" s="75"/>
      <c r="BC426" s="75"/>
      <c r="BD426" s="75"/>
      <c r="BE426" s="21" t="str">
        <f t="shared" si="37"/>
        <v/>
      </c>
      <c r="BF426" s="21" t="str">
        <f t="shared" si="38"/>
        <v/>
      </c>
      <c r="BG426" s="21" t="str">
        <f t="shared" si="39"/>
        <v/>
      </c>
      <c r="BH426" s="21" t="str">
        <f t="shared" si="40"/>
        <v/>
      </c>
      <c r="BI426" s="21" t="str">
        <f t="shared" si="41"/>
        <v/>
      </c>
    </row>
    <row r="427" spans="1:61" x14ac:dyDescent="0.25">
      <c r="A427" s="5">
        <v>487</v>
      </c>
      <c r="B427" t="s">
        <v>1720</v>
      </c>
      <c r="C427" t="s">
        <v>2627</v>
      </c>
      <c r="D427" s="3">
        <f t="shared" si="36"/>
        <v>487</v>
      </c>
      <c r="G427" s="8" t="s">
        <v>1473</v>
      </c>
      <c r="I427" t="s">
        <v>91</v>
      </c>
      <c r="J427" t="s">
        <v>91</v>
      </c>
      <c r="K427">
        <v>418</v>
      </c>
      <c r="L427">
        <v>419</v>
      </c>
      <c r="M427">
        <v>421</v>
      </c>
      <c r="O427" s="61" t="s">
        <v>1677</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1551</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1553</v>
      </c>
      <c r="AI427" s="41"/>
      <c r="AJ427" s="41"/>
      <c r="AK427" s="3">
        <f>IF(AND(G427&lt;&gt;"LIBSETS_SETTYPE_BATTLEGROUND",G427&lt;&gt;"LIBSETS_SETTYPE_SPECIAL"),IF(AL427&lt;&gt;"",VLOOKUP(AL427,'ESO zone constants'!$D$5:$H$4955,5,FALSE),""),"")</f>
        <v>1160</v>
      </c>
      <c r="AL427" t="s">
        <v>1677</v>
      </c>
      <c r="AM427" s="33" t="s">
        <v>1554</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5" t="s">
        <v>2645</v>
      </c>
      <c r="BA427" s="75"/>
      <c r="BB427" s="75"/>
      <c r="BC427" s="75"/>
      <c r="BD427" s="75"/>
      <c r="BE427" s="21" t="str">
        <f t="shared" si="37"/>
        <v>[487] = {wayshrines={418,419,421,}, dlcId=DLC_BASE_GAME</v>
      </c>
      <c r="BF427" s="21" t="str">
        <f t="shared" si="38"/>
        <v>, zoneIds={1160,1160,1186,1160}, veteran=false</v>
      </c>
      <c r="BG427" s="21" t="str">
        <f t="shared" si="39"/>
        <v>, setType=LIBSETS_SETTYPE_OVERLAND</v>
      </c>
      <c r="BH427" s="21" t="str">
        <f t="shared" si="40"/>
        <v>, dropMechanic={LIBSETS_DROP_MECHANIC_OVERLAND_BOSS_DELVE,LIBSETS_DROP_MECHANIC_OVERLAND_BOSS_DELVE,LIBSETS_DROP_MECHANIC_OVERLAND_BOSS_PUBLIC_DUNGEON,LIBSETS_DROP_MECHANIC_OVERLAND_CHEST}</v>
      </c>
      <c r="BI427" s="21" t="str">
        <f t="shared" si="41"/>
        <v>}, --Winter\'s Respite / Winterruhe   [Western Skyrim, Western Skyrim, Labyrinthian, Western Skyrim]</v>
      </c>
    </row>
    <row r="428" spans="1:61" x14ac:dyDescent="0.25">
      <c r="A428" s="5">
        <v>488</v>
      </c>
      <c r="B428" t="s">
        <v>1721</v>
      </c>
      <c r="C428" t="s">
        <v>1722</v>
      </c>
      <c r="D428" s="3">
        <f t="shared" si="36"/>
        <v>488</v>
      </c>
      <c r="G428" s="8" t="s">
        <v>1473</v>
      </c>
      <c r="I428" t="s">
        <v>91</v>
      </c>
      <c r="J428" t="s">
        <v>91</v>
      </c>
      <c r="K428">
        <v>418</v>
      </c>
      <c r="L428">
        <v>419</v>
      </c>
      <c r="M428">
        <v>421</v>
      </c>
      <c r="O428" s="61" t="s">
        <v>1677</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1551</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1553</v>
      </c>
      <c r="AI428" s="41"/>
      <c r="AJ428" s="41"/>
      <c r="AK428" s="3">
        <f>IF(AND(G428&lt;&gt;"LIBSETS_SETTYPE_BATTLEGROUND",G428&lt;&gt;"LIBSETS_SETTYPE_SPECIAL"),IF(AL428&lt;&gt;"",VLOOKUP(AL428,'ESO zone constants'!$D$5:$H$4955,5,FALSE),""),"")</f>
        <v>1160</v>
      </c>
      <c r="AL428" t="s">
        <v>1677</v>
      </c>
      <c r="AM428" s="33" t="s">
        <v>1554</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5" t="s">
        <v>2645</v>
      </c>
      <c r="BA428" s="75"/>
      <c r="BB428" s="75"/>
      <c r="BC428" s="75"/>
      <c r="BD428" s="75"/>
      <c r="BE428" s="21" t="str">
        <f t="shared" si="37"/>
        <v>[488] = {wayshrines={418,419,421,}, dlcId=DLC_BASE_GAME</v>
      </c>
      <c r="BF428" s="21" t="str">
        <f t="shared" si="38"/>
        <v>, zoneIds={1160,1160,1186,1160}, veteran=false</v>
      </c>
      <c r="BG428" s="21" t="str">
        <f t="shared" si="39"/>
        <v>, setType=LIBSETS_SETTYPE_OVERLAND</v>
      </c>
      <c r="BH428" s="21" t="str">
        <f t="shared" si="40"/>
        <v>, dropMechanic={LIBSETS_DROP_MECHANIC_OVERLAND_BOSS_DELVE,LIBSETS_DROP_MECHANIC_OVERLAND_BOSS_DELVE,LIBSETS_DROP_MECHANIC_OVERLAND_BOSS_PUBLIC_DUNGEON,LIBSETS_DROP_MECHANIC_OVERLAND_CHEST}</v>
      </c>
      <c r="BI428" s="21" t="str">
        <f t="shared" si="41"/>
        <v>}, --Venomous Smite / Giftschlag   [Western Skyrim, Western Skyrim, Labyrinthian, Western Skyrim]</v>
      </c>
    </row>
    <row r="429" spans="1:61" x14ac:dyDescent="0.25">
      <c r="A429" s="5">
        <v>489</v>
      </c>
      <c r="B429" t="s">
        <v>1723</v>
      </c>
      <c r="C429" t="s">
        <v>1724</v>
      </c>
      <c r="D429" s="3">
        <f t="shared" si="36"/>
        <v>489</v>
      </c>
      <c r="G429" s="8" t="s">
        <v>1473</v>
      </c>
      <c r="I429" t="s">
        <v>91</v>
      </c>
      <c r="J429" t="s">
        <v>91</v>
      </c>
      <c r="K429">
        <v>418</v>
      </c>
      <c r="L429">
        <v>419</v>
      </c>
      <c r="M429">
        <v>421</v>
      </c>
      <c r="O429" s="61" t="s">
        <v>1677</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1551</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1553</v>
      </c>
      <c r="AI429" s="41"/>
      <c r="AJ429" s="41"/>
      <c r="AK429" s="3">
        <f>IF(AND(G429&lt;&gt;"LIBSETS_SETTYPE_BATTLEGROUND",G429&lt;&gt;"LIBSETS_SETTYPE_SPECIAL"),IF(AL429&lt;&gt;"",VLOOKUP(AL429,'ESO zone constants'!$D$5:$H$4955,5,FALSE),""),"")</f>
        <v>1160</v>
      </c>
      <c r="AL429" t="s">
        <v>1677</v>
      </c>
      <c r="AM429" s="33" t="s">
        <v>1554</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5" t="s">
        <v>2645</v>
      </c>
      <c r="BA429" s="75"/>
      <c r="BB429" s="75"/>
      <c r="BC429" s="75"/>
      <c r="BD429" s="75"/>
      <c r="BE429" s="21" t="str">
        <f t="shared" si="37"/>
        <v>[489] = {wayshrines={418,419,421,}, dlcId=DLC_BASE_GAME</v>
      </c>
      <c r="BF429" s="21" t="str">
        <f t="shared" si="38"/>
        <v>, zoneIds={1160,1160,1186,1160}, veteran=false</v>
      </c>
      <c r="BG429" s="21" t="str">
        <f t="shared" si="39"/>
        <v>, setType=LIBSETS_SETTYPE_OVERLAND</v>
      </c>
      <c r="BH429" s="21" t="str">
        <f t="shared" si="40"/>
        <v>, dropMechanic={LIBSETS_DROP_MECHANIC_OVERLAND_BOSS_DELVE,LIBSETS_DROP_MECHANIC_OVERLAND_BOSS_DELVE,LIBSETS_DROP_MECHANIC_OVERLAND_BOSS_PUBLIC_DUNGEON,LIBSETS_DROP_MECHANIC_OVERLAND_CHEST}</v>
      </c>
      <c r="BI429" s="21" t="str">
        <f t="shared" si="41"/>
        <v>}, --Eternal Vigor / Ewiger Elan   [Western Skyrim, Western Skyrim, Labyrinthian, Western Skyrim]</v>
      </c>
    </row>
    <row r="430" spans="1:61" x14ac:dyDescent="0.25">
      <c r="A430" s="5">
        <v>490</v>
      </c>
      <c r="B430" t="s">
        <v>1725</v>
      </c>
      <c r="C430" t="s">
        <v>2628</v>
      </c>
      <c r="D430" s="3">
        <f t="shared" si="36"/>
        <v>490</v>
      </c>
      <c r="G430" s="8" t="s">
        <v>1467</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3276</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3276</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5" t="s">
        <v>2645</v>
      </c>
      <c r="BA430" s="75"/>
      <c r="BB430" s="75"/>
      <c r="BC430" s="75"/>
      <c r="BD430" s="75"/>
      <c r="BE430" s="21" t="str">
        <f t="shared" si="37"/>
        <v>[490] = {wayshrines={418,418,418,}, traitsNeeded=5, dlcId=DLC_BASE_GAME</v>
      </c>
      <c r="BF430" s="21" t="str">
        <f t="shared" si="38"/>
        <v>, zoneIds={1160,1160,1160}, veteran=false</v>
      </c>
      <c r="BG430" s="21" t="str">
        <f t="shared" si="39"/>
        <v>, setType=LIBSETS_SETTYPE_CRAFTED</v>
      </c>
      <c r="BH430" s="21" t="str">
        <f t="shared" si="40"/>
        <v>, dropMechanic={LIBSETS_DROP_MECHANIC_CRAFTED,LIBSETS_DROP_MECHANIC_CRAFTED,LIBSETS_DROP_MECHANIC_CRAFTED}</v>
      </c>
      <c r="BI430" s="21" t="str">
        <f t="shared" si="41"/>
        <v>}, --Stuhn\'s Favor / Stuhns Gunst   [Western Skyrim, Western Skyrim, Western Skyrim]</v>
      </c>
    </row>
    <row r="431" spans="1:61" x14ac:dyDescent="0.25">
      <c r="A431" s="5">
        <v>491</v>
      </c>
      <c r="B431" t="s">
        <v>1726</v>
      </c>
      <c r="C431" t="s">
        <v>2629</v>
      </c>
      <c r="D431" s="3">
        <f t="shared" si="36"/>
        <v>491</v>
      </c>
      <c r="G431" s="8" t="s">
        <v>1467</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3276</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3276</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5" t="s">
        <v>2645</v>
      </c>
      <c r="BA431" s="75"/>
      <c r="BB431" s="75"/>
      <c r="BC431" s="75"/>
      <c r="BD431" s="75"/>
      <c r="BE431" s="21" t="str">
        <f t="shared" si="37"/>
        <v>[491] = {wayshrines={417,417,417,}, traitsNeeded=7, dlcId=DLC_BASE_GAME</v>
      </c>
      <c r="BF431" s="21" t="str">
        <f t="shared" si="38"/>
        <v>, zoneIds={1160,1160,1160}, veteran=false</v>
      </c>
      <c r="BG431" s="21" t="str">
        <f t="shared" si="39"/>
        <v>, setType=LIBSETS_SETTYPE_CRAFTED</v>
      </c>
      <c r="BH431" s="21" t="str">
        <f t="shared" si="40"/>
        <v>, dropMechanic={LIBSETS_DROP_MECHANIC_CRAFTED,LIBSETS_DROP_MECHANIC_CRAFTED,LIBSETS_DROP_MECHANIC_CRAFTED}</v>
      </c>
      <c r="BI431" s="21" t="str">
        <f t="shared" si="41"/>
        <v>}, --Dragon\'s Appetite / Appetit des Drachen   [Western Skyrim, Western Skyrim, Western Skyrim]</v>
      </c>
    </row>
    <row r="432" spans="1:61" x14ac:dyDescent="0.25">
      <c r="A432" s="5">
        <v>492</v>
      </c>
      <c r="B432" t="s">
        <v>1727</v>
      </c>
      <c r="C432" t="s">
        <v>2630</v>
      </c>
      <c r="D432" s="3">
        <f t="shared" si="36"/>
        <v>492</v>
      </c>
      <c r="G432" s="8" t="s">
        <v>1474</v>
      </c>
      <c r="I432" t="s">
        <v>91</v>
      </c>
      <c r="J432" t="s">
        <v>91</v>
      </c>
      <c r="K432">
        <v>434</v>
      </c>
      <c r="L432">
        <v>434</v>
      </c>
      <c r="M432">
        <v>434</v>
      </c>
      <c r="O432" s="61" t="s">
        <v>1696</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3254</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5" t="s">
        <v>2645</v>
      </c>
      <c r="BA432" s="75"/>
      <c r="BB432" s="75"/>
      <c r="BC432" s="75"/>
      <c r="BD432" s="75">
        <v>493</v>
      </c>
      <c r="BE432" s="21" t="str">
        <f t="shared" si="37"/>
        <v>[492] = {wayshrines={434,434,434,}, dlcId=DLC_GREYMOOR</v>
      </c>
      <c r="BF432" s="21" t="str">
        <f t="shared" si="38"/>
        <v>, zoneIds={1196,1196,1196}, veteran=false</v>
      </c>
      <c r="BG432" s="21" t="str">
        <f t="shared" si="39"/>
        <v>, setType=LIBSETS_SETTYPE_TRIAL</v>
      </c>
      <c r="BH432" s="21" t="str">
        <f t="shared" si="40"/>
        <v>, dropMechanic={LIBSETS_DROP_MECHANIC_TRIAL_BOSS,LIBSETS_DROP_MECHANIC_TRIAL_BOSS,LIBSETS_DROP_MECHANIC_TRIAL_BOSS}, perfectedSetId=493</v>
      </c>
      <c r="BI432" s="21" t="str">
        <f t="shared" si="41"/>
        <v>}, --Kyne\'s Wind / Kynes Wind   [Kyne's Aegis, Kyne's Aegis, Kyne's Aegis]</v>
      </c>
    </row>
    <row r="433" spans="1:61" x14ac:dyDescent="0.25">
      <c r="A433" s="5">
        <v>493</v>
      </c>
      <c r="B433" t="s">
        <v>1728</v>
      </c>
      <c r="C433" t="s">
        <v>2631</v>
      </c>
      <c r="D433" s="3">
        <f t="shared" si="36"/>
        <v>493</v>
      </c>
      <c r="G433" s="8" t="s">
        <v>1474</v>
      </c>
      <c r="I433" t="s">
        <v>92</v>
      </c>
      <c r="J433" t="s">
        <v>91</v>
      </c>
      <c r="K433">
        <v>434</v>
      </c>
      <c r="L433">
        <v>434</v>
      </c>
      <c r="M433">
        <v>434</v>
      </c>
      <c r="O433" s="61" t="s">
        <v>1696</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3254</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5" t="s">
        <v>2645</v>
      </c>
      <c r="BA433" s="75"/>
      <c r="BB433" s="75"/>
      <c r="BC433" s="75"/>
      <c r="BD433" s="75" t="s">
        <v>3812</v>
      </c>
      <c r="BE433" s="21" t="str">
        <f t="shared" si="37"/>
        <v>[493] = {wayshrines={434,434,434,}, dlcId=DLC_GREYMOOR</v>
      </c>
      <c r="BF433" s="21" t="str">
        <f t="shared" si="38"/>
        <v>, zoneIds={1196,1196,1196}, veteran=true</v>
      </c>
      <c r="BG433" s="21" t="str">
        <f t="shared" si="39"/>
        <v>, setType=LIBSETS_SETTYPE_TRIAL</v>
      </c>
      <c r="BH433" s="21" t="str">
        <f t="shared" si="40"/>
        <v>, dropMechanic={LIBSETS_DROP_MECHANIC_TRIAL_BOSS,LIBSETS_DROP_MECHANIC_TRIAL_BOSS,LIBSETS_DROP_MECHANIC_TRIAL_BOSS}, isPerfectedSet=1</v>
      </c>
      <c r="BI433" s="21" t="str">
        <f t="shared" si="41"/>
        <v>}, --Perfected Kyne\'s Wind / Kynes perfektionierter Wind   [Kyne's Aegis, Kyne's Aegis, Kyne's Aegis]</v>
      </c>
    </row>
    <row r="434" spans="1:61" x14ac:dyDescent="0.25">
      <c r="A434" s="5">
        <v>494</v>
      </c>
      <c r="B434" t="s">
        <v>1729</v>
      </c>
      <c r="C434" t="s">
        <v>2632</v>
      </c>
      <c r="D434" s="3">
        <f t="shared" si="36"/>
        <v>494</v>
      </c>
      <c r="G434" s="8" t="s">
        <v>1474</v>
      </c>
      <c r="I434" t="s">
        <v>91</v>
      </c>
      <c r="J434" t="s">
        <v>91</v>
      </c>
      <c r="K434">
        <v>434</v>
      </c>
      <c r="L434">
        <v>434</v>
      </c>
      <c r="M434">
        <v>434</v>
      </c>
      <c r="O434" s="61" t="s">
        <v>1696</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3254</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5" t="s">
        <v>2645</v>
      </c>
      <c r="BA434" s="75"/>
      <c r="BB434" s="75"/>
      <c r="BC434" s="75"/>
      <c r="BD434" s="75">
        <v>495</v>
      </c>
      <c r="BE434" s="21" t="str">
        <f t="shared" si="37"/>
        <v>[494] = {wayshrines={434,434,434,}, dlcId=DLC_GREYMOOR</v>
      </c>
      <c r="BF434" s="21" t="str">
        <f t="shared" si="38"/>
        <v>, zoneIds={1196,1196,1196}, veteran=false</v>
      </c>
      <c r="BG434" s="21" t="str">
        <f t="shared" si="39"/>
        <v>, setType=LIBSETS_SETTYPE_TRIAL</v>
      </c>
      <c r="BH434" s="21" t="str">
        <f t="shared" si="40"/>
        <v>, dropMechanic={LIBSETS_DROP_MECHANIC_TRIAL_BOSS,LIBSETS_DROP_MECHANIC_TRIAL_BOSS,LIBSETS_DROP_MECHANIC_TRIAL_BOSS}, perfectedSetId=495</v>
      </c>
      <c r="BI434" s="21" t="str">
        <f t="shared" si="41"/>
        <v>}, --Vrol\'s Command / Vrols Befehl   [Kyne's Aegis, Kyne's Aegis, Kyne's Aegis]</v>
      </c>
    </row>
    <row r="435" spans="1:61" x14ac:dyDescent="0.25">
      <c r="A435" s="5">
        <v>495</v>
      </c>
      <c r="B435" t="s">
        <v>1730</v>
      </c>
      <c r="C435" t="s">
        <v>2633</v>
      </c>
      <c r="D435" s="3">
        <f t="shared" si="36"/>
        <v>495</v>
      </c>
      <c r="G435" s="8" t="s">
        <v>1474</v>
      </c>
      <c r="I435" t="s">
        <v>92</v>
      </c>
      <c r="J435" t="s">
        <v>91</v>
      </c>
      <c r="K435">
        <v>434</v>
      </c>
      <c r="L435">
        <v>434</v>
      </c>
      <c r="M435">
        <v>434</v>
      </c>
      <c r="O435" s="61" t="s">
        <v>1696</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3254</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5" t="s">
        <v>2645</v>
      </c>
      <c r="BA435" s="75"/>
      <c r="BB435" s="75"/>
      <c r="BC435" s="75"/>
      <c r="BD435" s="75" t="s">
        <v>3812</v>
      </c>
      <c r="BE435" s="21" t="str">
        <f t="shared" si="37"/>
        <v>[495] = {wayshrines={434,434,434,}, dlcId=DLC_GREYMOOR</v>
      </c>
      <c r="BF435" s="21" t="str">
        <f t="shared" si="38"/>
        <v>, zoneIds={1196,1196,1196}, veteran=true</v>
      </c>
      <c r="BG435" s="21" t="str">
        <f t="shared" si="39"/>
        <v>, setType=LIBSETS_SETTYPE_TRIAL</v>
      </c>
      <c r="BH435" s="21" t="str">
        <f t="shared" si="40"/>
        <v>, dropMechanic={LIBSETS_DROP_MECHANIC_TRIAL_BOSS,LIBSETS_DROP_MECHANIC_TRIAL_BOSS,LIBSETS_DROP_MECHANIC_TRIAL_BOSS}, isPerfectedSet=1</v>
      </c>
      <c r="BI435" s="21" t="str">
        <f t="shared" si="41"/>
        <v>}, --Perfected Vrol\'s Command / Vrols perfektionierter Befehl   [Kyne's Aegis, Kyne's Aegis, Kyne's Aegis]</v>
      </c>
    </row>
    <row r="436" spans="1:61" x14ac:dyDescent="0.25">
      <c r="A436" s="5">
        <v>496</v>
      </c>
      <c r="B436" t="s">
        <v>1731</v>
      </c>
      <c r="C436" t="s">
        <v>1732</v>
      </c>
      <c r="D436" s="3">
        <f t="shared" si="36"/>
        <v>496</v>
      </c>
      <c r="G436" s="8" t="s">
        <v>1474</v>
      </c>
      <c r="I436" t="s">
        <v>91</v>
      </c>
      <c r="J436" t="s">
        <v>91</v>
      </c>
      <c r="K436">
        <v>434</v>
      </c>
      <c r="L436">
        <v>434</v>
      </c>
      <c r="M436">
        <v>434</v>
      </c>
      <c r="O436" s="61" t="s">
        <v>1696</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3254</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5" t="s">
        <v>2645</v>
      </c>
      <c r="BA436" s="75"/>
      <c r="BB436" s="75"/>
      <c r="BC436" s="75"/>
      <c r="BD436" s="75">
        <v>497</v>
      </c>
      <c r="BE436" s="21" t="str">
        <f t="shared" si="37"/>
        <v>[496] = {wayshrines={434,434,434,}, dlcId=DLC_GREYMOOR</v>
      </c>
      <c r="BF436" s="21" t="str">
        <f t="shared" si="38"/>
        <v>, zoneIds={1196,1196,1196}, veteran=false</v>
      </c>
      <c r="BG436" s="21" t="str">
        <f t="shared" si="39"/>
        <v>, setType=LIBSETS_SETTYPE_TRIAL</v>
      </c>
      <c r="BH436" s="21" t="str">
        <f t="shared" si="40"/>
        <v>, dropMechanic={LIBSETS_DROP_MECHANIC_TRIAL_BOSS,LIBSETS_DROP_MECHANIC_TRIAL_BOSS,LIBSETS_DROP_MECHANIC_TRIAL_BOSS}, perfectedSetId=497</v>
      </c>
      <c r="BI436" s="21" t="str">
        <f t="shared" si="41"/>
        <v>}, --Roaring Opportunist / Brüllender Opportunist   [Kyne's Aegis, Kyne's Aegis, Kyne's Aegis]</v>
      </c>
    </row>
    <row r="437" spans="1:61" x14ac:dyDescent="0.25">
      <c r="A437" s="5">
        <v>497</v>
      </c>
      <c r="B437" t="s">
        <v>1733</v>
      </c>
      <c r="C437" t="s">
        <v>1734</v>
      </c>
      <c r="D437" s="3">
        <f t="shared" si="36"/>
        <v>497</v>
      </c>
      <c r="G437" s="8" t="s">
        <v>1474</v>
      </c>
      <c r="I437" t="s">
        <v>92</v>
      </c>
      <c r="J437" t="s">
        <v>91</v>
      </c>
      <c r="K437">
        <v>434</v>
      </c>
      <c r="L437">
        <v>434</v>
      </c>
      <c r="M437">
        <v>434</v>
      </c>
      <c r="O437" s="61" t="s">
        <v>1696</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3254</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5" t="s">
        <v>2645</v>
      </c>
      <c r="BA437" s="75"/>
      <c r="BB437" s="75"/>
      <c r="BC437" s="75"/>
      <c r="BD437" s="75" t="s">
        <v>3812</v>
      </c>
      <c r="BE437" s="21" t="str">
        <f t="shared" si="37"/>
        <v>[497] = {wayshrines={434,434,434,}, dlcId=DLC_GREYMOOR</v>
      </c>
      <c r="BF437" s="21" t="str">
        <f t="shared" si="38"/>
        <v>, zoneIds={1196,1196,1196}, veteran=true</v>
      </c>
      <c r="BG437" s="21" t="str">
        <f t="shared" si="39"/>
        <v>, setType=LIBSETS_SETTYPE_TRIAL</v>
      </c>
      <c r="BH437" s="21" t="str">
        <f t="shared" si="40"/>
        <v>, dropMechanic={LIBSETS_DROP_MECHANIC_TRIAL_BOSS,LIBSETS_DROP_MECHANIC_TRIAL_BOSS,LIBSETS_DROP_MECHANIC_TRIAL_BOSS}, isPerfectedSet=1</v>
      </c>
      <c r="BI437" s="21" t="str">
        <f t="shared" si="41"/>
        <v>}, --Perfected Roaring Opportunist / Perfektionierter brüllender Opportunist   [Kyne's Aegis, Kyne's Aegis, Kyne's Aegis]</v>
      </c>
    </row>
    <row r="438" spans="1:61" x14ac:dyDescent="0.25">
      <c r="A438" s="5">
        <v>498</v>
      </c>
      <c r="B438" t="s">
        <v>1735</v>
      </c>
      <c r="C438" t="s">
        <v>2634</v>
      </c>
      <c r="D438" s="3">
        <f t="shared" si="36"/>
        <v>498</v>
      </c>
      <c r="G438" s="8" t="s">
        <v>1474</v>
      </c>
      <c r="I438" t="s">
        <v>91</v>
      </c>
      <c r="J438" t="s">
        <v>91</v>
      </c>
      <c r="K438">
        <v>434</v>
      </c>
      <c r="L438">
        <v>434</v>
      </c>
      <c r="M438">
        <v>434</v>
      </c>
      <c r="O438" s="61" t="s">
        <v>1696</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3254</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5" t="s">
        <v>2645</v>
      </c>
      <c r="BA438" s="75"/>
      <c r="BB438" s="75"/>
      <c r="BC438" s="75"/>
      <c r="BD438" s="75">
        <v>499</v>
      </c>
      <c r="BE438" s="21" t="str">
        <f t="shared" si="37"/>
        <v>[498] = {wayshrines={434,434,434,}, dlcId=DLC_GREYMOOR</v>
      </c>
      <c r="BF438" s="21" t="str">
        <f t="shared" si="38"/>
        <v>, zoneIds={1196,1196,1196}, veteran=false</v>
      </c>
      <c r="BG438" s="21" t="str">
        <f t="shared" si="39"/>
        <v>, setType=LIBSETS_SETTYPE_TRIAL</v>
      </c>
      <c r="BH438" s="21" t="str">
        <f t="shared" si="40"/>
        <v>, dropMechanic={LIBSETS_DROP_MECHANIC_TRIAL_BOSS,LIBSETS_DROP_MECHANIC_TRIAL_BOSS,LIBSETS_DROP_MECHANIC_TRIAL_BOSS}, perfectedSetId=499</v>
      </c>
      <c r="BI438" s="21" t="str">
        <f t="shared" si="41"/>
        <v>}, --Yandir\'s Might / Yandirs Macht   [Kyne's Aegis, Kyne's Aegis, Kyne's Aegis]</v>
      </c>
    </row>
    <row r="439" spans="1:61" x14ac:dyDescent="0.25">
      <c r="A439" s="5">
        <v>499</v>
      </c>
      <c r="B439" t="s">
        <v>1736</v>
      </c>
      <c r="C439" t="s">
        <v>2635</v>
      </c>
      <c r="D439" s="3">
        <f t="shared" si="36"/>
        <v>499</v>
      </c>
      <c r="G439" s="8" t="s">
        <v>1474</v>
      </c>
      <c r="I439" t="s">
        <v>92</v>
      </c>
      <c r="J439" t="s">
        <v>91</v>
      </c>
      <c r="K439">
        <v>434</v>
      </c>
      <c r="L439">
        <v>434</v>
      </c>
      <c r="M439">
        <v>434</v>
      </c>
      <c r="O439" s="61" t="s">
        <v>1696</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3254</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5" t="s">
        <v>2645</v>
      </c>
      <c r="BA439" s="75"/>
      <c r="BB439" s="75"/>
      <c r="BC439" s="75"/>
      <c r="BD439" s="75" t="s">
        <v>3812</v>
      </c>
      <c r="BE439" s="21" t="str">
        <f t="shared" si="37"/>
        <v>[499] = {wayshrines={434,434,434,}, dlcId=DLC_GREYMOOR</v>
      </c>
      <c r="BF439" s="21" t="str">
        <f t="shared" si="38"/>
        <v>, zoneIds={1196,1196,1196}, veteran=true</v>
      </c>
      <c r="BG439" s="21" t="str">
        <f t="shared" si="39"/>
        <v>, setType=LIBSETS_SETTYPE_TRIAL</v>
      </c>
      <c r="BH439" s="21" t="str">
        <f t="shared" si="40"/>
        <v>, dropMechanic={LIBSETS_DROP_MECHANIC_TRIAL_BOSS,LIBSETS_DROP_MECHANIC_TRIAL_BOSS,LIBSETS_DROP_MECHANIC_TRIAL_BOSS}, isPerfectedSet=1</v>
      </c>
      <c r="BI439" s="21" t="str">
        <f t="shared" si="41"/>
        <v>}, --Perfected Yandir\'s Might / Yandirs perfektionierte Macht   [Kyne's Aegis, Kyne's Aegis, Kyne's Aegis]</v>
      </c>
    </row>
    <row r="440" spans="1:61" x14ac:dyDescent="0.25">
      <c r="A440" s="5">
        <v>500</v>
      </c>
      <c r="B440" t="s">
        <v>1737</v>
      </c>
      <c r="C440" t="s">
        <v>2636</v>
      </c>
      <c r="D440" s="3">
        <f t="shared" si="36"/>
        <v>500</v>
      </c>
      <c r="E440" s="40" t="s">
        <v>1780</v>
      </c>
      <c r="F440" s="30" t="s">
        <v>1457</v>
      </c>
      <c r="G440" s="8"/>
      <c r="O440" s="61" t="s">
        <v>1677</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5" t="s">
        <v>2645</v>
      </c>
      <c r="BA440" s="75"/>
      <c r="BB440" s="75"/>
      <c r="BC440" s="75"/>
      <c r="BD440" s="75"/>
      <c r="BE440" s="21" t="str">
        <f t="shared" si="37"/>
        <v/>
      </c>
      <c r="BF440" s="21" t="str">
        <f t="shared" si="38"/>
        <v/>
      </c>
      <c r="BG440" s="21" t="str">
        <f t="shared" si="39"/>
        <v/>
      </c>
      <c r="BH440" s="21" t="str">
        <f t="shared" si="40"/>
        <v/>
      </c>
      <c r="BI440" s="21" t="str">
        <f t="shared" si="41"/>
        <v/>
      </c>
    </row>
    <row r="441" spans="1:61" x14ac:dyDescent="0.25">
      <c r="A441" s="5">
        <v>501</v>
      </c>
      <c r="B441" t="s">
        <v>1739</v>
      </c>
      <c r="C441" t="s">
        <v>1738</v>
      </c>
      <c r="D441" s="3">
        <f t="shared" si="36"/>
        <v>501</v>
      </c>
      <c r="G441" s="8" t="s">
        <v>1671</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1603</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3207</v>
      </c>
      <c r="AI441" s="41" t="s">
        <v>3235</v>
      </c>
      <c r="AJ441" s="41" t="s">
        <v>3236</v>
      </c>
      <c r="AK441" s="3">
        <f>IF(AND(G441&lt;&gt;"LIBSETS_SETTYPE_BATTLEGROUND",G441&lt;&gt;"LIBSETS_SETTYPE_SPECIAL"),IF(AL441&lt;&gt;"",VLOOKUP(AL441,'ESO zone constants'!$D$5:$H$4955,5,FALSE),""),"")</f>
        <v>1020</v>
      </c>
      <c r="AL441" t="s">
        <v>671</v>
      </c>
      <c r="AM441" s="33" t="s">
        <v>1552</v>
      </c>
      <c r="AN441" s="41"/>
      <c r="AO441" s="41"/>
      <c r="AP441" s="3">
        <f>IF(AND(G441&lt;&gt;"LIBSETS_SETTYPE_BATTLEGROUND",G441&lt;&gt;"LIBSETS_SETTYPE_SPECIAL"),IF(AQ441&lt;&gt;"",VLOOKUP(AQ441,'ESO zone constants'!$D$5:$H$4955,5,FALSE),""),"")</f>
        <v>1027</v>
      </c>
      <c r="AQ441" t="s">
        <v>678</v>
      </c>
      <c r="AR441" s="33" t="s">
        <v>3213</v>
      </c>
      <c r="AS441" s="41" t="s">
        <v>4019</v>
      </c>
      <c r="AT441" s="41" t="s">
        <v>3237</v>
      </c>
      <c r="AU441" s="3" t="str">
        <f>IF(AND(G441&lt;&gt;"LIBSETS_SETTYPE_BATTLEGROUND",G441&lt;&gt;"LIBSETS_SETTYPE_SPECIAL"),IF(AV441&lt;&gt;"",VLOOKUP(AV441,'ESO zone constants'!$D$5:$H$4955,5,FALSE),""),"")</f>
        <v/>
      </c>
      <c r="AV441" s="38"/>
      <c r="AX441" s="41"/>
      <c r="AY441" s="41"/>
      <c r="AZ441" s="75" t="s">
        <v>2645</v>
      </c>
      <c r="BA441" s="36" t="s">
        <v>3174</v>
      </c>
      <c r="BB441" s="36" t="s">
        <v>3174</v>
      </c>
      <c r="BC441" s="36"/>
      <c r="BD441" s="36"/>
      <c r="BE441" s="21" t="str">
        <f t="shared" si="37"/>
        <v>[501] = {wayshrines={176,360,179,}, dlcId=DLC_GREYMOOR</v>
      </c>
      <c r="BF441" s="21" t="str">
        <f t="shared" si="38"/>
        <v>, zoneIds={381,1027,534,1020,1027}, veteran=false</v>
      </c>
      <c r="BG441" s="21" t="str">
        <f t="shared" si="39"/>
        <v>, setType=LIBSETS_SETTYPE_MYTHIC</v>
      </c>
      <c r="BH441" s="21" t="str">
        <f t="shared" si="40"/>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1"/>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 t="shared" si="36"/>
        <v>502</v>
      </c>
      <c r="E442" t="s">
        <v>1781</v>
      </c>
      <c r="F442" s="30" t="s">
        <v>1457</v>
      </c>
      <c r="G442" s="8"/>
      <c r="O442" s="61" t="s">
        <v>1677</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5" t="s">
        <v>2645</v>
      </c>
      <c r="BA442" s="75"/>
      <c r="BB442" s="75"/>
      <c r="BC442" s="75"/>
      <c r="BD442" s="75"/>
      <c r="BE442" s="21" t="str">
        <f t="shared" si="37"/>
        <v/>
      </c>
      <c r="BF442" s="21" t="str">
        <f t="shared" si="38"/>
        <v/>
      </c>
      <c r="BG442" s="21" t="str">
        <f t="shared" si="39"/>
        <v/>
      </c>
      <c r="BH442" s="21" t="str">
        <f t="shared" si="40"/>
        <v/>
      </c>
      <c r="BI442" s="21" t="str">
        <f t="shared" si="41"/>
        <v/>
      </c>
    </row>
    <row r="443" spans="1:61" x14ac:dyDescent="0.25">
      <c r="A443" s="5">
        <v>503</v>
      </c>
      <c r="B443" t="s">
        <v>1741</v>
      </c>
      <c r="C443" t="s">
        <v>1742</v>
      </c>
      <c r="D443" s="3">
        <f t="shared" si="36"/>
        <v>503</v>
      </c>
      <c r="G443" s="8" t="s">
        <v>1671</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1603</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1552</v>
      </c>
      <c r="AI443" s="41"/>
      <c r="AJ443" s="41"/>
      <c r="AK443" s="3">
        <f>IF(AND(G443&lt;&gt;"LIBSETS_SETTYPE_BATTLEGROUND",G443&lt;&gt;"LIBSETS_SETTYPE_SPECIAL"),IF(AL443&lt;&gt;"",VLOOKUP(AL443,'ESO zone constants'!$D$5:$H$4955,5,FALSE),""),"")</f>
        <v>931</v>
      </c>
      <c r="AL443" t="s">
        <v>56</v>
      </c>
      <c r="AM443" s="33" t="s">
        <v>3273</v>
      </c>
      <c r="AN443" s="41" t="s">
        <v>1539</v>
      </c>
      <c r="AO443" s="41" t="s">
        <v>1630</v>
      </c>
      <c r="AP443" s="3">
        <f>IF(AND(G443&lt;&gt;"LIBSETS_SETTYPE_BATTLEGROUND",G443&lt;&gt;"LIBSETS_SETTYPE_SPECIAL"),IF(AQ443&lt;&gt;"",VLOOKUP(AQ443,'ESO zone constants'!$D$5:$H$4955,5,FALSE),""),"")</f>
        <v>108</v>
      </c>
      <c r="AQ443" t="s">
        <v>113</v>
      </c>
      <c r="AR443" s="33" t="s">
        <v>1552</v>
      </c>
      <c r="AS443" s="41"/>
      <c r="AT443" s="41"/>
      <c r="AU443" s="3">
        <f>IF(AND(G443&lt;&gt;"LIBSETS_SETTYPE_BATTLEGROUND",G443&lt;&gt;"LIBSETS_SETTYPE_SPECIAL"),IF(AV443&lt;&gt;"",VLOOKUP(AV443,'ESO zone constants'!$D$5:$H$4955,5,FALSE),""),"")</f>
        <v>726</v>
      </c>
      <c r="AV443" t="s">
        <v>80</v>
      </c>
      <c r="AW443" s="33" t="s">
        <v>1552</v>
      </c>
      <c r="AX443" s="41"/>
      <c r="AY443" s="41"/>
      <c r="AZ443" s="75" t="s">
        <v>2645</v>
      </c>
      <c r="BA443" s="36" t="s">
        <v>3171</v>
      </c>
      <c r="BB443" s="36" t="s">
        <v>3171</v>
      </c>
      <c r="BC443" s="36"/>
      <c r="BD443" s="36"/>
      <c r="BE443" s="21" t="str">
        <f t="shared" si="37"/>
        <v>[503] = {wayshrines={62,374,107,}, dlcId=DLC_GREYMOOR</v>
      </c>
      <c r="BF443" s="21" t="str">
        <f t="shared" si="38"/>
        <v>, zoneIds={3,726,58,931,108,726}, veteran=false</v>
      </c>
      <c r="BG443" s="21" t="str">
        <f t="shared" si="39"/>
        <v>, setType=LIBSETS_SETTYPE_MYTHIC</v>
      </c>
      <c r="BH443" s="21"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 t="shared" si="36"/>
        <v>504</v>
      </c>
      <c r="E444" t="s">
        <v>1782</v>
      </c>
      <c r="F444" s="30" t="s">
        <v>1457</v>
      </c>
      <c r="G444" s="8"/>
      <c r="O444" s="61" t="s">
        <v>1677</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5" t="s">
        <v>2645</v>
      </c>
      <c r="BA444" s="75"/>
      <c r="BB444" s="75"/>
      <c r="BC444" s="75"/>
      <c r="BD444" s="75"/>
      <c r="BE444" s="21" t="str">
        <f t="shared" si="37"/>
        <v/>
      </c>
      <c r="BF444" s="21" t="str">
        <f t="shared" si="38"/>
        <v/>
      </c>
      <c r="BG444" s="21" t="str">
        <f t="shared" si="39"/>
        <v/>
      </c>
      <c r="BH444" s="21" t="str">
        <f t="shared" si="40"/>
        <v/>
      </c>
      <c r="BI444" s="21" t="str">
        <f t="shared" si="41"/>
        <v/>
      </c>
    </row>
    <row r="445" spans="1:61" x14ac:dyDescent="0.25">
      <c r="A445" s="5">
        <v>505</v>
      </c>
      <c r="B445" t="s">
        <v>1745</v>
      </c>
      <c r="C445" t="s">
        <v>1744</v>
      </c>
      <c r="D445" s="3">
        <f t="shared" si="36"/>
        <v>505</v>
      </c>
      <c r="G445" s="8" t="s">
        <v>1671</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1603</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3273</v>
      </c>
      <c r="AI445" s="41" t="s">
        <v>1361</v>
      </c>
      <c r="AJ445" s="41" t="s">
        <v>1623</v>
      </c>
      <c r="AK445" s="3">
        <f>IF(AND(G445&lt;&gt;"LIBSETS_SETTYPE_BATTLEGROUND",G445&lt;&gt;"LIBSETS_SETTYPE_SPECIAL"),IF(AL445&lt;&gt;"",VLOOKUP(AL445,'ESO zone constants'!$D$5:$H$4955,5,FALSE),""),"")</f>
        <v>216</v>
      </c>
      <c r="AL445" t="s">
        <v>144</v>
      </c>
      <c r="AM445" s="33" t="s">
        <v>1553</v>
      </c>
      <c r="AN445" s="41"/>
      <c r="AO445" s="41"/>
      <c r="AP445" s="3">
        <f>IF(AND(G445&lt;&gt;"LIBSETS_SETTYPE_BATTLEGROUND",G445&lt;&gt;"LIBSETS_SETTYPE_SPECIAL"),IF(AQ445&lt;&gt;"",VLOOKUP(AQ445,'ESO zone constants'!$D$5:$H$4955,5,FALSE),""),"")</f>
        <v>888</v>
      </c>
      <c r="AQ445" t="s">
        <v>562</v>
      </c>
      <c r="AR445" s="33" t="s">
        <v>1552</v>
      </c>
      <c r="AS445" s="41"/>
      <c r="AT445" s="41"/>
      <c r="AU445" s="3" t="str">
        <f>IF(AND(G445&lt;&gt;"LIBSETS_SETTYPE_BATTLEGROUND",G445&lt;&gt;"LIBSETS_SETTYPE_SPECIAL"),IF(AV445&lt;&gt;"",VLOOKUP(AV445,'ESO zone constants'!$D$5:$H$4955,5,FALSE),""),"")</f>
        <v/>
      </c>
      <c r="AX445" s="41"/>
      <c r="AY445" s="41"/>
      <c r="AZ445" s="75" t="s">
        <v>2645</v>
      </c>
      <c r="BA445" s="36" t="s">
        <v>3175</v>
      </c>
      <c r="BB445" s="36" t="s">
        <v>3175</v>
      </c>
      <c r="BC445" s="36"/>
      <c r="BD445" s="36"/>
      <c r="BE445" s="21" t="str">
        <f t="shared" si="37"/>
        <v>[505] = {wayshrines={57,26,186,}, dlcId=DLC_GREYMOOR</v>
      </c>
      <c r="BF445" s="21" t="str">
        <f t="shared" si="38"/>
        <v>, zoneIds={104,57,38,216,888}, veteran=false</v>
      </c>
      <c r="BG445" s="21" t="str">
        <f t="shared" si="39"/>
        <v>, setType=LIBSETS_SETTYPE_MYTHIC</v>
      </c>
      <c r="BH445" s="21"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 t="shared" si="36"/>
        <v>506</v>
      </c>
      <c r="G446" s="8" t="s">
        <v>1467</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3276</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3276</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5" t="s">
        <v>2645</v>
      </c>
      <c r="BA446" s="75"/>
      <c r="BB446" s="75"/>
      <c r="BC446" s="75"/>
      <c r="BD446" s="75"/>
      <c r="BE446" s="21" t="str">
        <f t="shared" si="37"/>
        <v>[506] = {wayshrines={430,430,430,}, traitsNeeded=3, dlcId=DLC_MARKARTH</v>
      </c>
      <c r="BF446" s="21" t="str">
        <f t="shared" si="38"/>
        <v>, zoneIds={1161,1161,1161}, veteran=false</v>
      </c>
      <c r="BG446" s="21" t="str">
        <f t="shared" si="39"/>
        <v>, setType=LIBSETS_SETTYPE_CRAFTED</v>
      </c>
      <c r="BH446" s="21" t="str">
        <f t="shared" si="40"/>
        <v>, dropMechanic={LIBSETS_DROP_MECHANIC_CRAFTED,LIBSETS_DROP_MECHANIC_CRAFTED,LIBSETS_DROP_MECHANIC_CRAFTED}</v>
      </c>
      <c r="BI446" s="21" t="str">
        <f t="shared" si="41"/>
        <v>}, --Spell Parasite / Magieparasit   [Blackreach: Greymoor Caverns, Blackreach: Greymoor Caverns, Blackreach: Greymoor Caverns]</v>
      </c>
    </row>
    <row r="447" spans="1:61" ht="15" customHeight="1" x14ac:dyDescent="0.25">
      <c r="A447" s="76">
        <v>509</v>
      </c>
      <c r="B447" s="77" t="s">
        <v>1748</v>
      </c>
      <c r="C447" t="s">
        <v>1748</v>
      </c>
      <c r="D447" s="3">
        <f t="shared" si="36"/>
        <v>509</v>
      </c>
      <c r="E447" s="55" t="s">
        <v>1779</v>
      </c>
      <c r="F447" s="30" t="s">
        <v>1457</v>
      </c>
      <c r="G447" s="8" t="s">
        <v>1475</v>
      </c>
      <c r="O447" s="61" t="s">
        <v>1677</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1788</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5" t="s">
        <v>2645</v>
      </c>
      <c r="BA447" s="75"/>
      <c r="BB447" s="75"/>
      <c r="BC447" s="75"/>
      <c r="BD447" s="75"/>
      <c r="BE447" s="21" t="str">
        <f t="shared" si="37"/>
        <v/>
      </c>
      <c r="BF447" s="21" t="str">
        <f t="shared" si="38"/>
        <v/>
      </c>
      <c r="BG447" s="21" t="str">
        <f t="shared" si="39"/>
        <v/>
      </c>
      <c r="BH447" s="21" t="str">
        <f t="shared" si="40"/>
        <v/>
      </c>
      <c r="BI447" s="21" t="str">
        <f t="shared" si="41"/>
        <v/>
      </c>
    </row>
    <row r="448" spans="1:61" ht="15" customHeight="1" x14ac:dyDescent="0.25">
      <c r="A448" s="76">
        <v>510</v>
      </c>
      <c r="B448" s="77" t="s">
        <v>1749</v>
      </c>
      <c r="C448" t="s">
        <v>1749</v>
      </c>
      <c r="D448" s="3">
        <f t="shared" si="36"/>
        <v>510</v>
      </c>
      <c r="E448" s="55" t="s">
        <v>1779</v>
      </c>
      <c r="F448" s="30" t="s">
        <v>1457</v>
      </c>
      <c r="G448" s="8" t="s">
        <v>1475</v>
      </c>
      <c r="O448" s="61" t="s">
        <v>1677</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1788</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5" t="s">
        <v>2645</v>
      </c>
      <c r="BA448" s="75"/>
      <c r="BB448" s="75"/>
      <c r="BC448" s="75"/>
      <c r="BD448" s="75"/>
      <c r="BE448" s="21" t="str">
        <f t="shared" si="37"/>
        <v/>
      </c>
      <c r="BF448" s="21" t="str">
        <f t="shared" si="38"/>
        <v/>
      </c>
      <c r="BG448" s="21" t="str">
        <f t="shared" si="39"/>
        <v/>
      </c>
      <c r="BH448" s="21" t="str">
        <f t="shared" si="40"/>
        <v/>
      </c>
      <c r="BI448" s="21" t="str">
        <f t="shared" si="41"/>
        <v/>
      </c>
    </row>
    <row r="449" spans="1:61" ht="15" customHeight="1" x14ac:dyDescent="0.25">
      <c r="A449" s="76">
        <v>511</v>
      </c>
      <c r="B449" s="77" t="s">
        <v>1750</v>
      </c>
      <c r="C449" t="s">
        <v>1750</v>
      </c>
      <c r="D449" s="3">
        <f t="shared" si="36"/>
        <v>511</v>
      </c>
      <c r="E449" s="55" t="s">
        <v>1779</v>
      </c>
      <c r="F449" s="30" t="s">
        <v>1457</v>
      </c>
      <c r="G449" s="8" t="s">
        <v>1475</v>
      </c>
      <c r="O449" s="61" t="s">
        <v>1677</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1788</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5" t="s">
        <v>2645</v>
      </c>
      <c r="BA449" s="75"/>
      <c r="BB449" s="75"/>
      <c r="BC449" s="75"/>
      <c r="BD449" s="75"/>
      <c r="BE449" s="21" t="str">
        <f t="shared" si="37"/>
        <v/>
      </c>
      <c r="BF449" s="21" t="str">
        <f t="shared" si="38"/>
        <v/>
      </c>
      <c r="BG449" s="21" t="str">
        <f t="shared" si="39"/>
        <v/>
      </c>
      <c r="BH449" s="21" t="str">
        <f t="shared" si="40"/>
        <v/>
      </c>
      <c r="BI449" s="21" t="str">
        <f t="shared" si="41"/>
        <v/>
      </c>
    </row>
    <row r="450" spans="1:61" ht="15" customHeight="1" x14ac:dyDescent="0.25">
      <c r="A450" s="76">
        <v>512</v>
      </c>
      <c r="B450" s="77" t="s">
        <v>1751</v>
      </c>
      <c r="C450" t="s">
        <v>1751</v>
      </c>
      <c r="D450" s="3">
        <f t="shared" si="36"/>
        <v>512</v>
      </c>
      <c r="E450" s="55" t="s">
        <v>1779</v>
      </c>
      <c r="F450" s="30" t="s">
        <v>1457</v>
      </c>
      <c r="G450" s="8" t="s">
        <v>1475</v>
      </c>
      <c r="O450" s="61" t="s">
        <v>1677</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1788</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5" t="s">
        <v>2645</v>
      </c>
      <c r="BA450" s="75"/>
      <c r="BB450" s="75"/>
      <c r="BC450" s="75"/>
      <c r="BD450" s="75"/>
      <c r="BE450" s="21" t="str">
        <f t="shared" si="37"/>
        <v/>
      </c>
      <c r="BF450" s="21" t="str">
        <f t="shared" si="38"/>
        <v/>
      </c>
      <c r="BG450" s="21" t="str">
        <f t="shared" si="39"/>
        <v/>
      </c>
      <c r="BH450" s="21" t="str">
        <f t="shared" si="40"/>
        <v/>
      </c>
      <c r="BI450" s="21" t="str">
        <f t="shared" si="41"/>
        <v/>
      </c>
    </row>
    <row r="451" spans="1:61" ht="15" customHeight="1" x14ac:dyDescent="0.25">
      <c r="A451" s="5">
        <v>513</v>
      </c>
      <c r="B451" t="s">
        <v>2145</v>
      </c>
      <c r="C451" t="s">
        <v>2744</v>
      </c>
      <c r="D451" s="3">
        <f t="shared" ref="D451:D514" si="42">A451</f>
        <v>513</v>
      </c>
      <c r="G451" s="3" t="s">
        <v>1470</v>
      </c>
      <c r="I451" t="s">
        <v>91</v>
      </c>
      <c r="J451" t="s">
        <v>91</v>
      </c>
      <c r="K451">
        <v>436</v>
      </c>
      <c r="L451">
        <v>436</v>
      </c>
      <c r="M451">
        <v>436</v>
      </c>
      <c r="O451" s="61" t="s">
        <v>1792</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5" t="s">
        <v>2645</v>
      </c>
      <c r="BA451" s="75"/>
      <c r="BB451" s="75"/>
      <c r="BC451" s="75"/>
      <c r="BD451" s="75"/>
      <c r="BE451" s="21"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1"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 CONCATENATE(", veteran=", I451), ""),""),"")</f>
        <v>, zoneIds={1201,1160,1160}, veteran=false</v>
      </c>
      <c r="BG451" s="21" t="str">
        <f t="shared" ref="BG451:BG514" si="45">IF(A451&lt;&gt;"",IF(F451&lt;&gt;"Not in the game (anymore)",IF(A451&lt;&gt;"",", setType="&amp;G451,"")&amp;IF(G451="LIBSETS_SETTYPE_CLASS",", classId="&amp;BC451,"")&amp;IF(J451="true",", multiTrialSet=true",""),"")
&amp; IF(AND(H451&lt;&gt;"",ISNUMBER(H451)),", undauntedChestId=" &amp; H451,""),"")</f>
        <v>, setType=LIBSETS_SETTYPE_DUNGEON</v>
      </c>
      <c r="BH451" s="21" t="str">
        <f t="shared" ref="BH451:BH514" si="46">IF(A451&lt;&gt;"",IF(F451&lt;&gt;"Not in the game (anymore)",IF(AZ451&lt;&gt;"",", isProcSetAllowedInPvP="&amp; AZ451,"")
&amp; IF(F451&lt;&gt;"Not in the game (anymore)",
  IF(V451&lt;&gt;"",", dropMechanic={"&amp;V451&amp;IF(AB451&lt;&gt;"",","&amp;AB451,"")&amp;IF(AH451&lt;&gt;"",","&amp;AH451,"")&amp;IF(AM451&lt;&gt;"",","&amp;AM451,"")&amp;IF(AR451&lt;&gt;"",","&amp;AR451,"")&amp;IF(AW451&lt;&gt;"",","&amp;AW451,"")&amp;"}"
     &amp;IF(OR(W451&lt;&gt;"",AC451&lt;&gt;"",AI451&lt;&gt;"",AN451&lt;&gt;"",AS451&lt;&gt;"",AX451&lt;&gt;"",X451&lt;&gt;"",AD451&lt;&gt;"",AJ451&lt;&gt;"",AO451&lt;&gt;"",AT451&lt;&gt;"",AY451&lt;&gt;""),", dropMechanicDropLocationNames={"
        &amp; IF(OR(W451&lt;&gt;"",AC451&lt;&gt;"",AI451&lt;&gt;"",AN451&lt;&gt;"",AS451&lt;&gt;"",AX451&lt;&gt;""),"['en']={"&amp;IF(W451&lt;&gt;"","'"&amp;W451&amp;"',","'',")&amp;IF(AC451&lt;&gt;"","'"&amp;AC451&amp;"',","'',")&amp;IF(AI451&lt;&gt;"","'"&amp;AI451&amp;"',","'',")&amp;IF(AN451&lt;&gt;"","'"&amp;AN451&amp;"',","'',")&amp;IF(AS451&lt;&gt;"","'"&amp;AS451&amp;"',","'',")&amp;IF(AX451&lt;&gt;"","'"&amp;AX451&amp;"',","'',")&amp;"},","")
        &amp; IF(OR(X451&lt;&gt;"",AD451&lt;&gt;"",AJ451&lt;&gt;"",AO451&lt;&gt;"",AT451&lt;&gt;"",AY451&lt;&gt;""),"['de']={"&amp;IF(X451&lt;&gt;"","'"&amp;X451&amp;"',","'',")&amp;IF(AD451&lt;&gt;"","'"&amp;AD451&amp;"',","'',")&amp;IF(AJ451&lt;&gt;"","'"&amp;AJ451&amp;"',","'',")&amp;IF(AO451&lt;&gt;"","'"&amp;AO451&amp;"',","'',")&amp;IF(AT451&lt;&gt;"","'"&amp;AT451&amp;"',","'',")&amp;IF(AY451&lt;&gt;"","'"&amp;AY451&amp;"',","'',")&amp;"},","")
     &amp; "}",""),"")),""),"")
&amp; IF(AND(BD451&lt;&gt;"",BD451&lt;&gt;"X"), ", perfectedSetId=" &amp; BD451, IF(BD451&lt;&gt;"",", isPerfectedSet=1",""))</f>
        <v>, dropMechanic={LIBSETS_DROP_MECHANIC_GROUP_DUNGEON_BOSS}</v>
      </c>
      <c r="BI451" s="21" t="str">
        <f t="shared" ref="BI451:BI514" si="47">IF(A451&lt;&gt;"",IF(F451&lt;&gt;"Not in the game (anymore)",
IF(OR(BA451&lt;&gt;"",BB451&lt;&gt;""),", addTooltip={" &amp; IF(BA451&lt;&gt;"","['en']='"&amp; BA451 &amp; "',","")  &amp; IF(AND(BA451&lt;&gt;"",BA451&lt;&gt;BB451), IF(BB451&lt;&gt;"","['de']='"&amp; BB451 &amp; "',",""),"") &amp; "},","")
&amp; "},"
&amp; 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5">
        <v>514</v>
      </c>
      <c r="B452" t="s">
        <v>2146</v>
      </c>
      <c r="C452" t="s">
        <v>1793</v>
      </c>
      <c r="D452" s="3">
        <f t="shared" si="42"/>
        <v>514</v>
      </c>
      <c r="G452" s="3" t="s">
        <v>1470</v>
      </c>
      <c r="I452" t="s">
        <v>91</v>
      </c>
      <c r="J452" t="s">
        <v>91</v>
      </c>
      <c r="K452">
        <v>436</v>
      </c>
      <c r="L452">
        <v>436</v>
      </c>
      <c r="M452">
        <v>436</v>
      </c>
      <c r="O452" s="61" t="s">
        <v>1792</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5" t="s">
        <v>2645</v>
      </c>
      <c r="BA452" s="75"/>
      <c r="BB452" s="75"/>
      <c r="BC452" s="75"/>
      <c r="BD452" s="75"/>
      <c r="BE452" s="21" t="str">
        <f t="shared" si="43"/>
        <v>[514] = {wayshrines={436,436,436,}, dlcId=DLC_STONETHORN</v>
      </c>
      <c r="BF452" s="21" t="str">
        <f t="shared" si="44"/>
        <v>, zoneIds={1201,1160,1160}, veteran=false</v>
      </c>
      <c r="BG452" s="21" t="str">
        <f t="shared" si="45"/>
        <v>, setType=LIBSETS_SETTYPE_DUNGEON</v>
      </c>
      <c r="BH452" s="21" t="str">
        <f t="shared" si="46"/>
        <v>, dropMechanic={LIBSETS_DROP_MECHANIC_GROUP_DUNGEON_BOSS}</v>
      </c>
      <c r="BI452" s="21" t="str">
        <f t="shared" si="47"/>
        <v>}, --Unleashed Terror / Entfesselter Schrecken   [Castle Thorn, Western Skyrim, Western Skyrim]</v>
      </c>
    </row>
    <row r="453" spans="1:61" ht="15" customHeight="1" x14ac:dyDescent="0.25">
      <c r="A453" s="5">
        <v>515</v>
      </c>
      <c r="B453" t="s">
        <v>2147</v>
      </c>
      <c r="C453" t="s">
        <v>1794</v>
      </c>
      <c r="D453" s="3">
        <f t="shared" si="42"/>
        <v>515</v>
      </c>
      <c r="G453" s="3" t="s">
        <v>1470</v>
      </c>
      <c r="I453" t="s">
        <v>91</v>
      </c>
      <c r="J453" t="s">
        <v>91</v>
      </c>
      <c r="K453">
        <v>436</v>
      </c>
      <c r="L453">
        <v>436</v>
      </c>
      <c r="M453">
        <v>436</v>
      </c>
      <c r="O453" s="61" t="s">
        <v>1792</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5" t="s">
        <v>2645</v>
      </c>
      <c r="BA453" s="75"/>
      <c r="BB453" s="75"/>
      <c r="BC453" s="75"/>
      <c r="BD453" s="75"/>
      <c r="BE453" s="21" t="str">
        <f t="shared" si="43"/>
        <v>[515] = {wayshrines={436,436,436,}, dlcId=DLC_STONETHORN</v>
      </c>
      <c r="BF453" s="21" t="str">
        <f t="shared" si="44"/>
        <v>, zoneIds={1201,1160,1160}, veteran=false</v>
      </c>
      <c r="BG453" s="21" t="str">
        <f t="shared" si="45"/>
        <v>, setType=LIBSETS_SETTYPE_DUNGEON</v>
      </c>
      <c r="BH453" s="21" t="str">
        <f t="shared" si="46"/>
        <v>, dropMechanic={LIBSETS_DROP_MECHANIC_GROUP_DUNGEON_BOSS}</v>
      </c>
      <c r="BI453" s="21" t="str">
        <f t="shared" si="47"/>
        <v>}, --Crimson Twilight / Scharlachrotes Zwielicht   [Castle Thorn, Western Skyrim, Western Skyrim]</v>
      </c>
    </row>
    <row r="454" spans="1:61" ht="15" customHeight="1" x14ac:dyDescent="0.25">
      <c r="A454" s="5">
        <v>516</v>
      </c>
      <c r="B454" t="s">
        <v>2148</v>
      </c>
      <c r="C454" t="s">
        <v>1796</v>
      </c>
      <c r="D454" s="3">
        <f t="shared" si="42"/>
        <v>516</v>
      </c>
      <c r="G454" s="3" t="s">
        <v>1470</v>
      </c>
      <c r="I454" t="s">
        <v>91</v>
      </c>
      <c r="J454" t="s">
        <v>91</v>
      </c>
      <c r="K454">
        <v>433</v>
      </c>
      <c r="L454">
        <v>433</v>
      </c>
      <c r="M454">
        <v>433</v>
      </c>
      <c r="O454" s="61" t="s">
        <v>1797</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5" t="s">
        <v>2645</v>
      </c>
      <c r="BA454" s="75"/>
      <c r="BB454" s="75"/>
      <c r="BC454" s="75"/>
      <c r="BD454" s="75"/>
      <c r="BE454" s="21" t="str">
        <f t="shared" si="43"/>
        <v>[516] = {wayshrines={433,433,433,}, dlcId=DLC_STONETHORN</v>
      </c>
      <c r="BF454" s="21" t="str">
        <f t="shared" si="44"/>
        <v>, zoneIds={1197,0,0}, veteran=false</v>
      </c>
      <c r="BG454" s="21" t="str">
        <f t="shared" si="45"/>
        <v>, setType=LIBSETS_SETTYPE_DUNGEON</v>
      </c>
      <c r="BH454" s="21" t="str">
        <f t="shared" si="46"/>
        <v>, dropMechanic={LIBSETS_DROP_MECHANIC_GROUP_DUNGEON_BOSS}</v>
      </c>
      <c r="BI454" s="21" t="str">
        <f t="shared" si="47"/>
        <v>}, --Elemental Catalyst / Elementarer Katalysator   [Stone Garden, Tamriel Map, Tamriel Map]</v>
      </c>
    </row>
    <row r="455" spans="1:61" ht="15" customHeight="1" x14ac:dyDescent="0.25">
      <c r="A455" s="5">
        <v>517</v>
      </c>
      <c r="B455" t="s">
        <v>2149</v>
      </c>
      <c r="C455" t="s">
        <v>2743</v>
      </c>
      <c r="D455" s="3">
        <f t="shared" si="42"/>
        <v>517</v>
      </c>
      <c r="G455" s="3" t="s">
        <v>1470</v>
      </c>
      <c r="I455" t="s">
        <v>91</v>
      </c>
      <c r="J455" t="s">
        <v>91</v>
      </c>
      <c r="K455">
        <v>433</v>
      </c>
      <c r="L455">
        <v>433</v>
      </c>
      <c r="M455">
        <v>433</v>
      </c>
      <c r="O455" s="61" t="s">
        <v>1797</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5" t="s">
        <v>2645</v>
      </c>
      <c r="BA455" s="75"/>
      <c r="BB455" s="75"/>
      <c r="BC455" s="75"/>
      <c r="BD455" s="75"/>
      <c r="BE455" s="21" t="str">
        <f t="shared" si="43"/>
        <v>[517] = {wayshrines={433,433,433,}, dlcId=DLC_STONETHORN</v>
      </c>
      <c r="BF455" s="21" t="str">
        <f t="shared" si="44"/>
        <v>, zoneIds={1197,0,0}, veteran=false</v>
      </c>
      <c r="BG455" s="21" t="str">
        <f t="shared" si="45"/>
        <v>, setType=LIBSETS_SETTYPE_DUNGEON</v>
      </c>
      <c r="BH455" s="21" t="str">
        <f t="shared" si="46"/>
        <v>, dropMechanic={LIBSETS_DROP_MECHANIC_GROUP_DUNGEON_BOSS}</v>
      </c>
      <c r="BI455" s="21" t="str">
        <f t="shared" si="47"/>
        <v>}, --Kraglen\'s Howl / Kraglens Heulen   [Stone Garden, Tamriel Map, Tamriel Map]</v>
      </c>
    </row>
    <row r="456" spans="1:61" x14ac:dyDescent="0.25">
      <c r="A456" s="5">
        <v>518</v>
      </c>
      <c r="B456" t="s">
        <v>2150</v>
      </c>
      <c r="C456" t="s">
        <v>2742</v>
      </c>
      <c r="D456" s="3">
        <f t="shared" si="42"/>
        <v>518</v>
      </c>
      <c r="G456" s="3" t="s">
        <v>1470</v>
      </c>
      <c r="I456" t="s">
        <v>91</v>
      </c>
      <c r="J456" t="s">
        <v>91</v>
      </c>
      <c r="K456">
        <v>433</v>
      </c>
      <c r="L456">
        <v>433</v>
      </c>
      <c r="M456">
        <v>433</v>
      </c>
      <c r="O456" s="61" t="s">
        <v>1797</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5" t="s">
        <v>2645</v>
      </c>
      <c r="BA456" s="75"/>
      <c r="BB456" s="75"/>
      <c r="BC456" s="75"/>
      <c r="BD456" s="75"/>
      <c r="BE456" s="21" t="str">
        <f t="shared" si="43"/>
        <v>[518] = {wayshrines={433,433,433,}, dlcId=DLC_STONETHORN</v>
      </c>
      <c r="BF456" s="21" t="str">
        <f t="shared" si="44"/>
        <v>, zoneIds={1197,0,0}, veteran=false</v>
      </c>
      <c r="BG456" s="21" t="str">
        <f t="shared" si="45"/>
        <v>, setType=LIBSETS_SETTYPE_DUNGEON</v>
      </c>
      <c r="BH456" s="21" t="str">
        <f t="shared" si="46"/>
        <v>, dropMechanic={LIBSETS_DROP_MECHANIC_GROUP_DUNGEON_BOSS}</v>
      </c>
      <c r="BI456" s="21" t="str">
        <f t="shared" si="47"/>
        <v>}, --Arkasis\'s Genius / Arkasis' Genie   [Stone Garden, Tamriel Map, Tamriel Map]</v>
      </c>
    </row>
    <row r="457" spans="1:61" x14ac:dyDescent="0.25">
      <c r="A457" s="5">
        <v>519</v>
      </c>
      <c r="B457" t="s">
        <v>1752</v>
      </c>
      <c r="C457" t="s">
        <v>1753</v>
      </c>
      <c r="D457" s="3">
        <f t="shared" si="42"/>
        <v>519</v>
      </c>
      <c r="G457" s="8" t="s">
        <v>1671</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1603</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1552</v>
      </c>
      <c r="AI457" s="41"/>
      <c r="AJ457" s="41"/>
      <c r="AK457" s="3">
        <f>IF(AND(G457&lt;&gt;"LIBSETS_SETTYPE_BATTLEGROUND",G457&lt;&gt;"LIBSETS_SETTYPE_SPECIAL"),IF(AL457&lt;&gt;"",VLOOKUP(AL457,'ESO zone constants'!$D$5:$H$4955,5,FALSE),""),"")</f>
        <v>449</v>
      </c>
      <c r="AL457" t="s">
        <v>48</v>
      </c>
      <c r="AM457" s="33" t="s">
        <v>3273</v>
      </c>
      <c r="AN457" s="41" t="s">
        <v>1542</v>
      </c>
      <c r="AO457" s="41" t="s">
        <v>1615</v>
      </c>
      <c r="AP457" s="3">
        <f>IF(AND(G457&lt;&gt;"LIBSETS_SETTYPE_BATTLEGROUND",G457&lt;&gt;"LIBSETS_SETTYPE_SPECIAL"),IF(AQ457&lt;&gt;"",VLOOKUP(AQ457,'ESO zone constants'!$D$5:$H$4955,5,FALSE),""),"")</f>
        <v>181</v>
      </c>
      <c r="AQ457" t="s">
        <v>125</v>
      </c>
      <c r="AR457" s="33" t="s">
        <v>1551</v>
      </c>
      <c r="AS457" s="41" t="s">
        <v>3845</v>
      </c>
      <c r="AT457" s="41" t="s">
        <v>3846</v>
      </c>
      <c r="AU457" s="3" t="str">
        <f>IF(AND(G457&lt;&gt;"LIBSETS_SETTYPE_BATTLEGROUND",G457&lt;&gt;"LIBSETS_SETTYPE_SPECIAL"),IF(AV457&lt;&gt;"",VLOOKUP(AV457,'ESO zone constants'!$D$5:$H$4955,5,FALSE),""),"")</f>
        <v/>
      </c>
      <c r="AX457" s="41"/>
      <c r="AY457" s="41"/>
      <c r="AZ457" s="75" t="s">
        <v>2645</v>
      </c>
      <c r="BA457" s="36" t="s">
        <v>3173</v>
      </c>
      <c r="BB457" s="36" t="s">
        <v>3173</v>
      </c>
      <c r="BC457" s="36"/>
      <c r="BD457" s="36"/>
      <c r="BE457" s="21" t="str">
        <f t="shared" si="43"/>
        <v>[519] = {wayshrines={416,172,109,}, dlcId=DLC_GREYMOOR</v>
      </c>
      <c r="BF457" s="21" t="str">
        <f t="shared" si="44"/>
        <v>, zoneIds={1160,280,103,449,181}, veteran=false</v>
      </c>
      <c r="BG457" s="21" t="str">
        <f t="shared" si="45"/>
        <v>, setType=LIBSETS_SETTYPE_MYTHIC</v>
      </c>
      <c r="BH457" s="21" t="str">
        <f t="shared" si="46"/>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47"/>
        <v>, addTooltip={['en']='https://en.uesp.net/wiki/Online:Snow_Treaders',},}, --Snow Treaders / Schneetreter   [Western Skyrim, Bleakrock Isle, The Rift, Direfrost Keep, Cyrodiil]</v>
      </c>
    </row>
    <row r="458" spans="1:61" x14ac:dyDescent="0.25">
      <c r="A458" s="5">
        <v>520</v>
      </c>
      <c r="B458" t="s">
        <v>1754</v>
      </c>
      <c r="C458" t="s">
        <v>2638</v>
      </c>
      <c r="D458" s="3">
        <f t="shared" si="42"/>
        <v>520</v>
      </c>
      <c r="G458" s="8" t="s">
        <v>1671</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1603</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1553</v>
      </c>
      <c r="AI458" s="41"/>
      <c r="AJ458" s="41"/>
      <c r="AK458" s="3">
        <f>IF(AND(G458&lt;&gt;"LIBSETS_SETTYPE_BATTLEGROUND",G458&lt;&gt;"LIBSETS_SETTYPE_SPECIAL"),IF(AL458&lt;&gt;"",VLOOKUP(AL458,'ESO zone constants'!$D$5:$H$4955,5,FALSE),""),"")</f>
        <v>584</v>
      </c>
      <c r="AL458" t="s">
        <v>39</v>
      </c>
      <c r="AM458" s="33" t="s">
        <v>3257</v>
      </c>
      <c r="AN458" s="41" t="s">
        <v>3192</v>
      </c>
      <c r="AO458" s="41" t="s">
        <v>3193</v>
      </c>
      <c r="AP458" s="3">
        <f>IF(AND(G458&lt;&gt;"LIBSETS_SETTYPE_BATTLEGROUND",G458&lt;&gt;"LIBSETS_SETTYPE_SPECIAL"),IF(AQ458&lt;&gt;"",VLOOKUP(AQ458,'ESO zone constants'!$D$5:$H$4955,5,FALSE),""),"")</f>
        <v>535</v>
      </c>
      <c r="AQ458" t="s">
        <v>383</v>
      </c>
      <c r="AR458" s="33" t="s">
        <v>3257</v>
      </c>
      <c r="AS458" s="41" t="s">
        <v>3220</v>
      </c>
      <c r="AT458" s="41" t="s">
        <v>3197</v>
      </c>
      <c r="AU458" s="3" t="str">
        <f>IF(AND(G458&lt;&gt;"LIBSETS_SETTYPE_BATTLEGROUND",G458&lt;&gt;"LIBSETS_SETTYPE_SPECIAL"),IF(AV458&lt;&gt;"",VLOOKUP(AV458,'ESO zone constants'!$D$5:$H$4955,5,FALSE),""),"")</f>
        <v/>
      </c>
      <c r="AX458" s="41"/>
      <c r="AY458" s="41"/>
      <c r="AZ458" s="75" t="s">
        <v>2645</v>
      </c>
      <c r="BA458" s="36" t="s">
        <v>3167</v>
      </c>
      <c r="BB458" s="36" t="s">
        <v>3167</v>
      </c>
      <c r="BC458" s="36"/>
      <c r="BD458" s="36"/>
      <c r="BE458" s="21" t="str">
        <f t="shared" si="43"/>
        <v>[520] = {wayshrines={241,144,17,}, dlcId=DLC_GREYMOOR</v>
      </c>
      <c r="BF458" s="21" t="str">
        <f t="shared" si="44"/>
        <v>, zoneIds={684,382,142,584,535}, veteran=false</v>
      </c>
      <c r="BG458" s="21" t="str">
        <f t="shared" si="45"/>
        <v>, setType=LIBSETS_SETTYPE_MYTHIC</v>
      </c>
      <c r="BH458" s="21"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 t="shared" si="42"/>
        <v>521</v>
      </c>
      <c r="E459" s="40"/>
      <c r="G459" s="8" t="s">
        <v>1671</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1603</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3273</v>
      </c>
      <c r="AI459" s="3" t="s">
        <v>4021</v>
      </c>
      <c r="AJ459" s="3" t="s">
        <v>4018</v>
      </c>
      <c r="AK459" s="3">
        <f>IF(AND(G459&lt;&gt;"LIBSETS_SETTYPE_BATTLEGROUND",G459&lt;&gt;"LIBSETS_SETTYPE_SPECIAL"),IF(AL459&lt;&gt;"",VLOOKUP(AL459,'ESO zone constants'!$D$5:$H$4955,5,FALSE),""),"")</f>
        <v>144</v>
      </c>
      <c r="AL459" t="s">
        <v>66</v>
      </c>
      <c r="AM459" s="33" t="s">
        <v>3273</v>
      </c>
      <c r="AN459" s="41" t="s">
        <v>1538</v>
      </c>
      <c r="AO459" s="41" t="s">
        <v>3194</v>
      </c>
      <c r="AP459" s="3">
        <f>IF(AND(G459&lt;&gt;"LIBSETS_SETTYPE_BATTLEGROUND",G459&lt;&gt;"LIBSETS_SETTYPE_SPECIAL"),IF(AQ459&lt;&gt;"",VLOOKUP(AQ459,'ESO zone constants'!$D$5:$H$4955,5,FALSE),""),"")</f>
        <v>643</v>
      </c>
      <c r="AQ459" t="s">
        <v>445</v>
      </c>
      <c r="AR459" s="33" t="s">
        <v>3257</v>
      </c>
      <c r="AS459" s="41" t="s">
        <v>3195</v>
      </c>
      <c r="AT459" s="41" t="s">
        <v>3196</v>
      </c>
      <c r="AU459" s="3" t="str">
        <f>IF(AND(G459&lt;&gt;"LIBSETS_SETTYPE_BATTLEGROUND",G459&lt;&gt;"LIBSETS_SETTYPE_SPECIAL"),IF(AV459&lt;&gt;"",VLOOKUP(AV459,'ESO zone constants'!$D$5:$H$4955,5,FALSE),""),"")</f>
        <v/>
      </c>
      <c r="AX459" s="41"/>
      <c r="AY459" s="41"/>
      <c r="AZ459" s="75" t="s">
        <v>2645</v>
      </c>
      <c r="BA459" s="36" t="s">
        <v>3163</v>
      </c>
      <c r="BB459" s="36" t="s">
        <v>3163</v>
      </c>
      <c r="BC459" s="36"/>
      <c r="BD459" s="36"/>
      <c r="BE459" s="21" t="str">
        <f t="shared" si="43"/>
        <v>[521] = {wayshrines={48,133,190,}, dlcId=DLC_GREYMOOR</v>
      </c>
      <c r="BF459" s="21" t="str">
        <f t="shared" si="44"/>
        <v>, zoneIds={117,557,130,144,643}, veteran=false</v>
      </c>
      <c r="BG459" s="21" t="str">
        <f t="shared" si="45"/>
        <v>, setType=LIBSETS_SETTYPE_MYTHIC</v>
      </c>
      <c r="BH459" s="21"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 t="shared" si="42"/>
        <v>522</v>
      </c>
      <c r="E460" s="40"/>
      <c r="G460" s="8" t="s">
        <v>1465</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1547</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5" t="s">
        <v>2645</v>
      </c>
      <c r="BA460" s="75"/>
      <c r="BB460" s="75"/>
      <c r="BC460" s="75"/>
      <c r="BD460" s="75" t="s">
        <v>3812</v>
      </c>
      <c r="BE460" s="21" t="str">
        <f t="shared" si="43"/>
        <v>[522] = {wayshrines={249,249,249,}, dlcId=DLC_SUMMERSET</v>
      </c>
      <c r="BF460" s="21" t="str">
        <f t="shared" si="44"/>
        <v>, zoneIds={677,684,684}, veteran=true</v>
      </c>
      <c r="BG460" s="21" t="str">
        <f t="shared" si="45"/>
        <v>, setType=LIBSETS_SETTYPE_ARENA</v>
      </c>
      <c r="BH460" s="21" t="str">
        <f t="shared" si="46"/>
        <v>, dropMechanic={LIBSETS_DROP_MECHANIC_ARENA_STAGE_CHEST,LIBSETS_DROP_MECHANIC_ARENA_STAGE_CHEST}, isPerfectedSet=1</v>
      </c>
      <c r="BI460" s="21" t="str">
        <f t="shared" si="47"/>
        <v>}, --Perfected Merciless Charge / Perfektionierter gnadenloser Ansturm   [Maelstrom Arena, Wrothgar, Wrothgar]</v>
      </c>
    </row>
    <row r="461" spans="1:61" x14ac:dyDescent="0.25">
      <c r="A461" s="5">
        <v>523</v>
      </c>
      <c r="B461" t="s">
        <v>1758</v>
      </c>
      <c r="C461" t="s">
        <v>1759</v>
      </c>
      <c r="D461" s="3">
        <f t="shared" si="42"/>
        <v>523</v>
      </c>
      <c r="E461" s="40"/>
      <c r="G461" s="8" t="s">
        <v>1465</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1547</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5" t="s">
        <v>2645</v>
      </c>
      <c r="BA461" s="75"/>
      <c r="BB461" s="75"/>
      <c r="BC461" s="75"/>
      <c r="BD461" s="75" t="s">
        <v>3812</v>
      </c>
      <c r="BE461" s="21" t="str">
        <f t="shared" si="43"/>
        <v>[523] = {wayshrines={249,249,249,}, dlcId=DLC_SUMMERSET</v>
      </c>
      <c r="BF461" s="21" t="str">
        <f t="shared" si="44"/>
        <v>, zoneIds={677,684,684}, veteran=true</v>
      </c>
      <c r="BG461" s="21" t="str">
        <f t="shared" si="45"/>
        <v>, setType=LIBSETS_SETTYPE_ARENA</v>
      </c>
      <c r="BH461" s="21" t="str">
        <f t="shared" si="46"/>
        <v>, dropMechanic={LIBSETS_DROP_MECHANIC_ARENA_STAGE_CHEST,LIBSETS_DROP_MECHANIC_ARENA_STAGE_CHEST}, isPerfectedSet=1</v>
      </c>
      <c r="BI461" s="21" t="str">
        <f t="shared" si="47"/>
        <v>}, --Perfected Rampaging Slash / Perfektionierter tobender Schnitt   [Maelstrom Arena, Wrothgar, Wrothgar]</v>
      </c>
    </row>
    <row r="462" spans="1:61" x14ac:dyDescent="0.25">
      <c r="A462" s="5">
        <v>524</v>
      </c>
      <c r="B462" t="s">
        <v>1761</v>
      </c>
      <c r="C462" t="s">
        <v>1760</v>
      </c>
      <c r="D462" s="3">
        <f t="shared" si="42"/>
        <v>524</v>
      </c>
      <c r="E462" s="40"/>
      <c r="G462" s="8" t="s">
        <v>1465</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1547</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5" t="s">
        <v>2645</v>
      </c>
      <c r="BA462" s="75"/>
      <c r="BB462" s="75"/>
      <c r="BC462" s="75"/>
      <c r="BD462" s="75" t="s">
        <v>3812</v>
      </c>
      <c r="BE462" s="21" t="str">
        <f t="shared" si="43"/>
        <v>[524] = {wayshrines={249,249,249,}, dlcId=DLC_SUMMERSET</v>
      </c>
      <c r="BF462" s="21" t="str">
        <f t="shared" si="44"/>
        <v>, zoneIds={677,684,684}, veteran=true</v>
      </c>
      <c r="BG462" s="21" t="str">
        <f t="shared" si="45"/>
        <v>, setType=LIBSETS_SETTYPE_ARENA</v>
      </c>
      <c r="BH462" s="21" t="str">
        <f t="shared" si="46"/>
        <v>, dropMechanic={LIBSETS_DROP_MECHANIC_ARENA_STAGE_CHEST,LIBSETS_DROP_MECHANIC_ARENA_STAGE_CHEST}, isPerfectedSet=1</v>
      </c>
      <c r="BI462" s="21" t="str">
        <f t="shared" si="47"/>
        <v>}, --Perfected Cruel Flurry / Perfektionierter grausamer Schlaghagel   [Maelstrom Arena, Wrothgar, Wrothgar]</v>
      </c>
    </row>
    <row r="463" spans="1:61" x14ac:dyDescent="0.25">
      <c r="A463" s="5">
        <v>525</v>
      </c>
      <c r="B463" t="s">
        <v>1763</v>
      </c>
      <c r="C463" t="s">
        <v>1762</v>
      </c>
      <c r="D463" s="3">
        <f t="shared" si="42"/>
        <v>525</v>
      </c>
      <c r="E463" s="40"/>
      <c r="G463" s="8" t="s">
        <v>1465</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1547</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5" t="s">
        <v>2645</v>
      </c>
      <c r="BA463" s="75"/>
      <c r="BB463" s="75"/>
      <c r="BC463" s="75"/>
      <c r="BD463" s="75" t="s">
        <v>3812</v>
      </c>
      <c r="BE463" s="21" t="str">
        <f t="shared" si="43"/>
        <v>[525] = {wayshrines={249,249,249,}, dlcId=DLC_SUMMERSET</v>
      </c>
      <c r="BF463" s="21" t="str">
        <f t="shared" si="44"/>
        <v>, zoneIds={677,684,684}, veteran=true</v>
      </c>
      <c r="BG463" s="21" t="str">
        <f t="shared" si="45"/>
        <v>, setType=LIBSETS_SETTYPE_ARENA</v>
      </c>
      <c r="BH463" s="21" t="str">
        <f t="shared" si="46"/>
        <v>, dropMechanic={LIBSETS_DROP_MECHANIC_ARENA_STAGE_CHEST,LIBSETS_DROP_MECHANIC_ARENA_STAGE_CHEST}, isPerfectedSet=1</v>
      </c>
      <c r="BI463" s="21" t="str">
        <f t="shared" si="47"/>
        <v>}, --Perfected Thunderous Volley / Perfektionierte donnernde Salve   [Maelstrom Arena, Wrothgar, Wrothgar]</v>
      </c>
    </row>
    <row r="464" spans="1:61" x14ac:dyDescent="0.25">
      <c r="A464" s="5">
        <v>526</v>
      </c>
      <c r="B464" t="s">
        <v>1765</v>
      </c>
      <c r="C464" t="s">
        <v>1764</v>
      </c>
      <c r="D464" s="3">
        <f t="shared" si="42"/>
        <v>526</v>
      </c>
      <c r="E464" s="40"/>
      <c r="G464" s="8" t="s">
        <v>1465</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1547</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5" t="s">
        <v>2646</v>
      </c>
      <c r="BA464" s="75"/>
      <c r="BB464" s="75"/>
      <c r="BC464" s="75"/>
      <c r="BD464" s="75" t="s">
        <v>3812</v>
      </c>
      <c r="BE464" s="21" t="str">
        <f t="shared" si="43"/>
        <v>[526] = {wayshrines={249,249,249,}, dlcId=DLC_SUMMERSET</v>
      </c>
      <c r="BF464" s="21" t="str">
        <f t="shared" si="44"/>
        <v>, zoneIds={677,684,684}, veteran=true</v>
      </c>
      <c r="BG464" s="21" t="str">
        <f t="shared" si="45"/>
        <v>, setType=LIBSETS_SETTYPE_ARENA</v>
      </c>
      <c r="BH464" s="21" t="str">
        <f t="shared" si="46"/>
        <v>, isProcSetAllowedInPvP=1, dropMechanic={LIBSETS_DROP_MECHANIC_ARENA_STAGE_CHEST,LIBSETS_DROP_MECHANIC_ARENA_STAGE_CHEST}, isPerfectedSet=1</v>
      </c>
      <c r="BI464" s="21" t="str">
        <f t="shared" si="47"/>
        <v>}, --Perfected Crushing Wall / Perfektionierte zermalmende Mauer   [Maelstrom Arena, Wrothgar, Wrothgar]</v>
      </c>
    </row>
    <row r="465" spans="1:61" x14ac:dyDescent="0.25">
      <c r="A465" s="5">
        <v>527</v>
      </c>
      <c r="B465" t="s">
        <v>1766</v>
      </c>
      <c r="C465" t="s">
        <v>1767</v>
      </c>
      <c r="D465" s="3">
        <f t="shared" si="42"/>
        <v>527</v>
      </c>
      <c r="E465" s="40"/>
      <c r="G465" s="8" t="s">
        <v>1465</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1547</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5" t="s">
        <v>2645</v>
      </c>
      <c r="BA465" s="75"/>
      <c r="BB465" s="75"/>
      <c r="BC465" s="75"/>
      <c r="BD465" s="75" t="s">
        <v>3812</v>
      </c>
      <c r="BE465" s="21" t="str">
        <f t="shared" si="43"/>
        <v>[527] = {wayshrines={249,249,249,}, dlcId=DLC_SUMMERSET</v>
      </c>
      <c r="BF465" s="21" t="str">
        <f t="shared" si="44"/>
        <v>, zoneIds={677,684,684}, veteran=true</v>
      </c>
      <c r="BG465" s="21" t="str">
        <f t="shared" si="45"/>
        <v>, setType=LIBSETS_SETTYPE_ARENA</v>
      </c>
      <c r="BH465" s="21" t="str">
        <f t="shared" si="46"/>
        <v>, dropMechanic={LIBSETS_DROP_MECHANIC_ARENA_STAGE_CHEST,LIBSETS_DROP_MECHANIC_ARENA_STAGE_CHEST}, isPerfectedSet=1</v>
      </c>
      <c r="BI465" s="21" t="str">
        <f t="shared" si="47"/>
        <v>}, --Perfected Precise Regeneration / Perfektionierte präzise Regeneration   [Maelstrom Arena, Wrothgar, Wrothgar]</v>
      </c>
    </row>
    <row r="466" spans="1:61" x14ac:dyDescent="0.25">
      <c r="A466" s="5">
        <v>528</v>
      </c>
      <c r="B466" t="s">
        <v>1769</v>
      </c>
      <c r="C466" t="s">
        <v>1768</v>
      </c>
      <c r="D466" s="3">
        <f t="shared" si="42"/>
        <v>528</v>
      </c>
      <c r="E466" s="40"/>
      <c r="G466" s="8" t="s">
        <v>1465</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1547</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5" t="s">
        <v>2645</v>
      </c>
      <c r="BA466" s="75"/>
      <c r="BB466" s="75"/>
      <c r="BC466" s="75"/>
      <c r="BD466" s="75" t="s">
        <v>3812</v>
      </c>
      <c r="BE466" s="21" t="str">
        <f t="shared" si="43"/>
        <v>[528] = {wayshrines={270,270,270,}, dlcId=DLC_CLOCKWORK_CITY</v>
      </c>
      <c r="BF466" s="21" t="str">
        <f t="shared" si="44"/>
        <v>, zoneIds={635,888,888}, veteran=true</v>
      </c>
      <c r="BG466" s="21" t="str">
        <f t="shared" si="45"/>
        <v>, setType=LIBSETS_SETTYPE_ARENA</v>
      </c>
      <c r="BH466" s="21" t="str">
        <f t="shared" si="46"/>
        <v>, dropMechanic={LIBSETS_DROP_MECHANIC_ARENA_STAGE_CHEST,LIBSETS_DROP_MECHANIC_ARENA_STAGE_CHEST}, isPerfectedSet=1</v>
      </c>
      <c r="BI466" s="21" t="str">
        <f t="shared" si="47"/>
        <v>}, --Perfected Titanic Cleave / Perfektioniertes titanisches Trennen   [Dragonstar Arena, Craglorn, Craglorn]</v>
      </c>
    </row>
    <row r="467" spans="1:61" x14ac:dyDescent="0.25">
      <c r="A467" s="5">
        <v>529</v>
      </c>
      <c r="B467" t="s">
        <v>1771</v>
      </c>
      <c r="C467" t="s">
        <v>1770</v>
      </c>
      <c r="D467" s="3">
        <f t="shared" si="42"/>
        <v>529</v>
      </c>
      <c r="E467" s="40"/>
      <c r="G467" s="8" t="s">
        <v>1465</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1547</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5" t="s">
        <v>2645</v>
      </c>
      <c r="BA467" s="75"/>
      <c r="BB467" s="75"/>
      <c r="BC467" s="75"/>
      <c r="BD467" s="75" t="s">
        <v>3812</v>
      </c>
      <c r="BE467" s="21" t="str">
        <f t="shared" si="43"/>
        <v>[529] = {wayshrines={270,270,270,}, dlcId=DLC_CLOCKWORK_CITY</v>
      </c>
      <c r="BF467" s="21" t="str">
        <f t="shared" si="44"/>
        <v>, zoneIds={635,888,888}, veteran=true</v>
      </c>
      <c r="BG467" s="21" t="str">
        <f t="shared" si="45"/>
        <v>, setType=LIBSETS_SETTYPE_ARENA</v>
      </c>
      <c r="BH467" s="21" t="str">
        <f t="shared" si="46"/>
        <v>, dropMechanic={LIBSETS_DROP_MECHANIC_ARENA_STAGE_CHEST,LIBSETS_DROP_MECHANIC_ARENA_STAGE_CHEST}, isPerfectedSet=1</v>
      </c>
      <c r="BI467" s="21" t="str">
        <f t="shared" si="47"/>
        <v>}, --Perfected Puncturing Remedy / Perfektionierte durchschlagende Genesung   [Dragonstar Arena, Craglorn, Craglorn]</v>
      </c>
    </row>
    <row r="468" spans="1:61" x14ac:dyDescent="0.25">
      <c r="A468" s="5">
        <v>530</v>
      </c>
      <c r="B468" t="s">
        <v>1772</v>
      </c>
      <c r="C468" t="s">
        <v>1773</v>
      </c>
      <c r="D468" s="3">
        <f t="shared" si="42"/>
        <v>530</v>
      </c>
      <c r="E468" s="40"/>
      <c r="G468" s="8" t="s">
        <v>1465</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1547</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5" t="s">
        <v>2645</v>
      </c>
      <c r="BA468" s="75"/>
      <c r="BB468" s="75"/>
      <c r="BC468" s="75"/>
      <c r="BD468" s="75" t="s">
        <v>3812</v>
      </c>
      <c r="BE468" s="21" t="str">
        <f t="shared" si="43"/>
        <v>[530] = {wayshrines={270,270,270,}, dlcId=DLC_CLOCKWORK_CITY</v>
      </c>
      <c r="BF468" s="21" t="str">
        <f t="shared" si="44"/>
        <v>, zoneIds={635,888,888}, veteran=true</v>
      </c>
      <c r="BG468" s="21" t="str">
        <f t="shared" si="45"/>
        <v>, setType=LIBSETS_SETTYPE_ARENA</v>
      </c>
      <c r="BH468" s="21" t="str">
        <f t="shared" si="46"/>
        <v>, dropMechanic={LIBSETS_DROP_MECHANIC_ARENA_STAGE_CHEST,LIBSETS_DROP_MECHANIC_ARENA_STAGE_CHEST}, isPerfectedSet=1</v>
      </c>
      <c r="BI468" s="21" t="str">
        <f t="shared" si="47"/>
        <v>}, --Perfected Stinging Slashes / Perfektionierte stechende Schnitte   [Dragonstar Arena, Craglorn, Craglorn]</v>
      </c>
    </row>
    <row r="469" spans="1:61" x14ac:dyDescent="0.25">
      <c r="A469" s="5">
        <v>531</v>
      </c>
      <c r="B469" t="s">
        <v>1775</v>
      </c>
      <c r="C469" t="s">
        <v>1774</v>
      </c>
      <c r="D469" s="3">
        <f t="shared" si="42"/>
        <v>531</v>
      </c>
      <c r="E469" s="40"/>
      <c r="G469" s="8" t="s">
        <v>1465</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1547</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5">
        <v>0</v>
      </c>
      <c r="BA469" s="75"/>
      <c r="BB469" s="75"/>
      <c r="BC469" s="75"/>
      <c r="BD469" s="75" t="s">
        <v>3812</v>
      </c>
      <c r="BE469" s="21" t="str">
        <f t="shared" si="43"/>
        <v>[531] = {wayshrines={270,270,270,}, dlcId=DLC_CLOCKWORK_CITY</v>
      </c>
      <c r="BF469" s="21" t="str">
        <f t="shared" si="44"/>
        <v>, zoneIds={635,888,888}, veteran=true</v>
      </c>
      <c r="BG469" s="21" t="str">
        <f t="shared" si="45"/>
        <v>, setType=LIBSETS_SETTYPE_ARENA</v>
      </c>
      <c r="BH469" s="21" t="str">
        <f t="shared" si="46"/>
        <v>, isProcSetAllowedInPvP=0, dropMechanic={LIBSETS_DROP_MECHANIC_ARENA_STAGE_CHEST,LIBSETS_DROP_MECHANIC_ARENA_STAGE_CHEST}, isPerfectedSet=1</v>
      </c>
      <c r="BI469" s="21" t="str">
        <f t="shared" si="47"/>
        <v>}, --Perfected Caustic Arrow / Perfektionierter beißender Pfeil   [Dragonstar Arena, Craglorn, Craglorn]</v>
      </c>
    </row>
    <row r="470" spans="1:61" x14ac:dyDescent="0.25">
      <c r="A470" s="5">
        <v>532</v>
      </c>
      <c r="B470" t="s">
        <v>1776</v>
      </c>
      <c r="C470" t="s">
        <v>1777</v>
      </c>
      <c r="D470" s="3">
        <f t="shared" si="42"/>
        <v>532</v>
      </c>
      <c r="E470" s="40"/>
      <c r="G470" s="8" t="s">
        <v>1465</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1547</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5" t="s">
        <v>2645</v>
      </c>
      <c r="BA470" s="75"/>
      <c r="BB470" s="75"/>
      <c r="BC470" s="75"/>
      <c r="BD470" s="75" t="s">
        <v>3812</v>
      </c>
      <c r="BE470" s="21" t="str">
        <f t="shared" si="43"/>
        <v>[532] = {wayshrines={270,270,270,}, dlcId=DLC_CLOCKWORK_CITY</v>
      </c>
      <c r="BF470" s="21" t="str">
        <f t="shared" si="44"/>
        <v>, zoneIds={635,888,888}, veteran=true</v>
      </c>
      <c r="BG470" s="21" t="str">
        <f t="shared" si="45"/>
        <v>, setType=LIBSETS_SETTYPE_ARENA</v>
      </c>
      <c r="BH470" s="21" t="str">
        <f t="shared" si="46"/>
        <v>, dropMechanic={LIBSETS_DROP_MECHANIC_ARENA_STAGE_CHEST,LIBSETS_DROP_MECHANIC_ARENA_STAGE_CHEST}, isPerfectedSet=1</v>
      </c>
      <c r="BI470" s="21" t="str">
        <f t="shared" si="47"/>
        <v>}, --Perfected Destructive Impact / Perfektionierter zerstörerischer Einschlag   [Dragonstar Arena, Craglorn, Craglorn]</v>
      </c>
    </row>
    <row r="471" spans="1:61" x14ac:dyDescent="0.25">
      <c r="A471" s="5">
        <v>533</v>
      </c>
      <c r="B471" t="s">
        <v>1787</v>
      </c>
      <c r="C471" t="s">
        <v>1786</v>
      </c>
      <c r="D471" s="3">
        <f t="shared" si="42"/>
        <v>533</v>
      </c>
      <c r="E471" s="40"/>
      <c r="G471" s="8" t="s">
        <v>1465</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1547</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1547</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5" t="s">
        <v>2645</v>
      </c>
      <c r="BA471" s="75"/>
      <c r="BB471" s="75"/>
      <c r="BC471" s="75"/>
      <c r="BD471" s="75" t="s">
        <v>3812</v>
      </c>
      <c r="BE471" s="21" t="str">
        <f t="shared" si="43"/>
        <v>[533] = {wayshrines={270,270,270,}, dlcId=DLC_CLOCKWORK_CITY</v>
      </c>
      <c r="BF471" s="21" t="str">
        <f t="shared" si="44"/>
        <v>, zoneIds={635,888,888}, veteran=true</v>
      </c>
      <c r="BG471" s="21" t="str">
        <f t="shared" si="45"/>
        <v>, setType=LIBSETS_SETTYPE_ARENA</v>
      </c>
      <c r="BH471" s="21" t="str">
        <f t="shared" si="46"/>
        <v>, dropMechanic={LIBSETS_DROP_MECHANIC_ARENA_STAGE_CHEST,LIBSETS_DROP_MECHANIC_ARENA_STAGE_CHEST}, isPerfectedSet=1</v>
      </c>
      <c r="BI471" s="21" t="str">
        <f t="shared" si="47"/>
        <v>}, --Perfected Grand Rejuvenation / Pefektionierte Große Verjüngung   [Dragonstar Arena, Craglorn, Craglorn]</v>
      </c>
    </row>
    <row r="472" spans="1:61" x14ac:dyDescent="0.25">
      <c r="A472" s="5">
        <v>534</v>
      </c>
      <c r="B472" t="s">
        <v>2151</v>
      </c>
      <c r="C472" t="s">
        <v>1798</v>
      </c>
      <c r="D472" s="3">
        <f t="shared" si="42"/>
        <v>534</v>
      </c>
      <c r="G472" s="3" t="s">
        <v>1472</v>
      </c>
      <c r="H472" s="83">
        <v>3</v>
      </c>
      <c r="I472" t="s">
        <v>1459</v>
      </c>
      <c r="J472" t="s">
        <v>91</v>
      </c>
      <c r="K472">
        <v>435</v>
      </c>
      <c r="L472">
        <v>435</v>
      </c>
      <c r="M472">
        <v>435</v>
      </c>
      <c r="O472" s="61" t="s">
        <v>1797</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5" t="s">
        <v>2645</v>
      </c>
      <c r="BA472" s="75"/>
      <c r="BB472" s="75"/>
      <c r="BC472" s="75"/>
      <c r="BD472" s="75"/>
      <c r="BE472" s="21" t="str">
        <f t="shared" si="43"/>
        <v>[534] = {wayshrines={435,435,435,}, dlcId=DLC_STONETHORN</v>
      </c>
      <c r="BF472" s="21" t="str">
        <f t="shared" si="44"/>
        <v>, zoneIds={1197,0,0}, veteran={[EQUIP_TYPE_HEAD]=true, [EQUIP_TYPE_SHOULDERS]=false}</v>
      </c>
      <c r="BG472" s="21" t="str">
        <f t="shared" si="45"/>
        <v>, setType=LIBSETS_SETTYPE_MONSTER, undauntedChestId=3</v>
      </c>
      <c r="BH472" s="21" t="str">
        <f t="shared" si="46"/>
        <v>, dropMechanic={LIBSETS_DROP_MECHANIC_MONSTER_NAME}, dropMechanicDropLocationNames={['en']={'Arkasis the Mad Alchemist','','','','','',},['de']={'Arkasis der verrückte Alchemist','','','','','',},}</v>
      </c>
      <c r="BI472" s="21" t="str">
        <f t="shared" si="47"/>
        <v>}, --Stone Husk / Steinhülle   [Stone Garden, Tamriel Map, Tamriel Map]</v>
      </c>
    </row>
    <row r="473" spans="1:61" x14ac:dyDescent="0.25">
      <c r="A473" s="5">
        <v>535</v>
      </c>
      <c r="B473" t="s">
        <v>2152</v>
      </c>
      <c r="C473" t="s">
        <v>1795</v>
      </c>
      <c r="D473" s="3">
        <f t="shared" si="42"/>
        <v>535</v>
      </c>
      <c r="G473" s="3" t="s">
        <v>1472</v>
      </c>
      <c r="H473" s="83">
        <v>3</v>
      </c>
      <c r="I473" t="s">
        <v>1459</v>
      </c>
      <c r="J473" t="s">
        <v>91</v>
      </c>
      <c r="K473">
        <v>436</v>
      </c>
      <c r="L473">
        <v>436</v>
      </c>
      <c r="M473">
        <v>436</v>
      </c>
      <c r="O473" s="61" t="s">
        <v>1792</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5" t="s">
        <v>2645</v>
      </c>
      <c r="BA473" s="75"/>
      <c r="BB473" s="75"/>
      <c r="BC473" s="75"/>
      <c r="BD473" s="75"/>
      <c r="BE473" s="21" t="str">
        <f t="shared" si="43"/>
        <v>[535] = {wayshrines={436,436,436,}, dlcId=DLC_STONETHORN</v>
      </c>
      <c r="BF473" s="21" t="str">
        <f t="shared" si="44"/>
        <v>, zoneIds={1201,1160,1160}, veteran={[EQUIP_TYPE_HEAD]=true, [EQUIP_TYPE_SHOULDERS]=false}</v>
      </c>
      <c r="BG473" s="21" t="str">
        <f t="shared" si="45"/>
        <v>, setType=LIBSETS_SETTYPE_MONSTER, undauntedChestId=3</v>
      </c>
      <c r="BH473" s="21" t="str">
        <f t="shared" si="46"/>
        <v>, dropMechanic={LIBSETS_DROP_MECHANIC_MONSTER_NAME}, dropMechanicDropLocationNames={['en']={'Lady Thorn','','','','','',},['de']={'Fürstin Dorn','','','','','',},}</v>
      </c>
      <c r="BI473" s="21" t="str">
        <f t="shared" si="47"/>
        <v>}, --Lady Thorn / Fürstin Dorn   [Castle Thorn, Western Skyrim, Western Skyrim]</v>
      </c>
    </row>
    <row r="474" spans="1:61" x14ac:dyDescent="0.25">
      <c r="A474" s="5">
        <v>536</v>
      </c>
      <c r="B474" t="s">
        <v>2222</v>
      </c>
      <c r="C474" t="s">
        <v>2221</v>
      </c>
      <c r="D474" s="3">
        <f t="shared" si="42"/>
        <v>536</v>
      </c>
      <c r="G474" s="3" t="s">
        <v>1473</v>
      </c>
      <c r="I474" t="s">
        <v>91</v>
      </c>
      <c r="J474" t="s">
        <v>91</v>
      </c>
      <c r="K474">
        <v>441</v>
      </c>
      <c r="L474">
        <v>441</v>
      </c>
      <c r="M474">
        <v>441</v>
      </c>
      <c r="O474" s="61" t="s">
        <v>2203</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1554</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5" t="s">
        <v>2645</v>
      </c>
      <c r="BA474" s="75"/>
      <c r="BB474" s="75"/>
      <c r="BC474" s="75"/>
      <c r="BD474" s="75"/>
      <c r="BE474" s="21" t="str">
        <f t="shared" si="43"/>
        <v>[536] = {wayshrines={441,441,441,}, dlcId=DLC_BASE_GAME</v>
      </c>
      <c r="BF474" s="21" t="str">
        <f t="shared" si="44"/>
        <v>, zoneIds={1207,1207,1207}, veteran=false</v>
      </c>
      <c r="BG474" s="21" t="str">
        <f t="shared" si="45"/>
        <v>, setType=LIBSETS_SETTYPE_OVERLAND</v>
      </c>
      <c r="BH474" s="21" t="str">
        <f t="shared" si="46"/>
        <v>, dropMechanic={LIBSETS_DROP_MECHANIC_OVERLAND_BOSS_DELVE,LIBSETS_DROP_MECHANIC_OVERLAND_BOSS_DELVE,LIBSETS_DROP_MECHANIC_OVERLAND_CHEST}</v>
      </c>
      <c r="BI474" s="21" t="str">
        <f t="shared" si="47"/>
        <v>}, --Radiant Bastion / Strahlende Bastion   [The Reach, The Reach, The Reach]</v>
      </c>
    </row>
    <row r="475" spans="1:61" x14ac:dyDescent="0.25">
      <c r="A475" s="5">
        <v>537</v>
      </c>
      <c r="B475" t="s">
        <v>2223</v>
      </c>
      <c r="C475" t="s">
        <v>2245</v>
      </c>
      <c r="D475" s="3">
        <f t="shared" si="42"/>
        <v>537</v>
      </c>
      <c r="G475" s="3" t="s">
        <v>1473</v>
      </c>
      <c r="I475" t="s">
        <v>91</v>
      </c>
      <c r="J475" t="s">
        <v>91</v>
      </c>
      <c r="K475">
        <v>441</v>
      </c>
      <c r="L475">
        <v>441</v>
      </c>
      <c r="M475">
        <v>441</v>
      </c>
      <c r="O475" s="61" t="s">
        <v>2203</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1554</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5" t="s">
        <v>2645</v>
      </c>
      <c r="BA475" s="75"/>
      <c r="BB475" s="75"/>
      <c r="BC475" s="75"/>
      <c r="BD475" s="75"/>
      <c r="BE475" s="21" t="str">
        <f t="shared" si="43"/>
        <v>[537] = {wayshrines={441,441,441,}, dlcId=DLC_BASE_GAME</v>
      </c>
      <c r="BF475" s="21" t="str">
        <f t="shared" si="44"/>
        <v>, zoneIds={1207,1207,1207}, veteran=false</v>
      </c>
      <c r="BG475" s="21" t="str">
        <f t="shared" si="45"/>
        <v>, setType=LIBSETS_SETTYPE_OVERLAND</v>
      </c>
      <c r="BH475" s="21" t="str">
        <f t="shared" si="46"/>
        <v>, dropMechanic={LIBSETS_DROP_MECHANIC_OVERLAND_BOSS_DELVE,LIBSETS_DROP_MECHANIC_OVERLAND_BOSS_DELVE,LIBSETS_DROP_MECHANIC_OVERLAND_CHEST}</v>
      </c>
      <c r="BI475" s="21" t="str">
        <f t="shared" si="47"/>
        <v>}, --Voidcaller / Leerenrufer   [The Reach, The Reach, The Reach]</v>
      </c>
    </row>
    <row r="476" spans="1:61" x14ac:dyDescent="0.25">
      <c r="A476" s="5">
        <v>538</v>
      </c>
      <c r="B476" t="s">
        <v>2224</v>
      </c>
      <c r="C476" t="s">
        <v>2640</v>
      </c>
      <c r="D476" s="3">
        <f t="shared" si="42"/>
        <v>538</v>
      </c>
      <c r="G476" s="3" t="s">
        <v>1473</v>
      </c>
      <c r="I476" t="s">
        <v>91</v>
      </c>
      <c r="J476" t="s">
        <v>91</v>
      </c>
      <c r="K476">
        <v>441</v>
      </c>
      <c r="L476">
        <v>441</v>
      </c>
      <c r="M476">
        <v>441</v>
      </c>
      <c r="O476" s="61" t="s">
        <v>2203</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1554</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5" t="s">
        <v>2646</v>
      </c>
      <c r="BA476" s="75"/>
      <c r="BB476" s="75"/>
      <c r="BC476" s="75"/>
      <c r="BD476" s="75"/>
      <c r="BE476" s="21" t="str">
        <f t="shared" si="43"/>
        <v>[538] = {wayshrines={441,441,441,}, dlcId=DLC_BASE_GAME</v>
      </c>
      <c r="BF476" s="21" t="str">
        <f t="shared" si="44"/>
        <v>, zoneIds={1207,1207,1207}, veteran=false</v>
      </c>
      <c r="BG476" s="21" t="str">
        <f t="shared" si="45"/>
        <v>, setType=LIBSETS_SETTYPE_OVERLAND</v>
      </c>
      <c r="BH476" s="21" t="str">
        <f t="shared" si="46"/>
        <v>, isProcSetAllowedInPvP=1, dropMechanic={LIBSETS_DROP_MECHANIC_OVERLAND_BOSS_DELVE,LIBSETS_DROP_MECHANIC_OVERLAND_BOSS_DELVE,LIBSETS_DROP_MECHANIC_OVERLAND_CHEST}</v>
      </c>
      <c r="BI476" s="21" t="str">
        <f t="shared" si="47"/>
        <v>}, --Witch-Knight\'s Defiance / Trotz des Hexenritters   [The Reach, The Reach, The Reach]</v>
      </c>
    </row>
    <row r="477" spans="1:61" x14ac:dyDescent="0.25">
      <c r="A477" s="5">
        <v>539</v>
      </c>
      <c r="B477" t="s">
        <v>2225</v>
      </c>
      <c r="C477" t="s">
        <v>2641</v>
      </c>
      <c r="D477" s="3">
        <f t="shared" si="42"/>
        <v>539</v>
      </c>
      <c r="G477" s="3" t="s">
        <v>1467</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3276</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5" t="s">
        <v>2646</v>
      </c>
      <c r="BA477" s="75"/>
      <c r="BB477" s="75"/>
      <c r="BC477" s="75"/>
      <c r="BD477" s="75"/>
      <c r="BE477" s="21" t="str">
        <f t="shared" si="43"/>
        <v>[539] = {wayshrines={447,447,447,}, traitsNeeded=3, dlcId=DLC_BASE_GAME</v>
      </c>
      <c r="BF477" s="21" t="str">
        <f t="shared" si="44"/>
        <v>, zoneIds={1207,1207,1207}, veteran=false</v>
      </c>
      <c r="BG477" s="21" t="str">
        <f t="shared" si="45"/>
        <v>, setType=LIBSETS_SETTYPE_CRAFTED</v>
      </c>
      <c r="BH477" s="21" t="str">
        <f t="shared" si="46"/>
        <v>, isProcSetAllowedInPvP=1, dropMechanic={LIBSETS_DROP_MECHANIC_CRAFTED,LIBSETS_DROP_MECHANIC_CRAFTED,LIBSETS_DROP_MECHANIC_CRAFTED}</v>
      </c>
      <c r="BI477" s="21" t="str">
        <f t="shared" si="47"/>
        <v>}, --Red Eagle\'s Fury / Zorn des Roten Adlers   [The Reach, The Reach, The Reach]</v>
      </c>
    </row>
    <row r="478" spans="1:61" x14ac:dyDescent="0.25">
      <c r="A478" s="5">
        <v>540</v>
      </c>
      <c r="B478" t="s">
        <v>2226</v>
      </c>
      <c r="C478" t="s">
        <v>2246</v>
      </c>
      <c r="D478" s="3">
        <f t="shared" si="42"/>
        <v>540</v>
      </c>
      <c r="G478" s="3" t="s">
        <v>1467</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3276</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5" t="s">
        <v>2645</v>
      </c>
      <c r="BA478" s="75"/>
      <c r="BB478" s="75"/>
      <c r="BC478" s="75"/>
      <c r="BD478" s="75"/>
      <c r="BE478" s="21" t="str">
        <f t="shared" si="43"/>
        <v>[540] = {wayshrines={442,442,442,}, traitsNeeded=6, dlcId=DLC_BASE_GAME</v>
      </c>
      <c r="BF478" s="21" t="str">
        <f t="shared" si="44"/>
        <v>, zoneIds={1207,1207,1207}, veteran=false</v>
      </c>
      <c r="BG478" s="21" t="str">
        <f t="shared" si="45"/>
        <v>, setType=LIBSETS_SETTYPE_CRAFTED</v>
      </c>
      <c r="BH478" s="21" t="str">
        <f t="shared" si="46"/>
        <v>, dropMechanic={LIBSETS_DROP_MECHANIC_CRAFTED,LIBSETS_DROP_MECHANIC_CRAFTED,LIBSETS_DROP_MECHANIC_CRAFTED}</v>
      </c>
      <c r="BI478" s="21" t="str">
        <f t="shared" si="47"/>
        <v>}, --Legacy of Karth / Erbe des Karth   [The Reach, The Reach, The Reach]</v>
      </c>
    </row>
    <row r="479" spans="1:61" x14ac:dyDescent="0.25">
      <c r="A479" s="5">
        <v>541</v>
      </c>
      <c r="B479" t="s">
        <v>2227</v>
      </c>
      <c r="C479" t="s">
        <v>2247</v>
      </c>
      <c r="D479" s="3">
        <f t="shared" si="42"/>
        <v>541</v>
      </c>
      <c r="G479" s="3" t="s">
        <v>1467</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3276</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5" t="s">
        <v>2646</v>
      </c>
      <c r="BA479" s="75"/>
      <c r="BB479" s="75"/>
      <c r="BC479" s="75"/>
      <c r="BD479" s="75"/>
      <c r="BE479" s="21" t="str">
        <f t="shared" si="43"/>
        <v>[541] = {wayshrines={446,446,446,}, traitsNeeded=9, dlcId=DLC_BASE_GAME</v>
      </c>
      <c r="BF479" s="21" t="str">
        <f t="shared" si="44"/>
        <v>, zoneIds={1208,0,0}, veteran=false</v>
      </c>
      <c r="BG479" s="21" t="str">
        <f t="shared" si="45"/>
        <v>, setType=LIBSETS_SETTYPE_CRAFTED</v>
      </c>
      <c r="BH479" s="21" t="str">
        <f t="shared" si="46"/>
        <v>, isProcSetAllowedInPvP=1, dropMechanic={LIBSETS_DROP_MECHANIC_CRAFTED,LIBSETS_DROP_MECHANIC_CRAFTED,LIBSETS_DROP_MECHANIC_CRAFTED}</v>
      </c>
      <c r="BI479" s="21" t="str">
        <f t="shared" si="47"/>
        <v>}, --Aetherial Ascension / Ätherischer Aufstieg   [Blackreach: Arkthzand Cavern, Tamriel Map, Tamriel Map]</v>
      </c>
    </row>
    <row r="480" spans="1:61" x14ac:dyDescent="0.25">
      <c r="A480" s="5">
        <v>542</v>
      </c>
      <c r="B480" t="s">
        <v>2228</v>
      </c>
      <c r="C480" t="s">
        <v>2248</v>
      </c>
      <c r="D480" s="3">
        <f t="shared" si="42"/>
        <v>542</v>
      </c>
      <c r="G480" s="3" t="s">
        <v>1473</v>
      </c>
      <c r="I480" t="s">
        <v>91</v>
      </c>
      <c r="J480" t="s">
        <v>91</v>
      </c>
      <c r="K480">
        <v>441</v>
      </c>
      <c r="L480">
        <v>441</v>
      </c>
      <c r="M480">
        <v>441</v>
      </c>
      <c r="O480" s="61" t="s">
        <v>2203</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1554</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5" t="s">
        <v>2645</v>
      </c>
      <c r="BA480" s="75"/>
      <c r="BB480" s="75"/>
      <c r="BC480" s="75"/>
      <c r="BD480" s="75"/>
      <c r="BE480" s="21" t="str">
        <f t="shared" si="43"/>
        <v>[542] = {wayshrines={441,441,441,}, dlcId=DLC_BASE_GAME</v>
      </c>
      <c r="BF480" s="21" t="str">
        <f t="shared" si="44"/>
        <v>, zoneIds={1207,1207,1207}, veteran=false</v>
      </c>
      <c r="BG480" s="21" t="str">
        <f t="shared" si="45"/>
        <v>, setType=LIBSETS_SETTYPE_OVERLAND</v>
      </c>
      <c r="BH480" s="21" t="str">
        <f t="shared" si="46"/>
        <v>, dropMechanic={LIBSETS_DROP_MECHANIC_OVERLAND_BOSS_DELVE,LIBSETS_DROP_MECHANIC_OVERLAND_BOSS_DELVE,LIBSETS_DROP_MECHANIC_OVERLAND_CHEST}</v>
      </c>
      <c r="BI480" s="21" t="str">
        <f t="shared" si="47"/>
        <v>}, --Hex Siphon / Fluchsiphon   [The Reach, The Reach, The Reach]</v>
      </c>
    </row>
    <row r="481" spans="1:61" x14ac:dyDescent="0.25">
      <c r="A481" s="5">
        <v>543</v>
      </c>
      <c r="B481" t="s">
        <v>2229</v>
      </c>
      <c r="C481" t="s">
        <v>2249</v>
      </c>
      <c r="D481" s="3">
        <f t="shared" si="42"/>
        <v>543</v>
      </c>
      <c r="G481" s="3" t="s">
        <v>1473</v>
      </c>
      <c r="I481" t="s">
        <v>91</v>
      </c>
      <c r="J481" t="s">
        <v>91</v>
      </c>
      <c r="K481">
        <v>441</v>
      </c>
      <c r="L481">
        <v>441</v>
      </c>
      <c r="M481">
        <v>441</v>
      </c>
      <c r="O481" s="61" t="s">
        <v>2203</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1554</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5" t="s">
        <v>2645</v>
      </c>
      <c r="BA481" s="75"/>
      <c r="BB481" s="75"/>
      <c r="BC481" s="75"/>
      <c r="BD481" s="75"/>
      <c r="BE481" s="21" t="str">
        <f t="shared" si="43"/>
        <v>[543] = {wayshrines={441,441,441,}, dlcId=DLC_BASE_GAME</v>
      </c>
      <c r="BF481" s="21" t="str">
        <f t="shared" si="44"/>
        <v>, zoneIds={1207,1207,1207}, veteran=false</v>
      </c>
      <c r="BG481" s="21" t="str">
        <f t="shared" si="45"/>
        <v>, setType=LIBSETS_SETTYPE_OVERLAND</v>
      </c>
      <c r="BH481" s="21" t="str">
        <f t="shared" si="46"/>
        <v>, dropMechanic={LIBSETS_DROP_MECHANIC_OVERLAND_BOSS_DELVE,LIBSETS_DROP_MECHANIC_OVERLAND_BOSS_DELVE,LIBSETS_DROP_MECHANIC_OVERLAND_CHEST}</v>
      </c>
      <c r="BI481" s="21" t="str">
        <f t="shared" si="47"/>
        <v>}, --Pestilent Host / Pestilenter Wirt   [The Reach, The Reach, The Reach]</v>
      </c>
    </row>
    <row r="482" spans="1:61" x14ac:dyDescent="0.25">
      <c r="A482" s="5">
        <v>544</v>
      </c>
      <c r="B482" t="s">
        <v>2230</v>
      </c>
      <c r="C482" t="s">
        <v>2250</v>
      </c>
      <c r="D482" s="3">
        <f t="shared" si="42"/>
        <v>544</v>
      </c>
      <c r="G482" s="3" t="s">
        <v>1473</v>
      </c>
      <c r="I482" t="s">
        <v>91</v>
      </c>
      <c r="J482" t="s">
        <v>91</v>
      </c>
      <c r="K482">
        <v>441</v>
      </c>
      <c r="L482">
        <v>441</v>
      </c>
      <c r="M482">
        <v>441</v>
      </c>
      <c r="O482" s="61" t="s">
        <v>2203</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1554</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5" t="s">
        <v>2645</v>
      </c>
      <c r="BA482" s="75"/>
      <c r="BB482" s="75"/>
      <c r="BC482" s="75"/>
      <c r="BD482" s="75"/>
      <c r="BE482" s="21" t="str">
        <f t="shared" si="43"/>
        <v>[544] = {wayshrines={441,441,441,}, dlcId=DLC_BASE_GAME</v>
      </c>
      <c r="BF482" s="21" t="str">
        <f t="shared" si="44"/>
        <v>, zoneIds={1207,1207,1207}, veteran=false</v>
      </c>
      <c r="BG482" s="21" t="str">
        <f t="shared" si="45"/>
        <v>, setType=LIBSETS_SETTYPE_OVERLAND</v>
      </c>
      <c r="BH482" s="21" t="str">
        <f t="shared" si="46"/>
        <v>, dropMechanic={LIBSETS_DROP_MECHANIC_OVERLAND_BOSS_DELVE,LIBSETS_DROP_MECHANIC_OVERLAND_BOSS_DELVE,LIBSETS_DROP_MECHANIC_OVERLAND_CHEST}</v>
      </c>
      <c r="BI482" s="21" t="str">
        <f t="shared" si="47"/>
        <v>}, --Explosive Rebuke / Explosiver Tadel   [The Reach, The Reach, The Reach]</v>
      </c>
    </row>
    <row r="483" spans="1:61" x14ac:dyDescent="0.25">
      <c r="A483" s="5">
        <v>557</v>
      </c>
      <c r="B483" t="s">
        <v>2231</v>
      </c>
      <c r="C483" t="s">
        <v>2642</v>
      </c>
      <c r="D483" s="3">
        <f t="shared" si="42"/>
        <v>557</v>
      </c>
      <c r="E483" s="40"/>
      <c r="G483" s="8" t="s">
        <v>1465</v>
      </c>
      <c r="I483" t="s">
        <v>91</v>
      </c>
      <c r="J483" t="s">
        <v>91</v>
      </c>
      <c r="K483">
        <v>457</v>
      </c>
      <c r="L483">
        <v>457</v>
      </c>
      <c r="M483">
        <v>457</v>
      </c>
      <c r="O483" s="61" t="s">
        <v>2202</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1547</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5" t="s">
        <v>2645</v>
      </c>
      <c r="BA483" s="75"/>
      <c r="BB483" s="75"/>
      <c r="BC483" s="75"/>
      <c r="BD483" s="75">
        <v>563</v>
      </c>
      <c r="BE483" s="21" t="str">
        <f t="shared" si="43"/>
        <v>[557] = {wayshrines={457,457,457,}, dlcId=DLC_GREYMOOR</v>
      </c>
      <c r="BF483" s="21" t="str">
        <f t="shared" si="44"/>
        <v>, zoneIds={1227,1207,1207}, veteran=false</v>
      </c>
      <c r="BG483" s="21" t="str">
        <f t="shared" si="45"/>
        <v>, setType=LIBSETS_SETTYPE_ARENA</v>
      </c>
      <c r="BH483" s="21" t="str">
        <f t="shared" si="46"/>
        <v>, dropMechanic={LIBSETS_DROP_MECHANIC_ARENA_STAGE_CHEST,LIBSETS_DROP_MECHANIC_ARENA_STAGE_CHEST}, perfectedSetId=563</v>
      </c>
      <c r="BI483" s="21" t="str">
        <f t="shared" si="47"/>
        <v>}, --Executioner\'s Blade / Henkersklinge   [Vateshran Hollows, The Reach, The Reach]</v>
      </c>
    </row>
    <row r="484" spans="1:61" x14ac:dyDescent="0.25">
      <c r="A484" s="5">
        <v>558</v>
      </c>
      <c r="B484" t="s">
        <v>2232</v>
      </c>
      <c r="C484" t="s">
        <v>2251</v>
      </c>
      <c r="D484" s="3">
        <f t="shared" si="42"/>
        <v>558</v>
      </c>
      <c r="E484" s="40"/>
      <c r="G484" s="8" t="s">
        <v>1465</v>
      </c>
      <c r="I484" t="s">
        <v>91</v>
      </c>
      <c r="J484" t="s">
        <v>91</v>
      </c>
      <c r="K484">
        <v>457</v>
      </c>
      <c r="L484">
        <v>457</v>
      </c>
      <c r="M484">
        <v>457</v>
      </c>
      <c r="O484" s="61" t="s">
        <v>2202</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1547</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5" t="s">
        <v>2645</v>
      </c>
      <c r="BA484" s="75"/>
      <c r="BB484" s="75"/>
      <c r="BC484" s="75"/>
      <c r="BD484" s="75">
        <v>564</v>
      </c>
      <c r="BE484" s="21" t="str">
        <f t="shared" si="43"/>
        <v>[558] = {wayshrines={457,457,457,}, dlcId=DLC_GREYMOOR</v>
      </c>
      <c r="BF484" s="21" t="str">
        <f t="shared" si="44"/>
        <v>, zoneIds={1227,1207,1207}, veteran=false</v>
      </c>
      <c r="BG484" s="21" t="str">
        <f t="shared" si="45"/>
        <v>, setType=LIBSETS_SETTYPE_ARENA</v>
      </c>
      <c r="BH484" s="21" t="str">
        <f t="shared" si="46"/>
        <v>, dropMechanic={LIBSETS_DROP_MECHANIC_ARENA_STAGE_CHEST,LIBSETS_DROP_MECHANIC_ARENA_STAGE_CHEST}, perfectedSetId=564</v>
      </c>
      <c r="BI484" s="21" t="str">
        <f t="shared" si="47"/>
        <v>}, --Void Bash / LeerenWucht   [Vateshran Hollows, The Reach, The Reach]</v>
      </c>
    </row>
    <row r="485" spans="1:61" x14ac:dyDescent="0.25">
      <c r="A485" s="5">
        <v>559</v>
      </c>
      <c r="B485" t="s">
        <v>2233</v>
      </c>
      <c r="C485" t="s">
        <v>2252</v>
      </c>
      <c r="D485" s="3">
        <f t="shared" si="42"/>
        <v>559</v>
      </c>
      <c r="E485" s="40"/>
      <c r="G485" s="8" t="s">
        <v>1465</v>
      </c>
      <c r="I485" t="s">
        <v>91</v>
      </c>
      <c r="J485" t="s">
        <v>91</v>
      </c>
      <c r="K485">
        <v>457</v>
      </c>
      <c r="L485">
        <v>457</v>
      </c>
      <c r="M485">
        <v>457</v>
      </c>
      <c r="O485" s="61" t="s">
        <v>2202</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1547</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5" t="s">
        <v>2645</v>
      </c>
      <c r="BA485" s="75"/>
      <c r="BB485" s="75"/>
      <c r="BC485" s="75"/>
      <c r="BD485" s="75">
        <v>565</v>
      </c>
      <c r="BE485" s="21" t="str">
        <f t="shared" si="43"/>
        <v>[559] = {wayshrines={457,457,457,}, dlcId=DLC_GREYMOOR</v>
      </c>
      <c r="BF485" s="21" t="str">
        <f t="shared" si="44"/>
        <v>, zoneIds={1227,1207,1207}, veteran=false</v>
      </c>
      <c r="BG485" s="21" t="str">
        <f t="shared" si="45"/>
        <v>, setType=LIBSETS_SETTYPE_ARENA</v>
      </c>
      <c r="BH485" s="21" t="str">
        <f t="shared" si="46"/>
        <v>, dropMechanic={LIBSETS_DROP_MECHANIC_ARENA_STAGE_CHEST,LIBSETS_DROP_MECHANIC_ARENA_STAGE_CHEST}, perfectedSetId=565</v>
      </c>
      <c r="BI485" s="21" t="str">
        <f t="shared" si="47"/>
        <v>}, --Frenzied Momentum / Tobendes Momentum   [Vateshran Hollows, The Reach, The Reach]</v>
      </c>
    </row>
    <row r="486" spans="1:61" x14ac:dyDescent="0.25">
      <c r="A486" s="5">
        <v>560</v>
      </c>
      <c r="B486" t="s">
        <v>2234</v>
      </c>
      <c r="C486" t="s">
        <v>2253</v>
      </c>
      <c r="D486" s="3">
        <f t="shared" si="42"/>
        <v>560</v>
      </c>
      <c r="E486" s="40"/>
      <c r="G486" s="8" t="s">
        <v>1465</v>
      </c>
      <c r="I486" t="s">
        <v>91</v>
      </c>
      <c r="J486" t="s">
        <v>91</v>
      </c>
      <c r="K486">
        <v>457</v>
      </c>
      <c r="L486">
        <v>457</v>
      </c>
      <c r="M486">
        <v>457</v>
      </c>
      <c r="O486" s="61" t="s">
        <v>2202</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1547</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5" t="s">
        <v>2645</v>
      </c>
      <c r="BA486" s="75"/>
      <c r="BB486" s="75"/>
      <c r="BC486" s="75"/>
      <c r="BD486" s="75">
        <v>566</v>
      </c>
      <c r="BE486" s="21" t="str">
        <f t="shared" si="43"/>
        <v>[560] = {wayshrines={457,457,457,}, dlcId=DLC_GREYMOOR</v>
      </c>
      <c r="BF486" s="21" t="str">
        <f t="shared" si="44"/>
        <v>, zoneIds={1227,1207,1207}, veteran=false</v>
      </c>
      <c r="BG486" s="21" t="str">
        <f t="shared" si="45"/>
        <v>, setType=LIBSETS_SETTYPE_ARENA</v>
      </c>
      <c r="BH486" s="21" t="str">
        <f t="shared" si="46"/>
        <v>, dropMechanic={LIBSETS_DROP_MECHANIC_ARENA_STAGE_CHEST,LIBSETS_DROP_MECHANIC_ARENA_STAGE_CHEST}, perfectedSetId=566</v>
      </c>
      <c r="BI486" s="21" t="str">
        <f t="shared" si="47"/>
        <v>}, --Point-Blank Snipe / Volltreffer   [Vateshran Hollows, The Reach, The Reach]</v>
      </c>
    </row>
    <row r="487" spans="1:61" x14ac:dyDescent="0.25">
      <c r="A487" s="5">
        <v>561</v>
      </c>
      <c r="B487" t="s">
        <v>2235</v>
      </c>
      <c r="C487" t="s">
        <v>2254</v>
      </c>
      <c r="D487" s="3">
        <f t="shared" si="42"/>
        <v>561</v>
      </c>
      <c r="E487" s="40"/>
      <c r="G487" s="8" t="s">
        <v>1465</v>
      </c>
      <c r="I487" t="s">
        <v>91</v>
      </c>
      <c r="J487" t="s">
        <v>91</v>
      </c>
      <c r="K487">
        <v>457</v>
      </c>
      <c r="L487">
        <v>457</v>
      </c>
      <c r="M487">
        <v>457</v>
      </c>
      <c r="O487" s="61" t="s">
        <v>2202</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1547</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5" t="s">
        <v>2645</v>
      </c>
      <c r="BA487" s="75"/>
      <c r="BB487" s="75"/>
      <c r="BC487" s="75"/>
      <c r="BD487" s="75">
        <v>567</v>
      </c>
      <c r="BE487" s="21" t="str">
        <f t="shared" si="43"/>
        <v>[561] = {wayshrines={457,457,457,}, dlcId=DLC_GREYMOOR</v>
      </c>
      <c r="BF487" s="21" t="str">
        <f t="shared" si="44"/>
        <v>, zoneIds={1227,1207,1207}, veteran=false</v>
      </c>
      <c r="BG487" s="21" t="str">
        <f t="shared" si="45"/>
        <v>, setType=LIBSETS_SETTYPE_ARENA</v>
      </c>
      <c r="BH487" s="21" t="str">
        <f t="shared" si="46"/>
        <v>, dropMechanic={LIBSETS_DROP_MECHANIC_ARENA_STAGE_CHEST,LIBSETS_DROP_MECHANIC_ARENA_STAGE_CHEST}, perfectedSetId=567</v>
      </c>
      <c r="BI487" s="21" t="str">
        <f t="shared" si="47"/>
        <v>}, --Wrath of Elements / Zorn der Elemente   [Vateshran Hollows, The Reach, The Reach]</v>
      </c>
    </row>
    <row r="488" spans="1:61" x14ac:dyDescent="0.25">
      <c r="A488" s="5">
        <v>562</v>
      </c>
      <c r="B488" t="s">
        <v>2236</v>
      </c>
      <c r="C488" t="s">
        <v>2255</v>
      </c>
      <c r="D488" s="3">
        <f t="shared" si="42"/>
        <v>562</v>
      </c>
      <c r="E488" s="40"/>
      <c r="G488" s="8" t="s">
        <v>1465</v>
      </c>
      <c r="I488" t="s">
        <v>91</v>
      </c>
      <c r="J488" t="s">
        <v>91</v>
      </c>
      <c r="K488">
        <v>457</v>
      </c>
      <c r="L488">
        <v>457</v>
      </c>
      <c r="M488">
        <v>457</v>
      </c>
      <c r="O488" s="61" t="s">
        <v>2202</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1547</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5" t="s">
        <v>2645</v>
      </c>
      <c r="BA488" s="75"/>
      <c r="BB488" s="75"/>
      <c r="BC488" s="75"/>
      <c r="BD488" s="75">
        <v>568</v>
      </c>
      <c r="BE488" s="21" t="str">
        <f t="shared" si="43"/>
        <v>[562] = {wayshrines={457,457,457,}, dlcId=DLC_GREYMOOR</v>
      </c>
      <c r="BF488" s="21" t="str">
        <f t="shared" si="44"/>
        <v>, zoneIds={1227,1207,1207}, veteran=false</v>
      </c>
      <c r="BG488" s="21" t="str">
        <f t="shared" si="45"/>
        <v>, setType=LIBSETS_SETTYPE_ARENA</v>
      </c>
      <c r="BH488" s="21" t="str">
        <f t="shared" si="46"/>
        <v>, dropMechanic={LIBSETS_DROP_MECHANIC_ARENA_STAGE_CHEST,LIBSETS_DROP_MECHANIC_ARENA_STAGE_CHEST}, perfectedSetId=568</v>
      </c>
      <c r="BI488" s="21" t="str">
        <f t="shared" si="47"/>
        <v>}, --Force Overflow / Machtüberschuss   [Vateshran Hollows, The Reach, The Reach]</v>
      </c>
    </row>
    <row r="489" spans="1:61" x14ac:dyDescent="0.25">
      <c r="A489" s="5">
        <v>563</v>
      </c>
      <c r="B489" t="s">
        <v>2239</v>
      </c>
      <c r="C489" t="s">
        <v>2643</v>
      </c>
      <c r="D489" s="3">
        <f t="shared" si="42"/>
        <v>563</v>
      </c>
      <c r="E489" s="40"/>
      <c r="G489" s="8" t="s">
        <v>1465</v>
      </c>
      <c r="I489" t="s">
        <v>92</v>
      </c>
      <c r="J489" t="s">
        <v>91</v>
      </c>
      <c r="K489">
        <v>457</v>
      </c>
      <c r="L489">
        <v>457</v>
      </c>
      <c r="M489">
        <v>457</v>
      </c>
      <c r="O489" s="61" t="s">
        <v>2202</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1547</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5" t="s">
        <v>2645</v>
      </c>
      <c r="BA489" s="75"/>
      <c r="BB489" s="75"/>
      <c r="BC489" s="75"/>
      <c r="BD489" s="75" t="s">
        <v>3812</v>
      </c>
      <c r="BE489" s="21" t="str">
        <f t="shared" si="43"/>
        <v>[563] = {wayshrines={457,457,457,}, dlcId=DLC_GREYMOOR</v>
      </c>
      <c r="BF489" s="21" t="str">
        <f t="shared" si="44"/>
        <v>, zoneIds={1227,1207,1207}, veteran=true</v>
      </c>
      <c r="BG489" s="21" t="str">
        <f t="shared" si="45"/>
        <v>, setType=LIBSETS_SETTYPE_ARENA</v>
      </c>
      <c r="BH489" s="21" t="str">
        <f t="shared" si="46"/>
        <v>, dropMechanic={LIBSETS_DROP_MECHANIC_ARENA_STAGE_CHEST,LIBSETS_DROP_MECHANIC_ARENA_STAGE_CHEST}, isPerfectedSet=1</v>
      </c>
      <c r="BI489" s="21" t="str">
        <f t="shared" si="47"/>
        <v>}, --Perfected Executioner\'s Blade / Perfektionierte Klinge des Henkers   [Vateshran Hollows, The Reach, The Reach]</v>
      </c>
    </row>
    <row r="490" spans="1:61" x14ac:dyDescent="0.25">
      <c r="A490" s="5">
        <v>564</v>
      </c>
      <c r="B490" t="s">
        <v>2240</v>
      </c>
      <c r="C490" t="s">
        <v>2256</v>
      </c>
      <c r="D490" s="3">
        <f t="shared" si="42"/>
        <v>564</v>
      </c>
      <c r="E490" s="40"/>
      <c r="G490" s="8" t="s">
        <v>1465</v>
      </c>
      <c r="I490" t="s">
        <v>92</v>
      </c>
      <c r="J490" t="s">
        <v>91</v>
      </c>
      <c r="K490">
        <v>457</v>
      </c>
      <c r="L490">
        <v>457</v>
      </c>
      <c r="M490">
        <v>457</v>
      </c>
      <c r="O490" s="61" t="s">
        <v>2202</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1547</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5" t="s">
        <v>2645</v>
      </c>
      <c r="BA490" s="75"/>
      <c r="BB490" s="75"/>
      <c r="BC490" s="75"/>
      <c r="BD490" s="75" t="s">
        <v>3812</v>
      </c>
      <c r="BE490" s="21" t="str">
        <f t="shared" si="43"/>
        <v>[564] = {wayshrines={457,457,457,}, dlcId=DLC_GREYMOOR</v>
      </c>
      <c r="BF490" s="21" t="str">
        <f t="shared" si="44"/>
        <v>, zoneIds={1227,1207,1207}, veteran=true</v>
      </c>
      <c r="BG490" s="21" t="str">
        <f t="shared" si="45"/>
        <v>, setType=LIBSETS_SETTYPE_ARENA</v>
      </c>
      <c r="BH490" s="21" t="str">
        <f t="shared" si="46"/>
        <v>, dropMechanic={LIBSETS_DROP_MECHANIC_ARENA_STAGE_CHEST,LIBSETS_DROP_MECHANIC_ARENA_STAGE_CHEST}, isPerfectedSet=1</v>
      </c>
      <c r="BI490" s="21" t="str">
        <f t="shared" si="47"/>
        <v>}, --Perfected Void Bash / Perfektionierte Leerenwucht   [Vateshran Hollows, The Reach, The Reach]</v>
      </c>
    </row>
    <row r="491" spans="1:61" x14ac:dyDescent="0.25">
      <c r="A491" s="5">
        <v>565</v>
      </c>
      <c r="B491" t="s">
        <v>2241</v>
      </c>
      <c r="C491" t="s">
        <v>2257</v>
      </c>
      <c r="D491" s="3">
        <f t="shared" si="42"/>
        <v>565</v>
      </c>
      <c r="E491" s="40"/>
      <c r="G491" s="8" t="s">
        <v>1465</v>
      </c>
      <c r="I491" t="s">
        <v>92</v>
      </c>
      <c r="J491" t="s">
        <v>91</v>
      </c>
      <c r="K491">
        <v>457</v>
      </c>
      <c r="L491">
        <v>457</v>
      </c>
      <c r="M491">
        <v>457</v>
      </c>
      <c r="O491" s="61" t="s">
        <v>2202</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1547</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5" t="s">
        <v>2645</v>
      </c>
      <c r="BA491" s="75"/>
      <c r="BB491" s="75"/>
      <c r="BC491" s="75"/>
      <c r="BD491" s="75" t="s">
        <v>3812</v>
      </c>
      <c r="BE491" s="21" t="str">
        <f t="shared" si="43"/>
        <v>[565] = {wayshrines={457,457,457,}, dlcId=DLC_GREYMOOR</v>
      </c>
      <c r="BF491" s="21" t="str">
        <f t="shared" si="44"/>
        <v>, zoneIds={1227,1207,1207}, veteran=true</v>
      </c>
      <c r="BG491" s="21" t="str">
        <f t="shared" si="45"/>
        <v>, setType=LIBSETS_SETTYPE_ARENA</v>
      </c>
      <c r="BH491" s="21" t="str">
        <f t="shared" si="46"/>
        <v>, dropMechanic={LIBSETS_DROP_MECHANIC_ARENA_STAGE_CHEST,LIBSETS_DROP_MECHANIC_ARENA_STAGE_CHEST}, isPerfectedSet=1</v>
      </c>
      <c r="BI491" s="21" t="str">
        <f t="shared" si="47"/>
        <v>}, --Perfected Frenzied Momentum / Perfektioniertes tobendes Momentum   [Vateshran Hollows, The Reach, The Reach]</v>
      </c>
    </row>
    <row r="492" spans="1:61" x14ac:dyDescent="0.25">
      <c r="A492" s="5">
        <v>566</v>
      </c>
      <c r="B492" t="s">
        <v>2242</v>
      </c>
      <c r="C492" t="s">
        <v>2258</v>
      </c>
      <c r="D492" s="3">
        <f t="shared" si="42"/>
        <v>566</v>
      </c>
      <c r="E492" s="40"/>
      <c r="G492" s="8" t="s">
        <v>1465</v>
      </c>
      <c r="I492" t="s">
        <v>92</v>
      </c>
      <c r="J492" t="s">
        <v>91</v>
      </c>
      <c r="K492">
        <v>457</v>
      </c>
      <c r="L492">
        <v>457</v>
      </c>
      <c r="M492">
        <v>457</v>
      </c>
      <c r="O492" s="61" t="s">
        <v>2202</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1547</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5" t="s">
        <v>2645</v>
      </c>
      <c r="BA492" s="75"/>
      <c r="BB492" s="75"/>
      <c r="BC492" s="75"/>
      <c r="BD492" s="75" t="s">
        <v>3812</v>
      </c>
      <c r="BE492" s="21" t="str">
        <f t="shared" si="43"/>
        <v>[566] = {wayshrines={457,457,457,}, dlcId=DLC_GREYMOOR</v>
      </c>
      <c r="BF492" s="21" t="str">
        <f t="shared" si="44"/>
        <v>, zoneIds={1227,1207,1207}, veteran=true</v>
      </c>
      <c r="BG492" s="21" t="str">
        <f t="shared" si="45"/>
        <v>, setType=LIBSETS_SETTYPE_ARENA</v>
      </c>
      <c r="BH492" s="21" t="str">
        <f t="shared" si="46"/>
        <v>, dropMechanic={LIBSETS_DROP_MECHANIC_ARENA_STAGE_CHEST,LIBSETS_DROP_MECHANIC_ARENA_STAGE_CHEST}, isPerfectedSet=1</v>
      </c>
      <c r="BI492" s="21" t="str">
        <f t="shared" si="47"/>
        <v>}, --Perfected Point-Blank Snipe / Perfektionierter Volltreffer   [Vateshran Hollows, The Reach, The Reach]</v>
      </c>
    </row>
    <row r="493" spans="1:61" x14ac:dyDescent="0.25">
      <c r="A493" s="5">
        <v>567</v>
      </c>
      <c r="B493" t="s">
        <v>2243</v>
      </c>
      <c r="C493" t="s">
        <v>2259</v>
      </c>
      <c r="D493" s="3">
        <f t="shared" si="42"/>
        <v>567</v>
      </c>
      <c r="E493" s="40"/>
      <c r="G493" s="8" t="s">
        <v>1465</v>
      </c>
      <c r="I493" t="s">
        <v>92</v>
      </c>
      <c r="J493" t="s">
        <v>91</v>
      </c>
      <c r="K493">
        <v>457</v>
      </c>
      <c r="L493">
        <v>457</v>
      </c>
      <c r="M493">
        <v>457</v>
      </c>
      <c r="O493" s="61" t="s">
        <v>2202</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1547</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5" t="s">
        <v>2645</v>
      </c>
      <c r="BA493" s="75"/>
      <c r="BB493" s="75"/>
      <c r="BC493" s="75"/>
      <c r="BD493" s="75" t="s">
        <v>3812</v>
      </c>
      <c r="BE493" s="21" t="str">
        <f t="shared" si="43"/>
        <v>[567] = {wayshrines={457,457,457,}, dlcId=DLC_GREYMOOR</v>
      </c>
      <c r="BF493" s="21" t="str">
        <f t="shared" si="44"/>
        <v>, zoneIds={1227,1207,1207}, veteran=true</v>
      </c>
      <c r="BG493" s="21" t="str">
        <f t="shared" si="45"/>
        <v>, setType=LIBSETS_SETTYPE_ARENA</v>
      </c>
      <c r="BH493" s="21" t="str">
        <f t="shared" si="46"/>
        <v>, dropMechanic={LIBSETS_DROP_MECHANIC_ARENA_STAGE_CHEST,LIBSETS_DROP_MECHANIC_ARENA_STAGE_CHEST}, isPerfectedSet=1</v>
      </c>
      <c r="BI493" s="21" t="str">
        <f t="shared" si="47"/>
        <v>}, --Perfected Wrath of Elements / Perfektionierter Zorn der Elemente   [Vateshran Hollows, The Reach, The Reach]</v>
      </c>
    </row>
    <row r="494" spans="1:61" x14ac:dyDescent="0.25">
      <c r="A494" s="5">
        <v>568</v>
      </c>
      <c r="B494" t="s">
        <v>2244</v>
      </c>
      <c r="C494" t="s">
        <v>2260</v>
      </c>
      <c r="D494" s="3">
        <f t="shared" si="42"/>
        <v>568</v>
      </c>
      <c r="E494" s="40"/>
      <c r="G494" s="8" t="s">
        <v>1465</v>
      </c>
      <c r="I494" t="s">
        <v>92</v>
      </c>
      <c r="J494" t="s">
        <v>91</v>
      </c>
      <c r="K494">
        <v>457</v>
      </c>
      <c r="L494">
        <v>457</v>
      </c>
      <c r="M494">
        <v>457</v>
      </c>
      <c r="O494" s="61" t="s">
        <v>2202</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1547</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5" t="s">
        <v>2645</v>
      </c>
      <c r="BA494" s="75"/>
      <c r="BB494" s="75"/>
      <c r="BC494" s="75"/>
      <c r="BD494" s="75" t="s">
        <v>3812</v>
      </c>
      <c r="BE494" s="21" t="str">
        <f t="shared" si="43"/>
        <v>[568] = {wayshrines={457,457,457,}, dlcId=DLC_GREYMOOR</v>
      </c>
      <c r="BF494" s="21" t="str">
        <f t="shared" si="44"/>
        <v>, zoneIds={1227,1207,1207}, veteran=true</v>
      </c>
      <c r="BG494" s="21" t="str">
        <f t="shared" si="45"/>
        <v>, setType=LIBSETS_SETTYPE_ARENA</v>
      </c>
      <c r="BH494" s="21" t="str">
        <f t="shared" si="46"/>
        <v>, dropMechanic={LIBSETS_DROP_MECHANIC_ARENA_STAGE_CHEST,LIBSETS_DROP_MECHANIC_ARENA_STAGE_CHEST}, isPerfectedSet=1</v>
      </c>
      <c r="BI494" s="21" t="str">
        <f t="shared" si="47"/>
        <v>}, --Perfected Force Overflow / Perfektionierter Machtüberschuss   [Vateshran Hollows, The Reach, The Reach]</v>
      </c>
    </row>
    <row r="495" spans="1:61" x14ac:dyDescent="0.25">
      <c r="A495" s="5">
        <v>569</v>
      </c>
      <c r="B495" t="s">
        <v>2396</v>
      </c>
      <c r="C495" t="s">
        <v>2381</v>
      </c>
      <c r="D495" s="3">
        <f t="shared" si="42"/>
        <v>569</v>
      </c>
      <c r="G495" s="3" t="s">
        <v>1470</v>
      </c>
      <c r="I495" t="s">
        <v>91</v>
      </c>
      <c r="J495" t="s">
        <v>91</v>
      </c>
      <c r="K495" s="36">
        <v>437</v>
      </c>
      <c r="L495" s="36">
        <v>437</v>
      </c>
      <c r="M495" s="36">
        <v>437</v>
      </c>
      <c r="O495" s="61" t="s">
        <v>2384</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5" t="s">
        <v>2645</v>
      </c>
      <c r="BA495" s="75"/>
      <c r="BB495" s="75"/>
      <c r="BC495" s="75"/>
      <c r="BD495" s="75"/>
      <c r="BE495" s="21" t="str">
        <f t="shared" si="43"/>
        <v>[569] = {wayshrines={437,437,437,}, dlcId=DLC_FLAMES_OF_AMBITION</v>
      </c>
      <c r="BF495" s="21" t="str">
        <f t="shared" si="44"/>
        <v>, zoneIds={1228,823,823}, veteran=false</v>
      </c>
      <c r="BG495" s="21" t="str">
        <f t="shared" si="45"/>
        <v>, setType=LIBSETS_SETTYPE_DUNGEON</v>
      </c>
      <c r="BH495" s="21" t="str">
        <f t="shared" si="46"/>
        <v>, dropMechanic={LIBSETS_DROP_MECHANIC_GROUP_DUNGEON_BOSS}</v>
      </c>
      <c r="BI495" s="21" t="str">
        <f t="shared" si="47"/>
        <v>}, --True-Sworn Fury  / Wahrgeschworenen-Raserei   [Black Drake Villa, Gold Coast, Gold Coast]</v>
      </c>
    </row>
    <row r="496" spans="1:61" x14ac:dyDescent="0.25">
      <c r="A496" s="5">
        <v>570</v>
      </c>
      <c r="B496" t="s">
        <v>2397</v>
      </c>
      <c r="C496" t="s">
        <v>2741</v>
      </c>
      <c r="D496" s="3">
        <f t="shared" si="42"/>
        <v>570</v>
      </c>
      <c r="G496" s="3" t="s">
        <v>1470</v>
      </c>
      <c r="I496" t="s">
        <v>91</v>
      </c>
      <c r="J496" t="s">
        <v>91</v>
      </c>
      <c r="K496" s="36">
        <v>437</v>
      </c>
      <c r="L496" s="36">
        <v>437</v>
      </c>
      <c r="M496" s="36">
        <v>437</v>
      </c>
      <c r="O496" s="61" t="s">
        <v>2384</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5" t="s">
        <v>2645</v>
      </c>
      <c r="BA496" s="75"/>
      <c r="BB496" s="75"/>
      <c r="BC496" s="75"/>
      <c r="BD496" s="75"/>
      <c r="BE496" s="21" t="str">
        <f t="shared" si="43"/>
        <v>[570] = {wayshrines={437,437,437,}, dlcId=DLC_FLAMES_OF_AMBITION</v>
      </c>
      <c r="BF496" s="21" t="str">
        <f t="shared" si="44"/>
        <v>, zoneIds={1228,823,823}, veteran=false</v>
      </c>
      <c r="BG496" s="21" t="str">
        <f t="shared" si="45"/>
        <v>, setType=LIBSETS_SETTYPE_DUNGEON</v>
      </c>
      <c r="BH496" s="21" t="str">
        <f t="shared" si="46"/>
        <v>, dropMechanic={LIBSETS_DROP_MECHANIC_GROUP_DUNGEON_BOSS}</v>
      </c>
      <c r="BI496" s="21" t="str">
        <f t="shared" si="47"/>
        <v>}, --Kinras\'s Wrath / Kinra's Zorn   [Black Drake Villa, Gold Coast, Gold Coast]</v>
      </c>
    </row>
    <row r="497" spans="1:61" x14ac:dyDescent="0.25">
      <c r="A497" s="5">
        <v>571</v>
      </c>
      <c r="B497" t="s">
        <v>2398</v>
      </c>
      <c r="C497" t="s">
        <v>2740</v>
      </c>
      <c r="D497" s="3">
        <f t="shared" si="42"/>
        <v>571</v>
      </c>
      <c r="E497" s="40"/>
      <c r="G497" s="3" t="s">
        <v>1470</v>
      </c>
      <c r="I497" t="s">
        <v>91</v>
      </c>
      <c r="J497" t="s">
        <v>91</v>
      </c>
      <c r="K497" s="36">
        <v>437</v>
      </c>
      <c r="L497" s="36">
        <v>437</v>
      </c>
      <c r="M497" s="36">
        <v>437</v>
      </c>
      <c r="O497" s="61" t="s">
        <v>2384</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5" t="s">
        <v>2645</v>
      </c>
      <c r="BA497" s="75"/>
      <c r="BB497" s="75"/>
      <c r="BC497" s="75"/>
      <c r="BD497" s="75"/>
      <c r="BE497" s="21" t="str">
        <f t="shared" si="43"/>
        <v>[571] = {wayshrines={437,437,437,}, dlcId=DLC_FLAMES_OF_AMBITION</v>
      </c>
      <c r="BF497" s="21" t="str">
        <f t="shared" si="44"/>
        <v>, zoneIds={1228,823,823}, veteran=false</v>
      </c>
      <c r="BG497" s="21" t="str">
        <f t="shared" si="45"/>
        <v>, setType=LIBSETS_SETTYPE_DUNGEON</v>
      </c>
      <c r="BH497" s="21" t="str">
        <f t="shared" si="46"/>
        <v>, dropMechanic={LIBSETS_DROP_MECHANIC_GROUP_DUNGEON_BOSS}</v>
      </c>
      <c r="BI497" s="21" t="str">
        <f t="shared" si="47"/>
        <v>}, --Drake\'s Rush / Dracheneile   [Black Drake Villa, Gold Coast, Gold Coast]</v>
      </c>
    </row>
    <row r="498" spans="1:61" x14ac:dyDescent="0.25">
      <c r="A498" s="5">
        <v>572</v>
      </c>
      <c r="B498" t="s">
        <v>2399</v>
      </c>
      <c r="C498" t="s">
        <v>2382</v>
      </c>
      <c r="D498" s="3">
        <f t="shared" si="42"/>
        <v>572</v>
      </c>
      <c r="G498" s="3" t="s">
        <v>1470</v>
      </c>
      <c r="I498" t="s">
        <v>91</v>
      </c>
      <c r="J498" t="s">
        <v>91</v>
      </c>
      <c r="K498" s="36">
        <v>454</v>
      </c>
      <c r="L498" s="36">
        <v>454</v>
      </c>
      <c r="M498" s="36">
        <v>454</v>
      </c>
      <c r="O498" s="61" t="s">
        <v>2385</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5" t="s">
        <v>2645</v>
      </c>
      <c r="BA498" s="75"/>
      <c r="BB498" s="75"/>
      <c r="BC498" s="75"/>
      <c r="BD498" s="75"/>
      <c r="BE498" s="21" t="str">
        <f t="shared" si="43"/>
        <v>[572] = {wayshrines={454,454,454,}, dlcId=DLC_BLACKWOOD</v>
      </c>
      <c r="BF498" s="21" t="str">
        <f t="shared" si="44"/>
        <v>, zoneIds={1229,57,57}, veteran=false</v>
      </c>
      <c r="BG498" s="21" t="str">
        <f t="shared" si="45"/>
        <v>, setType=LIBSETS_SETTYPE_DUNGEON</v>
      </c>
      <c r="BH498" s="21" t="str">
        <f t="shared" si="46"/>
        <v>, dropMechanic={LIBSETS_DROP_MECHANIC_GROUP_DUNGEON_BOSS}</v>
      </c>
      <c r="BI498" s="21" t="str">
        <f t="shared" si="47"/>
        <v>}, --Unleashed Ritualist / Entfesselter Ritualist   [The Cauldron, Deshaan, Deshaan]</v>
      </c>
    </row>
    <row r="499" spans="1:61" x14ac:dyDescent="0.25">
      <c r="A499" s="5">
        <v>573</v>
      </c>
      <c r="B499" t="s">
        <v>2400</v>
      </c>
      <c r="C499" t="s">
        <v>2736</v>
      </c>
      <c r="D499" s="3">
        <f t="shared" si="42"/>
        <v>573</v>
      </c>
      <c r="G499" s="3" t="s">
        <v>1470</v>
      </c>
      <c r="I499" t="s">
        <v>91</v>
      </c>
      <c r="J499" t="s">
        <v>91</v>
      </c>
      <c r="K499" s="36">
        <v>454</v>
      </c>
      <c r="L499" s="36">
        <v>454</v>
      </c>
      <c r="M499" s="36">
        <v>454</v>
      </c>
      <c r="O499" s="61" t="s">
        <v>2385</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5" t="s">
        <v>2646</v>
      </c>
      <c r="BA499" s="75"/>
      <c r="BB499" s="75"/>
      <c r="BC499" s="75"/>
      <c r="BD499" s="75"/>
      <c r="BE499" s="21" t="str">
        <f t="shared" si="43"/>
        <v>[573] = {wayshrines={454,454,454,}, dlcId=DLC_BLACKWOOD</v>
      </c>
      <c r="BF499" s="21" t="str">
        <f t="shared" si="44"/>
        <v>, zoneIds={1229,57,57}, veteran=false</v>
      </c>
      <c r="BG499" s="21" t="str">
        <f t="shared" si="45"/>
        <v>, setType=LIBSETS_SETTYPE_DUNGEON</v>
      </c>
      <c r="BH499" s="21" t="str">
        <f t="shared" si="46"/>
        <v>, isProcSetAllowedInPvP=1, dropMechanic={LIBSETS_DROP_MECHANIC_GROUP_DUNGEON_BOSS}</v>
      </c>
      <c r="BI499" s="21" t="str">
        <f t="shared" si="47"/>
        <v>}, --Dagon\'s Dominion / Dagons Herrschaft   [The Cauldron, Deshaan, Deshaan]</v>
      </c>
    </row>
    <row r="500" spans="1:61" x14ac:dyDescent="0.25">
      <c r="A500" s="5">
        <v>574</v>
      </c>
      <c r="B500" t="s">
        <v>2401</v>
      </c>
      <c r="C500" t="s">
        <v>2737</v>
      </c>
      <c r="D500" s="3">
        <f t="shared" si="42"/>
        <v>574</v>
      </c>
      <c r="G500" s="3" t="s">
        <v>1470</v>
      </c>
      <c r="I500" t="s">
        <v>91</v>
      </c>
      <c r="J500" t="s">
        <v>91</v>
      </c>
      <c r="K500" s="36">
        <v>454</v>
      </c>
      <c r="L500" s="36">
        <v>454</v>
      </c>
      <c r="M500" s="36">
        <v>454</v>
      </c>
      <c r="O500" s="61" t="s">
        <v>2385</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5" t="s">
        <v>2645</v>
      </c>
      <c r="BA500" s="75"/>
      <c r="BB500" s="75"/>
      <c r="BC500" s="75"/>
      <c r="BD500" s="75"/>
      <c r="BE500" s="21" t="str">
        <f t="shared" si="43"/>
        <v>[574] = {wayshrines={454,454,454,}, dlcId=DLC_BLACKWOOD</v>
      </c>
      <c r="BF500" s="21" t="str">
        <f t="shared" si="44"/>
        <v>, zoneIds={1229,57,57}, veteran=false</v>
      </c>
      <c r="BG500" s="21" t="str">
        <f t="shared" si="45"/>
        <v>, setType=LIBSETS_SETTYPE_DUNGEON</v>
      </c>
      <c r="BH500" s="21" t="str">
        <f t="shared" si="46"/>
        <v>, dropMechanic={LIBSETS_DROP_MECHANIC_GROUP_DUNGEON_BOSS}</v>
      </c>
      <c r="BI500" s="21" t="str">
        <f t="shared" si="47"/>
        <v>}, --Foolkiller\'s Ward / Schutz des Narrentöters   [The Cauldron, Deshaan, Deshaan]</v>
      </c>
    </row>
    <row r="501" spans="1:61" x14ac:dyDescent="0.25">
      <c r="A501" s="5">
        <v>575</v>
      </c>
      <c r="B501" t="s">
        <v>2237</v>
      </c>
      <c r="C501" t="s">
        <v>2219</v>
      </c>
      <c r="D501" s="3">
        <f t="shared" si="42"/>
        <v>575</v>
      </c>
      <c r="G501" s="3" t="s">
        <v>1671</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2155</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1553</v>
      </c>
      <c r="AI501" s="41"/>
      <c r="AJ501" s="41"/>
      <c r="AK501" s="3">
        <f>IF(AND(G501&lt;&gt;"LIBSETS_SETTYPE_BATTLEGROUND",G501&lt;&gt;"LIBSETS_SETTYPE_SPECIAL"),IF(AL501&lt;&gt;"",VLOOKUP(AL501,'ESO zone constants'!$D$5:$H$4955,5,FALSE),""),"")</f>
        <v>1224</v>
      </c>
      <c r="AL501" t="s">
        <v>2211</v>
      </c>
      <c r="AM501" s="33" t="s">
        <v>3213</v>
      </c>
      <c r="AN501" s="41" t="s">
        <v>3843</v>
      </c>
      <c r="AO501" s="41" t="s">
        <v>3844</v>
      </c>
      <c r="AP501" s="3">
        <f>IF(AND(G501&lt;&gt;"LIBSETS_SETTYPE_BATTLEGROUND",G501&lt;&gt;"LIBSETS_SETTYPE_SPECIAL"),IF(AQ501&lt;&gt;"",VLOOKUP(AQ501,'ESO zone constants'!$D$5:$H$4955,5,FALSE),""),"")</f>
        <v>92</v>
      </c>
      <c r="AQ501" t="s">
        <v>109</v>
      </c>
      <c r="AR501" s="33" t="s">
        <v>1554</v>
      </c>
      <c r="AS501" s="41"/>
      <c r="AT501" s="41"/>
      <c r="AU501" s="3" t="str">
        <f>IF(AND(G501&lt;&gt;"LIBSETS_SETTYPE_BATTLEGROUND",G501&lt;&gt;"LIBSETS_SETTYPE_SPECIAL"),IF(AV501&lt;&gt;"",VLOOKUP(AV501,'ESO zone constants'!$D$5:$H$4955,5,FALSE),""),"")</f>
        <v/>
      </c>
      <c r="AV501" s="84"/>
      <c r="AX501" s="41"/>
      <c r="AY501" s="41"/>
      <c r="AZ501" s="75" t="s">
        <v>2645</v>
      </c>
      <c r="BA501" s="36" t="s">
        <v>3170</v>
      </c>
      <c r="BB501" s="36" t="s">
        <v>3170</v>
      </c>
      <c r="BC501" s="36"/>
      <c r="BD501" s="36"/>
      <c r="BE501" s="21" t="str">
        <f t="shared" si="43"/>
        <v>[575] = {wayshrines={240,137,62,}, dlcId=DLC_MARKARTH</v>
      </c>
      <c r="BF501" s="21" t="str">
        <f t="shared" si="44"/>
        <v>, zoneIds={684,104,284,1224,92}, veteran=false</v>
      </c>
      <c r="BG501" s="21" t="str">
        <f t="shared" si="45"/>
        <v>, setType=LIBSETS_SETTYPE_MYTHIC</v>
      </c>
      <c r="BH501" s="21" t="str">
        <f t="shared" si="46"/>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47"/>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 t="shared" si="42"/>
        <v>576</v>
      </c>
      <c r="G502" s="3" t="s">
        <v>1671</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2155</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3213</v>
      </c>
      <c r="AI502" s="41" t="s">
        <v>3222</v>
      </c>
      <c r="AJ502" s="41" t="s">
        <v>3223</v>
      </c>
      <c r="AK502" s="3">
        <f>IF(AND(G502&lt;&gt;"LIBSETS_SETTYPE_BATTLEGROUND",G502&lt;&gt;"LIBSETS_SETTYPE_SPECIAL"),IF(AL502&lt;&gt;"",VLOOKUP(AL502,'ESO zone constants'!$D$5:$H$4955,5,FALSE),""),"")</f>
        <v>380</v>
      </c>
      <c r="AL502" t="s">
        <v>96</v>
      </c>
      <c r="AM502" s="33" t="s">
        <v>3273</v>
      </c>
      <c r="AN502" s="41" t="s">
        <v>1359</v>
      </c>
      <c r="AO502" s="41" t="s">
        <v>1627</v>
      </c>
      <c r="AP502" s="3">
        <f>IF(AND(G502&lt;&gt;"LIBSETS_SETTYPE_BATTLEGROUND",G502&lt;&gt;"LIBSETS_SETTYPE_SPECIAL"),IF(AQ502&lt;&gt;"",VLOOKUP(AQ502,'ESO zone constants'!$D$5:$H$4955,5,FALSE),""),"")</f>
        <v>932</v>
      </c>
      <c r="AQ502" t="s">
        <v>55</v>
      </c>
      <c r="AR502" s="33" t="s">
        <v>3273</v>
      </c>
      <c r="AS502" s="41" t="s">
        <v>1550</v>
      </c>
      <c r="AT502" s="41" t="s">
        <v>1550</v>
      </c>
      <c r="AU502" s="3" t="str">
        <f>IF(AND(G502&lt;&gt;"LIBSETS_SETTYPE_BATTLEGROUND",G502&lt;&gt;"LIBSETS_SETTYPE_SPECIAL"),IF(AV502&lt;&gt;"",VLOOKUP(AV502,'ESO zone constants'!$D$5:$H$4955,5,FALSE),""),"")</f>
        <v/>
      </c>
      <c r="AX502" s="41"/>
      <c r="AY502" s="41"/>
      <c r="AZ502" s="75" t="s">
        <v>2645</v>
      </c>
      <c r="BA502" s="36" t="s">
        <v>3169</v>
      </c>
      <c r="BB502" s="36" t="s">
        <v>3169</v>
      </c>
      <c r="BC502" s="36"/>
      <c r="BD502" s="36"/>
      <c r="BE502" s="21" t="str">
        <f t="shared" si="43"/>
        <v>[576] = {wayshrines={176,169,449,}, dlcId=DLC_MARKARTH</v>
      </c>
      <c r="BF502" s="21" t="str">
        <f t="shared" si="44"/>
        <v>, zoneIds={381,124,1207,380,932}, veteran=false</v>
      </c>
      <c r="BG502" s="21" t="str">
        <f t="shared" si="45"/>
        <v>, setType=LIBSETS_SETTYPE_MYTHIC</v>
      </c>
      <c r="BH502" s="21"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 t="shared" si="47"/>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 t="shared" si="42"/>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5" t="s">
        <v>2645</v>
      </c>
      <c r="BA503" s="75"/>
      <c r="BB503" s="75"/>
      <c r="BC503" s="75"/>
      <c r="BD503" s="75"/>
      <c r="BE503" s="21" t="str">
        <f t="shared" si="43"/>
        <v>[577] = {wayshrines={437,437,437,}, dlcId=DLC_FLAMES_OF_AMBITION</v>
      </c>
      <c r="BF503" s="21" t="str">
        <f t="shared" si="44"/>
        <v>, zoneIds={1228,823,823}, veteran={[EQUIP_TYPE_HEAD]=true, [EQUIP_TYPE_SHOULDERS]=false}</v>
      </c>
      <c r="BG503" s="21" t="str">
        <f t="shared" si="45"/>
        <v>, setType=LIBSETS_SETTYPE_MONSTER, undauntedChestId=3</v>
      </c>
      <c r="BH503" s="21" t="str">
        <f t="shared" si="46"/>
        <v>, dropMechanic={LIBSETS_DROP_MECHANIC_MONSTER_NAME}, dropMechanicDropLocationNames={['en']={'Encrati\'s Behemoth','','','','','',},['de']={'Encrati\'s Behemoth','','','','','',},}</v>
      </c>
      <c r="BI503" s="21" t="str">
        <f t="shared" si="47"/>
        <v>}, --Encrati\'s Behemoth / Encrati\'s Behemoth   [Black Drake Villa, Gold Coast, Gold Coast]</v>
      </c>
    </row>
    <row r="504" spans="1:61" x14ac:dyDescent="0.25">
      <c r="A504" s="5">
        <v>578</v>
      </c>
      <c r="B504" t="s">
        <v>2383</v>
      </c>
      <c r="C504" t="s">
        <v>2383</v>
      </c>
      <c r="D504" s="3">
        <f t="shared" si="42"/>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5" t="s">
        <v>2645</v>
      </c>
      <c r="BA504" s="75"/>
      <c r="BB504" s="75"/>
      <c r="BC504" s="75"/>
      <c r="BD504" s="75"/>
      <c r="BE504" s="21" t="str">
        <f t="shared" si="43"/>
        <v>[578] = {wayshrines={454,454,454,}, dlcId=DLC_BLACKWOOD</v>
      </c>
      <c r="BF504" s="21" t="str">
        <f t="shared" si="44"/>
        <v>, zoneIds={1229,57,57}, veteran={[EQUIP_TYPE_HEAD]=true, [EQUIP_TYPE_SHOULDERS]=false}</v>
      </c>
      <c r="BG504" s="21" t="str">
        <f t="shared" si="45"/>
        <v>, setType=LIBSETS_SETTYPE_MONSTER, undauntedChestId=3</v>
      </c>
      <c r="BH504" s="21" t="str">
        <f t="shared" si="46"/>
        <v>, dropMechanic={LIBSETS_DROP_MECHANIC_MONSTER_NAME}, dropMechanicDropLocationNames={['en']={'Baron Zaudrus','','','','','',},['de']={'Baron Zaudrus','','','','','',},}</v>
      </c>
      <c r="BI504" s="21" t="str">
        <f t="shared" si="47"/>
        <v>}, --Baron Zaudrus / Baron Zaudrus   [The Cauldron, Deshaan, Deshaan]</v>
      </c>
    </row>
    <row r="505" spans="1:61" x14ac:dyDescent="0.25">
      <c r="A505" s="5">
        <v>579</v>
      </c>
      <c r="B505" t="s">
        <v>2456</v>
      </c>
      <c r="C505" t="s">
        <v>2455</v>
      </c>
      <c r="D505" s="3">
        <f t="shared" si="42"/>
        <v>579</v>
      </c>
      <c r="G505" s="3" t="s">
        <v>1473</v>
      </c>
      <c r="I505" t="s">
        <v>91</v>
      </c>
      <c r="J505" t="s">
        <v>91</v>
      </c>
      <c r="K505" s="36">
        <v>458</v>
      </c>
      <c r="L505" s="36">
        <v>458</v>
      </c>
      <c r="M505" s="36">
        <v>458</v>
      </c>
      <c r="O505" s="61" t="s">
        <v>2378</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1551</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1553</v>
      </c>
      <c r="AI505" s="41"/>
      <c r="AJ505" s="41"/>
      <c r="AK505" s="3">
        <f>IF(AND(G505&lt;&gt;"LIBSETS_SETTYPE_BATTLEGROUND",G505&lt;&gt;"LIBSETS_SETTYPE_SPECIAL"),IF(AL505&lt;&gt;"",VLOOKUP(AL505,'ESO zone constants'!$D$5:$H$4955,5,FALSE),""),"")</f>
        <v>1261</v>
      </c>
      <c r="AL505" t="s">
        <v>2378</v>
      </c>
      <c r="AM505" s="33" t="s">
        <v>1554</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5" t="s">
        <v>2646</v>
      </c>
      <c r="BA505" s="75"/>
      <c r="BB505" s="75"/>
      <c r="BC505" s="75"/>
      <c r="BD505" s="75"/>
      <c r="BE505" s="21" t="str">
        <f t="shared" si="43"/>
        <v>[579] = {wayshrines={458,458,458,}, dlcId=DLC_BASE_GAME</v>
      </c>
      <c r="BF505" s="21" t="str">
        <f t="shared" si="44"/>
        <v>, zoneIds={1261,1261,1261,1261}, veteran=false</v>
      </c>
      <c r="BG505" s="21" t="str">
        <f t="shared" si="45"/>
        <v>, setType=LIBSETS_SETTYPE_OVERLAND</v>
      </c>
      <c r="BH505" s="21" t="str">
        <f t="shared" si="46"/>
        <v>, isProcSetAllowedInPvP=1, dropMechanic={LIBSETS_DROP_MECHANIC_OVERLAND_BOSS_DELVE,LIBSETS_DROP_MECHANIC_OVERLAND_BOSS_DELVE,LIBSETS_DROP_MECHANIC_OVERLAND_BOSS_PUBLIC_DUNGEON,LIBSETS_DROP_MECHANIC_OVERLAND_CHEST}</v>
      </c>
      <c r="BI505" s="21" t="str">
        <f t="shared" si="47"/>
        <v>}, --Frostbite / Frostbiss   [Blackwood, Blackwood, Blackwood, Blackwood]</v>
      </c>
    </row>
    <row r="506" spans="1:61" x14ac:dyDescent="0.25">
      <c r="A506" s="5">
        <v>580</v>
      </c>
      <c r="B506" t="s">
        <v>2452</v>
      </c>
      <c r="C506" t="s">
        <v>2453</v>
      </c>
      <c r="D506" s="3">
        <f t="shared" si="42"/>
        <v>580</v>
      </c>
      <c r="G506" s="3" t="s">
        <v>1473</v>
      </c>
      <c r="I506" t="s">
        <v>91</v>
      </c>
      <c r="J506" t="s">
        <v>91</v>
      </c>
      <c r="K506" s="36">
        <v>458</v>
      </c>
      <c r="L506" s="36">
        <v>458</v>
      </c>
      <c r="M506" s="36">
        <v>458</v>
      </c>
      <c r="O506" s="61" t="s">
        <v>2378</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1551</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1553</v>
      </c>
      <c r="AI506" s="41"/>
      <c r="AJ506" s="41"/>
      <c r="AK506" s="3">
        <f>IF(AND(G506&lt;&gt;"LIBSETS_SETTYPE_BATTLEGROUND",G506&lt;&gt;"LIBSETS_SETTYPE_SPECIAL"),IF(AL506&lt;&gt;"",VLOOKUP(AL506,'ESO zone constants'!$D$5:$H$4955,5,FALSE),""),"")</f>
        <v>1261</v>
      </c>
      <c r="AL506" t="s">
        <v>2378</v>
      </c>
      <c r="AM506" s="33" t="s">
        <v>1554</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5" t="s">
        <v>2645</v>
      </c>
      <c r="BA506" s="75"/>
      <c r="BB506" s="75"/>
      <c r="BC506" s="75"/>
      <c r="BD506" s="75"/>
      <c r="BE506" s="21" t="str">
        <f t="shared" si="43"/>
        <v>[580] = {wayshrines={458,458,458,}, dlcId=DLC_BASE_GAME</v>
      </c>
      <c r="BF506" s="21" t="str">
        <f t="shared" si="44"/>
        <v>, zoneIds={1261,1261,1261,1261}, veteran=false</v>
      </c>
      <c r="BG506" s="21" t="str">
        <f t="shared" si="45"/>
        <v>, setType=LIBSETS_SETTYPE_OVERLAND</v>
      </c>
      <c r="BH506" s="21" t="str">
        <f t="shared" si="46"/>
        <v>, dropMechanic={LIBSETS_DROP_MECHANIC_OVERLAND_BOSS_DELVE,LIBSETS_DROP_MECHANIC_OVERLAND_BOSS_DELVE,LIBSETS_DROP_MECHANIC_OVERLAND_BOSS_PUBLIC_DUNGEON,LIBSETS_DROP_MECHANIC_OVERLAND_CHEST}</v>
      </c>
      <c r="BI506" s="21" t="str">
        <f t="shared" si="47"/>
        <v>}, --Deadlands Assassin / Totenländer-Assassine   [Blackwood, Blackwood, Blackwood, Blackwood]</v>
      </c>
    </row>
    <row r="507" spans="1:61" x14ac:dyDescent="0.25">
      <c r="A507" s="5">
        <v>581</v>
      </c>
      <c r="B507" t="s">
        <v>2450</v>
      </c>
      <c r="C507" t="s">
        <v>2451</v>
      </c>
      <c r="D507" s="3">
        <f t="shared" si="42"/>
        <v>581</v>
      </c>
      <c r="E507" s="40"/>
      <c r="G507" s="3" t="s">
        <v>1473</v>
      </c>
      <c r="I507" t="s">
        <v>91</v>
      </c>
      <c r="J507" t="s">
        <v>91</v>
      </c>
      <c r="K507" s="36">
        <v>458</v>
      </c>
      <c r="L507" s="36">
        <v>458</v>
      </c>
      <c r="M507" s="36">
        <v>458</v>
      </c>
      <c r="O507" s="61" t="s">
        <v>2378</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1551</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1553</v>
      </c>
      <c r="AI507" s="41"/>
      <c r="AJ507" s="41"/>
      <c r="AK507" s="3">
        <f>IF(AND(G507&lt;&gt;"LIBSETS_SETTYPE_BATTLEGROUND",G507&lt;&gt;"LIBSETS_SETTYPE_SPECIAL"),IF(AL507&lt;&gt;"",VLOOKUP(AL507,'ESO zone constants'!$D$5:$H$4955,5,FALSE),""),"")</f>
        <v>1261</v>
      </c>
      <c r="AL507" t="s">
        <v>2378</v>
      </c>
      <c r="AM507" s="33" t="s">
        <v>1554</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5" t="s">
        <v>2645</v>
      </c>
      <c r="BA507" s="75"/>
      <c r="BB507" s="75"/>
      <c r="BC507" s="75"/>
      <c r="BD507" s="75"/>
      <c r="BE507" s="21" t="str">
        <f t="shared" si="43"/>
        <v>[581] = {wayshrines={458,458,458,}, dlcId=DLC_BASE_GAME</v>
      </c>
      <c r="BF507" s="21" t="str">
        <f t="shared" si="44"/>
        <v>, zoneIds={1261,1261,1261,1261}, veteran=false</v>
      </c>
      <c r="BG507" s="21" t="str">
        <f t="shared" si="45"/>
        <v>, setType=LIBSETS_SETTYPE_OVERLAND</v>
      </c>
      <c r="BH507" s="21" t="str">
        <f t="shared" si="46"/>
        <v>, dropMechanic={LIBSETS_DROP_MECHANIC_OVERLAND_BOSS_DELVE,LIBSETS_DROP_MECHANIC_OVERLAND_BOSS_DELVE,LIBSETS_DROP_MECHANIC_OVERLAND_BOSS_PUBLIC_DUNGEON,LIBSETS_DROP_MECHANIC_OVERLAND_CHEST}</v>
      </c>
      <c r="BI507" s="21" t="str">
        <f t="shared" si="47"/>
        <v>}, --Bog Raider / Moorräuber   [Blackwood, Blackwood, Blackwood, Blackwood]</v>
      </c>
    </row>
    <row r="508" spans="1:61" x14ac:dyDescent="0.25">
      <c r="A508" s="5">
        <v>582</v>
      </c>
      <c r="B508" t="s">
        <v>2449</v>
      </c>
      <c r="C508" t="s">
        <v>2446</v>
      </c>
      <c r="D508" s="3">
        <f t="shared" si="42"/>
        <v>582</v>
      </c>
      <c r="G508" s="3" t="s">
        <v>1467</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3276</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3276</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5" t="s">
        <v>2645</v>
      </c>
      <c r="BA508" s="75"/>
      <c r="BB508" s="75"/>
      <c r="BC508" s="75"/>
      <c r="BD508" s="75"/>
      <c r="BE508" s="21" t="str">
        <f t="shared" si="43"/>
        <v>[582] = {wayshrines={484,484,484,}, traitsNeeded=3, dlcId=DLC_BASE_GAME</v>
      </c>
      <c r="BF508" s="21" t="str">
        <f t="shared" si="44"/>
        <v>, zoneIds={1261,1261,1261}, veteran=false</v>
      </c>
      <c r="BG508" s="21" t="str">
        <f t="shared" si="45"/>
        <v>, setType=LIBSETS_SETTYPE_CRAFTED</v>
      </c>
      <c r="BH508" s="21" t="str">
        <f t="shared" si="46"/>
        <v>, dropMechanic={LIBSETS_DROP_MECHANIC_CRAFTED,LIBSETS_DROP_MECHANIC_CRAFTED,LIBSETS_DROP_MECHANIC_CRAFTED}</v>
      </c>
      <c r="BI508" s="21" t="str">
        <f t="shared" si="47"/>
        <v>}, --Hist Whisperer / Histflüsterer   [Blackwood, Blackwood, Blackwood]</v>
      </c>
    </row>
    <row r="509" spans="1:61" x14ac:dyDescent="0.25">
      <c r="A509" s="5">
        <v>583</v>
      </c>
      <c r="B509" t="s">
        <v>2448</v>
      </c>
      <c r="C509" t="s">
        <v>2447</v>
      </c>
      <c r="D509" s="3">
        <f t="shared" si="42"/>
        <v>583</v>
      </c>
      <c r="G509" s="3" t="s">
        <v>1467</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3276</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3276</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5" t="s">
        <v>2645</v>
      </c>
      <c r="BA509" s="75"/>
      <c r="BB509" s="75"/>
      <c r="BC509" s="75"/>
      <c r="BD509" s="75"/>
      <c r="BE509" s="21" t="str">
        <f t="shared" si="43"/>
        <v>[583] = {wayshrines={483,483,483,}, traitsNeeded=7, dlcId=DLC_BASE_GAME</v>
      </c>
      <c r="BF509" s="21" t="str">
        <f t="shared" si="44"/>
        <v>, zoneIds={1261,1261,1261}, veteran=false</v>
      </c>
      <c r="BG509" s="21" t="str">
        <f t="shared" si="45"/>
        <v>, setType=LIBSETS_SETTYPE_CRAFTED</v>
      </c>
      <c r="BH509" s="21" t="str">
        <f t="shared" si="46"/>
        <v>, dropMechanic={LIBSETS_DROP_MECHANIC_CRAFTED,LIBSETS_DROP_MECHANIC_CRAFTED,LIBSETS_DROP_MECHANIC_CRAFTED}</v>
      </c>
      <c r="BI509" s="21" t="str">
        <f t="shared" si="47"/>
        <v>}, --Heartland Conqueror / Herzlanderoberer   [Blackwood, Blackwood, Blackwood]</v>
      </c>
    </row>
    <row r="510" spans="1:61" x14ac:dyDescent="0.25">
      <c r="A510" s="5">
        <v>584</v>
      </c>
      <c r="B510" t="s">
        <v>2454</v>
      </c>
      <c r="C510" t="s">
        <v>2476</v>
      </c>
      <c r="D510" s="3">
        <f t="shared" si="42"/>
        <v>584</v>
      </c>
      <c r="G510" s="3" t="s">
        <v>1467</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3276</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3276</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5" t="s">
        <v>2645</v>
      </c>
      <c r="BA510" s="75"/>
      <c r="BB510" s="75"/>
      <c r="BC510" s="75"/>
      <c r="BD510" s="75"/>
      <c r="BE510" s="21" t="str">
        <f t="shared" si="43"/>
        <v>[584] = {wayshrines={461,461,461,}, traitsNeeded=5, dlcId=DLC_BASE_GAME</v>
      </c>
      <c r="BF510" s="21" t="str">
        <f t="shared" si="44"/>
        <v>, zoneIds={1261,1261,1261}, veteran=false</v>
      </c>
      <c r="BG510" s="21" t="str">
        <f t="shared" si="45"/>
        <v>, setType=LIBSETS_SETTYPE_CRAFTED</v>
      </c>
      <c r="BH510" s="21" t="str">
        <f t="shared" si="46"/>
        <v>, dropMechanic={LIBSETS_DROP_MECHANIC_CRAFTED,LIBSETS_DROP_MECHANIC_CRAFTED,LIBSETS_DROP_MECHANIC_CRAFTED}</v>
      </c>
      <c r="BI510" s="21" t="str">
        <f t="shared" si="47"/>
        <v>}, --Diamond\'s Victory / Sieg des Diamanten   [Blackwood, Blackwood, Blackwood]</v>
      </c>
    </row>
    <row r="511" spans="1:61" x14ac:dyDescent="0.25">
      <c r="A511" s="5">
        <v>585</v>
      </c>
      <c r="B511" t="s">
        <v>2465</v>
      </c>
      <c r="C511" t="s">
        <v>2466</v>
      </c>
      <c r="D511" s="3">
        <f t="shared" si="42"/>
        <v>585</v>
      </c>
      <c r="G511" s="3" t="s">
        <v>1474</v>
      </c>
      <c r="I511" t="s">
        <v>91</v>
      </c>
      <c r="J511" t="s">
        <v>91</v>
      </c>
      <c r="K511" s="36">
        <v>468</v>
      </c>
      <c r="L511" s="36">
        <v>468</v>
      </c>
      <c r="M511" s="36">
        <v>468</v>
      </c>
      <c r="O511" s="61" t="s">
        <v>2433</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3254</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3254</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5" t="s">
        <v>2645</v>
      </c>
      <c r="BA511" s="75"/>
      <c r="BB511" s="75"/>
      <c r="BC511" s="75"/>
      <c r="BD511" s="75">
        <v>589</v>
      </c>
      <c r="BE511" s="21" t="str">
        <f t="shared" si="43"/>
        <v>[585] = {wayshrines={468,468,468,}, dlcId=DLC_ELSWEYR</v>
      </c>
      <c r="BF511" s="21" t="str">
        <f t="shared" si="44"/>
        <v>, zoneIds={1263,1263,1263}, veteran=false</v>
      </c>
      <c r="BG511" s="21" t="str">
        <f t="shared" si="45"/>
        <v>, setType=LIBSETS_SETTYPE_TRIAL</v>
      </c>
      <c r="BH511" s="21" t="str">
        <f t="shared" si="46"/>
        <v>, dropMechanic={LIBSETS_DROP_MECHANIC_TRIAL_BOSS,LIBSETS_DROP_MECHANIC_TRIAL_BOSS,LIBSETS_DROP_MECHANIC_TRIAL_BOSS}, perfectedSetId=589</v>
      </c>
      <c r="BI511" s="21" t="str">
        <f t="shared" si="47"/>
        <v>}, --Saxhleel Champion / Saxhleel-Champion   [Rockgrove, Rockgrove, Rockgrove]</v>
      </c>
    </row>
    <row r="512" spans="1:61" x14ac:dyDescent="0.25">
      <c r="A512" s="5">
        <v>586</v>
      </c>
      <c r="B512" t="s">
        <v>2467</v>
      </c>
      <c r="C512" t="s">
        <v>2477</v>
      </c>
      <c r="D512" s="3">
        <f t="shared" si="42"/>
        <v>586</v>
      </c>
      <c r="G512" s="3" t="s">
        <v>1474</v>
      </c>
      <c r="I512" t="s">
        <v>91</v>
      </c>
      <c r="J512" t="s">
        <v>91</v>
      </c>
      <c r="K512" s="36">
        <v>468</v>
      </c>
      <c r="L512" s="36">
        <v>468</v>
      </c>
      <c r="M512" s="36">
        <v>468</v>
      </c>
      <c r="O512" s="61" t="s">
        <v>2433</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3254</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3254</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5" t="s">
        <v>2645</v>
      </c>
      <c r="BA512" s="75"/>
      <c r="BB512" s="75"/>
      <c r="BC512" s="75"/>
      <c r="BD512" s="75">
        <v>590</v>
      </c>
      <c r="BE512" s="21" t="str">
        <f t="shared" si="43"/>
        <v>[586] = {wayshrines={468,468,468,}, dlcId=DLC_ELSWEYR</v>
      </c>
      <c r="BF512" s="21" t="str">
        <f t="shared" si="44"/>
        <v>, zoneIds={1263,1263,1263}, veteran=false</v>
      </c>
      <c r="BG512" s="21" t="str">
        <f t="shared" si="45"/>
        <v>, setType=LIBSETS_SETTYPE_TRIAL</v>
      </c>
      <c r="BH512" s="21" t="str">
        <f t="shared" si="46"/>
        <v>, dropMechanic={LIBSETS_DROP_MECHANIC_TRIAL_BOSS,LIBSETS_DROP_MECHANIC_TRIAL_BOSS,LIBSETS_DROP_MECHANIC_TRIAL_BOSS}, perfectedSetId=590</v>
      </c>
      <c r="BI512" s="21" t="str">
        <f t="shared" si="47"/>
        <v>}, --Sul-Xan\'s Torment / Sul-Xans Folter   [Rockgrove, Rockgrove, Rockgrove]</v>
      </c>
    </row>
    <row r="513" spans="1:61" x14ac:dyDescent="0.25">
      <c r="A513" s="5">
        <v>587</v>
      </c>
      <c r="B513" t="s">
        <v>2464</v>
      </c>
      <c r="C513" t="s">
        <v>2478</v>
      </c>
      <c r="D513" s="3">
        <f t="shared" si="42"/>
        <v>587</v>
      </c>
      <c r="G513" s="3" t="s">
        <v>1474</v>
      </c>
      <c r="I513" t="s">
        <v>91</v>
      </c>
      <c r="J513" t="s">
        <v>91</v>
      </c>
      <c r="K513" s="36">
        <v>468</v>
      </c>
      <c r="L513" s="36">
        <v>468</v>
      </c>
      <c r="M513" s="36">
        <v>468</v>
      </c>
      <c r="O513" s="61" t="s">
        <v>2433</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3254</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3254</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5" t="s">
        <v>2645</v>
      </c>
      <c r="BA513" s="75"/>
      <c r="BB513" s="75"/>
      <c r="BC513" s="75"/>
      <c r="BD513" s="75">
        <v>591</v>
      </c>
      <c r="BE513" s="21" t="str">
        <f t="shared" si="43"/>
        <v>[587] = {wayshrines={468,468,468,}, dlcId=DLC_ELSWEYR</v>
      </c>
      <c r="BF513" s="21" t="str">
        <f t="shared" si="44"/>
        <v>, zoneIds={1263,1263,1263}, veteran=false</v>
      </c>
      <c r="BG513" s="21" t="str">
        <f t="shared" si="45"/>
        <v>, setType=LIBSETS_SETTYPE_TRIAL</v>
      </c>
      <c r="BH513" s="21" t="str">
        <f t="shared" si="46"/>
        <v>, dropMechanic={LIBSETS_DROP_MECHANIC_TRIAL_BOSS,LIBSETS_DROP_MECHANIC_TRIAL_BOSS,LIBSETS_DROP_MECHANIC_TRIAL_BOSS}, perfectedSetId=591</v>
      </c>
      <c r="BI513" s="21" t="str">
        <f t="shared" si="47"/>
        <v>}, --Bahsei\'s Mania / Bahseis Manie   [Rockgrove, Rockgrove, Rockgrove]</v>
      </c>
    </row>
    <row r="514" spans="1:61" x14ac:dyDescent="0.25">
      <c r="A514" s="5">
        <v>588</v>
      </c>
      <c r="B514" t="s">
        <v>2460</v>
      </c>
      <c r="C514" t="s">
        <v>2479</v>
      </c>
      <c r="D514" s="3">
        <f t="shared" si="42"/>
        <v>588</v>
      </c>
      <c r="G514" s="3" t="s">
        <v>1474</v>
      </c>
      <c r="I514" t="s">
        <v>91</v>
      </c>
      <c r="J514" t="s">
        <v>91</v>
      </c>
      <c r="K514">
        <v>468</v>
      </c>
      <c r="L514">
        <v>468</v>
      </c>
      <c r="M514">
        <v>468</v>
      </c>
      <c r="O514" s="61" t="s">
        <v>2433</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3254</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3254</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5" t="s">
        <v>2645</v>
      </c>
      <c r="BA514" s="75"/>
      <c r="BB514" s="75"/>
      <c r="BC514" s="75"/>
      <c r="BD514" s="75">
        <v>592</v>
      </c>
      <c r="BE514" s="21" t="str">
        <f t="shared" si="43"/>
        <v>[588] = {wayshrines={468,468,468,}, dlcId=DLC_ELSWEYR</v>
      </c>
      <c r="BF514" s="21" t="str">
        <f t="shared" si="44"/>
        <v>, zoneIds={1263,1263,1263}, veteran=false</v>
      </c>
      <c r="BG514" s="21" t="str">
        <f t="shared" si="45"/>
        <v>, setType=LIBSETS_SETTYPE_TRIAL</v>
      </c>
      <c r="BH514" s="21" t="str">
        <f t="shared" si="46"/>
        <v>, dropMechanic={LIBSETS_DROP_MECHANIC_TRIAL_BOSS,LIBSETS_DROP_MECHANIC_TRIAL_BOSS,LIBSETS_DROP_MECHANIC_TRIAL_BOSS}, perfectedSetId=592</v>
      </c>
      <c r="BI514" s="21" t="str">
        <f t="shared" si="47"/>
        <v>}, --Stone-Talker\'s Oath / Eid des Steinsprechers   [Rockgrove, Rockgrove, Rockgrove]</v>
      </c>
    </row>
    <row r="515" spans="1:61" x14ac:dyDescent="0.25">
      <c r="A515" s="5">
        <v>589</v>
      </c>
      <c r="B515" t="s">
        <v>2458</v>
      </c>
      <c r="C515" t="s">
        <v>2459</v>
      </c>
      <c r="D515" s="3">
        <f t="shared" ref="D515:D578" si="48">A515</f>
        <v>589</v>
      </c>
      <c r="G515" s="3" t="s">
        <v>1474</v>
      </c>
      <c r="I515" t="s">
        <v>92</v>
      </c>
      <c r="J515" t="s">
        <v>91</v>
      </c>
      <c r="K515" s="36">
        <v>468</v>
      </c>
      <c r="L515" s="36">
        <v>468</v>
      </c>
      <c r="M515" s="36">
        <v>468</v>
      </c>
      <c r="O515" s="61" t="s">
        <v>2433</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3254</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3254</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5" t="s">
        <v>2645</v>
      </c>
      <c r="BA515" s="75"/>
      <c r="BB515" s="75"/>
      <c r="BC515" s="75"/>
      <c r="BD515" s="75" t="s">
        <v>3812</v>
      </c>
      <c r="BE515" s="21"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dlcId=DLC_ELSWEYR</v>
      </c>
      <c r="BF515" s="21"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 CONCATENATE(", veteran=", I515), ""),""),"")</f>
        <v>, zoneIds={1263,1263,1263}, veteran=true</v>
      </c>
      <c r="BG515" s="21" t="str">
        <f t="shared" ref="BG515:BG578" si="51">IF(A515&lt;&gt;"",IF(F515&lt;&gt;"Not in the game (anymore)",IF(A515&lt;&gt;"",", setType="&amp;G515,"")&amp;IF(G515="LIBSETS_SETTYPE_CLASS",", classId="&amp;BC515,"")&amp;IF(J515="true",", multiTrialSet=true",""),"")
&amp; IF(AND(H515&lt;&gt;"",ISNUMBER(H515)),", undauntedChestId=" &amp; H515,""),"")</f>
        <v>, setType=LIBSETS_SETTYPE_TRIAL</v>
      </c>
      <c r="BH515" s="21" t="str">
        <f t="shared" ref="BH515:BH578" si="52">IF(A515&lt;&gt;"",IF(F515&lt;&gt;"Not in the game (anymore)",IF(AZ515&lt;&gt;"",", isProcSetAllowedInPvP="&amp; AZ515,"")
&amp; IF(F515&lt;&gt;"Not in the game (anymore)",
  IF(V515&lt;&gt;"",", dropMechanic={"&amp;V515&amp;IF(AB515&lt;&gt;"",","&amp;AB515,"")&amp;IF(AH515&lt;&gt;"",","&amp;AH515,"")&amp;IF(AM515&lt;&gt;"",","&amp;AM515,"")&amp;IF(AR515&lt;&gt;"",","&amp;AR515,"")&amp;IF(AW515&lt;&gt;"",","&amp;AW515,"")&amp;"}"
     &amp;IF(OR(W515&lt;&gt;"",AC515&lt;&gt;"",AI515&lt;&gt;"",AN515&lt;&gt;"",AS515&lt;&gt;"",AX515&lt;&gt;"",X515&lt;&gt;"",AD515&lt;&gt;"",AJ515&lt;&gt;"",AO515&lt;&gt;"",AT515&lt;&gt;"",AY515&lt;&gt;""),", dropMechanicDropLocationNames={"
        &amp; IF(OR(W515&lt;&gt;"",AC515&lt;&gt;"",AI515&lt;&gt;"",AN515&lt;&gt;"",AS515&lt;&gt;"",AX515&lt;&gt;""),"['en']={"&amp;IF(W515&lt;&gt;"","'"&amp;W515&amp;"',","'',")&amp;IF(AC515&lt;&gt;"","'"&amp;AC515&amp;"',","'',")&amp;IF(AI515&lt;&gt;"","'"&amp;AI515&amp;"',","'',")&amp;IF(AN515&lt;&gt;"","'"&amp;AN515&amp;"',","'',")&amp;IF(AS515&lt;&gt;"","'"&amp;AS515&amp;"',","'',")&amp;IF(AX515&lt;&gt;"","'"&amp;AX515&amp;"',","'',")&amp;"},","")
        &amp; IF(OR(X515&lt;&gt;"",AD515&lt;&gt;"",AJ515&lt;&gt;"",AO515&lt;&gt;"",AT515&lt;&gt;"",AY515&lt;&gt;""),"['de']={"&amp;IF(X515&lt;&gt;"","'"&amp;X515&amp;"',","'',")&amp;IF(AD515&lt;&gt;"","'"&amp;AD515&amp;"',","'',")&amp;IF(AJ515&lt;&gt;"","'"&amp;AJ515&amp;"',","'',")&amp;IF(AO515&lt;&gt;"","'"&amp;AO515&amp;"',","'',")&amp;IF(AT515&lt;&gt;"","'"&amp;AT515&amp;"',","'',")&amp;IF(AY515&lt;&gt;"","'"&amp;AY515&amp;"',","'',")&amp;"},","")
     &amp; "}",""),"")),""),"")
&amp; IF(AND(BD515&lt;&gt;"",BD515&lt;&gt;"X"), ", perfectedSetId=" &amp; BD515, IF(BD515&lt;&gt;"",", isPerfectedSet=1",""))</f>
        <v>, dropMechanic={LIBSETS_DROP_MECHANIC_TRIAL_BOSS,LIBSETS_DROP_MECHANIC_TRIAL_BOSS,LIBSETS_DROP_MECHANIC_TRIAL_BOSS}, isPerfectedSet=1</v>
      </c>
      <c r="BI515" s="21" t="str">
        <f t="shared" ref="BI515:BI578" si="53">IF(A515&lt;&gt;"",IF(F515&lt;&gt;"Not in the game (anymore)",
IF(OR(BA515&lt;&gt;"",BB515&lt;&gt;""),", addTooltip={" &amp; IF(BA515&lt;&gt;"","['en']='"&amp; BA515 &amp; "',","")  &amp; IF(AND(BA515&lt;&gt;"",BA515&lt;&gt;BB515), IF(BB515&lt;&gt;"","['de']='"&amp; BB515 &amp; "',",""),"") &amp; "},","")
&amp; "},"
&amp; 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5">
        <v>590</v>
      </c>
      <c r="B516" t="s">
        <v>2475</v>
      </c>
      <c r="C516" t="s">
        <v>2475</v>
      </c>
      <c r="D516" s="3">
        <f t="shared" si="48"/>
        <v>590</v>
      </c>
      <c r="G516" s="3" t="s">
        <v>1474</v>
      </c>
      <c r="I516" t="s">
        <v>92</v>
      </c>
      <c r="J516" t="s">
        <v>91</v>
      </c>
      <c r="K516" s="36">
        <v>468</v>
      </c>
      <c r="L516" s="36">
        <v>468</v>
      </c>
      <c r="M516" s="36">
        <v>468</v>
      </c>
      <c r="O516" s="61" t="s">
        <v>2433</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3254</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3254</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5" t="s">
        <v>2645</v>
      </c>
      <c r="BA516" s="75"/>
      <c r="BB516" s="75"/>
      <c r="BC516" s="75"/>
      <c r="BD516" s="75" t="s">
        <v>3812</v>
      </c>
      <c r="BE516" s="21" t="str">
        <f t="shared" si="49"/>
        <v>[590] = {wayshrines={468,468,468,}, dlcId=DLC_ELSWEYR</v>
      </c>
      <c r="BF516" s="21" t="str">
        <f t="shared" si="50"/>
        <v>, zoneIds={1263,1263,1263}, veteran=true</v>
      </c>
      <c r="BG516" s="21" t="str">
        <f t="shared" si="51"/>
        <v>, setType=LIBSETS_SETTYPE_TRIAL</v>
      </c>
      <c r="BH516" s="21" t="str">
        <f t="shared" si="52"/>
        <v>, dropMechanic={LIBSETS_DROP_MECHANIC_TRIAL_BOSS,LIBSETS_DROP_MECHANIC_TRIAL_BOSS,LIBSETS_DROP_MECHANIC_TRIAL_BOSS}, isPerfectedSet=1</v>
      </c>
      <c r="BI516" s="21" t="str">
        <f t="shared" si="53"/>
        <v>}, --Perfected Sul-Xan\'s Torment / Perfected Sul-Xan\'s Torment   [Rockgrove, Rockgrove, Rockgrove]</v>
      </c>
    </row>
    <row r="517" spans="1:61" x14ac:dyDescent="0.25">
      <c r="A517" s="5">
        <v>591</v>
      </c>
      <c r="B517" t="s">
        <v>2457</v>
      </c>
      <c r="C517" t="s">
        <v>2480</v>
      </c>
      <c r="D517" s="3">
        <f t="shared" si="48"/>
        <v>591</v>
      </c>
      <c r="G517" s="3" t="s">
        <v>1474</v>
      </c>
      <c r="I517" t="s">
        <v>92</v>
      </c>
      <c r="J517" t="s">
        <v>91</v>
      </c>
      <c r="K517" s="36">
        <v>468</v>
      </c>
      <c r="L517" s="36">
        <v>468</v>
      </c>
      <c r="M517" s="36">
        <v>468</v>
      </c>
      <c r="O517" s="61" t="s">
        <v>2433</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3254</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3254</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5" t="s">
        <v>2645</v>
      </c>
      <c r="BA517" s="75"/>
      <c r="BB517" s="75"/>
      <c r="BC517" s="75"/>
      <c r="BD517" s="75" t="s">
        <v>3812</v>
      </c>
      <c r="BE517" s="21" t="str">
        <f t="shared" si="49"/>
        <v>[591] = {wayshrines={468,468,468,}, dlcId=DLC_ELSWEYR</v>
      </c>
      <c r="BF517" s="21" t="str">
        <f t="shared" si="50"/>
        <v>, zoneIds={1263,1263,1263}, veteran=true</v>
      </c>
      <c r="BG517" s="21" t="str">
        <f t="shared" si="51"/>
        <v>, setType=LIBSETS_SETTYPE_TRIAL</v>
      </c>
      <c r="BH517" s="21" t="str">
        <f t="shared" si="52"/>
        <v>, dropMechanic={LIBSETS_DROP_MECHANIC_TRIAL_BOSS,LIBSETS_DROP_MECHANIC_TRIAL_BOSS,LIBSETS_DROP_MECHANIC_TRIAL_BOSS}, isPerfectedSet=1</v>
      </c>
      <c r="BI517" s="21" t="str">
        <f t="shared" si="53"/>
        <v>}, --Perfected Bahsei\'s Mania / Bahseis perfektionierte Manie   [Rockgrove, Rockgrove, Rockgrove]</v>
      </c>
    </row>
    <row r="518" spans="1:61" x14ac:dyDescent="0.25">
      <c r="A518" s="5">
        <v>592</v>
      </c>
      <c r="B518" t="s">
        <v>2468</v>
      </c>
      <c r="C518" t="s">
        <v>2481</v>
      </c>
      <c r="D518" s="3">
        <f t="shared" si="48"/>
        <v>592</v>
      </c>
      <c r="G518" s="3" t="s">
        <v>1474</v>
      </c>
      <c r="I518" t="s">
        <v>92</v>
      </c>
      <c r="J518" t="s">
        <v>91</v>
      </c>
      <c r="K518" s="36">
        <v>468</v>
      </c>
      <c r="L518" s="36">
        <v>468</v>
      </c>
      <c r="M518" s="36">
        <v>468</v>
      </c>
      <c r="O518" s="61" t="s">
        <v>2433</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3254</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3254</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5" t="s">
        <v>2645</v>
      </c>
      <c r="BA518" s="75"/>
      <c r="BB518" s="75"/>
      <c r="BC518" s="75"/>
      <c r="BD518" s="75" t="s">
        <v>3812</v>
      </c>
      <c r="BE518" s="21" t="str">
        <f t="shared" si="49"/>
        <v>[592] = {wayshrines={468,468,468,}, dlcId=DLC_ELSWEYR</v>
      </c>
      <c r="BF518" s="21" t="str">
        <f t="shared" si="50"/>
        <v>, zoneIds={1263,1263,1263}, veteran=true</v>
      </c>
      <c r="BG518" s="21" t="str">
        <f t="shared" si="51"/>
        <v>, setType=LIBSETS_SETTYPE_TRIAL</v>
      </c>
      <c r="BH518" s="21" t="str">
        <f t="shared" si="52"/>
        <v>, dropMechanic={LIBSETS_DROP_MECHANIC_TRIAL_BOSS,LIBSETS_DROP_MECHANIC_TRIAL_BOSS,LIBSETS_DROP_MECHANIC_TRIAL_BOSS}, isPerfectedSet=1</v>
      </c>
      <c r="BI518" s="21" t="str">
        <f t="shared" si="53"/>
        <v>}, --Perfected Stone-Talker\'s Oath / Perfektionierter Eid des Steinsprechers   [Rockgrove, Rockgrove, Rockgrove]</v>
      </c>
    </row>
    <row r="519" spans="1:61" x14ac:dyDescent="0.25">
      <c r="A519" s="5">
        <v>593</v>
      </c>
      <c r="B519" t="s">
        <v>2469</v>
      </c>
      <c r="C519" t="s">
        <v>2469</v>
      </c>
      <c r="D519" s="3">
        <f t="shared" si="48"/>
        <v>593</v>
      </c>
      <c r="G519" s="3" t="s">
        <v>1671</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2377</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1553</v>
      </c>
      <c r="AI519" s="41"/>
      <c r="AJ519" s="41"/>
      <c r="AK519" s="3">
        <f>IF(AND(G519&lt;&gt;"LIBSETS_SETTYPE_BATTLEGROUND",G519&lt;&gt;"LIBSETS_SETTYPE_SPECIAL"),IF(AL519&lt;&gt;"",VLOOKUP(AL519,'ESO zone constants'!$D$5:$H$4955,5,FALSE),""),"")</f>
        <v>117</v>
      </c>
      <c r="AL519" t="s">
        <v>114</v>
      </c>
      <c r="AM519" s="33" t="s">
        <v>1551</v>
      </c>
      <c r="AN519" s="41"/>
      <c r="AO519" s="41"/>
      <c r="AP519" s="3">
        <f>IF(AND(G519&lt;&gt;"LIBSETS_SETTYPE_BATTLEGROUND",G519&lt;&gt;"LIBSETS_SETTYPE_SPECIAL"),IF(AQ519&lt;&gt;"",VLOOKUP(AQ519,'ESO zone constants'!$D$5:$H$4955,5,FALSE),""),"")</f>
        <v>848</v>
      </c>
      <c r="AQ519" t="s">
        <v>72</v>
      </c>
      <c r="AR519" s="33" t="s">
        <v>3273</v>
      </c>
      <c r="AS519" s="41" t="s">
        <v>32</v>
      </c>
      <c r="AT519" s="41" t="s">
        <v>32</v>
      </c>
      <c r="AU519" s="3" t="str">
        <f>IF(AND(G519&lt;&gt;"LIBSETS_SETTYPE_BATTLEGROUND",G519&lt;&gt;"LIBSETS_SETTYPE_SPECIAL"),IF(AV519&lt;&gt;"",VLOOKUP(AV519,'ESO zone constants'!$D$5:$H$4955,5,FALSE),""),"")</f>
        <v/>
      </c>
      <c r="AX519" s="41"/>
      <c r="AY519" s="41"/>
      <c r="AZ519" s="75" t="s">
        <v>2645</v>
      </c>
      <c r="BA519" s="36" t="s">
        <v>3165</v>
      </c>
      <c r="BB519" s="36" t="s">
        <v>3165</v>
      </c>
      <c r="BC519" s="36"/>
      <c r="BD519" s="36"/>
      <c r="BE519" s="21" t="str">
        <f t="shared" si="49"/>
        <v>[593] = {wayshrines={461,255,30,}, dlcId=DLC_BLACKWOOD</v>
      </c>
      <c r="BF519" s="21" t="str">
        <f t="shared" si="50"/>
        <v>, zoneIds={1261,816,306,117,848}, veteran=false</v>
      </c>
      <c r="BG519" s="21" t="str">
        <f t="shared" si="51"/>
        <v>, setType=LIBSETS_SETTYPE_MYTHIC</v>
      </c>
      <c r="BH519" s="21"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3"/>
        <v>, addTooltip={['en']='https://en.uesp.net/wiki/Online:Gaze_of_Sithis',},}, --Gaze of Sithis / Gaze of Sithis   [Blackwood, Hew's Bane, Forgotten Crypts, Shadowfen, Cradle of Shadows]</v>
      </c>
    </row>
    <row r="520" spans="1:61" x14ac:dyDescent="0.25">
      <c r="A520" s="5">
        <v>594</v>
      </c>
      <c r="B520" t="s">
        <v>2474</v>
      </c>
      <c r="C520" t="s">
        <v>2474</v>
      </c>
      <c r="D520" s="3">
        <f t="shared" si="48"/>
        <v>594</v>
      </c>
      <c r="G520" s="3" t="s">
        <v>1671</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2377</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3207</v>
      </c>
      <c r="AI520" s="41" t="s">
        <v>3210</v>
      </c>
      <c r="AJ520" s="41" t="s">
        <v>3211</v>
      </c>
      <c r="AK520" s="3">
        <f>IF(AND(G520&lt;&gt;"LIBSETS_SETTYPE_BATTLEGROUND",G520&lt;&gt;"LIBSETS_SETTYPE_SPECIAL"),IF(AL520&lt;&gt;"",VLOOKUP(AL520,'ESO zone constants'!$D$5:$H$4955,5,FALSE),""),"")</f>
        <v>843</v>
      </c>
      <c r="AL520" t="s">
        <v>53</v>
      </c>
      <c r="AM520" s="33" t="s">
        <v>3273</v>
      </c>
      <c r="AN520" s="41" t="s">
        <v>1360</v>
      </c>
      <c r="AO520" s="41" t="s">
        <v>3212</v>
      </c>
      <c r="AP520" s="3">
        <f>IF(AND(G520&lt;&gt;"LIBSETS_SETTYPE_BATTLEGROUND",G520&lt;&gt;"LIBSETS_SETTYPE_SPECIAL"),IF(AQ520&lt;&gt;"",VLOOKUP(AQ520,'ESO zone constants'!$D$5:$H$4955,5,FALSE),""),"")</f>
        <v>117</v>
      </c>
      <c r="AQ520" t="s">
        <v>114</v>
      </c>
      <c r="AR520" s="33" t="s">
        <v>3578</v>
      </c>
      <c r="AS520" s="41" t="s">
        <v>3216</v>
      </c>
      <c r="AT520" s="41" t="s">
        <v>3217</v>
      </c>
      <c r="AU520" s="3" t="str">
        <f>IF(AND(G520&lt;&gt;"LIBSETS_SETTYPE_BATTLEGROUND",G520&lt;&gt;"LIBSETS_SETTYPE_SPECIAL"),IF(AV520&lt;&gt;"",VLOOKUP(AV520,'ESO zone constants'!$D$5:$H$4955,5,FALSE),""),"")</f>
        <v/>
      </c>
      <c r="AX520" s="41"/>
      <c r="AY520" s="41"/>
      <c r="AZ520" s="75" t="s">
        <v>2645</v>
      </c>
      <c r="BA520" s="36" t="s">
        <v>3166</v>
      </c>
      <c r="BB520" s="36" t="s">
        <v>3166</v>
      </c>
      <c r="BC520" s="36"/>
      <c r="BD520" s="36"/>
      <c r="BE520" s="21" t="str">
        <f t="shared" si="49"/>
        <v>[594] = {wayshrines={464,173,374,}, dlcId=DLC_BLACKWOOD</v>
      </c>
      <c r="BF520" s="21" t="str">
        <f t="shared" si="50"/>
        <v>, zoneIds={1261,281,726,843,117}, veteran=false</v>
      </c>
      <c r="BG520" s="21" t="str">
        <f t="shared" si="51"/>
        <v>, setType=LIBSETS_SETTYPE_MYTHIC</v>
      </c>
      <c r="BH520" s="21" t="str">
        <f t="shared" si="52"/>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3"/>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 t="shared" si="48"/>
        <v>596</v>
      </c>
      <c r="G521" s="3" t="s">
        <v>1671</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2377</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1547</v>
      </c>
      <c r="AI521" s="41"/>
      <c r="AJ521" s="41"/>
      <c r="AK521" s="3">
        <f>IF(AND(G521&lt;&gt;"LIBSETS_SETTYPE_BATTLEGROUND",G521&lt;&gt;"LIBSETS_SETTYPE_SPECIAL"),IF(AL521&lt;&gt;"",VLOOKUP(AL521,'ESO zone constants'!$D$5:$H$4955,5,FALSE),""),"")</f>
        <v>584</v>
      </c>
      <c r="AL521" t="s">
        <v>39</v>
      </c>
      <c r="AM521" s="33" t="s">
        <v>3257</v>
      </c>
      <c r="AN521" s="41" t="s">
        <v>3192</v>
      </c>
      <c r="AO521" s="41" t="s">
        <v>3193</v>
      </c>
      <c r="AP521" s="3">
        <f>IF(AND(G521&lt;&gt;"LIBSETS_SETTYPE_BATTLEGROUND",G521&lt;&gt;"LIBSETS_SETTYPE_SPECIAL"),IF(AQ521&lt;&gt;"",VLOOKUP(AQ521,'ESO zone constants'!$D$5:$H$4955,5,FALSE),""),"")</f>
        <v>181</v>
      </c>
      <c r="AQ521" t="s">
        <v>125</v>
      </c>
      <c r="AR521" s="33" t="s">
        <v>1532</v>
      </c>
      <c r="AS521" s="41"/>
      <c r="AT521" s="41"/>
      <c r="AU521" s="3" t="str">
        <f>IF(AND(G521&lt;&gt;"LIBSETS_SETTYPE_BATTLEGROUND",G521&lt;&gt;"LIBSETS_SETTYPE_SPECIAL"),IF(AV521&lt;&gt;"",VLOOKUP(AV521,'ESO zone constants'!$D$5:$H$4955,5,FALSE),""),"")</f>
        <v/>
      </c>
      <c r="AX521" s="41"/>
      <c r="AY521" s="41"/>
      <c r="AZ521" s="75" t="s">
        <v>2645</v>
      </c>
      <c r="BA521" s="36" t="s">
        <v>3164</v>
      </c>
      <c r="BB521" s="36" t="s">
        <v>3164</v>
      </c>
      <c r="BC521" s="36"/>
      <c r="BD521" s="36"/>
      <c r="BE521" s="21" t="str">
        <f t="shared" si="49"/>
        <v>[596] = {wayshrines={461,229,270,}, dlcId=DLC_BLACKWOOD</v>
      </c>
      <c r="BF521" s="21" t="str">
        <f t="shared" si="50"/>
        <v>, zoneIds={1261,888,888,584,181}, veteran=false</v>
      </c>
      <c r="BG521" s="21" t="str">
        <f t="shared" si="51"/>
        <v>, setType=LIBSETS_SETTYPE_MYTHIC</v>
      </c>
      <c r="BH521" s="21"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3"/>
        <v>, addTooltip={['en']='https://en.uesp.net/wiki/Online:Death_Dealer%27s_Fete',},}, --Death Dealer\'s Fete / Death Dealer\'s Fete   [Blackwood, Craglorn, Craglorn, Imperial City, Cyrodiil]</v>
      </c>
    </row>
    <row r="522" spans="1:61" x14ac:dyDescent="0.25">
      <c r="A522" s="5">
        <v>597</v>
      </c>
      <c r="B522" t="s">
        <v>2482</v>
      </c>
      <c r="C522" t="s">
        <v>2482</v>
      </c>
      <c r="D522" s="3">
        <f t="shared" si="48"/>
        <v>597</v>
      </c>
      <c r="G522" s="3" t="s">
        <v>1671</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2377</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1551</v>
      </c>
      <c r="AI522" s="41" t="s">
        <v>3272</v>
      </c>
      <c r="AJ522" s="41" t="s">
        <v>3282</v>
      </c>
      <c r="AK522" s="3">
        <f>IF(AND(G522&lt;&gt;"LIBSETS_SETTYPE_BATTLEGROUND",G522&lt;&gt;"LIBSETS_SETTYPE_SPECIAL"),IF(AL522&lt;&gt;"",VLOOKUP(AL522,'ESO zone constants'!$D$5:$H$4955,5,FALSE),""),"")</f>
        <v>936</v>
      </c>
      <c r="AL522" t="s">
        <v>42</v>
      </c>
      <c r="AM522" s="33" t="s">
        <v>3273</v>
      </c>
      <c r="AN522" s="41" t="s">
        <v>1356</v>
      </c>
      <c r="AO522" s="41" t="s">
        <v>3228</v>
      </c>
      <c r="AP522" s="3">
        <f>IF(AND(G522&lt;&gt;"LIBSETS_SETTYPE_BATTLEGROUND",G522&lt;&gt;"LIBSETS_SETTYPE_SPECIAL"),IF(AQ522&lt;&gt;"",VLOOKUP(AQ522,'ESO zone constants'!$D$5:$H$4955,5,FALSE),""),"")</f>
        <v>1260</v>
      </c>
      <c r="AQ522" t="s">
        <v>2432</v>
      </c>
      <c r="AR522" s="33" t="s">
        <v>1553</v>
      </c>
      <c r="AS522" s="41"/>
      <c r="AT522" s="41"/>
      <c r="AU522" s="3" t="str">
        <f>IF(AND(G522&lt;&gt;"LIBSETS_SETTYPE_BATTLEGROUND",G522&lt;&gt;"LIBSETS_SETTYPE_SPECIAL"),IF(AV522&lt;&gt;"",VLOOKUP(AV522,'ESO zone constants'!$D$5:$H$4955,5,FALSE),""),"")</f>
        <v/>
      </c>
      <c r="AX522" s="41"/>
      <c r="AY522" s="41"/>
      <c r="AZ522" s="75" t="s">
        <v>2646</v>
      </c>
      <c r="BA522" s="36" t="s">
        <v>3172</v>
      </c>
      <c r="BB522" s="36" t="s">
        <v>3172</v>
      </c>
      <c r="BC522" s="36"/>
      <c r="BD522" s="36"/>
      <c r="BE522" s="21" t="str">
        <f t="shared" si="49"/>
        <v>[597] = {wayshrines={451,184,225,}, dlcId=DLC_BLACKWOOD</v>
      </c>
      <c r="BF522" s="21" t="str">
        <f t="shared" si="50"/>
        <v>, zoneIds={1160,11,888,936,1260}, veteran=false</v>
      </c>
      <c r="BG522" s="21" t="str">
        <f t="shared" si="51"/>
        <v>, setType=LIBSETS_SETTYPE_MYTHIC</v>
      </c>
      <c r="BH522" s="21"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3"/>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 t="shared" si="48"/>
        <v>598</v>
      </c>
      <c r="F523" t="s">
        <v>2749</v>
      </c>
      <c r="G523" s="8" t="s">
        <v>2748</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2377</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1535</v>
      </c>
      <c r="W523" s="3" t="s">
        <v>3856</v>
      </c>
      <c r="X523" s="3" t="s">
        <v>3857</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5" t="s">
        <v>2645</v>
      </c>
      <c r="BA523" s="75"/>
      <c r="BB523" s="75"/>
      <c r="BC523" s="75"/>
      <c r="BD523" s="75"/>
      <c r="BE523" s="21" t="str">
        <f t="shared" si="49"/>
        <v>[598] = {wayshrines={-1,-1,-1,}, dlcId=DLC_BLACKWOOD</v>
      </c>
      <c r="BF523" s="21" t="str">
        <f t="shared" si="50"/>
        <v>, zoneIds={584,643}, veteran=false</v>
      </c>
      <c r="BG523" s="21" t="str">
        <f t="shared" si="51"/>
        <v>, setType=LIBSETS_SETTYPE_IMPERIALCITY_MONSTER</v>
      </c>
      <c r="BH523" s="21" t="str">
        <f t="shared" si="52"/>
        <v>, dropMechanic={LIBSETS_DROP_MECHANIC_MONSTER_NAME,LIBSETS_DROP_MECHANIC_TELVAR_EQUIPMENT_LOCKBOX_MERCHANT}, dropMechanicDropLocationNames={['en']={'Zoal the Ever-Wakeful [Elvengarden district, north-west]','','','','','',},['de']={'Zoal der Immerwache [Elfengarten Bezirk, Nord-Westen]','','','','','',},}</v>
      </c>
      <c r="BI523" s="21" t="str">
        <f t="shared" si="53"/>
        <v>}, --Zoal the Ever-Wakeful / Zoal der Immerwache   [Imperial City, Imperial Sewers]</v>
      </c>
    </row>
    <row r="524" spans="1:61" x14ac:dyDescent="0.25">
      <c r="A524" s="5">
        <v>599</v>
      </c>
      <c r="B524" t="s">
        <v>2471</v>
      </c>
      <c r="C524" t="s">
        <v>2462</v>
      </c>
      <c r="D524" s="3">
        <f t="shared" si="48"/>
        <v>599</v>
      </c>
      <c r="F524" t="s">
        <v>2749</v>
      </c>
      <c r="G524" s="8" t="s">
        <v>2748</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2377</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1535</v>
      </c>
      <c r="W524" s="3" t="s">
        <v>3855</v>
      </c>
      <c r="X524" s="3" t="s">
        <v>3858</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5" t="s">
        <v>2645</v>
      </c>
      <c r="BA524" s="75"/>
      <c r="BB524" s="75"/>
      <c r="BC524" s="75"/>
      <c r="BD524" s="75"/>
      <c r="BE524" s="21" t="str">
        <f t="shared" si="49"/>
        <v>[599] = {wayshrines={-1,-1,-1,}, dlcId=DLC_BLACKWOOD</v>
      </c>
      <c r="BF524" s="21" t="str">
        <f t="shared" si="50"/>
        <v>, zoneIds={584,643}, veteran=false</v>
      </c>
      <c r="BG524" s="21" t="str">
        <f t="shared" si="51"/>
        <v>, setType=LIBSETS_SETTYPE_IMPERIALCITY_MONSTER</v>
      </c>
      <c r="BH524" s="21" t="str">
        <f t="shared" si="52"/>
        <v>, dropMechanic={LIBSETS_DROP_MECHANIC_MONSTER_NAME,LIBSETS_DROP_MECHANIC_TELVAR_EQUIPMENT_LOCKBOX_MERCHANT}, dropMechanicDropLocationNames={['en']={'Immolator Charr [Temple district, south]','','','','','',},['de']={'Entflammer Charr [Tempelbezirk, Süden]','','','','','',},}</v>
      </c>
      <c r="BI524" s="21" t="str">
        <f t="shared" si="53"/>
        <v>}, --Immolator Charr / Entflammer Charr   [Imperial City, Imperial Sewers]</v>
      </c>
    </row>
    <row r="525" spans="1:61" x14ac:dyDescent="0.25">
      <c r="A525" s="5">
        <v>600</v>
      </c>
      <c r="B525" t="s">
        <v>2472</v>
      </c>
      <c r="C525" t="s">
        <v>2463</v>
      </c>
      <c r="D525" s="3">
        <f t="shared" si="48"/>
        <v>600</v>
      </c>
      <c r="F525" t="s">
        <v>2749</v>
      </c>
      <c r="G525" s="8" t="s">
        <v>2748</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2377</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1535</v>
      </c>
      <c r="W525" s="3" t="s">
        <v>3854</v>
      </c>
      <c r="X525" s="3" t="s">
        <v>3859</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5" t="s">
        <v>2645</v>
      </c>
      <c r="BA525" s="75"/>
      <c r="BB525" s="75"/>
      <c r="BC525" s="75"/>
      <c r="BD525" s="75"/>
      <c r="BE525" s="21" t="str">
        <f t="shared" si="49"/>
        <v>[600] = {wayshrines={-1,-1,-1,}, dlcId=DLC_BLACKWOOD</v>
      </c>
      <c r="BF525" s="21" t="str">
        <f t="shared" si="50"/>
        <v>, zoneIds={584,643}, veteran=false</v>
      </c>
      <c r="BG525" s="21" t="str">
        <f t="shared" si="51"/>
        <v>, setType=LIBSETS_SETTYPE_IMPERIALCITY_MONSTER</v>
      </c>
      <c r="BH525" s="21" t="str">
        <f t="shared" si="52"/>
        <v>, dropMechanic={LIBSETS_DROP_MECHANIC_MONSTER_NAME,LIBSETS_DROP_MECHANIC_TELVAR_EQUIPMENT_LOCKBOX_MERCHANT}, dropMechanicDropLocationNames={['en']={'Glorgoloch the Destroyer [Arena district, north-east]','','','','','',},['de']={'Glorgoloch der Zerstörer [Arenabezirk, Nord-Osten]','','','','','',},}</v>
      </c>
      <c r="BI525" s="21" t="str">
        <f t="shared" si="53"/>
        <v>}, --Glorgoloch the Destroyer / Glorgoloch der Zerstörer   [Imperial City, Imperial Sewers]</v>
      </c>
    </row>
    <row r="526" spans="1:61" x14ac:dyDescent="0.25">
      <c r="A526" s="5">
        <v>602</v>
      </c>
      <c r="B526" t="s">
        <v>2508</v>
      </c>
      <c r="C526" t="s">
        <v>2738</v>
      </c>
      <c r="D526" s="3">
        <f t="shared" si="48"/>
        <v>602</v>
      </c>
      <c r="G526" s="8" t="s">
        <v>1470</v>
      </c>
      <c r="I526" t="s">
        <v>91</v>
      </c>
      <c r="J526" t="s">
        <v>91</v>
      </c>
      <c r="K526">
        <v>469</v>
      </c>
      <c r="L526">
        <v>469</v>
      </c>
      <c r="M526">
        <v>469</v>
      </c>
      <c r="O526" s="61" t="s">
        <v>2491</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5" t="s">
        <v>2645</v>
      </c>
      <c r="BA526" s="75"/>
      <c r="BB526" s="75"/>
      <c r="BC526" s="75"/>
      <c r="BD526" s="75"/>
      <c r="BE526" s="21" t="str">
        <f t="shared" si="49"/>
        <v>[602] = {wayshrines={469,469,469,}, dlcId=DLC_WAKING_FLAME</v>
      </c>
      <c r="BF526" s="21" t="str">
        <f t="shared" si="50"/>
        <v>, zoneIds={1268,1261,1261}, veteran=false</v>
      </c>
      <c r="BG526" s="21" t="str">
        <f t="shared" si="51"/>
        <v>, setType=LIBSETS_SETTYPE_DUNGEON</v>
      </c>
      <c r="BH526" s="21" t="str">
        <f t="shared" si="52"/>
        <v>, dropMechanic={LIBSETS_DROP_MECHANIC_GROUP_DUNGEON_BOSS}</v>
      </c>
      <c r="BI526" s="21" t="str">
        <f t="shared" si="53"/>
        <v>}, --Crimson Oath\'s Rive / Spalt des Karmesinschwurs   [The Dread Cellar, Blackwood, Blackwood]</v>
      </c>
    </row>
    <row r="527" spans="1:61" x14ac:dyDescent="0.25">
      <c r="A527" s="5">
        <v>603</v>
      </c>
      <c r="B527" t="s">
        <v>2506</v>
      </c>
      <c r="C527" t="s">
        <v>2739</v>
      </c>
      <c r="D527" s="3">
        <f t="shared" si="48"/>
        <v>603</v>
      </c>
      <c r="G527" s="8" t="s">
        <v>1470</v>
      </c>
      <c r="I527" t="s">
        <v>91</v>
      </c>
      <c r="J527" t="s">
        <v>91</v>
      </c>
      <c r="K527">
        <v>469</v>
      </c>
      <c r="L527">
        <v>469</v>
      </c>
      <c r="M527">
        <v>469</v>
      </c>
      <c r="O527" s="61" t="s">
        <v>2491</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5" t="s">
        <v>2645</v>
      </c>
      <c r="BA527" s="75"/>
      <c r="BB527" s="75"/>
      <c r="BC527" s="75"/>
      <c r="BD527" s="75"/>
      <c r="BE527" s="21" t="str">
        <f t="shared" si="49"/>
        <v>[603] = {wayshrines={469,469,469,}, dlcId=DLC_WAKING_FLAME</v>
      </c>
      <c r="BF527" s="21" t="str">
        <f t="shared" si="50"/>
        <v>, zoneIds={1268,1261,1261}, veteran=false</v>
      </c>
      <c r="BG527" s="21" t="str">
        <f t="shared" si="51"/>
        <v>, setType=LIBSETS_SETTYPE_DUNGEON</v>
      </c>
      <c r="BH527" s="21" t="str">
        <f t="shared" si="52"/>
        <v>, dropMechanic={LIBSETS_DROP_MECHANIC_GROUP_DUNGEON_BOSS}</v>
      </c>
      <c r="BI527" s="21" t="str">
        <f t="shared" si="53"/>
        <v>}, --Scorion\'s Feast  / Festmahl des Skorions   [The Dread Cellar, Blackwood, Blackwood]</v>
      </c>
    </row>
    <row r="528" spans="1:61" x14ac:dyDescent="0.25">
      <c r="A528" s="5">
        <v>604</v>
      </c>
      <c r="B528" t="s">
        <v>2507</v>
      </c>
      <c r="C528" t="s">
        <v>2484</v>
      </c>
      <c r="D528" s="3">
        <f t="shared" si="48"/>
        <v>604</v>
      </c>
      <c r="G528" s="8" t="s">
        <v>1470</v>
      </c>
      <c r="I528" t="s">
        <v>91</v>
      </c>
      <c r="J528" t="s">
        <v>91</v>
      </c>
      <c r="K528">
        <v>469</v>
      </c>
      <c r="L528">
        <v>469</v>
      </c>
      <c r="M528">
        <v>469</v>
      </c>
      <c r="O528" s="61" t="s">
        <v>2491</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5" t="s">
        <v>2645</v>
      </c>
      <c r="BA528" s="75"/>
      <c r="BB528" s="75"/>
      <c r="BC528" s="75"/>
      <c r="BD528" s="75"/>
      <c r="BE528" s="21" t="str">
        <f t="shared" si="49"/>
        <v>[604] = {wayshrines={469,469,469,}, dlcId=DLC_WAKING_FLAME</v>
      </c>
      <c r="BF528" s="21" t="str">
        <f t="shared" si="50"/>
        <v>, zoneIds={1268,1261,1261}, veteran=false</v>
      </c>
      <c r="BG528" s="21" t="str">
        <f t="shared" si="51"/>
        <v>, setType=LIBSETS_SETTYPE_DUNGEON</v>
      </c>
      <c r="BH528" s="21" t="str">
        <f t="shared" si="52"/>
        <v>, dropMechanic={LIBSETS_DROP_MECHANIC_GROUP_DUNGEON_BOSS}</v>
      </c>
      <c r="BI528" s="21" t="str">
        <f t="shared" si="53"/>
        <v>}, --Rush of Agony / Auftreibende Agonie   [The Dread Cellar, Blackwood, Blackwood]</v>
      </c>
    </row>
    <row r="529" spans="1:61" x14ac:dyDescent="0.25">
      <c r="A529" s="5">
        <v>605</v>
      </c>
      <c r="B529" t="s">
        <v>2512</v>
      </c>
      <c r="C529" t="s">
        <v>2489</v>
      </c>
      <c r="D529" s="3">
        <f t="shared" si="48"/>
        <v>605</v>
      </c>
      <c r="G529" s="8" t="s">
        <v>1470</v>
      </c>
      <c r="I529" t="s">
        <v>91</v>
      </c>
      <c r="J529" t="s">
        <v>91</v>
      </c>
      <c r="K529">
        <v>470</v>
      </c>
      <c r="L529">
        <v>470</v>
      </c>
      <c r="M529">
        <v>470</v>
      </c>
      <c r="O529" s="61" t="s">
        <v>2486</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5" t="s">
        <v>2645</v>
      </c>
      <c r="BA529" s="75"/>
      <c r="BB529" s="75"/>
      <c r="BC529" s="75"/>
      <c r="BD529" s="75"/>
      <c r="BE529" s="21" t="str">
        <f t="shared" si="49"/>
        <v>[605] = {wayshrines={470,470,470,}, dlcId=DLC_WAKING_FLAME</v>
      </c>
      <c r="BF529" s="21" t="str">
        <f t="shared" si="50"/>
        <v>, zoneIds={1267,3,3}, veteran=false</v>
      </c>
      <c r="BG529" s="21" t="str">
        <f t="shared" si="51"/>
        <v>, setType=LIBSETS_SETTYPE_DUNGEON</v>
      </c>
      <c r="BH529" s="21" t="str">
        <f t="shared" si="52"/>
        <v>, dropMechanic={LIBSETS_DROP_MECHANIC_GROUP_DUNGEON_BOSS}</v>
      </c>
      <c r="BI529" s="21" t="str">
        <f t="shared" si="53"/>
        <v>}, --Silver Rose Vigil / Silberrosen-Wacht   [Red Petal Bastion, Glenumbra, Glenumbra]</v>
      </c>
    </row>
    <row r="530" spans="1:61" x14ac:dyDescent="0.25">
      <c r="A530" s="5">
        <v>606</v>
      </c>
      <c r="B530" t="s">
        <v>2510</v>
      </c>
      <c r="C530" t="s">
        <v>2487</v>
      </c>
      <c r="D530" s="3">
        <f t="shared" si="48"/>
        <v>606</v>
      </c>
      <c r="G530" s="8" t="s">
        <v>1470</v>
      </c>
      <c r="I530" t="s">
        <v>91</v>
      </c>
      <c r="J530" t="s">
        <v>91</v>
      </c>
      <c r="K530">
        <v>470</v>
      </c>
      <c r="L530">
        <v>470</v>
      </c>
      <c r="M530">
        <v>470</v>
      </c>
      <c r="O530" s="61" t="s">
        <v>2486</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5" t="s">
        <v>2645</v>
      </c>
      <c r="BA530" s="75"/>
      <c r="BB530" s="75"/>
      <c r="BC530" s="75"/>
      <c r="BD530" s="75"/>
      <c r="BE530" s="21" t="str">
        <f t="shared" si="49"/>
        <v>[606] = {wayshrines={470,470,470,}, dlcId=DLC_WAKING_FLAME</v>
      </c>
      <c r="BF530" s="21" t="str">
        <f t="shared" si="50"/>
        <v>, zoneIds={1267,3,3}, veteran=false</v>
      </c>
      <c r="BG530" s="21" t="str">
        <f t="shared" si="51"/>
        <v>, setType=LIBSETS_SETTYPE_DUNGEON</v>
      </c>
      <c r="BH530" s="21" t="str">
        <f t="shared" si="52"/>
        <v>, dropMechanic={LIBSETS_DROP_MECHANIC_GROUP_DUNGEON_BOSS}</v>
      </c>
      <c r="BI530" s="21" t="str">
        <f t="shared" si="53"/>
        <v>}, --Thunder Caller / Donnerrufer   [Red Petal Bastion, Glenumbra, Glenumbra]</v>
      </c>
    </row>
    <row r="531" spans="1:61" x14ac:dyDescent="0.25">
      <c r="A531" s="5">
        <v>607</v>
      </c>
      <c r="B531" t="s">
        <v>2511</v>
      </c>
      <c r="C531" t="s">
        <v>2488</v>
      </c>
      <c r="D531" s="3">
        <f t="shared" si="48"/>
        <v>607</v>
      </c>
      <c r="G531" s="8" t="s">
        <v>1470</v>
      </c>
      <c r="I531" t="s">
        <v>91</v>
      </c>
      <c r="J531" t="s">
        <v>91</v>
      </c>
      <c r="K531">
        <v>470</v>
      </c>
      <c r="L531">
        <v>470</v>
      </c>
      <c r="M531">
        <v>470</v>
      </c>
      <c r="O531" s="61" t="s">
        <v>2486</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5" t="s">
        <v>2645</v>
      </c>
      <c r="BA531" s="75"/>
      <c r="BB531" s="75"/>
      <c r="BC531" s="75"/>
      <c r="BD531" s="75"/>
      <c r="BE531" s="21" t="str">
        <f t="shared" si="49"/>
        <v>[607] = {wayshrines={470,470,470,}, dlcId=DLC_WAKING_FLAME</v>
      </c>
      <c r="BF531" s="21" t="str">
        <f t="shared" si="50"/>
        <v>, zoneIds={1267,3,3}, veteran=false</v>
      </c>
      <c r="BG531" s="21" t="str">
        <f t="shared" si="51"/>
        <v>, setType=LIBSETS_SETTYPE_DUNGEON</v>
      </c>
      <c r="BH531" s="21" t="str">
        <f t="shared" si="52"/>
        <v>, dropMechanic={LIBSETS_DROP_MECHANIC_GROUP_DUNGEON_BOSS}</v>
      </c>
      <c r="BI531" s="21" t="str">
        <f t="shared" si="53"/>
        <v>}, --Grisly Gourmet / Grausiger Gourmet   [Red Petal Bastion, Glenumbra, Glenumbra]</v>
      </c>
    </row>
    <row r="532" spans="1:61" x14ac:dyDescent="0.25">
      <c r="A532" s="5">
        <v>608</v>
      </c>
      <c r="B532" t="s">
        <v>2490</v>
      </c>
      <c r="C532" t="s">
        <v>2490</v>
      </c>
      <c r="D532" s="3">
        <f t="shared" si="48"/>
        <v>608</v>
      </c>
      <c r="G532" s="8" t="s">
        <v>1472</v>
      </c>
      <c r="H532" s="83">
        <v>3</v>
      </c>
      <c r="I532" t="s">
        <v>1459</v>
      </c>
      <c r="J532" t="s">
        <v>91</v>
      </c>
      <c r="K532">
        <v>470</v>
      </c>
      <c r="L532">
        <v>470</v>
      </c>
      <c r="M532">
        <v>470</v>
      </c>
      <c r="O532" s="61" t="s">
        <v>2486</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5" t="s">
        <v>2645</v>
      </c>
      <c r="BA532" s="75"/>
      <c r="BB532" s="75"/>
      <c r="BC532" s="75"/>
      <c r="BD532" s="75"/>
      <c r="BE532" s="21" t="str">
        <f t="shared" si="49"/>
        <v>[608] = {wayshrines={470,470,470,}, dlcId=DLC_WAKING_FLAME</v>
      </c>
      <c r="BF532" s="21" t="str">
        <f t="shared" si="50"/>
        <v>, zoneIds={1267,3,3}, veteran={[EQUIP_TYPE_HEAD]=true, [EQUIP_TYPE_SHOULDERS]=false}</v>
      </c>
      <c r="BG532" s="21" t="str">
        <f t="shared" si="51"/>
        <v>, setType=LIBSETS_SETTYPE_MONSTER, undauntedChestId=3</v>
      </c>
      <c r="BH532" s="21" t="str">
        <f t="shared" si="52"/>
        <v>, dropMechanic={LIBSETS_DROP_MECHANIC_MONSTER_NAME}, dropMechanicDropLocationNames={['en']={'Prior Thierric Sarazen','','','','','',},['de']={'Prior Thierric Sarazen','','','','','',},}</v>
      </c>
      <c r="BI532" s="21" t="str">
        <f t="shared" si="53"/>
        <v>}, --Prior Thierric / Prior Thierric   [Red Petal Bastion, Glenumbra, Glenumbra]</v>
      </c>
    </row>
    <row r="533" spans="1:61" x14ac:dyDescent="0.25">
      <c r="A533" s="5">
        <v>609</v>
      </c>
      <c r="B533" t="s">
        <v>2509</v>
      </c>
      <c r="C533" t="s">
        <v>2485</v>
      </c>
      <c r="D533" s="3">
        <f t="shared" si="48"/>
        <v>609</v>
      </c>
      <c r="G533" s="8" t="s">
        <v>1472</v>
      </c>
      <c r="H533" s="83">
        <v>3</v>
      </c>
      <c r="I533" t="s">
        <v>1459</v>
      </c>
      <c r="J533" t="s">
        <v>91</v>
      </c>
      <c r="K533">
        <v>469</v>
      </c>
      <c r="L533">
        <v>469</v>
      </c>
      <c r="M533">
        <v>469</v>
      </c>
      <c r="O533" s="61" t="s">
        <v>2491</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5" t="s">
        <v>2645</v>
      </c>
      <c r="BA533" s="75"/>
      <c r="BB533" s="75"/>
      <c r="BC533" s="75"/>
      <c r="BD533" s="75"/>
      <c r="BE533" s="21" t="str">
        <f t="shared" si="49"/>
        <v>[609] = {wayshrines={469,469,469,}, dlcId=DLC_WAKING_FLAME</v>
      </c>
      <c r="BF533" s="21" t="str">
        <f t="shared" si="50"/>
        <v>, zoneIds={1268,1261,1261}, veteran={[EQUIP_TYPE_HEAD]=true, [EQUIP_TYPE_SHOULDERS]=false}</v>
      </c>
      <c r="BG533" s="21" t="str">
        <f t="shared" si="51"/>
        <v>, setType=LIBSETS_SETTYPE_MONSTER, undauntedChestId=3</v>
      </c>
      <c r="BH533" s="21" t="str">
        <f t="shared" si="52"/>
        <v>, dropMechanic={LIBSETS_DROP_MECHANIC_MONSTER_NAME}, dropMechanicDropLocationNames={['en']={'Magma Incarnate','','','','','',},['de']={'Magmaverkörperung','','','','','',},}</v>
      </c>
      <c r="BI533" s="21" t="str">
        <f t="shared" si="53"/>
        <v>}, --Magma Incarnate / Magmaverkörperung   [The Dread Cellar, Blackwood, Blackwood]</v>
      </c>
    </row>
    <row r="534" spans="1:61" x14ac:dyDescent="0.25">
      <c r="A534" s="5">
        <v>610</v>
      </c>
      <c r="B534" t="s">
        <v>2649</v>
      </c>
      <c r="C534" t="s">
        <v>2691</v>
      </c>
      <c r="D534" s="3">
        <f t="shared" si="48"/>
        <v>610</v>
      </c>
      <c r="G534" s="3" t="s">
        <v>1467</v>
      </c>
      <c r="I534" t="s">
        <v>91</v>
      </c>
      <c r="J534" t="s">
        <v>91</v>
      </c>
      <c r="K534">
        <v>478</v>
      </c>
      <c r="L534">
        <v>478</v>
      </c>
      <c r="M534">
        <v>478</v>
      </c>
      <c r="N534">
        <v>3</v>
      </c>
      <c r="O534" s="61" t="s">
        <v>2434</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3276</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3276</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79"/>
      <c r="BA534" s="79"/>
      <c r="BB534" s="79"/>
      <c r="BC534" s="79"/>
      <c r="BD534" s="79"/>
      <c r="BE534" s="21" t="str">
        <f t="shared" si="49"/>
        <v>[610] = {wayshrines={478,478,478,}, traitsNeeded=3, dlcId=DLC_BASE_GAME</v>
      </c>
      <c r="BF534" s="21" t="str">
        <f t="shared" si="50"/>
        <v>, zoneIds={1286,1286,1286}, veteran=false</v>
      </c>
      <c r="BG534" s="21" t="str">
        <f t="shared" si="51"/>
        <v>, setType=LIBSETS_SETTYPE_CRAFTED</v>
      </c>
      <c r="BH534" s="21" t="str">
        <f t="shared" si="52"/>
        <v>, dropMechanic={LIBSETS_DROP_MECHANIC_CRAFTED,LIBSETS_DROP_MECHANIC_CRAFTED,LIBSETS_DROP_MECHANIC_CRAFTED}</v>
      </c>
      <c r="BI534" s="21" t="str">
        <f t="shared" si="53"/>
        <v>}, --Wretched Vitality / Elendsvitalität   [The Deadlands, The Deadlands, The Deadlands]</v>
      </c>
    </row>
    <row r="535" spans="1:61" x14ac:dyDescent="0.25">
      <c r="A535" s="5">
        <v>611</v>
      </c>
      <c r="B535" t="s">
        <v>2650</v>
      </c>
      <c r="C535" t="s">
        <v>2692</v>
      </c>
      <c r="D535" s="3">
        <f t="shared" si="48"/>
        <v>611</v>
      </c>
      <c r="G535" s="3" t="s">
        <v>1467</v>
      </c>
      <c r="I535" t="s">
        <v>91</v>
      </c>
      <c r="J535" t="s">
        <v>91</v>
      </c>
      <c r="K535" s="36">
        <v>494</v>
      </c>
      <c r="L535" s="36">
        <v>494</v>
      </c>
      <c r="M535" s="36">
        <v>494</v>
      </c>
      <c r="N535">
        <v>7</v>
      </c>
      <c r="O535" s="61" t="s">
        <v>2434</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3276</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3276</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79"/>
      <c r="BA535" s="79"/>
      <c r="BB535" s="79"/>
      <c r="BC535" s="79"/>
      <c r="BD535" s="79"/>
      <c r="BE535" s="21" t="str">
        <f t="shared" si="49"/>
        <v>[611] = {wayshrines={494,494,494,}, traitsNeeded=7, dlcId=DLC_BASE_GAME</v>
      </c>
      <c r="BF535" s="21" t="str">
        <f t="shared" si="50"/>
        <v>, zoneIds={1286,1286,1286}, veteran=false</v>
      </c>
      <c r="BG535" s="21" t="str">
        <f t="shared" si="51"/>
        <v>, setType=LIBSETS_SETTYPE_CRAFTED</v>
      </c>
      <c r="BH535" s="21" t="str">
        <f t="shared" si="52"/>
        <v>, dropMechanic={LIBSETS_DROP_MECHANIC_CRAFTED,LIBSETS_DROP_MECHANIC_CRAFTED,LIBSETS_DROP_MECHANIC_CRAFTED}</v>
      </c>
      <c r="BI535" s="21" t="str">
        <f t="shared" si="53"/>
        <v>}, --Deadlands Demolisher / Totenländer-Demolierer   [The Deadlands, The Deadlands, The Deadlands]</v>
      </c>
    </row>
    <row r="536" spans="1:61" x14ac:dyDescent="0.25">
      <c r="A536" s="5">
        <v>612</v>
      </c>
      <c r="B536" t="s">
        <v>2651</v>
      </c>
      <c r="C536" t="s">
        <v>2693</v>
      </c>
      <c r="D536" s="3">
        <f t="shared" si="48"/>
        <v>612</v>
      </c>
      <c r="G536" s="3" t="s">
        <v>1467</v>
      </c>
      <c r="I536" t="s">
        <v>91</v>
      </c>
      <c r="J536" t="s">
        <v>91</v>
      </c>
      <c r="K536" s="36">
        <v>489</v>
      </c>
      <c r="L536" s="36">
        <v>489</v>
      </c>
      <c r="M536" s="36">
        <v>489</v>
      </c>
      <c r="N536">
        <v>5</v>
      </c>
      <c r="O536" s="61" t="s">
        <v>2671</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3276</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3276</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79"/>
      <c r="BA536" s="79"/>
      <c r="BB536" s="79"/>
      <c r="BC536" s="79"/>
      <c r="BD536" s="79"/>
      <c r="BE536" s="21" t="str">
        <f t="shared" si="49"/>
        <v>[612] = {wayshrines={489,489,489,}, traitsNeeded=5, dlcId=DLC_WRATHSTONE</v>
      </c>
      <c r="BF536" s="21" t="str">
        <f t="shared" si="50"/>
        <v>, zoneIds={1283,1283,1283}, veteran=false</v>
      </c>
      <c r="BG536" s="21" t="str">
        <f t="shared" si="51"/>
        <v>, setType=LIBSETS_SETTYPE_CRAFTED</v>
      </c>
      <c r="BH536" s="21" t="str">
        <f t="shared" si="52"/>
        <v>, dropMechanic={LIBSETS_DROP_MECHANIC_CRAFTED,LIBSETS_DROP_MECHANIC_CRAFTED,LIBSETS_DROP_MECHANIC_CRAFTED}</v>
      </c>
      <c r="BI536" s="21" t="str">
        <f t="shared" si="53"/>
        <v>}, --Iron Flask / Eisenfläschchen   [The Shambles, The Shambles, The Shambles]</v>
      </c>
    </row>
    <row r="537" spans="1:61" x14ac:dyDescent="0.25">
      <c r="A537" s="5">
        <v>613</v>
      </c>
      <c r="B537" t="s">
        <v>2652</v>
      </c>
      <c r="C537" t="s">
        <v>2699</v>
      </c>
      <c r="D537" s="3">
        <f t="shared" si="48"/>
        <v>613</v>
      </c>
      <c r="G537" s="3" t="s">
        <v>1473</v>
      </c>
      <c r="I537" t="s">
        <v>91</v>
      </c>
      <c r="J537" t="s">
        <v>91</v>
      </c>
      <c r="K537">
        <v>493</v>
      </c>
      <c r="L537">
        <v>493</v>
      </c>
      <c r="M537">
        <v>493</v>
      </c>
      <c r="O537" s="61" t="s">
        <v>2434</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1554</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79"/>
      <c r="BA537" s="79"/>
      <c r="BB537" s="79"/>
      <c r="BC537" s="79"/>
      <c r="BD537" s="79"/>
      <c r="BE537" s="21" t="str">
        <f t="shared" si="49"/>
        <v>[613] = {wayshrines={493,493,493,}, dlcId=DLC_BASE_GAME</v>
      </c>
      <c r="BF537" s="21" t="str">
        <f t="shared" si="50"/>
        <v>, zoneIds={1286,1283,1283}, veteran=false</v>
      </c>
      <c r="BG537" s="21" t="str">
        <f t="shared" si="51"/>
        <v>, setType=LIBSETS_SETTYPE_OVERLAND</v>
      </c>
      <c r="BH537" s="21" t="str">
        <f t="shared" si="52"/>
        <v>, dropMechanic={LIBSETS_DROP_MECHANIC_OVERLAND_BOSS_DELVE,LIBSETS_DROP_MECHANIC_OVERLAND_BOSS_DELVE,LIBSETS_DROP_MECHANIC_OVERLAND_CHEST}</v>
      </c>
      <c r="BI537" s="21" t="str">
        <f t="shared" si="53"/>
        <v>}, --Eye of the Grasp / Griffblick   [The Deadlands, The Shambles, The Shambles]</v>
      </c>
    </row>
    <row r="538" spans="1:61" x14ac:dyDescent="0.25">
      <c r="A538" s="5">
        <v>614</v>
      </c>
      <c r="B538" t="s">
        <v>2653</v>
      </c>
      <c r="C538" t="s">
        <v>2698</v>
      </c>
      <c r="D538" s="3">
        <f t="shared" si="48"/>
        <v>614</v>
      </c>
      <c r="G538" s="3" t="s">
        <v>1473</v>
      </c>
      <c r="I538" t="s">
        <v>91</v>
      </c>
      <c r="J538" t="s">
        <v>91</v>
      </c>
      <c r="K538">
        <v>493</v>
      </c>
      <c r="L538">
        <v>493</v>
      </c>
      <c r="M538">
        <v>493</v>
      </c>
      <c r="O538" s="61" t="s">
        <v>2434</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1554</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2"/>
      <c r="BA538" s="79"/>
      <c r="BB538" s="79"/>
      <c r="BC538" s="79"/>
      <c r="BD538" s="79"/>
      <c r="BE538" s="21" t="str">
        <f t="shared" si="49"/>
        <v>[614] = {wayshrines={493,493,493,}, dlcId=DLC_BASE_GAME</v>
      </c>
      <c r="BF538" s="21" t="str">
        <f t="shared" si="50"/>
        <v>, zoneIds={1286,1283,1283}, veteran=false</v>
      </c>
      <c r="BG538" s="21" t="str">
        <f t="shared" si="51"/>
        <v>, setType=LIBSETS_SETTYPE_OVERLAND</v>
      </c>
      <c r="BH538" s="21" t="str">
        <f t="shared" si="52"/>
        <v>, dropMechanic={LIBSETS_DROP_MECHANIC_OVERLAND_BOSS_DELVE,LIBSETS_DROP_MECHANIC_OVERLAND_BOSS_DELVE,LIBSETS_DROP_MECHANIC_OVERLAND_CHEST}</v>
      </c>
      <c r="BI538" s="21" t="str">
        <f t="shared" si="53"/>
        <v>}, --Hexos' Ward / Hexos-Abschirmung   [The Deadlands, The Shambles, The Shambles]</v>
      </c>
    </row>
    <row r="539" spans="1:61" x14ac:dyDescent="0.25">
      <c r="A539" s="5">
        <v>615</v>
      </c>
      <c r="B539" t="s">
        <v>2654</v>
      </c>
      <c r="C539" t="s">
        <v>2697</v>
      </c>
      <c r="D539" s="3">
        <f t="shared" si="48"/>
        <v>615</v>
      </c>
      <c r="G539" s="3" t="s">
        <v>1473</v>
      </c>
      <c r="I539" t="s">
        <v>91</v>
      </c>
      <c r="J539" t="s">
        <v>91</v>
      </c>
      <c r="K539">
        <v>493</v>
      </c>
      <c r="L539">
        <v>493</v>
      </c>
      <c r="M539">
        <v>493</v>
      </c>
      <c r="O539" s="61" t="s">
        <v>2434</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1554</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2"/>
      <c r="BA539" s="79"/>
      <c r="BB539" s="79"/>
      <c r="BC539" s="79"/>
      <c r="BD539" s="79"/>
      <c r="BE539" s="21" t="str">
        <f t="shared" si="49"/>
        <v>[615] = {wayshrines={493,493,493,}, dlcId=DLC_BASE_GAME</v>
      </c>
      <c r="BF539" s="21" t="str">
        <f t="shared" si="50"/>
        <v>, zoneIds={1286,1283,1283}, veteran=false</v>
      </c>
      <c r="BG539" s="21" t="str">
        <f t="shared" si="51"/>
        <v>, setType=LIBSETS_SETTYPE_OVERLAND</v>
      </c>
      <c r="BH539" s="21" t="str">
        <f t="shared" si="52"/>
        <v>, dropMechanic={LIBSETS_DROP_MECHANIC_OVERLAND_BOSS_DELVE,LIBSETS_DROP_MECHANIC_OVERLAND_BOSS_DELVE,LIBSETS_DROP_MECHANIC_OVERLAND_CHEST}</v>
      </c>
      <c r="BI539" s="21" t="str">
        <f t="shared" si="53"/>
        <v>}, --Kynmarcher's Cruelty / Grausamkeit der Kynandantin   [The Deadlands, The Shambles, The Shambles]</v>
      </c>
    </row>
    <row r="540" spans="1:61" x14ac:dyDescent="0.25">
      <c r="A540" s="5">
        <v>616</v>
      </c>
      <c r="B540" t="s">
        <v>2513</v>
      </c>
      <c r="C540" t="s">
        <v>2504</v>
      </c>
      <c r="D540" s="3">
        <f t="shared" si="48"/>
        <v>616</v>
      </c>
      <c r="E540" s="40"/>
      <c r="G540" s="3" t="s">
        <v>1468</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2519</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2756</v>
      </c>
      <c r="AK540" s="3">
        <f>IF(AND(G540&lt;&gt;"LIBSETS_SETTYPE_BATTLEGROUND",G540&lt;&gt;"LIBSETS_SETTYPE_SPECIAL"),IF(AL540&lt;&gt;"",VLOOKUP(AL540,'ESO zone constants'!$D$5:$H$4955,5,FALSE),""),"")</f>
        <v>181</v>
      </c>
      <c r="AL540" t="s">
        <v>125</v>
      </c>
      <c r="AM540" s="33" t="s">
        <v>3721</v>
      </c>
      <c r="AP540" s="3">
        <f>IF(AND(G540&lt;&gt;"LIBSETS_SETTYPE_BATTLEGROUND",G540&lt;&gt;"LIBSETS_SETTYPE_SPECIAL"),IF(AQ540&lt;&gt;"",VLOOKUP(AQ540,'ESO zone constants'!$D$5:$H$4955,5,FALSE),""),"")</f>
        <v>181</v>
      </c>
      <c r="AQ540" t="s">
        <v>125</v>
      </c>
      <c r="AR540" s="33" t="s">
        <v>1551</v>
      </c>
      <c r="AU540" s="3">
        <f>IF(AND(G540&lt;&gt;"LIBSETS_SETTYPE_BATTLEGROUND",G540&lt;&gt;"LIBSETS_SETTYPE_SPECIAL"),IF(AV540&lt;&gt;"",VLOOKUP(AV540,'ESO zone constants'!$D$5:$H$4955,5,FALSE),""),"")</f>
        <v>181</v>
      </c>
      <c r="AV540" t="s">
        <v>125</v>
      </c>
      <c r="AW540" s="33" t="s">
        <v>3225</v>
      </c>
      <c r="AZ540" s="80" t="s">
        <v>2645</v>
      </c>
      <c r="BA540" s="75"/>
      <c r="BB540" s="75"/>
      <c r="BC540" s="75"/>
      <c r="BD540" s="75"/>
      <c r="BE540" s="21" t="str">
        <f t="shared" si="49"/>
        <v>[616] = {wayshrines={-1,-1,-1,}, dlcId=DLC_WAKING_FLAME</v>
      </c>
      <c r="BF540" s="21" t="str">
        <f t="shared" si="50"/>
        <v>, zoneIds={181,181,181,181,181,181}, veteran=false</v>
      </c>
      <c r="BG540" s="21" t="str">
        <f t="shared" si="51"/>
        <v>, setType=LIBSETS_SETTYPE_CYRODIIL</v>
      </c>
      <c r="BH540"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3"/>
        <v>}, --Dark Convergence / Dunkle Konvergenz   [Cyrodiil, Cyrodiil, Cyrodiil, Cyrodiil, Cyrodiil, Cyrodiil]</v>
      </c>
    </row>
    <row r="541" spans="1:61" x14ac:dyDescent="0.25">
      <c r="A541" s="5">
        <v>617</v>
      </c>
      <c r="B541" t="s">
        <v>2514</v>
      </c>
      <c r="C541" t="s">
        <v>2505</v>
      </c>
      <c r="D541" s="3">
        <f t="shared" si="48"/>
        <v>617</v>
      </c>
      <c r="G541" s="3" t="s">
        <v>1468</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2519</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2756</v>
      </c>
      <c r="AK541" s="3">
        <f>IF(AND(G541&lt;&gt;"LIBSETS_SETTYPE_BATTLEGROUND",G541&lt;&gt;"LIBSETS_SETTYPE_SPECIAL"),IF(AL541&lt;&gt;"",VLOOKUP(AL541,'ESO zone constants'!$D$5:$H$4955,5,FALSE),""),"")</f>
        <v>181</v>
      </c>
      <c r="AL541" t="s">
        <v>125</v>
      </c>
      <c r="AM541" s="33" t="s">
        <v>3721</v>
      </c>
      <c r="AP541" s="3">
        <f>IF(AND(G541&lt;&gt;"LIBSETS_SETTYPE_BATTLEGROUND",G541&lt;&gt;"LIBSETS_SETTYPE_SPECIAL"),IF(AQ541&lt;&gt;"",VLOOKUP(AQ541,'ESO zone constants'!$D$5:$H$4955,5,FALSE),""),"")</f>
        <v>181</v>
      </c>
      <c r="AQ541" t="s">
        <v>125</v>
      </c>
      <c r="AR541" s="33" t="s">
        <v>1551</v>
      </c>
      <c r="AU541" s="3">
        <f>IF(AND(G541&lt;&gt;"LIBSETS_SETTYPE_BATTLEGROUND",G541&lt;&gt;"LIBSETS_SETTYPE_SPECIAL"),IF(AV541&lt;&gt;"",VLOOKUP(AV541,'ESO zone constants'!$D$5:$H$4955,5,FALSE),""),"")</f>
        <v>181</v>
      </c>
      <c r="AV541" t="s">
        <v>125</v>
      </c>
      <c r="AW541" s="33" t="s">
        <v>3225</v>
      </c>
      <c r="AZ541" s="80" t="s">
        <v>2645</v>
      </c>
      <c r="BA541" s="75"/>
      <c r="BB541" s="75"/>
      <c r="BC541" s="75"/>
      <c r="BD541" s="75"/>
      <c r="BE541" s="21" t="str">
        <f t="shared" si="49"/>
        <v>[617] = {wayshrines={-1,-1,-1,}, dlcId=DLC_WAKING_FLAME</v>
      </c>
      <c r="BF541" s="21" t="str">
        <f t="shared" si="50"/>
        <v>, zoneIds={181,181,181,181,181,181}, veteran=false</v>
      </c>
      <c r="BG541" s="21" t="str">
        <f t="shared" si="51"/>
        <v>, setType=LIBSETS_SETTYPE_CYRODIIL</v>
      </c>
      <c r="BH541"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3"/>
        <v>}, --Plaguebreak / Seuchenbruch   [Cyrodiil, Cyrodiil, Cyrodiil, Cyrodiil, Cyrodiil, Cyrodiil]</v>
      </c>
    </row>
    <row r="542" spans="1:61" x14ac:dyDescent="0.25">
      <c r="A542" s="5">
        <v>618</v>
      </c>
      <c r="B542" t="s">
        <v>2515</v>
      </c>
      <c r="C542" t="s">
        <v>2644</v>
      </c>
      <c r="D542" s="3">
        <f t="shared" si="48"/>
        <v>618</v>
      </c>
      <c r="G542" s="3" t="s">
        <v>1468</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2519</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2756</v>
      </c>
      <c r="AK542" s="3">
        <f>IF(AND(G542&lt;&gt;"LIBSETS_SETTYPE_BATTLEGROUND",G542&lt;&gt;"LIBSETS_SETTYPE_SPECIAL"),IF(AL542&lt;&gt;"",VLOOKUP(AL542,'ESO zone constants'!$D$5:$H$4955,5,FALSE),""),"")</f>
        <v>181</v>
      </c>
      <c r="AL542" t="s">
        <v>125</v>
      </c>
      <c r="AM542" s="33" t="s">
        <v>3721</v>
      </c>
      <c r="AP542" s="3">
        <f>IF(AND(G542&lt;&gt;"LIBSETS_SETTYPE_BATTLEGROUND",G542&lt;&gt;"LIBSETS_SETTYPE_SPECIAL"),IF(AQ542&lt;&gt;"",VLOOKUP(AQ542,'ESO zone constants'!$D$5:$H$4955,5,FALSE),""),"")</f>
        <v>181</v>
      </c>
      <c r="AQ542" t="s">
        <v>125</v>
      </c>
      <c r="AR542" s="33" t="s">
        <v>1551</v>
      </c>
      <c r="AU542" s="3">
        <f>IF(AND(G542&lt;&gt;"LIBSETS_SETTYPE_BATTLEGROUND",G542&lt;&gt;"LIBSETS_SETTYPE_SPECIAL"),IF(AV542&lt;&gt;"",VLOOKUP(AV542,'ESO zone constants'!$D$5:$H$4955,5,FALSE),""),"")</f>
        <v>181</v>
      </c>
      <c r="AV542" t="s">
        <v>125</v>
      </c>
      <c r="AW542" s="33" t="s">
        <v>3225</v>
      </c>
      <c r="AZ542" s="80" t="s">
        <v>2645</v>
      </c>
      <c r="BA542" s="75"/>
      <c r="BB542" s="75"/>
      <c r="BC542" s="75"/>
      <c r="BD542" s="75"/>
      <c r="BE542" s="21" t="str">
        <f t="shared" si="49"/>
        <v>[618] = {wayshrines={-1,-1,-1,}, dlcId=DLC_WAKING_FLAME</v>
      </c>
      <c r="BF542" s="21" t="str">
        <f t="shared" si="50"/>
        <v>, zoneIds={181,181,181,181,181,181}, veteran=false</v>
      </c>
      <c r="BG542" s="21" t="str">
        <f t="shared" si="51"/>
        <v>, setType=LIBSETS_SETTYPE_CYRODIIL</v>
      </c>
      <c r="BH54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3"/>
        <v>}, --Hrothgar\'s Chill / Hrothgars Kühle   [Cyrodiil, Cyrodiil, Cyrodiil, Cyrodiil, Cyrodiil, Cyrodiil]</v>
      </c>
    </row>
    <row r="543" spans="1:61" x14ac:dyDescent="0.25">
      <c r="A543" s="5">
        <v>619</v>
      </c>
      <c r="B543" t="s">
        <v>2735</v>
      </c>
      <c r="C543" t="s">
        <v>2734</v>
      </c>
      <c r="D543" s="3">
        <f t="shared" si="48"/>
        <v>619</v>
      </c>
      <c r="G543" s="8" t="s">
        <v>1470</v>
      </c>
      <c r="I543" t="s">
        <v>91</v>
      </c>
      <c r="J543" t="s">
        <v>91</v>
      </c>
      <c r="K543">
        <v>497</v>
      </c>
      <c r="L543">
        <v>497</v>
      </c>
      <c r="M543">
        <v>497</v>
      </c>
      <c r="O543" s="61" t="s">
        <v>2704</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2"/>
      <c r="BA543" s="79"/>
      <c r="BB543" s="79"/>
      <c r="BC543" s="79"/>
      <c r="BD543" s="79"/>
      <c r="BE543" s="21" t="str">
        <f t="shared" si="49"/>
        <v>[619] = {wayshrines={497,497,497,}, dlcId=DLC_ASCENDING_TIDE</v>
      </c>
      <c r="BF543" s="21" t="str">
        <f t="shared" si="50"/>
        <v>, zoneIds={1301,1011,1011}, veteran=false</v>
      </c>
      <c r="BG543" s="21" t="str">
        <f t="shared" si="51"/>
        <v>, setType=LIBSETS_SETTYPE_DUNGEON</v>
      </c>
      <c r="BH543" s="21" t="str">
        <f t="shared" si="52"/>
        <v>, dropMechanic={LIBSETS_DROP_MECHANIC_GROUP_DUNGEON_BOSS}</v>
      </c>
      <c r="BI543" s="21" t="str">
        <f t="shared" si="53"/>
        <v>}, --Maligalig\'s Maelstrom / Maligaligs Mahlstrom   [Coral Aerie, Summerset, Summerset]</v>
      </c>
    </row>
    <row r="544" spans="1:61" x14ac:dyDescent="0.25">
      <c r="A544" s="5">
        <v>620</v>
      </c>
      <c r="B544" t="s">
        <v>2733</v>
      </c>
      <c r="C544" t="s">
        <v>2723</v>
      </c>
      <c r="D544" s="3">
        <f t="shared" si="48"/>
        <v>620</v>
      </c>
      <c r="G544" s="8" t="s">
        <v>1470</v>
      </c>
      <c r="I544" t="s">
        <v>91</v>
      </c>
      <c r="J544" t="s">
        <v>91</v>
      </c>
      <c r="K544">
        <v>497</v>
      </c>
      <c r="L544">
        <v>497</v>
      </c>
      <c r="M544">
        <v>497</v>
      </c>
      <c r="O544" s="61" t="s">
        <v>2704</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2"/>
      <c r="BA544" s="79"/>
      <c r="BB544" s="79"/>
      <c r="BC544" s="79"/>
      <c r="BD544" s="79"/>
      <c r="BE544" s="21" t="str">
        <f t="shared" si="49"/>
        <v>[620] = {wayshrines={497,497,497,}, dlcId=DLC_ASCENDING_TIDE</v>
      </c>
      <c r="BF544" s="21" t="str">
        <f t="shared" si="50"/>
        <v>, zoneIds={1301,1011,1011}, veteran=false</v>
      </c>
      <c r="BG544" s="21" t="str">
        <f t="shared" si="51"/>
        <v>, setType=LIBSETS_SETTYPE_DUNGEON</v>
      </c>
      <c r="BH544" s="21" t="str">
        <f t="shared" si="52"/>
        <v>, dropMechanic={LIBSETS_DROP_MECHANIC_GROUP_DUNGEON_BOSS}</v>
      </c>
      <c r="BI544" s="21" t="str">
        <f t="shared" si="53"/>
        <v>}, --Gryphon\'s Reprisal / Vergeltung des Greifen   [Coral Aerie, Summerset, Summerset]</v>
      </c>
    </row>
    <row r="545" spans="1:61" x14ac:dyDescent="0.25">
      <c r="A545" s="5">
        <v>621</v>
      </c>
      <c r="B545" t="s">
        <v>2732</v>
      </c>
      <c r="C545" t="s">
        <v>2706</v>
      </c>
      <c r="D545" s="3">
        <f t="shared" si="48"/>
        <v>621</v>
      </c>
      <c r="G545" s="8" t="s">
        <v>1470</v>
      </c>
      <c r="I545" t="s">
        <v>91</v>
      </c>
      <c r="J545" t="s">
        <v>91</v>
      </c>
      <c r="K545">
        <v>497</v>
      </c>
      <c r="L545">
        <v>497</v>
      </c>
      <c r="M545">
        <v>497</v>
      </c>
      <c r="O545" s="61" t="s">
        <v>2704</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2"/>
      <c r="BA545" s="79"/>
      <c r="BB545" s="79"/>
      <c r="BC545" s="79"/>
      <c r="BD545" s="79"/>
      <c r="BE545" s="21" t="str">
        <f t="shared" si="49"/>
        <v>[621] = {wayshrines={497,497,497,}, dlcId=DLC_ASCENDING_TIDE</v>
      </c>
      <c r="BF545" s="21" t="str">
        <f t="shared" si="50"/>
        <v>, zoneIds={1301,1011,1011}, veteran=false</v>
      </c>
      <c r="BG545" s="21" t="str">
        <f t="shared" si="51"/>
        <v>, setType=LIBSETS_SETTYPE_DUNGEON</v>
      </c>
      <c r="BH545" s="21" t="str">
        <f t="shared" si="52"/>
        <v>, dropMechanic={LIBSETS_DROP_MECHANIC_GROUP_DUNGEON_BOSS}</v>
      </c>
      <c r="BI545" s="21" t="str">
        <f t="shared" si="53"/>
        <v>}, --Glacial Guardian / Gletscherwächter   [Coral Aerie, Summerset, Summerset]</v>
      </c>
    </row>
    <row r="546" spans="1:61" x14ac:dyDescent="0.25">
      <c r="A546" s="5">
        <v>622</v>
      </c>
      <c r="B546" t="s">
        <v>2731</v>
      </c>
      <c r="C546" t="s">
        <v>2708</v>
      </c>
      <c r="D546" s="3">
        <f t="shared" si="48"/>
        <v>622</v>
      </c>
      <c r="G546" s="8" t="s">
        <v>1470</v>
      </c>
      <c r="I546" t="s">
        <v>91</v>
      </c>
      <c r="J546" t="s">
        <v>91</v>
      </c>
      <c r="K546">
        <v>498</v>
      </c>
      <c r="L546">
        <v>498</v>
      </c>
      <c r="M546">
        <v>498</v>
      </c>
      <c r="O546" s="61" t="s">
        <v>2716</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2"/>
      <c r="BA546" s="79"/>
      <c r="BB546" s="79"/>
      <c r="BC546" s="79"/>
      <c r="BD546" s="79"/>
      <c r="BE546" s="21" t="str">
        <f t="shared" si="49"/>
        <v>[622] = {wayshrines={498,498,498,}, dlcId=DLC_ASCENDING_TIDE</v>
      </c>
      <c r="BF546" s="21" t="str">
        <f t="shared" si="50"/>
        <v>, zoneIds={1302,20,20}, veteran=false</v>
      </c>
      <c r="BG546" s="21" t="str">
        <f t="shared" si="51"/>
        <v>, setType=LIBSETS_SETTYPE_DUNGEON</v>
      </c>
      <c r="BH546" s="21" t="str">
        <f t="shared" si="52"/>
        <v>, dropMechanic={LIBSETS_DROP_MECHANIC_GROUP_DUNGEON_BOSS}</v>
      </c>
      <c r="BI546" s="21" t="str">
        <f t="shared" si="53"/>
        <v>}, --Turning Tide / Gezeitenwechsel   [Shipwright's Regret, Rivenspire, Rivenspire]</v>
      </c>
    </row>
    <row r="547" spans="1:61" x14ac:dyDescent="0.25">
      <c r="A547" s="5">
        <v>623</v>
      </c>
      <c r="B547" t="s">
        <v>2730</v>
      </c>
      <c r="C547" t="s">
        <v>3914</v>
      </c>
      <c r="D547" s="3">
        <f t="shared" si="48"/>
        <v>623</v>
      </c>
      <c r="G547" s="8" t="s">
        <v>1470</v>
      </c>
      <c r="I547" t="s">
        <v>91</v>
      </c>
      <c r="J547" t="s">
        <v>91</v>
      </c>
      <c r="K547">
        <v>498</v>
      </c>
      <c r="L547">
        <v>498</v>
      </c>
      <c r="M547">
        <v>498</v>
      </c>
      <c r="O547" s="61" t="s">
        <v>2716</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2"/>
      <c r="BA547" s="79"/>
      <c r="BB547" s="79"/>
      <c r="BC547" s="79"/>
      <c r="BD547" s="79"/>
      <c r="BE547" s="21" t="str">
        <f t="shared" si="49"/>
        <v>[623] = {wayshrines={498,498,498,}, dlcId=DLC_ASCENDING_TIDE</v>
      </c>
      <c r="BF547" s="21" t="str">
        <f t="shared" si="50"/>
        <v>, zoneIds={1302,20,20}, veteran=false</v>
      </c>
      <c r="BG547" s="21" t="str">
        <f t="shared" si="51"/>
        <v>, setType=LIBSETS_SETTYPE_DUNGEON</v>
      </c>
      <c r="BH547" s="21" t="str">
        <f t="shared" si="52"/>
        <v>, dropMechanic={LIBSETS_DROP_MECHANIC_GROUP_DUNGEON_BOSS}</v>
      </c>
      <c r="BI547" s="21" t="str">
        <f t="shared" si="53"/>
        <v>}, --Storm-Cursed\'s Revenge / Rache des Sturmverfluchten   [Shipwright's Regret, Rivenspire, Rivenspire]</v>
      </c>
    </row>
    <row r="548" spans="1:61" x14ac:dyDescent="0.25">
      <c r="A548" s="5">
        <v>624</v>
      </c>
      <c r="B548" t="s">
        <v>2728</v>
      </c>
      <c r="C548" t="s">
        <v>2729</v>
      </c>
      <c r="D548" s="3">
        <f t="shared" si="48"/>
        <v>624</v>
      </c>
      <c r="G548" s="8" t="s">
        <v>1470</v>
      </c>
      <c r="I548" t="s">
        <v>91</v>
      </c>
      <c r="J548" t="s">
        <v>91</v>
      </c>
      <c r="K548">
        <v>498</v>
      </c>
      <c r="L548">
        <v>498</v>
      </c>
      <c r="M548">
        <v>498</v>
      </c>
      <c r="O548" s="61" t="s">
        <v>2716</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2"/>
      <c r="BA548" s="79"/>
      <c r="BB548" s="79"/>
      <c r="BC548" s="79"/>
      <c r="BD548" s="79"/>
      <c r="BE548" s="21" t="str">
        <f t="shared" si="49"/>
        <v>[624] = {wayshrines={498,498,498,}, dlcId=DLC_ASCENDING_TIDE</v>
      </c>
      <c r="BF548" s="21" t="str">
        <f t="shared" si="50"/>
        <v>, zoneIds={1302,20,20}, veteran=false</v>
      </c>
      <c r="BG548" s="21" t="str">
        <f t="shared" si="51"/>
        <v>, setType=LIBSETS_SETTYPE_DUNGEON</v>
      </c>
      <c r="BH548" s="21" t="str">
        <f t="shared" si="52"/>
        <v>, dropMechanic={LIBSETS_DROP_MECHANIC_GROUP_DUNGEON_BOSS}</v>
      </c>
      <c r="BI548" s="21" t="str">
        <f t="shared" si="53"/>
        <v>}, --Spriggan\’s Vigor / Elan des Zweiglings   [Shipwright's Regret, Rivenspire, Rivenspire]</v>
      </c>
    </row>
    <row r="549" spans="1:61" x14ac:dyDescent="0.25">
      <c r="A549" s="5">
        <v>625</v>
      </c>
      <c r="B549" t="s">
        <v>2655</v>
      </c>
      <c r="C549" t="s">
        <v>2695</v>
      </c>
      <c r="D549" s="3">
        <f t="shared" si="48"/>
        <v>625</v>
      </c>
      <c r="G549" s="3" t="s">
        <v>1671</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2648</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1552</v>
      </c>
      <c r="AI549" s="41" t="s">
        <v>3221</v>
      </c>
      <c r="AJ549" s="41" t="s">
        <v>3281</v>
      </c>
      <c r="AK549" s="3">
        <f>IF(AND(G549&lt;&gt;"LIBSETS_SETTYPE_BATTLEGROUND",G549&lt;&gt;"LIBSETS_SETTYPE_SPECIAL"),IF(AL549&lt;&gt;"",VLOOKUP(AL549,'ESO zone constants'!$D$5:$H$4955,5,FALSE),""),"")</f>
        <v>380</v>
      </c>
      <c r="AL549" t="s">
        <v>96</v>
      </c>
      <c r="AM549" s="33" t="s">
        <v>3257</v>
      </c>
      <c r="AN549" s="41" t="s">
        <v>3220</v>
      </c>
      <c r="AO549" s="41" t="s">
        <v>3197</v>
      </c>
      <c r="AP549" s="3">
        <f>IF(AND(G549&lt;&gt;"LIBSETS_SETTYPE_BATTLEGROUND",G549&lt;&gt;"LIBSETS_SETTYPE_SPECIAL"),IF(AQ549&lt;&gt;"",VLOOKUP(AQ549,'ESO zone constants'!$D$5:$H$4955,5,FALSE),""),"")</f>
        <v>935</v>
      </c>
      <c r="AQ549" t="s">
        <v>97</v>
      </c>
      <c r="AR549" s="33" t="s">
        <v>3257</v>
      </c>
      <c r="AS549" s="41" t="s">
        <v>3220</v>
      </c>
      <c r="AT549" s="41" t="s">
        <v>3197</v>
      </c>
      <c r="AU549" s="3">
        <f>IF(AND(G549&lt;&gt;"LIBSETS_SETTYPE_BATTLEGROUND",G549&lt;&gt;"LIBSETS_SETTYPE_SPECIAL"),IF(AV549&lt;&gt;"",VLOOKUP(AV549,'ESO zone constants'!$D$5:$H$4955,5,FALSE),""),"")</f>
        <v>1282</v>
      </c>
      <c r="AV549" t="s">
        <v>2670</v>
      </c>
      <c r="AW549" s="33" t="s">
        <v>3202</v>
      </c>
      <c r="AX549" s="41"/>
      <c r="AY549" s="41"/>
      <c r="AZ549" s="82"/>
      <c r="BA549" s="36" t="s">
        <v>3168</v>
      </c>
      <c r="BB549" s="36" t="s">
        <v>3168</v>
      </c>
      <c r="BC549" s="36"/>
      <c r="BD549" s="36"/>
      <c r="BE549" s="21" t="str">
        <f t="shared" si="49"/>
        <v>[625] = {wayshrines={130,491,493,}, dlcId=DLC_DEADLANDS</v>
      </c>
      <c r="BF549" s="21" t="str">
        <f t="shared" si="50"/>
        <v>, zoneIds={347,1286,1283,380,935,1282}, veteran=false</v>
      </c>
      <c r="BG549" s="21" t="str">
        <f t="shared" si="51"/>
        <v>, setType=LIBSETS_SETTYPE_MYTHIC</v>
      </c>
      <c r="BH549" s="21"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 t="shared" si="48"/>
        <v>626</v>
      </c>
      <c r="E550" s="40"/>
      <c r="G550" s="3" t="s">
        <v>1671</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2648</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1552</v>
      </c>
      <c r="AC550" s="41" t="s">
        <v>3842</v>
      </c>
      <c r="AD550" s="41" t="s">
        <v>3841</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1554</v>
      </c>
      <c r="AI550" s="41"/>
      <c r="AJ550" s="41"/>
      <c r="AK550" s="3">
        <f>IF(AND(G550&lt;&gt;"LIBSETS_SETTYPE_BATTLEGROUND",G550&lt;&gt;"LIBSETS_SETTYPE_SPECIAL"),IF(AL550&lt;&gt;"",VLOOKUP(AL550,'ESO zone constants'!$D$5:$H$4955,5,FALSE),""),"")</f>
        <v>1228</v>
      </c>
      <c r="AL550" t="s">
        <v>2384</v>
      </c>
      <c r="AM550" s="33" t="s">
        <v>3257</v>
      </c>
      <c r="AN550" s="41" t="s">
        <v>3220</v>
      </c>
      <c r="AO550" s="41" t="s">
        <v>3197</v>
      </c>
      <c r="AP550" s="3">
        <f>IF(AND(G550&lt;&gt;"LIBSETS_SETTYPE_BATTLEGROUND",G550&lt;&gt;"LIBSETS_SETTYPE_SPECIAL"),IF(AQ550&lt;&gt;"",VLOOKUP(AQ550,'ESO zone constants'!$D$5:$H$4955,5,FALSE),""),"")</f>
        <v>974</v>
      </c>
      <c r="AQ550" t="s">
        <v>44</v>
      </c>
      <c r="AR550" s="33" t="s">
        <v>3199</v>
      </c>
      <c r="AS550" s="41"/>
      <c r="AT550" s="41"/>
      <c r="AU550" s="3" t="str">
        <f>IF(AND(G550&lt;&gt;"LIBSETS_SETTYPE_BATTLEGROUND",G550&lt;&gt;"LIBSETS_SETTYPE_SPECIAL"),IF(AV550&lt;&gt;"",VLOOKUP(AV550,'ESO zone constants'!$D$5:$H$4955,5,FALSE),""),"")</f>
        <v/>
      </c>
      <c r="AV550" s="39"/>
      <c r="AX550" s="41"/>
      <c r="AY550" s="41"/>
      <c r="AZ550" s="82"/>
      <c r="BA550" s="36" t="s">
        <v>3162</v>
      </c>
      <c r="BB550" s="36" t="s">
        <v>3162</v>
      </c>
      <c r="BC550" s="36"/>
      <c r="BD550" s="36"/>
      <c r="BE550" s="21" t="str">
        <f t="shared" si="49"/>
        <v>[626] = {wayshrines={479,253,253,}, dlcId=DLC_DEADLANDS</v>
      </c>
      <c r="BF550" s="21" t="str">
        <f t="shared" si="50"/>
        <v>, zoneIds={1286,823,823,1228,974}, veteran=false</v>
      </c>
      <c r="BG550" s="21" t="str">
        <f t="shared" si="51"/>
        <v>, setType=LIBSETS_SETTYPE_MYTHIC</v>
      </c>
      <c r="BH550" s="21" t="str">
        <f t="shared" si="52"/>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3"/>
        <v>, addTooltip={['en']='https://en.uesp.net/wiki/Online:Belharza%27s_Band',},}, --Belharza's Band / Belharzas Band   [The Deadlands, Gold Coast, Gold Coast, Black Drake Villa, Falkreath Hold]</v>
      </c>
    </row>
    <row r="551" spans="1:61" x14ac:dyDescent="0.25">
      <c r="A551" s="5">
        <v>627</v>
      </c>
      <c r="B551" t="s">
        <v>2700</v>
      </c>
      <c r="C551" t="s">
        <v>2696</v>
      </c>
      <c r="D551" s="3">
        <f t="shared" si="48"/>
        <v>627</v>
      </c>
      <c r="G551" s="3" t="s">
        <v>1671</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2648</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1552</v>
      </c>
      <c r="AI551" s="41" t="s">
        <v>3229</v>
      </c>
      <c r="AJ551" s="41" t="s">
        <v>3280</v>
      </c>
      <c r="AK551" s="3">
        <f>IF(AND(G551&lt;&gt;"LIBSETS_SETTYPE_BATTLEGROUND",G551&lt;&gt;"LIBSETS_SETTYPE_SPECIAL"),IF(AL551&lt;&gt;"",VLOOKUP(AL551,'ESO zone constants'!$D$5:$H$4955,5,FALSE),""),"")</f>
        <v>0</v>
      </c>
      <c r="AL551" t="s">
        <v>2220</v>
      </c>
      <c r="AM551" s="33" t="s">
        <v>3257</v>
      </c>
      <c r="AN551" s="41" t="s">
        <v>3230</v>
      </c>
      <c r="AO551" s="41" t="s">
        <v>3231</v>
      </c>
      <c r="AP551" s="3">
        <f>IF(AND(G551&lt;&gt;"LIBSETS_SETTYPE_BATTLEGROUND",G551&lt;&gt;"LIBSETS_SETTYPE_SPECIAL"),IF(AQ551&lt;&gt;"",VLOOKUP(AQ551,'ESO zone constants'!$D$5:$H$4955,5,FALSE),""),"")</f>
        <v>0</v>
      </c>
      <c r="AQ551" t="s">
        <v>2220</v>
      </c>
      <c r="AR551" s="33" t="s">
        <v>3257</v>
      </c>
      <c r="AS551" s="41" t="s">
        <v>3232</v>
      </c>
      <c r="AT551" s="41" t="s">
        <v>3232</v>
      </c>
      <c r="AU551" s="3" t="str">
        <f>IF(AND(G551&lt;&gt;"LIBSETS_SETTYPE_BATTLEGROUND",G551&lt;&gt;"LIBSETS_SETTYPE_SPECIAL"),IF(AV551&lt;&gt;"",VLOOKUP(AV551,'ESO zone constants'!$D$5:$H$4955,5,FALSE),""),"")</f>
        <v/>
      </c>
      <c r="AX551" s="41"/>
      <c r="AY551" s="41"/>
      <c r="AZ551" s="82"/>
      <c r="BA551" s="36" t="s">
        <v>3262</v>
      </c>
      <c r="BB551" s="36" t="s">
        <v>3262</v>
      </c>
      <c r="BC551" s="36"/>
      <c r="BD551" s="36"/>
      <c r="BE551" s="21" t="str">
        <f t="shared" si="49"/>
        <v>[627] = {wayshrines={479,458,75,}, dlcId=DLC_DEADLANDS</v>
      </c>
      <c r="BF551" s="21" t="str">
        <f t="shared" si="50"/>
        <v>, zoneIds={1286,1261,41,0,0}, veteran=false</v>
      </c>
      <c r="BG551" s="21" t="str">
        <f t="shared" si="51"/>
        <v>, setType=LIBSETS_SETTYPE_MYTHIC</v>
      </c>
      <c r="BH551" s="21" t="str">
        <f t="shared" si="52"/>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3"/>
        <v>, addTooltip={['en']='https://en.uesp.net/wiki/Online:Spaulder_of_Ruin',},}, --Spaulder of Ruin / Schulterbänder des Untergangs   [The Deadlands, Blackwood, Stonefalls, Tamriel Map, Tamriel Map]</v>
      </c>
    </row>
    <row r="552" spans="1:61" x14ac:dyDescent="0.25">
      <c r="A552" s="5">
        <v>629</v>
      </c>
      <c r="B552" t="s">
        <v>2724</v>
      </c>
      <c r="C552" t="s">
        <v>2710</v>
      </c>
      <c r="D552" s="3">
        <f t="shared" si="48"/>
        <v>629</v>
      </c>
      <c r="G552" s="8" t="s">
        <v>1468</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2702</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2756</v>
      </c>
      <c r="AK552" s="3">
        <f>IF(AND(G552&lt;&gt;"LIBSETS_SETTYPE_BATTLEGROUND",G552&lt;&gt;"LIBSETS_SETTYPE_SPECIAL"),IF(AL552&lt;&gt;"",VLOOKUP(AL552,'ESO zone constants'!$D$5:$H$4955,5,FALSE),""),"")</f>
        <v>181</v>
      </c>
      <c r="AL552" t="s">
        <v>125</v>
      </c>
      <c r="AM552" s="33" t="s">
        <v>3721</v>
      </c>
      <c r="AP552" s="3">
        <f>IF(AND(G552&lt;&gt;"LIBSETS_SETTYPE_BATTLEGROUND",G552&lt;&gt;"LIBSETS_SETTYPE_SPECIAL"),IF(AQ552&lt;&gt;"",VLOOKUP(AQ552,'ESO zone constants'!$D$5:$H$4955,5,FALSE),""),"")</f>
        <v>181</v>
      </c>
      <c r="AQ552" t="s">
        <v>125</v>
      </c>
      <c r="AR552" s="33" t="s">
        <v>1551</v>
      </c>
      <c r="AU552" s="3">
        <f>IF(AND(G552&lt;&gt;"LIBSETS_SETTYPE_BATTLEGROUND",G552&lt;&gt;"LIBSETS_SETTYPE_SPECIAL"),IF(AV552&lt;&gt;"",VLOOKUP(AV552,'ESO zone constants'!$D$5:$H$4955,5,FALSE),""),"")</f>
        <v>181</v>
      </c>
      <c r="AV552" t="s">
        <v>125</v>
      </c>
      <c r="AW552" s="33" t="s">
        <v>3225</v>
      </c>
      <c r="AZ552" s="75" t="s">
        <v>2645</v>
      </c>
      <c r="BA552" s="75"/>
      <c r="BB552" s="75"/>
      <c r="BC552" s="75"/>
      <c r="BD552" s="75"/>
      <c r="BE552" s="21" t="str">
        <f t="shared" si="49"/>
        <v>[629] = {wayshrines={-1,-1,-1,}, dlcId=DLC_ASCENDING_TIDE</v>
      </c>
      <c r="BF552" s="21" t="str">
        <f t="shared" si="50"/>
        <v>, zoneIds={181,181,181,181,181,181}, veteran=false</v>
      </c>
      <c r="BG552" s="21" t="str">
        <f t="shared" si="51"/>
        <v>, setType=LIBSETS_SETTYPE_CYRODIIL</v>
      </c>
      <c r="BH55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3"/>
        <v>}, --Rallying Cry / Schlachtruf   [Cyrodiil, Cyrodiil, Cyrodiil, Cyrodiil, Cyrodiil, Cyrodiil]</v>
      </c>
    </row>
    <row r="553" spans="1:61" x14ac:dyDescent="0.25">
      <c r="A553" s="5">
        <v>630</v>
      </c>
      <c r="B553" t="s">
        <v>2725</v>
      </c>
      <c r="C553" t="s">
        <v>2711</v>
      </c>
      <c r="D553" s="3">
        <f t="shared" si="48"/>
        <v>630</v>
      </c>
      <c r="G553" s="8" t="s">
        <v>1468</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2702</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2756</v>
      </c>
      <c r="AK553" s="3">
        <f>IF(AND(G553&lt;&gt;"LIBSETS_SETTYPE_BATTLEGROUND",G553&lt;&gt;"LIBSETS_SETTYPE_SPECIAL"),IF(AL553&lt;&gt;"",VLOOKUP(AL553,'ESO zone constants'!$D$5:$H$4955,5,FALSE),""),"")</f>
        <v>181</v>
      </c>
      <c r="AL553" t="s">
        <v>125</v>
      </c>
      <c r="AM553" s="33" t="s">
        <v>3721</v>
      </c>
      <c r="AP553" s="3">
        <f>IF(AND(G553&lt;&gt;"LIBSETS_SETTYPE_BATTLEGROUND",G553&lt;&gt;"LIBSETS_SETTYPE_SPECIAL"),IF(AQ553&lt;&gt;"",VLOOKUP(AQ553,'ESO zone constants'!$D$5:$H$4955,5,FALSE),""),"")</f>
        <v>181</v>
      </c>
      <c r="AQ553" t="s">
        <v>125</v>
      </c>
      <c r="AR553" s="33" t="s">
        <v>1551</v>
      </c>
      <c r="AU553" s="3">
        <f>IF(AND(G553&lt;&gt;"LIBSETS_SETTYPE_BATTLEGROUND",G553&lt;&gt;"LIBSETS_SETTYPE_SPECIAL"),IF(AV553&lt;&gt;"",VLOOKUP(AV553,'ESO zone constants'!$D$5:$H$4955,5,FALSE),""),"")</f>
        <v>181</v>
      </c>
      <c r="AV553" t="s">
        <v>125</v>
      </c>
      <c r="AW553" s="33" t="s">
        <v>3225</v>
      </c>
      <c r="AZ553" s="75" t="s">
        <v>2645</v>
      </c>
      <c r="BA553" s="75"/>
      <c r="BB553" s="75"/>
      <c r="BC553" s="75"/>
      <c r="BD553" s="75"/>
      <c r="BE553" s="21" t="str">
        <f t="shared" si="49"/>
        <v>[630] = {wayshrines={-1,-1,-1,}, dlcId=DLC_ASCENDING_TIDE</v>
      </c>
      <c r="BF553" s="21" t="str">
        <f t="shared" si="50"/>
        <v>, zoneIds={181,181,181,181,181,181}, veteran=false</v>
      </c>
      <c r="BG553" s="21" t="str">
        <f t="shared" si="51"/>
        <v>, setType=LIBSETS_SETTYPE_CYRODIIL</v>
      </c>
      <c r="BH553"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3"/>
        <v>}, --Hew and Sunder  / Kappspalter   [Cyrodiil, Cyrodiil, Cyrodiil, Cyrodiil, Cyrodiil, Cyrodiil]</v>
      </c>
    </row>
    <row r="554" spans="1:61" x14ac:dyDescent="0.25">
      <c r="A554" s="5">
        <v>631</v>
      </c>
      <c r="B554" t="s">
        <v>2726</v>
      </c>
      <c r="C554" t="s">
        <v>2712</v>
      </c>
      <c r="D554" s="3">
        <f t="shared" si="48"/>
        <v>631</v>
      </c>
      <c r="G554" s="8" t="s">
        <v>1468</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2702</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2756</v>
      </c>
      <c r="AK554" s="3">
        <f>IF(AND(G554&lt;&gt;"LIBSETS_SETTYPE_BATTLEGROUND",G554&lt;&gt;"LIBSETS_SETTYPE_SPECIAL"),IF(AL554&lt;&gt;"",VLOOKUP(AL554,'ESO zone constants'!$D$5:$H$4955,5,FALSE),""),"")</f>
        <v>181</v>
      </c>
      <c r="AL554" t="s">
        <v>125</v>
      </c>
      <c r="AM554" s="33" t="s">
        <v>3721</v>
      </c>
      <c r="AP554" s="3">
        <f>IF(AND(G554&lt;&gt;"LIBSETS_SETTYPE_BATTLEGROUND",G554&lt;&gt;"LIBSETS_SETTYPE_SPECIAL"),IF(AQ554&lt;&gt;"",VLOOKUP(AQ554,'ESO zone constants'!$D$5:$H$4955,5,FALSE),""),"")</f>
        <v>181</v>
      </c>
      <c r="AQ554" t="s">
        <v>125</v>
      </c>
      <c r="AR554" s="33" t="s">
        <v>1551</v>
      </c>
      <c r="AU554" s="3">
        <f>IF(AND(G554&lt;&gt;"LIBSETS_SETTYPE_BATTLEGROUND",G554&lt;&gt;"LIBSETS_SETTYPE_SPECIAL"),IF(AV554&lt;&gt;"",VLOOKUP(AV554,'ESO zone constants'!$D$5:$H$4955,5,FALSE),""),"")</f>
        <v>181</v>
      </c>
      <c r="AV554" t="s">
        <v>125</v>
      </c>
      <c r="AW554" s="33" t="s">
        <v>3225</v>
      </c>
      <c r="AZ554" s="75" t="s">
        <v>2645</v>
      </c>
      <c r="BA554" s="75"/>
      <c r="BB554" s="75"/>
      <c r="BC554" s="75"/>
      <c r="BD554" s="75"/>
      <c r="BE554" s="21" t="str">
        <f t="shared" si="49"/>
        <v>[631] = {wayshrines={-1,-1,-1,}, dlcId=DLC_ASCENDING_TIDE</v>
      </c>
      <c r="BF554" s="21" t="str">
        <f t="shared" si="50"/>
        <v>, zoneIds={181,181,181,181,181,181}, veteran=false</v>
      </c>
      <c r="BG554" s="21" t="str">
        <f t="shared" si="51"/>
        <v>, setType=LIBSETS_SETTYPE_CYRODIIL</v>
      </c>
      <c r="BH554"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3"/>
        <v>}, --Enervating Aura  / Enervierende Aura   [Cyrodiil, Cyrodiil, Cyrodiil, Cyrodiil, Cyrodiil, Cyrodiil]</v>
      </c>
    </row>
    <row r="555" spans="1:61" x14ac:dyDescent="0.25">
      <c r="A555" s="5">
        <v>632</v>
      </c>
      <c r="B555" t="s">
        <v>2707</v>
      </c>
      <c r="C555" t="s">
        <v>2707</v>
      </c>
      <c r="D555" s="3">
        <f t="shared" si="48"/>
        <v>632</v>
      </c>
      <c r="G555" s="8" t="s">
        <v>1472</v>
      </c>
      <c r="H555" s="83">
        <v>3</v>
      </c>
      <c r="I555" t="s">
        <v>1459</v>
      </c>
      <c r="J555" t="s">
        <v>91</v>
      </c>
      <c r="K555">
        <v>497</v>
      </c>
      <c r="L555">
        <v>497</v>
      </c>
      <c r="M555">
        <v>497</v>
      </c>
      <c r="O555" s="61" t="s">
        <v>2704</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79"/>
      <c r="BA555" s="79"/>
      <c r="BB555" s="79"/>
      <c r="BC555" s="79"/>
      <c r="BD555" s="79"/>
      <c r="BE555" s="21" t="str">
        <f t="shared" si="49"/>
        <v>[632] = {wayshrines={497,497,497,}, dlcId=DLC_ASCENDING_TIDE</v>
      </c>
      <c r="BF555" s="21" t="str">
        <f t="shared" si="50"/>
        <v>, zoneIds={1301,1011,1011}, veteran={[EQUIP_TYPE_HEAD]=true, [EQUIP_TYPE_SHOULDERS]=false}</v>
      </c>
      <c r="BG555" s="21" t="str">
        <f t="shared" si="51"/>
        <v>, setType=LIBSETS_SETTYPE_MONSTER, undauntedChestId=3</v>
      </c>
      <c r="BH555" s="21" t="str">
        <f t="shared" si="52"/>
        <v>, dropMechanic={LIBSETS_DROP_MECHANIC_MONSTER_NAME}, dropMechanicDropLocationNames={['en']={'Varallion','','','','','',},['de']={'Varallion','','','','','',},}</v>
      </c>
      <c r="BI555" s="21" t="str">
        <f t="shared" si="53"/>
        <v>}, --Kargaeda / Kargaeda   [Coral Aerie, Summerset, Summerset]</v>
      </c>
    </row>
    <row r="556" spans="1:61" x14ac:dyDescent="0.25">
      <c r="A556" s="5">
        <v>633</v>
      </c>
      <c r="B556" t="s">
        <v>2709</v>
      </c>
      <c r="C556" t="s">
        <v>2709</v>
      </c>
      <c r="D556" s="3">
        <f t="shared" si="48"/>
        <v>633</v>
      </c>
      <c r="G556" s="8" t="s">
        <v>1472</v>
      </c>
      <c r="H556" s="83">
        <v>3</v>
      </c>
      <c r="I556" t="s">
        <v>1459</v>
      </c>
      <c r="J556" t="s">
        <v>91</v>
      </c>
      <c r="K556">
        <v>498</v>
      </c>
      <c r="L556">
        <v>498</v>
      </c>
      <c r="M556">
        <v>498</v>
      </c>
      <c r="O556" s="61" t="s">
        <v>2716</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79"/>
      <c r="BA556" s="79"/>
      <c r="BB556" s="79"/>
      <c r="BC556" s="79"/>
      <c r="BD556" s="79"/>
      <c r="BE556" s="21" t="str">
        <f t="shared" si="49"/>
        <v>[633] = {wayshrines={498,498,498,}, dlcId=DLC_ASCENDING_TIDE</v>
      </c>
      <c r="BF556" s="21" t="str">
        <f t="shared" si="50"/>
        <v>, zoneIds={1302,20,20}, veteran={[EQUIP_TYPE_HEAD]=true, [EQUIP_TYPE_SHOULDERS]=false}</v>
      </c>
      <c r="BG556" s="21" t="str">
        <f t="shared" si="51"/>
        <v>, setType=LIBSETS_SETTYPE_MONSTER, undauntedChestId=3</v>
      </c>
      <c r="BH556" s="21" t="str">
        <f t="shared" si="52"/>
        <v>, dropMechanic={LIBSETS_DROP_MECHANIC_MONSTER_NAME}, dropMechanicDropLocationNames={['en']={'Nazaray ','','','','','',},['de']={'Nazaray ','','','','','',},}</v>
      </c>
      <c r="BI556" s="21" t="str">
        <f t="shared" si="53"/>
        <v>}, --Nazaray  / Nazaray    [Shipwright's Regret, Rivenspire, Rivenspire]</v>
      </c>
    </row>
    <row r="557" spans="1:61" x14ac:dyDescent="0.25">
      <c r="A557" s="5">
        <v>634</v>
      </c>
      <c r="B557" t="s">
        <v>2713</v>
      </c>
      <c r="C557" t="s">
        <v>2713</v>
      </c>
      <c r="D557" s="3">
        <f t="shared" si="48"/>
        <v>634</v>
      </c>
      <c r="F557" t="s">
        <v>2749</v>
      </c>
      <c r="G557" s="8" t="s">
        <v>2748</v>
      </c>
      <c r="I557" t="s">
        <v>91</v>
      </c>
      <c r="J557" t="s">
        <v>91</v>
      </c>
      <c r="K557">
        <v>-1</v>
      </c>
      <c r="L557">
        <v>-1</v>
      </c>
      <c r="M557">
        <v>-1</v>
      </c>
      <c r="N557" s="81"/>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2702</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1535</v>
      </c>
      <c r="W557" s="3" t="s">
        <v>3853</v>
      </c>
      <c r="X557" s="3" t="s">
        <v>3860</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5" t="s">
        <v>2645</v>
      </c>
      <c r="BA557" s="75"/>
      <c r="BB557" s="75"/>
      <c r="BC557" s="75"/>
      <c r="BD557" s="75"/>
      <c r="BE557" s="21" t="str">
        <f t="shared" si="49"/>
        <v>[634] = {wayshrines={-1,-1,-1,}, dlcId=DLC_ASCENDING_TIDE</v>
      </c>
      <c r="BF557" s="21" t="str">
        <f t="shared" si="50"/>
        <v>, zoneIds={584,643}, veteran=false</v>
      </c>
      <c r="BG557" s="21" t="str">
        <f t="shared" si="51"/>
        <v>, setType=LIBSETS_SETTYPE_IMPERIALCITY_MONSTER</v>
      </c>
      <c r="BH557" s="21" t="str">
        <f t="shared" si="52"/>
        <v>, dropMechanic={LIBSETS_DROP_MECHANIC_MONSTER_NAME,LIBSETS_DROP_MECHANIC_TELVAR_EQUIPMENT_LOCKBOX_MERCHANT}, dropMechanicDropLocationNames={['en']={'Nunatak [Memorial district, north]','','','','','',},['de']={'Nunatak [Gedenkbezirk, Norden]','','','','','',},}</v>
      </c>
      <c r="BI557" s="21" t="str">
        <f t="shared" si="53"/>
        <v>}, --Nunatak / Nunatak   [Imperial City, Imperial Sewers]</v>
      </c>
    </row>
    <row r="558" spans="1:61" x14ac:dyDescent="0.25">
      <c r="A558" s="5">
        <v>635</v>
      </c>
      <c r="B558" t="s">
        <v>2727</v>
      </c>
      <c r="C558" t="s">
        <v>2714</v>
      </c>
      <c r="D558" s="3">
        <f t="shared" si="48"/>
        <v>635</v>
      </c>
      <c r="F558" t="s">
        <v>2749</v>
      </c>
      <c r="G558" s="8" t="s">
        <v>2748</v>
      </c>
      <c r="I558" t="s">
        <v>91</v>
      </c>
      <c r="J558" t="s">
        <v>91</v>
      </c>
      <c r="K558">
        <v>-1</v>
      </c>
      <c r="L558">
        <v>-1</v>
      </c>
      <c r="M558">
        <v>-1</v>
      </c>
      <c r="N558" s="81"/>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2702</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1535</v>
      </c>
      <c r="W558" s="3" t="s">
        <v>3852</v>
      </c>
      <c r="X558" s="3" t="s">
        <v>3861</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5" t="s">
        <v>2645</v>
      </c>
      <c r="BA558" s="75"/>
      <c r="BB558" s="75"/>
      <c r="BC558" s="75"/>
      <c r="BD558" s="75"/>
      <c r="BE558" s="21" t="str">
        <f t="shared" si="49"/>
        <v>[635] = {wayshrines={-1,-1,-1,}, dlcId=DLC_ASCENDING_TIDE</v>
      </c>
      <c r="BF558" s="21" t="str">
        <f t="shared" si="50"/>
        <v>, zoneIds={584,643}, veteran=false</v>
      </c>
      <c r="BG558" s="21" t="str">
        <f t="shared" si="51"/>
        <v>, setType=LIBSETS_SETTYPE_IMPERIALCITY_MONSTER</v>
      </c>
      <c r="BH558" s="21" t="str">
        <f t="shared" si="52"/>
        <v>, dropMechanic={LIBSETS_DROP_MECHANIC_MONSTER_NAME,LIBSETS_DROP_MECHANIC_TELVAR_EQUIPMENT_LOCKBOX_MERCHANT}, dropMechanicDropLocationNames={['en']={'Lady Malygda [Aboretum, south-east]','','','','','',},['de']={'Fürstin Malydga [Arboretum, Süd-Osten]','','','','','',},}</v>
      </c>
      <c r="BI558" s="21" t="str">
        <f t="shared" si="53"/>
        <v>}, --Lady Malydga / Fürstin Malygda   [Imperial City, Imperial Sewers]</v>
      </c>
    </row>
    <row r="559" spans="1:61" x14ac:dyDescent="0.25">
      <c r="A559" s="5">
        <v>636</v>
      </c>
      <c r="B559" t="s">
        <v>2715</v>
      </c>
      <c r="C559" t="s">
        <v>2715</v>
      </c>
      <c r="D559" s="3">
        <f t="shared" si="48"/>
        <v>636</v>
      </c>
      <c r="E559" s="40"/>
      <c r="F559" t="s">
        <v>2749</v>
      </c>
      <c r="G559" s="8" t="s">
        <v>2748</v>
      </c>
      <c r="I559" t="s">
        <v>91</v>
      </c>
      <c r="J559" t="s">
        <v>91</v>
      </c>
      <c r="K559">
        <v>-1</v>
      </c>
      <c r="L559">
        <v>-1</v>
      </c>
      <c r="M559">
        <v>-1</v>
      </c>
      <c r="N559" s="81"/>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2702</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1535</v>
      </c>
      <c r="W559" s="3" t="s">
        <v>3851</v>
      </c>
      <c r="X559" s="3" t="s">
        <v>3862</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5" t="s">
        <v>2645</v>
      </c>
      <c r="BA559" s="75"/>
      <c r="BB559" s="75"/>
      <c r="BC559" s="75"/>
      <c r="BD559" s="75"/>
      <c r="BE559" s="21" t="str">
        <f t="shared" si="49"/>
        <v>[636] = {wayshrines={-1,-1,-1,}, dlcId=DLC_ASCENDING_TIDE</v>
      </c>
      <c r="BF559" s="21" t="str">
        <f t="shared" si="50"/>
        <v>, zoneIds={584,643}, veteran=false</v>
      </c>
      <c r="BG559" s="21" t="str">
        <f t="shared" si="51"/>
        <v>, setType=LIBSETS_SETTYPE_IMPERIALCITY_MONSTER</v>
      </c>
      <c r="BH559" s="21" t="str">
        <f t="shared" si="52"/>
        <v>, dropMechanic={LIBSETS_DROP_MECHANIC_MONSTER_NAME,LIBSETS_DROP_MECHANIC_TELVAR_EQUIPMENT_LOCKBOX_MERCHANT}, dropMechanicDropLocationNames={['en']={'Baron Thirsk [Nobles district, south-west]','','','','','',},['de']={'Baron Thirsk [Adelsbezirk, Süd-Westen]','','','','','',},}</v>
      </c>
      <c r="BI559" s="21" t="str">
        <f t="shared" si="53"/>
        <v>}, --Baron Thirsk / Baron Thirsk   [Imperial City, Imperial Sewers]</v>
      </c>
    </row>
    <row r="560" spans="1:61" x14ac:dyDescent="0.25">
      <c r="A560" s="5">
        <v>640</v>
      </c>
      <c r="B560" t="s">
        <v>3415</v>
      </c>
      <c r="C560" t="s">
        <v>3358</v>
      </c>
      <c r="D560" s="3">
        <f t="shared" si="48"/>
        <v>640</v>
      </c>
      <c r="G560" s="3" t="s">
        <v>1467</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3276</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79"/>
      <c r="BA560" s="79"/>
      <c r="BB560" s="79"/>
      <c r="BC560" s="79"/>
      <c r="BD560" s="79"/>
      <c r="BE560" s="21" t="str">
        <f t="shared" si="49"/>
        <v>[640] = {wayshrines={503,503,503,}, traitsNeeded=3, dlcId=DLC_BASE_GAME</v>
      </c>
      <c r="BF560" s="21" t="str">
        <f t="shared" si="50"/>
        <v>, zoneIds={1318,1318,1318}, veteran=false</v>
      </c>
      <c r="BG560" s="21" t="str">
        <f t="shared" si="51"/>
        <v>, setType=LIBSETS_SETTYPE_CRAFTED</v>
      </c>
      <c r="BH560" s="21" t="str">
        <f t="shared" si="52"/>
        <v>, dropMechanic={LIBSETS_DROP_MECHANIC_CRAFTED,LIBSETS_DROP_MECHANIC_CRAFTED,LIBSETS_DROP_MECHANIC_CRAFTED}</v>
      </c>
      <c r="BI560" s="21" t="str">
        <f t="shared" si="53"/>
        <v>}, --Order\'s Wrath / Zorn des Ordens   [High Isle, High Isle, High Isle]</v>
      </c>
    </row>
    <row r="561" spans="1:61" x14ac:dyDescent="0.25">
      <c r="A561" s="5">
        <v>641</v>
      </c>
      <c r="B561" t="s">
        <v>3416</v>
      </c>
      <c r="C561" s="83" t="s">
        <v>3906</v>
      </c>
      <c r="D561" s="3">
        <f t="shared" si="48"/>
        <v>641</v>
      </c>
      <c r="G561" s="3" t="s">
        <v>1467</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3276</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3276</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49"/>
        <v>[641] = {wayshrines={506,506,506,}, traitsNeeded=5, dlcId=DLC_BASE_GAME</v>
      </c>
      <c r="BF561" s="21" t="str">
        <f t="shared" si="50"/>
        <v>, zoneIds={1318,1318,1318}, veteran=false</v>
      </c>
      <c r="BG561" s="21" t="str">
        <f t="shared" si="51"/>
        <v>, setType=LIBSETS_SETTYPE_CRAFTED</v>
      </c>
      <c r="BH561" s="21" t="str">
        <f t="shared" si="52"/>
        <v>, dropMechanic={LIBSETS_DROP_MECHANIC_CRAFTED,LIBSETS_DROP_MECHANIC_CRAFTED,LIBSETS_DROP_MECHANIC_CRAFTED}</v>
      </c>
      <c r="BI561" s="21" t="str">
        <f t="shared" si="53"/>
        <v>}, --Serpent\'s Disdain / Verachtung der Schlange   [High Isle, High Isle, High Isle]</v>
      </c>
    </row>
    <row r="562" spans="1:61" x14ac:dyDescent="0.25">
      <c r="A562" s="5">
        <v>642</v>
      </c>
      <c r="B562" t="s">
        <v>3417</v>
      </c>
      <c r="C562" t="s">
        <v>3359</v>
      </c>
      <c r="D562" s="3">
        <f t="shared" si="48"/>
        <v>642</v>
      </c>
      <c r="G562" s="3" t="s">
        <v>1467</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3276</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3276</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49"/>
        <v>[642] = {wayshrines={511,511,511,}, traitsNeeded=7, dlcId=DLC_BASE_GAME</v>
      </c>
      <c r="BF562" s="21" t="str">
        <f t="shared" si="50"/>
        <v>, zoneIds={1318,1318,1318}, veteran=false</v>
      </c>
      <c r="BG562" s="21" t="str">
        <f t="shared" si="51"/>
        <v>, setType=LIBSETS_SETTYPE_CRAFTED</v>
      </c>
      <c r="BH562" s="21" t="str">
        <f t="shared" si="52"/>
        <v>, dropMechanic={LIBSETS_DROP_MECHANIC_CRAFTED,LIBSETS_DROP_MECHANIC_CRAFTED,LIBSETS_DROP_MECHANIC_CRAFTED}</v>
      </c>
      <c r="BI562" s="21" t="str">
        <f t="shared" si="53"/>
        <v>}, --Druid\'s Braid / Druidenflechte   [High Isle, High Isle, High Isle]</v>
      </c>
    </row>
    <row r="563" spans="1:61" x14ac:dyDescent="0.25">
      <c r="A563" s="5">
        <v>643</v>
      </c>
      <c r="B563" t="s">
        <v>3418</v>
      </c>
      <c r="C563" t="s">
        <v>3360</v>
      </c>
      <c r="D563" s="3">
        <f t="shared" si="48"/>
        <v>643</v>
      </c>
      <c r="G563" s="3" t="s">
        <v>1473</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1551</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1554</v>
      </c>
      <c r="AK563" s="3">
        <f>IF(AND(G563&lt;&gt;"LIBSETS_SETTYPE_BATTLEGROUND",G563&lt;&gt;"LIBSETS_SETTYPE_SPECIAL"),IF(AL563&lt;&gt;"",VLOOKUP(AL563,'ESO zone constants'!$D$5:$H$4955,5,FALSE),""),"")</f>
        <v>1318</v>
      </c>
      <c r="AL563" t="s">
        <v>3315</v>
      </c>
      <c r="AM563" s="33" t="s">
        <v>1553</v>
      </c>
      <c r="AP563" s="3">
        <f>IF(AND(G563&lt;&gt;"LIBSETS_SETTYPE_BATTLEGROUND",G563&lt;&gt;"LIBSETS_SETTYPE_SPECIAL"),IF(AQ563&lt;&gt;"",VLOOKUP(AQ563,'ESO zone constants'!$D$5:$H$4955,5,FALSE),""),"")</f>
        <v>1318</v>
      </c>
      <c r="AQ563" t="s">
        <v>3315</v>
      </c>
      <c r="AR563" s="33" t="s">
        <v>3213</v>
      </c>
      <c r="AU563" s="3" t="str">
        <f>IF(AND(G563&lt;&gt;"LIBSETS_SETTYPE_BATTLEGROUND",G563&lt;&gt;"LIBSETS_SETTYPE_SPECIAL"),IF(AV563&lt;&gt;"",VLOOKUP(AV563,'ESO zone constants'!$D$5:$H$4955,5,FALSE),""),"")</f>
        <v/>
      </c>
      <c r="BE563" s="21" t="str">
        <f t="shared" si="49"/>
        <v>[643] = {wayshrines={512,512,512,}, dlcId=DLC_BASE_GAME</v>
      </c>
      <c r="BF563" s="21" t="str">
        <f t="shared" si="50"/>
        <v>, zoneIds={1318,1318,1318,1318,1318}, veteran=false</v>
      </c>
      <c r="BG563" s="21" t="str">
        <f t="shared" si="51"/>
        <v>, setType=LIBSETS_SETTYPE_OVERLAND</v>
      </c>
      <c r="BH563" s="21" t="str">
        <f t="shared" si="52"/>
        <v>, dropMechanic={LIBSETS_DROP_MECHANIC_OVERLAND_WORLDBOSS,LIBSETS_DROP_MECHANIC_OVERLAND_BOSS_DELVE,LIBSETS_DROP_MECHANIC_OVERLAND_CHEST,LIBSETS_DROP_MECHANIC_OVERLAND_BOSS_PUBLIC_DUNGEON,LIBSETS_DROP_MECHANIC_OVERLAND_LOOT}</v>
      </c>
      <c r="BI563" s="21" t="str">
        <f t="shared" si="53"/>
        <v>}, --Blessing of High Isle / Segen von Hochinsel   [High Isle, High Isle, High Isle, High Isle, High Isle]</v>
      </c>
    </row>
    <row r="564" spans="1:61" x14ac:dyDescent="0.25">
      <c r="A564" s="5">
        <v>644</v>
      </c>
      <c r="B564" t="s">
        <v>3419</v>
      </c>
      <c r="C564" t="s">
        <v>3361</v>
      </c>
      <c r="D564" s="3">
        <f t="shared" si="48"/>
        <v>644</v>
      </c>
      <c r="G564" s="3" t="s">
        <v>1473</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1551</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1554</v>
      </c>
      <c r="AK564" s="3">
        <f>IF(AND(G564&lt;&gt;"LIBSETS_SETTYPE_BATTLEGROUND",G564&lt;&gt;"LIBSETS_SETTYPE_SPECIAL"),IF(AL564&lt;&gt;"",VLOOKUP(AL564,'ESO zone constants'!$D$5:$H$4955,5,FALSE),""),"")</f>
        <v>1318</v>
      </c>
      <c r="AL564" t="s">
        <v>3315</v>
      </c>
      <c r="AM564" s="33" t="s">
        <v>1553</v>
      </c>
      <c r="AP564" s="3">
        <f>IF(AND(G564&lt;&gt;"LIBSETS_SETTYPE_BATTLEGROUND",G564&lt;&gt;"LIBSETS_SETTYPE_SPECIAL"),IF(AQ564&lt;&gt;"",VLOOKUP(AQ564,'ESO zone constants'!$D$5:$H$4955,5,FALSE),""),"")</f>
        <v>1318</v>
      </c>
      <c r="AQ564" t="s">
        <v>3315</v>
      </c>
      <c r="AR564" s="33" t="s">
        <v>3213</v>
      </c>
      <c r="AU564" s="3" t="str">
        <f>IF(AND(G564&lt;&gt;"LIBSETS_SETTYPE_BATTLEGROUND",G564&lt;&gt;"LIBSETS_SETTYPE_SPECIAL"),IF(AV564&lt;&gt;"",VLOOKUP(AV564,'ESO zone constants'!$D$5:$H$4955,5,FALSE),""),"")</f>
        <v/>
      </c>
      <c r="BE564" s="21" t="str">
        <f t="shared" si="49"/>
        <v>[644] = {wayshrines={512,512,512,}, dlcId=DLC_BASE_GAME</v>
      </c>
      <c r="BF564" s="21" t="str">
        <f t="shared" si="50"/>
        <v>, zoneIds={1318,1318,1318,1318,1318}, veteran=false</v>
      </c>
      <c r="BG564" s="21" t="str">
        <f t="shared" si="51"/>
        <v>, setType=LIBSETS_SETTYPE_OVERLAND</v>
      </c>
      <c r="BH564" s="21" t="str">
        <f t="shared" si="52"/>
        <v>, dropMechanic={LIBSETS_DROP_MECHANIC_OVERLAND_WORLDBOSS,LIBSETS_DROP_MECHANIC_OVERLAND_BOSS_DELVE,LIBSETS_DROP_MECHANIC_OVERLAND_CHEST,LIBSETS_DROP_MECHANIC_OVERLAND_BOSS_PUBLIC_DUNGEON,LIBSETS_DROP_MECHANIC_OVERLAND_LOOT}</v>
      </c>
      <c r="BI564" s="21" t="str">
        <f t="shared" si="53"/>
        <v>}, --Steadfast\'s Mettle / Mut der Standhaften   [High Isle, High Isle, High Isle, High Isle, High Isle]</v>
      </c>
    </row>
    <row r="565" spans="1:61" x14ac:dyDescent="0.25">
      <c r="A565" s="5">
        <v>645</v>
      </c>
      <c r="B565" t="s">
        <v>3420</v>
      </c>
      <c r="C565" t="s">
        <v>3362</v>
      </c>
      <c r="D565" s="3">
        <f t="shared" si="48"/>
        <v>645</v>
      </c>
      <c r="G565" s="3" t="s">
        <v>1473</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1551</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1554</v>
      </c>
      <c r="AK565" s="3">
        <f>IF(AND(G565&lt;&gt;"LIBSETS_SETTYPE_BATTLEGROUND",G565&lt;&gt;"LIBSETS_SETTYPE_SPECIAL"),IF(AL565&lt;&gt;"",VLOOKUP(AL565,'ESO zone constants'!$D$5:$H$4955,5,FALSE),""),"")</f>
        <v>1318</v>
      </c>
      <c r="AL565" t="s">
        <v>3315</v>
      </c>
      <c r="AM565" s="33" t="s">
        <v>1553</v>
      </c>
      <c r="AP565" s="3">
        <f>IF(AND(G565&lt;&gt;"LIBSETS_SETTYPE_BATTLEGROUND",G565&lt;&gt;"LIBSETS_SETTYPE_SPECIAL"),IF(AQ565&lt;&gt;"",VLOOKUP(AQ565,'ESO zone constants'!$D$5:$H$4955,5,FALSE),""),"")</f>
        <v>1318</v>
      </c>
      <c r="AQ565" t="s">
        <v>3315</v>
      </c>
      <c r="AR565" s="33" t="s">
        <v>3213</v>
      </c>
      <c r="AU565" s="3" t="str">
        <f>IF(AND(G565&lt;&gt;"LIBSETS_SETTYPE_BATTLEGROUND",G565&lt;&gt;"LIBSETS_SETTYPE_SPECIAL"),IF(AV565&lt;&gt;"",VLOOKUP(AV565,'ESO zone constants'!$D$5:$H$4955,5,FALSE),""),"")</f>
        <v/>
      </c>
      <c r="BE565" s="21" t="str">
        <f t="shared" si="49"/>
        <v>[645] = {wayshrines={512,512,512,}, dlcId=DLC_BASE_GAME</v>
      </c>
      <c r="BF565" s="21" t="str">
        <f t="shared" si="50"/>
        <v>, zoneIds={1318,1318,1318,1318,1318}, veteran=false</v>
      </c>
      <c r="BG565" s="21" t="str">
        <f t="shared" si="51"/>
        <v>, setType=LIBSETS_SETTYPE_OVERLAND</v>
      </c>
      <c r="BH565" s="21" t="str">
        <f t="shared" si="52"/>
        <v>, dropMechanic={LIBSETS_DROP_MECHANIC_OVERLAND_WORLDBOSS,LIBSETS_DROP_MECHANIC_OVERLAND_BOSS_DELVE,LIBSETS_DROP_MECHANIC_OVERLAND_CHEST,LIBSETS_DROP_MECHANIC_OVERLAND_BOSS_PUBLIC_DUNGEON,LIBSETS_DROP_MECHANIC_OVERLAND_LOOT}</v>
      </c>
      <c r="BI565" s="21" t="str">
        <f t="shared" si="53"/>
        <v>}, --Systres\' Scowl / Blick der Systren   [High Isle, High Isle, High Isle, High Isle, High Isle]</v>
      </c>
    </row>
    <row r="566" spans="1:61" x14ac:dyDescent="0.25">
      <c r="A566" s="5">
        <v>646</v>
      </c>
      <c r="B566" t="s">
        <v>3421</v>
      </c>
      <c r="C566" t="s">
        <v>3363</v>
      </c>
      <c r="D566" s="3">
        <f t="shared" si="48"/>
        <v>646</v>
      </c>
      <c r="G566" s="3" t="s">
        <v>1474</v>
      </c>
      <c r="I566" t="s">
        <v>91</v>
      </c>
      <c r="J566" t="s">
        <v>91</v>
      </c>
      <c r="K566">
        <v>505</v>
      </c>
      <c r="L566">
        <v>505</v>
      </c>
      <c r="M566">
        <v>505</v>
      </c>
      <c r="O566" s="61" t="s">
        <v>3337</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3254</v>
      </c>
      <c r="AK566" s="3"/>
      <c r="AU566" s="3" t="str">
        <f>IF(AND(G566&lt;&gt;"LIBSETS_SETTYPE_BATTLEGROUND",G566&lt;&gt;"LIBSETS_SETTYPE_SPECIAL"),IF(AV566&lt;&gt;"",VLOOKUP(AV566,'ESO zone constants'!$D$5:$H$4955,5,FALSE),""),"")</f>
        <v/>
      </c>
      <c r="BD566" s="92">
        <v>653</v>
      </c>
      <c r="BE566" s="21" t="str">
        <f t="shared" si="49"/>
        <v>[646] = {wayshrines={505,505,505,}, dlcId=DLC_HIGH_ISLE</v>
      </c>
      <c r="BF566" s="21" t="str">
        <f t="shared" si="50"/>
        <v>, zoneIds={1344,1344,1344}, veteran=false</v>
      </c>
      <c r="BG566" s="21" t="str">
        <f t="shared" si="51"/>
        <v>, setType=LIBSETS_SETTYPE_TRIAL</v>
      </c>
      <c r="BH566" s="21" t="str">
        <f t="shared" si="52"/>
        <v>, dropMechanic={LIBSETS_DROP_MECHANIC_TRIAL_BOSS,LIBSETS_DROP_MECHANIC_TRIAL_BOSS,LIBSETS_DROP_MECHANIC_TRIAL_BOSS}, perfectedSetId=653</v>
      </c>
      <c r="BI566" s="21" t="str">
        <f t="shared" si="53"/>
        <v>}, --Whorl of the Depths / Wirbel der Tiefen   [Dreadsail Reef, Dreadsail Reef, Dreadsail Reef]</v>
      </c>
    </row>
    <row r="567" spans="1:61" x14ac:dyDescent="0.25">
      <c r="A567" s="5">
        <v>647</v>
      </c>
      <c r="B567" t="s">
        <v>3422</v>
      </c>
      <c r="C567" t="s">
        <v>3364</v>
      </c>
      <c r="D567" s="3">
        <f t="shared" si="48"/>
        <v>647</v>
      </c>
      <c r="G567" s="3" t="s">
        <v>1474</v>
      </c>
      <c r="I567" t="s">
        <v>91</v>
      </c>
      <c r="J567" t="s">
        <v>91</v>
      </c>
      <c r="K567">
        <v>505</v>
      </c>
      <c r="L567">
        <v>505</v>
      </c>
      <c r="M567">
        <v>505</v>
      </c>
      <c r="O567" s="61" t="s">
        <v>3337</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3254</v>
      </c>
      <c r="AK567" s="3"/>
      <c r="AU567" s="3" t="str">
        <f>IF(AND(G567&lt;&gt;"LIBSETS_SETTYPE_BATTLEGROUND",G567&lt;&gt;"LIBSETS_SETTYPE_SPECIAL"),IF(AV567&lt;&gt;"",VLOOKUP(AV567,'ESO zone constants'!$D$5:$H$4955,5,FALSE),""),"")</f>
        <v/>
      </c>
      <c r="BD567" s="92">
        <v>652</v>
      </c>
      <c r="BE567" s="21" t="str">
        <f t="shared" si="49"/>
        <v>[647] = {wayshrines={505,505,505,}, dlcId=DLC_HIGH_ISLE</v>
      </c>
      <c r="BF567" s="21" t="str">
        <f t="shared" si="50"/>
        <v>, zoneIds={1344,1344,1344}, veteran=false</v>
      </c>
      <c r="BG567" s="21" t="str">
        <f t="shared" si="51"/>
        <v>, setType=LIBSETS_SETTYPE_TRIAL</v>
      </c>
      <c r="BH567" s="21" t="str">
        <f t="shared" si="52"/>
        <v>, dropMechanic={LIBSETS_DROP_MECHANIC_TRIAL_BOSS,LIBSETS_DROP_MECHANIC_TRIAL_BOSS,LIBSETS_DROP_MECHANIC_TRIAL_BOSS}, perfectedSetId=652</v>
      </c>
      <c r="BI567" s="21" t="str">
        <f t="shared" si="53"/>
        <v>}, --Coral Riptide / Korallenbrandung   [Dreadsail Reef, Dreadsail Reef, Dreadsail Reef]</v>
      </c>
    </row>
    <row r="568" spans="1:61" x14ac:dyDescent="0.25">
      <c r="A568" s="5">
        <v>648</v>
      </c>
      <c r="B568" t="s">
        <v>3423</v>
      </c>
      <c r="C568" t="s">
        <v>3365</v>
      </c>
      <c r="D568" s="3">
        <f t="shared" si="48"/>
        <v>648</v>
      </c>
      <c r="G568" s="3" t="s">
        <v>1474</v>
      </c>
      <c r="I568" t="s">
        <v>91</v>
      </c>
      <c r="J568" t="s">
        <v>91</v>
      </c>
      <c r="K568">
        <v>505</v>
      </c>
      <c r="L568">
        <v>505</v>
      </c>
      <c r="M568">
        <v>505</v>
      </c>
      <c r="O568" s="61" t="s">
        <v>3337</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3254</v>
      </c>
      <c r="AK568" s="3"/>
      <c r="AU568" s="3" t="str">
        <f>IF(AND(G568&lt;&gt;"LIBSETS_SETTYPE_BATTLEGROUND",G568&lt;&gt;"LIBSETS_SETTYPE_SPECIAL"),IF(AV568&lt;&gt;"",VLOOKUP(AV568,'ESO zone constants'!$D$5:$H$4955,5,FALSE),""),"")</f>
        <v/>
      </c>
      <c r="BD568" s="92">
        <v>651</v>
      </c>
      <c r="BE568" s="21" t="str">
        <f t="shared" si="49"/>
        <v>[648] = {wayshrines={505,505,505,}, dlcId=DLC_HIGH_ISLE</v>
      </c>
      <c r="BF568" s="21" t="str">
        <f t="shared" si="50"/>
        <v>, zoneIds={1344,1344,1344}, veteran=false</v>
      </c>
      <c r="BG568" s="21" t="str">
        <f t="shared" si="51"/>
        <v>, setType=LIBSETS_SETTYPE_TRIAL</v>
      </c>
      <c r="BH568" s="21" t="str">
        <f t="shared" si="52"/>
        <v>, dropMechanic={LIBSETS_DROP_MECHANIC_TRIAL_BOSS,LIBSETS_DROP_MECHANIC_TRIAL_BOSS,LIBSETS_DROP_MECHANIC_TRIAL_BOSS}, perfectedSetId=651</v>
      </c>
      <c r="BI568" s="21" t="str">
        <f t="shared" si="53"/>
        <v>}, --Pearlescent Ward / Perlenglanz-Schutz   [Dreadsail Reef, Dreadsail Reef, Dreadsail Reef]</v>
      </c>
    </row>
    <row r="569" spans="1:61" x14ac:dyDescent="0.25">
      <c r="A569" s="5">
        <v>649</v>
      </c>
      <c r="B569" t="s">
        <v>3424</v>
      </c>
      <c r="C569" t="s">
        <v>3366</v>
      </c>
      <c r="D569" s="3">
        <f t="shared" si="48"/>
        <v>649</v>
      </c>
      <c r="G569" s="3" t="s">
        <v>1474</v>
      </c>
      <c r="I569" t="s">
        <v>91</v>
      </c>
      <c r="J569" t="s">
        <v>91</v>
      </c>
      <c r="K569">
        <v>505</v>
      </c>
      <c r="L569">
        <v>505</v>
      </c>
      <c r="M569">
        <v>505</v>
      </c>
      <c r="O569" s="61" t="s">
        <v>3337</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3254</v>
      </c>
      <c r="AK569" s="3"/>
      <c r="AU569" s="3" t="str">
        <f>IF(AND(G569&lt;&gt;"LIBSETS_SETTYPE_BATTLEGROUND",G569&lt;&gt;"LIBSETS_SETTYPE_SPECIAL"),IF(AV569&lt;&gt;"",VLOOKUP(AV569,'ESO zone constants'!$D$5:$H$4955,5,FALSE),""),"")</f>
        <v/>
      </c>
      <c r="BD569" s="92">
        <v>650</v>
      </c>
      <c r="BE569" s="21" t="str">
        <f t="shared" si="49"/>
        <v>[649] = {wayshrines={505,505,505,}, dlcId=DLC_HIGH_ISLE</v>
      </c>
      <c r="BF569" s="21" t="str">
        <f t="shared" si="50"/>
        <v>, zoneIds={1344,1344,1344}, veteran=false</v>
      </c>
      <c r="BG569" s="21" t="str">
        <f t="shared" si="51"/>
        <v>, setType=LIBSETS_SETTYPE_TRIAL</v>
      </c>
      <c r="BH569" s="21" t="str">
        <f t="shared" si="52"/>
        <v>, dropMechanic={LIBSETS_DROP_MECHANIC_TRIAL_BOSS,LIBSETS_DROP_MECHANIC_TRIAL_BOSS,LIBSETS_DROP_MECHANIC_TRIAL_BOSS}, perfectedSetId=650</v>
      </c>
      <c r="BI569" s="21" t="str">
        <f t="shared" si="53"/>
        <v>}, --Pillager\'s Profit / Profit des Brandschatzers   [Dreadsail Reef, Dreadsail Reef, Dreadsail Reef]</v>
      </c>
    </row>
    <row r="570" spans="1:61" x14ac:dyDescent="0.25">
      <c r="A570" s="5">
        <v>650</v>
      </c>
      <c r="B570" t="s">
        <v>3425</v>
      </c>
      <c r="C570" s="83" t="s">
        <v>3905</v>
      </c>
      <c r="D570" s="3">
        <f t="shared" si="48"/>
        <v>650</v>
      </c>
      <c r="G570" s="3" t="s">
        <v>1474</v>
      </c>
      <c r="I570" t="s">
        <v>92</v>
      </c>
      <c r="J570" t="s">
        <v>91</v>
      </c>
      <c r="K570">
        <v>505</v>
      </c>
      <c r="L570">
        <v>505</v>
      </c>
      <c r="M570">
        <v>505</v>
      </c>
      <c r="O570" s="61" t="s">
        <v>3337</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3254</v>
      </c>
      <c r="AK570" s="3"/>
      <c r="AU570" s="3" t="str">
        <f>IF(AND(G570&lt;&gt;"LIBSETS_SETTYPE_BATTLEGROUND",G570&lt;&gt;"LIBSETS_SETTYPE_SPECIAL"),IF(AV570&lt;&gt;"",VLOOKUP(AV570,'ESO zone constants'!$D$5:$H$4955,5,FALSE),""),"")</f>
        <v/>
      </c>
      <c r="BD570" s="92" t="s">
        <v>3812</v>
      </c>
      <c r="BE570" s="21" t="str">
        <f t="shared" si="49"/>
        <v>[650] = {wayshrines={505,505,505,}, dlcId=DLC_HIGH_ISLE</v>
      </c>
      <c r="BF570" s="21" t="str">
        <f t="shared" si="50"/>
        <v>, zoneIds={1344,1344,1344}, veteran=true</v>
      </c>
      <c r="BG570" s="21" t="str">
        <f t="shared" si="51"/>
        <v>, setType=LIBSETS_SETTYPE_TRIAL</v>
      </c>
      <c r="BH570" s="21" t="str">
        <f t="shared" si="52"/>
        <v>, dropMechanic={LIBSETS_DROP_MECHANIC_TRIAL_BOSS,LIBSETS_DROP_MECHANIC_TRIAL_BOSS,LIBSETS_DROP_MECHANIC_TRIAL_BOSS}, isPerfectedSet=1</v>
      </c>
      <c r="BI570" s="21" t="str">
        <f t="shared" si="53"/>
        <v>}, --Perfected Pillager\'s Profit / Perfektionierter Profit des Brandschatzers   [Dreadsail Reef, Dreadsail Reef, Dreadsail Reef]</v>
      </c>
    </row>
    <row r="571" spans="1:61" x14ac:dyDescent="0.25">
      <c r="A571" s="5">
        <v>651</v>
      </c>
      <c r="B571" t="s">
        <v>3426</v>
      </c>
      <c r="C571" t="s">
        <v>3367</v>
      </c>
      <c r="D571" s="3">
        <f t="shared" si="48"/>
        <v>651</v>
      </c>
      <c r="G571" s="3" t="s">
        <v>1474</v>
      </c>
      <c r="I571" t="s">
        <v>92</v>
      </c>
      <c r="J571" t="s">
        <v>91</v>
      </c>
      <c r="K571">
        <v>505</v>
      </c>
      <c r="L571">
        <v>505</v>
      </c>
      <c r="M571">
        <v>505</v>
      </c>
      <c r="O571" s="61" t="s">
        <v>3337</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3254</v>
      </c>
      <c r="AK571" s="3"/>
      <c r="AU571" s="3" t="str">
        <f>IF(AND(G571&lt;&gt;"LIBSETS_SETTYPE_BATTLEGROUND",G571&lt;&gt;"LIBSETS_SETTYPE_SPECIAL"),IF(AV571&lt;&gt;"",VLOOKUP(AV571,'ESO zone constants'!$D$5:$H$4955,5,FALSE),""),"")</f>
        <v/>
      </c>
      <c r="BD571" s="92" t="s">
        <v>3812</v>
      </c>
      <c r="BE571" s="21" t="str">
        <f t="shared" si="49"/>
        <v>[651] = {wayshrines={505,505,505,}, dlcId=DLC_HIGH_ISLE</v>
      </c>
      <c r="BF571" s="21" t="str">
        <f t="shared" si="50"/>
        <v>, zoneIds={1344,1344,1344}, veteran=true</v>
      </c>
      <c r="BG571" s="21" t="str">
        <f t="shared" si="51"/>
        <v>, setType=LIBSETS_SETTYPE_TRIAL</v>
      </c>
      <c r="BH571" s="21" t="str">
        <f t="shared" si="52"/>
        <v>, dropMechanic={LIBSETS_DROP_MECHANIC_TRIAL_BOSS,LIBSETS_DROP_MECHANIC_TRIAL_BOSS,LIBSETS_DROP_MECHANIC_TRIAL_BOSS}, isPerfectedSet=1</v>
      </c>
      <c r="BI571" s="21" t="str">
        <f t="shared" si="53"/>
        <v>}, --Perfected Pearlescent Ward / Perfektionierter Perlenglanz-Schutz   [Dreadsail Reef, Dreadsail Reef, Dreadsail Reef]</v>
      </c>
    </row>
    <row r="572" spans="1:61" x14ac:dyDescent="0.25">
      <c r="A572" s="5">
        <v>652</v>
      </c>
      <c r="B572" t="s">
        <v>3427</v>
      </c>
      <c r="C572" t="s">
        <v>3368</v>
      </c>
      <c r="D572" s="3">
        <f t="shared" si="48"/>
        <v>652</v>
      </c>
      <c r="G572" s="3" t="s">
        <v>1474</v>
      </c>
      <c r="I572" t="s">
        <v>92</v>
      </c>
      <c r="J572" t="s">
        <v>91</v>
      </c>
      <c r="K572">
        <v>505</v>
      </c>
      <c r="L572">
        <v>505</v>
      </c>
      <c r="M572">
        <v>505</v>
      </c>
      <c r="O572" s="61" t="s">
        <v>3337</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3254</v>
      </c>
      <c r="AK572" s="3"/>
      <c r="AU572" s="3" t="str">
        <f>IF(AND(G572&lt;&gt;"LIBSETS_SETTYPE_BATTLEGROUND",G572&lt;&gt;"LIBSETS_SETTYPE_SPECIAL"),IF(AV572&lt;&gt;"",VLOOKUP(AV572,'ESO zone constants'!$D$5:$H$4955,5,FALSE),""),"")</f>
        <v/>
      </c>
      <c r="BD572" s="92" t="s">
        <v>3812</v>
      </c>
      <c r="BE572" s="21" t="str">
        <f t="shared" si="49"/>
        <v>[652] = {wayshrines={505,505,505,}, dlcId=DLC_HIGH_ISLE</v>
      </c>
      <c r="BF572" s="21" t="str">
        <f t="shared" si="50"/>
        <v>, zoneIds={1344,1344,1344}, veteran=true</v>
      </c>
      <c r="BG572" s="21" t="str">
        <f t="shared" si="51"/>
        <v>, setType=LIBSETS_SETTYPE_TRIAL</v>
      </c>
      <c r="BH572" s="21" t="str">
        <f t="shared" si="52"/>
        <v>, dropMechanic={LIBSETS_DROP_MECHANIC_TRIAL_BOSS,LIBSETS_DROP_MECHANIC_TRIAL_BOSS,LIBSETS_DROP_MECHANIC_TRIAL_BOSS}, isPerfectedSet=1</v>
      </c>
      <c r="BI572" s="21" t="str">
        <f t="shared" si="53"/>
        <v>}, --Perfected Coral Riptide / Perfektionierte Korallenbrandung   [Dreadsail Reef, Dreadsail Reef, Dreadsail Reef]</v>
      </c>
    </row>
    <row r="573" spans="1:61" x14ac:dyDescent="0.25">
      <c r="A573" s="5">
        <v>653</v>
      </c>
      <c r="B573" t="s">
        <v>3428</v>
      </c>
      <c r="C573" t="s">
        <v>3369</v>
      </c>
      <c r="D573" s="3">
        <f t="shared" si="48"/>
        <v>653</v>
      </c>
      <c r="G573" s="3" t="s">
        <v>1474</v>
      </c>
      <c r="I573" t="s">
        <v>92</v>
      </c>
      <c r="J573" t="s">
        <v>91</v>
      </c>
      <c r="K573">
        <v>505</v>
      </c>
      <c r="L573">
        <v>505</v>
      </c>
      <c r="M573">
        <v>505</v>
      </c>
      <c r="O573" s="61" t="s">
        <v>3337</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3254</v>
      </c>
      <c r="AK573" s="3"/>
      <c r="AU573" s="3" t="str">
        <f>IF(AND(G573&lt;&gt;"LIBSETS_SETTYPE_BATTLEGROUND",G573&lt;&gt;"LIBSETS_SETTYPE_SPECIAL"),IF(AV573&lt;&gt;"",VLOOKUP(AV573,'ESO zone constants'!$D$5:$H$4955,5,FALSE),""),"")</f>
        <v/>
      </c>
      <c r="BD573" s="92" t="s">
        <v>3812</v>
      </c>
      <c r="BE573" s="21" t="str">
        <f t="shared" si="49"/>
        <v>[653] = {wayshrines={505,505,505,}, dlcId=DLC_HIGH_ISLE</v>
      </c>
      <c r="BF573" s="21" t="str">
        <f t="shared" si="50"/>
        <v>, zoneIds={1344,1344,1344}, veteran=true</v>
      </c>
      <c r="BG573" s="21" t="str">
        <f t="shared" si="51"/>
        <v>, setType=LIBSETS_SETTYPE_TRIAL</v>
      </c>
      <c r="BH573" s="21" t="str">
        <f t="shared" si="52"/>
        <v>, dropMechanic={LIBSETS_DROP_MECHANIC_TRIAL_BOSS,LIBSETS_DROP_MECHANIC_TRIAL_BOSS,LIBSETS_DROP_MECHANIC_TRIAL_BOSS}, isPerfectedSet=1</v>
      </c>
      <c r="BI573" s="21" t="str">
        <f t="shared" si="53"/>
        <v>}, --Perfected Whorl of the Depths / Perfektionierter Wirbel der Tiefen   [Dreadsail Reef, Dreadsail Reef, Dreadsail Reef]</v>
      </c>
    </row>
    <row r="574" spans="1:61" x14ac:dyDescent="0.25">
      <c r="A574" s="5">
        <v>654</v>
      </c>
      <c r="B574" t="s">
        <v>3429</v>
      </c>
      <c r="C574" s="83" t="s">
        <v>3476</v>
      </c>
      <c r="D574" s="3">
        <f t="shared" si="48"/>
        <v>654</v>
      </c>
      <c r="G574" s="91" t="s">
        <v>1671</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3316</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3537</v>
      </c>
      <c r="AC574" s="3" t="s">
        <v>3847</v>
      </c>
      <c r="AD574" s="3" t="s">
        <v>3483</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3257</v>
      </c>
      <c r="AI574" s="3" t="s">
        <v>3484</v>
      </c>
      <c r="AJ574" s="3" t="s">
        <v>3485</v>
      </c>
      <c r="AK574" s="3">
        <f>IF(AND(G574&lt;&gt;"LIBSETS_SETTYPE_BATTLEGROUND",G574&lt;&gt;"LIBSETS_SETTYPE_SPECIAL"),IF(AL574&lt;&gt;"",VLOOKUP(AL574,'ESO zone constants'!$D$5:$H$4955,5,FALSE),""),"")</f>
        <v>1286</v>
      </c>
      <c r="AL574" t="s">
        <v>2434</v>
      </c>
      <c r="AM574" s="33" t="s">
        <v>3578</v>
      </c>
      <c r="AN574" s="3" t="s">
        <v>3584</v>
      </c>
      <c r="AO574" s="3" t="s">
        <v>3585</v>
      </c>
      <c r="AP574" s="3">
        <f>IF(AND(G574&lt;&gt;"LIBSETS_SETTYPE_BATTLEGROUND",G574&lt;&gt;"LIBSETS_SETTYPE_SPECIAL"),IF(AQ574&lt;&gt;"",VLOOKUP(AQ574,'ESO zone constants'!$D$5:$H$4955,5,FALSE),""),"")</f>
        <v>678</v>
      </c>
      <c r="AQ574" t="s">
        <v>52</v>
      </c>
      <c r="AR574" s="33" t="s">
        <v>3273</v>
      </c>
      <c r="AS574" s="3" t="s">
        <v>3486</v>
      </c>
      <c r="AT574" s="3" t="s">
        <v>3487</v>
      </c>
      <c r="AU574" s="3" t="str">
        <f>IF(AND(G574&lt;&gt;"LIBSETS_SETTYPE_BATTLEGROUND",G574&lt;&gt;"LIBSETS_SETTYPE_SPECIAL"),IF(AV574&lt;&gt;"",VLOOKUP(AV574,'ESO zone constants'!$D$5:$H$4955,5,FALSE),""),"")</f>
        <v/>
      </c>
      <c r="BA574" s="92" t="s">
        <v>3499</v>
      </c>
      <c r="BB574" s="92" t="s">
        <v>3499</v>
      </c>
      <c r="BC574" s="92"/>
      <c r="BD574" s="92"/>
      <c r="BE574" s="21" t="str">
        <f t="shared" si="49"/>
        <v>[654] = {wayshrines={479,156,479,}, dlcId=DLC_HIGH_ISLE</v>
      </c>
      <c r="BF574" s="21" t="str">
        <f t="shared" si="50"/>
        <v>, zoneIds={1286,487,1286,1286,678}, veteran=false</v>
      </c>
      <c r="BG574" s="21" t="str">
        <f t="shared" si="51"/>
        <v>, setType=LIBSETS_SETTYPE_MYTHIC</v>
      </c>
      <c r="BH574" s="21" t="str">
        <f t="shared" si="52"/>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3"/>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 t="shared" si="48"/>
        <v>655</v>
      </c>
      <c r="G575" s="91" t="s">
        <v>1671</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3316</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3213</v>
      </c>
      <c r="AC575" s="3" t="s">
        <v>4019</v>
      </c>
      <c r="AD575" s="3" t="s">
        <v>3237</v>
      </c>
      <c r="AF575" s="3">
        <v>1121</v>
      </c>
      <c r="AG575" t="s">
        <v>1342</v>
      </c>
      <c r="AH575" s="33" t="s">
        <v>3257</v>
      </c>
      <c r="AI575" s="3" t="s">
        <v>3488</v>
      </c>
      <c r="AJ575" s="3" t="s">
        <v>3489</v>
      </c>
      <c r="AK575" s="3">
        <f>IF(AND(G575&lt;&gt;"LIBSETS_SETTYPE_BATTLEGROUND",G575&lt;&gt;"LIBSETS_SETTYPE_SPECIAL"),IF(AL575&lt;&gt;"",VLOOKUP(AL575,'ESO zone constants'!$D$5:$H$4955,5,FALSE),""),"")</f>
        <v>1123</v>
      </c>
      <c r="AL575" t="s">
        <v>1480</v>
      </c>
      <c r="AM575" s="33" t="s">
        <v>3273</v>
      </c>
      <c r="AN575" s="3" t="s">
        <v>1501</v>
      </c>
      <c r="AO575" s="3" t="s">
        <v>1501</v>
      </c>
      <c r="AP575" s="3">
        <f>IF(AND(G575&lt;&gt;"LIBSETS_SETTYPE_BATTLEGROUND",G575&lt;&gt;"LIBSETS_SETTYPE_SPECIAL"),IF(AQ575&lt;&gt;"",VLOOKUP(AQ575,'ESO zone constants'!$D$5:$H$4955,5,FALSE),""),"")</f>
        <v>1122</v>
      </c>
      <c r="AQ575" t="s">
        <v>1479</v>
      </c>
      <c r="AR575" s="33" t="s">
        <v>3257</v>
      </c>
      <c r="AS575" s="3" t="s">
        <v>3490</v>
      </c>
      <c r="AT575" s="3" t="s">
        <v>3491</v>
      </c>
      <c r="AU575" s="3" t="str">
        <f>IF(AND(G575&lt;&gt;"LIBSETS_SETTYPE_BATTLEGROUND",G575&lt;&gt;"LIBSETS_SETTYPE_SPECIAL"),IF(AV575&lt;&gt;"",VLOOKUP(AV575,'ESO zone constants'!$D$5:$H$4955,5,FALSE),""),"")</f>
        <v/>
      </c>
      <c r="BA575" s="92" t="s">
        <v>3500</v>
      </c>
      <c r="BB575" s="92" t="s">
        <v>3500</v>
      </c>
      <c r="BC575" s="92"/>
      <c r="BD575" s="92"/>
      <c r="BE575" s="21" t="str">
        <f t="shared" si="49"/>
        <v>[655] = {wayshrines={383,402,-1,}, dlcId=DLC_HIGH_ISLE</v>
      </c>
      <c r="BF575" s="21" t="str">
        <f t="shared" si="50"/>
        <v>, zoneIds={1086,1133,1121,1123,1122}, veteran=false</v>
      </c>
      <c r="BG575" s="21" t="str">
        <f t="shared" si="51"/>
        <v>, setType=LIBSETS_SETTYPE_MYTHIC</v>
      </c>
      <c r="BH575" s="21" t="str">
        <f t="shared" si="52"/>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3"/>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 t="shared" si="48"/>
        <v>656</v>
      </c>
      <c r="G576" s="91" t="s">
        <v>1671</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3316</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1554</v>
      </c>
      <c r="AK576" s="3">
        <f>IF(AND(G576&lt;&gt;"LIBSETS_SETTYPE_BATTLEGROUND",G576&lt;&gt;"LIBSETS_SETTYPE_SPECIAL"),IF(AL576&lt;&gt;"",VLOOKUP(AL576,'ESO zone constants'!$D$5:$H$4955,5,FALSE),""),"")</f>
        <v>0</v>
      </c>
      <c r="AL576" t="s">
        <v>2220</v>
      </c>
      <c r="AM576" s="33" t="s">
        <v>3276</v>
      </c>
      <c r="AN576" s="3" t="s">
        <v>3816</v>
      </c>
      <c r="AO576" s="3" t="s">
        <v>3817</v>
      </c>
      <c r="AP576" s="3">
        <f>IF(AND(G576&lt;&gt;"LIBSETS_SETTYPE_BATTLEGROUND",G576&lt;&gt;"LIBSETS_SETTYPE_SPECIAL"),IF(AQ576&lt;&gt;"",VLOOKUP(AQ576,'ESO zone constants'!$D$5:$H$4955,5,FALSE),""),"")</f>
        <v>1011</v>
      </c>
      <c r="AQ576" t="s">
        <v>79</v>
      </c>
      <c r="AR576" s="33" t="s">
        <v>3225</v>
      </c>
      <c r="AS576" s="3" t="s">
        <v>3497</v>
      </c>
      <c r="AT576" s="3" t="s">
        <v>3498</v>
      </c>
      <c r="AU576" s="3" t="str">
        <f>IF(AND(G576&lt;&gt;"LIBSETS_SETTYPE_BATTLEGROUND",G576&lt;&gt;"LIBSETS_SETTYPE_SPECIAL"),IF(AV576&lt;&gt;"",VLOOKUP(AV576,'ESO zone constants'!$D$5:$H$4955,5,FALSE),""),"")</f>
        <v/>
      </c>
      <c r="BA576" s="92" t="s">
        <v>3500</v>
      </c>
      <c r="BB576" s="92" t="s">
        <v>3500</v>
      </c>
      <c r="BC576" s="92"/>
      <c r="BD576" s="92"/>
      <c r="BE576" s="21" t="str">
        <f t="shared" si="49"/>
        <v>[656] = {wayshrines={354,519,43,}, dlcId=DLC_HIGH_ISLE</v>
      </c>
      <c r="BF576" s="21" t="str">
        <f t="shared" si="50"/>
        <v>, zoneIds={1011,1318,104,0,1011}, veteran=false</v>
      </c>
      <c r="BG576" s="21" t="str">
        <f t="shared" si="51"/>
        <v>, setType=LIBSETS_SETTYPE_MYTHIC</v>
      </c>
      <c r="BH576" s="21" t="str">
        <f t="shared" si="52"/>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3"/>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 t="shared" si="48"/>
        <v>657</v>
      </c>
      <c r="G577" s="91" t="s">
        <v>1671</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3316</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1552</v>
      </c>
      <c r="AI577" s="3" t="s">
        <v>3507</v>
      </c>
      <c r="AJ577" s="3" t="s">
        <v>3508</v>
      </c>
      <c r="AK577" s="3">
        <f>IF(AND(G577&lt;&gt;"LIBSETS_SETTYPE_BATTLEGROUND",G577&lt;&gt;"LIBSETS_SETTYPE_SPECIAL"),IF(AL577&lt;&gt;"",VLOOKUP(AL577,'ESO zone constants'!$D$5:$H$4955,5,FALSE),""),"")</f>
        <v>0</v>
      </c>
      <c r="AL577" t="s">
        <v>2220</v>
      </c>
      <c r="AM577" s="33" t="s">
        <v>3213</v>
      </c>
      <c r="AN577" s="3" t="s">
        <v>3509</v>
      </c>
      <c r="AO577" s="3" t="s">
        <v>3510</v>
      </c>
      <c r="AP577" s="3">
        <f>IF(AND(G577&lt;&gt;"LIBSETS_SETTYPE_BATTLEGROUND",G577&lt;&gt;"LIBSETS_SETTYPE_SPECIAL"),IF(AQ577&lt;&gt;"",VLOOKUP(AQ577,'ESO zone constants'!$D$5:$H$4955,5,FALSE),""),"")</f>
        <v>57</v>
      </c>
      <c r="AQ577" t="s">
        <v>107</v>
      </c>
      <c r="AR577" s="33" t="s">
        <v>3511</v>
      </c>
      <c r="AS577" s="3" t="s">
        <v>3512</v>
      </c>
      <c r="AT577" s="3" t="s">
        <v>3513</v>
      </c>
      <c r="AU577" s="3">
        <f>IF(AND(G577&lt;&gt;"LIBSETS_SETTYPE_BATTLEGROUND",G577&lt;&gt;"LIBSETS_SETTYPE_SPECIAL"),IF(AV577&lt;&gt;"",VLOOKUP(AV577,'ESO zone constants'!$D$5:$H$4955,5,FALSE),""),"")</f>
        <v>383</v>
      </c>
      <c r="AV577" t="s">
        <v>264</v>
      </c>
      <c r="AW577" s="33" t="s">
        <v>3511</v>
      </c>
      <c r="AX577" s="3" t="s">
        <v>3512</v>
      </c>
      <c r="AY577" s="3" t="s">
        <v>3513</v>
      </c>
      <c r="BA577" s="92" t="s">
        <v>3501</v>
      </c>
      <c r="BB577" s="92" t="s">
        <v>3501</v>
      </c>
      <c r="BC577" s="92"/>
      <c r="BD577" s="92"/>
      <c r="BE577" s="21" t="str">
        <f t="shared" si="49"/>
        <v>[657] = {wayshrines={511,117,502,}, dlcId=DLC_HIGH_ISLE</v>
      </c>
      <c r="BF577" s="21" t="str">
        <f t="shared" si="50"/>
        <v>, zoneIds={1318,103,1318,0,57,383}, veteran=false</v>
      </c>
      <c r="BG577" s="21" t="str">
        <f t="shared" si="51"/>
        <v>, setType=LIBSETS_SETTYPE_MYTHIC</v>
      </c>
      <c r="BH577" s="21"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3"/>
        <v>, addTooltip={['en']='https://en.uesp.net/wiki/Online:Sea-Serpent%27s_Coil',},}, --Sea-Serpent\'s Coil / Wicklung der Seeschlange   [High Isle, The Rift, High Isle, Tamriel Map, Deshaan, Grahtwood]</v>
      </c>
    </row>
    <row r="578" spans="1:61" x14ac:dyDescent="0.25">
      <c r="A578" s="5">
        <v>658</v>
      </c>
      <c r="B578" t="s">
        <v>3433</v>
      </c>
      <c r="C578" s="83" t="s">
        <v>3371</v>
      </c>
      <c r="D578" s="3">
        <f t="shared" si="48"/>
        <v>658</v>
      </c>
      <c r="G578" s="91" t="s">
        <v>1671</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3316</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3257</v>
      </c>
      <c r="AI578" s="3" t="s">
        <v>3517</v>
      </c>
      <c r="AJ578" s="3" t="s">
        <v>3518</v>
      </c>
      <c r="AK578" s="3">
        <f>IF(AND(G578&lt;&gt;"LIBSETS_SETTYPE_BATTLEGROUND",G578&lt;&gt;"LIBSETS_SETTYPE_SPECIAL"),IF(AL578&lt;&gt;"",VLOOKUP(AL578,'ESO zone constants'!$D$5:$H$4955,5,FALSE),""),"")</f>
        <v>3</v>
      </c>
      <c r="AL578" t="s">
        <v>103</v>
      </c>
      <c r="AM578" s="33" t="s">
        <v>3578</v>
      </c>
      <c r="AN578" s="3" t="s">
        <v>3586</v>
      </c>
      <c r="AO578" s="3" t="s">
        <v>3587</v>
      </c>
      <c r="AP578" s="3">
        <f>IF(AND(G578&lt;&gt;"LIBSETS_SETTYPE_BATTLEGROUND",G578&lt;&gt;"LIBSETS_SETTYPE_SPECIAL"),IF(AQ578&lt;&gt;"",VLOOKUP(AQ578,'ESO zone constants'!$D$5:$H$4955,5,FALSE),""),"")</f>
        <v>726</v>
      </c>
      <c r="AQ578" t="s">
        <v>80</v>
      </c>
      <c r="AR578" s="33" t="s">
        <v>3213</v>
      </c>
      <c r="AS578" s="3" t="s">
        <v>3519</v>
      </c>
      <c r="AT578" s="3" t="s">
        <v>3520</v>
      </c>
      <c r="AU578" s="3" t="str">
        <f>IF(AND(G578&lt;&gt;"LIBSETS_SETTYPE_BATTLEGROUND",G578&lt;&gt;"LIBSETS_SETTYPE_SPECIAL"),IF(AV578&lt;&gt;"",VLOOKUP(AV578,'ESO zone constants'!$D$5:$H$4955,5,FALSE),""),"")</f>
        <v/>
      </c>
      <c r="BA578" s="92" t="s">
        <v>3502</v>
      </c>
      <c r="BB578" s="92" t="s">
        <v>3502</v>
      </c>
      <c r="BC578" s="92"/>
      <c r="BD578" s="92"/>
      <c r="BE578" s="21" t="str">
        <f t="shared" si="49"/>
        <v>[658] = {wayshrines={518,18,100,}, dlcId=DLC_HIGH_ISLE</v>
      </c>
      <c r="BF578" s="21" t="str">
        <f t="shared" si="50"/>
        <v>, zoneIds={1318,19,58,3,726}, veteran=false</v>
      </c>
      <c r="BG578" s="21" t="str">
        <f t="shared" si="51"/>
        <v>, setType=LIBSETS_SETTYPE_MYTHIC</v>
      </c>
      <c r="BH578" s="21" t="str">
        <f t="shared" si="52"/>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3"/>
        <v>, addTooltip={['en']='https://en.uesp.net/wiki/Online:Oakensoul_Ring',},}, --Oakensoul Ring / Eichenseelenring   [High Isle, Stormhaven, Malabal Tor, Glenumbra, Murkmire]</v>
      </c>
    </row>
    <row r="579" spans="1:61" x14ac:dyDescent="0.25">
      <c r="A579" s="5">
        <v>660</v>
      </c>
      <c r="B579" t="s">
        <v>3385</v>
      </c>
      <c r="C579" t="s">
        <v>3378</v>
      </c>
      <c r="D579" s="3">
        <f t="shared" ref="D579:D642" si="54">A579</f>
        <v>660</v>
      </c>
      <c r="G579" s="8" t="s">
        <v>1470</v>
      </c>
      <c r="I579" t="s">
        <v>91</v>
      </c>
      <c r="J579" t="s">
        <v>91</v>
      </c>
      <c r="K579" s="90">
        <v>520</v>
      </c>
      <c r="L579" s="90">
        <v>520</v>
      </c>
      <c r="M579" s="90">
        <v>520</v>
      </c>
      <c r="O579" s="61" t="s">
        <v>3374</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1"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 CONCATENATE(", veteran=", I579), ""),""),"")</f>
        <v>, zoneIds={1360,1318,1318}, veteran=false</v>
      </c>
      <c r="BG579" s="21" t="str">
        <f t="shared" ref="BG579:BG642" si="57">IF(A579&lt;&gt;"",IF(F579&lt;&gt;"Not in the game (anymore)",IF(A579&lt;&gt;"",", setType="&amp;G579,"")&amp;IF(G579="LIBSETS_SETTYPE_CLASS",", classId="&amp;BC579,"")&amp;IF(J579="true",", multiTrialSet=true",""),"")
&amp; IF(AND(H579&lt;&gt;"",ISNUMBER(H579)),", undauntedChestId=" &amp; H579,""),"")</f>
        <v>, setType=LIBSETS_SETTYPE_DUNGEON</v>
      </c>
      <c r="BH579" s="21" t="str">
        <f t="shared" ref="BH579:BH642" si="58">IF(A579&lt;&gt;"",IF(F579&lt;&gt;"Not in the game (anymore)",IF(AZ579&lt;&gt;"",", isProcSetAllowedInPvP="&amp; AZ579,"")
&amp; IF(F579&lt;&gt;"Not in the game (anymore)",
  IF(V579&lt;&gt;"",", dropMechanic={"&amp;V579&amp;IF(AB579&lt;&gt;"",","&amp;AB579,"")&amp;IF(AH579&lt;&gt;"",","&amp;AH579,"")&amp;IF(AM579&lt;&gt;"",","&amp;AM579,"")&amp;IF(AR579&lt;&gt;"",","&amp;AR579,"")&amp;IF(AW579&lt;&gt;"",","&amp;AW579,"")&amp;"}"
     &amp;IF(OR(W579&lt;&gt;"",AC579&lt;&gt;"",AI579&lt;&gt;"",AN579&lt;&gt;"",AS579&lt;&gt;"",AX579&lt;&gt;"",X579&lt;&gt;"",AD579&lt;&gt;"",AJ579&lt;&gt;"",AO579&lt;&gt;"",AT579&lt;&gt;"",AY579&lt;&gt;""),", dropMechanicDropLocationNames={"
        &amp; IF(OR(W579&lt;&gt;"",AC579&lt;&gt;"",AI579&lt;&gt;"",AN579&lt;&gt;"",AS579&lt;&gt;"",AX579&lt;&gt;""),"['en']={"&amp;IF(W579&lt;&gt;"","'"&amp;W579&amp;"',","'',")&amp;IF(AC579&lt;&gt;"","'"&amp;AC579&amp;"',","'',")&amp;IF(AI579&lt;&gt;"","'"&amp;AI579&amp;"',","'',")&amp;IF(AN579&lt;&gt;"","'"&amp;AN579&amp;"',","'',")&amp;IF(AS579&lt;&gt;"","'"&amp;AS579&amp;"',","'',")&amp;IF(AX579&lt;&gt;"","'"&amp;AX579&amp;"',","'',")&amp;"},","")
        &amp; IF(OR(X579&lt;&gt;"",AD579&lt;&gt;"",AJ579&lt;&gt;"",AO579&lt;&gt;"",AT579&lt;&gt;"",AY579&lt;&gt;""),"['de']={"&amp;IF(X579&lt;&gt;"","'"&amp;X579&amp;"',","'',")&amp;IF(AD579&lt;&gt;"","'"&amp;AD579&amp;"',","'',")&amp;IF(AJ579&lt;&gt;"","'"&amp;AJ579&amp;"',","'',")&amp;IF(AO579&lt;&gt;"","'"&amp;AO579&amp;"',","'',")&amp;IF(AT579&lt;&gt;"","'"&amp;AT579&amp;"',","'',")&amp;IF(AY579&lt;&gt;"","'"&amp;AY579&amp;"',","'',")&amp;"},","")
     &amp; "}",""),"")),""),"")
&amp; IF(AND(BD579&lt;&gt;"",BD579&lt;&gt;"X"), ", perfectedSetId=" &amp; BD579, IF(BD579&lt;&gt;"",", isPerfectedSet=1",""))</f>
        <v>, dropMechanic={LIBSETS_DROP_MECHANIC_GROUP_DUNGEON_BOSS}</v>
      </c>
      <c r="BI579" s="21" t="str">
        <f t="shared" ref="BI579:BI642" si="59">IF(A579&lt;&gt;"",IF(F579&lt;&gt;"Not in the game (anymore)",
IF(OR(BA579&lt;&gt;"",BB579&lt;&gt;""),", addTooltip={" &amp; IF(BA579&lt;&gt;"","['en']='"&amp; BA579 &amp; "',","")  &amp; IF(AND(BA579&lt;&gt;"",BA579&lt;&gt;BB579), IF(BB579&lt;&gt;"","['de']='"&amp; BB579 &amp; "',",""),"") &amp; "},","")
&amp; "},"
&amp; IF(C579&lt;&gt;"",CONCATENATE(" --",C579," / ",B579,"   [",IF(R579&lt;&gt;"",R579,""),IF(AA579&lt;&gt;"",", "&amp;AA579,""),IF(AG579&lt;&gt;"",", "&amp;AG579,""),IF(AL579&lt;&gt;"",", "&amp;AL579,""),IF(AQ579&lt;&gt;"",", "&amp;AQ579,""),IF(AV579&lt;&gt;"",", "&amp;AV579,""),"]")),""),"")</f>
        <v>}, --Deeproot Zeal / Tiefwurz-Eifer   [Earthen Root Enclave, High Isle, High Isle]</v>
      </c>
    </row>
    <row r="580" spans="1:61" x14ac:dyDescent="0.25">
      <c r="A580" s="5">
        <v>661</v>
      </c>
      <c r="B580" t="s">
        <v>3386</v>
      </c>
      <c r="C580" t="s">
        <v>3376</v>
      </c>
      <c r="D580" s="3">
        <f t="shared" si="54"/>
        <v>661</v>
      </c>
      <c r="G580" s="8" t="s">
        <v>1470</v>
      </c>
      <c r="I580" t="s">
        <v>91</v>
      </c>
      <c r="J580" t="s">
        <v>91</v>
      </c>
      <c r="K580" s="90">
        <v>520</v>
      </c>
      <c r="L580" s="90">
        <v>520</v>
      </c>
      <c r="M580" s="90">
        <v>520</v>
      </c>
      <c r="O580" s="61" t="s">
        <v>3374</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si="55"/>
        <v>[661] = {wayshrines={520,520,520,}, dlcId=DLC_LOST_DEPTHS</v>
      </c>
      <c r="BF580" s="21" t="str">
        <f t="shared" si="56"/>
        <v>, zoneIds={1360,1318,1318}, veteran=false</v>
      </c>
      <c r="BG580" s="21" t="str">
        <f t="shared" si="57"/>
        <v>, setType=LIBSETS_SETTYPE_DUNGEON</v>
      </c>
      <c r="BH580" s="21" t="str">
        <f t="shared" si="58"/>
        <v>, dropMechanic={LIBSETS_DROP_MECHANIC_GROUP_DUNGEON_BOSS}</v>
      </c>
      <c r="BI580" s="21" t="str">
        <f t="shared" si="59"/>
        <v>}, --Stone\'s Accord / Steinabkommen   [Earthen Root Enclave, High Isle, High Isle]</v>
      </c>
    </row>
    <row r="581" spans="1:61" x14ac:dyDescent="0.25">
      <c r="A581" s="5">
        <v>662</v>
      </c>
      <c r="B581" t="s">
        <v>3387</v>
      </c>
      <c r="C581" t="s">
        <v>3377</v>
      </c>
      <c r="D581" s="3">
        <f t="shared" si="54"/>
        <v>662</v>
      </c>
      <c r="G581" s="8" t="s">
        <v>1470</v>
      </c>
      <c r="I581" t="s">
        <v>91</v>
      </c>
      <c r="J581" t="s">
        <v>91</v>
      </c>
      <c r="K581" s="90">
        <v>520</v>
      </c>
      <c r="L581" s="90">
        <v>520</v>
      </c>
      <c r="M581" s="90">
        <v>520</v>
      </c>
      <c r="O581" s="61" t="s">
        <v>3374</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5"/>
        <v>[662] = {wayshrines={520,520,520,}, dlcId=DLC_LOST_DEPTHS</v>
      </c>
      <c r="BF581" s="21" t="str">
        <f t="shared" si="56"/>
        <v>, zoneIds={1360,1318,1318}, veteran=false</v>
      </c>
      <c r="BG581" s="21" t="str">
        <f t="shared" si="57"/>
        <v>, setType=LIBSETS_SETTYPE_DUNGEON</v>
      </c>
      <c r="BH581" s="21" t="str">
        <f t="shared" si="58"/>
        <v>, dropMechanic={LIBSETS_DROP_MECHANIC_GROUP_DUNGEON_BOSS}</v>
      </c>
      <c r="BI581" s="21" t="str">
        <f t="shared" si="59"/>
        <v>}, --Rage of the Ursauk  / Zorns des Ursauk   [Earthen Root Enclave, High Isle, High Isle]</v>
      </c>
    </row>
    <row r="582" spans="1:61" x14ac:dyDescent="0.25">
      <c r="A582" s="5">
        <v>663</v>
      </c>
      <c r="B582" t="s">
        <v>3388</v>
      </c>
      <c r="C582" t="s">
        <v>3381</v>
      </c>
      <c r="D582" s="3">
        <f t="shared" si="54"/>
        <v>663</v>
      </c>
      <c r="G582" s="8" t="s">
        <v>1470</v>
      </c>
      <c r="I582" t="s">
        <v>91</v>
      </c>
      <c r="J582" t="s">
        <v>91</v>
      </c>
      <c r="K582">
        <v>521</v>
      </c>
      <c r="L582">
        <v>521</v>
      </c>
      <c r="M582">
        <v>521</v>
      </c>
      <c r="O582" s="61" t="s">
        <v>3375</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5"/>
        <v>[663] = {wayshrines={521,521,521,}, dlcId=DLC_LOST_DEPTHS</v>
      </c>
      <c r="BF582" s="21" t="str">
        <f t="shared" si="56"/>
        <v>, zoneIds={1361,1318,1318}, veteran=false</v>
      </c>
      <c r="BG582" s="21" t="str">
        <f t="shared" si="57"/>
        <v>, setType=LIBSETS_SETTYPE_DUNGEON</v>
      </c>
      <c r="BH582" s="21" t="str">
        <f t="shared" si="58"/>
        <v>, dropMechanic={LIBSETS_DROP_MECHANIC_GROUP_DUNGEON_BOSS}</v>
      </c>
      <c r="BI582" s="21" t="str">
        <f t="shared" si="59"/>
        <v>}, --Pangrit Denmother / Pangrit-Baumutter   [Graven Deep, High Isle, High Isle]</v>
      </c>
    </row>
    <row r="583" spans="1:61" x14ac:dyDescent="0.25">
      <c r="A583" s="5">
        <v>664</v>
      </c>
      <c r="B583" t="s">
        <v>3395</v>
      </c>
      <c r="C583" t="s">
        <v>3380</v>
      </c>
      <c r="D583" s="3">
        <f t="shared" si="54"/>
        <v>664</v>
      </c>
      <c r="G583" s="8" t="s">
        <v>1470</v>
      </c>
      <c r="I583" t="s">
        <v>91</v>
      </c>
      <c r="J583" t="s">
        <v>91</v>
      </c>
      <c r="K583">
        <v>521</v>
      </c>
      <c r="L583">
        <v>521</v>
      </c>
      <c r="M583">
        <v>521</v>
      </c>
      <c r="O583" s="61" t="s">
        <v>3375</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5"/>
        <v>[664] = {wayshrines={521,521,521,}, dlcId=DLC_LOST_DEPTHS</v>
      </c>
      <c r="BF583" s="21" t="str">
        <f t="shared" si="56"/>
        <v>, zoneIds={1361,1318,1318}, veteran=false</v>
      </c>
      <c r="BG583" s="21" t="str">
        <f t="shared" si="57"/>
        <v>, setType=LIBSETS_SETTYPE_DUNGEON</v>
      </c>
      <c r="BH583" s="21" t="str">
        <f t="shared" si="58"/>
        <v>, dropMechanic={LIBSETS_DROP_MECHANIC_GROUP_DUNGEON_BOSS}</v>
      </c>
      <c r="BI583" s="21" t="str">
        <f t="shared" si="59"/>
        <v>}, --Grave Inevitability / Unvermeidlichkeit des Grabs   [Graven Deep, High Isle, High Isle]</v>
      </c>
    </row>
    <row r="584" spans="1:61" x14ac:dyDescent="0.25">
      <c r="A584" s="5">
        <v>665</v>
      </c>
      <c r="B584" t="s">
        <v>3394</v>
      </c>
      <c r="C584" t="s">
        <v>3915</v>
      </c>
      <c r="D584" s="3">
        <f t="shared" si="54"/>
        <v>665</v>
      </c>
      <c r="G584" s="8" t="s">
        <v>1470</v>
      </c>
      <c r="I584" t="s">
        <v>91</v>
      </c>
      <c r="J584" t="s">
        <v>91</v>
      </c>
      <c r="K584">
        <v>521</v>
      </c>
      <c r="L584">
        <v>521</v>
      </c>
      <c r="M584">
        <v>521</v>
      </c>
      <c r="O584" s="61" t="s">
        <v>3375</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5"/>
        <v>[665] = {wayshrines={521,521,521,}, dlcId=DLC_LOST_DEPTHS</v>
      </c>
      <c r="BF584" s="21" t="str">
        <f t="shared" si="56"/>
        <v>, zoneIds={1361,1318,1318}, veteran=false</v>
      </c>
      <c r="BG584" s="21" t="str">
        <f t="shared" si="57"/>
        <v>, setType=LIBSETS_SETTYPE_DUNGEON</v>
      </c>
      <c r="BH584" s="21" t="str">
        <f t="shared" si="58"/>
        <v>, dropMechanic={LIBSETS_DROP_MECHANIC_GROUP_DUNGEON_BOSS}</v>
      </c>
      <c r="BI584" s="21" t="str">
        <f t="shared" si="59"/>
        <v>}, --Phylactery\'s Grasp / Phylakteriumsgriff   [Graven Deep, High Isle, High Isle]</v>
      </c>
    </row>
    <row r="585" spans="1:61" x14ac:dyDescent="0.25">
      <c r="A585" s="5">
        <v>666</v>
      </c>
      <c r="B585" t="s">
        <v>3390</v>
      </c>
      <c r="C585" t="s">
        <v>3379</v>
      </c>
      <c r="D585" s="3">
        <f t="shared" si="54"/>
        <v>666</v>
      </c>
      <c r="G585" s="8" t="s">
        <v>1472</v>
      </c>
      <c r="H585">
        <v>3</v>
      </c>
      <c r="I585" t="s">
        <v>1459</v>
      </c>
      <c r="J585" t="s">
        <v>91</v>
      </c>
      <c r="K585">
        <v>520</v>
      </c>
      <c r="L585">
        <v>520</v>
      </c>
      <c r="M585">
        <v>520</v>
      </c>
      <c r="O585" s="61" t="s">
        <v>3374</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3372</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5"/>
        <v>[666] = {wayshrines={520,520,520,}, dlcId=DLC_LOST_DEPTHS</v>
      </c>
      <c r="BF585" s="21" t="str">
        <f t="shared" si="56"/>
        <v>, zoneIds={1360,1318,1318}, veteran={[EQUIP_TYPE_HEAD]=true, [EQUIP_TYPE_SHOULDERS]=false}</v>
      </c>
      <c r="BG585" s="21" t="str">
        <f t="shared" si="57"/>
        <v>, setType=LIBSETS_SETTYPE_MONSTER, undauntedChestId=3</v>
      </c>
      <c r="BH585" s="21" t="str">
        <f t="shared" si="58"/>
        <v>, dropMechanic={LIBSETS_DROP_MECHANIC_MONSTER_NAME}, dropMechanicDropLocationNames={['en']={'Archdruid Devyric','','','','','',},['de']={'Erzdruide Devyric','','','','','',},}</v>
      </c>
      <c r="BI585" s="21" t="str">
        <f t="shared" si="59"/>
        <v>}, --Archdruid Devyric / Erzdruide Devyric   [Earthen Root Enclave, High Isle, High Isle]</v>
      </c>
    </row>
    <row r="586" spans="1:61" x14ac:dyDescent="0.25">
      <c r="A586" s="5">
        <v>667</v>
      </c>
      <c r="B586" t="s">
        <v>3389</v>
      </c>
      <c r="C586" t="s">
        <v>3382</v>
      </c>
      <c r="D586" s="3">
        <f t="shared" si="54"/>
        <v>667</v>
      </c>
      <c r="G586" s="8" t="s">
        <v>1472</v>
      </c>
      <c r="H586">
        <v>3</v>
      </c>
      <c r="I586" t="s">
        <v>1459</v>
      </c>
      <c r="J586" t="s">
        <v>91</v>
      </c>
      <c r="K586">
        <v>521</v>
      </c>
      <c r="L586">
        <v>521</v>
      </c>
      <c r="M586">
        <v>521</v>
      </c>
      <c r="O586" s="61" t="s">
        <v>3375</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3372</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5"/>
        <v>[667] = {wayshrines={521,521,521,}, dlcId=DLC_LOST_DEPTHS</v>
      </c>
      <c r="BF586" s="21" t="str">
        <f t="shared" si="56"/>
        <v>, zoneIds={1361,1318,1318}, veteran={[EQUIP_TYPE_HEAD]=true, [EQUIP_TYPE_SHOULDERS]=false}</v>
      </c>
      <c r="BG586" s="21" t="str">
        <f t="shared" si="57"/>
        <v>, setType=LIBSETS_SETTYPE_MONSTER, undauntedChestId=3</v>
      </c>
      <c r="BH586" s="21" t="str">
        <f t="shared" si="58"/>
        <v>, dropMechanic={LIBSETS_DROP_MECHANIC_MONSTER_NAME}, dropMechanicDropLocationNames={['en']={'Euphotic Gatekeeper','','','','','',},['de']={'Euphotischer Torhüter','','','','','',},}</v>
      </c>
      <c r="BI586" s="21" t="str">
        <f t="shared" si="59"/>
        <v>}, --Euphotic Gatekeeper / Euphotischer Torhüter   [Graven Deep, High Isle, High Isle]</v>
      </c>
    </row>
    <row r="587" spans="1:61" x14ac:dyDescent="0.25">
      <c r="A587" s="5">
        <v>668</v>
      </c>
      <c r="B587" t="s">
        <v>3393</v>
      </c>
      <c r="C587" t="s">
        <v>3383</v>
      </c>
      <c r="D587" s="3">
        <f t="shared" si="54"/>
        <v>668</v>
      </c>
      <c r="G587" s="3" t="s">
        <v>1468</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3372</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2756</v>
      </c>
      <c r="AK587" s="3">
        <f>IF(AND(G587&lt;&gt;"LIBSETS_SETTYPE_BATTLEGROUND",G587&lt;&gt;"LIBSETS_SETTYPE_SPECIAL"),IF(AL587&lt;&gt;"",VLOOKUP(AL587,'ESO zone constants'!$D$5:$H$4955,5,FALSE),""),"")</f>
        <v>181</v>
      </c>
      <c r="AL587" t="s">
        <v>125</v>
      </c>
      <c r="AM587" s="33" t="s">
        <v>3721</v>
      </c>
      <c r="AP587" s="3">
        <f>IF(AND(G587&lt;&gt;"LIBSETS_SETTYPE_BATTLEGROUND",G587&lt;&gt;"LIBSETS_SETTYPE_SPECIAL"),IF(AQ587&lt;&gt;"",VLOOKUP(AQ587,'ESO zone constants'!$D$5:$H$4955,5,FALSE),""),"")</f>
        <v>181</v>
      </c>
      <c r="AQ587" t="s">
        <v>125</v>
      </c>
      <c r="AR587" s="33" t="s">
        <v>1551</v>
      </c>
      <c r="AU587" s="3">
        <f>IF(AND(G587&lt;&gt;"LIBSETS_SETTYPE_BATTLEGROUND",G587&lt;&gt;"LIBSETS_SETTYPE_SPECIAL"),IF(AV587&lt;&gt;"",VLOOKUP(AV587,'ESO zone constants'!$D$5:$H$4955,5,FALSE),""),"")</f>
        <v>181</v>
      </c>
      <c r="AV587" t="s">
        <v>125</v>
      </c>
      <c r="AW587" s="33" t="s">
        <v>3225</v>
      </c>
      <c r="BE587" s="21" t="str">
        <f t="shared" si="55"/>
        <v>[668] = {wayshrines={-1,-1,-1,}, dlcId=DLC_LOST_DEPTHS</v>
      </c>
      <c r="BF587" s="21" t="str">
        <f t="shared" si="56"/>
        <v>, zoneIds={181,181,181,181,181,181}, veteran=false</v>
      </c>
      <c r="BG587" s="21" t="str">
        <f t="shared" si="57"/>
        <v>, setType=LIBSETS_SETTYPE_CYRODIIL</v>
      </c>
      <c r="BH58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59"/>
        <v>}, --Langour of Peryite / Peryites Entkräftung   [Cyrodiil, Cyrodiil, Cyrodiil, Cyrodiil, Cyrodiil, Cyrodiil]</v>
      </c>
    </row>
    <row r="588" spans="1:61" x14ac:dyDescent="0.25">
      <c r="A588" s="5">
        <v>669</v>
      </c>
      <c r="B588" t="s">
        <v>3391</v>
      </c>
      <c r="C588" t="s">
        <v>3916</v>
      </c>
      <c r="D588" s="3">
        <f t="shared" si="54"/>
        <v>669</v>
      </c>
      <c r="G588" s="3" t="s">
        <v>1468</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3372</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2756</v>
      </c>
      <c r="AK588" s="3">
        <f>IF(AND(G588&lt;&gt;"LIBSETS_SETTYPE_BATTLEGROUND",G588&lt;&gt;"LIBSETS_SETTYPE_SPECIAL"),IF(AL588&lt;&gt;"",VLOOKUP(AL588,'ESO zone constants'!$D$5:$H$4955,5,FALSE),""),"")</f>
        <v>181</v>
      </c>
      <c r="AL588" t="s">
        <v>125</v>
      </c>
      <c r="AM588" s="33" t="s">
        <v>3721</v>
      </c>
      <c r="AP588" s="3">
        <f>IF(AND(G588&lt;&gt;"LIBSETS_SETTYPE_BATTLEGROUND",G588&lt;&gt;"LIBSETS_SETTYPE_SPECIAL"),IF(AQ588&lt;&gt;"",VLOOKUP(AQ588,'ESO zone constants'!$D$5:$H$4955,5,FALSE),""),"")</f>
        <v>181</v>
      </c>
      <c r="AQ588" t="s">
        <v>125</v>
      </c>
      <c r="AR588" s="33" t="s">
        <v>1551</v>
      </c>
      <c r="AU588" s="3">
        <f>IF(AND(G588&lt;&gt;"LIBSETS_SETTYPE_BATTLEGROUND",G588&lt;&gt;"LIBSETS_SETTYPE_SPECIAL"),IF(AV588&lt;&gt;"",VLOOKUP(AV588,'ESO zone constants'!$D$5:$H$4955,5,FALSE),""),"")</f>
        <v>181</v>
      </c>
      <c r="AV588" t="s">
        <v>125</v>
      </c>
      <c r="AW588" s="33" t="s">
        <v>3225</v>
      </c>
      <c r="BE588" s="21" t="str">
        <f t="shared" si="55"/>
        <v>[669] = {wayshrines={-1,-1,-1,}, dlcId=DLC_LOST_DEPTHS</v>
      </c>
      <c r="BF588" s="21" t="str">
        <f t="shared" si="56"/>
        <v>, zoneIds={181,181,181,181,181,181}, veteran=false</v>
      </c>
      <c r="BG588" s="21" t="str">
        <f t="shared" si="57"/>
        <v>, setType=LIBSETS_SETTYPE_CYRODIIL</v>
      </c>
      <c r="BH58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59"/>
        <v>}, --Nocturnal\'s Ploy  / Nocturnals List   [Cyrodiil, Cyrodiil, Cyrodiil, Cyrodiil, Cyrodiil, Cyrodiil]</v>
      </c>
    </row>
    <row r="589" spans="1:61" x14ac:dyDescent="0.25">
      <c r="A589" s="5">
        <v>670</v>
      </c>
      <c r="B589" t="s">
        <v>3392</v>
      </c>
      <c r="C589" t="s">
        <v>3384</v>
      </c>
      <c r="D589" s="3">
        <f t="shared" si="54"/>
        <v>670</v>
      </c>
      <c r="G589" s="3" t="s">
        <v>1468</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3372</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2756</v>
      </c>
      <c r="AK589" s="3">
        <f>IF(AND(G589&lt;&gt;"LIBSETS_SETTYPE_BATTLEGROUND",G589&lt;&gt;"LIBSETS_SETTYPE_SPECIAL"),IF(AL589&lt;&gt;"",VLOOKUP(AL589,'ESO zone constants'!$D$5:$H$4955,5,FALSE),""),"")</f>
        <v>181</v>
      </c>
      <c r="AL589" t="s">
        <v>125</v>
      </c>
      <c r="AM589" s="33" t="s">
        <v>3721</v>
      </c>
      <c r="AP589" s="3">
        <f>IF(AND(G589&lt;&gt;"LIBSETS_SETTYPE_BATTLEGROUND",G589&lt;&gt;"LIBSETS_SETTYPE_SPECIAL"),IF(AQ589&lt;&gt;"",VLOOKUP(AQ589,'ESO zone constants'!$D$5:$H$4955,5,FALSE),""),"")</f>
        <v>181</v>
      </c>
      <c r="AQ589" t="s">
        <v>125</v>
      </c>
      <c r="AR589" s="33" t="s">
        <v>1551</v>
      </c>
      <c r="AU589" s="3">
        <f>IF(AND(G589&lt;&gt;"LIBSETS_SETTYPE_BATTLEGROUND",G589&lt;&gt;"LIBSETS_SETTYPE_SPECIAL"),IF(AV589&lt;&gt;"",VLOOKUP(AV589,'ESO zone constants'!$D$5:$H$4955,5,FALSE),""),"")</f>
        <v>181</v>
      </c>
      <c r="AV589" t="s">
        <v>125</v>
      </c>
      <c r="AW589" s="33" t="s">
        <v>3225</v>
      </c>
      <c r="BE589" s="21" t="str">
        <f t="shared" si="55"/>
        <v>[670] = {wayshrines={-1,-1,-1,}, dlcId=DLC_LOST_DEPTHS</v>
      </c>
      <c r="BF589" s="21" t="str">
        <f t="shared" si="56"/>
        <v>, zoneIds={181,181,181,181,181,181}, veteran=false</v>
      </c>
      <c r="BG589" s="21" t="str">
        <f t="shared" si="57"/>
        <v>, setType=LIBSETS_SETTYPE_CYRODIIL</v>
      </c>
      <c r="BH58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59"/>
        <v>}, --Mara\’s Balm / Maras Trost   [Cyrodiil, Cyrodiil, Cyrodiil, Cyrodiil, Cyrodiil, Cyrodiil]</v>
      </c>
    </row>
    <row r="590" spans="1:61" x14ac:dyDescent="0.25">
      <c r="A590" s="5">
        <v>671</v>
      </c>
      <c r="B590" t="s">
        <v>3434</v>
      </c>
      <c r="C590" t="s">
        <v>3404</v>
      </c>
      <c r="D590" s="3">
        <f t="shared" si="54"/>
        <v>671</v>
      </c>
      <c r="G590" s="3" t="s">
        <v>1473</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constants'!$B$4:$C$1017,2,FALSE),"")</f>
        <v>Morrowind</v>
      </c>
      <c r="V590" s="33" t="s">
        <v>1552</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1551</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1554</v>
      </c>
      <c r="AK590" s="3">
        <f>IF(AND(G590&lt;&gt;"LIBSETS_SETTYPE_BATTLEGROUND",G590&lt;&gt;"LIBSETS_SETTYPE_SPECIAL"),IF(AL590&lt;&gt;"",VLOOKUP(AL590,'ESO zone constants'!$D$5:$H$4955,5,FALSE),""),"")</f>
        <v>1383</v>
      </c>
      <c r="AL590" t="s">
        <v>3456</v>
      </c>
      <c r="AM590" s="33" t="s">
        <v>3213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5"/>
        <v>[671] = {wayshrines={524,524,524,}, dlcId=DLC_MORROWIND</v>
      </c>
      <c r="BF590" s="21" t="str">
        <f t="shared" si="56"/>
        <v>, zoneIds={1383,1383,1383,1383}, veteran=false</v>
      </c>
      <c r="BG590" s="21" t="str">
        <f t="shared" si="57"/>
        <v>, setType=LIBSETS_SETTYPE_OVERLAND</v>
      </c>
      <c r="BH590" s="21" t="str">
        <f t="shared" si="58"/>
        <v>, dropMechanic={LIBSETS_DROP_MECHANIC_OVERLAND_WORLDBOSS,LIBSETS_DROP_MECHANIC_OVERLAND_BOSS_DELVE,LIBSETS_DROP_MECHANIC_OVERLAND_CHEST,LIBSETS_DROP_MECHANIC_OVERLAND_LOOT}</v>
      </c>
      <c r="BI590" s="21" t="str">
        <f t="shared" si="59"/>
        <v>}, --Back-Alley Gourmand / Hinterhof-Gourmet   [Galen, Galen, Galen, Galen]</v>
      </c>
    </row>
    <row r="591" spans="1:61" x14ac:dyDescent="0.25">
      <c r="A591" s="5">
        <v>672</v>
      </c>
      <c r="B591" t="s">
        <v>3435</v>
      </c>
      <c r="C591" t="s">
        <v>3405</v>
      </c>
      <c r="D591" s="3">
        <f t="shared" si="54"/>
        <v>672</v>
      </c>
      <c r="G591" s="3" t="s">
        <v>1473</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constants'!$B$4:$C$1017,2,FALSE),"")</f>
        <v>Morrowind</v>
      </c>
      <c r="V591" s="33" t="s">
        <v>1552</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1551</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1554</v>
      </c>
      <c r="AK591" s="3">
        <f>IF(AND(G591&lt;&gt;"LIBSETS_SETTYPE_BATTLEGROUND",G591&lt;&gt;"LIBSETS_SETTYPE_SPECIAL"),IF(AL591&lt;&gt;"",VLOOKUP(AL591,'ESO zone constants'!$D$5:$H$4955,5,FALSE),""),"")</f>
        <v>1383</v>
      </c>
      <c r="AL591" t="s">
        <v>3456</v>
      </c>
      <c r="AM591" s="33" t="s">
        <v>3213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5"/>
        <v>[672] = {wayshrines={524,524,524,}, dlcId=DLC_MORROWIND</v>
      </c>
      <c r="BF591" s="21" t="str">
        <f t="shared" si="56"/>
        <v>, zoneIds={1383,1383,1383,1383}, veteran=false</v>
      </c>
      <c r="BG591" s="21" t="str">
        <f t="shared" si="57"/>
        <v>, setType=LIBSETS_SETTYPE_OVERLAND</v>
      </c>
      <c r="BH591" s="21" t="str">
        <f t="shared" si="58"/>
        <v>, dropMechanic={LIBSETS_DROP_MECHANIC_OVERLAND_WORLDBOSS,LIBSETS_DROP_MECHANIC_OVERLAND_BOSS_DELVE,LIBSETS_DROP_MECHANIC_OVERLAND_CHEST,LIBSETS_DROP_MECHANIC_OVERLAND_LOOT}</v>
      </c>
      <c r="BI591" s="21" t="str">
        <f t="shared" si="59"/>
        <v>}, --Phoenix Moth Theurge / Phönixmotten-Theurg   [Galen, Galen, Galen, Galen]</v>
      </c>
    </row>
    <row r="592" spans="1:61" x14ac:dyDescent="0.25">
      <c r="A592" s="5">
        <v>673</v>
      </c>
      <c r="B592" t="s">
        <v>3436</v>
      </c>
      <c r="C592" t="s">
        <v>3406</v>
      </c>
      <c r="D592" s="3">
        <f t="shared" si="54"/>
        <v>673</v>
      </c>
      <c r="G592" s="3" t="s">
        <v>1473</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constants'!$B$4:$C$1017,2,FALSE),"")</f>
        <v>Morrowind</v>
      </c>
      <c r="V592" s="33" t="s">
        <v>1552</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1551</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1554</v>
      </c>
      <c r="AK592" s="3">
        <f>IF(AND(G592&lt;&gt;"LIBSETS_SETTYPE_BATTLEGROUND",G592&lt;&gt;"LIBSETS_SETTYPE_SPECIAL"),IF(AL592&lt;&gt;"",VLOOKUP(AL592,'ESO zone constants'!$D$5:$H$4955,5,FALSE),""),"")</f>
        <v>1383</v>
      </c>
      <c r="AL592" t="s">
        <v>3456</v>
      </c>
      <c r="AM592" s="33" t="s">
        <v>3213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5"/>
        <v>[673] = {wayshrines={524,524,524,}, dlcId=DLC_MORROWIND</v>
      </c>
      <c r="BF592" s="21" t="str">
        <f t="shared" si="56"/>
        <v>, zoneIds={1383,1383,1383,1383}, veteran=false</v>
      </c>
      <c r="BG592" s="21" t="str">
        <f t="shared" si="57"/>
        <v>, setType=LIBSETS_SETTYPE_OVERLAND</v>
      </c>
      <c r="BH592" s="21" t="str">
        <f t="shared" si="58"/>
        <v>, dropMechanic={LIBSETS_DROP_MECHANIC_OVERLAND_WORLDBOSS,LIBSETS_DROP_MECHANIC_OVERLAND_BOSS_DELVE,LIBSETS_DROP_MECHANIC_OVERLAND_CHEST,LIBSETS_DROP_MECHANIC_OVERLAND_LOOT}</v>
      </c>
      <c r="BI592" s="21" t="str">
        <f t="shared" si="59"/>
        <v>}, --Bastion of Draoife / Bastion des Draoife   [Galen, Galen, Galen, Galen]</v>
      </c>
    </row>
    <row r="593" spans="1:61" x14ac:dyDescent="0.25">
      <c r="A593" s="5">
        <v>674</v>
      </c>
      <c r="B593" t="s">
        <v>3437</v>
      </c>
      <c r="C593" t="s">
        <v>3412</v>
      </c>
      <c r="D593" s="3">
        <f t="shared" si="54"/>
        <v>674</v>
      </c>
      <c r="G593" s="91" t="s">
        <v>1671</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3407</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1552</v>
      </c>
      <c r="AC593" s="3" t="s">
        <v>3576</v>
      </c>
      <c r="AD593" s="3" t="s">
        <v>3577</v>
      </c>
      <c r="AF593" s="3">
        <v>1318</v>
      </c>
      <c r="AG593" t="str">
        <f>IF(AND(AF593&lt;&gt;"",ISNUMBER(AF593),NOT(ISNA(AF593))),VLOOKUP(AF593,'ESO zone constants'!$A$5:$D$10001,4,FALSE),"")</f>
        <v>High Isle</v>
      </c>
      <c r="AH593" s="33" t="s">
        <v>3578</v>
      </c>
      <c r="AI593" s="3" t="s">
        <v>3582</v>
      </c>
      <c r="AJ593" s="3" t="s">
        <v>3583</v>
      </c>
      <c r="AK593" s="3">
        <f>IF(AND(G593&lt;&gt;"LIBSETS_SETTYPE_BATTLEGROUND",G593&lt;&gt;"LIBSETS_SETTYPE_SPECIAL"),IF(AL593&lt;&gt;"",VLOOKUP(AL593,'ESO zone constants'!$D$5:$H$4955,5,FALSE),""),"")</f>
        <v>1318</v>
      </c>
      <c r="AL593" t="s">
        <v>3315</v>
      </c>
      <c r="AM593" s="33" t="s">
        <v>3257</v>
      </c>
      <c r="AN593" s="3" t="s">
        <v>3588</v>
      </c>
      <c r="AO593" s="3" t="s">
        <v>3589</v>
      </c>
      <c r="AP593" s="3">
        <f>IF(AND(G593&lt;&gt;"LIBSETS_SETTYPE_BATTLEGROUND",G593&lt;&gt;"LIBSETS_SETTYPE_SPECIAL"),IF(AQ593&lt;&gt;"",VLOOKUP(AQ593,'ESO zone constants'!$D$5:$H$4955,5,FALSE),""),"")</f>
        <v>1334</v>
      </c>
      <c r="AQ593" t="s">
        <v>3351</v>
      </c>
      <c r="AR593" s="33" t="s">
        <v>1551</v>
      </c>
      <c r="AU593" s="3">
        <f>IF(AND(G593&lt;&gt;"LIBSETS_SETTYPE_BATTLEGROUND",G593&lt;&gt;"LIBSETS_SETTYPE_SPECIAL"),IF(AV593&lt;&gt;"",VLOOKUP(AV593,'ESO zone constants'!$D$5:$H$4955,5,FALSE),""),"")</f>
        <v>162</v>
      </c>
      <c r="AV593" t="s">
        <v>121</v>
      </c>
      <c r="AW593" s="33" t="s">
        <v>1553</v>
      </c>
      <c r="AX593" s="3" t="s">
        <v>3590</v>
      </c>
      <c r="AY593" s="3" t="s">
        <v>3591</v>
      </c>
      <c r="BA593" s="92" t="s">
        <v>3573</v>
      </c>
      <c r="BB593" s="92" t="s">
        <v>3573</v>
      </c>
      <c r="BC593" s="92"/>
      <c r="BD593" s="92"/>
      <c r="BE593" s="21" t="str">
        <f t="shared" si="55"/>
        <v>[674] = {wayshrines={529,505,529,}, dlcId=DLC_FIRESONG</v>
      </c>
      <c r="BF593" s="21" t="str">
        <f t="shared" si="56"/>
        <v>, zoneIds={1318,1318,1318,1318,1334,162}, veteran=false</v>
      </c>
      <c r="BG593" s="21" t="str">
        <f t="shared" si="57"/>
        <v>, setType=LIBSETS_SETTYPE_MYTHIC</v>
      </c>
      <c r="BH593" s="21"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59"/>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 t="shared" si="54"/>
        <v>675</v>
      </c>
      <c r="G594" s="91" t="s">
        <v>1671</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3407</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1553</v>
      </c>
      <c r="W594" s="3" t="s">
        <v>3848</v>
      </c>
      <c r="X594" s="3" t="s">
        <v>3849</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3202</v>
      </c>
      <c r="AI594" s="3" t="s">
        <v>3596</v>
      </c>
      <c r="AJ594" s="3" t="s">
        <v>3597</v>
      </c>
      <c r="AK594" s="3">
        <f>IF(AND(G595&lt;&gt;"LIBSETS_SETTYPE_BATTLEGROUND",G595&lt;&gt;"LIBSETS_SETTYPE_SPECIAL"),IF(AL594&lt;&gt;"",VLOOKUP(AL594,'ESO zone constants'!$D$5:$H$4955,5,FALSE),""),"")</f>
        <v>1383</v>
      </c>
      <c r="AL594" t="s">
        <v>3456</v>
      </c>
      <c r="AM594" s="33" t="s">
        <v>3225</v>
      </c>
      <c r="AN594" s="3" t="s">
        <v>3594</v>
      </c>
      <c r="AO594" s="3" t="s">
        <v>3595</v>
      </c>
      <c r="AP594" s="3">
        <f>IF(AND(G595&lt;&gt;"LIBSETS_SETTYPE_BATTLEGROUND",G595&lt;&gt;"LIBSETS_SETTYPE_SPECIAL"),IF(AQ594&lt;&gt;"",VLOOKUP(AQ594,'ESO zone constants'!$D$5:$H$4955,5,FALSE),""),"")</f>
        <v>1383</v>
      </c>
      <c r="AQ594" t="s">
        <v>3456</v>
      </c>
      <c r="AR594" s="33" t="s">
        <v>3578</v>
      </c>
      <c r="AS594" s="3" t="s">
        <v>3584</v>
      </c>
      <c r="AT594" s="3" t="s">
        <v>3585</v>
      </c>
      <c r="AU594" s="3" t="str">
        <f>IF(AND(G594&lt;&gt;"LIBSETS_SETTYPE_BATTLEGROUND",G594&lt;&gt;"LIBSETS_SETTYPE_SPECIAL"),IF(AV594&lt;&gt;"",VLOOKUP(AV594,'ESO zone constants'!$D$5:$H$4955,5,FALSE),""),"")</f>
        <v/>
      </c>
      <c r="BA594" s="92" t="s">
        <v>3574</v>
      </c>
      <c r="BB594" s="92" t="s">
        <v>3574</v>
      </c>
      <c r="BC594" s="92"/>
      <c r="BD594" s="92"/>
      <c r="BE594" s="21" t="str">
        <f t="shared" si="55"/>
        <v>[675] = {wayshrines={176,527,527,}, dlcId=DLC_FIRESONG</v>
      </c>
      <c r="BF594" s="21" t="str">
        <f t="shared" si="56"/>
        <v>, zoneIds={486,1383,1383,1383,1383}, veteran=false</v>
      </c>
      <c r="BG594" s="21" t="str">
        <f t="shared" si="57"/>
        <v>, setType=LIBSETS_SETTYPE_MYTHIC</v>
      </c>
      <c r="BH594" s="21"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59"/>
        <v>, addTooltip={['en']='https://en.uesp.net/wiki/Online:Mythic_Items#Stormweaver.27s_Cavort',},}, --Stormweaver\'s Cavort / Sturmwebertollen   [Toothmaul Gully, Galen, Galen, Galen, Galen]</v>
      </c>
    </row>
    <row r="595" spans="1:61" x14ac:dyDescent="0.25">
      <c r="A595" s="5">
        <v>676</v>
      </c>
      <c r="B595" t="s">
        <v>3439</v>
      </c>
      <c r="C595" t="s">
        <v>3414</v>
      </c>
      <c r="D595" s="3">
        <f t="shared" si="54"/>
        <v>676</v>
      </c>
      <c r="G595" s="91" t="s">
        <v>1671</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3407</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3207</v>
      </c>
      <c r="AI595" s="3" t="s">
        <v>3602</v>
      </c>
      <c r="AJ595" s="3" t="s">
        <v>3603</v>
      </c>
      <c r="AK595" s="3">
        <f>IF(AND(G596&lt;&gt;"LIBSETS_SETTYPE_BATTLEGROUND",G596&lt;&gt;"LIBSETS_SETTYPE_SPECIAL"),IF(AL595&lt;&gt;"",VLOOKUP(AL595,'ESO zone constants'!$D$5:$H$4955,5,FALSE),""),"")</f>
        <v>1302</v>
      </c>
      <c r="AL595" t="s">
        <v>2716</v>
      </c>
      <c r="AM595" s="33" t="s">
        <v>3273</v>
      </c>
      <c r="AN595" s="3" t="s">
        <v>3604</v>
      </c>
      <c r="AO595" s="3" t="s">
        <v>3605</v>
      </c>
      <c r="AP595" s="3">
        <f>IF(AND(G596&lt;&gt;"LIBSETS_SETTYPE_BATTLEGROUND",G596&lt;&gt;"LIBSETS_SETTYPE_SPECIAL"),IF(AQ595&lt;&gt;"",VLOOKUP(AQ595,'ESO zone constants'!$D$5:$H$4955,5,FALSE),""),"")</f>
        <v>935</v>
      </c>
      <c r="AQ595" t="s">
        <v>97</v>
      </c>
      <c r="AR595" s="33" t="s">
        <v>3273</v>
      </c>
      <c r="AS595" s="3" t="s">
        <v>1359</v>
      </c>
      <c r="AT595" s="3" t="s">
        <v>1627</v>
      </c>
      <c r="AU595" s="3" t="str">
        <f>IF(AND(G595&lt;&gt;"LIBSETS_SETTYPE_BATTLEGROUND",G595&lt;&gt;"LIBSETS_SETTYPE_SPECIAL"),IF(AV595&lt;&gt;"",VLOOKUP(AV595,'ESO zone constants'!$D$5:$H$4955,5,FALSE),""),"")</f>
        <v/>
      </c>
      <c r="BA595" s="92" t="s">
        <v>3575</v>
      </c>
      <c r="BB595" s="92" t="s">
        <v>3575</v>
      </c>
      <c r="BC595" s="92"/>
      <c r="BD595" s="92"/>
      <c r="BE595" s="21" t="str">
        <f t="shared" si="55"/>
        <v>[676] = {wayshrines={529,350,529,}, dlcId=DLC_FIRESONG</v>
      </c>
      <c r="BF595" s="21" t="str">
        <f t="shared" si="56"/>
        <v>, zoneIds={1383,1011,1383,1302,935}, veteran=false</v>
      </c>
      <c r="BG595" s="21" t="str">
        <f t="shared" si="57"/>
        <v>, setType=LIBSETS_SETTYPE_MYTHIC</v>
      </c>
      <c r="BH595" s="21"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59"/>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 t="shared" si="54"/>
        <v>677</v>
      </c>
      <c r="G596" s="91" t="s">
        <v>1467</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constants'!$B$4:$C$1017,2,FALSE),"")</f>
        <v>Morrowind</v>
      </c>
      <c r="V596" s="33" t="s">
        <v>3276</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5"/>
        <v>[677] = {wayshrines={528,528,528,}, traitsNeeded=3, dlcId=DLC_MORROWIND</v>
      </c>
      <c r="BF596" s="21" t="str">
        <f t="shared" si="56"/>
        <v>, zoneIds={1383,1383,1383}, veteran=false</v>
      </c>
      <c r="BG596" s="21" t="str">
        <f t="shared" si="57"/>
        <v>, setType=LIBSETS_SETTYPE_CRAFTED</v>
      </c>
      <c r="BH596" s="21" t="str">
        <f t="shared" si="58"/>
        <v>, dropMechanic={LIBSETS_DROP_MECHANIC_CRAFTED}</v>
      </c>
      <c r="BI596" s="21" t="str">
        <f t="shared" si="59"/>
        <v>}, --Chimera\'s Rebuke / Zurechtweisung der Schimäre   [Galen, Galen, Galen]</v>
      </c>
    </row>
    <row r="597" spans="1:61" x14ac:dyDescent="0.25">
      <c r="A597" s="5">
        <v>678</v>
      </c>
      <c r="B597" t="s">
        <v>3441</v>
      </c>
      <c r="C597" s="83" t="s">
        <v>3409</v>
      </c>
      <c r="D597" s="3">
        <f t="shared" si="54"/>
        <v>678</v>
      </c>
      <c r="G597" s="91" t="s">
        <v>1467</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constants'!$B$4:$C$1017,2,FALSE),"")</f>
        <v>Morrowind</v>
      </c>
      <c r="V597" s="33" t="s">
        <v>3276</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5"/>
        <v>[678] = {wayshrines={530,530,530,}, traitsNeeded=3, dlcId=DLC_MORROWIND</v>
      </c>
      <c r="BF597" s="21" t="str">
        <f t="shared" si="56"/>
        <v>, zoneIds={1383,1383,1383}, veteran=false</v>
      </c>
      <c r="BG597" s="21" t="str">
        <f t="shared" si="57"/>
        <v>, setType=LIBSETS_SETTYPE_CRAFTED</v>
      </c>
      <c r="BH597" s="21" t="str">
        <f t="shared" si="58"/>
        <v>, dropMechanic={LIBSETS_DROP_MECHANIC_CRAFTED}</v>
      </c>
      <c r="BI597" s="21" t="str">
        <f t="shared" si="59"/>
        <v>}, --Old Growth Brewer / Altwuchs-Brauer   [Galen, Galen, Galen]</v>
      </c>
    </row>
    <row r="598" spans="1:61" x14ac:dyDescent="0.25">
      <c r="A598" s="5">
        <v>679</v>
      </c>
      <c r="B598" t="s">
        <v>3442</v>
      </c>
      <c r="C598" s="83" t="s">
        <v>3410</v>
      </c>
      <c r="D598" s="3">
        <f t="shared" si="54"/>
        <v>679</v>
      </c>
      <c r="G598" s="91" t="s">
        <v>1467</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constants'!$B$4:$C$1017,2,FALSE),"")</f>
        <v>Morrowind</v>
      </c>
      <c r="V598" s="33" t="s">
        <v>3276</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5"/>
        <v>[679] = {wayshrines={527,527,527,}, traitsNeeded=3, dlcId=DLC_MORROWIND</v>
      </c>
      <c r="BF598" s="21" t="str">
        <f t="shared" si="56"/>
        <v>, zoneIds={1383,1383,1383}, veteran=false</v>
      </c>
      <c r="BG598" s="21" t="str">
        <f t="shared" si="57"/>
        <v>, setType=LIBSETS_SETTYPE_CRAFTED</v>
      </c>
      <c r="BH598" s="21" t="str">
        <f t="shared" si="58"/>
        <v>, dropMechanic={LIBSETS_DROP_MECHANIC_CRAFTED}</v>
      </c>
      <c r="BI598" s="21" t="str">
        <f t="shared" si="59"/>
        <v>}, --Claw of the Forest Wraith / Kralle des Waldgespensts   [Galen, Galen, Galen]</v>
      </c>
    </row>
    <row r="599" spans="1:61" x14ac:dyDescent="0.25">
      <c r="A599" s="5">
        <v>680</v>
      </c>
      <c r="B599" t="s">
        <v>3552</v>
      </c>
      <c r="C599" s="83" t="s">
        <v>3917</v>
      </c>
      <c r="D599" s="3">
        <f t="shared" si="54"/>
        <v>680</v>
      </c>
      <c r="G599" s="8" t="s">
        <v>1470</v>
      </c>
      <c r="I599" t="s">
        <v>91</v>
      </c>
      <c r="J599" t="s">
        <v>91</v>
      </c>
      <c r="K599">
        <v>531</v>
      </c>
      <c r="L599">
        <v>531</v>
      </c>
      <c r="M599">
        <v>531</v>
      </c>
      <c r="O599" s="61" t="s">
        <v>3538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5"/>
        <v>[680] = {wayshrines={531,531,531,}, dlcId=DLC_SCRIBES_OF_FATE</v>
      </c>
      <c r="BF599" s="21" t="str">
        <f t="shared" si="56"/>
        <v>, zoneIds={1389,41,41}, veteran=false</v>
      </c>
      <c r="BG599" s="21" t="str">
        <f t="shared" si="57"/>
        <v>, setType=LIBSETS_SETTYPE_DUNGEON</v>
      </c>
      <c r="BH599" s="21" t="str">
        <f t="shared" si="58"/>
        <v>, dropMechanic={LIBSETS_DROP_MECHANIC_GROUP_DUNGEON_BOSS}</v>
      </c>
      <c r="BI599" s="21" t="str">
        <f t="shared" si="59"/>
        <v>}, --Ritemaster\'s Bond / Bindung des Ritenmeisters   [Bal Sunnar, Stonefalls, Stonefalls]</v>
      </c>
    </row>
    <row r="600" spans="1:61" x14ac:dyDescent="0.25">
      <c r="A600" s="5">
        <v>681</v>
      </c>
      <c r="B600" t="s">
        <v>3553</v>
      </c>
      <c r="C600" s="83" t="s">
        <v>3918</v>
      </c>
      <c r="D600" s="3">
        <f t="shared" si="54"/>
        <v>681</v>
      </c>
      <c r="G600" s="8" t="s">
        <v>1470</v>
      </c>
      <c r="I600" t="s">
        <v>91</v>
      </c>
      <c r="J600" t="s">
        <v>91</v>
      </c>
      <c r="K600">
        <v>531</v>
      </c>
      <c r="L600">
        <v>531</v>
      </c>
      <c r="M600">
        <v>531</v>
      </c>
      <c r="O600" s="61" t="s">
        <v>3538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5"/>
        <v>[681] = {wayshrines={531,531,531,}, dlcId=DLC_SCRIBES_OF_FATE</v>
      </c>
      <c r="BF600" s="21" t="str">
        <f t="shared" si="56"/>
        <v>, zoneIds={1389,41,41}, veteran=false</v>
      </c>
      <c r="BG600" s="21" t="str">
        <f t="shared" si="57"/>
        <v>, setType=LIBSETS_SETTYPE_DUNGEON</v>
      </c>
      <c r="BH600" s="21" t="str">
        <f t="shared" si="58"/>
        <v>, dropMechanic={LIBSETS_DROP_MECHANIC_GROUP_DUNGEON_BOSS}</v>
      </c>
      <c r="BI600" s="21" t="str">
        <f t="shared" si="59"/>
        <v>}, --Nix-Hound\'s Howl / Nixhund-Heulen   [Bal Sunnar, Stonefalls, Stonefalls]</v>
      </c>
    </row>
    <row r="601" spans="1:61" x14ac:dyDescent="0.25">
      <c r="A601" s="5">
        <v>682</v>
      </c>
      <c r="B601" t="s">
        <v>3554</v>
      </c>
      <c r="C601" s="83" t="s">
        <v>3539</v>
      </c>
      <c r="D601" s="3">
        <f t="shared" si="54"/>
        <v>682</v>
      </c>
      <c r="G601" s="8" t="s">
        <v>1470</v>
      </c>
      <c r="I601" t="s">
        <v>91</v>
      </c>
      <c r="J601" t="s">
        <v>91</v>
      </c>
      <c r="K601">
        <v>531</v>
      </c>
      <c r="L601">
        <v>531</v>
      </c>
      <c r="M601">
        <v>531</v>
      </c>
      <c r="O601" s="61" t="s">
        <v>3538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5"/>
        <v>[682] = {wayshrines={531,531,531,}, dlcId=DLC_SCRIBES_OF_FATE</v>
      </c>
      <c r="BF601" s="21" t="str">
        <f t="shared" si="56"/>
        <v>, zoneIds={1389,41,41}, veteran=false</v>
      </c>
      <c r="BG601" s="21" t="str">
        <f t="shared" si="57"/>
        <v>, setType=LIBSETS_SETTYPE_DUNGEON</v>
      </c>
      <c r="BH601" s="21" t="str">
        <f t="shared" si="58"/>
        <v>, dropMechanic={LIBSETS_DROP_MECHANIC_GROUP_DUNGEON_BOSS}</v>
      </c>
      <c r="BI601" s="21" t="str">
        <f t="shared" si="59"/>
        <v>}, --Telvanni Enforcer / Telvanni-Vollstrecker   [Bal Sunnar, Stonefalls, Stonefalls]</v>
      </c>
    </row>
    <row r="602" spans="1:61" x14ac:dyDescent="0.25">
      <c r="A602" s="5">
        <v>683</v>
      </c>
      <c r="B602" t="s">
        <v>3555</v>
      </c>
      <c r="C602" s="83" t="s">
        <v>3540</v>
      </c>
      <c r="D602" s="3">
        <f t="shared" si="54"/>
        <v>683</v>
      </c>
      <c r="G602" s="8" t="s">
        <v>1472</v>
      </c>
      <c r="H602">
        <v>3</v>
      </c>
      <c r="I602" t="s">
        <v>1459</v>
      </c>
      <c r="K602">
        <v>531</v>
      </c>
      <c r="L602">
        <v>531</v>
      </c>
      <c r="M602">
        <v>531</v>
      </c>
      <c r="O602" s="61" t="s">
        <v>3538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5"/>
        <v>[683] = {wayshrines={531,531,531,}, dlcId=DLC_SCRIBES_OF_FATE</v>
      </c>
      <c r="BF602" s="21" t="str">
        <f t="shared" si="56"/>
        <v>, zoneIds={1389,41,41}, veteran={[EQUIP_TYPE_HEAD]=true, [EQUIP_TYPE_SHOULDERS]=false}</v>
      </c>
      <c r="BG602" s="21" t="str">
        <f t="shared" si="57"/>
        <v>, setType=LIBSETS_SETTYPE_MONSTER, undauntedChestId=3</v>
      </c>
      <c r="BH602" s="21" t="str">
        <f t="shared" si="58"/>
        <v>, dropMechanic={LIBSETS_DROP_MECHANIC_MONSTER_NAME}, dropMechanicDropLocationNames={['en']={'Roksa the Warped','','','','','',},['de']={'Roksa die Verzerrte','','','','','',},}</v>
      </c>
      <c r="BI602" s="21" t="str">
        <f t="shared" si="59"/>
        <v>}, --Roksa the Warped / Roksa die Verkrümmte   [Bal Sunnar, Stonefalls, Stonefalls]</v>
      </c>
    </row>
    <row r="603" spans="1:61" x14ac:dyDescent="0.25">
      <c r="A603" s="5">
        <v>684</v>
      </c>
      <c r="B603" t="s">
        <v>3556</v>
      </c>
      <c r="C603" s="83" t="s">
        <v>3544</v>
      </c>
      <c r="D603" s="3">
        <f t="shared" si="54"/>
        <v>684</v>
      </c>
      <c r="G603" s="8" t="s">
        <v>1470</v>
      </c>
      <c r="I603" t="s">
        <v>91</v>
      </c>
      <c r="J603" t="s">
        <v>91</v>
      </c>
      <c r="K603">
        <v>532</v>
      </c>
      <c r="L603">
        <v>532</v>
      </c>
      <c r="M603">
        <v>532</v>
      </c>
      <c r="O603" s="61" t="s">
        <v>3565</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5"/>
        <v>[684] = {wayshrines={532,532,532,}, dlcId=DLC_SCRIBES_OF_FATE</v>
      </c>
      <c r="BF603" s="21" t="str">
        <f t="shared" si="56"/>
        <v>, zoneIds={1390,103,103}, veteran=false</v>
      </c>
      <c r="BG603" s="21" t="str">
        <f t="shared" si="57"/>
        <v>, setType=LIBSETS_SETTYPE_DUNGEON</v>
      </c>
      <c r="BH603" s="21" t="str">
        <f t="shared" si="58"/>
        <v>, dropMechanic={LIBSETS_DROP_MECHANIC_GROUP_DUNGEON_BOSS}</v>
      </c>
      <c r="BI603" s="21" t="str">
        <f t="shared" si="59"/>
        <v>}, --Runecarver\’s Blaze / Lodern des Runenschnitzers   [Scrivener's Hall, The Rift, The Rift]</v>
      </c>
    </row>
    <row r="604" spans="1:61" x14ac:dyDescent="0.25">
      <c r="A604" s="5">
        <v>685</v>
      </c>
      <c r="B604" t="s">
        <v>3557</v>
      </c>
      <c r="C604" s="83" t="s">
        <v>3545</v>
      </c>
      <c r="D604" s="3">
        <f t="shared" si="54"/>
        <v>685</v>
      </c>
      <c r="G604" s="8" t="s">
        <v>1470</v>
      </c>
      <c r="I604" t="s">
        <v>91</v>
      </c>
      <c r="J604" t="s">
        <v>91</v>
      </c>
      <c r="K604">
        <v>532</v>
      </c>
      <c r="L604">
        <v>532</v>
      </c>
      <c r="M604">
        <v>532</v>
      </c>
      <c r="O604" s="61" t="s">
        <v>3565</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5"/>
        <v>[685] = {wayshrines={532,532,532,}, dlcId=DLC_SCRIBES_OF_FATE</v>
      </c>
      <c r="BF604" s="21" t="str">
        <f t="shared" si="56"/>
        <v>, zoneIds={1390,103,103}, veteran=false</v>
      </c>
      <c r="BG604" s="21" t="str">
        <f t="shared" si="57"/>
        <v>, setType=LIBSETS_SETTYPE_DUNGEON</v>
      </c>
      <c r="BH604" s="21" t="str">
        <f t="shared" si="58"/>
        <v>, dropMechanic={LIBSETS_DROP_MECHANIC_GROUP_DUNGEON_BOSS}</v>
      </c>
      <c r="BI604" s="21" t="str">
        <f t="shared" si="59"/>
        <v>}, --Apocryphal Inspiration / Apocryphische Inspiration   [Scrivener's Hall, The Rift, The Rift]</v>
      </c>
    </row>
    <row r="605" spans="1:61" x14ac:dyDescent="0.25">
      <c r="A605" s="5">
        <v>686</v>
      </c>
      <c r="B605" t="s">
        <v>3558</v>
      </c>
      <c r="C605" s="83" t="s">
        <v>3542</v>
      </c>
      <c r="D605" s="3">
        <f t="shared" si="54"/>
        <v>686</v>
      </c>
      <c r="G605" s="8" t="s">
        <v>1470</v>
      </c>
      <c r="I605" t="s">
        <v>91</v>
      </c>
      <c r="J605" t="s">
        <v>91</v>
      </c>
      <c r="K605">
        <v>532</v>
      </c>
      <c r="L605">
        <v>532</v>
      </c>
      <c r="M605">
        <v>532</v>
      </c>
      <c r="O605" s="61" t="s">
        <v>3565</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5"/>
        <v>[686] = {wayshrines={532,532,532,}, dlcId=DLC_SCRIBES_OF_FATE</v>
      </c>
      <c r="BF605" s="21" t="str">
        <f t="shared" si="56"/>
        <v>, zoneIds={1390,103,103}, veteran=false</v>
      </c>
      <c r="BG605" s="21" t="str">
        <f t="shared" si="57"/>
        <v>, setType=LIBSETS_SETTYPE_DUNGEON</v>
      </c>
      <c r="BH605" s="21" t="str">
        <f t="shared" si="58"/>
        <v>, dropMechanic={LIBSETS_DROP_MECHANIC_GROUP_DUNGEON_BOSS}</v>
      </c>
      <c r="BI605" s="21" t="str">
        <f t="shared" si="59"/>
        <v>}, --Abyssal Brace / Abgründiges Wappnen   [Scrivener's Hall, The Rift, The Rift]</v>
      </c>
    </row>
    <row r="606" spans="1:61" x14ac:dyDescent="0.25">
      <c r="A606" s="5">
        <v>687</v>
      </c>
      <c r="B606" t="s">
        <v>3559</v>
      </c>
      <c r="C606" s="83" t="s">
        <v>3543</v>
      </c>
      <c r="D606" s="3">
        <f t="shared" si="54"/>
        <v>687</v>
      </c>
      <c r="G606" s="8" t="s">
        <v>1472</v>
      </c>
      <c r="H606">
        <v>3</v>
      </c>
      <c r="I606" t="s">
        <v>1459</v>
      </c>
      <c r="K606">
        <v>532</v>
      </c>
      <c r="L606">
        <v>532</v>
      </c>
      <c r="M606">
        <v>532</v>
      </c>
      <c r="O606" s="61" t="s">
        <v>3565</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5"/>
        <v>[687] = {wayshrines={532,532,532,}, dlcId=DLC_SCRIBES_OF_FATE</v>
      </c>
      <c r="BF606" s="21" t="str">
        <f t="shared" si="56"/>
        <v>, zoneIds={1390,103,103}, veteran={[EQUIP_TYPE_HEAD]=true, [EQUIP_TYPE_SHOULDERS]=false}</v>
      </c>
      <c r="BG606" s="21" t="str">
        <f t="shared" si="57"/>
        <v>, setType=LIBSETS_SETTYPE_MONSTER, undauntedChestId=3</v>
      </c>
      <c r="BH606" s="21" t="str">
        <f t="shared" si="58"/>
        <v>, dropMechanic={LIBSETS_DROP_MECHANIC_MONSTER_NAME}, dropMechanicDropLocationNames={['en']={'Ozezan the Inferno','','','','','',},['de']={'Ozezan das Inferno','','','','','',},}</v>
      </c>
      <c r="BI606" s="21" t="str">
        <f t="shared" si="59"/>
        <v>}, --Ozezan the Inferno / Ozezan das Inferno   [Scrivener's Hall, The Rift, The Rift]</v>
      </c>
    </row>
    <row r="607" spans="1:61" x14ac:dyDescent="0.25">
      <c r="A607" s="5">
        <v>688</v>
      </c>
      <c r="B607" t="s">
        <v>3560</v>
      </c>
      <c r="C607" t="s">
        <v>3569</v>
      </c>
      <c r="D607" s="3">
        <f t="shared" si="54"/>
        <v>688</v>
      </c>
      <c r="G607" s="8" t="s">
        <v>1468</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3546</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2756</v>
      </c>
      <c r="AK607" s="3">
        <f>IF(AND(G607&lt;&gt;"LIBSETS_SETTYPE_BATTLEGROUND",G607&lt;&gt;"LIBSETS_SETTYPE_SPECIAL"),IF(AL607&lt;&gt;"",VLOOKUP(AL607,'ESO zone constants'!$D$5:$H$4955,5,FALSE),""),"")</f>
        <v>181</v>
      </c>
      <c r="AL607" t="s">
        <v>125</v>
      </c>
      <c r="AM607" s="33" t="s">
        <v>3721</v>
      </c>
      <c r="AP607" s="3">
        <f>IF(AND(G607&lt;&gt;"LIBSETS_SETTYPE_BATTLEGROUND",G607&lt;&gt;"LIBSETS_SETTYPE_SPECIAL"),IF(AQ607&lt;&gt;"",VLOOKUP(AQ607,'ESO zone constants'!$D$5:$H$4955,5,FALSE),""),"")</f>
        <v>181</v>
      </c>
      <c r="AQ607" t="s">
        <v>125</v>
      </c>
      <c r="AR607" s="33" t="s">
        <v>1551</v>
      </c>
      <c r="AU607" s="3">
        <f>IF(AND(G607&lt;&gt;"LIBSETS_SETTYPE_BATTLEGROUND",G607&lt;&gt;"LIBSETS_SETTYPE_SPECIAL"),IF(AV607&lt;&gt;"",VLOOKUP(AV607,'ESO zone constants'!$D$5:$H$4955,5,FALSE),""),"")</f>
        <v>181</v>
      </c>
      <c r="AV607" t="s">
        <v>125</v>
      </c>
      <c r="AW607" s="33" t="s">
        <v>3225</v>
      </c>
      <c r="BE607" s="21" t="str">
        <f t="shared" si="55"/>
        <v>[688] = {wayshrines={-1,-1,-1,}, dlcId=DLC_SCRIBES_OF_FATE</v>
      </c>
      <c r="BF607" s="21" t="str">
        <f t="shared" si="56"/>
        <v>, zoneIds={181,181,181,181,181,181}, veteran=false</v>
      </c>
      <c r="BG607" s="21" t="str">
        <f t="shared" si="57"/>
        <v>, setType=LIBSETS_SETTYPE_CYRODIIL</v>
      </c>
      <c r="BH60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59"/>
        <v>}, --Snake in the Stars / Schlange inmitten der Sterne   [Cyrodiil, Cyrodiil, Cyrodiil, Cyrodiil, Cyrodiil, Cyrodiil]</v>
      </c>
    </row>
    <row r="608" spans="1:61" x14ac:dyDescent="0.25">
      <c r="A608" s="5">
        <v>689</v>
      </c>
      <c r="B608" t="s">
        <v>3561</v>
      </c>
      <c r="C608" t="s">
        <v>3570</v>
      </c>
      <c r="D608" s="3">
        <f t="shared" si="54"/>
        <v>689</v>
      </c>
      <c r="G608" s="8" t="s">
        <v>1468</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3546</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2756</v>
      </c>
      <c r="AK608" s="3">
        <f>IF(AND(G608&lt;&gt;"LIBSETS_SETTYPE_BATTLEGROUND",G608&lt;&gt;"LIBSETS_SETTYPE_SPECIAL"),IF(AL608&lt;&gt;"",VLOOKUP(AL608,'ESO zone constants'!$D$5:$H$4955,5,FALSE),""),"")</f>
        <v>181</v>
      </c>
      <c r="AL608" t="s">
        <v>125</v>
      </c>
      <c r="AM608" s="33" t="s">
        <v>3721</v>
      </c>
      <c r="AP608" s="3">
        <f>IF(AND(G608&lt;&gt;"LIBSETS_SETTYPE_BATTLEGROUND",G608&lt;&gt;"LIBSETS_SETTYPE_SPECIAL"),IF(AQ608&lt;&gt;"",VLOOKUP(AQ608,'ESO zone constants'!$D$5:$H$4955,5,FALSE),""),"")</f>
        <v>181</v>
      </c>
      <c r="AQ608" t="s">
        <v>125</v>
      </c>
      <c r="AR608" s="33" t="s">
        <v>1551</v>
      </c>
      <c r="AU608" s="3">
        <f>IF(AND(G608&lt;&gt;"LIBSETS_SETTYPE_BATTLEGROUND",G608&lt;&gt;"LIBSETS_SETTYPE_SPECIAL"),IF(AV608&lt;&gt;"",VLOOKUP(AV608,'ESO zone constants'!$D$5:$H$4955,5,FALSE),""),"")</f>
        <v>181</v>
      </c>
      <c r="AV608" t="s">
        <v>125</v>
      </c>
      <c r="AW608" s="33" t="s">
        <v>3225</v>
      </c>
      <c r="BE608" s="21" t="str">
        <f t="shared" si="55"/>
        <v>[689] = {wayshrines={-1,-1,-1,}, dlcId=DLC_SCRIBES_OF_FATE</v>
      </c>
      <c r="BF608" s="21" t="str">
        <f t="shared" si="56"/>
        <v>, zoneIds={181,181,181,181,181,181}, veteran=false</v>
      </c>
      <c r="BG608" s="21" t="str">
        <f t="shared" si="57"/>
        <v>, setType=LIBSETS_SETTYPE_CYRODIIL</v>
      </c>
      <c r="BH60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59"/>
        <v>}, --Shell Splitter / Panzerspalten   [Cyrodiil, Cyrodiil, Cyrodiil, Cyrodiil, Cyrodiil, Cyrodiil]</v>
      </c>
    </row>
    <row r="609" spans="1:61" x14ac:dyDescent="0.25">
      <c r="A609" s="5">
        <v>690</v>
      </c>
      <c r="B609" t="s">
        <v>3562</v>
      </c>
      <c r="C609" t="s">
        <v>3571</v>
      </c>
      <c r="D609" s="3">
        <f t="shared" si="54"/>
        <v>690</v>
      </c>
      <c r="G609" s="8" t="s">
        <v>1468</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3546</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2756</v>
      </c>
      <c r="AK609" s="3">
        <f>IF(AND(G609&lt;&gt;"LIBSETS_SETTYPE_BATTLEGROUND",G609&lt;&gt;"LIBSETS_SETTYPE_SPECIAL"),IF(AL609&lt;&gt;"",VLOOKUP(AL609,'ESO zone constants'!$D$5:$H$4955,5,FALSE),""),"")</f>
        <v>181</v>
      </c>
      <c r="AL609" t="s">
        <v>125</v>
      </c>
      <c r="AM609" s="33" t="s">
        <v>3721</v>
      </c>
      <c r="AP609" s="3">
        <f>IF(AND(G609&lt;&gt;"LIBSETS_SETTYPE_BATTLEGROUND",G609&lt;&gt;"LIBSETS_SETTYPE_SPECIAL"),IF(AQ609&lt;&gt;"",VLOOKUP(AQ609,'ESO zone constants'!$D$5:$H$4955,5,FALSE),""),"")</f>
        <v>181</v>
      </c>
      <c r="AQ609" t="s">
        <v>125</v>
      </c>
      <c r="AR609" s="33" t="s">
        <v>1551</v>
      </c>
      <c r="AU609" s="3">
        <f>IF(AND(G609&lt;&gt;"LIBSETS_SETTYPE_BATTLEGROUND",G609&lt;&gt;"LIBSETS_SETTYPE_SPECIAL"),IF(AV609&lt;&gt;"",VLOOKUP(AV609,'ESO zone constants'!$D$5:$H$4955,5,FALSE),""),"")</f>
        <v>181</v>
      </c>
      <c r="AV609" t="s">
        <v>125</v>
      </c>
      <c r="AW609" s="33" t="s">
        <v>3225</v>
      </c>
      <c r="BE609" s="21" t="str">
        <f t="shared" si="55"/>
        <v>[690] = {wayshrines={-1,-1,-1,}, dlcId=DLC_SCRIBES_OF_FATE</v>
      </c>
      <c r="BF609" s="21" t="str">
        <f t="shared" si="56"/>
        <v>, zoneIds={181,181,181,181,181,181}, veteran=false</v>
      </c>
      <c r="BG609" s="21" t="str">
        <f t="shared" si="57"/>
        <v>, setType=LIBSETS_SETTYPE_CYRODIIL</v>
      </c>
      <c r="BH60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59"/>
        <v>}, --Judgement of Akatosh  / Urteil von Akatosh   [Cyrodiil, Cyrodiil, Cyrodiil, Cyrodiil, Cyrodiil, Cyrodiil]</v>
      </c>
    </row>
    <row r="610" spans="1:61" x14ac:dyDescent="0.25">
      <c r="A610" s="5">
        <v>691</v>
      </c>
      <c r="B610" t="s">
        <v>3818</v>
      </c>
      <c r="C610" s="36" t="s">
        <v>3631</v>
      </c>
      <c r="D610" s="3">
        <f t="shared" si="54"/>
        <v>691</v>
      </c>
      <c r="G610" s="91" t="s">
        <v>1671</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3629</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1551</v>
      </c>
      <c r="AC610" s="3" t="s">
        <v>3821</v>
      </c>
      <c r="AD610" s="3" t="s">
        <v>3820</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1552</v>
      </c>
      <c r="AI610" s="3" t="s">
        <v>3824</v>
      </c>
      <c r="AJ610" s="3" t="s">
        <v>3819</v>
      </c>
      <c r="AK610" s="3">
        <f>IF(AND(G611&lt;&gt;"LIBSETS_SETTYPE_BATTLEGROUND",G611&lt;&gt;"LIBSETS_SETTYPE_SPECIAL"),IF(AL610&lt;&gt;"",VLOOKUP(AL610,'ESO zone constants'!$D$5:$H$4955,5,FALSE),""),"")</f>
        <v>1414</v>
      </c>
      <c r="AL610" t="s">
        <v>3681</v>
      </c>
      <c r="AM610" s="33" t="s">
        <v>1554</v>
      </c>
      <c r="AP610" s="3">
        <f>IF(AND(G611&lt;&gt;"LIBSETS_SETTYPE_BATTLEGROUND",G611&lt;&gt;"LIBSETS_SETTYPE_SPECIAL"),IF(AQ610&lt;&gt;"",VLOOKUP(AQ610,'ESO zone constants'!$D$5:$H$4955,5,FALSE),""),"")</f>
        <v>1389</v>
      </c>
      <c r="AQ610" t="s">
        <v>3538</v>
      </c>
      <c r="AR610" s="33" t="s">
        <v>3273</v>
      </c>
      <c r="AS610" s="3" t="s">
        <v>3822</v>
      </c>
      <c r="AT610" s="3" t="s">
        <v>3823</v>
      </c>
      <c r="AU610" s="3" t="str">
        <f>IF(AND(G610&lt;&gt;"LIBSETS_SETTYPE_BATTLEGROUND",G610&lt;&gt;"LIBSETS_SETTYPE_SPECIAL"),IF(AV610&lt;&gt;"",VLOOKUP(AV610,'ESO zone constants'!$D$5:$H$4955,5,FALSE),""),"")</f>
        <v/>
      </c>
      <c r="BA610" s="92" t="s">
        <v>3870</v>
      </c>
      <c r="BB610" s="92" t="s">
        <v>3870</v>
      </c>
      <c r="BE610" s="21" t="str">
        <f t="shared" si="55"/>
        <v>[691] = {wayshrines={536,545,538,}, dlcId=DLC_NECROM</v>
      </c>
      <c r="BF610" s="21" t="str">
        <f t="shared" si="56"/>
        <v>, zoneIds={1414,1413,1414,1414,1389}, veteran=false</v>
      </c>
      <c r="BG610" s="21" t="str">
        <f t="shared" si="57"/>
        <v>, setType=LIBSETS_SETTYPE_MYTHIC</v>
      </c>
      <c r="BH610" s="21" t="str">
        <f t="shared" si="5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59"/>
        <v>, addTooltip={['en']='https://en.uesp.net/wiki/Online:Cryptcanon_Vestments',},}, -- Cryptcanon Vestments / Gewandung des Kryptenvogts   [Telvanni Peninsula, Apocrypha, Telvanni Peninsula, Telvanni Peninsula, Bal Sunnar]</v>
      </c>
    </row>
    <row r="611" spans="1:61" x14ac:dyDescent="0.25">
      <c r="A611" s="5">
        <v>692</v>
      </c>
      <c r="B611" t="s">
        <v>3833</v>
      </c>
      <c r="C611" s="36" t="s">
        <v>3632</v>
      </c>
      <c r="D611" s="3">
        <f t="shared" si="54"/>
        <v>692</v>
      </c>
      <c r="G611" s="91" t="s">
        <v>1671</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3629</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1551</v>
      </c>
      <c r="AC611" s="3" t="s">
        <v>3825</v>
      </c>
      <c r="AD611" s="3" t="s">
        <v>3826</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1553</v>
      </c>
      <c r="AI611" s="3" t="s">
        <v>3827</v>
      </c>
      <c r="AJ611" s="3" t="s">
        <v>3828</v>
      </c>
      <c r="AK611" s="3">
        <f>IF(AND(G612&lt;&gt;"LIBSETS_SETTYPE_BATTLEGROUND",G612&lt;&gt;"LIBSETS_SETTYPE_SPECIAL"),IF(AL611&lt;&gt;"",VLOOKUP(AL611,'ESO zone constants'!$D$5:$H$4955,5,FALSE),""),"")</f>
        <v>1301</v>
      </c>
      <c r="AL611" t="s">
        <v>2704</v>
      </c>
      <c r="AM611" s="33" t="s">
        <v>3273</v>
      </c>
      <c r="AN611" s="3" t="s">
        <v>3829</v>
      </c>
      <c r="AO611" s="3" t="s">
        <v>3830</v>
      </c>
      <c r="AP611" s="3">
        <f>IF(AND(G612&lt;&gt;"LIBSETS_SETTYPE_BATTLEGROUND",G612&lt;&gt;"LIBSETS_SETTYPE_SPECIAL"),IF(AQ611&lt;&gt;"",VLOOKUP(AQ611,'ESO zone constants'!$D$5:$H$4955,5,FALSE),""),"")</f>
        <v>1361</v>
      </c>
      <c r="AQ611" t="s">
        <v>3375</v>
      </c>
      <c r="AR611" s="33" t="s">
        <v>3273</v>
      </c>
      <c r="AS611" s="3" t="s">
        <v>3831</v>
      </c>
      <c r="AT611" s="3" t="s">
        <v>3832</v>
      </c>
      <c r="AU611" s="3" t="str">
        <f>IF(AND(G611&lt;&gt;"LIBSETS_SETTYPE_BATTLEGROUND",G611&lt;&gt;"LIBSETS_SETTYPE_SPECIAL"),IF(AV611&lt;&gt;"",VLOOKUP(AV611,'ESO zone constants'!$D$5:$H$4955,5,FALSE),""),"")</f>
        <v/>
      </c>
      <c r="BA611" s="92" t="s">
        <v>3871</v>
      </c>
      <c r="BB611" s="92" t="s">
        <v>3871</v>
      </c>
      <c r="BE611" s="21" t="str">
        <f t="shared" si="55"/>
        <v>[692] = {wayshrines={549,280,282,}, dlcId=DLC_NECROM</v>
      </c>
      <c r="BF611" s="21" t="str">
        <f t="shared" si="56"/>
        <v>, zoneIds={1415,849,919,1301,1361}, veteran=false</v>
      </c>
      <c r="BG611" s="21" t="str">
        <f t="shared" si="57"/>
        <v>, setType=LIBSETS_SETTYPE_MYTHIC</v>
      </c>
      <c r="BH611" s="21"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59"/>
        <v>, addTooltip={['en']='https://en.uesp.net/wiki/Online:Esoteric_Environment_Greaves',},}, -- Esoteric Environment Greaves / Beinschienen der esoterischen Umgebung   [Gorne, Vvardenfell, Forgotten Wastes, Coral Aerie, Graven Deep]</v>
      </c>
    </row>
    <row r="612" spans="1:61" x14ac:dyDescent="0.25">
      <c r="A612" s="5">
        <v>693</v>
      </c>
      <c r="B612" s="36" t="s">
        <v>3887</v>
      </c>
      <c r="C612" s="36" t="s">
        <v>3887</v>
      </c>
      <c r="D612" s="3">
        <f t="shared" si="54"/>
        <v>693</v>
      </c>
      <c r="G612" s="8" t="s">
        <v>1671</v>
      </c>
      <c r="I612" t="s">
        <v>91</v>
      </c>
      <c r="J612" t="s">
        <v>91</v>
      </c>
      <c r="K612" s="36">
        <v>546</v>
      </c>
      <c r="L612" s="36">
        <v>546</v>
      </c>
      <c r="M612" s="36">
        <v>546</v>
      </c>
      <c r="P612" s="61">
        <v>1413</v>
      </c>
      <c r="Q612" s="3">
        <f>IF(AND(P612&lt;&gt;"",ISNUMBER(P612),NOT(ISNA(P612))),P612,IF(R612&lt;&gt;"",VLOOKUP(R612,'ESO zone constants'!$D$5:$H$10003,5,FALSE),""))</f>
        <v>1413</v>
      </c>
      <c r="R612" t="str">
        <f>IF(AND(O612&lt;&gt;"",NOT(ISERROR(O612))),O612,
IF(AND(P612&lt;&gt;"",ISNUMBER(P612),P612&gt;0,NOT(ISNA(P612))),VLOOKUP(P612,'ESO zone constants'!$A$5:$D$10001,4,FALSE),
IF(AND(K612&lt;&gt;"",K612&gt;0,NOT(ISERROR(K612))),VLOOKUP(K612,'ESO dumped WayshrineInfo'!$K$3:$N$9972,4,FALSE),"")))</f>
        <v>Apocrypha</v>
      </c>
      <c r="S612" s="61" t="s">
        <v>3875</v>
      </c>
      <c r="T612" s="19" t="str">
        <f>IF(AND(S612&lt;&gt;"",NOT(ISERROR(S612))),S612,IF(Q612&lt;&gt;"",IF(NOT(ISERROR(VLOOKUP(Q612,'ESO Dungeon constants'!$D$3:$H$9999,5,FALSE))),VLOOKUP(Q612,'ESO Dungeon constants'!$D$3:$I$9999,6,FALSE),VLOOKUP(Q612,'ESO zone constants'!$H$3:$K$9989,4,FALSE)),""))</f>
        <v>DLC_SCIONS_OF_ITHELIA</v>
      </c>
      <c r="U612" s="3" t="str">
        <f>IF(T612&lt;&gt;"",VLOOKUP(T612,'LibSets constants'!$B$4:$C$1017,2,FALSE),"")</f>
        <v>Scions of Ithelia</v>
      </c>
      <c r="V612" s="33" t="s">
        <v>3735</v>
      </c>
      <c r="W612" s="3" t="s">
        <v>3909</v>
      </c>
      <c r="X612" s="3" t="s">
        <v>3910</v>
      </c>
      <c r="Y612" s="61"/>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3735</v>
      </c>
      <c r="AC612" s="3" t="s">
        <v>3909</v>
      </c>
      <c r="AD612" s="3" t="s">
        <v>3910</v>
      </c>
      <c r="AE612" s="41"/>
      <c r="AF612" s="3">
        <f>IF(AND(G612&lt;&gt;"LIBSETS_SETTYPE_BATTLEGROUND",G612&lt;&gt;"LIBSETS_SETTYPE_SPECIAL"),
IF(AND(AE612&lt;&gt;"",ISNUMBER(AE612),NOT(ISNA(AE612))),AE612,
   IF(AND(M612&lt;&gt;"",ISNUMBER(M612),M612&gt;0,NOT(ISNA(M612))),VLOOKUP(M612,'ESO dumped WayshrineInfo'!$K$3:$L$9972,2,FALSE),"")
),"")</f>
        <v>1413</v>
      </c>
      <c r="AG612" t="str">
        <f>IF(AND(AF612&lt;&gt;"",ISNUMBER(AF612),NOT(ISNA(AF612))),VLOOKUP(AF612,'ESO zone constants'!$A$5:$D$10001,4,FALSE),"")</f>
        <v>Apocrypha</v>
      </c>
      <c r="AH612" s="33" t="s">
        <v>3735</v>
      </c>
      <c r="AI612" s="3" t="s">
        <v>3909</v>
      </c>
      <c r="AJ612" s="3" t="s">
        <v>3910</v>
      </c>
      <c r="AK612" s="3">
        <f>IF(AND(G612&lt;&gt;"LIBSETS_SETTYPE_BATTLEGROUND",G612&lt;&gt;"LIBSETS_SETTYPE_SPECIAL"),IF(AL612&lt;&gt;"",VLOOKUP(AL612,'ESO zone constants'!$D$5:$H$4955,5,FALSE),""),"")</f>
        <v>1413</v>
      </c>
      <c r="AL612" t="s">
        <v>3609</v>
      </c>
      <c r="AM612" s="33" t="s">
        <v>3735</v>
      </c>
      <c r="AN612" s="3" t="s">
        <v>3909</v>
      </c>
      <c r="AO612" s="3" t="s">
        <v>3910</v>
      </c>
      <c r="AP612" s="3">
        <f>IF(AND(G612&lt;&gt;"LIBSETS_SETTYPE_BATTLEGROUND",G612&lt;&gt;"LIBSETS_SETTYPE_SPECIAL"),IF(AQ612&lt;&gt;"",VLOOKUP(AQ612,'ESO zone constants'!$D$5:$H$4955,5,FALSE),""),"")</f>
        <v>1413</v>
      </c>
      <c r="AQ612" t="s">
        <v>3609</v>
      </c>
      <c r="AR612" s="33" t="s">
        <v>3735</v>
      </c>
      <c r="AS612" s="3" t="s">
        <v>3909</v>
      </c>
      <c r="AT612" s="3" t="s">
        <v>3910</v>
      </c>
      <c r="AU612" s="3" t="str">
        <f>IF(AND(G612&lt;&gt;"LIBSETS_SETTYPE_BATTLEGROUND",G612&lt;&gt;"LIBSETS_SETTYPE_SPECIAL"),IF(AV612&lt;&gt;"",VLOOKUP(AV612,'ESO zone constants'!$D$5:$H$4955,5,FALSE),""),"")</f>
        <v/>
      </c>
      <c r="AW612" s="42"/>
      <c r="AX612" s="41"/>
      <c r="AY612" s="41"/>
      <c r="AZ612" s="80" t="s">
        <v>2645</v>
      </c>
      <c r="BA612" s="80" t="s">
        <v>3908</v>
      </c>
      <c r="BB612" s="80" t="s">
        <v>3908</v>
      </c>
      <c r="BC612" s="38"/>
      <c r="BD612" s="38"/>
      <c r="BE612" s="21" t="str">
        <f t="shared" si="55"/>
        <v>[693] = {wayshrines={546,546,546,}, dlcId=DLC_SCIONS_OF_ITHELIA</v>
      </c>
      <c r="BF612" s="21" t="str">
        <f t="shared" si="56"/>
        <v>, zoneIds={1413,1413,1413,1413,1413}, veteran=false</v>
      </c>
      <c r="BG612" s="21" t="str">
        <f t="shared" si="57"/>
        <v>, setType=LIBSETS_SETTYPE_MYTHIC</v>
      </c>
      <c r="BH612" s="21"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 t="shared" si="59"/>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 t="shared" si="54"/>
        <v>694</v>
      </c>
      <c r="G613" s="91" t="s">
        <v>1671</v>
      </c>
      <c r="I613" t="s">
        <v>91</v>
      </c>
      <c r="J613" t="s">
        <v>91</v>
      </c>
      <c r="K613" s="36">
        <v>538</v>
      </c>
      <c r="L613" s="36">
        <v>543</v>
      </c>
      <c r="M613" s="36">
        <v>546</v>
      </c>
      <c r="Q613" s="3">
        <f>IF(AND(P613&lt;&gt;"",ISNUMBER(P613),NOT(ISNA(P613))),P613,IF(R613&lt;&gt;"",VLOOKUP(R613,'ESO zone constants'!$D$5:$H$10003,5,FALSE),""))</f>
        <v>1414</v>
      </c>
      <c r="R613" t="str">
        <f>IF(AND(O613&lt;&gt;"",NOT(ISERROR(O613))),O613,
IF(AND(P613&lt;&gt;"",ISNUMBER(P613),P613&gt;0,NOT(ISNA(P613))),VLOOKUP(P613,'ESO zone constants'!$A$5:$D$10001,4,FALSE),
IF(AND(K613&lt;&gt;"",K613&gt;0,NOT(ISERROR(K613))),VLOOKUP(K613,'ESO dumped WayshrineInfo'!$K$3:$N$9972,4,FALSE),"")))</f>
        <v>Telvanni Peninsula</v>
      </c>
      <c r="S613" s="61" t="s">
        <v>3629</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B613" s="33" t="s">
        <v>1552</v>
      </c>
      <c r="AC613" s="3" t="s">
        <v>3834</v>
      </c>
      <c r="AD613" s="3" t="s">
        <v>3840</v>
      </c>
      <c r="AE613" s="3">
        <v>1416</v>
      </c>
      <c r="AF613" s="3">
        <f>IF(AND(G613&lt;&gt;"LIBSETS_SETTYPE_BATTLEGROUND",G613&lt;&gt;"LIBSETS_SETTYPE_SPECIAL"),
IF(AND(AE613&lt;&gt;"",ISNUMBER(AE613),NOT(ISNA(AE613))),AE613,
   IF(AND(M613&lt;&gt;"",ISNUMBER(M613),M613&gt;0,NOT(ISNA(M613))),VLOOKUP(M613,'ESO dumped WayshrineInfo'!$K$3:$L$9972,2,FALSE),"")
),"")</f>
        <v>1416</v>
      </c>
      <c r="AG613" t="str">
        <f>IF(AND(AF613&lt;&gt;"",ISNUMBER(AF613),NOT(ISNA(AF613))),VLOOKUP(AF613,'ESO zone constants'!$A$5:$D$10001,4,FALSE),"")</f>
        <v>The Underweave</v>
      </c>
      <c r="AH613" s="33" t="s">
        <v>1553</v>
      </c>
      <c r="AI613" s="3" t="s">
        <v>3680</v>
      </c>
      <c r="AJ613" s="3" t="s">
        <v>3835</v>
      </c>
      <c r="AK613" s="3">
        <f>IF(AND(G614&lt;&gt;"LIBSETS_SETTYPE_BATTLEGROUND",G614&lt;&gt;"LIBSETS_SETTYPE_SPECIAL"),IF(AL613&lt;&gt;"",VLOOKUP(AL613,'ESO zone constants'!$D$5:$H$4955,5,FALSE),""),"")</f>
        <v>849</v>
      </c>
      <c r="AL613" t="s">
        <v>529</v>
      </c>
      <c r="AM613" s="33" t="s">
        <v>3202</v>
      </c>
      <c r="AN613" s="3" t="s">
        <v>3836</v>
      </c>
      <c r="AO613" s="3" t="s">
        <v>3837</v>
      </c>
      <c r="AP613" s="3">
        <f>IF(AND(G614&lt;&gt;"LIBSETS_SETTYPE_BATTLEGROUND",G614&lt;&gt;"LIBSETS_SETTYPE_SPECIAL"),IF(AQ613&lt;&gt;"",VLOOKUP(AQ613,'ESO zone constants'!$D$5:$H$4955,5,FALSE),""),"")</f>
        <v>1390</v>
      </c>
      <c r="AQ613" t="s">
        <v>3565</v>
      </c>
      <c r="AR613" s="33" t="s">
        <v>3199</v>
      </c>
      <c r="AS613" s="3" t="s">
        <v>3838</v>
      </c>
      <c r="AT613" s="3" t="s">
        <v>3839</v>
      </c>
      <c r="AU613" s="3" t="str">
        <f>IF(AND(G613&lt;&gt;"LIBSETS_SETTYPE_BATTLEGROUND",G613&lt;&gt;"LIBSETS_SETTYPE_SPECIAL"),IF(AV613&lt;&gt;"",VLOOKUP(AV613,'ESO zone constants'!$D$5:$H$4955,5,FALSE),""),"")</f>
        <v/>
      </c>
      <c r="BA613" s="92" t="s">
        <v>3872</v>
      </c>
      <c r="BB613" s="92" t="s">
        <v>3872</v>
      </c>
      <c r="BE613" s="21" t="str">
        <f t="shared" si="55"/>
        <v>[694] = {wayshrines={538,543,546,}, dlcId=DLC_NECROM</v>
      </c>
      <c r="BF613" s="21" t="str">
        <f t="shared" si="56"/>
        <v>, zoneIds={1414,1413,1416,849,1390}, veteran=false</v>
      </c>
      <c r="BG613" s="21" t="str">
        <f t="shared" si="57"/>
        <v>, setType=LIBSETS_SETTYPE_MYTHIC</v>
      </c>
      <c r="BH613" s="21"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 t="shared" si="59"/>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 t="shared" si="54"/>
        <v>695</v>
      </c>
      <c r="G614" s="8" t="s">
        <v>1467</v>
      </c>
      <c r="I614" t="s">
        <v>91</v>
      </c>
      <c r="J614" t="s">
        <v>91</v>
      </c>
      <c r="K614">
        <v>542</v>
      </c>
      <c r="L614">
        <v>542</v>
      </c>
      <c r="M614">
        <v>542</v>
      </c>
      <c r="N614">
        <v>5</v>
      </c>
      <c r="Q614" s="3">
        <f>IF(AND(P614&lt;&gt;"",ISNUMBER(P614),NOT(ISNA(P614))),P614,IF(R614&lt;&gt;"",VLOOKUP(R614,'ESO zone constants'!$D$5:$H$10003,5,FALSE),""))</f>
        <v>1413</v>
      </c>
      <c r="R614" t="str">
        <f>IF(AND(O614&lt;&gt;"",NOT(ISERROR(O614))),O614,
IF(AND(P614&lt;&gt;"",ISNUMBER(P614),P614&gt;0,NOT(ISNA(P614))),VLOOKUP(P614,'ESO zone constants'!$A$5:$D$10001,4,FALSE),
IF(AND(K614&lt;&gt;"",K614&gt;0,NOT(ISERROR(K614))),VLOOKUP(K614,'ESO dumped WayshrineInfo'!$K$3:$N$9972,4,FALSE),"")))</f>
        <v>Apocrypha</v>
      </c>
      <c r="S614" s="61" t="s">
        <v>3629</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WayshrineInfo'!$K$3:$L$9972,2,FALSE),"")
),"")</f>
        <v>1413</v>
      </c>
      <c r="AA614" t="str">
        <f>IF(AND(Z614&lt;&gt;"",ISNUMBER(Z614),NOT(ISNA(Z614))),VLOOKUP(Z614,'ESO zone constants'!$A$5:$D$10001,4,FALSE),"")</f>
        <v>Apocrypha</v>
      </c>
      <c r="AF614" s="3">
        <f>IF(AND(G614&lt;&gt;"LIBSETS_SETTYPE_BATTLEGROUND",G614&lt;&gt;"LIBSETS_SETTYPE_SPECIAL"),
IF(AND(AE614&lt;&gt;"",ISNUMBER(AE614),NOT(ISNA(AE614))),AE614,
   IF(AND(M614&lt;&gt;"",ISNUMBER(M614),M614&gt;0,NOT(ISNA(M614))),VLOOKUP(M614,'ESO dumped WayshrineInfo'!$K$3:$L$9972,2,FALSE),"")
),"")</f>
        <v>1413</v>
      </c>
      <c r="AG614" t="str">
        <f>IF(AND(AF614&lt;&gt;"",ISNUMBER(AF614),NOT(ISNA(AF614))),VLOOKUP(AF614,'ESO zone constants'!$A$5:$D$10001,4,FALSE),"")</f>
        <v>Apocrypha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5"/>
        <v>[695] = {wayshrines={542,542,542,}, traitsNeeded=5, dlcId=DLC_NECROM</v>
      </c>
      <c r="BF614" s="21" t="str">
        <f t="shared" si="56"/>
        <v>, zoneIds={1413,1413,1413}, veteran=false</v>
      </c>
      <c r="BG614" s="21" t="str">
        <f t="shared" si="57"/>
        <v>, setType=LIBSETS_SETTYPE_CRAFTED</v>
      </c>
      <c r="BH614" s="21" t="str">
        <f t="shared" si="58"/>
        <v>, dropMechanic={LIBSETS_DROP_MECHANIC_CRAFTED}</v>
      </c>
      <c r="BI614" s="21" t="str">
        <f t="shared" si="59"/>
        <v>}, -- Shattered Fate /  Shattered Fate   [Apocrypha, Apocrypha, Apocrypha]</v>
      </c>
    </row>
    <row r="615" spans="1:61" x14ac:dyDescent="0.25">
      <c r="A615" s="5">
        <v>696</v>
      </c>
      <c r="B615" s="36" t="s">
        <v>3634</v>
      </c>
      <c r="C615" s="36" t="s">
        <v>3634</v>
      </c>
      <c r="D615" s="3">
        <f t="shared" si="54"/>
        <v>696</v>
      </c>
      <c r="G615" s="8" t="s">
        <v>1467</v>
      </c>
      <c r="I615" t="s">
        <v>91</v>
      </c>
      <c r="J615" t="s">
        <v>91</v>
      </c>
      <c r="K615">
        <v>535</v>
      </c>
      <c r="L615">
        <v>535</v>
      </c>
      <c r="M615">
        <v>535</v>
      </c>
      <c r="N615">
        <v>3</v>
      </c>
      <c r="Q615" s="3">
        <f>IF(AND(P615&lt;&gt;"",ISNUMBER(P615),NOT(ISNA(P615))),P615,IF(R615&lt;&gt;"",VLOOKUP(R615,'ESO zone constants'!$D$5:$H$10003,5,FALSE),""))</f>
        <v>1414</v>
      </c>
      <c r="R615" t="str">
        <f>IF(AND(O615&lt;&gt;"",NOT(ISERROR(O615))),O615,
IF(AND(P615&lt;&gt;"",ISNUMBER(P615),P615&gt;0,NOT(ISNA(P615))),VLOOKUP(P615,'ESO zone constants'!$A$5:$D$10001,4,FALSE),
IF(AND(K615&lt;&gt;"",K615&gt;0,NOT(ISERROR(K615))),VLOOKUP(K615,'ESO dumped WayshrineInfo'!$K$3:$N$9972,4,FALSE),"")))</f>
        <v>Telvanni Peninsula</v>
      </c>
      <c r="S615" s="61" t="s">
        <v>3629</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WayshrineInfo'!$K$3:$L$9972,2,FALSE),"")
),"")</f>
        <v>1414</v>
      </c>
      <c r="AA615" t="str">
        <f>IF(AND(Z615&lt;&gt;"",ISNUMBER(Z615),NOT(ISNA(Z615))),VLOOKUP(Z615,'ESO zone constants'!$A$5:$D$10001,4,FALSE),"")</f>
        <v>Telvanni Peninsula</v>
      </c>
      <c r="AF615" s="3">
        <f>IF(AND(G615&lt;&gt;"LIBSETS_SETTYPE_BATTLEGROUND",G615&lt;&gt;"LIBSETS_SETTYPE_SPECIAL"),
IF(AND(AE615&lt;&gt;"",ISNUMBER(AE615),NOT(ISNA(AE615))),AE615,
   IF(AND(M615&lt;&gt;"",ISNUMBER(M615),M615&gt;0,NOT(ISNA(M615))),VLOOKUP(M615,'ESO dumped WayshrineInfo'!$K$3:$L$9972,2,FALSE),"")
),"")</f>
        <v>1414</v>
      </c>
      <c r="AG615" t="str">
        <f>IF(AND(AF615&lt;&gt;"",ISNUMBER(AF615),NOT(ISNA(AF615))),VLOOKUP(AF615,'ESO zone constants'!$A$5:$D$10001,4,FALSE),"")</f>
        <v>Telvanni Peninsula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5"/>
        <v>[696] = {wayshrines={535,535,535,}, traitsNeeded=3, dlcId=DLC_NECROM</v>
      </c>
      <c r="BF615" s="21" t="str">
        <f t="shared" si="56"/>
        <v>, zoneIds={1414,1414,1414}, veteran=false</v>
      </c>
      <c r="BG615" s="21" t="str">
        <f t="shared" si="57"/>
        <v>, setType=LIBSETS_SETTYPE_CRAFTED</v>
      </c>
      <c r="BH615" s="21" t="str">
        <f t="shared" si="58"/>
        <v>, dropMechanic={LIBSETS_DROP_MECHANIC_CRAFTED}</v>
      </c>
      <c r="BI615" s="21" t="str">
        <f t="shared" si="59"/>
        <v>}, -- Telvanni Efficiency /  Telvanni Efficiency   [Telvanni Peninsula, Telvanni Peninsula, Telvanni Peninsula]</v>
      </c>
    </row>
    <row r="616" spans="1:61" x14ac:dyDescent="0.25">
      <c r="A616" s="5">
        <v>697</v>
      </c>
      <c r="B616" s="36" t="s">
        <v>3635</v>
      </c>
      <c r="C616" s="36" t="s">
        <v>3635</v>
      </c>
      <c r="D616" s="3">
        <f t="shared" si="54"/>
        <v>697</v>
      </c>
      <c r="G616" s="8" t="s">
        <v>1467</v>
      </c>
      <c r="I616" t="s">
        <v>91</v>
      </c>
      <c r="J616" t="s">
        <v>91</v>
      </c>
      <c r="K616">
        <v>546</v>
      </c>
      <c r="L616">
        <v>546</v>
      </c>
      <c r="M616">
        <v>546</v>
      </c>
      <c r="N616">
        <v>7</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3629</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F616" s="3">
        <f>IF(AND(G616&lt;&gt;"LIBSETS_SETTYPE_BATTLEGROUND",G616&lt;&gt;"LIBSETS_SETTYPE_SPECIAL"),
IF(AND(AE616&lt;&gt;"",ISNUMBER(AE616),NOT(ISNA(AE616))),AE616,
   IF(AND(M616&lt;&gt;"",ISNUMBER(M616),M616&gt;0,NOT(ISNA(M616))),VLOOKUP(M616,'ESO dumped WayshrineInfo'!$K$3:$L$9972,2,FALSE),"")
),"")</f>
        <v>1413</v>
      </c>
      <c r="AG616" t="str">
        <f>IF(AND(AF616&lt;&gt;"",ISNUMBER(AF616),NOT(ISNA(AF616))),VLOOKUP(AF616,'ESO zone constants'!$A$5:$D$10001,4,FALSE),"")</f>
        <v>Apocrypha</v>
      </c>
      <c r="AH616" s="42"/>
      <c r="AK616" s="3" t="str">
        <f>IF(AND(G616&lt;&gt;"LIBSETS_SETTYPE_BATTLEGROUND",G616&lt;&gt;"LIBSETS_SETTYPE_SPECIAL"),IF(AL616&lt;&gt;"",VLOOKUP(AL616,'ESO zone constants'!$D$5:$H$4955,5,FALSE),""),"")</f>
        <v/>
      </c>
      <c r="AM616" s="42"/>
      <c r="AP616" s="3" t="str">
        <f>IF(AND(G616&lt;&gt;"LIBSETS_SETTYPE_BATTLEGROUND",G616&lt;&gt;"LIBSETS_SETTYPE_SPECIAL"),IF(AQ616&lt;&gt;"",VLOOKUP(AQ616,'ESO zone constants'!$D$5:$H$4955,5,FALSE),""),"")</f>
        <v/>
      </c>
      <c r="AR616" s="42"/>
      <c r="AU616" s="3" t="str">
        <f>IF(AND(G616&lt;&gt;"LIBSETS_SETTYPE_BATTLEGROUND",G616&lt;&gt;"LIBSETS_SETTYPE_SPECIAL"),IF(AV616&lt;&gt;"",VLOOKUP(AV616,'ESO zone constants'!$D$5:$H$4955,5,FALSE),""),"")</f>
        <v/>
      </c>
      <c r="BE616" s="21" t="str">
        <f t="shared" si="55"/>
        <v>[697] = {wayshrines={546,546,546,}, traitsNeeded=7, dlcId=DLC_NECROM</v>
      </c>
      <c r="BF616" s="21" t="str">
        <f t="shared" si="56"/>
        <v>, zoneIds={1413,1413,1413}, veteran=false</v>
      </c>
      <c r="BG616" s="21" t="str">
        <f t="shared" si="57"/>
        <v>, setType=LIBSETS_SETTYPE_CRAFTED</v>
      </c>
      <c r="BH616" s="21" t="str">
        <f t="shared" si="58"/>
        <v>, dropMechanic={LIBSETS_DROP_MECHANIC_CRAFTED}</v>
      </c>
      <c r="BI616" s="21" t="str">
        <f t="shared" si="59"/>
        <v>}, -- Seeker Synthesis /  Seeker Synthesis   [Apocrypha, Apocrypha, Apocrypha]</v>
      </c>
    </row>
    <row r="617" spans="1:61" x14ac:dyDescent="0.25">
      <c r="A617" s="5">
        <v>698</v>
      </c>
      <c r="B617" s="36" t="s">
        <v>3646</v>
      </c>
      <c r="C617" s="36" t="s">
        <v>3646</v>
      </c>
      <c r="D617" s="3">
        <f t="shared" si="54"/>
        <v>698</v>
      </c>
      <c r="G617" s="8" t="s">
        <v>1473</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3629</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1551</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1554</v>
      </c>
      <c r="AK617" s="3">
        <f>IF(AND(G617&lt;&gt;"LIBSETS_SETTYPE_BATTLEGROUND",G617&lt;&gt;"LIBSETS_SETTYPE_SPECIAL"),IF(AL617&lt;&gt;"",VLOOKUP(AL617,'ESO zone constants'!$D$5:$H$4955,5,FALSE),""),"")</f>
        <v>1416</v>
      </c>
      <c r="AL617" t="s">
        <v>3680</v>
      </c>
      <c r="AM617" s="42" t="s">
        <v>1553</v>
      </c>
      <c r="AP617" s="3">
        <f>IF(AND(G617&lt;&gt;"LIBSETS_SETTYPE_BATTLEGROUND",G617&lt;&gt;"LIBSETS_SETTYPE_SPECIAL"),IF(AQ617&lt;&gt;"",VLOOKUP(AQ617,'ESO zone constants'!$D$5:$H$4955,5,FALSE),""),"")</f>
        <v>1413</v>
      </c>
      <c r="AQ617" t="s">
        <v>3609</v>
      </c>
      <c r="AR617" s="42" t="s">
        <v>3213</v>
      </c>
      <c r="AU617" s="3">
        <f>IF(AND(G617&lt;&gt;"LIBSETS_SETTYPE_BATTLEGROUND",G617&lt;&gt;"LIBSETS_SETTYPE_SPECIAL"),IF(AV617&lt;&gt;"",VLOOKUP(AV617,'ESO zone constants'!$D$5:$H$4955,5,FALSE),""),"")</f>
        <v>1413</v>
      </c>
      <c r="AV617" t="s">
        <v>3609</v>
      </c>
      <c r="AW617" s="33" t="s">
        <v>1552</v>
      </c>
      <c r="BE617" s="21" t="str">
        <f t="shared" si="55"/>
        <v>[698] = {wayshrines={541,540,535,}, dlcId=DLC_NECROM</v>
      </c>
      <c r="BF617" s="21" t="str">
        <f t="shared" si="56"/>
        <v>, zoneIds={1413,1413,1414,1416,1413,1413}, veteran=false</v>
      </c>
      <c r="BG617" s="21" t="str">
        <f t="shared" si="57"/>
        <v>, setType=LIBSETS_SETTYPE_OVERLAND</v>
      </c>
      <c r="BH617" s="21" t="str">
        <f t="shared" si="58"/>
        <v>, dropMechanic={LIBSETS_DROP_MECHANIC_CRAFTED,LIBSETS_DROP_MECHANIC_OVERLAND_BOSS_DELVE,LIBSETS_DROP_MECHANIC_OVERLAND_CHEST,LIBSETS_DROP_MECHANIC_OVERLAND_BOSS_PUBLIC_DUNGEON,LIBSETS_DROP_MECHANIC_OVERLAND_LOOT,LIBSETS_DROP_MECHANIC_OVERLAND_WORLDBOSS}</v>
      </c>
      <c r="BI617" s="21" t="str">
        <f t="shared" si="59"/>
        <v>}, -- Vivec\'s Duality /  Vivec\'s Duality   [Apocrypha, Apocrypha, Telvanni Peninsula, The Underweave, Apocrypha, Apocrypha]</v>
      </c>
    </row>
    <row r="618" spans="1:61" x14ac:dyDescent="0.25">
      <c r="A618" s="5">
        <v>699</v>
      </c>
      <c r="B618" s="36" t="s">
        <v>3636</v>
      </c>
      <c r="C618" s="36" t="s">
        <v>3636</v>
      </c>
      <c r="D618" s="3">
        <f t="shared" si="54"/>
        <v>699</v>
      </c>
      <c r="G618" s="8" t="s">
        <v>1473</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3629</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1551</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1554</v>
      </c>
      <c r="AK618" s="3">
        <f>IF(AND(G618&lt;&gt;"LIBSETS_SETTYPE_BATTLEGROUND",G618&lt;&gt;"LIBSETS_SETTYPE_SPECIAL"),IF(AL618&lt;&gt;"",VLOOKUP(AL618,'ESO zone constants'!$D$5:$H$4955,5,FALSE),""),"")</f>
        <v>1416</v>
      </c>
      <c r="AL618" t="s">
        <v>3680</v>
      </c>
      <c r="AM618" s="42" t="s">
        <v>1553</v>
      </c>
      <c r="AP618" s="3">
        <f>IF(AND(G618&lt;&gt;"LIBSETS_SETTYPE_BATTLEGROUND",G618&lt;&gt;"LIBSETS_SETTYPE_SPECIAL"),IF(AQ618&lt;&gt;"",VLOOKUP(AQ618,'ESO zone constants'!$D$5:$H$4955,5,FALSE),""),"")</f>
        <v>1413</v>
      </c>
      <c r="AQ618" t="s">
        <v>3609</v>
      </c>
      <c r="AR618" s="42" t="s">
        <v>3213</v>
      </c>
      <c r="AU618" s="3">
        <f>IF(AND(G618&lt;&gt;"LIBSETS_SETTYPE_BATTLEGROUND",G618&lt;&gt;"LIBSETS_SETTYPE_SPECIAL"),IF(AV618&lt;&gt;"",VLOOKUP(AV618,'ESO zone constants'!$D$5:$H$4955,5,FALSE),""),"")</f>
        <v>1413</v>
      </c>
      <c r="AV618" t="s">
        <v>3609</v>
      </c>
      <c r="AW618" s="33" t="s">
        <v>1552</v>
      </c>
      <c r="BE618" s="21" t="str">
        <f t="shared" si="55"/>
        <v>[699] = {wayshrines={541,540,535,}, dlcId=DLC_NECROM</v>
      </c>
      <c r="BF618" s="21" t="str">
        <f t="shared" si="56"/>
        <v>, zoneIds={1413,1413,1414,1416,1413,1413}, veteran=false</v>
      </c>
      <c r="BG618" s="21" t="str">
        <f t="shared" si="57"/>
        <v>, setType=LIBSETS_SETTYPE_OVERLAND</v>
      </c>
      <c r="BH618" s="21" t="str">
        <f t="shared" si="58"/>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59"/>
        <v>}, -- Camonna Tong /  Camonna Tong   [Apocrypha, Apocrypha, Telvanni Peninsula, The Underweave, Apocrypha, Apocrypha]</v>
      </c>
    </row>
    <row r="619" spans="1:61" x14ac:dyDescent="0.25">
      <c r="A619" s="5">
        <v>700</v>
      </c>
      <c r="B619" s="36" t="s">
        <v>3637</v>
      </c>
      <c r="C619" s="36" t="s">
        <v>3637</v>
      </c>
      <c r="D619" s="3">
        <f t="shared" si="54"/>
        <v>700</v>
      </c>
      <c r="G619" s="8" t="s">
        <v>1473</v>
      </c>
      <c r="I619" t="s">
        <v>91</v>
      </c>
      <c r="J619" t="s">
        <v>91</v>
      </c>
      <c r="K619">
        <v>541</v>
      </c>
      <c r="L619">
        <v>540</v>
      </c>
      <c r="M619">
        <v>535</v>
      </c>
      <c r="Q619" s="3">
        <f>IF(AND(P619&lt;&gt;"",ISNUMBER(P619),NOT(ISNA(P619))),P619,IF(R619&lt;&gt;"",VLOOKUP(R619,'ESO zone constants'!$D$5:$H$10003,5,FALSE),""))</f>
        <v>1413</v>
      </c>
      <c r="R619" t="str">
        <f>IF(AND(O619&lt;&gt;"",NOT(ISERROR(O619))),O619,
IF(AND(P619&lt;&gt;"",ISNUMBER(P619),P619&gt;0,NOT(ISNA(P619))),VLOOKUP(P619,'ESO zone constants'!$A$5:$D$10001,4,FALSE),
IF(AND(K619&lt;&gt;"",K619&gt;0,NOT(ISERROR(K619))),VLOOKUP(K619,'ESO dumped WayshrineInfo'!$K$3:$N$9972,4,FALSE),"")))</f>
        <v>Apocrypha</v>
      </c>
      <c r="S619" s="61" t="s">
        <v>3629</v>
      </c>
      <c r="T619" s="19" t="str">
        <f>IF(AND(S619&lt;&gt;"",NOT(ISERROR(S619))),S619,IF(Q619&lt;&gt;"",IF(NOT(ISERROR(VLOOKUP(Q619,'ESO Dungeon constants'!$D$3:$H$9999,5,FALSE))),VLOOKUP(Q619,'ESO Dungeon constants'!$D$3:$I$9999,6,FALSE),VLOOKUP(Q619,'ESO zone constants'!$H$3:$K$9989,4,FALSE)),""))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WayshrineInfo'!$K$3:$L$9972,2,FALSE),"")
),"")</f>
        <v>1413</v>
      </c>
      <c r="AA619" t="str">
        <f>IF(AND(Z619&lt;&gt;"",ISNUMBER(Z619),NOT(ISNA(Z619))),VLOOKUP(Z619,'ESO zone constants'!$A$5:$D$10001,4,FALSE),"")</f>
        <v>Apocrypha</v>
      </c>
      <c r="AB619" s="33" t="s">
        <v>1551</v>
      </c>
      <c r="AE619" s="110"/>
      <c r="AF619" s="3">
        <f>IF(AND(G619&lt;&gt;"LIBSETS_SETTYPE_BATTLEGROUND",G619&lt;&gt;"LIBSETS_SETTYPE_SPECIAL"),
IF(AND(AE619&lt;&gt;"",ISNUMBER(AE619),NOT(ISNA(AE619))),AE619,
   IF(AND(M619&lt;&gt;"",ISNUMBER(M619),M619&gt;0,NOT(ISNA(M619))),VLOOKUP(M619,'ESO dumped WayshrineInfo'!$K$3:$L$9972,2,FALSE),"")
),"")</f>
        <v>1414</v>
      </c>
      <c r="AG619" t="str">
        <f>IF(AND(AF619&lt;&gt;"",ISNUMBER(AF619),NOT(ISNA(AF619))),VLOOKUP(AF619,'ESO zone constants'!$A$5:$D$10001,4,FALSE),"")</f>
        <v>Telvanni Peninsula</v>
      </c>
      <c r="AH619" s="42" t="s">
        <v>1554</v>
      </c>
      <c r="AK619" s="3">
        <f>IF(AND(G619&lt;&gt;"LIBSETS_SETTYPE_BATTLEGROUND",G619&lt;&gt;"LIBSETS_SETTYPE_SPECIAL"),IF(AL619&lt;&gt;"",VLOOKUP(AL619,'ESO zone constants'!$D$5:$H$4955,5,FALSE),""),"")</f>
        <v>1416</v>
      </c>
      <c r="AL619" t="s">
        <v>3680</v>
      </c>
      <c r="AM619" s="42" t="s">
        <v>1554</v>
      </c>
      <c r="AP619" s="3">
        <f>IF(AND(G619&lt;&gt;"LIBSETS_SETTYPE_BATTLEGROUND",G619&lt;&gt;"LIBSETS_SETTYPE_SPECIAL"),IF(AQ619&lt;&gt;"",VLOOKUP(AQ619,'ESO zone constants'!$D$5:$H$4955,5,FALSE),""),"")</f>
        <v>1413</v>
      </c>
      <c r="AQ619" t="s">
        <v>3609</v>
      </c>
      <c r="AR619" s="42" t="s">
        <v>3213</v>
      </c>
      <c r="AU619" s="3">
        <f>IF(AND(G619&lt;&gt;"LIBSETS_SETTYPE_BATTLEGROUND",G619&lt;&gt;"LIBSETS_SETTYPE_SPECIAL"),IF(AV619&lt;&gt;"",VLOOKUP(AV619,'ESO zone constants'!$D$5:$H$4955,5,FALSE),""),"")</f>
        <v>1413</v>
      </c>
      <c r="AV619" t="s">
        <v>3609</v>
      </c>
      <c r="AW619" s="33" t="s">
        <v>1552</v>
      </c>
      <c r="BE619" s="21" t="str">
        <f t="shared" si="55"/>
        <v>[700] = {wayshrines={541,540,535,}, dlcId=DLC_NECROM</v>
      </c>
      <c r="BF619" s="21" t="str">
        <f t="shared" si="56"/>
        <v>, zoneIds={1413,1413,1414,1416,1413,1413}, veteran=false</v>
      </c>
      <c r="BG619" s="21" t="str">
        <f t="shared" si="57"/>
        <v>, setType=LIBSETS_SETTYPE_OVERLAND</v>
      </c>
      <c r="BH619" s="21" t="str">
        <f t="shared" si="58"/>
        <v>, dropMechanic={LIBSETS_DROP_MECHANIC_OVERLAND_WORLDBOSS,LIBSETS_DROP_MECHANIC_OVERLAND_BOSS_DELVE,LIBSETS_DROP_MECHANIC_OVERLAND_CHEST,LIBSETS_DROP_MECHANIC_OVERLAND_CHEST,LIBSETS_DROP_MECHANIC_OVERLAND_LOOT,LIBSETS_DROP_MECHANIC_OVERLAND_WORLDBOSS}</v>
      </c>
      <c r="BI619" s="21" t="str">
        <f t="shared" si="59"/>
        <v>}, -- Adamant Lurker /  Adamant Lurker   [Apocrypha, Apocrypha, Telvanni Peninsula, The Underweave, Apocrypha, Apocrypha]</v>
      </c>
    </row>
    <row r="620" spans="1:61" x14ac:dyDescent="0.25">
      <c r="A620" s="5">
        <v>701</v>
      </c>
      <c r="B620" s="36" t="s">
        <v>3638</v>
      </c>
      <c r="C620" s="36" t="s">
        <v>3638</v>
      </c>
      <c r="D620" s="3">
        <f t="shared" si="54"/>
        <v>701</v>
      </c>
      <c r="G620" s="8" t="s">
        <v>1474</v>
      </c>
      <c r="I620" t="s">
        <v>91</v>
      </c>
      <c r="J620" t="s">
        <v>91</v>
      </c>
      <c r="K620">
        <v>534</v>
      </c>
      <c r="L620">
        <v>534</v>
      </c>
      <c r="M620">
        <v>534</v>
      </c>
      <c r="O620" s="61" t="s">
        <v>3672</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3254</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2">
        <v>708</v>
      </c>
      <c r="BE620" s="21" t="str">
        <f t="shared" si="55"/>
        <v>[701] = {wayshrines={534,534,534,}, dlcId=DLC_SCRIBES_OF_FATE</v>
      </c>
      <c r="BF620" s="21" t="str">
        <f t="shared" si="56"/>
        <v>, zoneIds={1427,1427,1427}, veteran=false</v>
      </c>
      <c r="BG620" s="21" t="str">
        <f t="shared" si="57"/>
        <v>, setType=LIBSETS_SETTYPE_TRIAL</v>
      </c>
      <c r="BH620" s="21" t="str">
        <f t="shared" si="58"/>
        <v>, dropMechanic={LIBSETS_DROP_MECHANIC_TRIAL_BOSS,LIBSETS_DROP_MECHANIC_TRIAL_BOSS,LIBSETS_DROP_MECHANIC_TRIAL_BOSS}, perfectedSetId=708</v>
      </c>
      <c r="BI620" s="21" t="str">
        <f t="shared" si="59"/>
        <v>}, -- Peace and Serenity /  Peace and Serenity   [Sanity's Edge, Sanity's Edge, Sanity's Edge]</v>
      </c>
    </row>
    <row r="621" spans="1:61" x14ac:dyDescent="0.25">
      <c r="A621" s="5">
        <v>702</v>
      </c>
      <c r="B621" s="36" t="s">
        <v>3645</v>
      </c>
      <c r="C621" s="36" t="s">
        <v>3645</v>
      </c>
      <c r="D621" s="3">
        <f t="shared" si="54"/>
        <v>702</v>
      </c>
      <c r="G621" s="8" t="s">
        <v>1474</v>
      </c>
      <c r="I621" t="s">
        <v>91</v>
      </c>
      <c r="J621" t="s">
        <v>91</v>
      </c>
      <c r="K621">
        <v>534</v>
      </c>
      <c r="L621">
        <v>534</v>
      </c>
      <c r="M621">
        <v>534</v>
      </c>
      <c r="O621" s="61" t="s">
        <v>3672</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3254</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2">
        <v>707</v>
      </c>
      <c r="BE621" s="21" t="str">
        <f t="shared" si="55"/>
        <v>[702] = {wayshrines={534,534,534,}, dlcId=DLC_SCRIBES_OF_FATE</v>
      </c>
      <c r="BF621" s="21" t="str">
        <f t="shared" si="56"/>
        <v>, zoneIds={1427,1427,1427}, veteran=false</v>
      </c>
      <c r="BG621" s="21" t="str">
        <f t="shared" si="57"/>
        <v>, setType=LIBSETS_SETTYPE_TRIAL</v>
      </c>
      <c r="BH621" s="21" t="str">
        <f t="shared" si="58"/>
        <v>, dropMechanic={LIBSETS_DROP_MECHANIC_TRIAL_BOSS,LIBSETS_DROP_MECHANIC_TRIAL_BOSS,LIBSETS_DROP_MECHANIC_TRIAL_BOSS}, perfectedSetId=707</v>
      </c>
      <c r="BI621" s="21" t="str">
        <f t="shared" si="59"/>
        <v>}, -- Ansuul\'s Torment /  Ansuul\'s Torment   [Sanity's Edge, Sanity's Edge, Sanity's Edge]</v>
      </c>
    </row>
    <row r="622" spans="1:61" x14ac:dyDescent="0.25">
      <c r="A622" s="5">
        <v>703</v>
      </c>
      <c r="B622" s="36" t="s">
        <v>3639</v>
      </c>
      <c r="C622" s="36" t="s">
        <v>3639</v>
      </c>
      <c r="D622" s="3">
        <f t="shared" si="54"/>
        <v>703</v>
      </c>
      <c r="G622" s="8" t="s">
        <v>1474</v>
      </c>
      <c r="I622" t="s">
        <v>91</v>
      </c>
      <c r="J622" t="s">
        <v>91</v>
      </c>
      <c r="K622">
        <v>534</v>
      </c>
      <c r="L622">
        <v>534</v>
      </c>
      <c r="M622">
        <v>534</v>
      </c>
      <c r="O622" s="61" t="s">
        <v>3672</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3254</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2">
        <v>706</v>
      </c>
      <c r="BE622" s="21" t="str">
        <f t="shared" si="55"/>
        <v>[703] = {wayshrines={534,534,534,}, dlcId=DLC_SCRIBES_OF_FATE</v>
      </c>
      <c r="BF622" s="21" t="str">
        <f t="shared" si="56"/>
        <v>, zoneIds={1427,1427,1427}, veteran=false</v>
      </c>
      <c r="BG622" s="21" t="str">
        <f t="shared" si="57"/>
        <v>, setType=LIBSETS_SETTYPE_TRIAL</v>
      </c>
      <c r="BH622" s="21" t="str">
        <f t="shared" si="58"/>
        <v>, dropMechanic={LIBSETS_DROP_MECHANIC_TRIAL_BOSS,LIBSETS_DROP_MECHANIC_TRIAL_BOSS,LIBSETS_DROP_MECHANIC_TRIAL_BOSS}, perfectedSetId=706</v>
      </c>
      <c r="BI622" s="21" t="str">
        <f t="shared" si="59"/>
        <v>}, -- Test of Resolve /  Test of Resolve   [Sanity's Edge, Sanity's Edge, Sanity's Edge]</v>
      </c>
    </row>
    <row r="623" spans="1:61" x14ac:dyDescent="0.25">
      <c r="A623" s="5">
        <v>704</v>
      </c>
      <c r="B623" s="36" t="s">
        <v>3640</v>
      </c>
      <c r="C623" s="36" t="s">
        <v>3640</v>
      </c>
      <c r="D623" s="3">
        <f t="shared" si="54"/>
        <v>704</v>
      </c>
      <c r="G623" s="8" t="s">
        <v>1474</v>
      </c>
      <c r="I623" t="s">
        <v>91</v>
      </c>
      <c r="J623" t="s">
        <v>91</v>
      </c>
      <c r="K623">
        <v>534</v>
      </c>
      <c r="L623">
        <v>534</v>
      </c>
      <c r="M623">
        <v>534</v>
      </c>
      <c r="O623" s="61" t="s">
        <v>3672</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3254</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2">
        <v>705</v>
      </c>
      <c r="BE623" s="21" t="str">
        <f t="shared" si="55"/>
        <v>[704] = {wayshrines={534,534,534,}, dlcId=DLC_SCRIBES_OF_FATE</v>
      </c>
      <c r="BF623" s="21" t="str">
        <f t="shared" si="56"/>
        <v>, zoneIds={1427,1427,1427}, veteran=false</v>
      </c>
      <c r="BG623" s="21" t="str">
        <f t="shared" si="57"/>
        <v>, setType=LIBSETS_SETTYPE_TRIAL</v>
      </c>
      <c r="BH623" s="21" t="str">
        <f t="shared" si="58"/>
        <v>, dropMechanic={LIBSETS_DROP_MECHANIC_TRIAL_BOSS,LIBSETS_DROP_MECHANIC_TRIAL_BOSS,LIBSETS_DROP_MECHANIC_TRIAL_BOSS}, perfectedSetId=705</v>
      </c>
      <c r="BI623" s="21" t="str">
        <f t="shared" si="59"/>
        <v>}, -- Transformative Hope /  Transformative Hope   [Sanity's Edge, Sanity's Edge, Sanity's Edge]</v>
      </c>
    </row>
    <row r="624" spans="1:61" x14ac:dyDescent="0.25">
      <c r="A624" s="5">
        <v>705</v>
      </c>
      <c r="B624" s="36" t="s">
        <v>3641</v>
      </c>
      <c r="C624" s="36" t="s">
        <v>3641</v>
      </c>
      <c r="D624" s="3">
        <f t="shared" si="54"/>
        <v>705</v>
      </c>
      <c r="G624" s="8" t="s">
        <v>1474</v>
      </c>
      <c r="I624" t="s">
        <v>92</v>
      </c>
      <c r="J624" t="s">
        <v>91</v>
      </c>
      <c r="K624">
        <v>534</v>
      </c>
      <c r="L624">
        <v>534</v>
      </c>
      <c r="M624">
        <v>534</v>
      </c>
      <c r="O624" s="61" t="s">
        <v>3672</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3254</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2" t="s">
        <v>3812</v>
      </c>
      <c r="BE624" s="21" t="str">
        <f t="shared" si="55"/>
        <v>[705] = {wayshrines={534,534,534,}, dlcId=DLC_SCRIBES_OF_FATE</v>
      </c>
      <c r="BF624" s="21" t="str">
        <f t="shared" si="56"/>
        <v>, zoneIds={1427,1427,1427}, veteran=true</v>
      </c>
      <c r="BG624" s="21" t="str">
        <f t="shared" si="57"/>
        <v>, setType=LIBSETS_SETTYPE_TRIAL</v>
      </c>
      <c r="BH624" s="21" t="str">
        <f t="shared" si="58"/>
        <v>, dropMechanic={LIBSETS_DROP_MECHANIC_TRIAL_BOSS,LIBSETS_DROP_MECHANIC_TRIAL_BOSS,LIBSETS_DROP_MECHANIC_TRIAL_BOSS}, isPerfectedSet=1</v>
      </c>
      <c r="BI624" s="21" t="str">
        <f t="shared" si="59"/>
        <v>}, -- Perfected Transformative Hope /  Perfected Transformative Hope   [Sanity's Edge, Sanity's Edge, Sanity's Edge]</v>
      </c>
    </row>
    <row r="625" spans="1:61" x14ac:dyDescent="0.25">
      <c r="A625" s="5">
        <v>706</v>
      </c>
      <c r="B625" s="36" t="s">
        <v>3642</v>
      </c>
      <c r="C625" s="36" t="s">
        <v>3642</v>
      </c>
      <c r="D625" s="3">
        <f t="shared" si="54"/>
        <v>706</v>
      </c>
      <c r="G625" s="8" t="s">
        <v>1474</v>
      </c>
      <c r="I625" t="s">
        <v>92</v>
      </c>
      <c r="J625" t="s">
        <v>91</v>
      </c>
      <c r="K625">
        <v>534</v>
      </c>
      <c r="L625">
        <v>534</v>
      </c>
      <c r="M625">
        <v>534</v>
      </c>
      <c r="O625" s="61" t="s">
        <v>3672</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3254</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2" t="s">
        <v>3812</v>
      </c>
      <c r="BE625" s="21" t="str">
        <f t="shared" si="55"/>
        <v>[706] = {wayshrines={534,534,534,}, dlcId=DLC_SCRIBES_OF_FATE</v>
      </c>
      <c r="BF625" s="21" t="str">
        <f t="shared" si="56"/>
        <v>, zoneIds={1427,1427,1427}, veteran=true</v>
      </c>
      <c r="BG625" s="21" t="str">
        <f t="shared" si="57"/>
        <v>, setType=LIBSETS_SETTYPE_TRIAL</v>
      </c>
      <c r="BH625" s="21" t="str">
        <f t="shared" si="58"/>
        <v>, dropMechanic={LIBSETS_DROP_MECHANIC_TRIAL_BOSS,LIBSETS_DROP_MECHANIC_TRIAL_BOSS,LIBSETS_DROP_MECHANIC_TRIAL_BOSS}, isPerfectedSet=1</v>
      </c>
      <c r="BI625" s="21" t="str">
        <f t="shared" si="59"/>
        <v>}, -- Perfected Test of Resolve /  Perfected Test of Resolve   [Sanity's Edge, Sanity's Edge, Sanity's Edge]</v>
      </c>
    </row>
    <row r="626" spans="1:61" x14ac:dyDescent="0.25">
      <c r="A626" s="5">
        <v>707</v>
      </c>
      <c r="B626" s="36" t="s">
        <v>3647</v>
      </c>
      <c r="C626" s="36" t="s">
        <v>3647</v>
      </c>
      <c r="D626" s="3">
        <f t="shared" si="54"/>
        <v>707</v>
      </c>
      <c r="G626" s="8" t="s">
        <v>1474</v>
      </c>
      <c r="I626" t="s">
        <v>92</v>
      </c>
      <c r="J626" t="s">
        <v>91</v>
      </c>
      <c r="K626">
        <v>534</v>
      </c>
      <c r="L626">
        <v>534</v>
      </c>
      <c r="M626">
        <v>534</v>
      </c>
      <c r="O626" s="61" t="s">
        <v>3672</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3254</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2" t="s">
        <v>3812</v>
      </c>
      <c r="BE626" s="21" t="str">
        <f t="shared" si="55"/>
        <v>[707] = {wayshrines={534,534,534,}, dlcId=DLC_SCRIBES_OF_FATE</v>
      </c>
      <c r="BF626" s="21" t="str">
        <f t="shared" si="56"/>
        <v>, zoneIds={1427,1427,1427}, veteran=true</v>
      </c>
      <c r="BG626" s="21" t="str">
        <f t="shared" si="57"/>
        <v>, setType=LIBSETS_SETTYPE_TRIAL</v>
      </c>
      <c r="BH626" s="21" t="str">
        <f t="shared" si="58"/>
        <v>, dropMechanic={LIBSETS_DROP_MECHANIC_TRIAL_BOSS,LIBSETS_DROP_MECHANIC_TRIAL_BOSS,LIBSETS_DROP_MECHANIC_TRIAL_BOSS}, isPerfectedSet=1</v>
      </c>
      <c r="BI626" s="21" t="str">
        <f t="shared" si="59"/>
        <v>}, -- Perfected Ansuul\'s Torment /  Perfected Ansuul\'s Torment   [Sanity's Edge, Sanity's Edge, Sanity's Edge]</v>
      </c>
    </row>
    <row r="627" spans="1:61" x14ac:dyDescent="0.25">
      <c r="A627" s="5">
        <v>708</v>
      </c>
      <c r="B627" s="36" t="s">
        <v>3643</v>
      </c>
      <c r="C627" s="36" t="s">
        <v>3643</v>
      </c>
      <c r="D627" s="3">
        <f t="shared" si="54"/>
        <v>708</v>
      </c>
      <c r="G627" s="8" t="s">
        <v>1474</v>
      </c>
      <c r="I627" t="s">
        <v>92</v>
      </c>
      <c r="J627" t="s">
        <v>91</v>
      </c>
      <c r="K627">
        <v>534</v>
      </c>
      <c r="L627">
        <v>534</v>
      </c>
      <c r="M627">
        <v>534</v>
      </c>
      <c r="O627" s="61" t="s">
        <v>3672</v>
      </c>
      <c r="Q627" s="3">
        <f>IF(AND(P627&lt;&gt;"",ISNUMBER(P627),NOT(ISNA(P627))),P627,IF(R627&lt;&gt;"",VLOOKUP(R627,'ESO zone constants'!$D$5:$H$10003,5,FALSE),""))</f>
        <v>1427</v>
      </c>
      <c r="R627" t="str">
        <f>IF(AND(O627&lt;&gt;"",NOT(ISERROR(O627))),O627,
IF(AND(P627&lt;&gt;"",ISNUMBER(P627),P627&gt;0,NOT(ISNA(P627))),VLOOKUP(P627,'ESO zone constants'!$A$5:$D$10001,4,FALSE),
IF(AND(K627&lt;&gt;"",K627&gt;0,NOT(ISERROR(K627))),VLOOKUP(K627,'ESO dumped WayshrineInfo'!$K$3:$N$9972,4,FALSE),"")))</f>
        <v>Sanity's Edge</v>
      </c>
      <c r="T627" s="19" t="str">
        <f>IF(AND(S627&lt;&gt;"",NOT(ISERROR(S627))),S627,IF(Q627&lt;&gt;"",IF(NOT(ISERROR(VLOOKUP(Q627,'ESO Dungeon constants'!$D$3:$H$9999,5,FALSE))),VLOOKUP(Q627,'ESO Dungeon constants'!$D$3:$I$9999,6,FALSE),VLOOKUP(Q627,'ESO zone constants'!$H$3:$K$9989,4,FALSE)),""))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WayshrineInfo'!$K$3:$L$9972,2,FALSE),"")
),"")</f>
        <v>1427</v>
      </c>
      <c r="AA627" t="str">
        <f>IF(AND(Z627&lt;&gt;"",ISNUMBER(Z627),NOT(ISNA(Z627))),VLOOKUP(Z627,'ESO zone constants'!$A$5:$D$10001,4,FALSE),"")</f>
        <v>Sanity's Edge</v>
      </c>
      <c r="AB627" s="33" t="s">
        <v>3254</v>
      </c>
      <c r="AC627" s="39"/>
      <c r="AD627" s="39"/>
      <c r="AE627" s="109">
        <v>1427</v>
      </c>
      <c r="AF627" s="3">
        <f>IF(AND(G627&lt;&gt;"LIBSETS_SETTYPE_BATTLEGROUND",G627&lt;&gt;"LIBSETS_SETTYPE_SPECIAL"),
IF(AND(AE627&lt;&gt;"",ISNUMBER(AE627),NOT(ISNA(AE627))),AE627,
   IF(AND(M627&lt;&gt;"",ISNUMBER(M627),M627&gt;0,NOT(ISNA(M627))),VLOOKUP(M627,'ESO dumped WayshrineInfo'!$K$3:$L$9972,2,FALSE),"")
),"")</f>
        <v>1427</v>
      </c>
      <c r="AG627" t="str">
        <f>IF(AND(AF627&lt;&gt;"",ISNUMBER(AF627),NOT(ISNA(AF627))),VLOOKUP(AF627,'ESO zone constants'!$A$5:$D$10001,4,FALSE),"")</f>
        <v>Sanity's Edge</v>
      </c>
      <c r="AH627" s="33" t="s">
        <v>3254</v>
      </c>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X627" s="39"/>
      <c r="AY627" s="39"/>
      <c r="AZ627" s="79"/>
      <c r="BA627" s="79"/>
      <c r="BB627" s="79"/>
      <c r="BC627" s="79"/>
      <c r="BD627" s="75" t="s">
        <v>3812</v>
      </c>
      <c r="BE627" s="21" t="str">
        <f t="shared" si="55"/>
        <v>[708] = {wayshrines={534,534,534,}, dlcId=DLC_SCRIBES_OF_FATE</v>
      </c>
      <c r="BF627" s="21" t="str">
        <f t="shared" si="56"/>
        <v>, zoneIds={1427,1427,1427}, veteran=true</v>
      </c>
      <c r="BG627" s="21" t="str">
        <f t="shared" si="57"/>
        <v>, setType=LIBSETS_SETTYPE_TRIAL</v>
      </c>
      <c r="BH627" s="21" t="str">
        <f t="shared" si="58"/>
        <v>, dropMechanic={LIBSETS_DROP_MECHANIC_TRIAL_BOSS,LIBSETS_DROP_MECHANIC_TRIAL_BOSS,LIBSETS_DROP_MECHANIC_TRIAL_BOSS}, isPerfectedSet=1</v>
      </c>
      <c r="BI627" s="21" t="str">
        <f t="shared" si="59"/>
        <v>}, -- Perfected Peace and Serenity /  Perfected Peace and Serenity   [Sanity's Edge, Sanity's Edge, Sanity's Edge]</v>
      </c>
    </row>
    <row r="628" spans="1:61" x14ac:dyDescent="0.25">
      <c r="A628" s="5">
        <v>711</v>
      </c>
      <c r="B628" s="36" t="s">
        <v>3700</v>
      </c>
      <c r="C628" s="36" t="s">
        <v>3700</v>
      </c>
      <c r="D628" s="3">
        <f t="shared" si="54"/>
        <v>711</v>
      </c>
      <c r="F628" t="s">
        <v>3704</v>
      </c>
      <c r="G628" s="8" t="s">
        <v>3703</v>
      </c>
      <c r="I628" t="s">
        <v>3710</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3709</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5" t="s">
        <v>2645</v>
      </c>
      <c r="BA628" s="75"/>
      <c r="BB628" s="75"/>
      <c r="BC628" s="75"/>
      <c r="BD628" s="75"/>
      <c r="BE628" s="21" t="str">
        <f t="shared" si="55"/>
        <v>[711] = {wayshrines={-1,-1,-1,}, dlcId=NO_DLC_UPDATE39</v>
      </c>
      <c r="BF628" s="21" t="str">
        <f t="shared" si="56"/>
        <v>, zoneIds={181,181}, veteran={[EQUIP_TYPE_HEAD]=false, [EQUIP_TYPE_SHOULDERS]=false}</v>
      </c>
      <c r="BG628" s="21" t="str">
        <f t="shared" si="57"/>
        <v>, setType=LIBSETS_SETTYPE_CYRODIIL_MONSTER</v>
      </c>
      <c r="BH628" s="21" t="str">
        <f t="shared" si="58"/>
        <v>, dropMechanic={LIBSETS_DROP_MECHANIC_AP_ELITE_GEAR_LOCKBOX_MERCHANT}</v>
      </c>
      <c r="BI628" s="21" t="str">
        <f t="shared" si="59"/>
        <v>}, --Jerall Mountains Warchief / Jerall Mountains Warchief   [Cyrodiil, Cyrodiil]</v>
      </c>
    </row>
    <row r="629" spans="1:61" x14ac:dyDescent="0.25">
      <c r="A629" s="5">
        <v>712</v>
      </c>
      <c r="B629" s="36" t="s">
        <v>3701</v>
      </c>
      <c r="C629" s="36" t="s">
        <v>3701</v>
      </c>
      <c r="D629" s="3">
        <f t="shared" si="54"/>
        <v>712</v>
      </c>
      <c r="F629" t="s">
        <v>3704</v>
      </c>
      <c r="G629" s="8" t="s">
        <v>3703</v>
      </c>
      <c r="I629" t="s">
        <v>3710</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3709</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5" t="s">
        <v>2645</v>
      </c>
      <c r="BA629" s="75"/>
      <c r="BB629" s="75"/>
      <c r="BC629" s="75"/>
      <c r="BD629" s="75"/>
      <c r="BE629" s="21" t="str">
        <f t="shared" si="55"/>
        <v>[712] = {wayshrines={-1,-1,-1,}, dlcId=NO_DLC_UPDATE39</v>
      </c>
      <c r="BF629" s="21" t="str">
        <f t="shared" si="56"/>
        <v>, zoneIds={181,181}, veteran={[EQUIP_TYPE_HEAD]=false, [EQUIP_TYPE_SHOULDERS]=false}</v>
      </c>
      <c r="BG629" s="21" t="str">
        <f t="shared" si="57"/>
        <v>, setType=LIBSETS_SETTYPE_CYRODIIL_MONSTER</v>
      </c>
      <c r="BH629" s="21" t="str">
        <f t="shared" si="58"/>
        <v>, dropMechanic={LIBSETS_DROP_MECHANIC_AP_ELITE_GEAR_LOCKBOX_MERCHANT}</v>
      </c>
      <c r="BI629" s="21" t="str">
        <f t="shared" si="59"/>
        <v>}, --Nibenay Bay Battlereeve / Nibenay Bay Battlereeve   [Cyrodiil, Cyrodiil]</v>
      </c>
    </row>
    <row r="630" spans="1:61" x14ac:dyDescent="0.25">
      <c r="A630" s="5">
        <v>713</v>
      </c>
      <c r="B630" s="36" t="s">
        <v>3702</v>
      </c>
      <c r="C630" s="36" t="s">
        <v>3702</v>
      </c>
      <c r="D630" s="3">
        <f t="shared" si="54"/>
        <v>713</v>
      </c>
      <c r="F630" t="s">
        <v>3704</v>
      </c>
      <c r="G630" s="8" t="s">
        <v>3703</v>
      </c>
      <c r="I630" t="s">
        <v>3710</v>
      </c>
      <c r="J630" t="s">
        <v>91</v>
      </c>
      <c r="K630">
        <v>-1</v>
      </c>
      <c r="L630">
        <v>-1</v>
      </c>
      <c r="M630">
        <v>-1</v>
      </c>
      <c r="O630" s="61" t="s">
        <v>125</v>
      </c>
      <c r="Q630" s="3">
        <f>IF(AND(P630&lt;&gt;"",ISNUMBER(P630),NOT(ISNA(P630))),P630,IF(R630&lt;&gt;"",VLOOKUP(R630,'ESO zone constants'!$D$5:$H$10003,5,FALSE),""))</f>
        <v>181</v>
      </c>
      <c r="R630" t="str">
        <f>IF(AND(O630&lt;&gt;"",NOT(ISERROR(O630))),O630,
IF(AND(P630&lt;&gt;"",ISNUMBER(P630),P630&gt;0,NOT(ISNA(P630))),VLOOKUP(P630,'ESO zone constants'!$A$5:$D$10001,4,FALSE),
IF(AND(K630&lt;&gt;"",K630&gt;0,NOT(ISERROR(K630))),VLOOKUP(K630,'ESO dumped WayshrineInfo'!$K$3:$N$9972,4,FALSE),"")))</f>
        <v>Cyrodiil</v>
      </c>
      <c r="S630" s="61" t="s">
        <v>3709</v>
      </c>
      <c r="T630" s="19" t="str">
        <f>IF(AND(S630&lt;&gt;"",NOT(ISERROR(S630))),S630,IF(Q630&lt;&gt;"",IF(NOT(ISERROR(VLOOKUP(Q630,'ESO Dungeon constants'!$D$3:$H$9999,5,FALSE))),VLOOKUP(Q630,'ESO Dungeon constants'!$D$3:$I$9999,6,FALSE),VLOOKUP(Q630,'ESO zone constants'!$H$3:$K$9989,4,FALSE)),""))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WayshrineInfo'!$K$3:$L$9972,2,FALSE),"")
),"")</f>
        <v>181</v>
      </c>
      <c r="AA630" t="str">
        <f>IF(AND(Z630&lt;&gt;"",ISNUMBER(Z630),NOT(ISNA(Z630))),VLOOKUP(Z630,'ESO zone constants'!$A$5:$D$10001,4,FALSE),"")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WayshrineInfo'!$K$3:$L$9972,2,FALSE),"")
),"")</f>
        <v/>
      </c>
      <c r="AG630" t="str">
        <f>IF(AND(AF630&lt;&gt;"",ISNUMBER(AF630),NOT(ISNA(AF630))),VLOOKUP(AF630,'ESO zone constants'!$A$5:$D$10001,4,FALSE),"")</f>
        <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5" t="s">
        <v>2645</v>
      </c>
      <c r="BA630" s="75"/>
      <c r="BB630" s="75"/>
      <c r="BC630" s="75"/>
      <c r="BD630" s="75"/>
      <c r="BE630" s="21" t="str">
        <f t="shared" si="55"/>
        <v>[713] = {wayshrines={-1,-1,-1,}, dlcId=NO_DLC_UPDATE39</v>
      </c>
      <c r="BF630" s="21" t="str">
        <f t="shared" si="56"/>
        <v>, zoneIds={181,181}, veteran={[EQUIP_TYPE_HEAD]=false, [EQUIP_TYPE_SHOULDERS]=false}</v>
      </c>
      <c r="BG630" s="21" t="str">
        <f t="shared" si="57"/>
        <v>, setType=LIBSETS_SETTYPE_CYRODIIL_MONSTER</v>
      </c>
      <c r="BH630" s="21" t="str">
        <f t="shared" si="58"/>
        <v>, dropMechanic={LIBSETS_DROP_MECHANIC_AP_ELITE_GEAR_LOCKBOX_MERCHANT}</v>
      </c>
      <c r="BI630" s="21" t="str">
        <f t="shared" si="59"/>
        <v>}, --Colovian Highlands General / Colovian Highlands General   [Cyrodiil, Cyrodiil]</v>
      </c>
    </row>
    <row r="631" spans="1:61" x14ac:dyDescent="0.25">
      <c r="A631" s="5">
        <v>722</v>
      </c>
      <c r="B631" t="s">
        <v>3746</v>
      </c>
      <c r="C631" t="s">
        <v>3746</v>
      </c>
      <c r="D631" s="3">
        <f t="shared" si="54"/>
        <v>722</v>
      </c>
      <c r="E631" s="36" t="s">
        <v>3758</v>
      </c>
      <c r="G631" s="3" t="s">
        <v>3738</v>
      </c>
      <c r="I631" t="s">
        <v>91</v>
      </c>
      <c r="J631" t="s">
        <v>91</v>
      </c>
      <c r="K631">
        <v>543</v>
      </c>
      <c r="L631">
        <v>543</v>
      </c>
      <c r="M631">
        <v>543</v>
      </c>
      <c r="O631" s="61" t="s">
        <v>3899</v>
      </c>
      <c r="Q631" s="3">
        <f>IF(AND(P631&lt;&gt;"",ISNUMBER(P631),NOT(ISNA(P631))),P631,IF(R631&lt;&gt;"",VLOOKUP(R631,'ESO zone constants'!$D$5:$H$10003,5,FALSE),""))</f>
        <v>1436</v>
      </c>
      <c r="R631" t="str">
        <f>IF(AND(O631&lt;&gt;"",NOT(ISERROR(O631))),O631,
IF(AND(P631&lt;&gt;"",ISNUMBER(P631),P631&gt;0,NOT(ISNA(P631))),VLOOKUP(P631,'ESO zone constants'!$A$5:$D$10001,4,FALSE),
IF(AND(K631&lt;&gt;"",K631&gt;0,NOT(ISERROR(K631))),VLOOKUP(K631,'ESO dumped WayshrineInfo'!$K$3:$N$9972,4,FALSE),"")))</f>
        <v>Infinite Archive</v>
      </c>
      <c r="S631" s="61" t="s">
        <v>3733</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6" t="s">
        <v>3735</v>
      </c>
      <c r="W631" s="3" t="s">
        <v>3758</v>
      </c>
      <c r="X631" s="3" t="s">
        <v>3863</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5" t="s">
        <v>2645</v>
      </c>
      <c r="BA631" s="75"/>
      <c r="BB631" s="75"/>
      <c r="BC631">
        <v>117</v>
      </c>
      <c r="BD631"/>
      <c r="BE631" s="21" t="str">
        <f t="shared" si="55"/>
        <v>[722] = {wayshrines={543,543,543,}, dlcId=NO_DLC_SECRET_OF_THE_TELVANNI</v>
      </c>
      <c r="BF631" s="21" t="str">
        <f t="shared" si="56"/>
        <v>, zoneIds={1436,1413,1413}, veteran=false</v>
      </c>
      <c r="BG631" s="21" t="str">
        <f t="shared" si="57"/>
        <v>, setType=LIBSETS_SETTYPE_CLASS, classId=117</v>
      </c>
      <c r="BH631" s="21" t="str">
        <f t="shared" si="58"/>
        <v>, dropMechanic={LIBSETS_DROP_MECHANIC_ENDLESS_ARCHIVE}, dropMechanicDropLocationNames={['en']={'Arcanist','','','','','',},['de']={'Arkanist','','','','','',},}</v>
      </c>
      <c r="BI631" s="21" t="str">
        <f t="shared" si="59"/>
        <v>}, --Reawakened Hierophant / Reawakened Hierophant   [Infinite Archive, Apocrypha, Apocrypha]</v>
      </c>
    </row>
    <row r="632" spans="1:61" x14ac:dyDescent="0.25">
      <c r="A632" s="5">
        <v>723</v>
      </c>
      <c r="B632" t="s">
        <v>3745</v>
      </c>
      <c r="C632" t="s">
        <v>3745</v>
      </c>
      <c r="D632" s="3">
        <f t="shared" si="54"/>
        <v>723</v>
      </c>
      <c r="E632" s="36" t="s">
        <v>3752</v>
      </c>
      <c r="G632" s="3" t="s">
        <v>3738</v>
      </c>
      <c r="I632" t="s">
        <v>91</v>
      </c>
      <c r="J632" t="s">
        <v>91</v>
      </c>
      <c r="K632">
        <v>543</v>
      </c>
      <c r="L632">
        <v>543</v>
      </c>
      <c r="M632">
        <v>543</v>
      </c>
      <c r="O632" s="61" t="s">
        <v>3899</v>
      </c>
      <c r="Q632" s="3">
        <f>IF(AND(P632&lt;&gt;"",ISNUMBER(P632),NOT(ISNA(P632))),P632,IF(R632&lt;&gt;"",VLOOKUP(R632,'ESO zone constants'!$D$5:$H$10003,5,FALSE),""))</f>
        <v>1436</v>
      </c>
      <c r="R632" t="str">
        <f>IF(AND(O632&lt;&gt;"",NOT(ISERROR(O632))),O632,
IF(AND(P632&lt;&gt;"",ISNUMBER(P632),P632&gt;0,NOT(ISNA(P632))),VLOOKUP(P632,'ESO zone constants'!$A$5:$D$10001,4,FALSE),
IF(AND(K632&lt;&gt;"",K632&gt;0,NOT(ISERROR(K632))),VLOOKUP(K632,'ESO dumped WayshrineInfo'!$K$3:$N$9972,4,FALSE),"")))</f>
        <v>Infinite Archive</v>
      </c>
      <c r="S632" s="61" t="s">
        <v>3733</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6" t="s">
        <v>3735</v>
      </c>
      <c r="W632" s="3" t="s">
        <v>3752</v>
      </c>
      <c r="X632" s="3" t="s">
        <v>3864</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5" t="s">
        <v>2645</v>
      </c>
      <c r="BA632" s="75"/>
      <c r="BB632" s="75"/>
      <c r="BC632">
        <v>1</v>
      </c>
      <c r="BD632"/>
      <c r="BE632" s="21" t="str">
        <f t="shared" si="55"/>
        <v>[723] = {wayshrines={543,543,543,}, dlcId=NO_DLC_SECRET_OF_THE_TELVANNI</v>
      </c>
      <c r="BF632" s="21" t="str">
        <f t="shared" si="56"/>
        <v>, zoneIds={1436,1413,1413}, veteran=false</v>
      </c>
      <c r="BG632" s="21" t="str">
        <f t="shared" si="57"/>
        <v>, setType=LIBSETS_SETTYPE_CLASS, classId=1</v>
      </c>
      <c r="BH632" s="21" t="str">
        <f t="shared" si="58"/>
        <v>, dropMechanic={LIBSETS_DROP_MECHANIC_ENDLESS_ARCHIVE}, dropMechanicDropLocationNames={['en']={'Dragonknight','','','','','',},['de']={'Drachenritter','','','','','',},}</v>
      </c>
      <c r="BI632" s="21" t="str">
        <f t="shared" si="59"/>
        <v>}, --Basalt-Blooded Warrior / Basalt-Blooded Warrior   [Infinite Archive, Apocrypha, Apocrypha]</v>
      </c>
    </row>
    <row r="633" spans="1:61" x14ac:dyDescent="0.25">
      <c r="A633" s="5">
        <v>724</v>
      </c>
      <c r="B633" t="s">
        <v>3747</v>
      </c>
      <c r="C633" t="s">
        <v>3744</v>
      </c>
      <c r="D633" s="3">
        <f t="shared" si="54"/>
        <v>724</v>
      </c>
      <c r="E633" s="36" t="s">
        <v>3757</v>
      </c>
      <c r="G633" s="3" t="s">
        <v>3738</v>
      </c>
      <c r="I633" t="s">
        <v>91</v>
      </c>
      <c r="J633" t="s">
        <v>91</v>
      </c>
      <c r="K633">
        <v>543</v>
      </c>
      <c r="L633">
        <v>543</v>
      </c>
      <c r="M633">
        <v>543</v>
      </c>
      <c r="O633" s="61" t="s">
        <v>3899</v>
      </c>
      <c r="Q633" s="3">
        <f>IF(AND(P633&lt;&gt;"",ISNUMBER(P633),NOT(ISNA(P633))),P633,IF(R633&lt;&gt;"",VLOOKUP(R633,'ESO zone constants'!$D$5:$H$10003,5,FALSE),""))</f>
        <v>1436</v>
      </c>
      <c r="R633" t="str">
        <f>IF(AND(O633&lt;&gt;"",NOT(ISERROR(O633))),O633,
IF(AND(P633&lt;&gt;"",ISNUMBER(P633),P633&gt;0,NOT(ISNA(P633))),VLOOKUP(P633,'ESO zone constants'!$A$5:$D$10001,4,FALSE),
IF(AND(K633&lt;&gt;"",K633&gt;0,NOT(ISERROR(K633))),VLOOKUP(K633,'ESO dumped WayshrineInfo'!$K$3:$N$9972,4,FALSE),"")))</f>
        <v>Infinite Archive</v>
      </c>
      <c r="S633" s="61" t="s">
        <v>3733</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6" t="s">
        <v>3735</v>
      </c>
      <c r="W633" s="3" t="s">
        <v>3757</v>
      </c>
      <c r="X633" s="3" t="s">
        <v>3865</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5" t="s">
        <v>2645</v>
      </c>
      <c r="BA633" s="75"/>
      <c r="BB633" s="75"/>
      <c r="BC633">
        <v>5</v>
      </c>
      <c r="BD633"/>
      <c r="BE633" s="21" t="str">
        <f t="shared" si="55"/>
        <v>[724] = {wayshrines={543,543,543,}, dlcId=NO_DLC_SECRET_OF_THE_TELVANNI</v>
      </c>
      <c r="BF633" s="21" t="str">
        <f t="shared" si="56"/>
        <v>, zoneIds={1436,1413,1413}, veteran=false</v>
      </c>
      <c r="BG633" s="21" t="str">
        <f t="shared" si="57"/>
        <v>, setType=LIBSETS_SETTYPE_CLASS, classId=5</v>
      </c>
      <c r="BH633" s="21" t="str">
        <f t="shared" si="58"/>
        <v>, dropMechanic={LIBSETS_DROP_MECHANIC_ENDLESS_ARCHIVE}, dropMechanicDropLocationNames={['en']={'Necromancer','','','','','',},['de']={'Nekromant','','','','','',},}</v>
      </c>
      <c r="BI633" s="21" t="str">
        <f t="shared" si="59"/>
        <v>}, --Nobility in Decay / Adel im Verfall   [Infinite Archive, Apocrypha, Apocrypha]</v>
      </c>
    </row>
    <row r="634" spans="1:61" x14ac:dyDescent="0.25">
      <c r="A634" s="5">
        <v>726</v>
      </c>
      <c r="B634" t="s">
        <v>3748</v>
      </c>
      <c r="C634" t="s">
        <v>3743</v>
      </c>
      <c r="D634" s="3">
        <f t="shared" si="54"/>
        <v>726</v>
      </c>
      <c r="E634" s="36" t="s">
        <v>3755</v>
      </c>
      <c r="G634" s="3" t="s">
        <v>3738</v>
      </c>
      <c r="I634" t="s">
        <v>91</v>
      </c>
      <c r="J634" t="s">
        <v>91</v>
      </c>
      <c r="K634">
        <v>543</v>
      </c>
      <c r="L634">
        <v>543</v>
      </c>
      <c r="M634">
        <v>543</v>
      </c>
      <c r="O634" s="61" t="s">
        <v>3899</v>
      </c>
      <c r="Q634" s="3">
        <f>IF(AND(P634&lt;&gt;"",ISNUMBER(P634),NOT(ISNA(P634))),P634,IF(R634&lt;&gt;"",VLOOKUP(R634,'ESO zone constants'!$D$5:$H$10003,5,FALSE),""))</f>
        <v>1436</v>
      </c>
      <c r="R634" t="str">
        <f>IF(AND(O634&lt;&gt;"",NOT(ISERROR(O634))),O634,
IF(AND(P634&lt;&gt;"",ISNUMBER(P634),P634&gt;0,NOT(ISNA(P634))),VLOOKUP(P634,'ESO zone constants'!$A$5:$D$10001,4,FALSE),
IF(AND(K634&lt;&gt;"",K634&gt;0,NOT(ISERROR(K634))),VLOOKUP(K634,'ESO dumped WayshrineInfo'!$K$3:$N$9972,4,FALSE),"")))</f>
        <v>Infinite Archive</v>
      </c>
      <c r="S634" s="61" t="s">
        <v>3733</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6" t="s">
        <v>3735</v>
      </c>
      <c r="W634" s="3" t="s">
        <v>3755</v>
      </c>
      <c r="X634" s="3" t="s">
        <v>3869</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5" t="s">
        <v>2645</v>
      </c>
      <c r="BA634" s="75"/>
      <c r="BB634" s="75"/>
      <c r="BC634">
        <v>3</v>
      </c>
      <c r="BD634"/>
      <c r="BE634" s="21" t="str">
        <f t="shared" si="55"/>
        <v>[726] = {wayshrines={543,543,543,}, dlcId=NO_DLC_SECRET_OF_THE_TELVANNI</v>
      </c>
      <c r="BF634" s="21" t="str">
        <f t="shared" si="56"/>
        <v>, zoneIds={1436,1413,1413}, veteran=false</v>
      </c>
      <c r="BG634" s="21" t="str">
        <f t="shared" si="57"/>
        <v>, setType=LIBSETS_SETTYPE_CLASS, classId=3</v>
      </c>
      <c r="BH634" s="21" t="str">
        <f t="shared" si="58"/>
        <v>, dropMechanic={LIBSETS_DROP_MECHANIC_ENDLESS_ARCHIVE}, dropMechanicDropLocationNames={['en']={'Nightblade','','','','','',},['de']={'Nachtklinge','','','','','',},}</v>
      </c>
      <c r="BI634" s="21" t="str">
        <f t="shared" si="59"/>
        <v>}, --Soulcleaver / Seelenspalter   [Infinite Archive, Apocrypha, Apocrypha]</v>
      </c>
    </row>
    <row r="635" spans="1:61" x14ac:dyDescent="0.25">
      <c r="A635" s="5">
        <v>727</v>
      </c>
      <c r="B635" t="s">
        <v>3749</v>
      </c>
      <c r="C635" t="s">
        <v>3742</v>
      </c>
      <c r="D635" s="3">
        <f t="shared" si="54"/>
        <v>727</v>
      </c>
      <c r="E635" s="36" t="s">
        <v>3754</v>
      </c>
      <c r="G635" s="3" t="s">
        <v>3738</v>
      </c>
      <c r="I635" t="s">
        <v>91</v>
      </c>
      <c r="J635" t="s">
        <v>91</v>
      </c>
      <c r="K635">
        <v>543</v>
      </c>
      <c r="L635">
        <v>543</v>
      </c>
      <c r="M635">
        <v>543</v>
      </c>
      <c r="O635" s="61" t="s">
        <v>3899</v>
      </c>
      <c r="Q635" s="3">
        <f>IF(AND(P635&lt;&gt;"",ISNUMBER(P635),NOT(ISNA(P635))),P635,IF(R635&lt;&gt;"",VLOOKUP(R635,'ESO zone constants'!$D$5:$H$10003,5,FALSE),""))</f>
        <v>1436</v>
      </c>
      <c r="R635" t="str">
        <f>IF(AND(O635&lt;&gt;"",NOT(ISERROR(O635))),O635,
IF(AND(P635&lt;&gt;"",ISNUMBER(P635),P635&gt;0,NOT(ISNA(P635))),VLOOKUP(P635,'ESO zone constants'!$A$5:$D$10001,4,FALSE),
IF(AND(K635&lt;&gt;"",K635&gt;0,NOT(ISERROR(K635))),VLOOKUP(K635,'ESO dumped WayshrineInfo'!$K$3:$N$9972,4,FALSE),"")))</f>
        <v>Infinite Archive</v>
      </c>
      <c r="S635" s="61" t="s">
        <v>3733</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6" t="s">
        <v>3735</v>
      </c>
      <c r="W635" s="3" t="s">
        <v>3754</v>
      </c>
      <c r="X635" s="3" t="s">
        <v>3866</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5" t="s">
        <v>2645</v>
      </c>
      <c r="BA635" s="75"/>
      <c r="BB635" s="75"/>
      <c r="BC635">
        <v>2</v>
      </c>
      <c r="BD635"/>
      <c r="BE635" s="21" t="str">
        <f t="shared" si="55"/>
        <v>[727] = {wayshrines={543,543,543,}, dlcId=NO_DLC_SECRET_OF_THE_TELVANNI</v>
      </c>
      <c r="BF635" s="21" t="str">
        <f t="shared" si="56"/>
        <v>, zoneIds={1436,1413,1413}, veteran=false</v>
      </c>
      <c r="BG635" s="21" t="str">
        <f t="shared" si="57"/>
        <v>, setType=LIBSETS_SETTYPE_CLASS, classId=2</v>
      </c>
      <c r="BH635" s="21" t="str">
        <f t="shared" si="58"/>
        <v>, dropMechanic={LIBSETS_DROP_MECHANIC_ENDLESS_ARCHIVE}, dropMechanicDropLocationNames={['en']={'Sorcerer','','','','','',},['de']={'Zauberer','','','','','',},}</v>
      </c>
      <c r="BI635" s="21" t="str">
        <f t="shared" si="59"/>
        <v>}, --Monolith of Storms / Monolith der Stürme   [Infinite Archive, Apocrypha, Apocrypha]</v>
      </c>
    </row>
    <row r="636" spans="1:61" x14ac:dyDescent="0.25">
      <c r="A636" s="5">
        <v>728</v>
      </c>
      <c r="B636" t="s">
        <v>3750</v>
      </c>
      <c r="C636" t="s">
        <v>3741</v>
      </c>
      <c r="D636" s="3">
        <f t="shared" si="54"/>
        <v>728</v>
      </c>
      <c r="E636" s="36" t="s">
        <v>3753</v>
      </c>
      <c r="G636" s="3" t="s">
        <v>3738</v>
      </c>
      <c r="I636" t="s">
        <v>91</v>
      </c>
      <c r="J636" t="s">
        <v>91</v>
      </c>
      <c r="K636">
        <v>543</v>
      </c>
      <c r="L636">
        <v>543</v>
      </c>
      <c r="M636">
        <v>543</v>
      </c>
      <c r="O636" s="61" t="s">
        <v>3899</v>
      </c>
      <c r="Q636" s="3">
        <f>IF(AND(P636&lt;&gt;"",ISNUMBER(P636),NOT(ISNA(P636))),P636,IF(R636&lt;&gt;"",VLOOKUP(R636,'ESO zone constants'!$D$5:$H$10003,5,FALSE),""))</f>
        <v>1436</v>
      </c>
      <c r="R636" t="str">
        <f>IF(AND(O636&lt;&gt;"",NOT(ISERROR(O636))),O636,
IF(AND(P636&lt;&gt;"",ISNUMBER(P636),P636&gt;0,NOT(ISNA(P636))),VLOOKUP(P636,'ESO zone constants'!$A$5:$D$10001,4,FALSE),
IF(AND(K636&lt;&gt;"",K636&gt;0,NOT(ISERROR(K636))),VLOOKUP(K636,'ESO dumped WayshrineInfo'!$K$3:$N$9972,4,FALSE),"")))</f>
        <v>Infinite Archive</v>
      </c>
      <c r="S636" s="61" t="s">
        <v>3733</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6" t="s">
        <v>3735</v>
      </c>
      <c r="W636" s="3" t="s">
        <v>3753</v>
      </c>
      <c r="X636" s="3" t="s">
        <v>3867</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5" t="s">
        <v>2645</v>
      </c>
      <c r="BA636" s="75"/>
      <c r="BB636" s="75"/>
      <c r="BC636">
        <v>6</v>
      </c>
      <c r="BD636"/>
      <c r="BE636" s="21" t="str">
        <f t="shared" si="55"/>
        <v>[728] = {wayshrines={543,543,543,}, dlcId=NO_DLC_SECRET_OF_THE_TELVANNI</v>
      </c>
      <c r="BF636" s="21" t="str">
        <f t="shared" si="56"/>
        <v>, zoneIds={1436,1413,1413}, veteran=false</v>
      </c>
      <c r="BG636" s="21" t="str">
        <f t="shared" si="57"/>
        <v>, setType=LIBSETS_SETTYPE_CLASS, classId=6</v>
      </c>
      <c r="BH636" s="21" t="str">
        <f t="shared" si="58"/>
        <v>, dropMechanic={LIBSETS_DROP_MECHANIC_ENDLESS_ARCHIVE}, dropMechanicDropLocationNames={['en']={'Templar','','','','','',},['de']={'Templer','','','','','',},}</v>
      </c>
      <c r="BI636" s="21" t="str">
        <f t="shared" si="59"/>
        <v>}, --Wrathsun / Wutsonne   [Infinite Archive, Apocrypha, Apocrypha]</v>
      </c>
    </row>
    <row r="637" spans="1:61" x14ac:dyDescent="0.25">
      <c r="A637" s="5">
        <v>729</v>
      </c>
      <c r="B637" t="s">
        <v>3751</v>
      </c>
      <c r="C637" t="s">
        <v>3740</v>
      </c>
      <c r="D637" s="3">
        <f t="shared" si="54"/>
        <v>729</v>
      </c>
      <c r="E637" s="36" t="s">
        <v>3756</v>
      </c>
      <c r="G637" s="3" t="s">
        <v>3738</v>
      </c>
      <c r="I637" t="s">
        <v>91</v>
      </c>
      <c r="J637" t="s">
        <v>91</v>
      </c>
      <c r="K637">
        <v>543</v>
      </c>
      <c r="L637">
        <v>543</v>
      </c>
      <c r="M637">
        <v>543</v>
      </c>
      <c r="O637" s="61" t="s">
        <v>3899</v>
      </c>
      <c r="Q637" s="3">
        <f>IF(AND(P637&lt;&gt;"",ISNUMBER(P637),NOT(ISNA(P637))),P637,IF(R637&lt;&gt;"",VLOOKUP(R637,'ESO zone constants'!$D$5:$H$10003,5,FALSE),""))</f>
        <v>1436</v>
      </c>
      <c r="R637" t="str">
        <f>IF(AND(O637&lt;&gt;"",NOT(ISERROR(O637))),O637,
IF(AND(P637&lt;&gt;"",ISNUMBER(P637),P637&gt;0,NOT(ISNA(P637))),VLOOKUP(P637,'ESO zone constants'!$A$5:$D$10001,4,FALSE),
IF(AND(K637&lt;&gt;"",K637&gt;0,NOT(ISERROR(K637))),VLOOKUP(K637,'ESO dumped WayshrineInfo'!$K$3:$N$9972,4,FALSE),"")))</f>
        <v>Infinite Archive</v>
      </c>
      <c r="S637" s="61" t="s">
        <v>3733</v>
      </c>
      <c r="T637" s="19" t="str">
        <f>IF(AND(S637&lt;&gt;"",NOT(ISERROR(S637))),S637,IF(Q637&lt;&gt;"",IF(NOT(ISERROR(VLOOKUP(Q637,'ESO Dungeon constants'!$D$3:$H$9999,5,FALSE))),VLOOKUP(Q637,'ESO Dungeon constants'!$D$3:$I$9999,6,FALSE),VLOOKUP(Q637,'ESO zone constants'!$H$3:$K$9989,4,FALSE)),""))</f>
        <v>NO_DLC_SECRET_OF_THE_TELVANNI</v>
      </c>
      <c r="U637" s="3" t="str">
        <f>IF(T637&lt;&gt;"",VLOOKUP(T637,'LibSets constants'!$B$4:$C$1017,2,FALSE),"")</f>
        <v>Secret of the Telvanni</v>
      </c>
      <c r="V637" s="86" t="s">
        <v>3735</v>
      </c>
      <c r="W637" s="3" t="s">
        <v>3756</v>
      </c>
      <c r="X637" s="3" t="s">
        <v>3868</v>
      </c>
      <c r="Y637" s="61"/>
      <c r="Z637" s="3">
        <f>IF(AND(G637&lt;&gt;"LIBSETS_SETTYPE_BATTLEGROUND",G637&lt;&gt;"LIBSETS_SETTYPE_SPECIAL"),
IF(AND(Y637&lt;&gt;"",ISNUMBER(Y637),NOT(ISNA(Y637))),Y637,
   IF(AND(L637&lt;&gt;"",ISNUMBER(L637),L637&gt;0,NOT(ISNA(L637))),VLOOKUP(L637,'ESO dumped WayshrineInfo'!$K$3:$L$9972,2,FALSE),"")
),"")</f>
        <v>1413</v>
      </c>
      <c r="AA637" t="str">
        <f>IF(AND(Z637&lt;&gt;"",ISNUMBER(Z637),NOT(ISNA(Z637))),VLOOKUP(Z637,'ESO zone constants'!$A$5:$D$10001,4,FALSE),"")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WayshrineInfo'!$K$3:$L$9972,2,FALSE),"")
),"")</f>
        <v>1413</v>
      </c>
      <c r="AG637" t="str">
        <f>IF(AND(AF637&lt;&gt;"",ISNUMBER(AF637),NOT(ISNA(AF637))),VLOOKUP(AF637,'ESO zone constants'!$A$5:$D$10001,4,FALSE),"")</f>
        <v>Apocrypha</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5" t="s">
        <v>2645</v>
      </c>
      <c r="BA637" s="75"/>
      <c r="BB637" s="75"/>
      <c r="BC637">
        <v>4</v>
      </c>
      <c r="BD637"/>
      <c r="BE637" s="21" t="str">
        <f t="shared" si="55"/>
        <v>[729] = {wayshrines={543,543,543,}, dlcId=NO_DLC_SECRET_OF_THE_TELVANNI</v>
      </c>
      <c r="BF637" s="21" t="str">
        <f t="shared" si="56"/>
        <v>, zoneIds={1436,1413,1413}, veteran=false</v>
      </c>
      <c r="BG637" s="21" t="str">
        <f t="shared" si="57"/>
        <v>, setType=LIBSETS_SETTYPE_CLASS, classId=4</v>
      </c>
      <c r="BH637" s="21" t="str">
        <f t="shared" si="58"/>
        <v>, dropMechanic={LIBSETS_DROP_MECHANIC_ENDLESS_ARCHIVE}, dropMechanicDropLocationNames={['en']={'Warden','','','','','',},['de']={'Hüter','','','','','',},}</v>
      </c>
      <c r="BI637" s="21" t="str">
        <f t="shared" si="59"/>
        <v>}, --Gardener of Seasons / Gärtner der Jahreszeiten   [Infinite Archive, Apocrypha, Apocrypha]</v>
      </c>
    </row>
    <row r="638" spans="1:61" x14ac:dyDescent="0.25">
      <c r="A638" s="5">
        <v>730</v>
      </c>
      <c r="B638" s="36" t="s">
        <v>3880</v>
      </c>
      <c r="C638" s="36" t="s">
        <v>3880</v>
      </c>
      <c r="D638" s="3">
        <f t="shared" si="54"/>
        <v>730</v>
      </c>
      <c r="G638" s="8" t="s">
        <v>1470</v>
      </c>
      <c r="I638" t="s">
        <v>91</v>
      </c>
      <c r="J638" t="s">
        <v>91</v>
      </c>
      <c r="K638" s="36">
        <v>556</v>
      </c>
      <c r="L638" s="36">
        <v>556</v>
      </c>
      <c r="M638" s="36">
        <v>556</v>
      </c>
      <c r="O638" s="61" t="s">
        <v>3873</v>
      </c>
      <c r="Q638" s="3">
        <f>IF(AND(P638&lt;&gt;"",ISNUMBER(P638),NOT(ISNA(P638))),P638,IF(R638&lt;&gt;"",VLOOKUP(R638,'ESO zone constants'!$D$5:$H$10003,5,FALSE),""))</f>
        <v>1470</v>
      </c>
      <c r="R638" t="str">
        <f>IF(AND(O638&lt;&gt;"",NOT(ISERROR(O638))),O638,
IF(AND(P638&lt;&gt;"",ISNUMBER(P638),P638&gt;0,NOT(ISNA(P638))),VLOOKUP(P638,'ESO zone constants'!$A$5:$D$10001,4,FALSE),
IF(AND(K638&lt;&gt;"",K638&gt;0,NOT(ISERROR(K638))),VLOOKUP(K638,'ESO dumped WayshrineInfo'!$K$3:$N$9972,4,FALSE),"")))</f>
        <v>Oathsworn Pit</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WayshrineInfo'!$K$3:$L$9972,2,FALSE),"")
),"")</f>
        <v>1207</v>
      </c>
      <c r="AA638" t="str">
        <f>IF(AND(Z638&lt;&gt;"",ISNUMBER(Z638),NOT(ISNA(Z638))),VLOOKUP(Z638,'ESO zone constants'!$A$5:$D$10001,4,FALSE),"")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WayshrineInfo'!$K$3:$L$9972,2,FALSE),"")
),"")</f>
        <v>1207</v>
      </c>
      <c r="AG638" t="str">
        <f>IF(AND(AF638&lt;&gt;"",ISNUMBER(AF638),NOT(ISNA(AF638))),VLOOKUP(AF638,'ESO zone constants'!$A$5:$D$10001,4,FALSE),"")</f>
        <v>The Reach</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5" t="s">
        <v>2645</v>
      </c>
      <c r="BA638" s="75"/>
      <c r="BB638" s="75"/>
      <c r="BC638"/>
      <c r="BD638"/>
      <c r="BE638" s="21" t="str">
        <f t="shared" si="55"/>
        <v>[730] = {wayshrines={556,556,556,}, dlcId=DLC_SCIONS_OF_ITHELIA</v>
      </c>
      <c r="BF638" s="21" t="str">
        <f t="shared" si="56"/>
        <v>, zoneIds={1470,1207,1207}, veteran=false</v>
      </c>
      <c r="BG638" s="21" t="str">
        <f t="shared" si="57"/>
        <v>, setType=LIBSETS_SETTYPE_DUNGEON</v>
      </c>
      <c r="BH638" s="21" t="str">
        <f t="shared" si="58"/>
        <v>, dropMechanic={LIBSETS_DROP_MECHANIC_GROUP_DUNGEON_BOSS}</v>
      </c>
      <c r="BI638" s="21" t="str">
        <f t="shared" si="59"/>
        <v>}, --Cinders of Anthelmir / Cinders of Anthelmir   [Oathsworn Pit, The Reach, The Reach]</v>
      </c>
    </row>
    <row r="639" spans="1:61" x14ac:dyDescent="0.25">
      <c r="A639" s="5">
        <v>731</v>
      </c>
      <c r="B639" s="36" t="s">
        <v>3882</v>
      </c>
      <c r="C639" s="36" t="s">
        <v>3882</v>
      </c>
      <c r="D639" s="3">
        <f t="shared" si="54"/>
        <v>731</v>
      </c>
      <c r="G639" s="8" t="s">
        <v>1470</v>
      </c>
      <c r="I639" t="s">
        <v>91</v>
      </c>
      <c r="J639" t="s">
        <v>91</v>
      </c>
      <c r="K639" s="36">
        <v>556</v>
      </c>
      <c r="L639" s="36">
        <v>556</v>
      </c>
      <c r="M639" s="36">
        <v>556</v>
      </c>
      <c r="O639" s="61" t="s">
        <v>3873</v>
      </c>
      <c r="Q639" s="3">
        <f>IF(AND(P639&lt;&gt;"",ISNUMBER(P639),NOT(ISNA(P639))),P639,IF(R639&lt;&gt;"",VLOOKUP(R639,'ESO zone constants'!$D$5:$H$10003,5,FALSE),""))</f>
        <v>1470</v>
      </c>
      <c r="R639" t="str">
        <f>IF(AND(O639&lt;&gt;"",NOT(ISERROR(O639))),O639,
IF(AND(P639&lt;&gt;"",ISNUMBER(P639),P639&gt;0,NOT(ISNA(P639))),VLOOKUP(P639,'ESO zone constants'!$A$5:$D$10001,4,FALSE),
IF(AND(K639&lt;&gt;"",K639&gt;0,NOT(ISERROR(K639))),VLOOKUP(K639,'ESO dumped WayshrineInfo'!$K$3:$N$9972,4,FALSE),"")))</f>
        <v>Oathsworn Pit</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WayshrineInfo'!$K$3:$L$9972,2,FALSE),"")
),"")</f>
        <v>1207</v>
      </c>
      <c r="AA639" t="str">
        <f>IF(AND(Z639&lt;&gt;"",ISNUMBER(Z639),NOT(ISNA(Z639))),VLOOKUP(Z639,'ESO zone constants'!$A$5:$D$10001,4,FALSE),"")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WayshrineInfo'!$K$3:$L$9972,2,FALSE),"")
),"")</f>
        <v>1207</v>
      </c>
      <c r="AG639" t="str">
        <f>IF(AND(AF639&lt;&gt;"",ISNUMBER(AF639),NOT(ISNA(AF639))),VLOOKUP(AF639,'ESO zone constants'!$A$5:$D$10001,4,FALSE),"")</f>
        <v>The Reach</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5" t="s">
        <v>2645</v>
      </c>
      <c r="BA639" s="75"/>
      <c r="BB639" s="75"/>
      <c r="BC639"/>
      <c r="BD639"/>
      <c r="BE639" s="21" t="str">
        <f t="shared" si="55"/>
        <v>[731] = {wayshrines={556,556,556,}, dlcId=DLC_SCIONS_OF_ITHELIA</v>
      </c>
      <c r="BF639" s="21" t="str">
        <f t="shared" si="56"/>
        <v>, zoneIds={1470,1207,1207}, veteran=false</v>
      </c>
      <c r="BG639" s="21" t="str">
        <f t="shared" si="57"/>
        <v>, setType=LIBSETS_SETTYPE_DUNGEON</v>
      </c>
      <c r="BH639" s="21" t="str">
        <f t="shared" si="58"/>
        <v>, dropMechanic={LIBSETS_DROP_MECHANIC_GROUP_DUNGEON_BOSS}</v>
      </c>
      <c r="BI639" s="21" t="str">
        <f t="shared" si="59"/>
        <v>}, --Sluthrug\'s Hunger / Sluthrug\'s Hunger   [Oathsworn Pit, The Reach, The Reach]</v>
      </c>
    </row>
    <row r="640" spans="1:61" x14ac:dyDescent="0.25">
      <c r="A640" s="5">
        <v>732</v>
      </c>
      <c r="B640" s="36" t="s">
        <v>3881</v>
      </c>
      <c r="C640" s="36" t="s">
        <v>3881</v>
      </c>
      <c r="D640" s="3">
        <f t="shared" si="54"/>
        <v>732</v>
      </c>
      <c r="G640" s="8" t="s">
        <v>1470</v>
      </c>
      <c r="I640" t="s">
        <v>91</v>
      </c>
      <c r="J640" t="s">
        <v>91</v>
      </c>
      <c r="K640" s="36">
        <v>556</v>
      </c>
      <c r="L640" s="36">
        <v>556</v>
      </c>
      <c r="M640" s="36">
        <v>556</v>
      </c>
      <c r="O640" s="61" t="s">
        <v>3873</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5" t="s">
        <v>2645</v>
      </c>
      <c r="BA640" s="75"/>
      <c r="BB640" s="75"/>
      <c r="BC640"/>
      <c r="BD640"/>
      <c r="BE640" s="21" t="str">
        <f t="shared" si="55"/>
        <v>[732] = {wayshrines={556,556,556,}, dlcId=DLC_SCIONS_OF_ITHELIA</v>
      </c>
      <c r="BF640" s="21" t="str">
        <f t="shared" si="56"/>
        <v>, zoneIds={1470,1207,1207}, veteran=false</v>
      </c>
      <c r="BG640" s="21" t="str">
        <f t="shared" si="57"/>
        <v>, setType=LIBSETS_SETTYPE_DUNGEON</v>
      </c>
      <c r="BH640" s="21" t="str">
        <f t="shared" si="58"/>
        <v>, dropMechanic={LIBSETS_DROP_MECHANIC_GROUP_DUNGEON_BOSS}</v>
      </c>
      <c r="BI640" s="21" t="str">
        <f t="shared" si="59"/>
        <v>}, --Black-Grove Grounding / Black-Grove Grounding   [Oathsworn Pit, The Reach, The Reach]</v>
      </c>
    </row>
    <row r="641" spans="1:61" x14ac:dyDescent="0.25">
      <c r="A641" s="5">
        <v>734</v>
      </c>
      <c r="B641" s="36" t="s">
        <v>3885</v>
      </c>
      <c r="C641" s="36" t="s">
        <v>3886</v>
      </c>
      <c r="D641" s="3">
        <f t="shared" si="54"/>
        <v>734</v>
      </c>
      <c r="G641" s="8" t="s">
        <v>1472</v>
      </c>
      <c r="I641" t="s">
        <v>91</v>
      </c>
      <c r="J641" t="s">
        <v>91</v>
      </c>
      <c r="K641" s="36">
        <v>556</v>
      </c>
      <c r="L641" s="36">
        <v>556</v>
      </c>
      <c r="M641" s="36">
        <v>556</v>
      </c>
      <c r="O641" s="61" t="s">
        <v>3873</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33" t="s">
        <v>1535</v>
      </c>
      <c r="W641" s="3" t="s">
        <v>3885</v>
      </c>
      <c r="X641" s="3" t="s">
        <v>3886</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5" t="s">
        <v>2645</v>
      </c>
      <c r="BA641" s="75"/>
      <c r="BB641" s="75"/>
      <c r="BC641"/>
      <c r="BD641"/>
      <c r="BE641" s="21" t="str">
        <f t="shared" si="55"/>
        <v>[734] = {wayshrines={556,556,556,}, dlcId=DLC_SCIONS_OF_ITHELIA</v>
      </c>
      <c r="BF641" s="21" t="str">
        <f t="shared" si="56"/>
        <v>, zoneIds={1470,1207,1207}, veteran=false</v>
      </c>
      <c r="BG641" s="21" t="str">
        <f t="shared" si="57"/>
        <v>, setType=LIBSETS_SETTYPE_MONSTER</v>
      </c>
      <c r="BH641" s="21" t="str">
        <f t="shared" si="58"/>
        <v>, dropMechanic={LIBSETS_DROP_MECHANIC_MONSTER_NAME}, dropMechanicDropLocationNames={['en']={'Anthelmirs Konstrukt','','','','','',},['de']={'Anthelmir\'s Construct','','','','','',},}</v>
      </c>
      <c r="BI641" s="21" t="str">
        <f t="shared" si="59"/>
        <v>}, --Anthelmir\'s Construct / Anthelmirs Konstrukt   [Oathsworn Pit, The Reach, The Reach]</v>
      </c>
    </row>
    <row r="642" spans="1:61" x14ac:dyDescent="0.25">
      <c r="A642" s="5">
        <v>735</v>
      </c>
      <c r="B642" s="36" t="s">
        <v>3877</v>
      </c>
      <c r="C642" s="36" t="s">
        <v>3877</v>
      </c>
      <c r="D642" s="3">
        <f t="shared" si="54"/>
        <v>735</v>
      </c>
      <c r="G642" s="8" t="s">
        <v>1470</v>
      </c>
      <c r="I642" t="s">
        <v>91</v>
      </c>
      <c r="J642" t="s">
        <v>91</v>
      </c>
      <c r="K642" s="36">
        <v>565</v>
      </c>
      <c r="L642" s="36">
        <v>565</v>
      </c>
      <c r="M642" s="36">
        <v>565</v>
      </c>
      <c r="O642" s="61" t="s">
        <v>3874</v>
      </c>
      <c r="Q642" s="3">
        <f>IF(AND(P642&lt;&gt;"",ISNUMBER(P642),NOT(ISNA(P642))),P642,IF(R642&lt;&gt;"",VLOOKUP(R642,'ESO zone constants'!$D$5:$H$10003,5,FALSE),""))</f>
        <v>1471</v>
      </c>
      <c r="R642" t="str">
        <f>IF(AND(O642&lt;&gt;"",NOT(ISERROR(O642))),O642,
IF(AND(P642&lt;&gt;"",ISNUMBER(P642),P642&gt;0,NOT(ISNA(P642))),VLOOKUP(P642,'ESO zone constants'!$A$5:$D$10001,4,FALSE),
IF(AND(K642&lt;&gt;"",K642&gt;0,NOT(ISERROR(K642))),VLOOKUP(K642,'ESO dumped WayshrineInfo'!$K$3:$N$9972,4,FALSE),"")))</f>
        <v>Bedlam Veil</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WayshrineInfo'!$K$3:$L$9972,2,FALSE),"")
),"")</f>
        <v>684</v>
      </c>
      <c r="AA642" t="str">
        <f>IF(AND(Z642&lt;&gt;"",ISNUMBER(Z642),NOT(ISNA(Z642))),VLOOKUP(Z642,'ESO zone constants'!$A$5:$D$10001,4,FALSE),"")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WayshrineInfo'!$K$3:$L$9972,2,FALSE),"")
),"")</f>
        <v>684</v>
      </c>
      <c r="AG642" t="str">
        <f>IF(AND(AF642&lt;&gt;"",ISNUMBER(AF642),NOT(ISNA(AF642))),VLOOKUP(AF642,'ESO zone constants'!$A$5:$D$10001,4,FALSE),"")</f>
        <v>Wrothgar</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5" t="s">
        <v>2645</v>
      </c>
      <c r="BA642" s="75"/>
      <c r="BB642" s="75"/>
      <c r="BC642"/>
      <c r="BD642"/>
      <c r="BE642" s="21" t="str">
        <f t="shared" si="55"/>
        <v>[735] = {wayshrines={565,565,565,}, dlcId=DLC_SCIONS_OF_ITHELIA</v>
      </c>
      <c r="BF642" s="21" t="str">
        <f t="shared" si="56"/>
        <v>, zoneIds={1471,684,684}, veteran=false</v>
      </c>
      <c r="BG642" s="21" t="str">
        <f t="shared" si="57"/>
        <v>, setType=LIBSETS_SETTYPE_DUNGEON</v>
      </c>
      <c r="BH642" s="21" t="str">
        <f t="shared" si="58"/>
        <v>, dropMechanic={LIBSETS_DROP_MECHANIC_GROUP_DUNGEON_BOSS}</v>
      </c>
      <c r="BI642" s="21" t="str">
        <f t="shared" si="59"/>
        <v>}, --Blind Path Induction / Blind Path Induction   [Bedlam Veil, Wrothgar, Wrothgar]</v>
      </c>
    </row>
    <row r="643" spans="1:61" x14ac:dyDescent="0.25">
      <c r="A643" s="5">
        <v>736</v>
      </c>
      <c r="B643" s="36" t="s">
        <v>3878</v>
      </c>
      <c r="C643" s="36" t="s">
        <v>3878</v>
      </c>
      <c r="D643" s="3">
        <f t="shared" ref="D643:D672" si="60">A643</f>
        <v>736</v>
      </c>
      <c r="G643" s="8" t="s">
        <v>1470</v>
      </c>
      <c r="I643" t="s">
        <v>91</v>
      </c>
      <c r="J643" t="s">
        <v>91</v>
      </c>
      <c r="K643" s="36">
        <v>565</v>
      </c>
      <c r="L643" s="36">
        <v>565</v>
      </c>
      <c r="M643" s="36">
        <v>565</v>
      </c>
      <c r="O643" s="61" t="s">
        <v>3874</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5" t="s">
        <v>2645</v>
      </c>
      <c r="BA643" s="75"/>
      <c r="BB643" s="75"/>
      <c r="BC643"/>
      <c r="BD643"/>
      <c r="BE643" s="21" t="str">
        <f t="shared" ref="BE643:BE665"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1" t="str">
        <f t="shared" ref="BF643:BF665"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 CONCATENATE(", veteran=", I643), ""),""),"")</f>
        <v>, zoneIds={1471,684,684}, veteran=false</v>
      </c>
      <c r="BG643" s="21" t="str">
        <f t="shared" ref="BG643:BG665" si="63">IF(A643&lt;&gt;"",IF(F643&lt;&gt;"Not in the game (anymore)",IF(A643&lt;&gt;"",", setType="&amp;G643,"")&amp;IF(G643="LIBSETS_SETTYPE_CLASS",", classId="&amp;BC643,"")&amp;IF(J643="true",", multiTrialSet=true",""),"")
&amp; IF(AND(H643&lt;&gt;"",ISNUMBER(H643)),", undauntedChestId=" &amp; H643,""),"")</f>
        <v>, setType=LIBSETS_SETTYPE_DUNGEON</v>
      </c>
      <c r="BH643" s="21" t="str">
        <f t="shared" ref="BH643:BH665" si="64">IF(A643&lt;&gt;"",IF(F643&lt;&gt;"Not in the game (anymore)",IF(AZ643&lt;&gt;"",", isProcSetAllowedInPvP="&amp; AZ643,"")
&amp; IF(F643&lt;&gt;"Not in the game (anymore)",
  IF(V643&lt;&gt;"",", dropMechanic={"&amp;V643&amp;IF(AB643&lt;&gt;"",","&amp;AB643,"")&amp;IF(AH643&lt;&gt;"",","&amp;AH643,"")&amp;IF(AM643&lt;&gt;"",","&amp;AM643,"")&amp;IF(AR643&lt;&gt;"",","&amp;AR643,"")&amp;IF(AW643&lt;&gt;"",","&amp;AW643,"")&amp;"}"
     &amp;IF(OR(W643&lt;&gt;"",AC643&lt;&gt;"",AI643&lt;&gt;"",AN643&lt;&gt;"",AS643&lt;&gt;"",AX643&lt;&gt;"",X643&lt;&gt;"",AD643&lt;&gt;"",AJ643&lt;&gt;"",AO643&lt;&gt;"",AT643&lt;&gt;"",AY643&lt;&gt;""),", dropMechanicDropLocationNames={"
        &amp; IF(OR(W643&lt;&gt;"",AC643&lt;&gt;"",AI643&lt;&gt;"",AN643&lt;&gt;"",AS643&lt;&gt;"",AX643&lt;&gt;""),"['en']={"&amp;IF(W643&lt;&gt;"","'"&amp;W643&amp;"',","'',")&amp;IF(AC643&lt;&gt;"","'"&amp;AC643&amp;"',","'',")&amp;IF(AI643&lt;&gt;"","'"&amp;AI643&amp;"',","'',")&amp;IF(AN643&lt;&gt;"","'"&amp;AN643&amp;"',","'',")&amp;IF(AS643&lt;&gt;"","'"&amp;AS643&amp;"',","'',")&amp;IF(AX643&lt;&gt;"","'"&amp;AX643&amp;"',","'',")&amp;"},","")
        &amp; IF(OR(X643&lt;&gt;"",AD643&lt;&gt;"",AJ643&lt;&gt;"",AO643&lt;&gt;"",AT643&lt;&gt;"",AY643&lt;&gt;""),"['de']={"&amp;IF(X643&lt;&gt;"","'"&amp;X643&amp;"',","'',")&amp;IF(AD643&lt;&gt;"","'"&amp;AD643&amp;"',","'',")&amp;IF(AJ643&lt;&gt;"","'"&amp;AJ643&amp;"',","'',")&amp;IF(AO643&lt;&gt;"","'"&amp;AO643&amp;"',","'',")&amp;IF(AT643&lt;&gt;"","'"&amp;AT643&amp;"',","'',")&amp;IF(AY643&lt;&gt;"","'"&amp;AY643&amp;"',","'',")&amp;"},","")
     &amp; "}",""),"")),""),"")
&amp; IF(AND(BD643&lt;&gt;"",BD643&lt;&gt;"X"), ", perfectedSetId=" &amp; BD643, IF(BD643&lt;&gt;"",", isPerfectedSet=1",""))</f>
        <v>, dropMechanic={LIBSETS_DROP_MECHANIC_GROUP_DUNGEON_BOSS}</v>
      </c>
      <c r="BI643" s="21" t="str">
        <f t="shared" ref="BI643:BI665" si="65">IF(A643&lt;&gt;"",IF(F643&lt;&gt;"Not in the game (anymore)",
IF(OR(BA643&lt;&gt;"",BB643&lt;&gt;""),", addTooltip={" &amp; IF(BA643&lt;&gt;"","['en']='"&amp; BA643 &amp; "',","")  &amp; IF(AND(BA643&lt;&gt;"",BA643&lt;&gt;BB643), IF(BB643&lt;&gt;"","['de']='"&amp; BB643 &amp; "',",""),"") &amp; "},","")
&amp; "},"
&amp; IF(C643&lt;&gt;"",CONCATENATE(" --",C643," / ",B643,"   [",IF(R643&lt;&gt;"",R643,""),IF(AA643&lt;&gt;"",", "&amp;AA643,""),IF(AG643&lt;&gt;"",", "&amp;AG643,""),IF(AL643&lt;&gt;"",", "&amp;AL643,""),IF(AQ643&lt;&gt;"",", "&amp;AQ643,""),IF(AV643&lt;&gt;"",", "&amp;AV643,""),"]")),""),"")</f>
        <v>}, --Tarnished Nightmare / Tarnished Nightmare   [Bedlam Veil, Wrothgar, Wrothgar]</v>
      </c>
    </row>
    <row r="644" spans="1:61" x14ac:dyDescent="0.25">
      <c r="A644" s="5">
        <v>737</v>
      </c>
      <c r="B644" s="36" t="s">
        <v>3879</v>
      </c>
      <c r="C644" s="36" t="s">
        <v>3879</v>
      </c>
      <c r="D644" s="3">
        <f t="shared" si="60"/>
        <v>737</v>
      </c>
      <c r="G644" s="8" t="s">
        <v>1470</v>
      </c>
      <c r="I644" t="s">
        <v>91</v>
      </c>
      <c r="J644" t="s">
        <v>91</v>
      </c>
      <c r="K644" s="36">
        <v>565</v>
      </c>
      <c r="L644" s="36">
        <v>565</v>
      </c>
      <c r="M644" s="36">
        <v>565</v>
      </c>
      <c r="O644" s="61" t="s">
        <v>3874</v>
      </c>
      <c r="Q644" s="3">
        <f>IF(AND(P644&lt;&gt;"",ISNUMBER(P644),NOT(ISNA(P644))),P644,IF(R644&lt;&gt;"",VLOOKUP(R644,'ESO zone constants'!$D$5:$H$10003,5,FALSE),""))</f>
        <v>1471</v>
      </c>
      <c r="R644" t="str">
        <f>IF(AND(O644&lt;&gt;"",NOT(ISERROR(O644))),O644,
IF(AND(P644&lt;&gt;"",ISNUMBER(P644),P644&gt;0,NOT(ISNA(P644))),VLOOKUP(P644,'ESO zone constants'!$A$5:$D$10001,4,FALSE),
IF(AND(K644&lt;&gt;"",K644&gt;0,NOT(ISERROR(K644))),VLOOKUP(K644,'ESO dumped WayshrineInfo'!$K$3:$N$9972,4,FALSE),"")))</f>
        <v>Bedlam Veil</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WayshrineInfo'!$K$3:$L$9972,2,FALSE),"")
),"")</f>
        <v>684</v>
      </c>
      <c r="AA644" t="str">
        <f>IF(AND(Z644&lt;&gt;"",ISNUMBER(Z644),NOT(ISNA(Z644))),VLOOKUP(Z644,'ESO zone constants'!$A$5:$D$10001,4,FALSE),"")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WayshrineInfo'!$K$3:$L$9972,2,FALSE),"")
),"")</f>
        <v>684</v>
      </c>
      <c r="AG644" t="str">
        <f>IF(AND(AF644&lt;&gt;"",ISNUMBER(AF644),NOT(ISNA(AF644))),VLOOKUP(AF644,'ESO zone constants'!$A$5:$D$10001,4,FALSE),"")</f>
        <v>Wrothgar</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5" t="s">
        <v>2645</v>
      </c>
      <c r="BA644" s="75"/>
      <c r="BB644" s="75"/>
      <c r="BC644"/>
      <c r="BD644"/>
      <c r="BE644" s="21" t="str">
        <f t="shared" si="61"/>
        <v>[737] = {wayshrines={565,565,565,}, dlcId=DLC_SCIONS_OF_ITHELIA</v>
      </c>
      <c r="BF644" s="21" t="str">
        <f t="shared" si="62"/>
        <v>, zoneIds={1471,684,684}, veteran=false</v>
      </c>
      <c r="BG644" s="21" t="str">
        <f t="shared" si="63"/>
        <v>, setType=LIBSETS_SETTYPE_DUNGEON</v>
      </c>
      <c r="BH644" s="21" t="str">
        <f t="shared" si="64"/>
        <v>, dropMechanic={LIBSETS_DROP_MECHANIC_GROUP_DUNGEON_BOSS}</v>
      </c>
      <c r="BI644" s="21" t="str">
        <f t="shared" si="65"/>
        <v>}, --Reflected Fury / Reflected Fury   [Bedlam Veil, Wrothgar, Wrothgar]</v>
      </c>
    </row>
    <row r="645" spans="1:61" x14ac:dyDescent="0.25">
      <c r="A645" s="5">
        <v>738</v>
      </c>
      <c r="B645" s="36" t="s">
        <v>3884</v>
      </c>
      <c r="C645" s="36" t="s">
        <v>3883</v>
      </c>
      <c r="D645" s="3">
        <f t="shared" si="60"/>
        <v>738</v>
      </c>
      <c r="G645" s="8" t="s">
        <v>1472</v>
      </c>
      <c r="I645" t="s">
        <v>91</v>
      </c>
      <c r="J645" t="s">
        <v>91</v>
      </c>
      <c r="K645" s="36">
        <v>565</v>
      </c>
      <c r="L645" s="36">
        <v>565</v>
      </c>
      <c r="M645" s="36">
        <v>565</v>
      </c>
      <c r="O645" s="61" t="s">
        <v>3874</v>
      </c>
      <c r="Q645" s="3">
        <f>IF(AND(P645&lt;&gt;"",ISNUMBER(P645),NOT(ISNA(P645))),P645,IF(R645&lt;&gt;"",VLOOKUP(R645,'ESO zone constants'!$D$5:$H$10003,5,FALSE),""))</f>
        <v>1471</v>
      </c>
      <c r="R645" t="str">
        <f>IF(AND(O645&lt;&gt;"",NOT(ISERROR(O645))),O645,
IF(AND(P645&lt;&gt;"",ISNUMBER(P645),P645&gt;0,NOT(ISNA(P645))),VLOOKUP(P645,'ESO zone constants'!$A$5:$D$10001,4,FALSE),
IF(AND(K645&lt;&gt;"",K645&gt;0,NOT(ISERROR(K645))),VLOOKUP(K645,'ESO dumped WayshrineInfo'!$K$3:$N$9972,4,FALSE),"")))</f>
        <v>Bedlam Veil</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1535</v>
      </c>
      <c r="W645" s="3" t="s">
        <v>3883</v>
      </c>
      <c r="X645" s="3" t="s">
        <v>3884</v>
      </c>
      <c r="Y645" s="61"/>
      <c r="Z645" s="3">
        <f>IF(AND(G645&lt;&gt;"LIBSETS_SETTYPE_BATTLEGROUND",G645&lt;&gt;"LIBSETS_SETTYPE_SPECIAL"),
IF(AND(Y645&lt;&gt;"",ISNUMBER(Y645),NOT(ISNA(Y645))),Y645,
   IF(AND(L645&lt;&gt;"",ISNUMBER(L645),L645&gt;0,NOT(ISNA(L645))),VLOOKUP(L645,'ESO dumped WayshrineInfo'!$K$3:$L$9972,2,FALSE),"")
),"")</f>
        <v>684</v>
      </c>
      <c r="AA645" t="str">
        <f>IF(AND(Z645&lt;&gt;"",ISNUMBER(Z645),NOT(ISNA(Z645))),VLOOKUP(Z645,'ESO zone constants'!$A$5:$D$10001,4,FALSE),"")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WayshrineInfo'!$K$3:$L$9972,2,FALSE),"")
),"")</f>
        <v>684</v>
      </c>
      <c r="AG645" t="str">
        <f>IF(AND(AF645&lt;&gt;"",ISNUMBER(AF645),NOT(ISNA(AF645))),VLOOKUP(AF645,'ESO zone constants'!$A$5:$D$10001,4,FALSE),"")</f>
        <v>Wrothgar</v>
      </c>
      <c r="AH645" s="42"/>
      <c r="AI645" s="41"/>
      <c r="AJ645" s="41"/>
      <c r="AK645" s="3" t="str">
        <f>IF(AND(G645&lt;&gt;"LIBSETS_SETTYPE_BATTLEGROUND",G645&lt;&gt;"LIBSETS_SETTYPE_SPECIAL"),IF(AL645&lt;&gt;"",VLOOKUP(AL645,'ESO zone constants'!$D$5:$H$4955,5,FALSE),""),"")</f>
        <v/>
      </c>
      <c r="AM645" s="42"/>
      <c r="AN645" s="41"/>
      <c r="AO645" s="41"/>
      <c r="AP645" s="3" t="str">
        <f>IF(AND(G645&lt;&gt;"LIBSETS_SETTYPE_BATTLEGROUND",G645&lt;&gt;"LIBSETS_SETTYPE_SPECIAL"),IF(AQ645&lt;&gt;"",VLOOKUP(AQ645,'ESO zone constants'!$D$5:$H$4955,5,FALSE),""),"")</f>
        <v/>
      </c>
      <c r="AR645" s="42"/>
      <c r="AS645" s="41"/>
      <c r="AT645" s="41"/>
      <c r="AU645" s="3" t="str">
        <f>IF(AND(G645&lt;&gt;"LIBSETS_SETTYPE_BATTLEGROUND",G645&lt;&gt;"LIBSETS_SETTYPE_SPECIAL"),IF(AV645&lt;&gt;"",VLOOKUP(AV645,'ESO zone constants'!$D$5:$H$4955,5,FALSE),""),"")</f>
        <v/>
      </c>
      <c r="AW645" s="42"/>
      <c r="AX645" s="39"/>
      <c r="AY645" s="39"/>
      <c r="AZ645" s="75" t="s">
        <v>2645</v>
      </c>
      <c r="BA645" s="75"/>
      <c r="BB645" s="75"/>
      <c r="BC645"/>
      <c r="BD645"/>
      <c r="BE645" s="21" t="str">
        <f t="shared" si="61"/>
        <v>[738] = {wayshrines={565,565,565,}, dlcId=DLC_SCIONS_OF_ITHELIA</v>
      </c>
      <c r="BF645" s="21" t="str">
        <f t="shared" si="62"/>
        <v>, zoneIds={1471,684,684}, veteran=false</v>
      </c>
      <c r="BG645" s="21" t="str">
        <f t="shared" si="63"/>
        <v>, setType=LIBSETS_SETTYPE_MONSTER</v>
      </c>
      <c r="BH645" s="21" t="str">
        <f t="shared" si="64"/>
        <v>, dropMechanic={LIBSETS_DROP_MECHANIC_MONSTER_NAME}, dropMechanicDropLocationNames={['en']={'The Blind','','','','','',},['de']={'Der Blinde','','','','','',},}</v>
      </c>
      <c r="BI645" s="21" t="str">
        <f t="shared" si="65"/>
        <v>}, --The Blind / Der Blinde   [Bedlam Veil, Wrothgar, Wrothgar]</v>
      </c>
    </row>
    <row r="646" spans="1:61" x14ac:dyDescent="0.25">
      <c r="A646" s="5">
        <v>754</v>
      </c>
      <c r="B646" s="36" t="s">
        <v>3888</v>
      </c>
      <c r="C646" s="36" t="s">
        <v>3888</v>
      </c>
      <c r="D646" s="3">
        <f t="shared" si="60"/>
        <v>754</v>
      </c>
      <c r="G646" s="3" t="s">
        <v>1468</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3875</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2756</v>
      </c>
      <c r="AI646" s="39"/>
      <c r="AJ646" s="39"/>
      <c r="AK646" s="3">
        <f>IF(AND(G646&lt;&gt;"LIBSETS_SETTYPE_BATTLEGROUND",G646&lt;&gt;"LIBSETS_SETTYPE_SPECIAL"),IF(AL646&lt;&gt;"",VLOOKUP(AL646,'ESO zone constants'!$D$5:$H$4955,5,FALSE),""),"")</f>
        <v>181</v>
      </c>
      <c r="AL646" t="s">
        <v>125</v>
      </c>
      <c r="AM646" s="33" t="s">
        <v>3721</v>
      </c>
      <c r="AN646" s="39"/>
      <c r="AO646" s="39"/>
      <c r="AP646" s="3">
        <f>IF(AND(G646&lt;&gt;"LIBSETS_SETTYPE_BATTLEGROUND",G646&lt;&gt;"LIBSETS_SETTYPE_SPECIAL"),IF(AQ646&lt;&gt;"",VLOOKUP(AQ646,'ESO zone constants'!$D$5:$H$4955,5,FALSE),""),"")</f>
        <v>181</v>
      </c>
      <c r="AQ646" t="s">
        <v>125</v>
      </c>
      <c r="AR646" s="33" t="s">
        <v>1551</v>
      </c>
      <c r="AS646" s="39"/>
      <c r="AT646" s="39"/>
      <c r="AU646" s="3">
        <f>IF(AND(G646&lt;&gt;"LIBSETS_SETTYPE_BATTLEGROUND",G646&lt;&gt;"LIBSETS_SETTYPE_SPECIAL"),IF(AV646&lt;&gt;"",VLOOKUP(AV646,'ESO zone constants'!$D$5:$H$4955,5,FALSE),""),"")</f>
        <v>181</v>
      </c>
      <c r="AV646" t="s">
        <v>125</v>
      </c>
      <c r="AW646" s="33" t="s">
        <v>3225</v>
      </c>
      <c r="AX646" s="39"/>
      <c r="AY646" s="39"/>
      <c r="AZ646" s="75" t="s">
        <v>2645</v>
      </c>
      <c r="BA646" s="75"/>
      <c r="BB646" s="75"/>
      <c r="BC646"/>
      <c r="BD646"/>
      <c r="BE646" s="21" t="str">
        <f t="shared" si="61"/>
        <v>[754] = {wayshrines={-1,-1,-1,}, dlcId=DLC_SCIONS_OF_ITHELIA</v>
      </c>
      <c r="BF646" s="21" t="str">
        <f t="shared" si="62"/>
        <v>, zoneIds={181,181,181,181,181,181}, veteran=false</v>
      </c>
      <c r="BG646" s="21" t="str">
        <f t="shared" si="63"/>
        <v>, setType=LIBSETS_SETTYPE_CYRODIIL</v>
      </c>
      <c r="BH646"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5"/>
        <v>}, --Oakfather\'s Retribution / Oakfather\'s Retribution   [Cyrodiil, Cyrodiil, Cyrodiil, Cyrodiil, Cyrodiil, Cyrodiil]</v>
      </c>
    </row>
    <row r="647" spans="1:61" x14ac:dyDescent="0.25">
      <c r="A647" s="5">
        <v>755</v>
      </c>
      <c r="B647" s="36" t="s">
        <v>3889</v>
      </c>
      <c r="C647" s="36" t="s">
        <v>3889</v>
      </c>
      <c r="D647" s="3">
        <f t="shared" si="60"/>
        <v>755</v>
      </c>
      <c r="G647" s="3" t="s">
        <v>1468</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3875</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2756</v>
      </c>
      <c r="AI647" s="39"/>
      <c r="AJ647" s="39"/>
      <c r="AK647" s="3">
        <f>IF(AND(G647&lt;&gt;"LIBSETS_SETTYPE_BATTLEGROUND",G647&lt;&gt;"LIBSETS_SETTYPE_SPECIAL"),IF(AL647&lt;&gt;"",VLOOKUP(AL647,'ESO zone constants'!$D$5:$H$4955,5,FALSE),""),"")</f>
        <v>181</v>
      </c>
      <c r="AL647" t="s">
        <v>125</v>
      </c>
      <c r="AM647" s="33" t="s">
        <v>3721</v>
      </c>
      <c r="AN647" s="39"/>
      <c r="AO647" s="39"/>
      <c r="AP647" s="3">
        <f>IF(AND(G647&lt;&gt;"LIBSETS_SETTYPE_BATTLEGROUND",G647&lt;&gt;"LIBSETS_SETTYPE_SPECIAL"),IF(AQ647&lt;&gt;"",VLOOKUP(AQ647,'ESO zone constants'!$D$5:$H$4955,5,FALSE),""),"")</f>
        <v>181</v>
      </c>
      <c r="AQ647" t="s">
        <v>125</v>
      </c>
      <c r="AR647" s="33" t="s">
        <v>1551</v>
      </c>
      <c r="AS647" s="39"/>
      <c r="AT647" s="39"/>
      <c r="AU647" s="3">
        <f>IF(AND(G647&lt;&gt;"LIBSETS_SETTYPE_BATTLEGROUND",G647&lt;&gt;"LIBSETS_SETTYPE_SPECIAL"),IF(AV647&lt;&gt;"",VLOOKUP(AV647,'ESO zone constants'!$D$5:$H$4955,5,FALSE),""),"")</f>
        <v>181</v>
      </c>
      <c r="AV647" t="s">
        <v>125</v>
      </c>
      <c r="AW647" s="33" t="s">
        <v>3225</v>
      </c>
      <c r="AX647" s="39"/>
      <c r="AY647" s="39"/>
      <c r="AZ647" s="75" t="s">
        <v>2645</v>
      </c>
      <c r="BA647" s="75"/>
      <c r="BB647" s="75"/>
      <c r="BC647"/>
      <c r="BD647"/>
      <c r="BE647" s="21" t="str">
        <f t="shared" si="61"/>
        <v>[755] = {wayshrines={-1,-1,-1,}, dlcId=DLC_SCIONS_OF_ITHELIA</v>
      </c>
      <c r="BF647" s="21" t="str">
        <f t="shared" si="62"/>
        <v>, zoneIds={181,181,181,181,181,181}, veteran=false</v>
      </c>
      <c r="BG647" s="21" t="str">
        <f t="shared" si="63"/>
        <v>, setType=LIBSETS_SETTYPE_CYRODIIL</v>
      </c>
      <c r="BH647"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5"/>
        <v>}, --Blunted Blades / Blunted Blades   [Cyrodiil, Cyrodiil, Cyrodiil, Cyrodiil, Cyrodiil, Cyrodiil]</v>
      </c>
    </row>
    <row r="648" spans="1:61" x14ac:dyDescent="0.25">
      <c r="A648" s="5">
        <v>756</v>
      </c>
      <c r="B648" s="36" t="s">
        <v>3890</v>
      </c>
      <c r="C648" s="36" t="s">
        <v>3890</v>
      </c>
      <c r="D648" s="3">
        <f t="shared" si="60"/>
        <v>756</v>
      </c>
      <c r="G648" s="3" t="s">
        <v>1468</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3875</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3721</v>
      </c>
      <c r="AN648" s="39"/>
      <c r="AO648" s="39"/>
      <c r="AP648" s="3">
        <f>IF(AND(G648&lt;&gt;"LIBSETS_SETTYPE_BATTLEGROUND",G648&lt;&gt;"LIBSETS_SETTYPE_SPECIAL"),IF(AQ648&lt;&gt;"",VLOOKUP(AQ648,'ESO zone constants'!$D$5:$H$4955,5,FALSE),""),"")</f>
        <v>181</v>
      </c>
      <c r="AQ648" t="s">
        <v>125</v>
      </c>
      <c r="AR648" s="33" t="s">
        <v>1551</v>
      </c>
      <c r="AS648" s="39"/>
      <c r="AT648" s="39"/>
      <c r="AU648" s="3">
        <f>IF(AND(G648&lt;&gt;"LIBSETS_SETTYPE_BATTLEGROUND",G648&lt;&gt;"LIBSETS_SETTYPE_SPECIAL"),IF(AV648&lt;&gt;"",VLOOKUP(AV648,'ESO zone constants'!$D$5:$H$4955,5,FALSE),""),"")</f>
        <v>181</v>
      </c>
      <c r="AV648" t="s">
        <v>125</v>
      </c>
      <c r="AW648" s="33" t="s">
        <v>3225</v>
      </c>
      <c r="AX648" s="39"/>
      <c r="AY648" s="39"/>
      <c r="AZ648" s="75" t="s">
        <v>2645</v>
      </c>
      <c r="BA648" s="75"/>
      <c r="BB648" s="75"/>
      <c r="BC648"/>
      <c r="BD648"/>
      <c r="BE648" s="21" t="str">
        <f t="shared" si="61"/>
        <v>[756] = {wayshrines={-1,-1,-1,}, dlcId=DLC_SCIONS_OF_ITHELIA</v>
      </c>
      <c r="BF648" s="21" t="str">
        <f t="shared" si="62"/>
        <v>, zoneIds={181,181,181,181,181,181}, veteran=false</v>
      </c>
      <c r="BG648" s="21" t="str">
        <f t="shared" si="63"/>
        <v>, setType=LIBSETS_SETTYPE_CYRODIIL</v>
      </c>
      <c r="BH648" s="21" t="str">
        <f t="shared" si="64"/>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5"/>
        <v>}, --Baan Dar\'s Blessing / Baan Dar\'s Blessing   [Cyrodiil, Cyrodiil, Cyrodiil, Cyrodiil, Cyrodiil, Cyrodiil]</v>
      </c>
    </row>
    <row r="649" spans="1:61" x14ac:dyDescent="0.25">
      <c r="A649" s="5">
        <v>757</v>
      </c>
      <c r="B649" s="36" t="s">
        <v>3921</v>
      </c>
      <c r="C649" s="36" t="s">
        <v>3921</v>
      </c>
      <c r="D649" s="3">
        <f t="shared" si="60"/>
        <v>757</v>
      </c>
      <c r="G649" s="3" t="s">
        <v>1473</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1554</v>
      </c>
      <c r="AI649" s="39"/>
      <c r="AJ649" s="39"/>
      <c r="AK649" s="3">
        <f>IF(AND(G649&lt;&gt;"LIBSETS_SETTYPE_BATTLEGROUND",G649&lt;&gt;"LIBSETS_SETTYPE_SPECIAL"),IF(AL649&lt;&gt;"",VLOOKUP(AL649,'ESO zone constants'!$D$5:$H$4955,5,FALSE),""),"")</f>
        <v>1467</v>
      </c>
      <c r="AL649" t="s">
        <v>3939</v>
      </c>
      <c r="AM649" s="42" t="s">
        <v>1554</v>
      </c>
      <c r="AN649" s="39"/>
      <c r="AO649" s="39"/>
      <c r="AP649" s="3">
        <f>IF(AND(G649&lt;&gt;"LIBSETS_SETTYPE_BATTLEGROUND",G649&lt;&gt;"LIBSETS_SETTYPE_SPECIAL"),IF(AQ649&lt;&gt;"",VLOOKUP(AQ649,'ESO zone constants'!$D$5:$H$4955,5,FALSE),""),"")</f>
        <v>1443</v>
      </c>
      <c r="AQ649" t="s">
        <v>3938</v>
      </c>
      <c r="AR649" s="42" t="s">
        <v>3213</v>
      </c>
      <c r="AS649" s="39"/>
      <c r="AT649" s="39"/>
      <c r="AU649" s="3">
        <f>IF(AND(G649&lt;&gt;"LIBSETS_SETTYPE_BATTLEGROUND",G649&lt;&gt;"LIBSETS_SETTYPE_SPECIAL"),IF(AV649&lt;&gt;"",VLOOKUP(AV649,'ESO zone constants'!$D$5:$H$4955,5,FALSE),""),"")</f>
        <v>1466</v>
      </c>
      <c r="AV649" t="s">
        <v>3949</v>
      </c>
      <c r="AW649" s="42" t="s">
        <v>1553</v>
      </c>
      <c r="AX649" s="39"/>
      <c r="AY649" s="39"/>
      <c r="AZ649" s="75" t="s">
        <v>2645</v>
      </c>
      <c r="BA649" s="75"/>
      <c r="BB649" s="75"/>
      <c r="BC649"/>
      <c r="BD649"/>
      <c r="BE649" s="21" t="str">
        <f t="shared" si="61"/>
        <v>[757] = {wayshrines={558,575,579,}, dlcId=DLC_GOLD_ROAD</v>
      </c>
      <c r="BF649" s="21" t="str">
        <f t="shared" si="62"/>
        <v>, zoneIds={1443,1443,1443,1467,1443,1466}, veteran=false</v>
      </c>
      <c r="BG649" s="21" t="str">
        <f t="shared" si="63"/>
        <v>, setType=LIBSETS_SETTYPE_OVERLAND</v>
      </c>
      <c r="BH649"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si="65"/>
        <v>}, --Symmetry of the Weald / Symmetry of the Weald   [West Weald, West Weald, West Weald, Silorn, West Weald, Leftwheal Trading Post]</v>
      </c>
    </row>
    <row r="650" spans="1:61" x14ac:dyDescent="0.25">
      <c r="A650" s="5">
        <v>758</v>
      </c>
      <c r="B650" s="36" t="s">
        <v>3922</v>
      </c>
      <c r="C650" s="36" t="s">
        <v>3922</v>
      </c>
      <c r="D650" s="3">
        <f t="shared" si="60"/>
        <v>758</v>
      </c>
      <c r="G650" s="3" t="s">
        <v>1473</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1554</v>
      </c>
      <c r="AI650" s="39"/>
      <c r="AJ650" s="39"/>
      <c r="AK650" s="3">
        <f>IF(AND(G650&lt;&gt;"LIBSETS_SETTYPE_BATTLEGROUND",G650&lt;&gt;"LIBSETS_SETTYPE_SPECIAL"),IF(AL650&lt;&gt;"",VLOOKUP(AL650,'ESO zone constants'!$D$5:$H$4955,5,FALSE),""),"")</f>
        <v>1467</v>
      </c>
      <c r="AL650" t="s">
        <v>3939</v>
      </c>
      <c r="AM650" s="42" t="s">
        <v>1554</v>
      </c>
      <c r="AN650" s="39"/>
      <c r="AO650" s="39"/>
      <c r="AP650" s="3">
        <f>IF(AND(G650&lt;&gt;"LIBSETS_SETTYPE_BATTLEGROUND",G650&lt;&gt;"LIBSETS_SETTYPE_SPECIAL"),IF(AQ650&lt;&gt;"",VLOOKUP(AQ650,'ESO zone constants'!$D$5:$H$4955,5,FALSE),""),"")</f>
        <v>1443</v>
      </c>
      <c r="AQ650" t="s">
        <v>3938</v>
      </c>
      <c r="AR650" s="42" t="s">
        <v>3213</v>
      </c>
      <c r="AS650" s="39"/>
      <c r="AT650" s="39"/>
      <c r="AU650" s="3">
        <f>IF(AND(G650&lt;&gt;"LIBSETS_SETTYPE_BATTLEGROUND",G650&lt;&gt;"LIBSETS_SETTYPE_SPECIAL"),IF(AV650&lt;&gt;"",VLOOKUP(AV650,'ESO zone constants'!$D$5:$H$4955,5,FALSE),""),"")</f>
        <v>1466</v>
      </c>
      <c r="AV650" t="s">
        <v>3949</v>
      </c>
      <c r="AW650" s="42" t="s">
        <v>1553</v>
      </c>
      <c r="AX650" s="39"/>
      <c r="AY650" s="39"/>
      <c r="AZ650" s="75" t="s">
        <v>2645</v>
      </c>
      <c r="BA650" s="75"/>
      <c r="BB650" s="75"/>
      <c r="BC650"/>
      <c r="BD650"/>
      <c r="BE650" s="21" t="str">
        <f t="shared" si="61"/>
        <v>[758] = {wayshrines={558,575,579,}, dlcId=DLC_GOLD_ROAD</v>
      </c>
      <c r="BF650" s="21" t="str">
        <f t="shared" si="62"/>
        <v>, zoneIds={1443,1443,1443,1467,1443,1466}, veteran=false</v>
      </c>
      <c r="BG650" s="21" t="str">
        <f t="shared" si="63"/>
        <v>, setType=LIBSETS_SETTYPE_OVERLAND</v>
      </c>
      <c r="BH650"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65"/>
        <v>}, --Macabre Vintage / Macabre Vintage   [West Weald, West Weald, West Weald, Silorn, West Weald, Leftwheal Trading Post]</v>
      </c>
    </row>
    <row r="651" spans="1:61" x14ac:dyDescent="0.25">
      <c r="A651" s="5">
        <v>759</v>
      </c>
      <c r="B651" s="36" t="s">
        <v>3923</v>
      </c>
      <c r="C651" s="36" t="s">
        <v>3923</v>
      </c>
      <c r="D651" s="3">
        <f t="shared" si="60"/>
        <v>759</v>
      </c>
      <c r="G651" s="3" t="s">
        <v>1473</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1554</v>
      </c>
      <c r="AI651" s="39"/>
      <c r="AJ651" s="39"/>
      <c r="AK651" s="3">
        <f>IF(AND(G651&lt;&gt;"LIBSETS_SETTYPE_BATTLEGROUND",G651&lt;&gt;"LIBSETS_SETTYPE_SPECIAL"),IF(AL651&lt;&gt;"",VLOOKUP(AL651,'ESO zone constants'!$D$5:$H$4955,5,FALSE),""),"")</f>
        <v>1467</v>
      </c>
      <c r="AL651" t="s">
        <v>3939</v>
      </c>
      <c r="AM651" s="42" t="s">
        <v>1554</v>
      </c>
      <c r="AN651" s="39"/>
      <c r="AO651" s="39"/>
      <c r="AP651" s="3">
        <f>IF(AND(G651&lt;&gt;"LIBSETS_SETTYPE_BATTLEGROUND",G651&lt;&gt;"LIBSETS_SETTYPE_SPECIAL"),IF(AQ651&lt;&gt;"",VLOOKUP(AQ651,'ESO zone constants'!$D$5:$H$4955,5,FALSE),""),"")</f>
        <v>1443</v>
      </c>
      <c r="AQ651" t="s">
        <v>3938</v>
      </c>
      <c r="AR651" s="42" t="s">
        <v>3213</v>
      </c>
      <c r="AS651" s="39"/>
      <c r="AT651" s="39"/>
      <c r="AU651" s="3">
        <f>IF(AND(G651&lt;&gt;"LIBSETS_SETTYPE_BATTLEGROUND",G651&lt;&gt;"LIBSETS_SETTYPE_SPECIAL"),IF(AV651&lt;&gt;"",VLOOKUP(AV651,'ESO zone constants'!$D$5:$H$4955,5,FALSE),""),"")</f>
        <v>1466</v>
      </c>
      <c r="AV651" t="s">
        <v>3949</v>
      </c>
      <c r="AW651" s="42" t="s">
        <v>1553</v>
      </c>
      <c r="AX651" s="39"/>
      <c r="AY651" s="39"/>
      <c r="AZ651" s="75" t="s">
        <v>2645</v>
      </c>
      <c r="BA651" s="75"/>
      <c r="BB651" s="75"/>
      <c r="BC651"/>
      <c r="BD651"/>
      <c r="BE651" s="21" t="str">
        <f t="shared" si="61"/>
        <v>[759] = {wayshrines={558,575,579,}, dlcId=DLC_GOLD_ROAD</v>
      </c>
      <c r="BF651" s="21" t="str">
        <f t="shared" si="62"/>
        <v>, zoneIds={1443,1443,1443,1467,1443,1466}, veteran=false</v>
      </c>
      <c r="BG651" s="21" t="str">
        <f t="shared" si="63"/>
        <v>, setType=LIBSETS_SETTYPE_OVERLAND</v>
      </c>
      <c r="BH651"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65"/>
        <v>}, --Ayleid Rufuge / Ayleid Rufuge   [West Weald, West Weald, West Weald, Silorn, West Weald, Leftwheal Trading Post]</v>
      </c>
    </row>
    <row r="652" spans="1:61" x14ac:dyDescent="0.25">
      <c r="A652" s="5">
        <v>760</v>
      </c>
      <c r="B652" s="36" t="s">
        <v>3931</v>
      </c>
      <c r="C652" s="36" t="s">
        <v>3931</v>
      </c>
      <c r="D652" s="3">
        <f t="shared" si="60"/>
        <v>760</v>
      </c>
      <c r="G652" s="3" t="s">
        <v>1671</v>
      </c>
      <c r="I652" t="s">
        <v>91</v>
      </c>
      <c r="J652" t="s">
        <v>91</v>
      </c>
      <c r="K652" s="36">
        <v>580</v>
      </c>
      <c r="L652" s="36">
        <v>43</v>
      </c>
      <c r="M652" s="36">
        <v>237</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3919</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1551</v>
      </c>
      <c r="W652" s="3" t="s">
        <v>4002</v>
      </c>
      <c r="X652" s="3" t="s">
        <v>4002</v>
      </c>
      <c r="Y652" s="61"/>
      <c r="Z652" s="3">
        <f>IF(AND(G652&lt;&gt;"LIBSETS_SETTYPE_BATTLEGROUND",G652&lt;&gt;"LIBSETS_SETTYPE_SPECIAL"),
IF(AND(Y652&lt;&gt;"",ISNUMBER(Y652),NOT(ISNA(Y652))),Y652,
   IF(AND(L652&lt;&gt;"",ISNUMBER(L652),L652&gt;0,NOT(ISNA(L652))),VLOOKUP(L652,'ESO dumped WayshrineInfo'!$K$3:$L$9972,2,FALSE),"")
),"")</f>
        <v>104</v>
      </c>
      <c r="AA652" t="str">
        <f>IF(AND(Z652&lt;&gt;"",ISNUMBER(Z652),NOT(ISNA(Z652))),VLOOKUP(Z652,'ESO zone constants'!$A$5:$D$10001,4,FALSE),"")</f>
        <v>Alik'r Desert</v>
      </c>
      <c r="AB652" s="33" t="s">
        <v>1551</v>
      </c>
      <c r="AC652" s="39" t="s">
        <v>224</v>
      </c>
      <c r="AD652" s="39" t="s">
        <v>224</v>
      </c>
      <c r="AE652" s="61">
        <v>705</v>
      </c>
      <c r="AF652" s="3">
        <f>IF(AND(G652&lt;&gt;"LIBSETS_SETTYPE_BATTLEGROUND",G652&lt;&gt;"LIBSETS_SETTYPE_SPECIAL"),
IF(AND(AE652&lt;&gt;"",ISNUMBER(AE652),NOT(ISNA(AE652))),AE652,
   IF(AND(M652&lt;&gt;"",ISNUMBER(M652),M652&gt;0,NOT(ISNA(M652))),VLOOKUP(M652,'ESO dumped WayshrineInfo'!$K$3:$L$9972,2,FALSE),"")
),"")</f>
        <v>705</v>
      </c>
      <c r="AG652" t="str">
        <f>IF(AND(AF652&lt;&gt;"",ISNUMBER(AF652),NOT(ISNA(AF652))),VLOOKUP(AF652,'ESO zone constants'!$A$5:$D$10001,4,FALSE),"")</f>
        <v>Rkindaleft</v>
      </c>
      <c r="AH652" s="33" t="s">
        <v>1553</v>
      </c>
      <c r="AI652" s="39" t="s">
        <v>3590</v>
      </c>
      <c r="AJ652" s="39" t="s">
        <v>3591</v>
      </c>
      <c r="AK652" s="3">
        <f>IF(AND(G652&lt;&gt;"LIBSETS_SETTYPE_BATTLEGROUND",G652&lt;&gt;"LIBSETS_SETTYPE_SPECIAL"),IF(AL652&lt;&gt;"",VLOOKUP(AL652,'ESO zone constants'!$D$5:$H$4955,5,FALSE),""),"")</f>
        <v>22</v>
      </c>
      <c r="AL652" t="s">
        <v>68</v>
      </c>
      <c r="AM652" s="42" t="s">
        <v>3273</v>
      </c>
      <c r="AN652" s="39" t="s">
        <v>4003</v>
      </c>
      <c r="AO652" s="39" t="s">
        <v>4004</v>
      </c>
      <c r="AP652" s="3">
        <f>IF(AND(G652&lt;&gt;"LIBSETS_SETTYPE_BATTLEGROUND",G652&lt;&gt;"LIBSETS_SETTYPE_SPECIAL"),IF(AQ652&lt;&gt;"",VLOOKUP(AQ652,'ESO zone constants'!$D$5:$H$4955,5,FALSE),""),"")</f>
        <v>975</v>
      </c>
      <c r="AQ652" t="s">
        <v>637</v>
      </c>
      <c r="AR652" s="42" t="s">
        <v>3254</v>
      </c>
      <c r="AS652" s="39" t="s">
        <v>4043</v>
      </c>
      <c r="AT652" s="39" t="s">
        <v>4043</v>
      </c>
      <c r="AU652" s="3" t="str">
        <f>IF(AND(G652&lt;&gt;"LIBSETS_SETTYPE_BATTLEGROUND",G652&lt;&gt;"LIBSETS_SETTYPE_SPECIAL"),IF(AV652&lt;&gt;"",VLOOKUP(AV652,'ESO zone constants'!$D$5:$H$4955,5,FALSE),""),"")</f>
        <v/>
      </c>
      <c r="AX652" s="39"/>
      <c r="AY652" s="39"/>
      <c r="AZ652" s="75" t="s">
        <v>2645</v>
      </c>
      <c r="BA652" s="75"/>
      <c r="BB652" s="75"/>
      <c r="BC652"/>
      <c r="BD652"/>
      <c r="BE652" s="21" t="str">
        <f t="shared" si="61"/>
        <v>[760] = {wayshrines={580,43,237,}, dlcId=DLC_GOLD_ROAD</v>
      </c>
      <c r="BF652" s="21" t="str">
        <f t="shared" si="62"/>
        <v>, zoneIds={1443,104,705,22,975}, veteran=false</v>
      </c>
      <c r="BG652" s="21" t="str">
        <f t="shared" si="63"/>
        <v>, setType=LIBSETS_SETTYPE_MYTHIC</v>
      </c>
      <c r="BH652" s="21"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21" t="str">
        <f t="shared" si="65"/>
        <v>}, --Rourken Steamguards / Rourken Steamguards   [West Weald, Alik'r Desert, Rkindaleft, Volenfell, Halls of Fabrication]</v>
      </c>
    </row>
    <row r="653" spans="1:61" x14ac:dyDescent="0.25">
      <c r="A653" s="5">
        <v>761</v>
      </c>
      <c r="B653" s="36" t="s">
        <v>4020</v>
      </c>
      <c r="C653" s="36" t="s">
        <v>4020</v>
      </c>
      <c r="D653" s="3">
        <f t="shared" si="60"/>
        <v>761</v>
      </c>
      <c r="G653" s="3" t="s">
        <v>1671</v>
      </c>
      <c r="I653" t="s">
        <v>91</v>
      </c>
      <c r="J653" t="s">
        <v>91</v>
      </c>
      <c r="K653" s="36">
        <v>575</v>
      </c>
      <c r="L653" s="36">
        <v>577</v>
      </c>
      <c r="M653" s="36">
        <v>391</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3919</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WayshrineInfo'!$K$3:$L$9972,2,FALSE),"")
),"")</f>
        <v>1443</v>
      </c>
      <c r="AA653" t="str">
        <f>IF(AND(Z653&lt;&gt;"",ISNUMBER(Z653),NOT(ISNA(Z653))),VLOOKUP(Z653,'ESO zone constants'!$A$5:$D$10001,4,FALSE),"")</f>
        <v>West Weald</v>
      </c>
      <c r="AB653" s="33" t="s">
        <v>1551</v>
      </c>
      <c r="AC653" s="39" t="s">
        <v>3964</v>
      </c>
      <c r="AD653" s="39" t="s">
        <v>4005</v>
      </c>
      <c r="AE653" s="61">
        <v>1122</v>
      </c>
      <c r="AF653" s="3">
        <f>IF(AND(G653&lt;&gt;"LIBSETS_SETTYPE_BATTLEGROUND",G653&lt;&gt;"LIBSETS_SETTYPE_SPECIAL"),
IF(AND(AE653&lt;&gt;"",ISNUMBER(AE653),NOT(ISNA(AE653))),AE653,
   IF(AND(M653&lt;&gt;"",ISNUMBER(M653),M653&gt;0,NOT(ISNA(M653))),VLOOKUP(M653,'ESO dumped WayshrineInfo'!$K$3:$L$9972,2,FALSE),"")
),"")</f>
        <v>1122</v>
      </c>
      <c r="AG653" t="str">
        <f>IF(AND(AF653&lt;&gt;"",ISNUMBER(AF653),NOT(ISNA(AF653))),VLOOKUP(AF653,'ESO zone constants'!$A$5:$D$10001,4,FALSE),"")</f>
        <v>Moongrave Fane</v>
      </c>
      <c r="AH653" s="33" t="s">
        <v>3273</v>
      </c>
      <c r="AI653" s="39" t="s">
        <v>3590</v>
      </c>
      <c r="AJ653" s="39" t="s">
        <v>3591</v>
      </c>
      <c r="AK653" s="3">
        <f>IF(AND(G653&lt;&gt;"LIBSETS_SETTYPE_BATTLEGROUND",G653&lt;&gt;"LIBSETS_SETTYPE_SPECIAL"),IF(AL653&lt;&gt;"",VLOOKUP(AL653,'ESO zone constants'!$D$5:$H$4955,5,FALSE),""),"")</f>
        <v>1443</v>
      </c>
      <c r="AL653" t="s">
        <v>3938</v>
      </c>
      <c r="AM653" s="42" t="s">
        <v>1552</v>
      </c>
      <c r="AN653" s="39"/>
      <c r="AO653" s="39"/>
      <c r="AP653" s="3">
        <f>IF(AND(G653&lt;&gt;"LIBSETS_SETTYPE_BATTLEGROUND",G653&lt;&gt;"LIBSETS_SETTYPE_SPECIAL"),IF(AQ653&lt;&gt;"",VLOOKUP(AQ653,'ESO zone constants'!$D$5:$H$4955,5,FALSE),""),"")</f>
        <v>1011</v>
      </c>
      <c r="AQ653" t="s">
        <v>79</v>
      </c>
      <c r="AR653" s="42" t="s">
        <v>3225</v>
      </c>
      <c r="AS653" s="39" t="s">
        <v>4044</v>
      </c>
      <c r="AT653" s="39" t="s">
        <v>4045</v>
      </c>
      <c r="AU653" s="3">
        <f>IF(AND(G653&lt;&gt;"LIBSETS_SETTYPE_BATTLEGROUND",G653&lt;&gt;"LIBSETS_SETTYPE_SPECIAL"),IF(AV653&lt;&gt;"",VLOOKUP(AV653,'ESO zone constants'!$D$5:$H$4955,5,FALSE),""),"")</f>
        <v>1090</v>
      </c>
      <c r="AV653" s="39" t="s">
        <v>1386</v>
      </c>
      <c r="AW653" s="42" t="s">
        <v>1553</v>
      </c>
      <c r="AX653" s="39" t="s">
        <v>4046</v>
      </c>
      <c r="AY653" s="39" t="s">
        <v>4047</v>
      </c>
      <c r="AZ653" s="75" t="s">
        <v>2645</v>
      </c>
      <c r="BA653" s="75"/>
      <c r="BB653" s="75"/>
      <c r="BC653"/>
      <c r="BD653"/>
      <c r="BE653" s="21" t="str">
        <f t="shared" si="61"/>
        <v>[761] = {wayshrines={575,577,391,}, dlcId=DLC_GOLD_ROAD</v>
      </c>
      <c r="BF653" s="21" t="str">
        <f t="shared" si="62"/>
        <v>, zoneIds={1443,1443,1122,1443,1011,1090}, veteran=false</v>
      </c>
      <c r="BG653" s="21" t="str">
        <f t="shared" si="63"/>
        <v>, setType=LIBSETS_SETTYPE_MYTHIC</v>
      </c>
      <c r="BH653" s="21"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21" t="str">
        <f t="shared" si="65"/>
        <v>}, --The Shadow Queen\'s Cowl / The Shadow Queen\'s Cowl   [West Weald, West Weald, Moongrave Fane, West Weald, Summerset, Orcrest]</v>
      </c>
    </row>
    <row r="654" spans="1:61" x14ac:dyDescent="0.25">
      <c r="A654" s="5">
        <v>762</v>
      </c>
      <c r="B654" s="36" t="s">
        <v>3932</v>
      </c>
      <c r="C654" s="36" t="s">
        <v>3932</v>
      </c>
      <c r="D654" s="3">
        <f t="shared" si="60"/>
        <v>762</v>
      </c>
      <c r="G654" s="3" t="s">
        <v>1671</v>
      </c>
      <c r="I654" t="s">
        <v>91</v>
      </c>
      <c r="J654" t="s">
        <v>91</v>
      </c>
      <c r="K654" s="36">
        <v>156</v>
      </c>
      <c r="L654" s="36">
        <v>75</v>
      </c>
      <c r="M654" s="36">
        <v>176</v>
      </c>
      <c r="Q654" s="3">
        <f>IF(AND(P654&lt;&gt;"",ISNUMBER(P654),NOT(ISNA(P654))),P654,IF(R654&lt;&gt;"",VLOOKUP(R654,'ESO zone constants'!$D$5:$H$10003,5,FALSE),""))</f>
        <v>382</v>
      </c>
      <c r="R654" t="str">
        <f>IF(AND(O654&lt;&gt;"",NOT(ISERROR(O654))),O654,
IF(AND(P654&lt;&gt;"",ISNUMBER(P654),P654&gt;0,NOT(ISNA(P654))),VLOOKUP(P654,'ESO zone constants'!$A$5:$D$10001,4,FALSE),
IF(AND(K654&lt;&gt;"",K654&gt;0,NOT(ISERROR(K654))),VLOOKUP(K654,'ESO dumped WayshrineInfo'!$K$3:$N$9972,4,FALSE),"")))</f>
        <v>Reaper's March</v>
      </c>
      <c r="S654" s="61" t="s">
        <v>3919</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1553</v>
      </c>
      <c r="W654" s="3" t="s">
        <v>4006</v>
      </c>
      <c r="X654" s="3" t="s">
        <v>4007</v>
      </c>
      <c r="Y654" s="61"/>
      <c r="Z654" s="3">
        <f>IF(AND(G654&lt;&gt;"LIBSETS_SETTYPE_BATTLEGROUND",G654&lt;&gt;"LIBSETS_SETTYPE_SPECIAL"),
IF(AND(Y654&lt;&gt;"",ISNUMBER(Y654),NOT(ISNA(Y654))),Y654,
   IF(AND(L654&lt;&gt;"",ISNUMBER(L654),L654&gt;0,NOT(ISNA(L654))),VLOOKUP(L654,'ESO dumped WayshrineInfo'!$K$3:$L$9972,2,FALSE),"")
),"")</f>
        <v>41</v>
      </c>
      <c r="AA654" t="str">
        <f>IF(AND(Z654&lt;&gt;"",ISNUMBER(Z654),NOT(ISNA(Z654))),VLOOKUP(Z654,'ESO zone constants'!$A$5:$D$10001,4,FALSE),"")</f>
        <v>Stonefalls</v>
      </c>
      <c r="AB654" s="33" t="s">
        <v>1551</v>
      </c>
      <c r="AC654" s="39" t="s">
        <v>4008</v>
      </c>
      <c r="AD654" s="39" t="s">
        <v>4009</v>
      </c>
      <c r="AE654" s="61"/>
      <c r="AF654" s="3">
        <f>IF(AND(G654&lt;&gt;"LIBSETS_SETTYPE_BATTLEGROUND",G654&lt;&gt;"LIBSETS_SETTYPE_SPECIAL"),
IF(AND(AE654&lt;&gt;"",ISNUMBER(AE654),NOT(ISNA(AE654))),AE654,
   IF(AND(M654&lt;&gt;"",ISNUMBER(M654),M654&gt;0,NOT(ISNA(M654))),VLOOKUP(M654,'ESO dumped WayshrineInfo'!$K$3:$L$9972,2,FALSE),"")
),"")</f>
        <v>381</v>
      </c>
      <c r="AG654" s="36" t="str">
        <f>IF(AND(AF654&lt;&gt;"",ISNUMBER(AF654),NOT(ISNA(AF654))),VLOOKUP(AF654,'ESO zone constants'!$A$5:$D$10001,4,FALSE),"")</f>
        <v>Auridon</v>
      </c>
      <c r="AH654" s="33" t="s">
        <v>3225</v>
      </c>
      <c r="AI654" s="39" t="s">
        <v>4010</v>
      </c>
      <c r="AJ654" s="39" t="s">
        <v>4011</v>
      </c>
      <c r="AK654" s="3">
        <f>IF(AND(G654&lt;&gt;"LIBSETS_SETTYPE_BATTLEGROUND",G654&lt;&gt;"LIBSETS_SETTYPE_SPECIAL"),IF(AL654&lt;&gt;"",VLOOKUP(AL654,'ESO zone constants'!$D$5:$H$4955,5,FALSE),""),"")</f>
        <v>677</v>
      </c>
      <c r="AL654" t="s">
        <v>448</v>
      </c>
      <c r="AM654" s="42" t="s">
        <v>1547</v>
      </c>
      <c r="AN654" s="39" t="s">
        <v>4048</v>
      </c>
      <c r="AO654" s="39" t="s">
        <v>4049</v>
      </c>
      <c r="AP654" s="3">
        <f>IF(AND(G654&lt;&gt;"LIBSETS_SETTYPE_BATTLEGROUND",G654&lt;&gt;"LIBSETS_SETTYPE_SPECIAL"),IF(AQ654&lt;&gt;"",VLOOKUP(AQ654,'ESO zone constants'!$D$5:$H$4955,5,FALSE),""),"")</f>
        <v>104</v>
      </c>
      <c r="AQ654" t="s">
        <v>112</v>
      </c>
      <c r="AR654" s="42" t="s">
        <v>1552</v>
      </c>
      <c r="AS654" s="39" t="s">
        <v>4050</v>
      </c>
      <c r="AT654" s="39" t="s">
        <v>4051</v>
      </c>
      <c r="AU654" s="3" t="str">
        <f>IF(AND(G654&lt;&gt;"LIBSETS_SETTYPE_BATTLEGROUND",G654&lt;&gt;"LIBSETS_SETTYPE_SPECIAL"),IF(AV654&lt;&gt;"",VLOOKUP(AV654,'ESO zone constants'!$D$5:$H$4955,5,FALSE),""),"")</f>
        <v/>
      </c>
      <c r="AX654" s="39"/>
      <c r="AY654" s="39"/>
      <c r="AZ654" s="75" t="s">
        <v>2645</v>
      </c>
      <c r="BA654" s="75"/>
      <c r="BB654" s="75"/>
      <c r="BC654"/>
      <c r="BD654"/>
      <c r="BE654" s="21" t="str">
        <f t="shared" si="61"/>
        <v>[762] = {wayshrines={156,75,176,}, dlcId=DLC_GOLD_ROAD</v>
      </c>
      <c r="BF654" s="21" t="str">
        <f t="shared" si="62"/>
        <v>, zoneIds={382,41,381,677,104}, veteran=false</v>
      </c>
      <c r="BG654" s="21" t="str">
        <f t="shared" si="63"/>
        <v>, setType=LIBSETS_SETTYPE_MYTHIC</v>
      </c>
      <c r="BH654" s="21"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21" t="str">
        <f t="shared" si="65"/>
        <v>}, --The Saint and the Seducer / The Saint and the Seducer   [Reaper's March, Stonefalls, Auridon, Maelstrom Arena, Alik'r Desert]</v>
      </c>
    </row>
    <row r="655" spans="1:61" x14ac:dyDescent="0.25">
      <c r="A655" s="5">
        <v>763</v>
      </c>
      <c r="B655" s="36" t="s">
        <v>3929</v>
      </c>
      <c r="C655" s="36" t="s">
        <v>3929</v>
      </c>
      <c r="D655" s="3">
        <f t="shared" si="60"/>
        <v>763</v>
      </c>
      <c r="G655" s="3" t="s">
        <v>1467</v>
      </c>
      <c r="I655" t="s">
        <v>91</v>
      </c>
      <c r="J655" t="s">
        <v>91</v>
      </c>
      <c r="K655" s="36">
        <v>560</v>
      </c>
      <c r="L655" s="36">
        <v>560</v>
      </c>
      <c r="M655" s="36">
        <v>560</v>
      </c>
      <c r="N655">
        <v>3</v>
      </c>
      <c r="Q655" s="3">
        <f>IF(AND(P655&lt;&gt;"",ISNUMBER(P655),NOT(ISNA(P655))),P655,IF(R655&lt;&gt;"",VLOOKUP(R655,'ESO zone constants'!$D$5:$H$10003,5,FALSE),""))</f>
        <v>1443</v>
      </c>
      <c r="R655" t="str">
        <f>IF(AND(O655&lt;&gt;"",NOT(ISERROR(O655))),O655,
IF(AND(P655&lt;&gt;"",ISNUMBER(P655),P655&gt;0,NOT(ISNA(P655))),VLOOKUP(P655,'ESO zone constants'!$A$5:$D$10001,4,FALSE),
IF(AND(K655&lt;&gt;"",K655&gt;0,NOT(ISERROR(K655))),VLOOKUP(K655,'ESO dumped WayshrineInfo'!$K$3:$N$9972,4,FALSE),"")))</f>
        <v>West Weald</v>
      </c>
      <c r="S655" s="61" t="s">
        <v>3919</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WayshrineInfo'!$K$3:$L$9972,2,FALSE),"")
),"")</f>
        <v>1443</v>
      </c>
      <c r="AA655" t="str">
        <f>IF(AND(Z655&lt;&gt;"",ISNUMBER(Z655),NOT(ISNA(Z655))),VLOOKUP(Z655,'ESO zone constants'!$A$5:$D$10001,4,FALSE),"")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WayshrineInfo'!$K$3:$L$9972,2,FALSE),"")
),"")</f>
        <v>1443</v>
      </c>
      <c r="AG655" t="str">
        <f>IF(AND(AF655&lt;&gt;"",ISNUMBER(AF655),NOT(ISNA(AF655))),VLOOKUP(AF655,'ESO zone constants'!$A$5:$D$10001,4,FALSE),"")</f>
        <v>West Weald</v>
      </c>
      <c r="AH655" s="33" t="s">
        <v>3276</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5" t="s">
        <v>2645</v>
      </c>
      <c r="BA655" s="75"/>
      <c r="BB655" s="75"/>
      <c r="BC655"/>
      <c r="BD655"/>
      <c r="BE655" s="21" t="str">
        <f t="shared" si="61"/>
        <v>[763] = {wayshrines={560,560,560,}, traitsNeeded=3, dlcId=DLC_GOLD_ROAD</v>
      </c>
      <c r="BF655" s="21" t="str">
        <f t="shared" si="62"/>
        <v>, zoneIds={1443,1443,1443}, veteran=false</v>
      </c>
      <c r="BG655" s="21" t="str">
        <f t="shared" si="63"/>
        <v>, setType=LIBSETS_SETTYPE_CRAFTED</v>
      </c>
      <c r="BH655" s="21" t="str">
        <f t="shared" si="64"/>
        <v>, dropMechanic={LIBSETS_DROP_MECHANIC_CRAFTED,LIBSETS_DROP_MECHANIC_CRAFTED,LIBSETS_DROP_MECHANIC_CRAFTED}</v>
      </c>
      <c r="BI655" s="21" t="str">
        <f t="shared" si="65"/>
        <v>}, --Tharriker\'s Strike / Tharriker\'s Strike   [West Weald, West Weald, West Weald]</v>
      </c>
    </row>
    <row r="656" spans="1:61" x14ac:dyDescent="0.25">
      <c r="A656" s="5">
        <v>764</v>
      </c>
      <c r="B656" s="36" t="s">
        <v>3924</v>
      </c>
      <c r="C656" s="36" t="s">
        <v>3924</v>
      </c>
      <c r="D656" s="3">
        <f t="shared" si="60"/>
        <v>764</v>
      </c>
      <c r="G656" s="3" t="s">
        <v>1467</v>
      </c>
      <c r="I656" t="s">
        <v>91</v>
      </c>
      <c r="J656" t="s">
        <v>91</v>
      </c>
      <c r="K656" s="36">
        <v>579</v>
      </c>
      <c r="L656" s="36">
        <v>579</v>
      </c>
      <c r="M656" s="36">
        <v>579</v>
      </c>
      <c r="N656">
        <v>5</v>
      </c>
      <c r="Q656" s="3">
        <f>IF(AND(P656&lt;&gt;"",ISNUMBER(P656),NOT(ISNA(P656))),P656,IF(R656&lt;&gt;"",VLOOKUP(R656,'ESO zone constants'!$D$5:$H$10003,5,FALSE),""))</f>
        <v>1443</v>
      </c>
      <c r="R656" t="str">
        <f>IF(AND(O656&lt;&gt;"",NOT(ISERROR(O656))),O656,
IF(AND(P656&lt;&gt;"",ISNUMBER(P656),P656&gt;0,NOT(ISNA(P656))),VLOOKUP(P656,'ESO zone constants'!$A$5:$D$10001,4,FALSE),
IF(AND(K656&lt;&gt;"",K656&gt;0,NOT(ISERROR(K656))),VLOOKUP(K656,'ESO dumped WayshrineInfo'!$K$3:$N$9972,4,FALSE),"")))</f>
        <v>West Weald</v>
      </c>
      <c r="S656" s="61" t="s">
        <v>3919</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WayshrineInfo'!$K$3:$L$9972,2,FALSE),"")
),"")</f>
        <v>1443</v>
      </c>
      <c r="AA656" t="str">
        <f>IF(AND(Z656&lt;&gt;"",ISNUMBER(Z656),NOT(ISNA(Z656))),VLOOKUP(Z656,'ESO zone constants'!$A$5:$D$10001,4,FALSE),"")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WayshrineInfo'!$K$3:$L$9972,2,FALSE),"")
),"")</f>
        <v>1443</v>
      </c>
      <c r="AG656" t="str">
        <f>IF(AND(AF656&lt;&gt;"",ISNUMBER(AF656),NOT(ISNA(AF656))),VLOOKUP(AF656,'ESO zone constants'!$A$5:$D$10001,4,FALSE),"")</f>
        <v>West Weald</v>
      </c>
      <c r="AH656" s="33" t="s">
        <v>3276</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5" t="s">
        <v>2645</v>
      </c>
      <c r="BA656" s="75"/>
      <c r="BB656" s="75"/>
      <c r="BC656"/>
      <c r="BD656"/>
      <c r="BE656" s="21" t="str">
        <f t="shared" si="61"/>
        <v>[764] = {wayshrines={579,579,579,}, traitsNeeded=5, dlcId=DLC_GOLD_ROAD</v>
      </c>
      <c r="BF656" s="21" t="str">
        <f t="shared" si="62"/>
        <v>, zoneIds={1443,1443,1443}, veteran=false</v>
      </c>
      <c r="BG656" s="21" t="str">
        <f t="shared" si="63"/>
        <v>, setType=LIBSETS_SETTYPE_CRAFTED</v>
      </c>
      <c r="BH656" s="21" t="str">
        <f t="shared" si="64"/>
        <v>, dropMechanic={LIBSETS_DROP_MECHANIC_CRAFTED,LIBSETS_DROP_MECHANIC_CRAFTED,LIBSETS_DROP_MECHANIC_CRAFTED}</v>
      </c>
      <c r="BI656" s="21" t="str">
        <f t="shared" si="65"/>
        <v>}, --Highland Sentinel / Highland Sentinel   [West Weald, West Weald, West Weald]</v>
      </c>
    </row>
    <row r="657" spans="1:61" x14ac:dyDescent="0.25">
      <c r="A657" s="5">
        <v>765</v>
      </c>
      <c r="B657" s="36" t="s">
        <v>3925</v>
      </c>
      <c r="C657" s="36" t="s">
        <v>3925</v>
      </c>
      <c r="D657" s="3">
        <f t="shared" si="60"/>
        <v>765</v>
      </c>
      <c r="G657" s="3" t="s">
        <v>1467</v>
      </c>
      <c r="I657" t="s">
        <v>91</v>
      </c>
      <c r="J657" t="s">
        <v>91</v>
      </c>
      <c r="K657" s="36">
        <v>580</v>
      </c>
      <c r="L657" s="36">
        <v>580</v>
      </c>
      <c r="M657" s="36">
        <v>580</v>
      </c>
      <c r="N657">
        <v>7</v>
      </c>
      <c r="Q657" s="3">
        <f>IF(AND(P657&lt;&gt;"",ISNUMBER(P657),NOT(ISNA(P657))),P657,IF(R657&lt;&gt;"",VLOOKUP(R657,'ESO zone constants'!$D$5:$H$10003,5,FALSE),""))</f>
        <v>1443</v>
      </c>
      <c r="R657" t="str">
        <f>IF(AND(O657&lt;&gt;"",NOT(ISERROR(O657))),O657,
IF(AND(P657&lt;&gt;"",ISNUMBER(P657),P657&gt;0,NOT(ISNA(P657))),VLOOKUP(P657,'ESO zone constants'!$A$5:$D$10001,4,FALSE),
IF(AND(K657&lt;&gt;"",K657&gt;0,NOT(ISERROR(K657))),VLOOKUP(K657,'ESO dumped WayshrineInfo'!$K$3:$N$9972,4,FALSE),"")))</f>
        <v>West Weald</v>
      </c>
      <c r="S657" s="61" t="s">
        <v>3919</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WayshrineInfo'!$K$3:$L$9972,2,FALSE),"")
),"")</f>
        <v>1443</v>
      </c>
      <c r="AA657" t="str">
        <f>IF(AND(Z657&lt;&gt;"",ISNUMBER(Z657),NOT(ISNA(Z657))),VLOOKUP(Z657,'ESO zone constants'!$A$5:$D$10001,4,FALSE),"")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WayshrineInfo'!$K$3:$L$9972,2,FALSE),"")
),"")</f>
        <v>1443</v>
      </c>
      <c r="AG657" t="str">
        <f>IF(AND(AF657&lt;&gt;"",ISNUMBER(AF657),NOT(ISNA(AF657))),VLOOKUP(AF657,'ESO zone constants'!$A$5:$D$10001,4,FALSE),"")</f>
        <v>West Weald</v>
      </c>
      <c r="AH657" s="33" t="s">
        <v>3276</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5" t="s">
        <v>2645</v>
      </c>
      <c r="BA657" s="75"/>
      <c r="BB657" s="75"/>
      <c r="BC657"/>
      <c r="BD657"/>
      <c r="BE657" s="21" t="str">
        <f t="shared" si="61"/>
        <v>[765] = {wayshrines={580,580,580,}, traitsNeeded=7, dlcId=DLC_GOLD_ROAD</v>
      </c>
      <c r="BF657" s="21" t="str">
        <f t="shared" si="62"/>
        <v>, zoneIds={1443,1443,1443}, veteran=false</v>
      </c>
      <c r="BG657" s="21" t="str">
        <f t="shared" si="63"/>
        <v>, setType=LIBSETS_SETTYPE_CRAFTED</v>
      </c>
      <c r="BH657" s="21" t="str">
        <f t="shared" si="64"/>
        <v>, dropMechanic={LIBSETS_DROP_MECHANIC_CRAFTED,LIBSETS_DROP_MECHANIC_CRAFTED,LIBSETS_DROP_MECHANIC_CRAFTED}</v>
      </c>
      <c r="BI657" s="21" t="str">
        <f t="shared" si="65"/>
        <v>}, --Threads of War / Threads of War   [West Weald, West Weald, West Weald]</v>
      </c>
    </row>
    <row r="658" spans="1:61" x14ac:dyDescent="0.25">
      <c r="A658" s="5">
        <v>766</v>
      </c>
      <c r="B658" s="36" t="s">
        <v>3928</v>
      </c>
      <c r="C658" s="36" t="s">
        <v>3928</v>
      </c>
      <c r="D658" s="3">
        <f t="shared" si="60"/>
        <v>766</v>
      </c>
      <c r="G658" s="3" t="s">
        <v>1474</v>
      </c>
      <c r="I658" t="s">
        <v>91</v>
      </c>
      <c r="J658" t="s">
        <v>91</v>
      </c>
      <c r="K658" s="36">
        <v>568</v>
      </c>
      <c r="L658" s="36">
        <v>568</v>
      </c>
      <c r="M658" s="36">
        <v>568</v>
      </c>
      <c r="O658" s="61" t="s">
        <v>3944</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3254</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5" t="s">
        <v>2645</v>
      </c>
      <c r="BA658" s="75"/>
      <c r="BB658" s="75"/>
      <c r="BC658"/>
      <c r="BD658">
        <v>773</v>
      </c>
      <c r="BE658" s="21" t="str">
        <f t="shared" si="61"/>
        <v>[766] = {wayshrines={568,568,568,}, dlcId=DLC_GOLD_ROAD</v>
      </c>
      <c r="BF658" s="21" t="str">
        <f t="shared" si="62"/>
        <v>, zoneIds={1478,1478,1478}, veteran=false</v>
      </c>
      <c r="BG658" s="21" t="str">
        <f t="shared" si="63"/>
        <v>, setType=LIBSETS_SETTYPE_TRIAL</v>
      </c>
      <c r="BH658" s="21" t="str">
        <f t="shared" si="64"/>
        <v>, dropMechanic={LIBSETS_DROP_MECHANIC_TRIAL_BOSS,LIBSETS_DROP_MECHANIC_TRIAL_BOSS,LIBSETS_DROP_MECHANIC_TRIAL_BOSS}, perfectedSetId=773</v>
      </c>
      <c r="BI658" s="21" t="str">
        <f t="shared" si="65"/>
        <v>}, --Mora Scribe\'s Thesis / Mora Scribe\'s Thesis   [Lucent Citadel, Lucent Citadel, Lucent Citadel]</v>
      </c>
    </row>
    <row r="659" spans="1:61" x14ac:dyDescent="0.25">
      <c r="A659" s="5">
        <v>767</v>
      </c>
      <c r="B659" s="36" t="s">
        <v>3926</v>
      </c>
      <c r="C659" s="36" t="s">
        <v>3926</v>
      </c>
      <c r="D659" s="3">
        <f t="shared" si="60"/>
        <v>767</v>
      </c>
      <c r="G659" s="3" t="s">
        <v>1474</v>
      </c>
      <c r="I659" t="s">
        <v>91</v>
      </c>
      <c r="J659" t="s">
        <v>91</v>
      </c>
      <c r="K659" s="36">
        <v>568</v>
      </c>
      <c r="L659" s="36">
        <v>568</v>
      </c>
      <c r="M659" s="36">
        <v>568</v>
      </c>
      <c r="O659" s="61" t="s">
        <v>3944</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3254</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5" t="s">
        <v>2645</v>
      </c>
      <c r="BA659" s="75"/>
      <c r="BB659" s="75"/>
      <c r="BC659"/>
      <c r="BD659">
        <v>772</v>
      </c>
      <c r="BE659" s="21" t="str">
        <f t="shared" si="61"/>
        <v>[767] = {wayshrines={568,568,568,}, dlcId=DLC_GOLD_ROAD</v>
      </c>
      <c r="BF659" s="21" t="str">
        <f t="shared" si="62"/>
        <v>, zoneIds={1478,1478,1478}, veteran=false</v>
      </c>
      <c r="BG659" s="21" t="str">
        <f t="shared" si="63"/>
        <v>, setType=LIBSETS_SETTYPE_TRIAL</v>
      </c>
      <c r="BH659" s="21" t="str">
        <f t="shared" si="64"/>
        <v>, dropMechanic={LIBSETS_DROP_MECHANIC_TRIAL_BOSS,LIBSETS_DROP_MECHANIC_TRIAL_BOSS,LIBSETS_DROP_MECHANIC_TRIAL_BOSS}, perfectedSetId=772</v>
      </c>
      <c r="BI659" s="21" t="str">
        <f t="shared" si="65"/>
        <v>}, --Slivers of the Null Arca / Slivers of the Null Arca   [Lucent Citadel, Lucent Citadel, Lucent Citadel]</v>
      </c>
    </row>
    <row r="660" spans="1:61" x14ac:dyDescent="0.25">
      <c r="A660" s="5">
        <v>768</v>
      </c>
      <c r="B660" s="36" t="s">
        <v>3930</v>
      </c>
      <c r="C660" s="36" t="s">
        <v>3930</v>
      </c>
      <c r="D660" s="3">
        <f t="shared" si="60"/>
        <v>768</v>
      </c>
      <c r="G660" s="3" t="s">
        <v>1474</v>
      </c>
      <c r="I660" t="s">
        <v>91</v>
      </c>
      <c r="J660" t="s">
        <v>91</v>
      </c>
      <c r="K660" s="36">
        <v>568</v>
      </c>
      <c r="L660" s="36">
        <v>568</v>
      </c>
      <c r="M660" s="36">
        <v>568</v>
      </c>
      <c r="O660" s="61" t="s">
        <v>3944</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3254</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5" t="s">
        <v>2645</v>
      </c>
      <c r="BA660" s="75"/>
      <c r="BB660" s="75"/>
      <c r="BC660"/>
      <c r="BD660">
        <v>771</v>
      </c>
      <c r="BE660" s="21" t="str">
        <f t="shared" si="61"/>
        <v>[768] = {wayshrines={568,568,568,}, dlcId=DLC_GOLD_ROAD</v>
      </c>
      <c r="BF660" s="21" t="str">
        <f t="shared" si="62"/>
        <v>, zoneIds={1478,1478,1478}, veteran=false</v>
      </c>
      <c r="BG660" s="21" t="str">
        <f t="shared" si="63"/>
        <v>, setType=LIBSETS_SETTYPE_TRIAL</v>
      </c>
      <c r="BH660" s="21" t="str">
        <f t="shared" si="64"/>
        <v>, dropMechanic={LIBSETS_DROP_MECHANIC_TRIAL_BOSS,LIBSETS_DROP_MECHANIC_TRIAL_BOSS,LIBSETS_DROP_MECHANIC_TRIAL_BOSS}, perfectedSetId=771</v>
      </c>
      <c r="BI660" s="21" t="str">
        <f t="shared" si="65"/>
        <v>}, --Lucent Echoes / Lucent Echoes   [Lucent Citadel, Lucent Citadel, Lucent Citadel]</v>
      </c>
    </row>
    <row r="661" spans="1:61" x14ac:dyDescent="0.25">
      <c r="A661" s="5">
        <v>769</v>
      </c>
      <c r="B661" s="36" t="s">
        <v>3927</v>
      </c>
      <c r="C661" s="36" t="s">
        <v>3927</v>
      </c>
      <c r="D661" s="3">
        <f t="shared" si="60"/>
        <v>769</v>
      </c>
      <c r="G661" s="3" t="s">
        <v>1474</v>
      </c>
      <c r="I661" t="s">
        <v>91</v>
      </c>
      <c r="J661" t="s">
        <v>91</v>
      </c>
      <c r="K661" s="36">
        <v>568</v>
      </c>
      <c r="L661" s="36">
        <v>568</v>
      </c>
      <c r="M661" s="36">
        <v>568</v>
      </c>
      <c r="O661" s="61" t="s">
        <v>3944</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3254</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5" t="s">
        <v>2645</v>
      </c>
      <c r="BA661" s="75"/>
      <c r="BB661" s="75"/>
      <c r="BC661"/>
      <c r="BD661">
        <v>770</v>
      </c>
      <c r="BE661" s="21" t="str">
        <f t="shared" si="61"/>
        <v>[769] = {wayshrines={568,568,568,}, dlcId=DLC_GOLD_ROAD</v>
      </c>
      <c r="BF661" s="21" t="str">
        <f t="shared" si="62"/>
        <v>, zoneIds={1478,1478,1478}, veteran=false</v>
      </c>
      <c r="BG661" s="21" t="str">
        <f t="shared" si="63"/>
        <v>, setType=LIBSETS_SETTYPE_TRIAL</v>
      </c>
      <c r="BH661" s="21" t="str">
        <f t="shared" si="64"/>
        <v>, dropMechanic={LIBSETS_DROP_MECHANIC_TRIAL_BOSS,LIBSETS_DROP_MECHANIC_TRIAL_BOSS,LIBSETS_DROP_MECHANIC_TRIAL_BOSS}, perfectedSetId=770</v>
      </c>
      <c r="BI661" s="21" t="str">
        <f t="shared" si="65"/>
        <v>}, --Xoryn\'s Masterpiece / Xoryn\'s Masterpiece   [Lucent Citadel, Lucent Citadel, Lucent Citadel]</v>
      </c>
    </row>
    <row r="662" spans="1:61" x14ac:dyDescent="0.25">
      <c r="A662" s="5">
        <v>770</v>
      </c>
      <c r="B662" s="36" t="s">
        <v>3935</v>
      </c>
      <c r="C662" s="36" t="s">
        <v>3935</v>
      </c>
      <c r="D662" s="3">
        <f t="shared" si="60"/>
        <v>770</v>
      </c>
      <c r="G662" s="3" t="s">
        <v>1474</v>
      </c>
      <c r="I662" t="s">
        <v>92</v>
      </c>
      <c r="J662" t="s">
        <v>91</v>
      </c>
      <c r="K662" s="36">
        <v>568</v>
      </c>
      <c r="L662" s="36">
        <v>568</v>
      </c>
      <c r="M662" s="36">
        <v>568</v>
      </c>
      <c r="O662" s="61" t="s">
        <v>3944</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3254</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5" t="s">
        <v>2645</v>
      </c>
      <c r="BA662" s="75"/>
      <c r="BB662" s="75"/>
      <c r="BC662"/>
      <c r="BD662" t="s">
        <v>3812</v>
      </c>
      <c r="BE662" s="21" t="str">
        <f t="shared" si="61"/>
        <v>[770] = {wayshrines={568,568,568,}, dlcId=DLC_GOLD_ROAD</v>
      </c>
      <c r="BF662" s="21" t="str">
        <f t="shared" si="62"/>
        <v>, zoneIds={1478,1478,1478}, veteran=true</v>
      </c>
      <c r="BG662" s="21" t="str">
        <f t="shared" si="63"/>
        <v>, setType=LIBSETS_SETTYPE_TRIAL</v>
      </c>
      <c r="BH662" s="21" t="str">
        <f t="shared" si="64"/>
        <v>, dropMechanic={LIBSETS_DROP_MECHANIC_TRIAL_BOSS,LIBSETS_DROP_MECHANIC_TRIAL_BOSS,LIBSETS_DROP_MECHANIC_TRIAL_BOSS}, isPerfectedSet=1</v>
      </c>
      <c r="BI662" s="21" t="str">
        <f t="shared" si="65"/>
        <v>}, --Perfected Xoryn\'s Masterpiece / Perfected Xoryn\'s Masterpiece   [Lucent Citadel, Lucent Citadel, Lucent Citadel]</v>
      </c>
    </row>
    <row r="663" spans="1:61" x14ac:dyDescent="0.25">
      <c r="A663" s="5">
        <v>771</v>
      </c>
      <c r="B663" s="36" t="s">
        <v>3936</v>
      </c>
      <c r="C663" s="36" t="s">
        <v>3936</v>
      </c>
      <c r="D663" s="3">
        <f t="shared" si="60"/>
        <v>771</v>
      </c>
      <c r="G663" s="3" t="s">
        <v>1474</v>
      </c>
      <c r="I663" t="s">
        <v>92</v>
      </c>
      <c r="J663" t="s">
        <v>91</v>
      </c>
      <c r="K663" s="36">
        <v>568</v>
      </c>
      <c r="L663" s="36">
        <v>568</v>
      </c>
      <c r="M663" s="36">
        <v>568</v>
      </c>
      <c r="O663" s="61" t="s">
        <v>3944</v>
      </c>
      <c r="Q663" s="3">
        <f>IF(AND(P663&lt;&gt;"",ISNUMBER(P663),NOT(ISNA(P663))),P663,IF(R663&lt;&gt;"",VLOOKUP(R663,'ESO zone constants'!$D$5:$H$10003,5,FALSE),""))</f>
        <v>1478</v>
      </c>
      <c r="R663" t="str">
        <f>IF(AND(O663&lt;&gt;"",NOT(ISERROR(O663))),O663,
IF(AND(P663&lt;&gt;"",ISNUMBER(P663),P663&gt;0,NOT(ISNA(P663))),VLOOKUP(P663,'ESO zone constants'!$A$5:$D$10001,4,FALSE),
IF(AND(K663&lt;&gt;"",K663&gt;0,NOT(ISERROR(K663))),VLOOKUP(K663,'ESO dumped WayshrineInfo'!$K$3:$N$9972,4,FALSE),"")))</f>
        <v>Lucent Citadel</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WayshrineInfo'!$K$3:$L$9972,2,FALSE),"")
),"")</f>
        <v>1478</v>
      </c>
      <c r="AA663" t="str">
        <f>IF(AND(Z663&lt;&gt;"",ISNUMBER(Z663),NOT(ISNA(Z663))),VLOOKUP(Z663,'ESO zone constants'!$A$5:$D$10001,4,FALSE),"")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WayshrineInfo'!$K$3:$L$9972,2,FALSE),"")
),"")</f>
        <v>1478</v>
      </c>
      <c r="AG663" t="str">
        <f>IF(AND(AF663&lt;&gt;"",ISNUMBER(AF663),NOT(ISNA(AF663))),VLOOKUP(AF663,'ESO zone constants'!$A$5:$D$10001,4,FALSE),"")</f>
        <v>Lucent Citadel</v>
      </c>
      <c r="AH663" s="33" t="s">
        <v>3254</v>
      </c>
      <c r="AI663" s="39"/>
      <c r="AJ663" s="39"/>
      <c r="AK663" s="3" t="str">
        <f>IF(AND(G663&lt;&gt;"LIBSETS_SETTYPE_BATTLEGROUND",G663&lt;&gt;"LIBSETS_SETTYPE_SPECIAL"),IF(AL663&lt;&gt;"",VLOOKUP(AL663,'ESO zone constants'!$D$5:$H$4955,5,FALSE),""),"")</f>
        <v/>
      </c>
      <c r="AN663" s="39"/>
      <c r="AO663" s="39"/>
      <c r="AP663" s="3" t="str">
        <f>IF(AND(G663&lt;&gt;"LIBSETS_SETTYPE_BATTLEGROUND",G663&lt;&gt;"LIBSETS_SETTYPE_SPECIAL"),IF(AQ663&lt;&gt;"",VLOOKUP(AQ663,'ESO zone constants'!$D$5:$H$4955,5,FALSE),""),"")</f>
        <v/>
      </c>
      <c r="AS663" s="39"/>
      <c r="AT663" s="39"/>
      <c r="AU663" s="3" t="str">
        <f>IF(AND(G663&lt;&gt;"LIBSETS_SETTYPE_BATTLEGROUND",G663&lt;&gt;"LIBSETS_SETTYPE_SPECIAL"),IF(AV663&lt;&gt;"",VLOOKUP(AV663,'ESO zone constants'!$D$5:$H$4955,5,FALSE),""),"")</f>
        <v/>
      </c>
      <c r="AX663" s="39"/>
      <c r="AY663" s="39"/>
      <c r="AZ663" s="75" t="s">
        <v>2645</v>
      </c>
      <c r="BA663" s="75"/>
      <c r="BB663" s="75"/>
      <c r="BC663"/>
      <c r="BD663" t="s">
        <v>3812</v>
      </c>
      <c r="BE663" s="21" t="str">
        <f t="shared" si="61"/>
        <v>[771] = {wayshrines={568,568,568,}, dlcId=DLC_GOLD_ROAD</v>
      </c>
      <c r="BF663" s="21" t="str">
        <f t="shared" si="62"/>
        <v>, zoneIds={1478,1478,1478}, veteran=true</v>
      </c>
      <c r="BG663" s="21" t="str">
        <f t="shared" si="63"/>
        <v>, setType=LIBSETS_SETTYPE_TRIAL</v>
      </c>
      <c r="BH663" s="21" t="str">
        <f t="shared" si="64"/>
        <v>, dropMechanic={LIBSETS_DROP_MECHANIC_TRIAL_BOSS,LIBSETS_DROP_MECHANIC_TRIAL_BOSS,LIBSETS_DROP_MECHANIC_TRIAL_BOSS}, isPerfectedSet=1</v>
      </c>
      <c r="BI663" s="21" t="str">
        <f t="shared" si="65"/>
        <v>}, --Perfected Lucent Echoes / Perfected Lucent Echoes   [Lucent Citadel, Lucent Citadel, Lucent Citadel]</v>
      </c>
    </row>
    <row r="664" spans="1:61" x14ac:dyDescent="0.25">
      <c r="A664" s="5">
        <v>772</v>
      </c>
      <c r="B664" s="36" t="s">
        <v>3934</v>
      </c>
      <c r="C664" s="36" t="s">
        <v>3934</v>
      </c>
      <c r="D664" s="3">
        <f t="shared" si="60"/>
        <v>772</v>
      </c>
      <c r="G664" s="3" t="s">
        <v>1474</v>
      </c>
      <c r="I664" t="s">
        <v>92</v>
      </c>
      <c r="J664" t="s">
        <v>91</v>
      </c>
      <c r="K664" s="36">
        <v>568</v>
      </c>
      <c r="L664" s="36">
        <v>568</v>
      </c>
      <c r="M664" s="36">
        <v>568</v>
      </c>
      <c r="O664" s="61" t="s">
        <v>3944</v>
      </c>
      <c r="Q664" s="3">
        <f>IF(AND(P664&lt;&gt;"",ISNUMBER(P664),NOT(ISNA(P664))),P664,IF(R664&lt;&gt;"",VLOOKUP(R664,'ESO zone constants'!$D$5:$H$10003,5,FALSE),""))</f>
        <v>1478</v>
      </c>
      <c r="R664" t="str">
        <f>IF(AND(O664&lt;&gt;"",NOT(ISERROR(O664))),O664,
IF(AND(P664&lt;&gt;"",ISNUMBER(P664),P664&gt;0,NOT(ISNA(P664))),VLOOKUP(P664,'ESO zone constants'!$A$5:$D$10001,4,FALSE),
IF(AND(K664&lt;&gt;"",K664&gt;0,NOT(ISERROR(K664))),VLOOKUP(K664,'ESO dumped WayshrineInfo'!$K$3:$N$9972,4,FALSE),"")))</f>
        <v>Lucent Citadel</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WayshrineInfo'!$K$3:$L$9972,2,FALSE),"")
),"")</f>
        <v>1478</v>
      </c>
      <c r="AA664" t="str">
        <f>IF(AND(Z664&lt;&gt;"",ISNUMBER(Z664),NOT(ISNA(Z664))),VLOOKUP(Z664,'ESO zone constants'!$A$5:$D$10001,4,FALSE),"")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WayshrineInfo'!$K$3:$L$9972,2,FALSE),"")
),"")</f>
        <v>1478</v>
      </c>
      <c r="AG664" t="str">
        <f>IF(AND(AF664&lt;&gt;"",ISNUMBER(AF664),NOT(ISNA(AF664))),VLOOKUP(AF664,'ESO zone constants'!$A$5:$D$10001,4,FALSE),"")</f>
        <v>Lucent Citadel</v>
      </c>
      <c r="AH664" s="33" t="s">
        <v>3254</v>
      </c>
      <c r="AI664" s="39"/>
      <c r="AJ664" s="39"/>
      <c r="AK664" s="3" t="str">
        <f>IF(AND(G664&lt;&gt;"LIBSETS_SETTYPE_BATTLEGROUND",G664&lt;&gt;"LIBSETS_SETTYPE_SPECIAL"),IF(AL664&lt;&gt;"",VLOOKUP(AL664,'ESO zone constants'!$D$5:$H$4955,5,FALSE),""),"")</f>
        <v/>
      </c>
      <c r="AN664" s="39"/>
      <c r="AO664" s="39"/>
      <c r="AP664" s="3" t="str">
        <f>IF(AND(G664&lt;&gt;"LIBSETS_SETTYPE_BATTLEGROUND",G664&lt;&gt;"LIBSETS_SETTYPE_SPECIAL"),IF(AQ664&lt;&gt;"",VLOOKUP(AQ664,'ESO zone constants'!$D$5:$H$4955,5,FALSE),""),"")</f>
        <v/>
      </c>
      <c r="AS664" s="39"/>
      <c r="AT664" s="39"/>
      <c r="AU664" s="3" t="str">
        <f>IF(AND(G664&lt;&gt;"LIBSETS_SETTYPE_BATTLEGROUND",G664&lt;&gt;"LIBSETS_SETTYPE_SPECIAL"),IF(AV664&lt;&gt;"",VLOOKUP(AV664,'ESO zone constants'!$D$5:$H$4955,5,FALSE),""),"")</f>
        <v/>
      </c>
      <c r="AX664" s="39"/>
      <c r="AY664" s="39"/>
      <c r="AZ664" s="75" t="s">
        <v>2645</v>
      </c>
      <c r="BA664" s="75"/>
      <c r="BB664" s="75"/>
      <c r="BC664"/>
      <c r="BD664" t="s">
        <v>3812</v>
      </c>
      <c r="BE664" s="21" t="str">
        <f t="shared" si="61"/>
        <v>[772] = {wayshrines={568,568,568,}, dlcId=DLC_GOLD_ROAD</v>
      </c>
      <c r="BF664" s="21" t="str">
        <f t="shared" si="62"/>
        <v>, zoneIds={1478,1478,1478}, veteran=true</v>
      </c>
      <c r="BG664" s="21" t="str">
        <f t="shared" si="63"/>
        <v>, setType=LIBSETS_SETTYPE_TRIAL</v>
      </c>
      <c r="BH664" s="21" t="str">
        <f t="shared" si="64"/>
        <v>, dropMechanic={LIBSETS_DROP_MECHANIC_TRIAL_BOSS,LIBSETS_DROP_MECHANIC_TRIAL_BOSS,LIBSETS_DROP_MECHANIC_TRIAL_BOSS}, isPerfectedSet=1</v>
      </c>
      <c r="BI664" s="21" t="str">
        <f t="shared" si="65"/>
        <v>}, --Perfected Slivers of the Null Arca / Perfected Slivers of the Null Arca   [Lucent Citadel, Lucent Citadel, Lucent Citadel]</v>
      </c>
    </row>
    <row r="665" spans="1:61" x14ac:dyDescent="0.25">
      <c r="A665" s="5">
        <v>773</v>
      </c>
      <c r="B665" s="36" t="s">
        <v>3933</v>
      </c>
      <c r="C665" s="36" t="s">
        <v>3933</v>
      </c>
      <c r="D665" s="3">
        <f t="shared" si="60"/>
        <v>773</v>
      </c>
      <c r="G665" s="3" t="s">
        <v>1474</v>
      </c>
      <c r="I665" t="s">
        <v>92</v>
      </c>
      <c r="J665" t="s">
        <v>91</v>
      </c>
      <c r="K665" s="36">
        <v>568</v>
      </c>
      <c r="L665" s="36">
        <v>568</v>
      </c>
      <c r="M665" s="36">
        <v>568</v>
      </c>
      <c r="O665" s="61" t="s">
        <v>3944</v>
      </c>
      <c r="Q665" s="3">
        <f>IF(AND(P665&lt;&gt;"",ISNUMBER(P665),NOT(ISNA(P665))),P665,IF(R665&lt;&gt;"",VLOOKUP(R665,'ESO zone constants'!$D$5:$H$10003,5,FALSE),""))</f>
        <v>1478</v>
      </c>
      <c r="R665" t="str">
        <f>IF(AND(O665&lt;&gt;"",NOT(ISERROR(O665))),O665,
IF(AND(P665&lt;&gt;"",ISNUMBER(P665),P665&gt;0,NOT(ISNA(P665))),VLOOKUP(P665,'ESO zone constants'!$A$5:$D$10001,4,FALSE),
IF(AND(K665&lt;&gt;"",K665&gt;0,NOT(ISERROR(K665))),VLOOKUP(K665,'ESO dumped WayshrineInfo'!$K$3:$N$9972,4,FALSE),"")))</f>
        <v>Lucent Citadel</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WayshrineInfo'!$K$3:$L$9972,2,FALSE),"")
),"")</f>
        <v>1478</v>
      </c>
      <c r="AA665" t="str">
        <f>IF(AND(Z665&lt;&gt;"",ISNUMBER(Z665),NOT(ISNA(Z665))),VLOOKUP(Z665,'ESO zone constants'!$A$5:$D$10001,4,FALSE),"")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WayshrineInfo'!$K$3:$L$9972,2,FALSE),"")
),"")</f>
        <v>1478</v>
      </c>
      <c r="AG665" t="str">
        <f>IF(AND(AF665&lt;&gt;"",ISNUMBER(AF665),NOT(ISNA(AF665))),VLOOKUP(AF665,'ESO zone constants'!$A$5:$D$10001,4,FALSE),"")</f>
        <v>Lucent Citadel</v>
      </c>
      <c r="AH665" s="33" t="s">
        <v>3254</v>
      </c>
      <c r="AI665" s="39"/>
      <c r="AJ665" s="39"/>
      <c r="AK665" s="3" t="str">
        <f>IF(AND(G665&lt;&gt;"LIBSETS_SETTYPE_BATTLEGROUND",G665&lt;&gt;"LIBSETS_SETTYPE_SPECIAL"),IF(AL665&lt;&gt;"",VLOOKUP(AL665,'ESO zone constants'!$D$5:$H$4955,5,FALSE),""),"")</f>
        <v/>
      </c>
      <c r="AN665" s="39"/>
      <c r="AO665" s="39"/>
      <c r="AP665" s="3" t="str">
        <f>IF(AND(G665&lt;&gt;"LIBSETS_SETTYPE_BATTLEGROUND",G665&lt;&gt;"LIBSETS_SETTYPE_SPECIAL"),IF(AQ665&lt;&gt;"",VLOOKUP(AQ665,'ESO zone constants'!$D$5:$H$4955,5,FALSE),""),"")</f>
        <v/>
      </c>
      <c r="AS665" s="39"/>
      <c r="AT665" s="39"/>
      <c r="AU665" s="3" t="str">
        <f>IF(AND(G665&lt;&gt;"LIBSETS_SETTYPE_BATTLEGROUND",G665&lt;&gt;"LIBSETS_SETTYPE_SPECIAL"),IF(AV665&lt;&gt;"",VLOOKUP(AV665,'ESO zone constants'!$D$5:$H$4955,5,FALSE),""),"")</f>
        <v/>
      </c>
      <c r="AX665" s="39"/>
      <c r="AY665" s="39"/>
      <c r="AZ665" s="75" t="s">
        <v>2645</v>
      </c>
      <c r="BA665" s="75"/>
      <c r="BB665" s="75"/>
      <c r="BC665"/>
      <c r="BD665" t="s">
        <v>3812</v>
      </c>
      <c r="BE665" s="21" t="str">
        <f t="shared" si="61"/>
        <v>[773] = {wayshrines={568,568,568,}, dlcId=DLC_GOLD_ROAD</v>
      </c>
      <c r="BF665" s="21" t="str">
        <f t="shared" si="62"/>
        <v>, zoneIds={1478,1478,1478}, veteran=true</v>
      </c>
      <c r="BG665" s="21" t="str">
        <f t="shared" si="63"/>
        <v>, setType=LIBSETS_SETTYPE_TRIAL</v>
      </c>
      <c r="BH665" s="21" t="str">
        <f t="shared" si="64"/>
        <v>, dropMechanic={LIBSETS_DROP_MECHANIC_TRIAL_BOSS,LIBSETS_DROP_MECHANIC_TRIAL_BOSS,LIBSETS_DROP_MECHANIC_TRIAL_BOSS}, isPerfectedSet=1</v>
      </c>
      <c r="BI665" s="21" t="str">
        <f t="shared" si="65"/>
        <v>}, --Perfected Mora Scribe\'s Thesis / Perfected Mora Scribe\'s Thesis   [Lucent Citadel, Lucent Citadel, Lucent Citadel]</v>
      </c>
    </row>
    <row r="666" spans="1:61" x14ac:dyDescent="0.25">
      <c r="A666" s="5">
        <v>775</v>
      </c>
      <c r="B666" s="36" t="s">
        <v>4030</v>
      </c>
      <c r="C666" s="36" t="s">
        <v>4030</v>
      </c>
      <c r="D666" s="3">
        <f t="shared" si="60"/>
        <v>775</v>
      </c>
      <c r="E666" s="36" t="s">
        <v>3758</v>
      </c>
      <c r="G666" s="3" t="s">
        <v>3738</v>
      </c>
      <c r="I666" t="s">
        <v>91</v>
      </c>
      <c r="J666" t="s">
        <v>91</v>
      </c>
      <c r="K666">
        <v>543</v>
      </c>
      <c r="L666">
        <v>543</v>
      </c>
      <c r="M666">
        <v>543</v>
      </c>
      <c r="O666" s="61" t="s">
        <v>3899</v>
      </c>
      <c r="Q666" s="3">
        <f>IF(AND(P666&lt;&gt;"",ISNUMBER(P666),NOT(ISNA(P666))),P666,IF(R666&lt;&gt;"",VLOOKUP(R666,'ESO zone constants'!$D$5:$H$10003,5,FALSE),""))</f>
        <v>1436</v>
      </c>
      <c r="R666" t="str">
        <f>IF(AND(O666&lt;&gt;"",NOT(ISERROR(O666))),O666,
IF(AND(P666&lt;&gt;"",ISNUMBER(P666),P666&gt;0,NOT(ISNA(P666))),VLOOKUP(P666,'ESO zone constants'!$A$5:$D$10001,4,FALSE),
IF(AND(K666&lt;&gt;"",K666&gt;0,NOT(ISERROR(K666))),VLOOKUP(K666,'ESO dumped WayshrineInfo'!$K$3:$N$9972,4,FALSE),"")))</f>
        <v>Infinite Archive</v>
      </c>
      <c r="S666" s="61" t="s">
        <v>4022</v>
      </c>
      <c r="T666" s="19" t="str">
        <f>IF(AND(S666&lt;&gt;"",NOT(ISERROR(S666))),S666,IF(Q666&lt;&gt;"",IF(NOT(ISERROR(VLOOKUP(Q666,'ESO Dungeon constants'!$D$3:$H$9999,5,FALSE))),VLOOKUP(Q666,'ESO Dungeon constants'!$D$3:$I$9999,6,FALSE),VLOOKUP(Q666,'ESO zone constants'!$H$3:$K$9989,4,FALSE)),""))</f>
        <v>NO_DLC_UPDATE43</v>
      </c>
      <c r="U666" s="3" t="str">
        <f>IF(T666&lt;&gt;"",VLOOKUP(T666,'LibSets constants'!$B$4:$C$1017,2,FALSE),"")</f>
        <v>Patch 43, House tours, QOL and other</v>
      </c>
      <c r="V666" s="86" t="s">
        <v>3735</v>
      </c>
      <c r="W666" s="3" t="s">
        <v>3758</v>
      </c>
      <c r="X666" s="3" t="s">
        <v>3863</v>
      </c>
      <c r="Y666" s="61"/>
      <c r="Z666" s="3">
        <f>IF(AND(G666&lt;&gt;"LIBSETS_SETTYPE_BATTLEGROUND",G666&lt;&gt;"LIBSETS_SETTYPE_SPECIAL"),
IF(AND(Y666&lt;&gt;"",ISNUMBER(Y666),NOT(ISNA(Y666))),Y666,
   IF(AND(L666&lt;&gt;"",ISNUMBER(L666),L666&gt;0,NOT(ISNA(L666))),VLOOKUP(L666,'ESO dumped WayshrineInfo'!$K$3:$L$9972,2,FALSE),"")
),"")</f>
        <v>1413</v>
      </c>
      <c r="AA666" t="str">
        <f>IF(AND(Z666&lt;&gt;"",ISNUMBER(Z666),NOT(ISNA(Z666))),VLOOKUP(Z666,'ESO zone constants'!$A$5:$D$10001,4,FALSE),"")</f>
        <v>Apocrypha</v>
      </c>
      <c r="AC666" s="39"/>
      <c r="AD666" s="39"/>
      <c r="AE666" s="61"/>
      <c r="AF666" s="3">
        <f>IF(AND(G666&lt;&gt;"LIBSETS_SETTYPE_BATTLEGROUND",G666&lt;&gt;"LIBSETS_SETTYPE_SPECIAL"),
IF(AND(AE666&lt;&gt;"",ISNUMBER(AE666),NOT(ISNA(AE666))),AE666,
   IF(AND(M666&lt;&gt;"",ISNUMBER(M666),M666&gt;0,NOT(ISNA(M666))),VLOOKUP(M666,'ESO dumped WayshrineInfo'!$K$3:$L$9972,2,FALSE),"")
),"")</f>
        <v>1413</v>
      </c>
      <c r="AG666" s="36" t="str">
        <f>IF(AND(AF666&lt;&gt;"",ISNUMBER(AF666),NOT(ISNA(AF666))),VLOOKUP(AF666,'ESO zone constants'!$A$5:$D$10001,4,FALSE),"")</f>
        <v>Apocrypha</v>
      </c>
      <c r="AI666" s="39"/>
      <c r="AJ666" s="39"/>
      <c r="AK666" s="3" t="str">
        <f>IF(AND(G666&lt;&gt;"LIBSETS_SETTYPE_BATTLEGROUND",G666&lt;&gt;"LIBSETS_SETTYPE_SPECIAL"),IF(AL666&lt;&gt;"",VLOOKUP(AL666,'ESO zone constants'!$D$5:$H$4955,5,FALSE),""),"")</f>
        <v/>
      </c>
      <c r="AN666" s="39"/>
      <c r="AO666" s="39"/>
      <c r="AP666" s="3" t="str">
        <f>IF(AND(G666&lt;&gt;"LIBSETS_SETTYPE_BATTLEGROUND",G666&lt;&gt;"LIBSETS_SETTYPE_SPECIAL"),IF(AQ666&lt;&gt;"",VLOOKUP(AQ666,'ESO zone constants'!$D$5:$H$4955,5,FALSE),""),"")</f>
        <v/>
      </c>
      <c r="AS666" s="39"/>
      <c r="AT666" s="39"/>
      <c r="AU666" s="3" t="str">
        <f>IF(AND(G666&lt;&gt;"LIBSETS_SETTYPE_BATTLEGROUND",G666&lt;&gt;"LIBSETS_SETTYPE_SPECIAL"),IF(AV666&lt;&gt;"",VLOOKUP(AV666,'ESO zone constants'!$D$5:$H$4955,5,FALSE),""),"")</f>
        <v/>
      </c>
      <c r="AX666" s="39"/>
      <c r="AY666" s="39"/>
      <c r="AZ666" s="75" t="s">
        <v>2645</v>
      </c>
      <c r="BA666" s="75"/>
      <c r="BB666" s="75"/>
      <c r="BC666">
        <v>117</v>
      </c>
      <c r="BD666"/>
      <c r="BE666" s="21" t="str">
        <f t="shared" ref="BE666:BE672" si="66">IF(A666="???","--","")&amp;IF(F666&lt;&gt;"Not in the game (anymore)",IF(A666&lt;&gt;"",CONCATENATE("[",A666,"] = {wayshrines={")&amp;IF(K666&lt;&gt;"",CONCATENATE(K666,","),"")&amp;IF(L666&lt;&gt;"",CONCATENATE(L666,","),"")&amp;IF(M666&lt;&gt;"",CONCATENATE(M666,","),"")&amp;CONCATENATE("}")&amp;IF(VALUE(N666)&gt;0,CONCATENATE(", traitsNeeded=",N666),"")&amp;CONCATENATE(", dlcId=",IF(T666&lt;&gt;"",T666,"DLC_BASE_GAME")),""),"")</f>
        <v>[775] = {wayshrines={543,543,543,}, dlcId=NO_DLC_UPDATE43</v>
      </c>
      <c r="BF666" s="21" t="str">
        <f t="shared" ref="BF666:BF672" si="67">IF(F666&lt;&gt;"Not in the game (anymore)",IF(A666&lt;&gt;"",IF(Q666&lt;&gt;"",CONCATENATE(", zoneIds={",Q666),"")&amp;IF(Z666&lt;&gt;"",CONCATENATE(",",Z666),"")&amp;IF(AF666&lt;&gt;"",CONCATENATE(",",AF666),"")&amp;IF(AK666&lt;&gt;"",CONCATENATE(",",AK666),"")&amp;IF(AP666&lt;&gt;"",CONCATENATE(",",AP666),"")&amp;IF(AU666&lt;&gt;"",CONCATENATE(",",AU666),"")&amp;IF(Q666&lt;&gt;"",CONCATENATE("}",""),"")&amp;IF(OR(I666="true",I666="false",I666&lt;&gt;""), CONCATENATE(", veteran=", I666), ""),""),"")</f>
        <v>, zoneIds={1436,1413,1413}, veteran=false</v>
      </c>
      <c r="BG666" s="21" t="str">
        <f t="shared" ref="BG666:BG672" si="68">IF(A666&lt;&gt;"",IF(F666&lt;&gt;"Not in the game (anymore)",IF(A666&lt;&gt;"",", setType="&amp;G666,"")&amp;IF(G666="LIBSETS_SETTYPE_CLASS",", classId="&amp;BC666,"")&amp;IF(J666="true",", multiTrialSet=true",""),"")
&amp; IF(AND(H666&lt;&gt;"",ISNUMBER(H666)),", undauntedChestId=" &amp; H666,""),"")</f>
        <v>, setType=LIBSETS_SETTYPE_CLASS, classId=117</v>
      </c>
      <c r="BH666" s="21" t="str">
        <f t="shared" ref="BH666:BH672" si="69">IF(A666&lt;&gt;"",IF(F666&lt;&gt;"Not in the game (anymore)",IF(AZ666&lt;&gt;"",", isProcSetAllowedInPvP="&amp; AZ666,"")
&amp; IF(F666&lt;&gt;"Not in the game (anymore)",
  IF(V666&lt;&gt;"",", dropMechanic={"&amp;V666&amp;IF(AB666&lt;&gt;"",","&amp;AB666,"")&amp;IF(AH666&lt;&gt;"",","&amp;AH666,"")&amp;IF(AM666&lt;&gt;"",","&amp;AM666,"")&amp;IF(AR666&lt;&gt;"",","&amp;AR666,"")&amp;IF(AW666&lt;&gt;"",","&amp;AW666,"")&amp;"}"
     &amp;IF(OR(W666&lt;&gt;"",AC666&lt;&gt;"",AI666&lt;&gt;"",AN666&lt;&gt;"",AS666&lt;&gt;"",AX666&lt;&gt;"",X666&lt;&gt;"",AD666&lt;&gt;"",AJ666&lt;&gt;"",AO666&lt;&gt;"",AT666&lt;&gt;"",AY666&lt;&gt;""),", dropMechanicDropLocationNames={"
        &amp; IF(OR(W666&lt;&gt;"",AC666&lt;&gt;"",AI666&lt;&gt;"",AN666&lt;&gt;"",AS666&lt;&gt;"",AX666&lt;&gt;""),"['en']={"&amp;IF(W666&lt;&gt;"","'"&amp;W666&amp;"',","'',")&amp;IF(AC666&lt;&gt;"","'"&amp;AC666&amp;"',","'',")&amp;IF(AI666&lt;&gt;"","'"&amp;AI666&amp;"',","'',")&amp;IF(AN666&lt;&gt;"","'"&amp;AN666&amp;"',","'',")&amp;IF(AS666&lt;&gt;"","'"&amp;AS666&amp;"',","'',")&amp;IF(AX666&lt;&gt;"","'"&amp;AX666&amp;"',","'',")&amp;"},","")
        &amp; IF(OR(X666&lt;&gt;"",AD666&lt;&gt;"",AJ666&lt;&gt;"",AO666&lt;&gt;"",AT666&lt;&gt;"",AY666&lt;&gt;""),"['de']={"&amp;IF(X666&lt;&gt;"","'"&amp;X666&amp;"',","'',")&amp;IF(AD666&lt;&gt;"","'"&amp;AD666&amp;"',","'',")&amp;IF(AJ666&lt;&gt;"","'"&amp;AJ666&amp;"',","'',")&amp;IF(AO666&lt;&gt;"","'"&amp;AO666&amp;"',","'',")&amp;IF(AT666&lt;&gt;"","'"&amp;AT666&amp;"',","'',")&amp;IF(AY666&lt;&gt;"","'"&amp;AY666&amp;"',","'',")&amp;"},","")
     &amp; "}",""),"")),""),"")
&amp; IF(AND(BD666&lt;&gt;"",BD666&lt;&gt;"X"), ", perfectedSetId=" &amp; BD666, IF(BD666&lt;&gt;"",", isPerfectedSet=1",""))</f>
        <v>, dropMechanic={LIBSETS_DROP_MECHANIC_ENDLESS_ARCHIVE}, dropMechanicDropLocationNames={['en']={'Arcanist','','','','','',},['de']={'Arkanist','','','','','',},}</v>
      </c>
      <c r="BI666" s="21" t="str">
        <f t="shared" ref="BI666:BI672" si="70">IF(A666&lt;&gt;"",IF(F666&lt;&gt;"Not in the game (anymore)",
IF(OR(BA666&lt;&gt;"",BB666&lt;&gt;""),", addTooltip={" &amp; IF(BA666&lt;&gt;"","['en']='"&amp; BA666 &amp; "',","")  &amp; IF(AND(BA666&lt;&gt;"",BA666&lt;&gt;BB666), IF(BB666&lt;&gt;"","['de']='"&amp; BB666 &amp; "',",""),"") &amp; "},","")
&amp; "},"
&amp; IF(C666&lt;&gt;"",CONCATENATE(" --",C666," / ",B666,"   [",IF(R666&lt;&gt;"",R666,""),IF(AA666&lt;&gt;"",", "&amp;AA666,""),IF(AG666&lt;&gt;"",", "&amp;AG666,""),IF(AL666&lt;&gt;"",", "&amp;AL666,""),IF(AQ666&lt;&gt;"",", "&amp;AQ666,""),IF(AV666&lt;&gt;"",", "&amp;AV666,""),"]")),""),"")</f>
        <v>}, --Spattering Disjunction / Spattering Disjunction   [Infinite Archive, Apocrypha, Apocrypha]</v>
      </c>
    </row>
    <row r="667" spans="1:61" x14ac:dyDescent="0.25">
      <c r="A667" s="5">
        <v>776</v>
      </c>
      <c r="B667" s="36" t="s">
        <v>4026</v>
      </c>
      <c r="C667" s="36" t="s">
        <v>4026</v>
      </c>
      <c r="D667" s="3">
        <f t="shared" si="60"/>
        <v>776</v>
      </c>
      <c r="E667" s="36" t="s">
        <v>3752</v>
      </c>
      <c r="G667" s="3" t="s">
        <v>3738</v>
      </c>
      <c r="I667" t="s">
        <v>91</v>
      </c>
      <c r="J667" t="s">
        <v>91</v>
      </c>
      <c r="K667">
        <v>543</v>
      </c>
      <c r="L667">
        <v>543</v>
      </c>
      <c r="M667">
        <v>543</v>
      </c>
      <c r="O667" s="61" t="s">
        <v>3899</v>
      </c>
      <c r="Q667" s="3">
        <f>IF(AND(P667&lt;&gt;"",ISNUMBER(P667),NOT(ISNA(P667))),P667,IF(R667&lt;&gt;"",VLOOKUP(R667,'ESO zone constants'!$D$5:$H$10003,5,FALSE),""))</f>
        <v>1436</v>
      </c>
      <c r="R667" t="str">
        <f>IF(AND(O667&lt;&gt;"",NOT(ISERROR(O667))),O667,
IF(AND(P667&lt;&gt;"",ISNUMBER(P667),P667&gt;0,NOT(ISNA(P667))),VLOOKUP(P667,'ESO zone constants'!$A$5:$D$10001,4,FALSE),
IF(AND(K667&lt;&gt;"",K667&gt;0,NOT(ISERROR(K667))),VLOOKUP(K667,'ESO dumped WayshrineInfo'!$K$3:$N$9972,4,FALSE),"")))</f>
        <v>Infinite Archive</v>
      </c>
      <c r="S667" s="61" t="s">
        <v>4022</v>
      </c>
      <c r="T667" s="19" t="str">
        <f>IF(AND(S667&lt;&gt;"",NOT(ISERROR(S667))),S667,IF(Q667&lt;&gt;"",IF(NOT(ISERROR(VLOOKUP(Q667,'ESO Dungeon constants'!$D$3:$H$9999,5,FALSE))),VLOOKUP(Q667,'ESO Dungeon constants'!$D$3:$I$9999,6,FALSE),VLOOKUP(Q667,'ESO zone constants'!$H$3:$K$9989,4,FALSE)),""))</f>
        <v>NO_DLC_UPDATE43</v>
      </c>
      <c r="U667" s="3" t="str">
        <f>IF(T667&lt;&gt;"",VLOOKUP(T667,'LibSets constants'!$B$4:$C$1017,2,FALSE),"")</f>
        <v>Patch 43, House tours, QOL and other</v>
      </c>
      <c r="V667" s="86" t="s">
        <v>3735</v>
      </c>
      <c r="W667" s="3" t="s">
        <v>3752</v>
      </c>
      <c r="X667" s="3" t="s">
        <v>3864</v>
      </c>
      <c r="Y667" s="61"/>
      <c r="Z667" s="3">
        <f>IF(AND(G667&lt;&gt;"LIBSETS_SETTYPE_BATTLEGROUND",G667&lt;&gt;"LIBSETS_SETTYPE_SPECIAL"),
IF(AND(Y667&lt;&gt;"",ISNUMBER(Y667),NOT(ISNA(Y667))),Y667,
   IF(AND(L667&lt;&gt;"",ISNUMBER(L667),L667&gt;0,NOT(ISNA(L667))),VLOOKUP(L667,'ESO dumped WayshrineInfo'!$K$3:$L$9972,2,FALSE),"")
),"")</f>
        <v>1413</v>
      </c>
      <c r="AA667" t="str">
        <f>IF(AND(Z667&lt;&gt;"",ISNUMBER(Z667),NOT(ISNA(Z667))),VLOOKUP(Z667,'ESO zone constants'!$A$5:$D$10001,4,FALSE),"")</f>
        <v>Apocrypha</v>
      </c>
      <c r="AC667" s="39"/>
      <c r="AD667" s="39"/>
      <c r="AE667" s="61"/>
      <c r="AF667" s="3">
        <f>IF(AND(G667&lt;&gt;"LIBSETS_SETTYPE_BATTLEGROUND",G667&lt;&gt;"LIBSETS_SETTYPE_SPECIAL"),
IF(AND(AE667&lt;&gt;"",ISNUMBER(AE667),NOT(ISNA(AE667))),AE667,
   IF(AND(M667&lt;&gt;"",ISNUMBER(M667),M667&gt;0,NOT(ISNA(M667))),VLOOKUP(M667,'ESO dumped WayshrineInfo'!$K$3:$L$9972,2,FALSE),"")
),"")</f>
        <v>1413</v>
      </c>
      <c r="AG667" s="36" t="str">
        <f>IF(AND(AF667&lt;&gt;"",ISNUMBER(AF667),NOT(ISNA(AF667))),VLOOKUP(AF667,'ESO zone constants'!$A$5:$D$10001,4,FALSE),"")</f>
        <v>Apocrypha</v>
      </c>
      <c r="AI667" s="39"/>
      <c r="AJ667" s="39"/>
      <c r="AK667" s="3" t="str">
        <f>IF(AND(G667&lt;&gt;"LIBSETS_SETTYPE_BATTLEGROUND",G667&lt;&gt;"LIBSETS_SETTYPE_SPECIAL"),IF(AL667&lt;&gt;"",VLOOKUP(AL667,'ESO zone constants'!$D$5:$H$4955,5,FALSE),""),"")</f>
        <v/>
      </c>
      <c r="AN667" s="39"/>
      <c r="AO667" s="39"/>
      <c r="AP667" s="3" t="str">
        <f>IF(AND(G667&lt;&gt;"LIBSETS_SETTYPE_BATTLEGROUND",G667&lt;&gt;"LIBSETS_SETTYPE_SPECIAL"),IF(AQ667&lt;&gt;"",VLOOKUP(AQ667,'ESO zone constants'!$D$5:$H$4955,5,FALSE),""),"")</f>
        <v/>
      </c>
      <c r="AS667" s="39"/>
      <c r="AT667" s="39"/>
      <c r="AU667" s="3" t="str">
        <f>IF(AND(G667&lt;&gt;"LIBSETS_SETTYPE_BATTLEGROUND",G667&lt;&gt;"LIBSETS_SETTYPE_SPECIAL"),IF(AV667&lt;&gt;"",VLOOKUP(AV667,'ESO zone constants'!$D$5:$H$4955,5,FALSE),""),"")</f>
        <v/>
      </c>
      <c r="AX667" s="39"/>
      <c r="AY667" s="39"/>
      <c r="AZ667" s="75" t="s">
        <v>2645</v>
      </c>
      <c r="BA667" s="75"/>
      <c r="BB667" s="75"/>
      <c r="BC667">
        <v>1</v>
      </c>
      <c r="BD667"/>
      <c r="BE667" s="21" t="str">
        <f t="shared" si="66"/>
        <v>[776] = {wayshrines={543,543,543,}, dlcId=NO_DLC_UPDATE43</v>
      </c>
      <c r="BF667" s="21" t="str">
        <f t="shared" si="67"/>
        <v>, zoneIds={1436,1413,1413}, veteran=false</v>
      </c>
      <c r="BG667" s="21" t="str">
        <f t="shared" si="68"/>
        <v>, setType=LIBSETS_SETTYPE_CLASS, classId=1</v>
      </c>
      <c r="BH667" s="21" t="str">
        <f t="shared" si="69"/>
        <v>, dropMechanic={LIBSETS_DROP_MECHANIC_ENDLESS_ARCHIVE}, dropMechanicDropLocationNames={['en']={'Dragonknight','','','','','',},['de']={'Drachenritter','','','','','',},}</v>
      </c>
      <c r="BI667" s="21" t="str">
        <f t="shared" si="70"/>
        <v>}, --Pyrebrand / Pyrebrand   [Infinite Archive, Apocrypha, Apocrypha]</v>
      </c>
    </row>
    <row r="668" spans="1:61" x14ac:dyDescent="0.25">
      <c r="A668" s="5">
        <v>777</v>
      </c>
      <c r="B668" s="36" t="s">
        <v>4029</v>
      </c>
      <c r="C668" s="36" t="s">
        <v>4029</v>
      </c>
      <c r="D668" s="3">
        <f t="shared" si="60"/>
        <v>777</v>
      </c>
      <c r="E668" s="36" t="s">
        <v>3757</v>
      </c>
      <c r="G668" s="3" t="s">
        <v>3738</v>
      </c>
      <c r="I668" t="s">
        <v>91</v>
      </c>
      <c r="J668" t="s">
        <v>91</v>
      </c>
      <c r="K668">
        <v>543</v>
      </c>
      <c r="L668">
        <v>543</v>
      </c>
      <c r="M668">
        <v>543</v>
      </c>
      <c r="O668" s="61" t="s">
        <v>3899</v>
      </c>
      <c r="Q668" s="3">
        <f>IF(AND(P668&lt;&gt;"",ISNUMBER(P668),NOT(ISNA(P668))),P668,IF(R668&lt;&gt;"",VLOOKUP(R668,'ESO zone constants'!$D$5:$H$10003,5,FALSE),""))</f>
        <v>1436</v>
      </c>
      <c r="R668" t="str">
        <f>IF(AND(O668&lt;&gt;"",NOT(ISERROR(O668))),O668,
IF(AND(P668&lt;&gt;"",ISNUMBER(P668),P668&gt;0,NOT(ISNA(P668))),VLOOKUP(P668,'ESO zone constants'!$A$5:$D$10001,4,FALSE),
IF(AND(K668&lt;&gt;"",K668&gt;0,NOT(ISERROR(K668))),VLOOKUP(K668,'ESO dumped WayshrineInfo'!$K$3:$N$9972,4,FALSE),"")))</f>
        <v>Infinite Archive</v>
      </c>
      <c r="S668" s="61" t="s">
        <v>4022</v>
      </c>
      <c r="T668" s="19" t="str">
        <f>IF(AND(S668&lt;&gt;"",NOT(ISERROR(S668))),S668,IF(Q668&lt;&gt;"",IF(NOT(ISERROR(VLOOKUP(Q668,'ESO Dungeon constants'!$D$3:$H$9999,5,FALSE))),VLOOKUP(Q668,'ESO Dungeon constants'!$D$3:$I$9999,6,FALSE),VLOOKUP(Q668,'ESO zone constants'!$H$3:$K$9989,4,FALSE)),""))</f>
        <v>NO_DLC_UPDATE43</v>
      </c>
      <c r="U668" s="3" t="str">
        <f>IF(T668&lt;&gt;"",VLOOKUP(T668,'LibSets constants'!$B$4:$C$1017,2,FALSE),"")</f>
        <v>Patch 43, House tours, QOL and other</v>
      </c>
      <c r="V668" s="86" t="s">
        <v>3735</v>
      </c>
      <c r="W668" s="3" t="s">
        <v>3757</v>
      </c>
      <c r="X668" s="3" t="s">
        <v>3865</v>
      </c>
      <c r="Y668" s="61"/>
      <c r="Z668" s="3">
        <f>IF(AND(G668&lt;&gt;"LIBSETS_SETTYPE_BATTLEGROUND",G668&lt;&gt;"LIBSETS_SETTYPE_SPECIAL"),
IF(AND(Y668&lt;&gt;"",ISNUMBER(Y668),NOT(ISNA(Y668))),Y668,
   IF(AND(L668&lt;&gt;"",ISNUMBER(L668),L668&gt;0,NOT(ISNA(L668))),VLOOKUP(L668,'ESO dumped WayshrineInfo'!$K$3:$L$9972,2,FALSE),"")
),"")</f>
        <v>1413</v>
      </c>
      <c r="AA668" t="str">
        <f>IF(AND(Z668&lt;&gt;"",ISNUMBER(Z668),NOT(ISNA(Z668))),VLOOKUP(Z668,'ESO zone constants'!$A$5:$D$10001,4,FALSE),"")</f>
        <v>Apocrypha</v>
      </c>
      <c r="AC668" s="39"/>
      <c r="AD668" s="39"/>
      <c r="AE668" s="61"/>
      <c r="AF668" s="3">
        <f>IF(AND(G668&lt;&gt;"LIBSETS_SETTYPE_BATTLEGROUND",G668&lt;&gt;"LIBSETS_SETTYPE_SPECIAL"),
IF(AND(AE668&lt;&gt;"",ISNUMBER(AE668),NOT(ISNA(AE668))),AE668,
   IF(AND(M668&lt;&gt;"",ISNUMBER(M668),M668&gt;0,NOT(ISNA(M668))),VLOOKUP(M668,'ESO dumped WayshrineInfo'!$K$3:$L$9972,2,FALSE),"")
),"")</f>
        <v>1413</v>
      </c>
      <c r="AG668" s="36" t="str">
        <f>IF(AND(AF668&lt;&gt;"",ISNUMBER(AF668),NOT(ISNA(AF668))),VLOOKUP(AF668,'ESO zone constants'!$A$5:$D$10001,4,FALSE),"")</f>
        <v>Apocrypha</v>
      </c>
      <c r="AI668" s="39"/>
      <c r="AJ668" s="39"/>
      <c r="AK668" s="3" t="str">
        <f>IF(AND(G668&lt;&gt;"LIBSETS_SETTYPE_BATTLEGROUND",G668&lt;&gt;"LIBSETS_SETTYPE_SPECIAL"),IF(AL668&lt;&gt;"",VLOOKUP(AL668,'ESO zone constants'!$D$5:$H$4955,5,FALSE),""),"")</f>
        <v/>
      </c>
      <c r="AN668" s="39"/>
      <c r="AO668" s="39"/>
      <c r="AP668" s="3" t="str">
        <f>IF(AND(G668&lt;&gt;"LIBSETS_SETTYPE_BATTLEGROUND",G668&lt;&gt;"LIBSETS_SETTYPE_SPECIAL"),IF(AQ668&lt;&gt;"",VLOOKUP(AQ668,'ESO zone constants'!$D$5:$H$4955,5,FALSE),""),"")</f>
        <v/>
      </c>
      <c r="AS668" s="39"/>
      <c r="AT668" s="39"/>
      <c r="AU668" s="3" t="str">
        <f>IF(AND(G668&lt;&gt;"LIBSETS_SETTYPE_BATTLEGROUND",G668&lt;&gt;"LIBSETS_SETTYPE_SPECIAL"),IF(AV668&lt;&gt;"",VLOOKUP(AV668,'ESO zone constants'!$D$5:$H$4955,5,FALSE),""),"")</f>
        <v/>
      </c>
      <c r="AX668" s="39"/>
      <c r="AY668" s="39"/>
      <c r="AZ668" s="75" t="s">
        <v>2645</v>
      </c>
      <c r="BA668" s="75"/>
      <c r="BB668" s="75"/>
      <c r="BC668">
        <v>5</v>
      </c>
      <c r="BD668"/>
      <c r="BE668" s="21" t="str">
        <f t="shared" si="66"/>
        <v>[777] = {wayshrines={543,543,543,}, dlcId=NO_DLC_UPDATE43</v>
      </c>
      <c r="BF668" s="21" t="str">
        <f t="shared" si="67"/>
        <v>, zoneIds={1436,1413,1413}, veteran=false</v>
      </c>
      <c r="BG668" s="21" t="str">
        <f t="shared" si="68"/>
        <v>, setType=LIBSETS_SETTYPE_CLASS, classId=5</v>
      </c>
      <c r="BH668" s="21" t="str">
        <f t="shared" si="69"/>
        <v>, dropMechanic={LIBSETS_DROP_MECHANIC_ENDLESS_ARCHIVE}, dropMechanicDropLocationNames={['en']={'Necromancer','','','','','',},['de']={'Nekromant','','','','','',},}</v>
      </c>
      <c r="BI668" s="21" t="str">
        <f t="shared" si="70"/>
        <v>}, --Corpseburster / Corpseburster   [Infinite Archive, Apocrypha, Apocrypha]</v>
      </c>
    </row>
    <row r="669" spans="1:61" x14ac:dyDescent="0.25">
      <c r="A669" s="5">
        <v>778</v>
      </c>
      <c r="B669" s="36" t="s">
        <v>4027</v>
      </c>
      <c r="C669" s="36" t="s">
        <v>4027</v>
      </c>
      <c r="D669" s="3">
        <f t="shared" si="60"/>
        <v>778</v>
      </c>
      <c r="E669" s="36" t="s">
        <v>3755</v>
      </c>
      <c r="G669" s="3" t="s">
        <v>3738</v>
      </c>
      <c r="I669" t="s">
        <v>91</v>
      </c>
      <c r="J669" t="s">
        <v>91</v>
      </c>
      <c r="K669">
        <v>543</v>
      </c>
      <c r="L669">
        <v>543</v>
      </c>
      <c r="M669">
        <v>543</v>
      </c>
      <c r="O669" s="61" t="s">
        <v>3899</v>
      </c>
      <c r="Q669" s="3">
        <f>IF(AND(P669&lt;&gt;"",ISNUMBER(P669),NOT(ISNA(P669))),P669,IF(R669&lt;&gt;"",VLOOKUP(R669,'ESO zone constants'!$D$5:$H$10003,5,FALSE),""))</f>
        <v>1436</v>
      </c>
      <c r="R669" t="str">
        <f>IF(AND(O669&lt;&gt;"",NOT(ISERROR(O669))),O669,
IF(AND(P669&lt;&gt;"",ISNUMBER(P669),P669&gt;0,NOT(ISNA(P669))),VLOOKUP(P669,'ESO zone constants'!$A$5:$D$10001,4,FALSE),
IF(AND(K669&lt;&gt;"",K669&gt;0,NOT(ISERROR(K669))),VLOOKUP(K669,'ESO dumped WayshrineInfo'!$K$3:$N$9972,4,FALSE),"")))</f>
        <v>Infinite Archive</v>
      </c>
      <c r="S669" s="61" t="s">
        <v>4022</v>
      </c>
      <c r="T669" s="19" t="str">
        <f>IF(AND(S669&lt;&gt;"",NOT(ISERROR(S669))),S669,IF(Q669&lt;&gt;"",IF(NOT(ISERROR(VLOOKUP(Q669,'ESO Dungeon constants'!$D$3:$H$9999,5,FALSE))),VLOOKUP(Q669,'ESO Dungeon constants'!$D$3:$I$9999,6,FALSE),VLOOKUP(Q669,'ESO zone constants'!$H$3:$K$9989,4,FALSE)),""))</f>
        <v>NO_DLC_UPDATE43</v>
      </c>
      <c r="U669" s="3" t="str">
        <f>IF(T669&lt;&gt;"",VLOOKUP(T669,'LibSets constants'!$B$4:$C$1017,2,FALSE),"")</f>
        <v>Patch 43, House tours, QOL and other</v>
      </c>
      <c r="V669" s="86" t="s">
        <v>3735</v>
      </c>
      <c r="W669" s="3" t="s">
        <v>3755</v>
      </c>
      <c r="X669" s="3" t="s">
        <v>3869</v>
      </c>
      <c r="Y669" s="61"/>
      <c r="Z669" s="3">
        <f>IF(AND(G669&lt;&gt;"LIBSETS_SETTYPE_BATTLEGROUND",G669&lt;&gt;"LIBSETS_SETTYPE_SPECIAL"),
IF(AND(Y669&lt;&gt;"",ISNUMBER(Y669),NOT(ISNA(Y669))),Y669,
   IF(AND(L669&lt;&gt;"",ISNUMBER(L669),L669&gt;0,NOT(ISNA(L669))),VLOOKUP(L669,'ESO dumped WayshrineInfo'!$K$3:$L$9972,2,FALSE),"")
),"")</f>
        <v>1413</v>
      </c>
      <c r="AA669" t="str">
        <f>IF(AND(Z669&lt;&gt;"",ISNUMBER(Z669),NOT(ISNA(Z669))),VLOOKUP(Z669,'ESO zone constants'!$A$5:$D$10001,4,FALSE),"")</f>
        <v>Apocrypha</v>
      </c>
      <c r="AC669" s="39"/>
      <c r="AD669" s="39"/>
      <c r="AE669" s="61"/>
      <c r="AF669" s="3">
        <f>IF(AND(G669&lt;&gt;"LIBSETS_SETTYPE_BATTLEGROUND",G669&lt;&gt;"LIBSETS_SETTYPE_SPECIAL"),
IF(AND(AE669&lt;&gt;"",ISNUMBER(AE669),NOT(ISNA(AE669))),AE669,
   IF(AND(M669&lt;&gt;"",ISNUMBER(M669),M669&gt;0,NOT(ISNA(M669))),VLOOKUP(M669,'ESO dumped WayshrineInfo'!$K$3:$L$9972,2,FALSE),"")
),"")</f>
        <v>1413</v>
      </c>
      <c r="AG669" s="36" t="str">
        <f>IF(AND(AF669&lt;&gt;"",ISNUMBER(AF669),NOT(ISNA(AF669))),VLOOKUP(AF669,'ESO zone constants'!$A$5:$D$10001,4,FALSE),"")</f>
        <v>Apocrypha</v>
      </c>
      <c r="AI669" s="39"/>
      <c r="AJ669" s="39"/>
      <c r="AK669" s="3" t="str">
        <f>IF(AND(G669&lt;&gt;"LIBSETS_SETTYPE_BATTLEGROUND",G669&lt;&gt;"LIBSETS_SETTYPE_SPECIAL"),IF(AL669&lt;&gt;"",VLOOKUP(AL669,'ESO zone constants'!$D$5:$H$4955,5,FALSE),""),"")</f>
        <v/>
      </c>
      <c r="AN669" s="39"/>
      <c r="AO669" s="39"/>
      <c r="AP669" s="3" t="str">
        <f>IF(AND(G669&lt;&gt;"LIBSETS_SETTYPE_BATTLEGROUND",G669&lt;&gt;"LIBSETS_SETTYPE_SPECIAL"),IF(AQ669&lt;&gt;"",VLOOKUP(AQ669,'ESO zone constants'!$D$5:$H$4955,5,FALSE),""),"")</f>
        <v/>
      </c>
      <c r="AS669" s="39"/>
      <c r="AT669" s="39"/>
      <c r="AU669" s="3" t="str">
        <f>IF(AND(G669&lt;&gt;"LIBSETS_SETTYPE_BATTLEGROUND",G669&lt;&gt;"LIBSETS_SETTYPE_SPECIAL"),IF(AV669&lt;&gt;"",VLOOKUP(AV669,'ESO zone constants'!$D$5:$H$4955,5,FALSE),""),"")</f>
        <v/>
      </c>
      <c r="AX669" s="39"/>
      <c r="AY669" s="39"/>
      <c r="AZ669" s="75" t="s">
        <v>2645</v>
      </c>
      <c r="BA669" s="75"/>
      <c r="BB669" s="75"/>
      <c r="BC669">
        <v>3</v>
      </c>
      <c r="BD669"/>
      <c r="BE669" s="21" t="str">
        <f t="shared" si="66"/>
        <v>[778] = {wayshrines={543,543,543,}, dlcId=NO_DLC_UPDATE43</v>
      </c>
      <c r="BF669" s="21" t="str">
        <f t="shared" si="67"/>
        <v>, zoneIds={1436,1413,1413}, veteran=false</v>
      </c>
      <c r="BG669" s="21" t="str">
        <f t="shared" si="68"/>
        <v>, setType=LIBSETS_SETTYPE_CLASS, classId=3</v>
      </c>
      <c r="BH669" s="21" t="str">
        <f t="shared" si="69"/>
        <v>, dropMechanic={LIBSETS_DROP_MECHANIC_ENDLESS_ARCHIVE}, dropMechanicDropLocationNames={['en']={'Nightblade','','','','','',},['de']={'Nachtklinge','','','','','',},}</v>
      </c>
      <c r="BI669" s="21" t="str">
        <f t="shared" si="70"/>
        <v>}, --Umbral Edge / Umbral Edge   [Infinite Archive, Apocrypha, Apocrypha]</v>
      </c>
    </row>
    <row r="670" spans="1:61" x14ac:dyDescent="0.25">
      <c r="A670" s="5">
        <v>779</v>
      </c>
      <c r="B670" s="36" t="s">
        <v>4025</v>
      </c>
      <c r="C670" s="36" t="s">
        <v>4025</v>
      </c>
      <c r="D670" s="3">
        <f t="shared" si="60"/>
        <v>779</v>
      </c>
      <c r="E670" s="36" t="s">
        <v>3754</v>
      </c>
      <c r="G670" s="3" t="s">
        <v>3738</v>
      </c>
      <c r="I670" t="s">
        <v>91</v>
      </c>
      <c r="J670" t="s">
        <v>91</v>
      </c>
      <c r="K670">
        <v>543</v>
      </c>
      <c r="L670">
        <v>543</v>
      </c>
      <c r="M670">
        <v>543</v>
      </c>
      <c r="O670" s="61" t="s">
        <v>3899</v>
      </c>
      <c r="Q670" s="3">
        <f>IF(AND(P670&lt;&gt;"",ISNUMBER(P670),NOT(ISNA(P670))),P670,IF(R670&lt;&gt;"",VLOOKUP(R670,'ESO zone constants'!$D$5:$H$10003,5,FALSE),""))</f>
        <v>1436</v>
      </c>
      <c r="R670" t="str">
        <f>IF(AND(O670&lt;&gt;"",NOT(ISERROR(O670))),O670,
IF(AND(P670&lt;&gt;"",ISNUMBER(P670),P670&gt;0,NOT(ISNA(P670))),VLOOKUP(P670,'ESO zone constants'!$A$5:$D$10001,4,FALSE),
IF(AND(K670&lt;&gt;"",K670&gt;0,NOT(ISERROR(K670))),VLOOKUP(K670,'ESO dumped WayshrineInfo'!$K$3:$N$9972,4,FALSE),"")))</f>
        <v>Infinite Archive</v>
      </c>
      <c r="S670" s="61" t="s">
        <v>4022</v>
      </c>
      <c r="T670" s="19" t="str">
        <f>IF(AND(S670&lt;&gt;"",NOT(ISERROR(S670))),S670,IF(Q670&lt;&gt;"",IF(NOT(ISERROR(VLOOKUP(Q670,'ESO Dungeon constants'!$D$3:$H$9999,5,FALSE))),VLOOKUP(Q670,'ESO Dungeon constants'!$D$3:$I$9999,6,FALSE),VLOOKUP(Q670,'ESO zone constants'!$H$3:$K$9989,4,FALSE)),""))</f>
        <v>NO_DLC_UPDATE43</v>
      </c>
      <c r="U670" s="3" t="str">
        <f>IF(T670&lt;&gt;"",VLOOKUP(T670,'LibSets constants'!$B$4:$C$1017,2,FALSE),"")</f>
        <v>Patch 43, House tours, QOL and other</v>
      </c>
      <c r="V670" s="86" t="s">
        <v>3735</v>
      </c>
      <c r="W670" s="3" t="s">
        <v>3754</v>
      </c>
      <c r="X670" s="3" t="s">
        <v>3866</v>
      </c>
      <c r="Y670" s="61"/>
      <c r="Z670" s="3">
        <f>IF(AND(G670&lt;&gt;"LIBSETS_SETTYPE_BATTLEGROUND",G670&lt;&gt;"LIBSETS_SETTYPE_SPECIAL"),
IF(AND(Y670&lt;&gt;"",ISNUMBER(Y670),NOT(ISNA(Y670))),Y670,
   IF(AND(L670&lt;&gt;"",ISNUMBER(L670),L670&gt;0,NOT(ISNA(L670))),VLOOKUP(L670,'ESO dumped WayshrineInfo'!$K$3:$L$9972,2,FALSE),"")
),"")</f>
        <v>1413</v>
      </c>
      <c r="AA670" t="str">
        <f>IF(AND(Z670&lt;&gt;"",ISNUMBER(Z670),NOT(ISNA(Z670))),VLOOKUP(Z670,'ESO zone constants'!$A$5:$D$10001,4,FALSE),"")</f>
        <v>Apocrypha</v>
      </c>
      <c r="AC670" s="39"/>
      <c r="AD670" s="39"/>
      <c r="AE670" s="61"/>
      <c r="AF670" s="3">
        <f>IF(AND(G670&lt;&gt;"LIBSETS_SETTYPE_BATTLEGROUND",G670&lt;&gt;"LIBSETS_SETTYPE_SPECIAL"),
IF(AND(AE670&lt;&gt;"",ISNUMBER(AE670),NOT(ISNA(AE670))),AE670,
   IF(AND(M670&lt;&gt;"",ISNUMBER(M670),M670&gt;0,NOT(ISNA(M670))),VLOOKUP(M670,'ESO dumped WayshrineInfo'!$K$3:$L$9972,2,FALSE),"")
),"")</f>
        <v>1413</v>
      </c>
      <c r="AG670" s="36" t="str">
        <f>IF(AND(AF670&lt;&gt;"",ISNUMBER(AF670),NOT(ISNA(AF670))),VLOOKUP(AF670,'ESO zone constants'!$A$5:$D$10001,4,FALSE),"")</f>
        <v>Apocrypha</v>
      </c>
      <c r="AI670" s="39"/>
      <c r="AJ670" s="39"/>
      <c r="AK670" s="3" t="str">
        <f>IF(AND(G670&lt;&gt;"LIBSETS_SETTYPE_BATTLEGROUND",G670&lt;&gt;"LIBSETS_SETTYPE_SPECIAL"),IF(AL670&lt;&gt;"",VLOOKUP(AL670,'ESO zone constants'!$D$5:$H$4955,5,FALSE),""),"")</f>
        <v/>
      </c>
      <c r="AN670" s="39"/>
      <c r="AO670" s="39"/>
      <c r="AP670" s="3" t="str">
        <f>IF(AND(G670&lt;&gt;"LIBSETS_SETTYPE_BATTLEGROUND",G670&lt;&gt;"LIBSETS_SETTYPE_SPECIAL"),IF(AQ670&lt;&gt;"",VLOOKUP(AQ670,'ESO zone constants'!$D$5:$H$4955,5,FALSE),""),"")</f>
        <v/>
      </c>
      <c r="AS670" s="39"/>
      <c r="AT670" s="39"/>
      <c r="AU670" s="3" t="str">
        <f>IF(AND(G670&lt;&gt;"LIBSETS_SETTYPE_BATTLEGROUND",G670&lt;&gt;"LIBSETS_SETTYPE_SPECIAL"),IF(AV670&lt;&gt;"",VLOOKUP(AV670,'ESO zone constants'!$D$5:$H$4955,5,FALSE),""),"")</f>
        <v/>
      </c>
      <c r="AX670" s="39"/>
      <c r="AY670" s="39"/>
      <c r="AZ670" s="75" t="s">
        <v>2645</v>
      </c>
      <c r="BA670" s="75"/>
      <c r="BB670" s="75"/>
      <c r="BC670">
        <v>2</v>
      </c>
      <c r="BD670"/>
      <c r="BE670" s="21" t="str">
        <f t="shared" si="66"/>
        <v>[779] = {wayshrines={543,543,543,}, dlcId=NO_DLC_UPDATE43</v>
      </c>
      <c r="BF670" s="21" t="str">
        <f t="shared" si="67"/>
        <v>, zoneIds={1436,1413,1413}, veteran=false</v>
      </c>
      <c r="BG670" s="21" t="str">
        <f t="shared" si="68"/>
        <v>, setType=LIBSETS_SETTYPE_CLASS, classId=2</v>
      </c>
      <c r="BH670" s="21" t="str">
        <f t="shared" si="69"/>
        <v>, dropMechanic={LIBSETS_DROP_MECHANIC_ENDLESS_ARCHIVE}, dropMechanicDropLocationNames={['en']={'Sorcerer','','','','','',},['de']={'Zauberer','','','','','',},}</v>
      </c>
      <c r="BI670" s="21" t="str">
        <f t="shared" si="70"/>
        <v>}, --Beacon of Oblivion / Beacon of Oblivion   [Infinite Archive, Apocrypha, Apocrypha]</v>
      </c>
    </row>
    <row r="671" spans="1:61" x14ac:dyDescent="0.25">
      <c r="A671" s="5">
        <v>780</v>
      </c>
      <c r="B671" s="36" t="s">
        <v>4024</v>
      </c>
      <c r="C671" s="36" t="s">
        <v>4024</v>
      </c>
      <c r="D671" s="3">
        <f t="shared" si="60"/>
        <v>780</v>
      </c>
      <c r="E671" s="36" t="s">
        <v>3753</v>
      </c>
      <c r="G671" s="3" t="s">
        <v>3738</v>
      </c>
      <c r="I671" t="s">
        <v>91</v>
      </c>
      <c r="J671" t="s">
        <v>91</v>
      </c>
      <c r="K671">
        <v>543</v>
      </c>
      <c r="L671">
        <v>543</v>
      </c>
      <c r="M671">
        <v>543</v>
      </c>
      <c r="O671" s="61" t="s">
        <v>3899</v>
      </c>
      <c r="Q671" s="3">
        <f>IF(AND(P671&lt;&gt;"",ISNUMBER(P671),NOT(ISNA(P671))),P671,IF(R671&lt;&gt;"",VLOOKUP(R671,'ESO zone constants'!$D$5:$H$10003,5,FALSE),""))</f>
        <v>1436</v>
      </c>
      <c r="R671" t="str">
        <f>IF(AND(O671&lt;&gt;"",NOT(ISERROR(O671))),O671,
IF(AND(P671&lt;&gt;"",ISNUMBER(P671),P671&gt;0,NOT(ISNA(P671))),VLOOKUP(P671,'ESO zone constants'!$A$5:$D$10001,4,FALSE),
IF(AND(K671&lt;&gt;"",K671&gt;0,NOT(ISERROR(K671))),VLOOKUP(K671,'ESO dumped WayshrineInfo'!$K$3:$N$9972,4,FALSE),"")))</f>
        <v>Infinite Archive</v>
      </c>
      <c r="S671" s="61" t="s">
        <v>4022</v>
      </c>
      <c r="T671" s="19" t="str">
        <f>IF(AND(S671&lt;&gt;"",NOT(ISERROR(S671))),S671,IF(Q671&lt;&gt;"",IF(NOT(ISERROR(VLOOKUP(Q671,'ESO Dungeon constants'!$D$3:$H$9999,5,FALSE))),VLOOKUP(Q671,'ESO Dungeon constants'!$D$3:$I$9999,6,FALSE),VLOOKUP(Q671,'ESO zone constants'!$H$3:$K$9989,4,FALSE)),""))</f>
        <v>NO_DLC_UPDATE43</v>
      </c>
      <c r="U671" s="3" t="str">
        <f>IF(T671&lt;&gt;"",VLOOKUP(T671,'LibSets constants'!$B$4:$C$1017,2,FALSE),"")</f>
        <v>Patch 43, House tours, QOL and other</v>
      </c>
      <c r="V671" s="86" t="s">
        <v>3735</v>
      </c>
      <c r="W671" s="3" t="s">
        <v>3753</v>
      </c>
      <c r="X671" s="3" t="s">
        <v>3867</v>
      </c>
      <c r="Y671" s="61"/>
      <c r="Z671" s="3">
        <f>IF(AND(G671&lt;&gt;"LIBSETS_SETTYPE_BATTLEGROUND",G671&lt;&gt;"LIBSETS_SETTYPE_SPECIAL"),
IF(AND(Y671&lt;&gt;"",ISNUMBER(Y671),NOT(ISNA(Y671))),Y671,
   IF(AND(L671&lt;&gt;"",ISNUMBER(L671),L671&gt;0,NOT(ISNA(L671))),VLOOKUP(L671,'ESO dumped WayshrineInfo'!$K$3:$L$9972,2,FALSE),"")
),"")</f>
        <v>1413</v>
      </c>
      <c r="AA671" t="str">
        <f>IF(AND(Z671&lt;&gt;"",ISNUMBER(Z671),NOT(ISNA(Z671))),VLOOKUP(Z671,'ESO zone constants'!$A$5:$D$10001,4,FALSE),"")</f>
        <v>Apocrypha</v>
      </c>
      <c r="AC671" s="39"/>
      <c r="AD671" s="39"/>
      <c r="AE671" s="61"/>
      <c r="AF671" s="3">
        <f>IF(AND(G671&lt;&gt;"LIBSETS_SETTYPE_BATTLEGROUND",G671&lt;&gt;"LIBSETS_SETTYPE_SPECIAL"),
IF(AND(AE671&lt;&gt;"",ISNUMBER(AE671),NOT(ISNA(AE671))),AE671,
   IF(AND(M671&lt;&gt;"",ISNUMBER(M671),M671&gt;0,NOT(ISNA(M671))),VLOOKUP(M671,'ESO dumped WayshrineInfo'!$K$3:$L$9972,2,FALSE),"")
),"")</f>
        <v>1413</v>
      </c>
      <c r="AG671" s="36" t="str">
        <f>IF(AND(AF671&lt;&gt;"",ISNUMBER(AF671),NOT(ISNA(AF671))),VLOOKUP(AF671,'ESO zone constants'!$A$5:$D$10001,4,FALSE),"")</f>
        <v>Apocrypha</v>
      </c>
      <c r="AI671" s="39"/>
      <c r="AJ671" s="39"/>
      <c r="AK671" s="3" t="str">
        <f>IF(AND(G671&lt;&gt;"LIBSETS_SETTYPE_BATTLEGROUND",G671&lt;&gt;"LIBSETS_SETTYPE_SPECIAL"),IF(AL671&lt;&gt;"",VLOOKUP(AL671,'ESO zone constants'!$D$5:$H$4955,5,FALSE),""),"")</f>
        <v/>
      </c>
      <c r="AN671" s="39"/>
      <c r="AO671" s="39"/>
      <c r="AP671" s="3" t="str">
        <f>IF(AND(G671&lt;&gt;"LIBSETS_SETTYPE_BATTLEGROUND",G671&lt;&gt;"LIBSETS_SETTYPE_SPECIAL"),IF(AQ671&lt;&gt;"",VLOOKUP(AQ671,'ESO zone constants'!$D$5:$H$4955,5,FALSE),""),"")</f>
        <v/>
      </c>
      <c r="AS671" s="39"/>
      <c r="AT671" s="39"/>
      <c r="AU671" s="3" t="str">
        <f>IF(AND(G671&lt;&gt;"LIBSETS_SETTYPE_BATTLEGROUND",G671&lt;&gt;"LIBSETS_SETTYPE_SPECIAL"),IF(AV671&lt;&gt;"",VLOOKUP(AV671,'ESO zone constants'!$D$5:$H$4955,5,FALSE),""),"")</f>
        <v/>
      </c>
      <c r="AX671" s="39"/>
      <c r="AY671" s="39"/>
      <c r="AZ671" s="75" t="s">
        <v>2645</v>
      </c>
      <c r="BA671" s="75"/>
      <c r="BB671" s="75"/>
      <c r="BC671">
        <v>6</v>
      </c>
      <c r="BD671"/>
      <c r="BE671" s="21" t="str">
        <f t="shared" si="66"/>
        <v>[780] = {wayshrines={543,543,543,}, dlcId=NO_DLC_UPDATE43</v>
      </c>
      <c r="BF671" s="21" t="str">
        <f t="shared" si="67"/>
        <v>, zoneIds={1436,1413,1413}, veteran=false</v>
      </c>
      <c r="BG671" s="21" t="str">
        <f t="shared" si="68"/>
        <v>, setType=LIBSETS_SETTYPE_CLASS, classId=6</v>
      </c>
      <c r="BH671" s="21" t="str">
        <f t="shared" si="69"/>
        <v>, dropMechanic={LIBSETS_DROP_MECHANIC_ENDLESS_ARCHIVE}, dropMechanicDropLocationNames={['en']={'Templar','','','','','',},['de']={'Templer','','','','','',},}</v>
      </c>
      <c r="BI671" s="21" t="str">
        <f t="shared" si="70"/>
        <v>}, --Aetheric Lance / Aetheric Lance   [Infinite Archive, Apocrypha, Apocrypha]</v>
      </c>
    </row>
    <row r="672" spans="1:61" x14ac:dyDescent="0.25">
      <c r="A672" s="5">
        <v>781</v>
      </c>
      <c r="B672" s="36" t="s">
        <v>4028</v>
      </c>
      <c r="C672" s="36" t="s">
        <v>4028</v>
      </c>
      <c r="D672" s="3">
        <f t="shared" si="60"/>
        <v>781</v>
      </c>
      <c r="E672" s="36" t="s">
        <v>3756</v>
      </c>
      <c r="G672" s="3" t="s">
        <v>3738</v>
      </c>
      <c r="I672" t="s">
        <v>91</v>
      </c>
      <c r="J672" t="s">
        <v>91</v>
      </c>
      <c r="K672">
        <v>543</v>
      </c>
      <c r="L672">
        <v>543</v>
      </c>
      <c r="M672">
        <v>543</v>
      </c>
      <c r="O672" s="61" t="s">
        <v>3899</v>
      </c>
      <c r="Q672" s="3">
        <f>IF(AND(P672&lt;&gt;"",ISNUMBER(P672),NOT(ISNA(P672))),P672,IF(R672&lt;&gt;"",VLOOKUP(R672,'ESO zone constants'!$D$5:$H$10003,5,FALSE),""))</f>
        <v>1436</v>
      </c>
      <c r="R672" t="str">
        <f>IF(AND(O672&lt;&gt;"",NOT(ISERROR(O672))),O672,
IF(AND(P672&lt;&gt;"",ISNUMBER(P672),P672&gt;0,NOT(ISNA(P672))),VLOOKUP(P672,'ESO zone constants'!$A$5:$D$10001,4,FALSE),
IF(AND(K672&lt;&gt;"",K672&gt;0,NOT(ISERROR(K672))),VLOOKUP(K672,'ESO dumped WayshrineInfo'!$K$3:$N$9972,4,FALSE),"")))</f>
        <v>Infinite Archive</v>
      </c>
      <c r="S672" s="61" t="s">
        <v>4022</v>
      </c>
      <c r="T672" s="19" t="str">
        <f>IF(AND(S672&lt;&gt;"",NOT(ISERROR(S672))),S672,IF(Q672&lt;&gt;"",IF(NOT(ISERROR(VLOOKUP(Q672,'ESO Dungeon constants'!$D$3:$H$9999,5,FALSE))),VLOOKUP(Q672,'ESO Dungeon constants'!$D$3:$I$9999,6,FALSE),VLOOKUP(Q672,'ESO zone constants'!$H$3:$K$9989,4,FALSE)),""))</f>
        <v>NO_DLC_UPDATE43</v>
      </c>
      <c r="U672" s="3" t="str">
        <f>IF(T672&lt;&gt;"",VLOOKUP(T672,'LibSets constants'!$B$4:$C$1017,2,FALSE),"")</f>
        <v>Patch 43, House tours, QOL and other</v>
      </c>
      <c r="V672" s="86" t="s">
        <v>3735</v>
      </c>
      <c r="W672" s="3" t="s">
        <v>3756</v>
      </c>
      <c r="X672" s="3" t="s">
        <v>3868</v>
      </c>
      <c r="Y672" s="61"/>
      <c r="Z672" s="3">
        <f>IF(AND(G672&lt;&gt;"LIBSETS_SETTYPE_BATTLEGROUND",G672&lt;&gt;"LIBSETS_SETTYPE_SPECIAL"),
IF(AND(Y672&lt;&gt;"",ISNUMBER(Y672),NOT(ISNA(Y672))),Y672,
   IF(AND(L672&lt;&gt;"",ISNUMBER(L672),L672&gt;0,NOT(ISNA(L672))),VLOOKUP(L672,'ESO dumped WayshrineInfo'!$K$3:$L$9972,2,FALSE),"")
),"")</f>
        <v>1413</v>
      </c>
      <c r="AA672" t="str">
        <f>IF(AND(Z672&lt;&gt;"",ISNUMBER(Z672),NOT(ISNA(Z672))),VLOOKUP(Z672,'ESO zone constants'!$A$5:$D$10001,4,FALSE),"")</f>
        <v>Apocrypha</v>
      </c>
      <c r="AC672" s="39"/>
      <c r="AD672" s="39"/>
      <c r="AE672" s="61"/>
      <c r="AF672" s="3">
        <f>IF(AND(G672&lt;&gt;"LIBSETS_SETTYPE_BATTLEGROUND",G672&lt;&gt;"LIBSETS_SETTYPE_SPECIAL"),
IF(AND(AE672&lt;&gt;"",ISNUMBER(AE672),NOT(ISNA(AE672))),AE672,
   IF(AND(M672&lt;&gt;"",ISNUMBER(M672),M672&gt;0,NOT(ISNA(M672))),VLOOKUP(M672,'ESO dumped WayshrineInfo'!$K$3:$L$9972,2,FALSE),"")
),"")</f>
        <v>1413</v>
      </c>
      <c r="AG672" s="36" t="str">
        <f>IF(AND(AF672&lt;&gt;"",ISNUMBER(AF672),NOT(ISNA(AF672))),VLOOKUP(AF672,'ESO zone constants'!$A$5:$D$10001,4,FALSE),"")</f>
        <v>Apocrypha</v>
      </c>
      <c r="AI672" s="39"/>
      <c r="AJ672" s="39"/>
      <c r="AK672" s="3" t="str">
        <f>IF(AND(G672&lt;&gt;"LIBSETS_SETTYPE_BATTLEGROUND",G672&lt;&gt;"LIBSETS_SETTYPE_SPECIAL"),IF(AL672&lt;&gt;"",VLOOKUP(AL672,'ESO zone constants'!$D$5:$H$4955,5,FALSE),""),"")</f>
        <v/>
      </c>
      <c r="AN672" s="39"/>
      <c r="AO672" s="39"/>
      <c r="AP672" s="3" t="str">
        <f>IF(AND(G672&lt;&gt;"LIBSETS_SETTYPE_BATTLEGROUND",G672&lt;&gt;"LIBSETS_SETTYPE_SPECIAL"),IF(AQ672&lt;&gt;"",VLOOKUP(AQ672,'ESO zone constants'!$D$5:$H$4955,5,FALSE),""),"")</f>
        <v/>
      </c>
      <c r="AS672" s="39"/>
      <c r="AT672" s="39"/>
      <c r="AU672" s="3" t="str">
        <f>IF(AND(G672&lt;&gt;"LIBSETS_SETTYPE_BATTLEGROUND",G672&lt;&gt;"LIBSETS_SETTYPE_SPECIAL"),IF(AV672&lt;&gt;"",VLOOKUP(AV672,'ESO zone constants'!$D$5:$H$4955,5,FALSE),""),"")</f>
        <v/>
      </c>
      <c r="AX672" s="39"/>
      <c r="AY672" s="39"/>
      <c r="AZ672" s="75" t="s">
        <v>2645</v>
      </c>
      <c r="BA672" s="75"/>
      <c r="BB672" s="75"/>
      <c r="BC672">
        <v>4</v>
      </c>
      <c r="BD672"/>
      <c r="BE672" s="21" t="str">
        <f t="shared" si="66"/>
        <v>[781] = {wayshrines={543,543,543,}, dlcId=NO_DLC_UPDATE43</v>
      </c>
      <c r="BF672" s="21" t="str">
        <f t="shared" si="67"/>
        <v>, zoneIds={1436,1413,1413}, veteran=false</v>
      </c>
      <c r="BG672" s="21" t="str">
        <f t="shared" si="68"/>
        <v>, setType=LIBSETS_SETTYPE_CLASS, classId=4</v>
      </c>
      <c r="BH672" s="21" t="str">
        <f t="shared" si="69"/>
        <v>, dropMechanic={LIBSETS_DROP_MECHANIC_ENDLESS_ARCHIVE}, dropMechanicDropLocationNames={['en']={'Warden','','','','','',},['de']={'Hüter','','','','','',},}</v>
      </c>
      <c r="BI672" s="21" t="str">
        <f t="shared" si="70"/>
        <v>}, --Aerie\'s Cry / Aerie\'s Cry   [Infinite Archive, Apocrypha, Apocrypha]</v>
      </c>
    </row>
    <row r="673" spans="2:61" x14ac:dyDescent="0.25">
      <c r="B673" s="36"/>
      <c r="C673" s="36"/>
      <c r="Q673" s="3" t="str">
        <f>IF(AND(P673&lt;&gt;"",ISNUMBER(P673),NOT(ISNA(P673))),P673,IF(R673&lt;&gt;"",VLOOKUP(R673,'ESO zone constants'!$D$5:$H$10003,5,FALSE),""))</f>
        <v/>
      </c>
      <c r="R673" t="str">
        <f>IF(AND(O673&lt;&gt;"",NOT(ISERROR(O673))),O673,
IF(AND(P673&lt;&gt;"",ISNUMBER(P673),P673&gt;0,NOT(ISNA(P673))),VLOOKUP(P673,'ESO zone constants'!$A$5:$D$10001,4,FALSE),
IF(AND(K673&lt;&gt;"",K673&gt;0,NOT(ISERROR(K673))),VLOOKUP(K673,'ESO dumped WayshrineInfo'!$K$3:$N$9972,4,FALSE),"")))</f>
        <v/>
      </c>
      <c r="T673" s="19" t="str">
        <f>IF(AND(S673&lt;&gt;"",NOT(ISERROR(S673))),S673,IF(Q673&lt;&gt;"",IF(NOT(ISERROR(VLOOKUP(Q673,'ESO Dungeon constants'!$D$3:$H$9999,5,FALSE))),VLOOKUP(Q673,'ESO Dungeon constants'!$D$3:$I$9999,6,FALSE),VLOOKUP(Q673,'ESO zone constants'!$H$3:$K$9989,4,FALSE)),""))</f>
        <v/>
      </c>
      <c r="U673" s="3" t="str">
        <f>IF(T673&lt;&gt;"",VLOOKUP(T673,'LibSets constants'!$B$4:$C$1017,2,FALSE),"")</f>
        <v/>
      </c>
      <c r="V673" s="86"/>
      <c r="Y673" s="61"/>
      <c r="Z673" s="3" t="str">
        <f>IF(AND(G673&lt;&gt;"LIBSETS_SETTYPE_BATTLEGROUND",G673&lt;&gt;"LIBSETS_SETTYPE_SPECIAL"),
IF(AND(Y673&lt;&gt;"",ISNUMBER(Y673),NOT(ISNA(Y673))),Y673,
   IF(AND(L673&lt;&gt;"",ISNUMBER(L673),L673&gt;0,NOT(ISNA(L673))),VLOOKUP(L673,'ESO dumped WayshrineInfo'!$K$3:$L$9972,2,FALSE),"")
),"")</f>
        <v/>
      </c>
      <c r="AA673" t="str">
        <f>IF(AND(Z673&lt;&gt;"",ISNUMBER(Z673),NOT(ISNA(Z673))),VLOOKUP(Z673,'ESO zone constants'!$A$5:$D$10001,4,FALSE),"")</f>
        <v/>
      </c>
      <c r="AC673" s="39"/>
      <c r="AD673" s="39"/>
      <c r="AE673" s="61"/>
      <c r="AF673" s="3" t="str">
        <f>IF(AND(G673&lt;&gt;"LIBSETS_SETTYPE_BATTLEGROUND",G673&lt;&gt;"LIBSETS_SETTYPE_SPECIAL"),
IF(AND(AE673&lt;&gt;"",ISNUMBER(AE673),NOT(ISNA(AE673))),AE673,
   IF(AND(M673&lt;&gt;"",ISNUMBER(M673),M673&gt;0,NOT(ISNA(M673))),VLOOKUP(M673,'ESO dumped WayshrineInfo'!$K$3:$L$9972,2,FALSE),"")
),"")</f>
        <v/>
      </c>
      <c r="AG673" s="36" t="str">
        <f>IF(AND(AF673&lt;&gt;"",ISNUMBER(AF673),NOT(ISNA(AF673))),VLOOKUP(AF673,'ESO zone constants'!$A$5:$D$10001,4,FALSE),"")</f>
        <v/>
      </c>
      <c r="AI673" s="39"/>
      <c r="AJ673" s="39"/>
      <c r="AK673" s="3" t="str">
        <f>IF(AND(G673&lt;&gt;"LIBSETS_SETTYPE_BATTLEGROUND",G673&lt;&gt;"LIBSETS_SETTYPE_SPECIAL"),IF(AL673&lt;&gt;"",VLOOKUP(AL673,'ESO zone constants'!$D$5:$H$4955,5,FALSE),""),"")</f>
        <v/>
      </c>
      <c r="AN673" s="39"/>
      <c r="AO673" s="39"/>
      <c r="AP673" s="3" t="str">
        <f>IF(AND(G673&lt;&gt;"LIBSETS_SETTYPE_BATTLEGROUND",G673&lt;&gt;"LIBSETS_SETTYPE_SPECIAL"),IF(AQ673&lt;&gt;"",VLOOKUP(AQ673,'ESO zone constants'!$D$5:$H$4955,5,FALSE),""),"")</f>
        <v/>
      </c>
      <c r="AS673" s="39"/>
      <c r="AT673" s="39"/>
      <c r="AU673" s="3" t="str">
        <f>IF(AND(G673&lt;&gt;"LIBSETS_SETTYPE_BATTLEGROUND",G673&lt;&gt;"LIBSETS_SETTYPE_SPECIAL"),IF(AV673&lt;&gt;"",VLOOKUP(AV673,'ESO zone constants'!$D$5:$H$4955,5,FALSE),""),"")</f>
        <v/>
      </c>
      <c r="AX673" s="39"/>
      <c r="AY673" s="39"/>
      <c r="AZ673" s="75" t="s">
        <v>2645</v>
      </c>
      <c r="BA673" s="75"/>
      <c r="BB673" s="75"/>
      <c r="BC673"/>
      <c r="BD673"/>
      <c r="BE673" s="21" t="str">
        <f>IF(A673="???","--","")&amp;IF(F673&lt;&gt;"Not in the game (anymore)",IF(A673&lt;&gt;"",CONCATENATE("[",A673,"] = {wayshrines={")&amp;IF(K673&lt;&gt;"",CONCATENATE(K673,","),"")&amp;IF(L673&lt;&gt;"",CONCATENATE(L673,","),"")&amp;IF(M673&lt;&gt;"",CONCATENATE(M673,","),"")&amp;CONCATENATE("}")&amp;IF(VALUE(N673)&gt;0,CONCATENATE(", traitsNeeded=",N673),"")&amp;CONCATENATE(", dlcId=",IF(T673&lt;&gt;"",T673,"DLC_BASE_GAME")),""),"")</f>
        <v/>
      </c>
      <c r="BF673" s="21" t="str">
        <f>IF(F673&lt;&gt;"Not in the game (anymore)",IF(A673&lt;&gt;"",IF(Q673&lt;&gt;"",CONCATENATE(", zoneIds={",Q673),"")&amp;IF(Z673&lt;&gt;"",CONCATENATE(",",Z673),"")&amp;IF(AF673&lt;&gt;"",CONCATENATE(",",AF673),"")&amp;IF(AK673&lt;&gt;"",CONCATENATE(",",AK673),"")&amp;IF(AP673&lt;&gt;"",CONCATENATE(",",AP673),"")&amp;IF(AU673&lt;&gt;"",CONCATENATE(",",AU673),"")&amp;IF(Q673&lt;&gt;"",CONCATENATE("}",""),"")&amp;IF(OR(I673="true",I673="false",I673&lt;&gt;""), CONCATENATE(", veteran=", I673), ""),""),"")</f>
        <v/>
      </c>
      <c r="BG673" s="21" t="str">
        <f>IF(A673&lt;&gt;"",IF(F673&lt;&gt;"Not in the game (anymore)",IF(A673&lt;&gt;"",", setType="&amp;G673,"")&amp;IF(G673="LIBSETS_SETTYPE_CLASS",", classId="&amp;BC673,"")&amp;IF(J673="true",", multiTrialSet=true",""),"")
&amp; IF(AND(H673&lt;&gt;"",ISNUMBER(H673)),", undauntedChestId=" &amp; H673,""),"")</f>
        <v/>
      </c>
      <c r="BH673" s="21" t="str">
        <f>IF(A673&lt;&gt;"",IF(F673&lt;&gt;"Not in the game (anymore)",IF(AZ673&lt;&gt;"",", isProcSetAllowedInPvP="&amp; AZ673,"")
&amp; IF(F673&lt;&gt;"Not in the game (anymore)",
  IF(V673&lt;&gt;"",", dropMechanic={"&amp;V673&amp;IF(AB673&lt;&gt;"",","&amp;AB673,"")&amp;IF(AH673&lt;&gt;"",","&amp;AH673,"")&amp;IF(AM673&lt;&gt;"",","&amp;AM673,"")&amp;IF(AR673&lt;&gt;"",","&amp;AR673,"")&amp;IF(AW673&lt;&gt;"",","&amp;AW673,"")&amp;"}"
     &amp;IF(OR(W673&lt;&gt;"",AC673&lt;&gt;"",AI673&lt;&gt;"",AN673&lt;&gt;"",AS673&lt;&gt;"",AX673&lt;&gt;"",X673&lt;&gt;"",AD673&lt;&gt;"",AJ673&lt;&gt;"",AO673&lt;&gt;"",AT673&lt;&gt;"",AY673&lt;&gt;""),", dropMechanicDropLocationNames={"
        &amp; IF(OR(W673&lt;&gt;"",AC673&lt;&gt;"",AI673&lt;&gt;"",AN673&lt;&gt;"",AS673&lt;&gt;"",AX673&lt;&gt;""),"['en']={"&amp;IF(W673&lt;&gt;"","'"&amp;W673&amp;"',","'',")&amp;IF(AC673&lt;&gt;"","'"&amp;AC673&amp;"',","'',")&amp;IF(AI673&lt;&gt;"","'"&amp;AI673&amp;"',","'',")&amp;IF(AN673&lt;&gt;"","'"&amp;AN673&amp;"',","'',")&amp;IF(AS673&lt;&gt;"","'"&amp;AS673&amp;"',","'',")&amp;IF(AX673&lt;&gt;"","'"&amp;AX673&amp;"',","'',")&amp;"},","")
        &amp; IF(OR(X673&lt;&gt;"",AD673&lt;&gt;"",AJ673&lt;&gt;"",AO673&lt;&gt;"",AT673&lt;&gt;"",AY673&lt;&gt;""),"['de']={"&amp;IF(X673&lt;&gt;"","'"&amp;X673&amp;"',","'',")&amp;IF(AD673&lt;&gt;"","'"&amp;AD673&amp;"',","'',")&amp;IF(AJ673&lt;&gt;"","'"&amp;AJ673&amp;"',","'',")&amp;IF(AO673&lt;&gt;"","'"&amp;AO673&amp;"',","'',")&amp;IF(AT673&lt;&gt;"","'"&amp;AT673&amp;"',","'',")&amp;IF(AY673&lt;&gt;"","'"&amp;AY673&amp;"',","'',")&amp;"},","")
     &amp; "}",""),"")),""),"")
&amp; IF(AND(BD673&lt;&gt;"",BD673&lt;&gt;"X"), ", perfectedSetId=" &amp; BD673, IF(BD673&lt;&gt;"",", isPerfectedSet=1",""))</f>
        <v/>
      </c>
      <c r="BI673" s="21" t="str">
        <f>IF(A673&lt;&gt;"",IF(F673&lt;&gt;"Not in the game (anymore)",
IF(OR(BA673&lt;&gt;"",BB673&lt;&gt;""),", addTooltip={" &amp; IF(BA673&lt;&gt;"","['en']='"&amp; BA673 &amp; "',","")  &amp; IF(AND(BA673&lt;&gt;"",BA673&lt;&gt;BB673), IF(BB673&lt;&gt;"","['de']='"&amp; BB673 &amp; "',",""),"") &amp; "},","")
&amp; "},"
&amp; IF(C673&lt;&gt;"",CONCATENATE(" --",C673," / ",B673,"   [",IF(R673&lt;&gt;"",R673,""),IF(AA673&lt;&gt;"",", "&amp;AA673,""),IF(AG673&lt;&gt;"",", "&amp;AG673,""),IF(AL673&lt;&gt;"",", "&amp;AL673,""),IF(AQ673&lt;&gt;"",", "&amp;AQ673,""),IF(AV673&lt;&gt;"",", "&amp;AV673,""),"]")),""),"")</f>
        <v/>
      </c>
    </row>
    <row r="674" spans="2:61" x14ac:dyDescent="0.25">
      <c r="Q674" s="3" t="str">
        <f>IF(AND(P674&lt;&gt;"",ISNUMBER(P674),NOT(ISNA(P674))),P674,IF(R674&lt;&gt;"",VLOOKUP(R674,'ESO zone constants'!$D$5:$H$10003,5,FALSE),""))</f>
        <v/>
      </c>
      <c r="R674" t="str">
        <f>IF(AND(O674&lt;&gt;"",NOT(ISERROR(O674))),O674,
IF(AND(P674&lt;&gt;"",ISNUMBER(P674),P674&gt;0,NOT(ISNA(P674))),VLOOKUP(P674,'ESO zone constants'!$A$5:$D$10001,4,FALSE),
IF(AND(K674&lt;&gt;"",K674&gt;0,NOT(ISERROR(K674))),VLOOKUP(K674,'ESO dumped WayshrineInfo'!$K$3:$N$9972,4,FALSE),"")))</f>
        <v/>
      </c>
      <c r="T674" s="19" t="str">
        <f>IF(AND(S674&lt;&gt;"",NOT(ISERROR(S674))),S674,IF(Q674&lt;&gt;"",IF(NOT(ISERROR(VLOOKUP(Q674,'ESO Dungeon constants'!$D$3:$H$9999,5,FALSE))),VLOOKUP(Q674,'ESO Dungeon constants'!$D$3:$I$9999,6,FALSE),VLOOKUP(Q674,'ESO zone constants'!$H$3:$K$9989,4,FALSE)),""))</f>
        <v/>
      </c>
      <c r="U674" s="3" t="str">
        <f>IF(T674&lt;&gt;"",VLOOKUP(T674,'LibSets constants'!$B$4:$C$1017,2,FALSE),"")</f>
        <v/>
      </c>
      <c r="V674" s="86"/>
      <c r="Y674" s="61"/>
      <c r="Z674" s="3" t="str">
        <f>IF(AND(G674&lt;&gt;"LIBSETS_SETTYPE_BATTLEGROUND",G674&lt;&gt;"LIBSETS_SETTYPE_SPECIAL"),
IF(AND(Y674&lt;&gt;"",ISNUMBER(Y674),NOT(ISNA(Y674))),Y674,
   IF(AND(L674&lt;&gt;"",ISNUMBER(L674),L674&gt;0,NOT(ISNA(L674))),VLOOKUP(L674,'ESO dumped WayshrineInfo'!$K$3:$L$9972,2,FALSE),"")
),"")</f>
        <v/>
      </c>
      <c r="AA674" t="str">
        <f>IF(AND(Z674&lt;&gt;"",ISNUMBER(Z674),NOT(ISNA(Z674))),VLOOKUP(Z674,'ESO zone constants'!$A$5:$D$10001,4,FALSE),"")</f>
        <v/>
      </c>
      <c r="AC674" s="39"/>
      <c r="AD674" s="39"/>
      <c r="AE674" s="61"/>
      <c r="AF674" s="3" t="str">
        <f>IF(AND(G674&lt;&gt;"LIBSETS_SETTYPE_BATTLEGROUND",G674&lt;&gt;"LIBSETS_SETTYPE_SPECIAL"),
IF(AND(AE674&lt;&gt;"",ISNUMBER(AE674),NOT(ISNA(AE674))),AE674,
   IF(AND(M674&lt;&gt;"",ISNUMBER(M674),M674&gt;0,NOT(ISNA(M674))),VLOOKUP(M674,'ESO dumped WayshrineInfo'!$K$3:$L$9972,2,FALSE),"")
),"")</f>
        <v/>
      </c>
      <c r="AG674" s="36" t="str">
        <f>IF(AND(AF674&lt;&gt;"",ISNUMBER(AF674),NOT(ISNA(AF674))),VLOOKUP(AF674,'ESO zone constants'!$A$5:$D$10001,4,FALSE),"")</f>
        <v/>
      </c>
      <c r="AI674" s="39"/>
      <c r="AJ674" s="39"/>
      <c r="AK674" s="3" t="str">
        <f>IF(AND(G674&lt;&gt;"LIBSETS_SETTYPE_BATTLEGROUND",G674&lt;&gt;"LIBSETS_SETTYPE_SPECIAL"),IF(AL674&lt;&gt;"",VLOOKUP(AL674,'ESO zone constants'!$D$5:$H$4955,5,FALSE),""),"")</f>
        <v/>
      </c>
      <c r="AN674" s="39"/>
      <c r="AO674" s="39"/>
      <c r="AP674" s="3" t="str">
        <f>IF(AND(G674&lt;&gt;"LIBSETS_SETTYPE_BATTLEGROUND",G674&lt;&gt;"LIBSETS_SETTYPE_SPECIAL"),IF(AQ674&lt;&gt;"",VLOOKUP(AQ674,'ESO zone constants'!$D$5:$H$4955,5,FALSE),""),"")</f>
        <v/>
      </c>
      <c r="AS674" s="39"/>
      <c r="AT674" s="39"/>
      <c r="AU674" s="3" t="str">
        <f>IF(AND(G674&lt;&gt;"LIBSETS_SETTYPE_BATTLEGROUND",G674&lt;&gt;"LIBSETS_SETTYPE_SPECIAL"),IF(AV674&lt;&gt;"",VLOOKUP(AV674,'ESO zone constants'!$D$5:$H$4955,5,FALSE),""),"")</f>
        <v/>
      </c>
      <c r="AX674" s="39"/>
      <c r="AY674" s="39"/>
      <c r="AZ674" s="75" t="s">
        <v>2645</v>
      </c>
      <c r="BA674" s="75"/>
      <c r="BB674" s="75"/>
      <c r="BC674"/>
      <c r="BD674"/>
      <c r="BE674" s="21" t="str">
        <f>IF(A674="???","--","")&amp;IF(F674&lt;&gt;"Not in the game (anymore)",IF(A674&lt;&gt;"",CONCATENATE("[",A674,"] = {wayshrines={")&amp;IF(K674&lt;&gt;"",CONCATENATE(K674,","),"")&amp;IF(L674&lt;&gt;"",CONCATENATE(L674,","),"")&amp;IF(M674&lt;&gt;"",CONCATENATE(M674,","),"")&amp;CONCATENATE("}")&amp;IF(VALUE(N674)&gt;0,CONCATENATE(", traitsNeeded=",N674),"")&amp;CONCATENATE(", dlcId=",IF(T674&lt;&gt;"",T674,"DLC_BASE_GAME")),""),"")</f>
        <v/>
      </c>
      <c r="BF674" s="21" t="str">
        <f>IF(F674&lt;&gt;"Not in the game (anymore)",IF(A674&lt;&gt;"",IF(Q674&lt;&gt;"",CONCATENATE(", zoneIds={",Q674),"")&amp;IF(Z674&lt;&gt;"",CONCATENATE(",",Z674),"")&amp;IF(AF674&lt;&gt;"",CONCATENATE(",",AF674),"")&amp;IF(AK674&lt;&gt;"",CONCATENATE(",",AK674),"")&amp;IF(AP674&lt;&gt;"",CONCATENATE(",",AP674),"")&amp;IF(AU674&lt;&gt;"",CONCATENATE(",",AU674),"")&amp;IF(Q674&lt;&gt;"",CONCATENATE("}",""),"")&amp;IF(OR(I674="true",I674="false",I674&lt;&gt;""), CONCATENATE(", veteran=", I674), ""),""),"")</f>
        <v/>
      </c>
      <c r="BG674" s="21" t="str">
        <f>IF(A674&lt;&gt;"",IF(F674&lt;&gt;"Not in the game (anymore)",IF(A674&lt;&gt;"",", setType="&amp;G674,"")&amp;IF(G674="LIBSETS_SETTYPE_CLASS",", classId="&amp;BC674,"")&amp;IF(J674="true",", multiTrialSet=true",""),"")
&amp; IF(AND(H674&lt;&gt;"",ISNUMBER(H674)),", undauntedChestId=" &amp; H674,""),"")</f>
        <v/>
      </c>
      <c r="BH674" s="21" t="str">
        <f>IF(A674&lt;&gt;"",IF(F674&lt;&gt;"Not in the game (anymore)",IF(AZ674&lt;&gt;"",", isProcSetAllowedInPvP="&amp; AZ674,"")
&amp; IF(F674&lt;&gt;"Not in the game (anymore)",
  IF(V674&lt;&gt;"",", dropMechanic={"&amp;V674&amp;IF(AB674&lt;&gt;"",","&amp;AB674,"")&amp;IF(AH674&lt;&gt;"",","&amp;AH674,"")&amp;IF(AM674&lt;&gt;"",","&amp;AM674,"")&amp;IF(AR674&lt;&gt;"",","&amp;AR674,"")&amp;IF(AW674&lt;&gt;"",","&amp;AW674,"")&amp;"}"
     &amp;IF(OR(W674&lt;&gt;"",AC674&lt;&gt;"",AI674&lt;&gt;"",AN674&lt;&gt;"",AS674&lt;&gt;"",AX674&lt;&gt;"",X674&lt;&gt;"",AD674&lt;&gt;"",AJ674&lt;&gt;"",AO674&lt;&gt;"",AT674&lt;&gt;"",AY674&lt;&gt;""),", dropMechanicDropLocationNames={"
        &amp; IF(OR(W674&lt;&gt;"",AC674&lt;&gt;"",AI674&lt;&gt;"",AN674&lt;&gt;"",AS674&lt;&gt;"",AX674&lt;&gt;""),"['en']={"&amp;IF(W674&lt;&gt;"","'"&amp;W674&amp;"',","'',")&amp;IF(AC674&lt;&gt;"","'"&amp;AC674&amp;"',","'',")&amp;IF(AI674&lt;&gt;"","'"&amp;AI674&amp;"',","'',")&amp;IF(AN674&lt;&gt;"","'"&amp;AN674&amp;"',","'',")&amp;IF(AS674&lt;&gt;"","'"&amp;AS674&amp;"',","'',")&amp;IF(AX674&lt;&gt;"","'"&amp;AX674&amp;"',","'',")&amp;"},","")
        &amp; IF(OR(X674&lt;&gt;"",AD674&lt;&gt;"",AJ674&lt;&gt;"",AO674&lt;&gt;"",AT674&lt;&gt;"",AY674&lt;&gt;""),"['de']={"&amp;IF(X674&lt;&gt;"","'"&amp;X674&amp;"',","'',")&amp;IF(AD674&lt;&gt;"","'"&amp;AD674&amp;"',","'',")&amp;IF(AJ674&lt;&gt;"","'"&amp;AJ674&amp;"',","'',")&amp;IF(AO674&lt;&gt;"","'"&amp;AO674&amp;"',","'',")&amp;IF(AT674&lt;&gt;"","'"&amp;AT674&amp;"',","'',")&amp;IF(AY674&lt;&gt;"","'"&amp;AY674&amp;"',","'',")&amp;"},","")
     &amp; "}",""),"")),""),"")
&amp; IF(AND(BD674&lt;&gt;"",BD674&lt;&gt;"X"), ", perfectedSetId=" &amp; BD674, IF(BD674&lt;&gt;"",", isPerfectedSet=1",""))</f>
        <v/>
      </c>
      <c r="BI674" s="21" t="str">
        <f>IF(A674&lt;&gt;"",IF(F674&lt;&gt;"Not in the game (anymore)",
IF(OR(BA674&lt;&gt;"",BB674&lt;&gt;""),", addTooltip={" &amp; IF(BA674&lt;&gt;"","['en']='"&amp; BA674 &amp; "',","")  &amp; IF(AND(BA674&lt;&gt;"",BA674&lt;&gt;BB674), IF(BB674&lt;&gt;"","['de']='"&amp; BB674 &amp; "',",""),"") &amp; "},","")
&amp; "},"
&amp; IF(C674&lt;&gt;"",CONCATENATE(" --",C674," / ",B674,"   [",IF(R674&lt;&gt;"",R674,""),IF(AA674&lt;&gt;"",", "&amp;AA674,""),IF(AG674&lt;&gt;"",", "&amp;AG674,""),IF(AL674&lt;&gt;"",", "&amp;AL674,""),IF(AQ674&lt;&gt;"",", "&amp;AQ674,""),IF(AV674&lt;&gt;"",", "&amp;AV674,""),"]")),""),"")</f>
        <v/>
      </c>
    </row>
    <row r="675" spans="2:61" x14ac:dyDescent="0.25">
      <c r="Q675" s="3" t="str">
        <f>IF(AND(P675&lt;&gt;"",ISNUMBER(P675),NOT(ISNA(P675))),P675,IF(R675&lt;&gt;"",VLOOKUP(R675,'ESO zone constants'!$D$5:$H$10003,5,FALSE),""))</f>
        <v/>
      </c>
      <c r="R675" t="str">
        <f>IF(AND(O675&lt;&gt;"",NOT(ISERROR(O675))),O675,
IF(AND(P675&lt;&gt;"",ISNUMBER(P675),P675&gt;0,NOT(ISNA(P675))),VLOOKUP(P675,'ESO zone constants'!$A$5:$D$10001,4,FALSE),
IF(AND(K675&lt;&gt;"",K675&gt;0,NOT(ISERROR(K675))),VLOOKUP(K675,'ESO dumped WayshrineInfo'!$K$3:$N$9972,4,FALSE),"")))</f>
        <v/>
      </c>
      <c r="T675" s="19" t="str">
        <f>IF(AND(S675&lt;&gt;"",NOT(ISERROR(S675))),S675,IF(Q675&lt;&gt;"",IF(NOT(ISERROR(VLOOKUP(Q675,'ESO Dungeon constants'!$D$3:$H$9999,5,FALSE))),VLOOKUP(Q675,'ESO Dungeon constants'!$D$3:$I$9999,6,FALSE),VLOOKUP(Q675,'ESO zone constants'!$H$3:$K$9989,4,FALSE)),""))</f>
        <v/>
      </c>
      <c r="U675" s="3" t="str">
        <f>IF(T675&lt;&gt;"",VLOOKUP(T675,'LibSets constants'!$B$4:$C$1017,2,FALSE),"")</f>
        <v/>
      </c>
      <c r="V675" s="86"/>
      <c r="Y675" s="61"/>
      <c r="Z675" s="3" t="str">
        <f>IF(AND(G675&lt;&gt;"LIBSETS_SETTYPE_BATTLEGROUND",G675&lt;&gt;"LIBSETS_SETTYPE_SPECIAL"),
IF(AND(Y675&lt;&gt;"",ISNUMBER(Y675),NOT(ISNA(Y675))),Y675,
   IF(AND(L675&lt;&gt;"",ISNUMBER(L675),L675&gt;0,NOT(ISNA(L675))),VLOOKUP(L675,'ESO dumped WayshrineInfo'!$K$3:$L$9972,2,FALSE),"")
),"")</f>
        <v/>
      </c>
      <c r="AA675" t="str">
        <f>IF(AND(Z675&lt;&gt;"",ISNUMBER(Z675),NOT(ISNA(Z675))),VLOOKUP(Z675,'ESO zone constants'!$A$5:$D$10001,4,FALSE),"")</f>
        <v/>
      </c>
      <c r="AC675" s="39"/>
      <c r="AD675" s="39"/>
      <c r="AE675" s="61"/>
      <c r="AF675" s="3" t="str">
        <f>IF(AND(G675&lt;&gt;"LIBSETS_SETTYPE_BATTLEGROUND",G675&lt;&gt;"LIBSETS_SETTYPE_SPECIAL"),
IF(AND(AE675&lt;&gt;"",ISNUMBER(AE675),NOT(ISNA(AE675))),AE675,
   IF(AND(M675&lt;&gt;"",ISNUMBER(M675),M675&gt;0,NOT(ISNA(M675))),VLOOKUP(M675,'ESO dumped WayshrineInfo'!$K$3:$L$9972,2,FALSE),"")
),"")</f>
        <v/>
      </c>
      <c r="AG675" s="36" t="str">
        <f>IF(AND(AF675&lt;&gt;"",ISNUMBER(AF675),NOT(ISNA(AF675))),VLOOKUP(AF675,'ESO zone constants'!$A$5:$D$10001,4,FALSE),"")</f>
        <v/>
      </c>
      <c r="AI675" s="39"/>
      <c r="AJ675" s="39"/>
      <c r="AK675" s="3" t="str">
        <f>IF(AND(G675&lt;&gt;"LIBSETS_SETTYPE_BATTLEGROUND",G675&lt;&gt;"LIBSETS_SETTYPE_SPECIAL"),IF(AL675&lt;&gt;"",VLOOKUP(AL675,'ESO zone constants'!$D$5:$H$4955,5,FALSE),""),"")</f>
        <v/>
      </c>
      <c r="AN675" s="39"/>
      <c r="AO675" s="39"/>
      <c r="AP675" s="3" t="str">
        <f>IF(AND(G675&lt;&gt;"LIBSETS_SETTYPE_BATTLEGROUND",G675&lt;&gt;"LIBSETS_SETTYPE_SPECIAL"),IF(AQ675&lt;&gt;"",VLOOKUP(AQ675,'ESO zone constants'!$D$5:$H$4955,5,FALSE),""),"")</f>
        <v/>
      </c>
      <c r="AS675" s="39"/>
      <c r="AT675" s="39"/>
      <c r="AU675" s="3" t="str">
        <f>IF(AND(G675&lt;&gt;"LIBSETS_SETTYPE_BATTLEGROUND",G675&lt;&gt;"LIBSETS_SETTYPE_SPECIAL"),IF(AV675&lt;&gt;"",VLOOKUP(AV675,'ESO zone constants'!$D$5:$H$4955,5,FALSE),""),"")</f>
        <v/>
      </c>
      <c r="AX675" s="39"/>
      <c r="AY675" s="39"/>
      <c r="AZ675" s="75" t="s">
        <v>2645</v>
      </c>
      <c r="BA675" s="75"/>
      <c r="BB675" s="75"/>
      <c r="BC675"/>
      <c r="BD675"/>
      <c r="BE675" s="21" t="str">
        <f>IF(A675="???","--","")&amp;IF(F675&lt;&gt;"Not in the game (anymore)",IF(A675&lt;&gt;"",CONCATENATE("[",A675,"] = {wayshrines={")&amp;IF(K675&lt;&gt;"",CONCATENATE(K675,","),"")&amp;IF(L675&lt;&gt;"",CONCATENATE(L675,","),"")&amp;IF(M675&lt;&gt;"",CONCATENATE(M675,","),"")&amp;CONCATENATE("}")&amp;IF(VALUE(N675)&gt;0,CONCATENATE(", traitsNeeded=",N675),"")&amp;CONCATENATE(", dlcId=",IF(T675&lt;&gt;"",T675,"DLC_BASE_GAME")),""),"")</f>
        <v/>
      </c>
      <c r="BF675" s="21" t="str">
        <f>IF(F675&lt;&gt;"Not in the game (anymore)",IF(A675&lt;&gt;"",IF(Q675&lt;&gt;"",CONCATENATE(", zoneIds={",Q675),"")&amp;IF(Z675&lt;&gt;"",CONCATENATE(",",Z675),"")&amp;IF(AF675&lt;&gt;"",CONCATENATE(",",AF675),"")&amp;IF(AK675&lt;&gt;"",CONCATENATE(",",AK675),"")&amp;IF(AP675&lt;&gt;"",CONCATENATE(",",AP675),"")&amp;IF(AU675&lt;&gt;"",CONCATENATE(",",AU675),"")&amp;IF(Q675&lt;&gt;"",CONCATENATE("}",""),"")&amp;IF(OR(I675="true",I675="false",I675&lt;&gt;""), CONCATENATE(", veteran=", I675), ""),""),"")</f>
        <v/>
      </c>
      <c r="BG675" s="21" t="str">
        <f>IF(A675&lt;&gt;"",IF(F675&lt;&gt;"Not in the game (anymore)",IF(A675&lt;&gt;"",", setType="&amp;G675,"")&amp;IF(G675="LIBSETS_SETTYPE_CLASS",", classId="&amp;BC675,"")&amp;IF(J675="true",", multiTrialSet=true",""),"")
&amp; IF(AND(H675&lt;&gt;"",ISNUMBER(H675)),", undauntedChestId=" &amp; H675,""),"")</f>
        <v/>
      </c>
      <c r="BH675" s="21" t="str">
        <f>IF(A675&lt;&gt;"",IF(F675&lt;&gt;"Not in the game (anymore)",IF(AZ675&lt;&gt;"",", isProcSetAllowedInPvP="&amp; AZ675,"")
&amp; IF(F675&lt;&gt;"Not in the game (anymore)",
  IF(V675&lt;&gt;"",", dropMechanic={"&amp;V675&amp;IF(AB675&lt;&gt;"",","&amp;AB675,"")&amp;IF(AH675&lt;&gt;"",","&amp;AH675,"")&amp;IF(AM675&lt;&gt;"",","&amp;AM675,"")&amp;IF(AR675&lt;&gt;"",","&amp;AR675,"")&amp;IF(AW675&lt;&gt;"",","&amp;AW675,"")&amp;"}"
     &amp;IF(OR(W675&lt;&gt;"",AC675&lt;&gt;"",AI675&lt;&gt;"",AN675&lt;&gt;"",AS675&lt;&gt;"",AX675&lt;&gt;"",X675&lt;&gt;"",AD675&lt;&gt;"",AJ675&lt;&gt;"",AO675&lt;&gt;"",AT675&lt;&gt;"",AY675&lt;&gt;""),", dropMechanicDropLocationNames={"
        &amp; IF(OR(W675&lt;&gt;"",AC675&lt;&gt;"",AI675&lt;&gt;"",AN675&lt;&gt;"",AS675&lt;&gt;"",AX675&lt;&gt;""),"['en']={"&amp;IF(W675&lt;&gt;"","'"&amp;W675&amp;"',","'',")&amp;IF(AC675&lt;&gt;"","'"&amp;AC675&amp;"',","'',")&amp;IF(AI675&lt;&gt;"","'"&amp;AI675&amp;"',","'',")&amp;IF(AN675&lt;&gt;"","'"&amp;AN675&amp;"',","'',")&amp;IF(AS675&lt;&gt;"","'"&amp;AS675&amp;"',","'',")&amp;IF(AX675&lt;&gt;"","'"&amp;AX675&amp;"',","'',")&amp;"},","")
        &amp; IF(OR(X675&lt;&gt;"",AD675&lt;&gt;"",AJ675&lt;&gt;"",AO675&lt;&gt;"",AT675&lt;&gt;"",AY675&lt;&gt;""),"['de']={"&amp;IF(X675&lt;&gt;"","'"&amp;X675&amp;"',","'',")&amp;IF(AD675&lt;&gt;"","'"&amp;AD675&amp;"',","'',")&amp;IF(AJ675&lt;&gt;"","'"&amp;AJ675&amp;"',","'',")&amp;IF(AO675&lt;&gt;"","'"&amp;AO675&amp;"',","'',")&amp;IF(AT675&lt;&gt;"","'"&amp;AT675&amp;"',","'',")&amp;IF(AY675&lt;&gt;"","'"&amp;AY675&amp;"',","'',")&amp;"},","")
     &amp; "}",""),"")),""),"")
&amp; IF(AND(BD675&lt;&gt;"",BD675&lt;&gt;"X"), ", perfectedSetId=" &amp; BD675, IF(BD675&lt;&gt;"",", isPerfectedSet=1",""))</f>
        <v/>
      </c>
      <c r="BI675" s="21" t="str">
        <f>IF(A675&lt;&gt;"",IF(F675&lt;&gt;"Not in the game (anymore)",
IF(OR(BA675&lt;&gt;"",BB675&lt;&gt;""),", addTooltip={" &amp; IF(BA675&lt;&gt;"","['en']='"&amp; BA675 &amp; "',","")  &amp; IF(AND(BA675&lt;&gt;"",BA675&lt;&gt;BB675), IF(BB675&lt;&gt;"","['de']='"&amp; BB675 &amp; "',",""),"") &amp; "},","")
&amp; "},"
&amp; IF(C675&lt;&gt;"",CONCATENATE(" --",C675," / ",B675,"   [",IF(R675&lt;&gt;"",R675,""),IF(AA675&lt;&gt;"",", "&amp;AA675,""),IF(AG675&lt;&gt;"",", "&amp;AG675,""),IF(AL675&lt;&gt;"",", "&amp;AL675,""),IF(AQ675&lt;&gt;"",", "&amp;AQ675,""),IF(AV675&lt;&gt;"",", "&amp;AV675,""),"]")),""),"")</f>
        <v/>
      </c>
    </row>
  </sheetData>
  <autoFilter ref="A2:BI675" xr:uid="{00000000-0001-0000-0000-000000000000}">
    <sortState xmlns:xlrd2="http://schemas.microsoft.com/office/spreadsheetml/2017/richdata2" ref="A3:BI675">
      <sortCondition ref="A2:A665"/>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94"/>
  <sheetViews>
    <sheetView zoomScale="70" zoomScaleNormal="70" workbookViewId="0">
      <pane xSplit="3" ySplit="2" topLeftCell="D650" activePane="bottomRight" state="frozen"/>
      <selection pane="topRight" activeCell="D1" sqref="D1"/>
      <selection pane="bottomLeft" activeCell="A3" sqref="A3"/>
      <selection pane="bottomRight" activeCell="A690" sqref="A690:XFD69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3" t="s">
        <v>1665</v>
      </c>
      <c r="B1" s="113"/>
      <c r="C1" s="113"/>
      <c r="D1" s="44" t="s">
        <v>1666</v>
      </c>
    </row>
    <row r="2" spans="1:4" x14ac:dyDescent="0.25">
      <c r="A2" s="6" t="s">
        <v>83</v>
      </c>
      <c r="B2" s="7" t="s">
        <v>1663</v>
      </c>
      <c r="C2" s="7" t="s">
        <v>1664</v>
      </c>
      <c r="D2" s="1" t="s">
        <v>1662</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693</v>
      </c>
      <c r="B620" s="8" t="str">
        <f>VLOOKUP(A620,'Sets data'!$A$3:$C$9918,3,FALSE)</f>
        <v>Torc of the Last Ayleid King</v>
      </c>
      <c r="C620" s="8" t="str">
        <f>VLOOKUP(A620,'Sets data'!$A$3:$C$9918,2,FALSE)</f>
        <v>Torc of the Last Ayleid King</v>
      </c>
    </row>
    <row r="621" spans="1:3" x14ac:dyDescent="0.25">
      <c r="A621" s="5">
        <v>694</v>
      </c>
      <c r="B621" s="8" t="str">
        <f>VLOOKUP(A621,'Sets data'!$A$3:$C$9918,3,FALSE)</f>
        <v xml:space="preserve"> Velothi Ur-Mage\'s Amulet</v>
      </c>
      <c r="C621" s="8" t="str">
        <f>VLOOKUP(A621,'Sets data'!$A$3:$C$9918,2,FALSE)</f>
        <v xml:space="preserve"> Velothi Ur-Mage\'s Amulet</v>
      </c>
    </row>
    <row r="622" spans="1:3" x14ac:dyDescent="0.25">
      <c r="A622" s="5">
        <v>695</v>
      </c>
      <c r="B622" s="8" t="str">
        <f>VLOOKUP(A622,'Sets data'!$A$3:$C$9918,3,FALSE)</f>
        <v xml:space="preserve"> Shattered Fate</v>
      </c>
      <c r="C622" s="8" t="str">
        <f>VLOOKUP(A622,'Sets data'!$A$3:$C$9918,2,FALSE)</f>
        <v xml:space="preserve"> Shattered Fate</v>
      </c>
    </row>
    <row r="623" spans="1:3" x14ac:dyDescent="0.25">
      <c r="A623" s="5">
        <v>696</v>
      </c>
      <c r="B623" s="8" t="str">
        <f>VLOOKUP(A623,'Sets data'!$A$3:$C$9918,3,FALSE)</f>
        <v xml:space="preserve"> Telvanni Efficiency</v>
      </c>
      <c r="C623" s="8" t="str">
        <f>VLOOKUP(A623,'Sets data'!$A$3:$C$9918,2,FALSE)</f>
        <v xml:space="preserve"> Telvanni Efficiency</v>
      </c>
    </row>
    <row r="624" spans="1:3" x14ac:dyDescent="0.25">
      <c r="A624" s="5">
        <v>697</v>
      </c>
      <c r="B624" s="8" t="str">
        <f>VLOOKUP(A624,'Sets data'!$A$3:$C$9918,3,FALSE)</f>
        <v xml:space="preserve"> Seeker Synthesis</v>
      </c>
      <c r="C624" s="8" t="str">
        <f>VLOOKUP(A624,'Sets data'!$A$3:$C$9918,2,FALSE)</f>
        <v xml:space="preserve"> Seeker Synthesis</v>
      </c>
    </row>
    <row r="625" spans="1:3" x14ac:dyDescent="0.25">
      <c r="A625" s="5">
        <v>698</v>
      </c>
      <c r="B625" s="8" t="str">
        <f>VLOOKUP(A625,'Sets data'!$A$3:$C$9918,3,FALSE)</f>
        <v xml:space="preserve"> Vivec\'s Duality</v>
      </c>
      <c r="C625" s="8" t="str">
        <f>VLOOKUP(A625,'Sets data'!$A$3:$C$9918,2,FALSE)</f>
        <v xml:space="preserve"> Vivec\'s Duality</v>
      </c>
    </row>
    <row r="626" spans="1:3" x14ac:dyDescent="0.25">
      <c r="A626" s="5">
        <v>699</v>
      </c>
      <c r="B626" s="8" t="str">
        <f>VLOOKUP(A626,'Sets data'!$A$3:$C$9918,3,FALSE)</f>
        <v xml:space="preserve"> Camonna Tong</v>
      </c>
      <c r="C626" s="8" t="str">
        <f>VLOOKUP(A626,'Sets data'!$A$3:$C$9918,2,FALSE)</f>
        <v xml:space="preserve"> Camonna Tong</v>
      </c>
    </row>
    <row r="627" spans="1:3" x14ac:dyDescent="0.25">
      <c r="A627" s="5">
        <v>700</v>
      </c>
      <c r="B627" s="8" t="str">
        <f>VLOOKUP(A627,'Sets data'!$A$3:$C$9918,3,FALSE)</f>
        <v xml:space="preserve"> Adamant Lurker</v>
      </c>
      <c r="C627" s="8" t="str">
        <f>VLOOKUP(A627,'Sets data'!$A$3:$C$9918,2,FALSE)</f>
        <v xml:space="preserve"> Adamant Lurker</v>
      </c>
    </row>
    <row r="628" spans="1:3" x14ac:dyDescent="0.25">
      <c r="A628" s="5">
        <v>701</v>
      </c>
      <c r="B628" s="8" t="str">
        <f>VLOOKUP(A628,'Sets data'!$A$3:$C$9918,3,FALSE)</f>
        <v xml:space="preserve"> Peace and Serenity</v>
      </c>
      <c r="C628" s="8" t="str">
        <f>VLOOKUP(A628,'Sets data'!$A$3:$C$9918,2,FALSE)</f>
        <v xml:space="preserve"> Peace and Serenity</v>
      </c>
    </row>
    <row r="629" spans="1:3" x14ac:dyDescent="0.25">
      <c r="A629" s="5">
        <v>702</v>
      </c>
      <c r="B629" s="8" t="str">
        <f>VLOOKUP(A629,'Sets data'!$A$3:$C$9918,3,FALSE)</f>
        <v xml:space="preserve"> Ansuul\'s Torment</v>
      </c>
      <c r="C629" s="8" t="str">
        <f>VLOOKUP(A629,'Sets data'!$A$3:$C$9918,2,FALSE)</f>
        <v xml:space="preserve"> Ansuul\'s Torment</v>
      </c>
    </row>
    <row r="630" spans="1:3" x14ac:dyDescent="0.25">
      <c r="A630" s="5">
        <v>703</v>
      </c>
      <c r="B630" s="8" t="str">
        <f>VLOOKUP(A630,'Sets data'!$A$3:$C$9918,3,FALSE)</f>
        <v xml:space="preserve"> Test of Resolve</v>
      </c>
      <c r="C630" s="8" t="str">
        <f>VLOOKUP(A630,'Sets data'!$A$3:$C$9918,2,FALSE)</f>
        <v xml:space="preserve"> Test of Resolve</v>
      </c>
    </row>
    <row r="631" spans="1:3" x14ac:dyDescent="0.25">
      <c r="A631" s="5">
        <v>704</v>
      </c>
      <c r="B631" s="8" t="str">
        <f>VLOOKUP(A631,'Sets data'!$A$3:$C$9918,3,FALSE)</f>
        <v xml:space="preserve"> Transformative Hope</v>
      </c>
      <c r="C631" s="8" t="str">
        <f>VLOOKUP(A631,'Sets data'!$A$3:$C$9918,2,FALSE)</f>
        <v xml:space="preserve"> Transformative Hope</v>
      </c>
    </row>
    <row r="632" spans="1:3" x14ac:dyDescent="0.25">
      <c r="A632" s="5">
        <v>705</v>
      </c>
      <c r="B632" s="8" t="str">
        <f>VLOOKUP(A632,'Sets data'!$A$3:$C$9918,3,FALSE)</f>
        <v xml:space="preserve"> Perfected Transformative Hope</v>
      </c>
      <c r="C632" s="8" t="str">
        <f>VLOOKUP(A632,'Sets data'!$A$3:$C$9918,2,FALSE)</f>
        <v xml:space="preserve"> Perfected Transformative Hope</v>
      </c>
    </row>
    <row r="633" spans="1:3" x14ac:dyDescent="0.25">
      <c r="A633" s="5">
        <v>706</v>
      </c>
      <c r="B633" s="8" t="str">
        <f>VLOOKUP(A633,'Sets data'!$A$3:$C$9918,3,FALSE)</f>
        <v xml:space="preserve"> Perfected Test of Resolve</v>
      </c>
      <c r="C633" s="8" t="str">
        <f>VLOOKUP(A633,'Sets data'!$A$3:$C$9918,2,FALSE)</f>
        <v xml:space="preserve"> Perfected Test of Resolve</v>
      </c>
    </row>
    <row r="634" spans="1:3" x14ac:dyDescent="0.25">
      <c r="A634" s="5">
        <v>707</v>
      </c>
      <c r="B634" s="8" t="str">
        <f>VLOOKUP(A634,'Sets data'!$A$3:$C$9918,3,FALSE)</f>
        <v xml:space="preserve"> Perfected Ansuul\'s Torment</v>
      </c>
      <c r="C634" s="8" t="str">
        <f>VLOOKUP(A634,'Sets data'!$A$3:$C$9918,2,FALSE)</f>
        <v xml:space="preserve"> Perfected Ansuul\'s Torment</v>
      </c>
    </row>
    <row r="635" spans="1:3" x14ac:dyDescent="0.25">
      <c r="A635" s="5">
        <v>708</v>
      </c>
      <c r="B635" s="8" t="str">
        <f>VLOOKUP(A635,'Sets data'!$A$3:$C$9918,3,FALSE)</f>
        <v xml:space="preserve"> Perfected Peace and Serenity</v>
      </c>
      <c r="C635" s="8" t="str">
        <f>VLOOKUP(A635,'Sets data'!$A$3:$C$9918,2,FALSE)</f>
        <v xml:space="preserve"> Perfected Peace and Serenity</v>
      </c>
    </row>
    <row r="636" spans="1:3" x14ac:dyDescent="0.25">
      <c r="A636" s="5">
        <v>711</v>
      </c>
      <c r="B636" s="8" t="str">
        <f>VLOOKUP(A636,'Sets data'!$A$3:$C$9918,3,FALSE)</f>
        <v>Jerall Mountains Warchief</v>
      </c>
      <c r="C636" s="8" t="str">
        <f>VLOOKUP(A636,'Sets data'!$A$3:$C$9918,2,FALSE)</f>
        <v>Jerall Mountains Warchief</v>
      </c>
    </row>
    <row r="637" spans="1:3" x14ac:dyDescent="0.25">
      <c r="A637" s="5">
        <v>712</v>
      </c>
      <c r="B637" s="8" t="str">
        <f>VLOOKUP(A637,'Sets data'!$A$3:$C$9918,3,FALSE)</f>
        <v>Nibenay Bay Battlereeve</v>
      </c>
      <c r="C637" s="8" t="str">
        <f>VLOOKUP(A637,'Sets data'!$A$3:$C$9918,2,FALSE)</f>
        <v>Nibenay Bay Battlereeve</v>
      </c>
    </row>
    <row r="638" spans="1:3" x14ac:dyDescent="0.25">
      <c r="A638" s="5">
        <v>713</v>
      </c>
      <c r="B638" s="8" t="str">
        <f>VLOOKUP(A638,'Sets data'!$A$3:$C$9918,3,FALSE)</f>
        <v>Colovian Highlands General</v>
      </c>
      <c r="C638" s="8" t="str">
        <f>VLOOKUP(A638,'Sets data'!$A$3:$C$9918,2,FALSE)</f>
        <v>Colovian Highlands General</v>
      </c>
    </row>
    <row r="639" spans="1:3" x14ac:dyDescent="0.25">
      <c r="A639" s="5">
        <v>722</v>
      </c>
      <c r="B639" s="8" t="str">
        <f>VLOOKUP(A639,'Sets data'!$A$3:$C$9918,3,FALSE)</f>
        <v>Reawakened Hierophant</v>
      </c>
      <c r="C639" s="8" t="str">
        <f>VLOOKUP(A639,'Sets data'!$A$3:$C$9918,2,FALSE)</f>
        <v>Reawakened Hierophant</v>
      </c>
    </row>
    <row r="640" spans="1:3" x14ac:dyDescent="0.25">
      <c r="A640" s="5">
        <v>723</v>
      </c>
      <c r="B640" s="8" t="str">
        <f>VLOOKUP(A640,'Sets data'!$A$3:$C$9918,3,FALSE)</f>
        <v>Basalt-Blooded Warrior</v>
      </c>
      <c r="C640" s="8" t="str">
        <f>VLOOKUP(A640,'Sets data'!$A$3:$C$9918,2,FALSE)</f>
        <v>Basalt-Blooded Warrior</v>
      </c>
    </row>
    <row r="641" spans="1:3" x14ac:dyDescent="0.25">
      <c r="A641" s="5">
        <v>724</v>
      </c>
      <c r="B641" s="8" t="str">
        <f>VLOOKUP(A641,'Sets data'!$A$3:$C$9918,3,FALSE)</f>
        <v>Nobility in Decay</v>
      </c>
      <c r="C641" s="8" t="str">
        <f>VLOOKUP(A641,'Sets data'!$A$3:$C$9918,2,FALSE)</f>
        <v>Adel im Verfall</v>
      </c>
    </row>
    <row r="642" spans="1:3" x14ac:dyDescent="0.25">
      <c r="A642" s="5">
        <v>726</v>
      </c>
      <c r="B642" s="8" t="str">
        <f>VLOOKUP(A642,'Sets data'!$A$3:$C$9918,3,FALSE)</f>
        <v>Soulcleaver</v>
      </c>
      <c r="C642" s="8" t="str">
        <f>VLOOKUP(A642,'Sets data'!$A$3:$C$9918,2,FALSE)</f>
        <v>Seelenspalter</v>
      </c>
    </row>
    <row r="643" spans="1:3" x14ac:dyDescent="0.25">
      <c r="A643" s="5">
        <v>727</v>
      </c>
      <c r="B643" s="8" t="str">
        <f>VLOOKUP(A643,'Sets data'!$A$3:$C$9918,3,FALSE)</f>
        <v>Monolith of Storms</v>
      </c>
      <c r="C643" s="8" t="str">
        <f>VLOOKUP(A643,'Sets data'!$A$3:$C$9918,2,FALSE)</f>
        <v>Monolith der Stürme</v>
      </c>
    </row>
    <row r="644" spans="1:3" x14ac:dyDescent="0.25">
      <c r="A644" s="5">
        <v>728</v>
      </c>
      <c r="B644" s="8" t="str">
        <f>VLOOKUP(A644,'Sets data'!$A$3:$C$9918,3,FALSE)</f>
        <v>Wrathsun</v>
      </c>
      <c r="C644" s="8" t="str">
        <f>VLOOKUP(A644,'Sets data'!$A$3:$C$9918,2,FALSE)</f>
        <v>Wutsonne</v>
      </c>
    </row>
    <row r="645" spans="1:3" x14ac:dyDescent="0.25">
      <c r="A645" s="5">
        <v>729</v>
      </c>
      <c r="B645" s="8" t="str">
        <f>VLOOKUP(A645,'Sets data'!$A$3:$C$9918,3,FALSE)</f>
        <v>Gardener of Seasons</v>
      </c>
      <c r="C645" s="8" t="str">
        <f>VLOOKUP(A645,'Sets data'!$A$3:$C$9918,2,FALSE)</f>
        <v>Gärtner der Jahreszeiten</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5">
        <v>757</v>
      </c>
      <c r="B657" s="8" t="str">
        <f>VLOOKUP(A657,'Sets data'!$A$3:$C$9918,3,FALSE)</f>
        <v>Symmetry of the Weald</v>
      </c>
      <c r="C657" s="8" t="str">
        <f>VLOOKUP(A657,'Sets data'!$A$3:$C$9918,2,FALSE)</f>
        <v>Symmetry of the Weald</v>
      </c>
    </row>
    <row r="658" spans="1:3" x14ac:dyDescent="0.25">
      <c r="A658" s="5">
        <v>758</v>
      </c>
      <c r="B658" s="8" t="str">
        <f>VLOOKUP(A658,'Sets data'!$A$3:$C$9918,3,FALSE)</f>
        <v>Macabre Vintage</v>
      </c>
      <c r="C658" s="8" t="str">
        <f>VLOOKUP(A658,'Sets data'!$A$3:$C$9918,2,FALSE)</f>
        <v>Macabre Vintage</v>
      </c>
    </row>
    <row r="659" spans="1:3" x14ac:dyDescent="0.25">
      <c r="A659" s="5">
        <v>759</v>
      </c>
      <c r="B659" s="8" t="str">
        <f>VLOOKUP(A659,'Sets data'!$A$3:$C$9918,3,FALSE)</f>
        <v>Ayleid Rufuge</v>
      </c>
      <c r="C659" s="8" t="str">
        <f>VLOOKUP(A659,'Sets data'!$A$3:$C$9918,2,FALSE)</f>
        <v>Ayleid Rufuge</v>
      </c>
    </row>
    <row r="660" spans="1:3" x14ac:dyDescent="0.25">
      <c r="A660" s="5">
        <v>760</v>
      </c>
      <c r="B660" s="8" t="str">
        <f>VLOOKUP(A660,'Sets data'!$A$3:$C$9918,3,FALSE)</f>
        <v>Rourken Steamguards</v>
      </c>
      <c r="C660" s="8" t="str">
        <f>VLOOKUP(A660,'Sets data'!$A$3:$C$9918,2,FALSE)</f>
        <v>Rourken Steamguards</v>
      </c>
    </row>
    <row r="661" spans="1:3" x14ac:dyDescent="0.25">
      <c r="A661" s="5">
        <v>761</v>
      </c>
      <c r="B661" s="8" t="str">
        <f>VLOOKUP(A661,'Sets data'!$A$3:$C$9918,3,FALSE)</f>
        <v>The Shadow Queen\'s Cowl</v>
      </c>
      <c r="C661" s="8" t="str">
        <f>VLOOKUP(A661,'Sets data'!$A$3:$C$9918,2,FALSE)</f>
        <v>The Shadow Queen\'s Cowl</v>
      </c>
    </row>
    <row r="662" spans="1:3" x14ac:dyDescent="0.25">
      <c r="A662" s="5">
        <v>762</v>
      </c>
      <c r="B662" s="8" t="str">
        <f>VLOOKUP(A662,'Sets data'!$A$3:$C$9918,3,FALSE)</f>
        <v>The Saint and the Seducer</v>
      </c>
      <c r="C662" s="8" t="str">
        <f>VLOOKUP(A662,'Sets data'!$A$3:$C$9918,2,FALSE)</f>
        <v>The Saint and the Seducer</v>
      </c>
    </row>
    <row r="663" spans="1:3" x14ac:dyDescent="0.25">
      <c r="A663" s="5">
        <v>763</v>
      </c>
      <c r="B663" s="8" t="str">
        <f>VLOOKUP(A663,'Sets data'!$A$3:$C$9918,3,FALSE)</f>
        <v>Tharriker\'s Strike</v>
      </c>
      <c r="C663" s="8" t="str">
        <f>VLOOKUP(A663,'Sets data'!$A$3:$C$9918,2,FALSE)</f>
        <v>Tharriker\'s Strike</v>
      </c>
    </row>
    <row r="664" spans="1:3" x14ac:dyDescent="0.25">
      <c r="A664" s="5">
        <v>763</v>
      </c>
      <c r="B664" s="8" t="str">
        <f>VLOOKUP(A664,'Sets data'!$A$3:$C$9918,3,FALSE)</f>
        <v>Tharriker\'s Strike</v>
      </c>
      <c r="C664" s="8" t="str">
        <f>VLOOKUP(A664,'Sets data'!$A$3:$C$9918,2,FALSE)</f>
        <v>Tharriker\'s Strike</v>
      </c>
    </row>
    <row r="665" spans="1:3" x14ac:dyDescent="0.25">
      <c r="A665" s="5">
        <v>764</v>
      </c>
      <c r="B665" s="8" t="str">
        <f>VLOOKUP(A665,'Sets data'!$A$3:$C$9918,3,FALSE)</f>
        <v>Highland Sentinel</v>
      </c>
      <c r="C665" s="8" t="str">
        <f>VLOOKUP(A665,'Sets data'!$A$3:$C$9918,2,FALSE)</f>
        <v>Highland Sentinel</v>
      </c>
    </row>
    <row r="666" spans="1:3" x14ac:dyDescent="0.25">
      <c r="A666" s="5">
        <v>764</v>
      </c>
      <c r="B666" s="8" t="str">
        <f>VLOOKUP(A666,'Sets data'!$A$3:$C$9918,3,FALSE)</f>
        <v>Highland Sentinel</v>
      </c>
      <c r="C666" s="8" t="str">
        <f>VLOOKUP(A666,'Sets data'!$A$3:$C$9918,2,FALSE)</f>
        <v>Highland Sentinel</v>
      </c>
    </row>
    <row r="667" spans="1:3" x14ac:dyDescent="0.25">
      <c r="A667" s="5">
        <v>765</v>
      </c>
      <c r="B667" s="8" t="str">
        <f>VLOOKUP(A667,'Sets data'!$A$3:$C$9918,3,FALSE)</f>
        <v>Threads of War</v>
      </c>
      <c r="C667" s="8" t="str">
        <f>VLOOKUP(A667,'Sets data'!$A$3:$C$9918,2,FALSE)</f>
        <v>Threads of War</v>
      </c>
    </row>
    <row r="668" spans="1:3" x14ac:dyDescent="0.25">
      <c r="A668" s="5">
        <v>765</v>
      </c>
      <c r="B668" s="8" t="str">
        <f>VLOOKUP(A668,'Sets data'!$A$3:$C$9918,3,FALSE)</f>
        <v>Threads of War</v>
      </c>
      <c r="C668" s="8" t="str">
        <f>VLOOKUP(A668,'Sets data'!$A$3:$C$9918,2,FALSE)</f>
        <v>Threads of War</v>
      </c>
    </row>
    <row r="669" spans="1:3" x14ac:dyDescent="0.25">
      <c r="A669" s="5">
        <v>766</v>
      </c>
      <c r="B669" s="8" t="str">
        <f>VLOOKUP(A669,'Sets data'!$A$3:$C$9918,3,FALSE)</f>
        <v>Mora Scribe\'s Thesis</v>
      </c>
      <c r="C669" s="8" t="str">
        <f>VLOOKUP(A669,'Sets data'!$A$3:$C$9918,2,FALSE)</f>
        <v>Mora Scribe\'s Thesis</v>
      </c>
    </row>
    <row r="670" spans="1:3" x14ac:dyDescent="0.25">
      <c r="A670" s="5">
        <v>766</v>
      </c>
      <c r="B670" s="8" t="str">
        <f>VLOOKUP(A670,'Sets data'!$A$3:$C$9918,3,FALSE)</f>
        <v>Mora Scribe\'s Thesis</v>
      </c>
      <c r="C670" s="8" t="str">
        <f>VLOOKUP(A670,'Sets data'!$A$3:$C$9918,2,FALSE)</f>
        <v>Mora Scribe\'s Thesis</v>
      </c>
    </row>
    <row r="671" spans="1:3" x14ac:dyDescent="0.25">
      <c r="A671" s="5">
        <v>767</v>
      </c>
      <c r="B671" s="8" t="str">
        <f>VLOOKUP(A671,'Sets data'!$A$3:$C$9918,3,FALSE)</f>
        <v>Slivers of the Null Arca</v>
      </c>
      <c r="C671" s="8" t="str">
        <f>VLOOKUP(A671,'Sets data'!$A$3:$C$9918,2,FALSE)</f>
        <v>Slivers of the Null Arca</v>
      </c>
    </row>
    <row r="672" spans="1:3" x14ac:dyDescent="0.25">
      <c r="A672" s="5">
        <v>767</v>
      </c>
      <c r="B672" s="8" t="str">
        <f>VLOOKUP(A672,'Sets data'!$A$3:$C$9918,3,FALSE)</f>
        <v>Slivers of the Null Arca</v>
      </c>
      <c r="C672" s="8" t="str">
        <f>VLOOKUP(A672,'Sets data'!$A$3:$C$9918,2,FALSE)</f>
        <v>Slivers of the Null Arca</v>
      </c>
    </row>
    <row r="673" spans="1:3" x14ac:dyDescent="0.25">
      <c r="A673" s="5">
        <v>768</v>
      </c>
      <c r="B673" s="8" t="str">
        <f>VLOOKUP(A673,'Sets data'!$A$3:$C$9918,3,FALSE)</f>
        <v>Lucent Echoes</v>
      </c>
      <c r="C673" s="8" t="str">
        <f>VLOOKUP(A673,'Sets data'!$A$3:$C$9918,2,FALSE)</f>
        <v>Lucent Echoes</v>
      </c>
    </row>
    <row r="674" spans="1:3" x14ac:dyDescent="0.25">
      <c r="A674" s="5">
        <v>768</v>
      </c>
      <c r="B674" s="8" t="str">
        <f>VLOOKUP(A674,'Sets data'!$A$3:$C$9918,3,FALSE)</f>
        <v>Lucent Echoes</v>
      </c>
      <c r="C674" s="8" t="str">
        <f>VLOOKUP(A674,'Sets data'!$A$3:$C$9918,2,FALSE)</f>
        <v>Lucent Echoes</v>
      </c>
    </row>
    <row r="675" spans="1:3" x14ac:dyDescent="0.25">
      <c r="A675" s="5">
        <v>769</v>
      </c>
      <c r="B675" s="8" t="str">
        <f>VLOOKUP(A675,'Sets data'!$A$3:$C$9918,3,FALSE)</f>
        <v>Xoryn\'s Masterpiece</v>
      </c>
      <c r="C675" s="8" t="str">
        <f>VLOOKUP(A675,'Sets data'!$A$3:$C$9918,2,FALSE)</f>
        <v>Xoryn\'s Masterpiece</v>
      </c>
    </row>
    <row r="676" spans="1:3" x14ac:dyDescent="0.25">
      <c r="A676" s="5">
        <v>769</v>
      </c>
      <c r="B676" s="8" t="str">
        <f>VLOOKUP(A676,'Sets data'!$A$3:$C$9918,3,FALSE)</f>
        <v>Xoryn\'s Masterpiece</v>
      </c>
      <c r="C676" s="8" t="str">
        <f>VLOOKUP(A676,'Sets data'!$A$3:$C$9918,2,FALSE)</f>
        <v>Xoryn\'s Masterpiece</v>
      </c>
    </row>
    <row r="677" spans="1:3" x14ac:dyDescent="0.25">
      <c r="A677" s="5">
        <v>770</v>
      </c>
      <c r="B677" s="8" t="str">
        <f>VLOOKUP(A677,'Sets data'!$A$3:$C$9918,3,FALSE)</f>
        <v>Perfected Xoryn\'s Masterpiece</v>
      </c>
      <c r="C677" s="8" t="str">
        <f>VLOOKUP(A677,'Sets data'!$A$3:$C$9918,2,FALSE)</f>
        <v>Perfected Xoryn\'s Masterpiece</v>
      </c>
    </row>
    <row r="678" spans="1:3" x14ac:dyDescent="0.25">
      <c r="A678" s="5">
        <v>770</v>
      </c>
      <c r="B678" s="8" t="str">
        <f>VLOOKUP(A678,'Sets data'!$A$3:$C$9918,3,FALSE)</f>
        <v>Perfected Xoryn\'s Masterpiece</v>
      </c>
      <c r="C678" s="8" t="str">
        <f>VLOOKUP(A678,'Sets data'!$A$3:$C$9918,2,FALSE)</f>
        <v>Perfected Xoryn\'s Masterpiece</v>
      </c>
    </row>
    <row r="679" spans="1:3" x14ac:dyDescent="0.25">
      <c r="A679" s="5">
        <v>771</v>
      </c>
      <c r="B679" s="8" t="str">
        <f>VLOOKUP(A679,'Sets data'!$A$3:$C$9918,3,FALSE)</f>
        <v>Perfected Lucent Echoes</v>
      </c>
      <c r="C679" s="8" t="str">
        <f>VLOOKUP(A679,'Sets data'!$A$3:$C$9918,2,FALSE)</f>
        <v>Perfected Lucent Echoes</v>
      </c>
    </row>
    <row r="680" spans="1:3" x14ac:dyDescent="0.25">
      <c r="A680" s="5">
        <v>772</v>
      </c>
      <c r="B680" s="8" t="str">
        <f>VLOOKUP(A680,'Sets data'!$A$3:$C$9918,3,FALSE)</f>
        <v>Perfected Slivers of the Null Arca</v>
      </c>
      <c r="C680" s="8" t="str">
        <f>VLOOKUP(A680,'Sets data'!$A$3:$C$9918,2,FALSE)</f>
        <v>Perfected Slivers of the Null Arca</v>
      </c>
    </row>
    <row r="681" spans="1:3" x14ac:dyDescent="0.25">
      <c r="A681" s="5">
        <v>773</v>
      </c>
      <c r="B681" s="8" t="str">
        <f>VLOOKUP(A681,'Sets data'!$A$3:$C$9918,3,FALSE)</f>
        <v>Perfected Mora Scribe\'s Thesis</v>
      </c>
      <c r="C681" s="8" t="str">
        <f>VLOOKUP(A681,'Sets data'!$A$3:$C$9918,2,FALSE)</f>
        <v>Perfected Mora Scribe\'s Thesis</v>
      </c>
    </row>
    <row r="682" spans="1:3" x14ac:dyDescent="0.25">
      <c r="A682" s="5">
        <v>774</v>
      </c>
      <c r="B682" s="8" t="e">
        <f>VLOOKUP(A682,'Sets data'!$A$3:$C$9918,3,FALSE)</f>
        <v>#N/A</v>
      </c>
      <c r="C682" s="8" t="e">
        <f>VLOOKUP(A682,'Sets data'!$A$3:$C$9918,2,FALSE)</f>
        <v>#N/A</v>
      </c>
    </row>
    <row r="683" spans="1:3" x14ac:dyDescent="0.25">
      <c r="A683" s="5">
        <v>775</v>
      </c>
      <c r="B683" s="8" t="str">
        <f>VLOOKUP(A683,'Sets data'!$A$3:$C$9918,3,FALSE)</f>
        <v>Spattering Disjunction</v>
      </c>
      <c r="C683" s="8" t="str">
        <f>VLOOKUP(A683,'Sets data'!$A$3:$C$9918,2,FALSE)</f>
        <v>Spattering Disjunction</v>
      </c>
    </row>
    <row r="684" spans="1:3" x14ac:dyDescent="0.25">
      <c r="A684" s="5">
        <v>776</v>
      </c>
      <c r="B684" s="8" t="str">
        <f>VLOOKUP(A684,'Sets data'!$A$3:$C$9918,3,FALSE)</f>
        <v>Pyrebrand</v>
      </c>
      <c r="C684" s="8" t="str">
        <f>VLOOKUP(A684,'Sets data'!$A$3:$C$9918,2,FALSE)</f>
        <v>Pyrebrand</v>
      </c>
    </row>
    <row r="685" spans="1:3" x14ac:dyDescent="0.25">
      <c r="A685" s="5">
        <v>777</v>
      </c>
      <c r="B685" s="8" t="str">
        <f>VLOOKUP(A685,'Sets data'!$A$3:$C$9918,3,FALSE)</f>
        <v>Corpseburster</v>
      </c>
      <c r="C685" s="8" t="str">
        <f>VLOOKUP(A685,'Sets data'!$A$3:$C$9918,2,FALSE)</f>
        <v>Corpseburster</v>
      </c>
    </row>
    <row r="686" spans="1:3" x14ac:dyDescent="0.25">
      <c r="A686" s="5">
        <v>778</v>
      </c>
      <c r="B686" s="8" t="str">
        <f>VLOOKUP(A686,'Sets data'!$A$3:$C$9918,3,FALSE)</f>
        <v>Umbral Edge</v>
      </c>
      <c r="C686" s="8" t="str">
        <f>VLOOKUP(A686,'Sets data'!$A$3:$C$9918,2,FALSE)</f>
        <v>Umbral Edge</v>
      </c>
    </row>
    <row r="687" spans="1:3" x14ac:dyDescent="0.25">
      <c r="A687" s="5">
        <v>779</v>
      </c>
      <c r="B687" s="8" t="str">
        <f>VLOOKUP(A687,'Sets data'!$A$3:$C$9918,3,FALSE)</f>
        <v>Beacon of Oblivion</v>
      </c>
      <c r="C687" s="8" t="str">
        <f>VLOOKUP(A687,'Sets data'!$A$3:$C$9918,2,FALSE)</f>
        <v>Beacon of Oblivion</v>
      </c>
    </row>
    <row r="688" spans="1:3" x14ac:dyDescent="0.25">
      <c r="A688" s="5">
        <v>780</v>
      </c>
      <c r="B688" s="8" t="str">
        <f>VLOOKUP(A688,'Sets data'!$A$3:$C$9918,3,FALSE)</f>
        <v>Aetheric Lance</v>
      </c>
      <c r="C688" s="8" t="str">
        <f>VLOOKUP(A688,'Sets data'!$A$3:$C$9918,2,FALSE)</f>
        <v>Aetheric Lance</v>
      </c>
    </row>
    <row r="689" spans="1:3" x14ac:dyDescent="0.25">
      <c r="A689" s="5">
        <v>781</v>
      </c>
      <c r="B689" s="8" t="str">
        <f>VLOOKUP(A689,'Sets data'!$A$3:$C$9918,3,FALSE)</f>
        <v>Aerie\'s Cry</v>
      </c>
      <c r="C689" s="8" t="str">
        <f>VLOOKUP(A689,'Sets data'!$A$3:$C$9918,2,FALSE)</f>
        <v>Aerie\'s Cry</v>
      </c>
    </row>
    <row r="690" spans="1:3" x14ac:dyDescent="0.25">
      <c r="B690" s="8"/>
      <c r="C690" s="8"/>
    </row>
    <row r="691" spans="1:3" x14ac:dyDescent="0.25">
      <c r="B691" s="8"/>
      <c r="C691" s="8"/>
    </row>
    <row r="692" spans="1:3" x14ac:dyDescent="0.25">
      <c r="B692" s="8"/>
      <c r="C692" s="8"/>
    </row>
    <row r="693" spans="1:3" x14ac:dyDescent="0.25">
      <c r="B693" s="8"/>
      <c r="C693" s="8"/>
    </row>
    <row r="694" spans="1:3" x14ac:dyDescent="0.25">
      <c r="B694" s="8"/>
      <c r="C694" s="8"/>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D135" sqref="D135:D136"/>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4" t="s">
        <v>4042</v>
      </c>
      <c r="B1" s="114"/>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5"/>
    </row>
    <row r="2" spans="1:52" ht="30" x14ac:dyDescent="0.25">
      <c r="A2" s="10" t="s">
        <v>95</v>
      </c>
      <c r="B2" s="1" t="s">
        <v>93</v>
      </c>
      <c r="C2" s="1" t="s">
        <v>1341</v>
      </c>
      <c r="D2" s="3" t="s">
        <v>94</v>
      </c>
      <c r="E2" s="3" t="s">
        <v>1608</v>
      </c>
      <c r="F2" s="3" t="s">
        <v>1484</v>
      </c>
      <c r="G2" s="3" t="s">
        <v>1609</v>
      </c>
      <c r="H2" s="15" t="s">
        <v>1340</v>
      </c>
      <c r="I2" s="18" t="s">
        <v>1504</v>
      </c>
      <c r="J2" s="17" t="s">
        <v>1339</v>
      </c>
      <c r="K2" s="98" t="s">
        <v>3850</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3874</v>
      </c>
      <c r="B11" s="9" t="s">
        <v>91</v>
      </c>
      <c r="C11" s="29" t="s">
        <v>91</v>
      </c>
      <c r="D11" s="99">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3873</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1480</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1479</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1638</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1637</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1696</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3541</v>
      </c>
      <c r="B102" s="9" t="s">
        <v>91</v>
      </c>
      <c r="C102" t="s">
        <v>91</v>
      </c>
      <c r="D102" s="99">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1797</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2705</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2384</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2385</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2483</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2486</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78" t="s">
        <v>2704</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78" t="s">
        <v>2705</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3337</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78" t="s">
        <v>3374</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78" t="s">
        <v>3375</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78" t="s">
        <v>3538</v>
      </c>
      <c r="B124" s="9" t="s">
        <v>92</v>
      </c>
      <c r="C124" s="29" t="s">
        <v>92</v>
      </c>
      <c r="D124" s="89">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78" t="s">
        <v>3541</v>
      </c>
      <c r="B126" s="9" t="s">
        <v>92</v>
      </c>
      <c r="C126" t="s">
        <v>91</v>
      </c>
      <c r="D126" s="89">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3944</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25"/>
  <sheetViews>
    <sheetView zoomScale="85" zoomScaleNormal="85" workbookViewId="0">
      <pane xSplit="3" ySplit="2" topLeftCell="D690" activePane="bottomRight" state="frozen"/>
      <selection pane="topRight" activeCell="D1" sqref="D1"/>
      <selection pane="bottomLeft" activeCell="A2" sqref="A2"/>
      <selection pane="bottomRight" sqref="A1:L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6" t="s">
        <v>4041</v>
      </c>
      <c r="B1" s="116"/>
      <c r="C1" s="116"/>
      <c r="D1" s="116"/>
      <c r="E1" s="116"/>
      <c r="F1" s="116"/>
      <c r="G1" s="116"/>
      <c r="H1" s="116"/>
      <c r="I1" s="116"/>
      <c r="J1" s="116"/>
      <c r="K1" s="116"/>
      <c r="L1" s="117"/>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06">
        <v>-99</v>
      </c>
      <c r="B3" s="106" t="s">
        <v>3815</v>
      </c>
      <c r="C3" s="106"/>
      <c r="D3" s="100" t="s">
        <v>3814</v>
      </c>
      <c r="E3" s="100"/>
      <c r="F3" s="100" t="s">
        <v>3812</v>
      </c>
      <c r="G3" s="100" t="s">
        <v>3814</v>
      </c>
      <c r="H3" s="102">
        <v>-99</v>
      </c>
      <c r="I3" s="102">
        <v>-99</v>
      </c>
      <c r="J3" s="100"/>
      <c r="K3" s="100" t="str">
        <f>VLOOKUP(J3,'LibSets constants'!$A$4:$B$1017,2,FALSE)</f>
        <v>DLC_BASE_GAME</v>
      </c>
      <c r="L3" s="100" t="str">
        <f>VLOOKUP(J3,'LibSets constants'!$A$4:$C$1017,3,FALSE)</f>
        <v>Included in base game</v>
      </c>
    </row>
    <row r="4" spans="1:12" x14ac:dyDescent="0.25">
      <c r="A4" s="106">
        <v>-98</v>
      </c>
      <c r="B4" s="106" t="s">
        <v>3815</v>
      </c>
      <c r="C4" s="106"/>
      <c r="D4" s="101" t="s">
        <v>2365</v>
      </c>
      <c r="E4" s="100"/>
      <c r="F4" s="100" t="s">
        <v>3812</v>
      </c>
      <c r="G4" s="100" t="s">
        <v>3813</v>
      </c>
      <c r="H4" s="102">
        <v>-98</v>
      </c>
      <c r="I4" s="104">
        <v>-98</v>
      </c>
      <c r="J4" s="100"/>
      <c r="K4" s="100" t="str">
        <f>VLOOKUP(J4,'LibSets constants'!$A$4:$B$1017,2,FALSE)</f>
        <v>DLC_BASE_GAME</v>
      </c>
      <c r="L4" s="100" t="str">
        <f>VLOOKUP(J4,'LibSets constants'!$A$4:$C$1017,3,FALSE)</f>
        <v>Included in base game</v>
      </c>
    </row>
    <row r="5" spans="1:12" x14ac:dyDescent="0.25">
      <c r="A5" s="107">
        <v>0</v>
      </c>
      <c r="B5" s="107">
        <v>4294967296</v>
      </c>
      <c r="C5" s="107">
        <v>0</v>
      </c>
      <c r="D5" s="41" t="s">
        <v>2220</v>
      </c>
      <c r="E5" s="41" t="str">
        <f t="array" ref="E5">IF(OR(EXACT(A5,'ESO Dungeon constants'!$D$3:$D$987)),"X","")</f>
        <v/>
      </c>
      <c r="F5" s="41" t="str">
        <f t="shared" ref="F5:F68" si="0">IF(EXACT(A5,C5),"X","")</f>
        <v>X</v>
      </c>
      <c r="G5" s="41" t="str">
        <f t="shared" ref="G5:G68" si="1">IF(A5&lt;&gt;C5,VLOOKUP(C5,$A$5:$D$9954,4,FALSE),"")</f>
        <v/>
      </c>
      <c r="H5" s="103">
        <f t="shared" ref="H5:H68" si="2">A5</f>
        <v>0</v>
      </c>
      <c r="I5" s="103">
        <f t="shared" ref="I5:I68" si="3">C5</f>
        <v>0</v>
      </c>
      <c r="J5" s="40">
        <v>0</v>
      </c>
      <c r="K5" s="41" t="str">
        <f>VLOOKUP(J5,'LibSets constants'!$A$4:$B$1017,2,FALSE)</f>
        <v>DLC_BASE_GAME</v>
      </c>
      <c r="L5" s="41" t="str">
        <f>VLOOKUP(J5,'LibSets constants'!$A$4:$C$1017,3,FALSE)</f>
        <v>Included in base game</v>
      </c>
    </row>
    <row r="6" spans="1:12"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x14ac:dyDescent="0.25">
      <c r="A8">
        <v>11</v>
      </c>
      <c r="B8">
        <v>3</v>
      </c>
      <c r="C8" s="45">
        <v>347</v>
      </c>
      <c r="D8" t="s">
        <v>47</v>
      </c>
      <c r="E8" s="41" t="str">
        <f t="array" ref="E8">IF(OR(EXACT(A8,'ESO Dungeon constants'!$D$3:$D$987)),"X","")</f>
        <v>X</v>
      </c>
      <c r="F8" s="41" t="str">
        <f t="shared" si="0"/>
        <v/>
      </c>
      <c r="G8" s="41" t="str">
        <f t="shared" si="1"/>
        <v>Coldharbour</v>
      </c>
      <c r="H8" s="103">
        <f t="shared" si="2"/>
        <v>11</v>
      </c>
      <c r="I8" s="103">
        <f t="shared" si="3"/>
        <v>347</v>
      </c>
      <c r="J8" s="40">
        <v>0</v>
      </c>
      <c r="K8" s="41" t="str">
        <f>VLOOKUP(J8,'LibSets constants'!$A$4:$B$1017,2,FALSE)</f>
        <v>DLC_BASE_GAME</v>
      </c>
      <c r="L8" s="41" t="str">
        <f>VLOOKUP(J8,'LibSets constants'!$A$4:$C$1017,3,FALSE)</f>
        <v>Included in base game</v>
      </c>
    </row>
    <row r="9" spans="1:12"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x14ac:dyDescent="0.25">
      <c r="A41">
        <v>174</v>
      </c>
      <c r="B41">
        <v>36</v>
      </c>
      <c r="C41" s="45">
        <v>174</v>
      </c>
      <c r="D41" t="s">
        <v>3891</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x14ac:dyDescent="0.25">
      <c r="A69">
        <v>227</v>
      </c>
      <c r="B69">
        <v>64</v>
      </c>
      <c r="C69" s="45">
        <v>92</v>
      </c>
      <c r="D69" t="s">
        <v>3892</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x14ac:dyDescent="0.25">
      <c r="A129">
        <v>311</v>
      </c>
      <c r="B129">
        <v>124</v>
      </c>
      <c r="C129" s="45">
        <v>3</v>
      </c>
      <c r="D129" t="s">
        <v>3894</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x14ac:dyDescent="0.25">
      <c r="A251">
        <v>460</v>
      </c>
      <c r="B251">
        <v>246</v>
      </c>
      <c r="C251" s="45">
        <v>382</v>
      </c>
      <c r="D251" t="s">
        <v>3960</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x14ac:dyDescent="0.25">
      <c r="A298">
        <v>515</v>
      </c>
      <c r="B298">
        <v>293</v>
      </c>
      <c r="C298" s="45">
        <v>515</v>
      </c>
      <c r="D298" t="s">
        <v>1488</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x14ac:dyDescent="0.25">
      <c r="A440">
        <v>774</v>
      </c>
      <c r="B440">
        <v>435</v>
      </c>
      <c r="C440" s="45">
        <v>1086</v>
      </c>
      <c r="D440" t="s">
        <v>1410</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x14ac:dyDescent="0.25">
      <c r="A442">
        <v>808</v>
      </c>
      <c r="B442">
        <v>437</v>
      </c>
      <c r="C442" s="45">
        <v>1160</v>
      </c>
      <c r="D442" t="s">
        <v>1703</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x14ac:dyDescent="0.25">
      <c r="A513">
        <v>895</v>
      </c>
      <c r="B513">
        <v>508</v>
      </c>
      <c r="C513" s="45">
        <v>888</v>
      </c>
      <c r="D513" t="s">
        <v>2414</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x14ac:dyDescent="0.25">
      <c r="A525">
        <v>907</v>
      </c>
      <c r="B525">
        <v>520</v>
      </c>
      <c r="C525" s="45">
        <v>888</v>
      </c>
      <c r="D525" t="s">
        <v>3901</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x14ac:dyDescent="0.25">
      <c r="A626">
        <v>1015</v>
      </c>
      <c r="B626">
        <v>621</v>
      </c>
      <c r="C626" s="45">
        <v>1011</v>
      </c>
      <c r="D626" t="s">
        <v>666</v>
      </c>
      <c r="E626" s="3" t="s">
        <v>3812</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x14ac:dyDescent="0.25">
      <c r="A633">
        <v>1022</v>
      </c>
      <c r="B633">
        <v>628</v>
      </c>
      <c r="C633" s="45">
        <v>1011</v>
      </c>
      <c r="D633" t="s">
        <v>673</v>
      </c>
      <c r="F633" s="3" t="str">
        <f t="shared" si="36"/>
        <v/>
      </c>
      <c r="G633" s="3" t="str">
        <f t="shared" si="37"/>
        <v>Summerset</v>
      </c>
      <c r="H633" s="17">
        <f t="shared" si="38"/>
        <v>1022</v>
      </c>
      <c r="I633" s="17">
        <f t="shared" si="39"/>
        <v>1011</v>
      </c>
      <c r="J633">
        <v>35</v>
      </c>
      <c r="K633" s="3" t="str">
        <f>VLOOKUP(J633,'LibSets constants'!$A$4:$B$1017,2,FALSE)</f>
        <v>NO_DLC_UPDATE43</v>
      </c>
      <c r="L633" s="3" t="str">
        <f>VLOOKUP(J633,'LibSets constants'!$A$4:$C$1017,3,FALSE)</f>
        <v>Patch 43, House tours, QOL and other</v>
      </c>
    </row>
    <row r="634" spans="1:12"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x14ac:dyDescent="0.25">
      <c r="A635">
        <v>1024</v>
      </c>
      <c r="B635">
        <v>630</v>
      </c>
      <c r="C635" s="45">
        <v>1011</v>
      </c>
      <c r="D635" t="s">
        <v>675</v>
      </c>
      <c r="E635" s="41" t="str">
        <f t="array" ref="E635">IF(OR(EXACT(A635,'ESO Dungeon constants'!$D$3:$D$987)),"X","")</f>
        <v/>
      </c>
      <c r="F635" s="41" t="str">
        <f t="shared" si="36"/>
        <v/>
      </c>
      <c r="G635" s="41" t="str">
        <f t="shared" si="37"/>
        <v>Summerset</v>
      </c>
      <c r="H635" s="103">
        <f t="shared" si="38"/>
        <v>1024</v>
      </c>
      <c r="I635" s="103">
        <f t="shared" si="39"/>
        <v>1011</v>
      </c>
      <c r="J635" s="40">
        <v>0</v>
      </c>
      <c r="K635" s="41" t="str">
        <f>VLOOKUP(J635,'LibSets constants'!$A$4:$B$1017,2,FALSE)</f>
        <v>DLC_BASE_GAME</v>
      </c>
      <c r="L635" s="41" t="str">
        <f>VLOOKUP(J635,'LibSets constants'!$A$4:$C$1017,3,FALSE)</f>
        <v>Included in base game</v>
      </c>
    </row>
    <row r="636" spans="1:12"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x14ac:dyDescent="0.25">
      <c r="A687">
        <v>1086</v>
      </c>
      <c r="B687">
        <v>682</v>
      </c>
      <c r="C687" s="45">
        <v>1086</v>
      </c>
      <c r="D687" t="s">
        <v>1384</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x14ac:dyDescent="0.25">
      <c r="A688">
        <v>1088</v>
      </c>
      <c r="B688">
        <v>683</v>
      </c>
      <c r="C688" s="45">
        <v>1086</v>
      </c>
      <c r="D688" t="s">
        <v>1411</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x14ac:dyDescent="0.25">
      <c r="A689">
        <v>1089</v>
      </c>
      <c r="B689">
        <v>684</v>
      </c>
      <c r="C689" s="45">
        <v>1086</v>
      </c>
      <c r="D689" t="s">
        <v>1385</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x14ac:dyDescent="0.25">
      <c r="A690">
        <v>1090</v>
      </c>
      <c r="B690">
        <v>685</v>
      </c>
      <c r="C690" s="45">
        <v>1086</v>
      </c>
      <c r="D690" t="s">
        <v>1386</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x14ac:dyDescent="0.25">
      <c r="A691">
        <v>1091</v>
      </c>
      <c r="B691">
        <v>686</v>
      </c>
      <c r="C691" s="45">
        <v>1086</v>
      </c>
      <c r="D691" t="s">
        <v>1387</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x14ac:dyDescent="0.25">
      <c r="A692">
        <v>1092</v>
      </c>
      <c r="B692">
        <v>687</v>
      </c>
      <c r="C692" s="45">
        <v>1086</v>
      </c>
      <c r="D692" t="s">
        <v>1388</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x14ac:dyDescent="0.25">
      <c r="A693">
        <v>1094</v>
      </c>
      <c r="B693">
        <v>688</v>
      </c>
      <c r="C693" s="45">
        <v>1086</v>
      </c>
      <c r="D693" t="s">
        <v>1389</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x14ac:dyDescent="0.25">
      <c r="A694">
        <v>1095</v>
      </c>
      <c r="B694">
        <v>689</v>
      </c>
      <c r="C694" s="45">
        <v>1086</v>
      </c>
      <c r="D694" t="s">
        <v>1390</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x14ac:dyDescent="0.25">
      <c r="A695">
        <v>1096</v>
      </c>
      <c r="B695">
        <v>690</v>
      </c>
      <c r="C695" s="45">
        <v>1086</v>
      </c>
      <c r="D695" t="s">
        <v>1391</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x14ac:dyDescent="0.25">
      <c r="A696">
        <v>1097</v>
      </c>
      <c r="B696">
        <v>691</v>
      </c>
      <c r="C696" s="45">
        <v>1086</v>
      </c>
      <c r="D696" t="s">
        <v>1392</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x14ac:dyDescent="0.25">
      <c r="A697">
        <v>1098</v>
      </c>
      <c r="B697">
        <v>692</v>
      </c>
      <c r="C697" s="45">
        <v>1086</v>
      </c>
      <c r="D697" t="s">
        <v>1393</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x14ac:dyDescent="0.25">
      <c r="A698">
        <v>1099</v>
      </c>
      <c r="B698">
        <v>693</v>
      </c>
      <c r="C698" s="45">
        <v>1086</v>
      </c>
      <c r="D698" t="s">
        <v>1394</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x14ac:dyDescent="0.25">
      <c r="A699">
        <v>1101</v>
      </c>
      <c r="B699">
        <v>694</v>
      </c>
      <c r="C699" s="45">
        <v>1086</v>
      </c>
      <c r="D699" t="s">
        <v>1395</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x14ac:dyDescent="0.25">
      <c r="A700">
        <v>1102</v>
      </c>
      <c r="B700">
        <v>695</v>
      </c>
      <c r="C700" s="45">
        <v>1086</v>
      </c>
      <c r="D700" t="s">
        <v>1396</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x14ac:dyDescent="0.25">
      <c r="A701">
        <v>1103</v>
      </c>
      <c r="B701">
        <v>696</v>
      </c>
      <c r="C701" s="45">
        <v>1086</v>
      </c>
      <c r="D701" t="s">
        <v>1397</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x14ac:dyDescent="0.25">
      <c r="A702">
        <v>1105</v>
      </c>
      <c r="B702">
        <v>697</v>
      </c>
      <c r="C702" s="45">
        <v>1086</v>
      </c>
      <c r="D702" t="s">
        <v>1398</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x14ac:dyDescent="0.25">
      <c r="A703">
        <v>1106</v>
      </c>
      <c r="B703">
        <v>698</v>
      </c>
      <c r="C703" s="45">
        <v>1086</v>
      </c>
      <c r="D703" t="s">
        <v>1399</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x14ac:dyDescent="0.25">
      <c r="A707">
        <v>1110</v>
      </c>
      <c r="B707">
        <v>702</v>
      </c>
      <c r="C707" s="45">
        <v>1086</v>
      </c>
      <c r="D707" t="s">
        <v>1400</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x14ac:dyDescent="0.25">
      <c r="A708">
        <v>1111</v>
      </c>
      <c r="B708">
        <v>703</v>
      </c>
      <c r="C708" s="45">
        <v>1086</v>
      </c>
      <c r="D708" t="s">
        <v>1401</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x14ac:dyDescent="0.25">
      <c r="A709">
        <v>1112</v>
      </c>
      <c r="B709">
        <v>704</v>
      </c>
      <c r="C709" s="45">
        <v>1086</v>
      </c>
      <c r="D709" t="s">
        <v>1402</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x14ac:dyDescent="0.25">
      <c r="A710">
        <v>1113</v>
      </c>
      <c r="B710">
        <v>705</v>
      </c>
      <c r="C710" s="45">
        <v>1086</v>
      </c>
      <c r="D710" t="s">
        <v>1403</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x14ac:dyDescent="0.25">
      <c r="A711">
        <v>1114</v>
      </c>
      <c r="B711">
        <v>706</v>
      </c>
      <c r="C711" s="45">
        <v>1086</v>
      </c>
      <c r="D711" t="s">
        <v>1404</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x14ac:dyDescent="0.25">
      <c r="A712">
        <v>1115</v>
      </c>
      <c r="B712">
        <v>707</v>
      </c>
      <c r="C712" s="45">
        <v>1086</v>
      </c>
      <c r="D712" t="s">
        <v>1405</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x14ac:dyDescent="0.25">
      <c r="A714">
        <v>1117</v>
      </c>
      <c r="B714">
        <v>709</v>
      </c>
      <c r="C714" s="45">
        <v>1086</v>
      </c>
      <c r="D714" t="s">
        <v>1406</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x14ac:dyDescent="0.25">
      <c r="A715">
        <v>1118</v>
      </c>
      <c r="B715">
        <v>710</v>
      </c>
      <c r="C715" s="45">
        <v>1086</v>
      </c>
      <c r="D715" t="s">
        <v>1407</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x14ac:dyDescent="0.25">
      <c r="A716">
        <v>1119</v>
      </c>
      <c r="B716">
        <v>711</v>
      </c>
      <c r="C716" s="45">
        <v>1086</v>
      </c>
      <c r="D716" t="s">
        <v>1408</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x14ac:dyDescent="0.25">
      <c r="A717">
        <v>1120</v>
      </c>
      <c r="B717">
        <v>712</v>
      </c>
      <c r="C717" s="45">
        <v>1086</v>
      </c>
      <c r="D717" t="s">
        <v>1409</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x14ac:dyDescent="0.25">
      <c r="A719">
        <v>1122</v>
      </c>
      <c r="B719">
        <v>714</v>
      </c>
      <c r="C719" s="45">
        <v>1086</v>
      </c>
      <c r="D719" t="s">
        <v>1479</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x14ac:dyDescent="0.25">
      <c r="A720">
        <v>1123</v>
      </c>
      <c r="B720">
        <v>715</v>
      </c>
      <c r="C720" s="45">
        <v>383</v>
      </c>
      <c r="D720" t="s">
        <v>1480</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x14ac:dyDescent="0.25">
      <c r="A726">
        <v>1133</v>
      </c>
      <c r="B726">
        <v>721</v>
      </c>
      <c r="C726" s="45">
        <v>1133</v>
      </c>
      <c r="D726" t="s">
        <v>1577</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x14ac:dyDescent="0.25">
      <c r="A727">
        <v>1134</v>
      </c>
      <c r="B727">
        <v>722</v>
      </c>
      <c r="C727" s="45">
        <v>1133</v>
      </c>
      <c r="D727" t="s">
        <v>1578</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x14ac:dyDescent="0.25">
      <c r="A728">
        <v>1135</v>
      </c>
      <c r="B728">
        <v>723</v>
      </c>
      <c r="C728" s="45">
        <v>1133</v>
      </c>
      <c r="D728" t="s">
        <v>1579</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x14ac:dyDescent="0.25">
      <c r="A729">
        <v>1136</v>
      </c>
      <c r="B729">
        <v>724</v>
      </c>
      <c r="C729" s="45">
        <v>1133</v>
      </c>
      <c r="D729" t="s">
        <v>1580</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x14ac:dyDescent="0.25">
      <c r="A730">
        <v>1137</v>
      </c>
      <c r="B730">
        <v>725</v>
      </c>
      <c r="C730" s="45">
        <v>1133</v>
      </c>
      <c r="D730" t="s">
        <v>1581</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x14ac:dyDescent="0.25">
      <c r="A731">
        <v>1138</v>
      </c>
      <c r="B731">
        <v>726</v>
      </c>
      <c r="C731" s="45">
        <v>1133</v>
      </c>
      <c r="D731" t="s">
        <v>1483</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x14ac:dyDescent="0.25">
      <c r="A732">
        <v>1139</v>
      </c>
      <c r="B732">
        <v>727</v>
      </c>
      <c r="C732" s="45">
        <v>1133</v>
      </c>
      <c r="D732" t="s">
        <v>1582</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x14ac:dyDescent="0.25">
      <c r="A733">
        <v>1140</v>
      </c>
      <c r="B733">
        <v>728</v>
      </c>
      <c r="C733" s="45">
        <v>104</v>
      </c>
      <c r="D733" t="s">
        <v>1485</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x14ac:dyDescent="0.25">
      <c r="A734">
        <v>1141</v>
      </c>
      <c r="B734">
        <v>729</v>
      </c>
      <c r="C734" s="45">
        <v>101</v>
      </c>
      <c r="D734" t="s">
        <v>1491</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x14ac:dyDescent="0.25">
      <c r="A736">
        <v>1143</v>
      </c>
      <c r="B736">
        <v>731</v>
      </c>
      <c r="C736" s="45">
        <v>19</v>
      </c>
      <c r="D736" t="s">
        <v>1486</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x14ac:dyDescent="0.25">
      <c r="A737">
        <v>1144</v>
      </c>
      <c r="B737">
        <v>732</v>
      </c>
      <c r="C737" s="45">
        <v>1144</v>
      </c>
      <c r="D737" t="s">
        <v>1487</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x14ac:dyDescent="0.25">
      <c r="A738">
        <v>1145</v>
      </c>
      <c r="B738">
        <v>733</v>
      </c>
      <c r="C738" s="45">
        <v>1133</v>
      </c>
      <c r="D738" t="s">
        <v>1583</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x14ac:dyDescent="0.25">
      <c r="A739">
        <v>1146</v>
      </c>
      <c r="B739">
        <v>734</v>
      </c>
      <c r="C739" s="45">
        <v>1133</v>
      </c>
      <c r="D739" t="s">
        <v>1584</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x14ac:dyDescent="0.25">
      <c r="A740">
        <v>1147</v>
      </c>
      <c r="B740">
        <v>735</v>
      </c>
      <c r="C740" s="45">
        <v>1133</v>
      </c>
      <c r="D740" t="s">
        <v>1585</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x14ac:dyDescent="0.25">
      <c r="A741">
        <v>1148</v>
      </c>
      <c r="B741">
        <v>736</v>
      </c>
      <c r="C741" s="45">
        <v>1133</v>
      </c>
      <c r="D741" t="s">
        <v>1589</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x14ac:dyDescent="0.25">
      <c r="A742">
        <v>1149</v>
      </c>
      <c r="B742">
        <v>737</v>
      </c>
      <c r="C742" s="45">
        <v>1133</v>
      </c>
      <c r="D742" t="s">
        <v>1586</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x14ac:dyDescent="0.25">
      <c r="A743">
        <v>1150</v>
      </c>
      <c r="B743">
        <v>738</v>
      </c>
      <c r="C743" s="45">
        <v>1133</v>
      </c>
      <c r="D743" t="s">
        <v>1588</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x14ac:dyDescent="0.25">
      <c r="A744">
        <v>1151</v>
      </c>
      <c r="B744">
        <v>739</v>
      </c>
      <c r="C744" s="45">
        <v>1133</v>
      </c>
      <c r="D744" t="s">
        <v>1587</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x14ac:dyDescent="0.25">
      <c r="A745">
        <v>1152</v>
      </c>
      <c r="B745">
        <v>740</v>
      </c>
      <c r="C745" s="45">
        <v>684</v>
      </c>
      <c r="D745" t="s">
        <v>1638</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x14ac:dyDescent="0.25">
      <c r="A746">
        <v>1153</v>
      </c>
      <c r="B746">
        <v>741</v>
      </c>
      <c r="C746" s="45">
        <v>92</v>
      </c>
      <c r="D746" t="s">
        <v>1637</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x14ac:dyDescent="0.25">
      <c r="A747">
        <v>1154</v>
      </c>
      <c r="B747">
        <v>742</v>
      </c>
      <c r="C747" s="45">
        <v>1086</v>
      </c>
      <c r="D747" t="s">
        <v>1489</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x14ac:dyDescent="0.25">
      <c r="A748">
        <v>1155</v>
      </c>
      <c r="B748">
        <v>743</v>
      </c>
      <c r="C748" s="45">
        <v>20</v>
      </c>
      <c r="D748" t="s">
        <v>1490</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x14ac:dyDescent="0.25">
      <c r="A749">
        <v>1160</v>
      </c>
      <c r="B749">
        <v>744</v>
      </c>
      <c r="C749" s="45">
        <v>1160</v>
      </c>
      <c r="D749" t="s">
        <v>1677</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x14ac:dyDescent="0.25">
      <c r="A750">
        <v>1161</v>
      </c>
      <c r="B750">
        <v>745</v>
      </c>
      <c r="C750" s="45">
        <v>1161</v>
      </c>
      <c r="D750" t="s">
        <v>1707</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x14ac:dyDescent="0.25">
      <c r="A751">
        <v>1165</v>
      </c>
      <c r="B751">
        <v>746</v>
      </c>
      <c r="C751" s="45">
        <v>1161</v>
      </c>
      <c r="D751" t="s">
        <v>1678</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x14ac:dyDescent="0.25">
      <c r="A752">
        <v>1166</v>
      </c>
      <c r="B752">
        <v>747</v>
      </c>
      <c r="C752" s="45">
        <v>1160</v>
      </c>
      <c r="D752" t="s">
        <v>1706</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x14ac:dyDescent="0.25">
      <c r="A753">
        <v>1167</v>
      </c>
      <c r="B753">
        <v>748</v>
      </c>
      <c r="C753" s="45">
        <v>1160</v>
      </c>
      <c r="D753" t="s">
        <v>1679</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x14ac:dyDescent="0.25">
      <c r="A754">
        <v>1168</v>
      </c>
      <c r="B754">
        <v>749</v>
      </c>
      <c r="C754" s="45">
        <v>1160</v>
      </c>
      <c r="D754" t="s">
        <v>1705</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x14ac:dyDescent="0.25">
      <c r="A755">
        <v>1169</v>
      </c>
      <c r="B755">
        <v>750</v>
      </c>
      <c r="C755" s="45">
        <v>1160</v>
      </c>
      <c r="D755" t="s">
        <v>1680</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x14ac:dyDescent="0.25">
      <c r="A756">
        <v>1170</v>
      </c>
      <c r="B756">
        <v>751</v>
      </c>
      <c r="C756" s="45">
        <v>1160</v>
      </c>
      <c r="D756" t="s">
        <v>1704</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x14ac:dyDescent="0.25">
      <c r="A757">
        <v>1171</v>
      </c>
      <c r="B757">
        <v>752</v>
      </c>
      <c r="C757" s="45">
        <v>1161</v>
      </c>
      <c r="D757" t="s">
        <v>1681</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x14ac:dyDescent="0.25">
      <c r="A758">
        <v>1172</v>
      </c>
      <c r="B758">
        <v>753</v>
      </c>
      <c r="C758" s="45">
        <v>1161</v>
      </c>
      <c r="D758" t="s">
        <v>1702</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x14ac:dyDescent="0.25">
      <c r="A759">
        <v>1173</v>
      </c>
      <c r="B759">
        <v>754</v>
      </c>
      <c r="C759" s="45">
        <v>1161</v>
      </c>
      <c r="D759" t="s">
        <v>1682</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x14ac:dyDescent="0.25">
      <c r="A760">
        <v>1174</v>
      </c>
      <c r="B760">
        <v>755</v>
      </c>
      <c r="C760" s="45">
        <v>1160</v>
      </c>
      <c r="D760" t="s">
        <v>1683</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x14ac:dyDescent="0.25">
      <c r="A761">
        <v>1175</v>
      </c>
      <c r="B761">
        <v>756</v>
      </c>
      <c r="C761" s="45">
        <v>1175</v>
      </c>
      <c r="D761" t="s">
        <v>1684</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x14ac:dyDescent="0.25">
      <c r="A762">
        <v>1176</v>
      </c>
      <c r="B762">
        <v>757</v>
      </c>
      <c r="C762" s="45">
        <v>1160</v>
      </c>
      <c r="D762" t="s">
        <v>1685</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x14ac:dyDescent="0.25">
      <c r="A763">
        <v>1177</v>
      </c>
      <c r="B763">
        <v>758</v>
      </c>
      <c r="C763" s="45">
        <v>1160</v>
      </c>
      <c r="D763" t="s">
        <v>1686</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x14ac:dyDescent="0.25">
      <c r="A764">
        <v>1178</v>
      </c>
      <c r="B764">
        <v>759</v>
      </c>
      <c r="C764" s="45">
        <v>1160</v>
      </c>
      <c r="D764" t="s">
        <v>1687</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x14ac:dyDescent="0.25">
      <c r="A765">
        <v>1179</v>
      </c>
      <c r="B765">
        <v>760</v>
      </c>
      <c r="C765" s="45">
        <v>1160</v>
      </c>
      <c r="D765" t="s">
        <v>1688</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x14ac:dyDescent="0.25">
      <c r="A766">
        <v>1180</v>
      </c>
      <c r="B766">
        <v>761</v>
      </c>
      <c r="C766" s="45">
        <v>383</v>
      </c>
      <c r="D766" t="s">
        <v>2386</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x14ac:dyDescent="0.25">
      <c r="A767">
        <v>1181</v>
      </c>
      <c r="B767">
        <v>762</v>
      </c>
      <c r="C767" s="45">
        <v>1161</v>
      </c>
      <c r="D767" t="s">
        <v>1689</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x14ac:dyDescent="0.25">
      <c r="A768">
        <v>1182</v>
      </c>
      <c r="B768">
        <v>763</v>
      </c>
      <c r="C768" s="45">
        <v>1160</v>
      </c>
      <c r="D768" t="s">
        <v>1690</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x14ac:dyDescent="0.25">
      <c r="A769">
        <v>1183</v>
      </c>
      <c r="B769">
        <v>764</v>
      </c>
      <c r="C769" s="45">
        <v>1161</v>
      </c>
      <c r="D769" t="s">
        <v>1701</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x14ac:dyDescent="0.25">
      <c r="A770">
        <v>1184</v>
      </c>
      <c r="B770">
        <v>765</v>
      </c>
      <c r="C770" s="45">
        <v>1161</v>
      </c>
      <c r="D770" t="s">
        <v>1691</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x14ac:dyDescent="0.25">
      <c r="A771">
        <v>1185</v>
      </c>
      <c r="B771">
        <v>766</v>
      </c>
      <c r="C771" s="45">
        <v>1160</v>
      </c>
      <c r="D771" t="s">
        <v>1692</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x14ac:dyDescent="0.25">
      <c r="A772">
        <v>1186</v>
      </c>
      <c r="B772">
        <v>767</v>
      </c>
      <c r="C772" s="45">
        <v>1160</v>
      </c>
      <c r="D772" t="s">
        <v>1700</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x14ac:dyDescent="0.25">
      <c r="A773">
        <v>1187</v>
      </c>
      <c r="B773">
        <v>768</v>
      </c>
      <c r="C773" s="45">
        <v>1161</v>
      </c>
      <c r="D773" t="s">
        <v>1693</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x14ac:dyDescent="0.25">
      <c r="A774">
        <v>1188</v>
      </c>
      <c r="B774">
        <v>769</v>
      </c>
      <c r="C774" s="45">
        <v>101</v>
      </c>
      <c r="D774" t="s">
        <v>1694</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x14ac:dyDescent="0.25">
      <c r="A775">
        <v>1189</v>
      </c>
      <c r="B775">
        <v>770</v>
      </c>
      <c r="C775" s="45">
        <v>101</v>
      </c>
      <c r="D775" t="s">
        <v>1694</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x14ac:dyDescent="0.25">
      <c r="A776">
        <v>1190</v>
      </c>
      <c r="B776">
        <v>771</v>
      </c>
      <c r="C776" s="45">
        <v>103</v>
      </c>
      <c r="D776" t="s">
        <v>1650</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x14ac:dyDescent="0.25">
      <c r="A777">
        <v>1191</v>
      </c>
      <c r="B777">
        <v>772</v>
      </c>
      <c r="C777" s="45">
        <v>101</v>
      </c>
      <c r="D777" t="s">
        <v>1649</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x14ac:dyDescent="0.25">
      <c r="A778">
        <v>1192</v>
      </c>
      <c r="B778">
        <v>773</v>
      </c>
      <c r="C778" s="45">
        <v>1133</v>
      </c>
      <c r="D778" t="s">
        <v>1590</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x14ac:dyDescent="0.25">
      <c r="A779">
        <v>1193</v>
      </c>
      <c r="B779">
        <v>774</v>
      </c>
      <c r="C779" s="45">
        <v>1133</v>
      </c>
      <c r="D779" t="s">
        <v>1591</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x14ac:dyDescent="0.25">
      <c r="A780">
        <v>1195</v>
      </c>
      <c r="B780">
        <v>775</v>
      </c>
      <c r="C780" s="45">
        <v>1161</v>
      </c>
      <c r="D780" t="s">
        <v>1695</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x14ac:dyDescent="0.25">
      <c r="A781">
        <v>1196</v>
      </c>
      <c r="B781">
        <v>776</v>
      </c>
      <c r="C781" s="45">
        <v>1160</v>
      </c>
      <c r="D781" t="s">
        <v>1696</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x14ac:dyDescent="0.25">
      <c r="A782">
        <v>1197</v>
      </c>
      <c r="B782">
        <v>777</v>
      </c>
      <c r="C782" s="45">
        <v>1161</v>
      </c>
      <c r="D782" t="s">
        <v>1797</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x14ac:dyDescent="0.25">
      <c r="A783">
        <v>1199</v>
      </c>
      <c r="B783">
        <v>778</v>
      </c>
      <c r="C783" s="45">
        <v>684</v>
      </c>
      <c r="D783" t="s">
        <v>1648</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x14ac:dyDescent="0.25">
      <c r="A784">
        <v>1200</v>
      </c>
      <c r="B784">
        <v>779</v>
      </c>
      <c r="C784" s="45">
        <v>92</v>
      </c>
      <c r="D784" t="s">
        <v>1647</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x14ac:dyDescent="0.25">
      <c r="A785">
        <v>1201</v>
      </c>
      <c r="B785">
        <v>780</v>
      </c>
      <c r="C785" s="45">
        <v>1160</v>
      </c>
      <c r="D785" t="s">
        <v>1792</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x14ac:dyDescent="0.25">
      <c r="A786">
        <v>1204</v>
      </c>
      <c r="B786">
        <v>781</v>
      </c>
      <c r="C786" s="45">
        <v>1204</v>
      </c>
      <c r="D786" t="s">
        <v>2142</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x14ac:dyDescent="0.25">
      <c r="A787">
        <v>1205</v>
      </c>
      <c r="B787">
        <v>782</v>
      </c>
      <c r="C787" s="45">
        <v>20</v>
      </c>
      <c r="D787" t="s">
        <v>2144</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x14ac:dyDescent="0.25">
      <c r="A788">
        <v>1206</v>
      </c>
      <c r="B788">
        <v>783</v>
      </c>
      <c r="C788" s="45">
        <v>20</v>
      </c>
      <c r="D788" t="s">
        <v>2143</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x14ac:dyDescent="0.25">
      <c r="A789">
        <v>1207</v>
      </c>
      <c r="B789">
        <v>784</v>
      </c>
      <c r="C789" s="45">
        <v>1207</v>
      </c>
      <c r="D789" t="s">
        <v>2203</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x14ac:dyDescent="0.25">
      <c r="A790">
        <v>1208</v>
      </c>
      <c r="B790">
        <v>785</v>
      </c>
      <c r="C790" s="45">
        <v>1208</v>
      </c>
      <c r="D790" t="s">
        <v>2204</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x14ac:dyDescent="0.25">
      <c r="A791">
        <v>1209</v>
      </c>
      <c r="B791">
        <v>786</v>
      </c>
      <c r="C791" s="45">
        <v>1207</v>
      </c>
      <c r="D791" t="s">
        <v>2205</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x14ac:dyDescent="0.25">
      <c r="A792">
        <v>1210</v>
      </c>
      <c r="B792">
        <v>787</v>
      </c>
      <c r="C792" s="45">
        <v>1207</v>
      </c>
      <c r="D792" t="s">
        <v>2206</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x14ac:dyDescent="0.25">
      <c r="A793">
        <v>1211</v>
      </c>
      <c r="B793">
        <v>788</v>
      </c>
      <c r="C793" s="45">
        <v>1207</v>
      </c>
      <c r="D793" t="s">
        <v>2218</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x14ac:dyDescent="0.25">
      <c r="A794">
        <v>1212</v>
      </c>
      <c r="B794">
        <v>789</v>
      </c>
      <c r="C794" s="45">
        <v>1208</v>
      </c>
      <c r="D794" t="s">
        <v>2217</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x14ac:dyDescent="0.25">
      <c r="A795">
        <v>1213</v>
      </c>
      <c r="B795">
        <v>790</v>
      </c>
      <c r="C795" s="45">
        <v>1207</v>
      </c>
      <c r="D795" t="s">
        <v>2392</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x14ac:dyDescent="0.25">
      <c r="A796">
        <v>1214</v>
      </c>
      <c r="B796">
        <v>791</v>
      </c>
      <c r="C796" s="45">
        <v>1207</v>
      </c>
      <c r="D796" t="s">
        <v>2216</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x14ac:dyDescent="0.25">
      <c r="A797">
        <v>1215</v>
      </c>
      <c r="B797">
        <v>792</v>
      </c>
      <c r="C797" s="45">
        <v>1207</v>
      </c>
      <c r="D797" t="s">
        <v>2215</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x14ac:dyDescent="0.25">
      <c r="A798">
        <v>1216</v>
      </c>
      <c r="B798">
        <v>793</v>
      </c>
      <c r="C798" s="45">
        <v>1207</v>
      </c>
      <c r="D798" t="s">
        <v>2214</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x14ac:dyDescent="0.25">
      <c r="A799">
        <v>1217</v>
      </c>
      <c r="B799">
        <v>794</v>
      </c>
      <c r="C799" s="45">
        <v>1208</v>
      </c>
      <c r="D799" t="s">
        <v>2213</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x14ac:dyDescent="0.25">
      <c r="A800">
        <v>1218</v>
      </c>
      <c r="B800">
        <v>795</v>
      </c>
      <c r="C800" s="45">
        <v>1160</v>
      </c>
      <c r="D800" t="s">
        <v>1697</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x14ac:dyDescent="0.25">
      <c r="A801">
        <v>1219</v>
      </c>
      <c r="B801">
        <v>796</v>
      </c>
      <c r="C801" s="45">
        <v>1160</v>
      </c>
      <c r="D801" t="s">
        <v>1698</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x14ac:dyDescent="0.25">
      <c r="A802">
        <v>1220</v>
      </c>
      <c r="B802">
        <v>797</v>
      </c>
      <c r="C802" s="45">
        <v>1161</v>
      </c>
      <c r="D802" t="s">
        <v>1699</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x14ac:dyDescent="0.25">
      <c r="A803">
        <v>1221</v>
      </c>
      <c r="B803">
        <v>798</v>
      </c>
      <c r="C803" s="45">
        <v>1207</v>
      </c>
      <c r="D803" t="s">
        <v>2207</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x14ac:dyDescent="0.25">
      <c r="A804">
        <v>1222</v>
      </c>
      <c r="B804">
        <v>799</v>
      </c>
      <c r="C804" s="45">
        <v>1160</v>
      </c>
      <c r="D804" t="s">
        <v>2208</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x14ac:dyDescent="0.25">
      <c r="A805">
        <v>1223</v>
      </c>
      <c r="B805">
        <v>800</v>
      </c>
      <c r="C805" s="45">
        <v>1207</v>
      </c>
      <c r="D805" t="s">
        <v>2212</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x14ac:dyDescent="0.25">
      <c r="A806">
        <v>1224</v>
      </c>
      <c r="B806">
        <v>801</v>
      </c>
      <c r="C806" s="45">
        <v>1208</v>
      </c>
      <c r="D806" t="s">
        <v>2211</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x14ac:dyDescent="0.25">
      <c r="A807">
        <v>1225</v>
      </c>
      <c r="B807">
        <v>802</v>
      </c>
      <c r="C807" s="45">
        <v>1207</v>
      </c>
      <c r="D807" t="s">
        <v>2210</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x14ac:dyDescent="0.25">
      <c r="A808">
        <v>1226</v>
      </c>
      <c r="B808">
        <v>803</v>
      </c>
      <c r="C808" s="45">
        <v>1207</v>
      </c>
      <c r="D808" t="s">
        <v>2209</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x14ac:dyDescent="0.25">
      <c r="A809">
        <v>1227</v>
      </c>
      <c r="B809">
        <v>804</v>
      </c>
      <c r="C809" s="45">
        <v>1207</v>
      </c>
      <c r="D809" t="s">
        <v>2202</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x14ac:dyDescent="0.25">
      <c r="A810">
        <v>1228</v>
      </c>
      <c r="B810">
        <v>805</v>
      </c>
      <c r="C810" s="45">
        <v>823</v>
      </c>
      <c r="D810" t="s">
        <v>2384</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x14ac:dyDescent="0.25">
      <c r="A811">
        <v>1229</v>
      </c>
      <c r="B811">
        <v>806</v>
      </c>
      <c r="C811" s="45">
        <v>57</v>
      </c>
      <c r="D811" t="s">
        <v>2385</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x14ac:dyDescent="0.25">
      <c r="A812">
        <v>1233</v>
      </c>
      <c r="B812">
        <v>807</v>
      </c>
      <c r="C812" s="45">
        <v>1160</v>
      </c>
      <c r="D812" t="s">
        <v>2140</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x14ac:dyDescent="0.25">
      <c r="A813">
        <v>1234</v>
      </c>
      <c r="B813">
        <v>808</v>
      </c>
      <c r="C813" s="45">
        <v>1160</v>
      </c>
      <c r="D813" t="s">
        <v>2141</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x14ac:dyDescent="0.25">
      <c r="A814">
        <v>1235</v>
      </c>
      <c r="B814">
        <v>809</v>
      </c>
      <c r="C814" s="45">
        <v>383</v>
      </c>
      <c r="D814" t="s">
        <v>2387</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x14ac:dyDescent="0.25">
      <c r="A816">
        <v>1237</v>
      </c>
      <c r="B816">
        <v>811</v>
      </c>
      <c r="C816" s="45">
        <v>383</v>
      </c>
      <c r="D816" t="s">
        <v>2391</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x14ac:dyDescent="0.25">
      <c r="A817">
        <v>1238</v>
      </c>
      <c r="B817">
        <v>812</v>
      </c>
      <c r="C817" s="45">
        <v>1261</v>
      </c>
      <c r="D817" t="s">
        <v>2415</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x14ac:dyDescent="0.25">
      <c r="A818">
        <v>1239</v>
      </c>
      <c r="B818">
        <v>813</v>
      </c>
      <c r="C818" s="45">
        <v>1261</v>
      </c>
      <c r="D818" t="s">
        <v>2412</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x14ac:dyDescent="0.25">
      <c r="A819">
        <v>1240</v>
      </c>
      <c r="B819">
        <v>814</v>
      </c>
      <c r="C819" s="45">
        <v>1261</v>
      </c>
      <c r="D819" t="s">
        <v>2416</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x14ac:dyDescent="0.25">
      <c r="A820">
        <v>1241</v>
      </c>
      <c r="B820">
        <v>815</v>
      </c>
      <c r="C820" s="45">
        <v>1261</v>
      </c>
      <c r="D820" t="s">
        <v>2417</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x14ac:dyDescent="0.25">
      <c r="A821">
        <v>1242</v>
      </c>
      <c r="B821">
        <v>816</v>
      </c>
      <c r="C821" s="45">
        <v>1261</v>
      </c>
      <c r="D821" t="s">
        <v>2418</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x14ac:dyDescent="0.25">
      <c r="A822">
        <v>1243</v>
      </c>
      <c r="B822">
        <v>817</v>
      </c>
      <c r="C822" s="45">
        <v>1261</v>
      </c>
      <c r="D822" t="s">
        <v>2419</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x14ac:dyDescent="0.25">
      <c r="A823">
        <v>1244</v>
      </c>
      <c r="B823">
        <v>818</v>
      </c>
      <c r="C823" s="45">
        <v>1261</v>
      </c>
      <c r="D823" t="s">
        <v>2420</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x14ac:dyDescent="0.25">
      <c r="A824">
        <v>1245</v>
      </c>
      <c r="B824">
        <v>819</v>
      </c>
      <c r="C824" s="45">
        <v>1261</v>
      </c>
      <c r="D824" t="s">
        <v>2421</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x14ac:dyDescent="0.25">
      <c r="A825">
        <v>1246</v>
      </c>
      <c r="B825">
        <v>820</v>
      </c>
      <c r="C825" s="45">
        <v>1261</v>
      </c>
      <c r="D825" t="s">
        <v>2422</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x14ac:dyDescent="0.25">
      <c r="A826">
        <v>1247</v>
      </c>
      <c r="B826">
        <v>821</v>
      </c>
      <c r="C826" s="45">
        <v>1261</v>
      </c>
      <c r="D826" t="s">
        <v>2413</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x14ac:dyDescent="0.25">
      <c r="A827">
        <v>1248</v>
      </c>
      <c r="B827">
        <v>822</v>
      </c>
      <c r="C827" s="45">
        <v>1261</v>
      </c>
      <c r="D827" t="s">
        <v>2423</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x14ac:dyDescent="0.25">
      <c r="A828">
        <v>1249</v>
      </c>
      <c r="B828">
        <v>823</v>
      </c>
      <c r="C828" s="45">
        <v>1261</v>
      </c>
      <c r="D828" t="s">
        <v>2424</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x14ac:dyDescent="0.25">
      <c r="A829">
        <v>1250</v>
      </c>
      <c r="B829">
        <v>824</v>
      </c>
      <c r="C829" s="45">
        <v>1261</v>
      </c>
      <c r="D829" t="s">
        <v>2425</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x14ac:dyDescent="0.25">
      <c r="A830">
        <v>1251</v>
      </c>
      <c r="B830">
        <v>825</v>
      </c>
      <c r="C830" s="45">
        <v>1261</v>
      </c>
      <c r="D830" t="s">
        <v>2426</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x14ac:dyDescent="0.25">
      <c r="A831">
        <v>1252</v>
      </c>
      <c r="B831">
        <v>826</v>
      </c>
      <c r="C831" s="45">
        <v>1261</v>
      </c>
      <c r="D831" t="s">
        <v>2427</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x14ac:dyDescent="0.25">
      <c r="A832">
        <v>1253</v>
      </c>
      <c r="B832">
        <v>827</v>
      </c>
      <c r="C832" s="45">
        <v>1261</v>
      </c>
      <c r="D832" t="s">
        <v>2428</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x14ac:dyDescent="0.25">
      <c r="A833">
        <v>1254</v>
      </c>
      <c r="B833">
        <v>828</v>
      </c>
      <c r="C833" s="45">
        <v>1261</v>
      </c>
      <c r="D833" t="s">
        <v>2408</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x14ac:dyDescent="0.25">
      <c r="A834">
        <v>1255</v>
      </c>
      <c r="B834">
        <v>829</v>
      </c>
      <c r="C834" s="45">
        <v>1261</v>
      </c>
      <c r="D834" t="s">
        <v>2429</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x14ac:dyDescent="0.25">
      <c r="A835">
        <v>1256</v>
      </c>
      <c r="B835">
        <v>830</v>
      </c>
      <c r="C835" s="45">
        <v>1261</v>
      </c>
      <c r="D835" t="s">
        <v>2430</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x14ac:dyDescent="0.25">
      <c r="A836">
        <v>1257</v>
      </c>
      <c r="B836">
        <v>831</v>
      </c>
      <c r="C836" s="45">
        <v>1261</v>
      </c>
      <c r="D836" t="s">
        <v>2411</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x14ac:dyDescent="0.25">
      <c r="A837">
        <v>1258</v>
      </c>
      <c r="B837">
        <v>832</v>
      </c>
      <c r="C837" s="45">
        <v>1261</v>
      </c>
      <c r="D837" t="s">
        <v>2410</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x14ac:dyDescent="0.25">
      <c r="A838">
        <v>1259</v>
      </c>
      <c r="B838">
        <v>833</v>
      </c>
      <c r="C838" s="45">
        <v>1261</v>
      </c>
      <c r="D838" t="s">
        <v>2431</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x14ac:dyDescent="0.25">
      <c r="A839">
        <v>1260</v>
      </c>
      <c r="B839">
        <v>834</v>
      </c>
      <c r="C839" s="45">
        <v>1261</v>
      </c>
      <c r="D839" t="s">
        <v>2432</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x14ac:dyDescent="0.25">
      <c r="A840">
        <v>1261</v>
      </c>
      <c r="B840">
        <v>835</v>
      </c>
      <c r="C840" s="45">
        <v>1261</v>
      </c>
      <c r="D840" t="s">
        <v>2378</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x14ac:dyDescent="0.25">
      <c r="A841">
        <v>1262</v>
      </c>
      <c r="B841">
        <v>836</v>
      </c>
      <c r="C841" s="45">
        <v>19</v>
      </c>
      <c r="D841" t="s">
        <v>2390</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x14ac:dyDescent="0.25">
      <c r="A842">
        <v>1263</v>
      </c>
      <c r="B842">
        <v>837</v>
      </c>
      <c r="C842" s="45">
        <v>1261</v>
      </c>
      <c r="D842" t="s">
        <v>2433</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x14ac:dyDescent="0.25">
      <c r="A843">
        <v>1264</v>
      </c>
      <c r="B843">
        <v>838</v>
      </c>
      <c r="C843" s="45">
        <v>1207</v>
      </c>
      <c r="D843" t="s">
        <v>2201</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x14ac:dyDescent="0.25">
      <c r="A844">
        <v>1265</v>
      </c>
      <c r="B844">
        <v>839</v>
      </c>
      <c r="C844" s="45">
        <v>1160</v>
      </c>
      <c r="D844" t="s">
        <v>2200</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x14ac:dyDescent="0.25">
      <c r="A845">
        <v>1266</v>
      </c>
      <c r="B845">
        <v>840</v>
      </c>
      <c r="C845" s="45">
        <v>1261</v>
      </c>
      <c r="D845" t="s">
        <v>2409</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x14ac:dyDescent="0.25">
      <c r="A846">
        <v>1267</v>
      </c>
      <c r="B846">
        <v>841</v>
      </c>
      <c r="C846" s="45">
        <v>3</v>
      </c>
      <c r="D846" t="s">
        <v>2486</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x14ac:dyDescent="0.25">
      <c r="A847">
        <v>1268</v>
      </c>
      <c r="B847">
        <v>842</v>
      </c>
      <c r="C847" s="45">
        <v>1261</v>
      </c>
      <c r="D847" t="s">
        <v>2491</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x14ac:dyDescent="0.25">
      <c r="A848">
        <v>1270</v>
      </c>
      <c r="B848">
        <v>843</v>
      </c>
      <c r="C848" s="45">
        <v>849</v>
      </c>
      <c r="D848" t="s">
        <v>2389</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x14ac:dyDescent="0.25">
      <c r="A849">
        <v>1271</v>
      </c>
      <c r="B849">
        <v>844</v>
      </c>
      <c r="C849" s="45">
        <v>823</v>
      </c>
      <c r="D849" t="s">
        <v>2388</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x14ac:dyDescent="0.25">
      <c r="A850">
        <v>1272</v>
      </c>
      <c r="B850">
        <v>845</v>
      </c>
      <c r="C850" s="45">
        <v>1261</v>
      </c>
      <c r="D850" t="s">
        <v>3893</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x14ac:dyDescent="0.25">
      <c r="A851">
        <v>1274</v>
      </c>
      <c r="B851">
        <v>846</v>
      </c>
      <c r="C851" s="45">
        <v>3</v>
      </c>
      <c r="D851" t="s">
        <v>2495</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x14ac:dyDescent="0.25">
      <c r="A852">
        <v>1275</v>
      </c>
      <c r="B852">
        <v>847</v>
      </c>
      <c r="C852" s="45">
        <v>1261</v>
      </c>
      <c r="D852" t="s">
        <v>2435</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x14ac:dyDescent="0.25">
      <c r="A853">
        <v>1276</v>
      </c>
      <c r="B853">
        <v>848</v>
      </c>
      <c r="C853" s="45">
        <v>1261</v>
      </c>
      <c r="D853" t="s">
        <v>2436</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x14ac:dyDescent="0.25">
      <c r="A854">
        <v>1277</v>
      </c>
      <c r="B854">
        <v>849</v>
      </c>
      <c r="C854" s="45">
        <v>1261</v>
      </c>
      <c r="D854" t="s">
        <v>2407</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x14ac:dyDescent="0.25">
      <c r="A855">
        <v>1278</v>
      </c>
      <c r="B855">
        <v>850</v>
      </c>
      <c r="C855" s="45">
        <v>108</v>
      </c>
      <c r="D855" t="s">
        <v>2494</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x14ac:dyDescent="0.25">
      <c r="A856">
        <v>1279</v>
      </c>
      <c r="B856">
        <v>851</v>
      </c>
      <c r="C856" s="45">
        <v>108</v>
      </c>
      <c r="D856" t="s">
        <v>2493</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x14ac:dyDescent="0.25">
      <c r="A857">
        <v>1280</v>
      </c>
      <c r="B857">
        <v>852</v>
      </c>
      <c r="C857" s="45">
        <v>108</v>
      </c>
      <c r="D857" t="s">
        <v>2496</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x14ac:dyDescent="0.25">
      <c r="A858">
        <v>1281</v>
      </c>
      <c r="B858">
        <v>853</v>
      </c>
      <c r="C858" s="45">
        <v>108</v>
      </c>
      <c r="D858" t="s">
        <v>2496</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x14ac:dyDescent="0.25">
      <c r="A859">
        <v>1282</v>
      </c>
      <c r="B859">
        <v>854</v>
      </c>
      <c r="C859" s="45">
        <v>1282</v>
      </c>
      <c r="D859" t="s">
        <v>2670</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x14ac:dyDescent="0.25">
      <c r="A860">
        <v>1283</v>
      </c>
      <c r="B860">
        <v>855</v>
      </c>
      <c r="C860" s="45">
        <v>1282</v>
      </c>
      <c r="D860" t="s">
        <v>2671</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x14ac:dyDescent="0.25">
      <c r="A861">
        <v>1284</v>
      </c>
      <c r="B861">
        <v>856</v>
      </c>
      <c r="C861" s="45">
        <v>1282</v>
      </c>
      <c r="D861" t="s">
        <v>2685</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x14ac:dyDescent="0.25">
      <c r="A862">
        <v>1285</v>
      </c>
      <c r="B862">
        <v>857</v>
      </c>
      <c r="C862" s="45">
        <v>1286</v>
      </c>
      <c r="D862" t="s">
        <v>2684</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x14ac:dyDescent="0.25">
      <c r="A863">
        <v>1286</v>
      </c>
      <c r="B863">
        <v>858</v>
      </c>
      <c r="C863" s="45">
        <v>1286</v>
      </c>
      <c r="D863" t="s">
        <v>2434</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x14ac:dyDescent="0.25">
      <c r="A864">
        <v>1287</v>
      </c>
      <c r="B864">
        <v>859</v>
      </c>
      <c r="C864" s="45">
        <v>1286</v>
      </c>
      <c r="D864" t="s">
        <v>2683</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x14ac:dyDescent="0.25">
      <c r="A865">
        <v>1289</v>
      </c>
      <c r="B865">
        <v>860</v>
      </c>
      <c r="C865" s="45">
        <v>1286</v>
      </c>
      <c r="D865" t="s">
        <v>2682</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x14ac:dyDescent="0.25">
      <c r="A866">
        <v>1290</v>
      </c>
      <c r="B866">
        <v>861</v>
      </c>
      <c r="C866" s="45">
        <v>1286</v>
      </c>
      <c r="D866" t="s">
        <v>2681</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x14ac:dyDescent="0.25">
      <c r="A867">
        <v>1291</v>
      </c>
      <c r="B867">
        <v>862</v>
      </c>
      <c r="C867" s="45">
        <v>1286</v>
      </c>
      <c r="D867" t="s">
        <v>2680</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x14ac:dyDescent="0.25">
      <c r="A868">
        <v>1292</v>
      </c>
      <c r="B868">
        <v>863</v>
      </c>
      <c r="C868" s="45">
        <v>1286</v>
      </c>
      <c r="D868" t="s">
        <v>2679</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x14ac:dyDescent="0.25">
      <c r="A869">
        <v>1293</v>
      </c>
      <c r="B869">
        <v>864</v>
      </c>
      <c r="C869" s="45">
        <v>1282</v>
      </c>
      <c r="D869" t="s">
        <v>2678</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x14ac:dyDescent="0.25">
      <c r="A870">
        <v>1294</v>
      </c>
      <c r="B870">
        <v>865</v>
      </c>
      <c r="C870" s="45">
        <v>1286</v>
      </c>
      <c r="D870" t="s">
        <v>2677</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x14ac:dyDescent="0.25">
      <c r="A871">
        <v>1295</v>
      </c>
      <c r="B871">
        <v>866</v>
      </c>
      <c r="C871" s="45">
        <v>1286</v>
      </c>
      <c r="D871" t="s">
        <v>2676</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x14ac:dyDescent="0.25">
      <c r="A872">
        <v>1296</v>
      </c>
      <c r="B872">
        <v>867</v>
      </c>
      <c r="C872" s="45">
        <v>1286</v>
      </c>
      <c r="D872" t="s">
        <v>2675</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x14ac:dyDescent="0.25">
      <c r="A873">
        <v>1297</v>
      </c>
      <c r="B873">
        <v>868</v>
      </c>
      <c r="C873" s="45">
        <v>1286</v>
      </c>
      <c r="D873" t="s">
        <v>3900</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x14ac:dyDescent="0.25">
      <c r="A874">
        <v>1298</v>
      </c>
      <c r="B874">
        <v>869</v>
      </c>
      <c r="C874" s="45">
        <v>1286</v>
      </c>
      <c r="D874" t="s">
        <v>2674</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x14ac:dyDescent="0.25">
      <c r="A875">
        <v>1300</v>
      </c>
      <c r="B875">
        <v>870</v>
      </c>
      <c r="C875" s="45">
        <v>1286</v>
      </c>
      <c r="D875" t="s">
        <v>2673</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x14ac:dyDescent="0.25">
      <c r="A876">
        <v>1301</v>
      </c>
      <c r="B876">
        <v>871</v>
      </c>
      <c r="C876" s="45">
        <v>1011</v>
      </c>
      <c r="D876" t="s">
        <v>2704</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x14ac:dyDescent="0.25">
      <c r="A877">
        <v>1302</v>
      </c>
      <c r="B877">
        <v>872</v>
      </c>
      <c r="C877" s="45">
        <v>20</v>
      </c>
      <c r="D877" t="s">
        <v>2716</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x14ac:dyDescent="0.25">
      <c r="A878">
        <v>1304</v>
      </c>
      <c r="B878">
        <v>873</v>
      </c>
      <c r="C878" s="45">
        <v>1282</v>
      </c>
      <c r="D878" t="s">
        <v>2672</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x14ac:dyDescent="0.25">
      <c r="A879">
        <v>1306</v>
      </c>
      <c r="B879">
        <v>874</v>
      </c>
      <c r="C879" s="45">
        <v>58</v>
      </c>
      <c r="D879" t="s">
        <v>2492</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x14ac:dyDescent="0.25">
      <c r="A880">
        <v>1307</v>
      </c>
      <c r="B880">
        <v>875</v>
      </c>
      <c r="C880" s="45">
        <v>1261</v>
      </c>
      <c r="D880" t="s">
        <v>2497</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x14ac:dyDescent="0.25">
      <c r="A881">
        <v>1310</v>
      </c>
      <c r="B881">
        <v>876</v>
      </c>
      <c r="C881" s="45">
        <v>1286</v>
      </c>
      <c r="D881" t="s">
        <v>3893</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x14ac:dyDescent="0.25">
      <c r="A882">
        <v>1311</v>
      </c>
      <c r="B882">
        <v>877</v>
      </c>
      <c r="C882" s="45">
        <v>849</v>
      </c>
      <c r="D882" t="s">
        <v>2717</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x14ac:dyDescent="0.25">
      <c r="A883">
        <v>1312</v>
      </c>
      <c r="B883">
        <v>878</v>
      </c>
      <c r="C883" s="45">
        <v>849</v>
      </c>
      <c r="D883" t="s">
        <v>2720</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x14ac:dyDescent="0.25">
      <c r="A884">
        <v>1313</v>
      </c>
      <c r="B884">
        <v>879</v>
      </c>
      <c r="C884" s="45">
        <v>1318</v>
      </c>
      <c r="D884" t="s">
        <v>3357</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x14ac:dyDescent="0.25">
      <c r="A885">
        <v>1314</v>
      </c>
      <c r="B885">
        <v>880</v>
      </c>
      <c r="C885" s="45">
        <v>3</v>
      </c>
      <c r="D885" t="s">
        <v>2719</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x14ac:dyDescent="0.25">
      <c r="A886">
        <v>1315</v>
      </c>
      <c r="B886">
        <v>881</v>
      </c>
      <c r="C886" s="45">
        <v>1318</v>
      </c>
      <c r="D886" t="s">
        <v>3356</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x14ac:dyDescent="0.25">
      <c r="A887">
        <v>1316</v>
      </c>
      <c r="B887">
        <v>882</v>
      </c>
      <c r="C887" s="45">
        <v>1318</v>
      </c>
      <c r="D887" t="s">
        <v>3339</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x14ac:dyDescent="0.25">
      <c r="A888">
        <v>1317</v>
      </c>
      <c r="B888">
        <v>883</v>
      </c>
      <c r="C888" s="45">
        <v>1318</v>
      </c>
      <c r="D888" t="s">
        <v>3332</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x14ac:dyDescent="0.25">
      <c r="A889">
        <v>1318</v>
      </c>
      <c r="B889">
        <v>884</v>
      </c>
      <c r="C889" s="45">
        <v>1318</v>
      </c>
      <c r="D889" t="s">
        <v>3315</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x14ac:dyDescent="0.25">
      <c r="A890">
        <v>1319</v>
      </c>
      <c r="B890">
        <v>885</v>
      </c>
      <c r="C890" s="45">
        <v>1318</v>
      </c>
      <c r="D890" t="s">
        <v>3340</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x14ac:dyDescent="0.25">
      <c r="A891">
        <v>1320</v>
      </c>
      <c r="B891">
        <v>886</v>
      </c>
      <c r="C891" s="45">
        <v>1318</v>
      </c>
      <c r="D891" t="s">
        <v>3355</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x14ac:dyDescent="0.25">
      <c r="A892">
        <v>1321</v>
      </c>
      <c r="B892">
        <v>887</v>
      </c>
      <c r="C892" s="45">
        <v>1318</v>
      </c>
      <c r="D892" t="s">
        <v>3341</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x14ac:dyDescent="0.25">
      <c r="A893">
        <v>1322</v>
      </c>
      <c r="B893">
        <v>888</v>
      </c>
      <c r="C893" s="45">
        <v>1318</v>
      </c>
      <c r="D893" t="s">
        <v>3342</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x14ac:dyDescent="0.25">
      <c r="A894">
        <v>1324</v>
      </c>
      <c r="B894">
        <v>889</v>
      </c>
      <c r="C894" s="45">
        <v>1318</v>
      </c>
      <c r="D894" t="s">
        <v>3343</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x14ac:dyDescent="0.25">
      <c r="A895">
        <v>1325</v>
      </c>
      <c r="B895">
        <v>890</v>
      </c>
      <c r="C895" s="45">
        <v>1443</v>
      </c>
      <c r="D895" t="s">
        <v>3954</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x14ac:dyDescent="0.25">
      <c r="A896">
        <v>1326</v>
      </c>
      <c r="B896">
        <v>891</v>
      </c>
      <c r="C896" s="45">
        <v>1318</v>
      </c>
      <c r="D896" t="s">
        <v>3344</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x14ac:dyDescent="0.25">
      <c r="A897">
        <v>1327</v>
      </c>
      <c r="B897">
        <v>892</v>
      </c>
      <c r="C897" s="45">
        <v>1318</v>
      </c>
      <c r="D897" t="s">
        <v>1695</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x14ac:dyDescent="0.25">
      <c r="A898">
        <v>1328</v>
      </c>
      <c r="B898">
        <v>893</v>
      </c>
      <c r="C898" s="45">
        <v>1318</v>
      </c>
      <c r="D898" t="s">
        <v>3345</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x14ac:dyDescent="0.25">
      <c r="A899">
        <v>1329</v>
      </c>
      <c r="B899">
        <v>894</v>
      </c>
      <c r="C899" s="45">
        <v>1318</v>
      </c>
      <c r="D899" t="s">
        <v>3344</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x14ac:dyDescent="0.25">
      <c r="A900">
        <v>1330</v>
      </c>
      <c r="B900">
        <v>895</v>
      </c>
      <c r="C900" s="45">
        <v>1318</v>
      </c>
      <c r="D900" t="s">
        <v>3354</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x14ac:dyDescent="0.25">
      <c r="A901">
        <v>1331</v>
      </c>
      <c r="B901">
        <v>896</v>
      </c>
      <c r="C901" s="45">
        <v>1318</v>
      </c>
      <c r="D901" t="s">
        <v>3346</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x14ac:dyDescent="0.25">
      <c r="A902">
        <v>1332</v>
      </c>
      <c r="B902">
        <v>897</v>
      </c>
      <c r="C902" s="45">
        <v>1318</v>
      </c>
      <c r="D902" t="s">
        <v>3353</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x14ac:dyDescent="0.25">
      <c r="A903">
        <v>1333</v>
      </c>
      <c r="B903">
        <v>898</v>
      </c>
      <c r="C903" s="45">
        <v>1318</v>
      </c>
      <c r="D903" t="s">
        <v>3352</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x14ac:dyDescent="0.25">
      <c r="A904">
        <v>1334</v>
      </c>
      <c r="B904">
        <v>899</v>
      </c>
      <c r="C904" s="45">
        <v>1318</v>
      </c>
      <c r="D904" t="s">
        <v>3351</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x14ac:dyDescent="0.25">
      <c r="A905">
        <v>1335</v>
      </c>
      <c r="B905">
        <v>900</v>
      </c>
      <c r="C905" s="45">
        <v>1318</v>
      </c>
      <c r="D905" t="s">
        <v>3350</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x14ac:dyDescent="0.25">
      <c r="A906">
        <v>1336</v>
      </c>
      <c r="B906">
        <v>901</v>
      </c>
      <c r="C906" s="45">
        <v>1318</v>
      </c>
      <c r="D906" t="s">
        <v>3349</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x14ac:dyDescent="0.25">
      <c r="A907">
        <v>1337</v>
      </c>
      <c r="B907">
        <v>902</v>
      </c>
      <c r="C907" s="45">
        <v>1318</v>
      </c>
      <c r="D907" t="s">
        <v>3348</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x14ac:dyDescent="0.25">
      <c r="A908">
        <v>1338</v>
      </c>
      <c r="B908">
        <v>903</v>
      </c>
      <c r="C908" s="45">
        <v>1318</v>
      </c>
      <c r="D908" t="s">
        <v>3347</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x14ac:dyDescent="0.25">
      <c r="A909">
        <v>1342</v>
      </c>
      <c r="B909">
        <v>904</v>
      </c>
      <c r="C909" s="45">
        <v>1282</v>
      </c>
      <c r="D909" t="s">
        <v>2668</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x14ac:dyDescent="0.25">
      <c r="A910">
        <v>1343</v>
      </c>
      <c r="B910">
        <v>905</v>
      </c>
      <c r="C910" s="45">
        <v>1286</v>
      </c>
      <c r="D910" t="s">
        <v>2669</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x14ac:dyDescent="0.25">
      <c r="A911">
        <v>1344</v>
      </c>
      <c r="B911">
        <v>906</v>
      </c>
      <c r="C911" s="45">
        <v>1318</v>
      </c>
      <c r="D911" t="s">
        <v>3337</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x14ac:dyDescent="0.25">
      <c r="A912">
        <v>1345</v>
      </c>
      <c r="B912">
        <v>907</v>
      </c>
      <c r="C912" s="45">
        <v>535</v>
      </c>
      <c r="D912" t="s">
        <v>2718</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x14ac:dyDescent="0.25">
      <c r="A913">
        <v>1360</v>
      </c>
      <c r="B913">
        <v>908</v>
      </c>
      <c r="C913" s="45">
        <v>1318</v>
      </c>
      <c r="D913" t="s">
        <v>3374</v>
      </c>
      <c r="E913" s="3" t="str">
        <f t="array" ref="E913">IF(OR(EXACT(A913,'ESO Dungeon constants'!$D$3:$D$987)),"X","")</f>
        <v>X</v>
      </c>
      <c r="F913" s="3" t="str">
        <f t="shared" si="56"/>
        <v/>
      </c>
      <c r="G913" s="3" t="str">
        <f t="shared" si="57"/>
        <v>High Isle</v>
      </c>
      <c r="H913" s="17">
        <f t="shared" si="58"/>
        <v>1360</v>
      </c>
      <c r="I913" s="17">
        <f t="shared" si="59"/>
        <v>1318</v>
      </c>
      <c r="J913">
        <v>0</v>
      </c>
      <c r="K913" s="3" t="str">
        <f>VLOOKUP(J913,'LibSets constants'!$A$4:$B$1017,2,FALSE)</f>
        <v>DLC_BASE_GAME</v>
      </c>
      <c r="L913" s="3" t="str">
        <f>VLOOKUP(J913,'LibSets constants'!$A$4:$C$1017,3,FALSE)</f>
        <v>Included in base game</v>
      </c>
    </row>
    <row r="914" spans="1:12" x14ac:dyDescent="0.25">
      <c r="A914">
        <v>1361</v>
      </c>
      <c r="B914">
        <v>909</v>
      </c>
      <c r="C914" s="45">
        <v>1318</v>
      </c>
      <c r="D914" t="s">
        <v>3375</v>
      </c>
      <c r="E914" s="3" t="str">
        <f t="array" ref="E914">IF(OR(EXACT(A914,'ESO Dungeon constants'!$D$3:$D$987)),"X","")</f>
        <v>X</v>
      </c>
      <c r="F914" s="3" t="str">
        <f t="shared" si="56"/>
        <v/>
      </c>
      <c r="G914" s="3" t="str">
        <f t="shared" si="57"/>
        <v>High Isle</v>
      </c>
      <c r="H914" s="17">
        <f t="shared" si="58"/>
        <v>1361</v>
      </c>
      <c r="I914" s="17">
        <f t="shared" si="59"/>
        <v>1318</v>
      </c>
      <c r="J914">
        <v>0</v>
      </c>
      <c r="K914" s="3" t="str">
        <f>VLOOKUP(J914,'LibSets constants'!$A$4:$B$1017,2,FALSE)</f>
        <v>DLC_BASE_GAME</v>
      </c>
      <c r="L914" s="3" t="str">
        <f>VLOOKUP(J914,'LibSets constants'!$A$4:$C$1017,3,FALSE)</f>
        <v>Included in base game</v>
      </c>
    </row>
    <row r="915" spans="1:12" x14ac:dyDescent="0.25">
      <c r="A915">
        <v>1363</v>
      </c>
      <c r="B915">
        <v>910</v>
      </c>
      <c r="C915" s="45">
        <v>1318</v>
      </c>
      <c r="D915" t="s">
        <v>3336</v>
      </c>
      <c r="E915" s="3" t="str">
        <f t="array" ref="E915">IF(OR(EXACT(A915,'ESO Dungeon constants'!$D$3:$D$987)),"X","")</f>
        <v/>
      </c>
      <c r="F915" s="3" t="str">
        <f t="shared" si="56"/>
        <v/>
      </c>
      <c r="G915" s="3" t="str">
        <f t="shared" si="57"/>
        <v>High Isle</v>
      </c>
      <c r="H915" s="17">
        <f t="shared" si="58"/>
        <v>1363</v>
      </c>
      <c r="I915" s="17">
        <f t="shared" si="59"/>
        <v>1318</v>
      </c>
      <c r="J915">
        <v>0</v>
      </c>
      <c r="K915" s="3" t="str">
        <f>VLOOKUP(J915,'LibSets constants'!$A$4:$B$1017,2,FALSE)</f>
        <v>DLC_BASE_GAME</v>
      </c>
      <c r="L915" s="3" t="str">
        <f>VLOOKUP(J915,'LibSets constants'!$A$4:$C$1017,3,FALSE)</f>
        <v>Included in base game</v>
      </c>
    </row>
    <row r="916" spans="1:12" x14ac:dyDescent="0.25">
      <c r="A916">
        <v>1364</v>
      </c>
      <c r="B916">
        <v>911</v>
      </c>
      <c r="C916" s="45">
        <v>1318</v>
      </c>
      <c r="D916" t="s">
        <v>3335</v>
      </c>
      <c r="E916" s="3" t="str">
        <f t="array" ref="E916">IF(OR(EXACT(A916,'ESO Dungeon constants'!$D$3:$D$987)),"X","")</f>
        <v/>
      </c>
      <c r="F916" s="3" t="str">
        <f t="shared" si="56"/>
        <v/>
      </c>
      <c r="G916" s="3" t="str">
        <f t="shared" si="57"/>
        <v>High Isle</v>
      </c>
      <c r="H916" s="17">
        <f t="shared" si="58"/>
        <v>1364</v>
      </c>
      <c r="I916" s="17">
        <f t="shared" si="59"/>
        <v>1318</v>
      </c>
      <c r="J916">
        <v>4</v>
      </c>
      <c r="K916" s="3" t="str">
        <f>VLOOKUP(J916,'LibSets constants'!$A$4:$B$1017,2,FALSE)</f>
        <v>DLC_DARK_BROTHERHOOD</v>
      </c>
      <c r="L916" s="3" t="str">
        <f>VLOOKUP(J916,'LibSets constants'!$A$4:$C$1017,3,FALSE)</f>
        <v>Dark Brotherhood</v>
      </c>
    </row>
    <row r="917" spans="1:12" x14ac:dyDescent="0.25">
      <c r="A917">
        <v>1365</v>
      </c>
      <c r="B917">
        <v>912</v>
      </c>
      <c r="C917" s="45">
        <v>3</v>
      </c>
      <c r="D917" t="s">
        <v>3398</v>
      </c>
      <c r="E917" s="3" t="str">
        <f t="array" ref="E917">IF(OR(EXACT(A917,'ESO Dungeon constants'!$D$3:$D$987)),"X","")</f>
        <v/>
      </c>
      <c r="F917" s="3" t="str">
        <f t="shared" si="56"/>
        <v/>
      </c>
      <c r="G917" s="3" t="str">
        <f t="shared" si="57"/>
        <v>Glenumbra</v>
      </c>
      <c r="H917" s="17">
        <f t="shared" si="58"/>
        <v>1365</v>
      </c>
      <c r="I917" s="17">
        <f t="shared" si="59"/>
        <v>3</v>
      </c>
      <c r="J917">
        <v>0</v>
      </c>
      <c r="K917" s="3" t="str">
        <f>VLOOKUP(J917,'LibSets constants'!$A$4:$B$1017,2,FALSE)</f>
        <v>DLC_BASE_GAME</v>
      </c>
      <c r="L917" s="3" t="str">
        <f>VLOOKUP(J917,'LibSets constants'!$A$4:$C$1017,3,FALSE)</f>
        <v>Included in base game</v>
      </c>
    </row>
    <row r="918" spans="1:12" x14ac:dyDescent="0.25">
      <c r="A918">
        <v>1366</v>
      </c>
      <c r="B918">
        <v>913</v>
      </c>
      <c r="C918" s="45">
        <v>92</v>
      </c>
      <c r="D918" t="s">
        <v>3397</v>
      </c>
      <c r="E918" s="3" t="str">
        <f t="array" ref="E918">IF(OR(EXACT(A918,'ESO Dungeon constants'!$D$3:$D$987)),"X","")</f>
        <v/>
      </c>
      <c r="F918" s="3" t="str">
        <f t="shared" si="56"/>
        <v/>
      </c>
      <c r="G918" s="3" t="str">
        <f t="shared" si="57"/>
        <v>Bangkorai</v>
      </c>
      <c r="H918" s="17">
        <f t="shared" si="58"/>
        <v>1366</v>
      </c>
      <c r="I918" s="17">
        <f t="shared" si="59"/>
        <v>92</v>
      </c>
      <c r="J918">
        <v>0</v>
      </c>
      <c r="K918" s="3" t="str">
        <f>VLOOKUP(J918,'LibSets constants'!$A$4:$B$1017,2,FALSE)</f>
        <v>DLC_BASE_GAME</v>
      </c>
      <c r="L918" s="3" t="str">
        <f>VLOOKUP(J918,'LibSets constants'!$A$4:$C$1017,3,FALSE)</f>
        <v>Included in base game</v>
      </c>
    </row>
    <row r="919" spans="1:12" x14ac:dyDescent="0.25">
      <c r="A919">
        <v>1367</v>
      </c>
      <c r="B919">
        <v>914</v>
      </c>
      <c r="C919" s="45">
        <v>1383</v>
      </c>
      <c r="D919" t="s">
        <v>3443</v>
      </c>
      <c r="E919" s="3" t="str">
        <f t="array" ref="E919">IF(OR(EXACT(A919,'ESO Dungeon constants'!$D$3:$D$987)),"X","")</f>
        <v/>
      </c>
      <c r="F919" s="3" t="str">
        <f t="shared" si="56"/>
        <v/>
      </c>
      <c r="G919" s="3" t="str">
        <f t="shared" si="57"/>
        <v>Galen</v>
      </c>
      <c r="H919" s="17">
        <f t="shared" si="58"/>
        <v>1367</v>
      </c>
      <c r="I919" s="17">
        <f t="shared" si="59"/>
        <v>1383</v>
      </c>
      <c r="J919">
        <v>0</v>
      </c>
      <c r="K919" s="3" t="str">
        <f>VLOOKUP(J919,'LibSets constants'!$A$4:$B$1017,2,FALSE)</f>
        <v>DLC_BASE_GAME</v>
      </c>
      <c r="L919" s="3" t="str">
        <f>VLOOKUP(J919,'LibSets constants'!$A$4:$C$1017,3,FALSE)</f>
        <v>Included in base game</v>
      </c>
    </row>
    <row r="920" spans="1:12" x14ac:dyDescent="0.25">
      <c r="A920">
        <v>1368</v>
      </c>
      <c r="B920">
        <v>915</v>
      </c>
      <c r="C920" s="45">
        <v>1383</v>
      </c>
      <c r="D920" t="s">
        <v>3444</v>
      </c>
      <c r="E920" s="3" t="str">
        <f t="array" ref="E920">IF(OR(EXACT(A920,'ESO Dungeon constants'!$D$3:$D$987)),"X","")</f>
        <v/>
      </c>
      <c r="F920" s="3" t="str">
        <f t="shared" si="56"/>
        <v/>
      </c>
      <c r="G920" s="3" t="str">
        <f t="shared" si="57"/>
        <v>Galen</v>
      </c>
      <c r="H920" s="17">
        <f t="shared" si="58"/>
        <v>1368</v>
      </c>
      <c r="I920" s="17">
        <f t="shared" si="59"/>
        <v>1383</v>
      </c>
      <c r="J920">
        <v>0</v>
      </c>
      <c r="K920" s="3" t="str">
        <f>VLOOKUP(J920,'LibSets constants'!$A$4:$B$1017,2,FALSE)</f>
        <v>DLC_BASE_GAME</v>
      </c>
      <c r="L920" s="3" t="str">
        <f>VLOOKUP(J920,'LibSets constants'!$A$4:$C$1017,3,FALSE)</f>
        <v>Included in base game</v>
      </c>
    </row>
    <row r="921" spans="1:12" x14ac:dyDescent="0.25">
      <c r="A921">
        <v>1369</v>
      </c>
      <c r="B921">
        <v>916</v>
      </c>
      <c r="C921" s="45">
        <v>1383</v>
      </c>
      <c r="D921" t="s">
        <v>3445</v>
      </c>
      <c r="E921" s="3" t="str">
        <f t="array" ref="E921">IF(OR(EXACT(A921,'ESO Dungeon constants'!$D$3:$D$987)),"X","")</f>
        <v/>
      </c>
      <c r="F921" s="3" t="str">
        <f t="shared" si="56"/>
        <v/>
      </c>
      <c r="G921" s="3" t="str">
        <f t="shared" si="57"/>
        <v>Galen</v>
      </c>
      <c r="H921" s="17">
        <f t="shared" si="58"/>
        <v>1369</v>
      </c>
      <c r="I921" s="17">
        <f t="shared" si="59"/>
        <v>1383</v>
      </c>
      <c r="J921">
        <v>8</v>
      </c>
      <c r="K921" s="3" t="str">
        <f>VLOOKUP(J921,'LibSets constants'!$A$4:$B$1017,2,FALSE)</f>
        <v>DLC_CLOCKWORK_CITY</v>
      </c>
      <c r="L921" s="3" t="str">
        <f>VLOOKUP(J921,'LibSets constants'!$A$4:$C$1017,3,FALSE)</f>
        <v>Clockwork City</v>
      </c>
    </row>
    <row r="922" spans="1:12" x14ac:dyDescent="0.25">
      <c r="A922">
        <v>1370</v>
      </c>
      <c r="B922">
        <v>917</v>
      </c>
      <c r="C922" s="45">
        <v>1383</v>
      </c>
      <c r="D922" t="s">
        <v>3460</v>
      </c>
      <c r="E922" s="3" t="str">
        <f t="array" ref="E922">IF(OR(EXACT(A922,'ESO Dungeon constants'!$D$3:$D$987)),"X","")</f>
        <v/>
      </c>
      <c r="F922" s="3" t="str">
        <f t="shared" si="56"/>
        <v/>
      </c>
      <c r="G922" s="3" t="str">
        <f t="shared" si="57"/>
        <v>Galen</v>
      </c>
      <c r="H922" s="17">
        <f t="shared" si="58"/>
        <v>1370</v>
      </c>
      <c r="I922" s="17">
        <f t="shared" si="59"/>
        <v>1383</v>
      </c>
      <c r="J922">
        <v>8</v>
      </c>
      <c r="K922" s="3" t="str">
        <f>VLOOKUP(J922,'LibSets constants'!$A$4:$B$1017,2,FALSE)</f>
        <v>DLC_CLOCKWORK_CITY</v>
      </c>
      <c r="L922" s="3" t="str">
        <f>VLOOKUP(J922,'LibSets constants'!$A$4:$C$1017,3,FALSE)</f>
        <v>Clockwork City</v>
      </c>
    </row>
    <row r="923" spans="1:12" x14ac:dyDescent="0.25">
      <c r="A923">
        <v>1371</v>
      </c>
      <c r="B923">
        <v>918</v>
      </c>
      <c r="C923" s="45">
        <v>1383</v>
      </c>
      <c r="D923" t="s">
        <v>3459</v>
      </c>
      <c r="E923" s="3" t="str">
        <f t="array" ref="E923">IF(OR(EXACT(A923,'ESO Dungeon constants'!$D$3:$D$987)),"X","")</f>
        <v/>
      </c>
      <c r="F923" s="3" t="str">
        <f t="shared" si="56"/>
        <v/>
      </c>
      <c r="G923" s="3" t="str">
        <f t="shared" si="57"/>
        <v>Galen</v>
      </c>
      <c r="H923" s="17">
        <f t="shared" si="58"/>
        <v>1371</v>
      </c>
      <c r="I923" s="17">
        <f t="shared" si="59"/>
        <v>1383</v>
      </c>
      <c r="J923">
        <v>0</v>
      </c>
      <c r="K923" s="3" t="str">
        <f>VLOOKUP(J923,'LibSets constants'!$A$4:$B$1017,2,FALSE)</f>
        <v>DLC_BASE_GAME</v>
      </c>
      <c r="L923" s="3" t="str">
        <f>VLOOKUP(J923,'LibSets constants'!$A$4:$C$1017,3,FALSE)</f>
        <v>Included in base game</v>
      </c>
    </row>
    <row r="924" spans="1:12" x14ac:dyDescent="0.25">
      <c r="A924">
        <v>1372</v>
      </c>
      <c r="B924">
        <v>919</v>
      </c>
      <c r="C924" s="45">
        <v>1383</v>
      </c>
      <c r="D924" t="s">
        <v>3446</v>
      </c>
      <c r="E924" s="3" t="str">
        <f t="array" ref="E924">IF(OR(EXACT(A924,'ESO Dungeon constants'!$D$3:$D$987)),"X","")</f>
        <v/>
      </c>
      <c r="F924" s="3" t="str">
        <f t="shared" si="56"/>
        <v/>
      </c>
      <c r="G924" s="3" t="str">
        <f t="shared" si="57"/>
        <v>Galen</v>
      </c>
      <c r="H924" s="17">
        <f t="shared" si="58"/>
        <v>1372</v>
      </c>
      <c r="I924" s="17">
        <f t="shared" si="59"/>
        <v>1383</v>
      </c>
      <c r="J924">
        <v>0</v>
      </c>
      <c r="K924" s="3" t="str">
        <f>VLOOKUP(J924,'LibSets constants'!$A$4:$B$1017,2,FALSE)</f>
        <v>DLC_BASE_GAME</v>
      </c>
      <c r="L924" s="3" t="str">
        <f>VLOOKUP(J924,'LibSets constants'!$A$4:$C$1017,3,FALSE)</f>
        <v>Included in base game</v>
      </c>
    </row>
    <row r="925" spans="1:12" x14ac:dyDescent="0.25">
      <c r="A925">
        <v>1373</v>
      </c>
      <c r="B925">
        <v>920</v>
      </c>
      <c r="C925" s="45">
        <v>1383</v>
      </c>
      <c r="D925" t="s">
        <v>3447</v>
      </c>
      <c r="E925" s="3" t="str">
        <f t="array" ref="E925">IF(OR(EXACT(A925,'ESO Dungeon constants'!$D$3:$D$987)),"X","")</f>
        <v/>
      </c>
      <c r="F925" s="3" t="str">
        <f t="shared" si="56"/>
        <v/>
      </c>
      <c r="G925" s="3" t="str">
        <f t="shared" si="57"/>
        <v>Galen</v>
      </c>
      <c r="H925" s="17">
        <f t="shared" si="58"/>
        <v>1373</v>
      </c>
      <c r="I925" s="17">
        <f t="shared" si="59"/>
        <v>1383</v>
      </c>
      <c r="J925">
        <v>0</v>
      </c>
      <c r="K925" s="3" t="str">
        <f>VLOOKUP(J925,'LibSets constants'!$A$4:$B$1017,2,FALSE)</f>
        <v>DLC_BASE_GAME</v>
      </c>
      <c r="L925" s="3" t="str">
        <f>VLOOKUP(J925,'LibSets constants'!$A$4:$C$1017,3,FALSE)</f>
        <v>Included in base game</v>
      </c>
    </row>
    <row r="926" spans="1:12" x14ac:dyDescent="0.25">
      <c r="A926">
        <v>1374</v>
      </c>
      <c r="B926">
        <v>921</v>
      </c>
      <c r="C926" s="45">
        <v>1383</v>
      </c>
      <c r="D926" t="s">
        <v>3448</v>
      </c>
      <c r="E926" s="3" t="str">
        <f t="array" ref="E926">IF(OR(EXACT(A926,'ESO Dungeon constants'!$D$3:$D$987)),"X","")</f>
        <v/>
      </c>
      <c r="F926" s="3" t="str">
        <f t="shared" si="56"/>
        <v/>
      </c>
      <c r="G926" s="3" t="str">
        <f t="shared" si="57"/>
        <v>Galen</v>
      </c>
      <c r="H926" s="17">
        <f t="shared" si="58"/>
        <v>1374</v>
      </c>
      <c r="I926" s="17">
        <f t="shared" si="59"/>
        <v>1383</v>
      </c>
      <c r="J926">
        <v>0</v>
      </c>
      <c r="K926" s="3" t="str">
        <f>VLOOKUP(J926,'LibSets constants'!$A$4:$B$1017,2,FALSE)</f>
        <v>DLC_BASE_GAME</v>
      </c>
      <c r="L926" s="3" t="str">
        <f>VLOOKUP(J926,'LibSets constants'!$A$4:$C$1017,3,FALSE)</f>
        <v>Included in base game</v>
      </c>
    </row>
    <row r="927" spans="1:12" x14ac:dyDescent="0.25">
      <c r="A927">
        <v>1375</v>
      </c>
      <c r="B927">
        <v>922</v>
      </c>
      <c r="C927" s="45">
        <v>1383</v>
      </c>
      <c r="D927" t="s">
        <v>3449</v>
      </c>
      <c r="E927" s="3" t="str">
        <f t="array" ref="E927">IF(OR(EXACT(A927,'ESO Dungeon constants'!$D$3:$D$987)),"X","")</f>
        <v/>
      </c>
      <c r="F927" s="3" t="str">
        <f t="shared" si="56"/>
        <v/>
      </c>
      <c r="G927" s="3" t="str">
        <f t="shared" si="57"/>
        <v>Galen</v>
      </c>
      <c r="H927" s="17">
        <f t="shared" si="58"/>
        <v>1375</v>
      </c>
      <c r="I927" s="17">
        <f t="shared" si="59"/>
        <v>1383</v>
      </c>
      <c r="J927">
        <v>0</v>
      </c>
      <c r="K927" s="3" t="str">
        <f>VLOOKUP(J927,'LibSets constants'!$A$4:$B$1017,2,FALSE)</f>
        <v>DLC_BASE_GAME</v>
      </c>
      <c r="L927" s="3" t="str">
        <f>VLOOKUP(J927,'LibSets constants'!$A$4:$C$1017,3,FALSE)</f>
        <v>Included in base game</v>
      </c>
    </row>
    <row r="928" spans="1:12" x14ac:dyDescent="0.25">
      <c r="A928">
        <v>1376</v>
      </c>
      <c r="B928">
        <v>923</v>
      </c>
      <c r="C928" s="45">
        <v>1383</v>
      </c>
      <c r="D928" t="s">
        <v>3450</v>
      </c>
      <c r="E928" s="3" t="str">
        <f t="array" ref="E928">IF(OR(EXACT(A928,'ESO Dungeon constants'!$D$3:$D$987)),"X","")</f>
        <v/>
      </c>
      <c r="F928" s="3" t="str">
        <f t="shared" si="56"/>
        <v/>
      </c>
      <c r="G928" s="3" t="str">
        <f t="shared" si="57"/>
        <v>Galen</v>
      </c>
      <c r="H928" s="17">
        <f t="shared" si="58"/>
        <v>1376</v>
      </c>
      <c r="I928" s="17">
        <f t="shared" si="59"/>
        <v>1383</v>
      </c>
      <c r="J928">
        <v>0</v>
      </c>
      <c r="K928" s="3" t="str">
        <f>VLOOKUP(J928,'LibSets constants'!$A$4:$B$1017,2,FALSE)</f>
        <v>DLC_BASE_GAME</v>
      </c>
      <c r="L928" s="3" t="str">
        <f>VLOOKUP(J928,'LibSets constants'!$A$4:$C$1017,3,FALSE)</f>
        <v>Included in base game</v>
      </c>
    </row>
    <row r="929" spans="1:12" x14ac:dyDescent="0.25">
      <c r="A929">
        <v>1377</v>
      </c>
      <c r="B929">
        <v>924</v>
      </c>
      <c r="C929" s="45">
        <v>1383</v>
      </c>
      <c r="D929" t="s">
        <v>3458</v>
      </c>
      <c r="E929" s="3" t="str">
        <f t="array" ref="E929">IF(OR(EXACT(A929,'ESO Dungeon constants'!$D$3:$D$987)),"X","")</f>
        <v/>
      </c>
      <c r="F929" s="3" t="str">
        <f t="shared" si="56"/>
        <v/>
      </c>
      <c r="G929" s="3" t="str">
        <f t="shared" si="57"/>
        <v>Galen</v>
      </c>
      <c r="H929" s="17">
        <f t="shared" si="58"/>
        <v>1377</v>
      </c>
      <c r="I929" s="17">
        <f t="shared" si="59"/>
        <v>1383</v>
      </c>
      <c r="J929">
        <v>6</v>
      </c>
      <c r="K929" s="3" t="str">
        <f>VLOOKUP(J929,'LibSets constants'!$A$4:$B$1017,2,FALSE)</f>
        <v>DLC_MORROWIND</v>
      </c>
      <c r="L929" s="3" t="str">
        <f>VLOOKUP(J929,'LibSets constants'!$A$4:$C$1017,3,FALSE)</f>
        <v>Morrowind</v>
      </c>
    </row>
    <row r="930" spans="1:12" x14ac:dyDescent="0.25">
      <c r="A930">
        <v>1378</v>
      </c>
      <c r="B930">
        <v>925</v>
      </c>
      <c r="C930" s="45">
        <v>1383</v>
      </c>
      <c r="D930" t="s">
        <v>3457</v>
      </c>
      <c r="E930" s="3" t="str">
        <f t="array" ref="E930">IF(OR(EXACT(A930,'ESO Dungeon constants'!$D$3:$D$987)),"X","")</f>
        <v/>
      </c>
      <c r="F930" s="3" t="str">
        <f t="shared" si="56"/>
        <v/>
      </c>
      <c r="G930" s="3" t="str">
        <f t="shared" si="57"/>
        <v>Galen</v>
      </c>
      <c r="H930" s="17">
        <f t="shared" si="58"/>
        <v>1378</v>
      </c>
      <c r="I930" s="17">
        <f t="shared" si="59"/>
        <v>1383</v>
      </c>
      <c r="J930">
        <v>0</v>
      </c>
      <c r="K930" s="3" t="str">
        <f>VLOOKUP(J930,'LibSets constants'!$A$4:$B$1017,2,FALSE)</f>
        <v>DLC_BASE_GAME</v>
      </c>
      <c r="L930" s="3" t="str">
        <f>VLOOKUP(J930,'LibSets constants'!$A$4:$C$1017,3,FALSE)</f>
        <v>Included in base game</v>
      </c>
    </row>
    <row r="931" spans="1:12" x14ac:dyDescent="0.25">
      <c r="A931">
        <v>1379</v>
      </c>
      <c r="B931">
        <v>926</v>
      </c>
      <c r="C931" s="45">
        <v>1383</v>
      </c>
      <c r="D931" t="s">
        <v>3451</v>
      </c>
      <c r="E931" s="3" t="str">
        <f t="array" ref="E931">IF(OR(EXACT(A931,'ESO Dungeon constants'!$D$3:$D$987)),"X","")</f>
        <v/>
      </c>
      <c r="F931" s="3" t="str">
        <f t="shared" si="56"/>
        <v/>
      </c>
      <c r="G931" s="3" t="str">
        <f t="shared" si="57"/>
        <v>Galen</v>
      </c>
      <c r="H931" s="17">
        <f t="shared" si="58"/>
        <v>1379</v>
      </c>
      <c r="I931" s="17">
        <f t="shared" si="59"/>
        <v>1383</v>
      </c>
      <c r="J931">
        <v>0</v>
      </c>
      <c r="K931" s="3" t="str">
        <f>VLOOKUP(J931,'LibSets constants'!$A$4:$B$1017,2,FALSE)</f>
        <v>DLC_BASE_GAME</v>
      </c>
      <c r="L931" s="3" t="str">
        <f>VLOOKUP(J931,'LibSets constants'!$A$4:$C$1017,3,FALSE)</f>
        <v>Included in base game</v>
      </c>
    </row>
    <row r="932" spans="1:12" x14ac:dyDescent="0.25">
      <c r="A932">
        <v>1380</v>
      </c>
      <c r="B932">
        <v>927</v>
      </c>
      <c r="C932" s="45">
        <v>1383</v>
      </c>
      <c r="D932" t="s">
        <v>3452</v>
      </c>
      <c r="E932" s="3" t="str">
        <f t="array" ref="E932">IF(OR(EXACT(A932,'ESO Dungeon constants'!$D$3:$D$987)),"X","")</f>
        <v/>
      </c>
      <c r="F932" s="3" t="str">
        <f t="shared" si="56"/>
        <v/>
      </c>
      <c r="G932" s="3" t="str">
        <f t="shared" si="57"/>
        <v>Galen</v>
      </c>
      <c r="H932" s="17">
        <f t="shared" si="58"/>
        <v>1380</v>
      </c>
      <c r="I932" s="17">
        <f t="shared" si="59"/>
        <v>1383</v>
      </c>
      <c r="J932">
        <v>0</v>
      </c>
      <c r="K932" s="3" t="str">
        <f>VLOOKUP(J932,'LibSets constants'!$A$4:$B$1017,2,FALSE)</f>
        <v>DLC_BASE_GAME</v>
      </c>
      <c r="L932" s="3" t="str">
        <f>VLOOKUP(J932,'LibSets constants'!$A$4:$C$1017,3,FALSE)</f>
        <v>Included in base game</v>
      </c>
    </row>
    <row r="933" spans="1:12" x14ac:dyDescent="0.25">
      <c r="A933">
        <v>1381</v>
      </c>
      <c r="B933">
        <v>928</v>
      </c>
      <c r="C933" s="45">
        <v>1383</v>
      </c>
      <c r="D933" t="s">
        <v>3453</v>
      </c>
      <c r="E933" s="3" t="str">
        <f t="array" ref="E933">IF(OR(EXACT(A933,'ESO Dungeon constants'!$D$3:$D$987)),"X","")</f>
        <v/>
      </c>
      <c r="F933" s="3" t="str">
        <f t="shared" si="56"/>
        <v/>
      </c>
      <c r="G933" s="3" t="str">
        <f t="shared" si="57"/>
        <v>Galen</v>
      </c>
      <c r="H933" s="17">
        <f t="shared" si="58"/>
        <v>1381</v>
      </c>
      <c r="I933" s="17">
        <f t="shared" si="59"/>
        <v>1383</v>
      </c>
      <c r="J933">
        <v>0</v>
      </c>
      <c r="K933" s="3" t="str">
        <f>VLOOKUP(J933,'LibSets constants'!$A$4:$B$1017,2,FALSE)</f>
        <v>DLC_BASE_GAME</v>
      </c>
      <c r="L933" s="3" t="str">
        <f>VLOOKUP(J933,'LibSets constants'!$A$4:$C$1017,3,FALSE)</f>
        <v>Included in base game</v>
      </c>
    </row>
    <row r="934" spans="1:12" x14ac:dyDescent="0.25">
      <c r="A934">
        <v>1382</v>
      </c>
      <c r="B934">
        <v>929</v>
      </c>
      <c r="C934" s="45">
        <v>1383</v>
      </c>
      <c r="D934" t="s">
        <v>3895</v>
      </c>
      <c r="E934" s="3" t="str">
        <f t="array" ref="E934">IF(OR(EXACT(A934,'ESO Dungeon constants'!$D$3:$D$987)),"X","")</f>
        <v/>
      </c>
      <c r="F934" s="3" t="str">
        <f t="shared" si="56"/>
        <v/>
      </c>
      <c r="G934" s="3" t="str">
        <f t="shared" si="57"/>
        <v>Galen</v>
      </c>
      <c r="H934" s="17">
        <f t="shared" si="58"/>
        <v>1382</v>
      </c>
      <c r="I934" s="17">
        <f t="shared" si="59"/>
        <v>1383</v>
      </c>
      <c r="J934">
        <v>6</v>
      </c>
      <c r="K934" s="3" t="str">
        <f>VLOOKUP(J934,'LibSets constants'!$A$4:$B$1017,2,FALSE)</f>
        <v>DLC_MORROWIND</v>
      </c>
      <c r="L934" s="3" t="str">
        <f>VLOOKUP(J934,'LibSets constants'!$A$4:$C$1017,3,FALSE)</f>
        <v>Morrowind</v>
      </c>
    </row>
    <row r="935" spans="1:12" x14ac:dyDescent="0.25">
      <c r="A935">
        <v>1383</v>
      </c>
      <c r="B935">
        <v>930</v>
      </c>
      <c r="C935" s="45">
        <v>1383</v>
      </c>
      <c r="D935" t="s">
        <v>3456</v>
      </c>
      <c r="E935" s="3" t="str">
        <f t="array" ref="E935">IF(OR(EXACT(A935,'ESO Dungeon constants'!$D$3:$D$987)),"X","")</f>
        <v/>
      </c>
      <c r="F935" s="3" t="str">
        <f t="shared" si="56"/>
        <v>X</v>
      </c>
      <c r="G935" s="3" t="str">
        <f t="shared" si="57"/>
        <v/>
      </c>
      <c r="H935" s="17">
        <f t="shared" si="58"/>
        <v>1383</v>
      </c>
      <c r="I935" s="17">
        <f t="shared" si="59"/>
        <v>1383</v>
      </c>
      <c r="J935">
        <v>6</v>
      </c>
      <c r="K935" s="3" t="str">
        <f>VLOOKUP(J935,'LibSets constants'!$A$4:$B$1017,2,FALSE)</f>
        <v>DLC_MORROWIND</v>
      </c>
      <c r="L935" s="3" t="str">
        <f>VLOOKUP(J935,'LibSets constants'!$A$4:$C$1017,3,FALSE)</f>
        <v>Morrowind</v>
      </c>
    </row>
    <row r="936" spans="1:12" x14ac:dyDescent="0.25">
      <c r="A936">
        <v>1385</v>
      </c>
      <c r="B936">
        <v>931</v>
      </c>
      <c r="C936" s="45">
        <v>1383</v>
      </c>
      <c r="D936" t="s">
        <v>3455</v>
      </c>
      <c r="E936" s="3" t="str">
        <f t="array" ref="E936">IF(OR(EXACT(A936,'ESO Dungeon constants'!$D$3:$D$987)),"X","")</f>
        <v/>
      </c>
      <c r="F936" s="3" t="str">
        <f t="shared" si="56"/>
        <v/>
      </c>
      <c r="G936" s="3" t="str">
        <f t="shared" si="57"/>
        <v>Galen</v>
      </c>
      <c r="H936" s="17">
        <f t="shared" si="58"/>
        <v>1385</v>
      </c>
      <c r="I936" s="17">
        <f t="shared" si="59"/>
        <v>1383</v>
      </c>
      <c r="J936">
        <v>8</v>
      </c>
      <c r="K936" s="3" t="str">
        <f>VLOOKUP(J936,'LibSets constants'!$A$4:$B$1017,2,FALSE)</f>
        <v>DLC_CLOCKWORK_CITY</v>
      </c>
      <c r="L936" s="3" t="str">
        <f>VLOOKUP(J936,'LibSets constants'!$A$4:$C$1017,3,FALSE)</f>
        <v>Clockwork City</v>
      </c>
    </row>
    <row r="937" spans="1:12" x14ac:dyDescent="0.25">
      <c r="A937">
        <v>1386</v>
      </c>
      <c r="B937">
        <v>932</v>
      </c>
      <c r="C937" s="45">
        <v>1383</v>
      </c>
      <c r="D937" t="s">
        <v>3446</v>
      </c>
      <c r="E937" s="3" t="str">
        <f t="array" ref="E937">IF(OR(EXACT(A937,'ESO Dungeon constants'!$D$3:$D$987)),"X","")</f>
        <v/>
      </c>
      <c r="F937" s="3" t="str">
        <f t="shared" si="56"/>
        <v/>
      </c>
      <c r="G937" s="3" t="str">
        <f t="shared" si="57"/>
        <v>Galen</v>
      </c>
      <c r="H937" s="17">
        <f t="shared" si="58"/>
        <v>1386</v>
      </c>
      <c r="I937" s="17">
        <f t="shared" si="59"/>
        <v>1383</v>
      </c>
      <c r="J937">
        <v>8</v>
      </c>
      <c r="K937" s="3" t="str">
        <f>VLOOKUP(J937,'LibSets constants'!$A$4:$B$1017,2,FALSE)</f>
        <v>DLC_CLOCKWORK_CITY</v>
      </c>
      <c r="L937" s="3" t="str">
        <f>VLOOKUP(J937,'LibSets constants'!$A$4:$C$1017,3,FALSE)</f>
        <v>Clockwork City</v>
      </c>
    </row>
    <row r="938" spans="1:12" x14ac:dyDescent="0.25">
      <c r="A938">
        <v>1387</v>
      </c>
      <c r="B938">
        <v>933</v>
      </c>
      <c r="C938" s="45">
        <v>1383</v>
      </c>
      <c r="D938" t="s">
        <v>3454</v>
      </c>
      <c r="E938" s="3" t="str">
        <f t="array" ref="E938">IF(OR(EXACT(A938,'ESO Dungeon constants'!$D$3:$D$987)),"X","")</f>
        <v/>
      </c>
      <c r="F938" s="3" t="str">
        <f t="shared" si="56"/>
        <v/>
      </c>
      <c r="G938" s="3" t="str">
        <f t="shared" si="57"/>
        <v>Galen</v>
      </c>
      <c r="H938" s="17">
        <f t="shared" si="58"/>
        <v>1387</v>
      </c>
      <c r="I938" s="17">
        <f t="shared" si="59"/>
        <v>1383</v>
      </c>
      <c r="J938">
        <v>8</v>
      </c>
      <c r="K938" s="3" t="str">
        <f>VLOOKUP(J938,'LibSets constants'!$A$4:$B$1017,2,FALSE)</f>
        <v>DLC_CLOCKWORK_CITY</v>
      </c>
      <c r="L938" s="3" t="str">
        <f>VLOOKUP(J938,'LibSets constants'!$A$4:$C$1017,3,FALSE)</f>
        <v>Clockwork City</v>
      </c>
    </row>
    <row r="939" spans="1:12" x14ac:dyDescent="0.25">
      <c r="A939">
        <v>1389</v>
      </c>
      <c r="B939">
        <v>934</v>
      </c>
      <c r="C939" s="45">
        <v>41</v>
      </c>
      <c r="D939" t="s">
        <v>3538</v>
      </c>
      <c r="E939" s="3" t="str">
        <f t="array" ref="E939">IF(OR(EXACT(A939,'ESO Dungeon constants'!$D$3:$D$987)),"X","")</f>
        <v>X</v>
      </c>
      <c r="F939" s="3" t="str">
        <f t="shared" si="56"/>
        <v/>
      </c>
      <c r="G939" s="3" t="str">
        <f t="shared" si="57"/>
        <v>Stonefalls</v>
      </c>
      <c r="H939" s="17">
        <f t="shared" si="58"/>
        <v>1389</v>
      </c>
      <c r="I939" s="17">
        <f t="shared" si="59"/>
        <v>41</v>
      </c>
      <c r="J939">
        <v>8</v>
      </c>
      <c r="K939" s="3" t="str">
        <f>VLOOKUP(J939,'LibSets constants'!$A$4:$B$1017,2,FALSE)</f>
        <v>DLC_CLOCKWORK_CITY</v>
      </c>
      <c r="L939" s="3" t="str">
        <f>VLOOKUP(J939,'LibSets constants'!$A$4:$C$1017,3,FALSE)</f>
        <v>Clockwork City</v>
      </c>
    </row>
    <row r="940" spans="1:12" x14ac:dyDescent="0.25">
      <c r="A940">
        <v>1390</v>
      </c>
      <c r="B940">
        <v>935</v>
      </c>
      <c r="C940" s="45">
        <v>103</v>
      </c>
      <c r="D940" t="s">
        <v>3565</v>
      </c>
      <c r="E940" s="3" t="str">
        <f t="array" ref="E940">IF(OR(EXACT(A940,'ESO Dungeon constants'!$D$3:$D$987)),"X","")</f>
        <v>X</v>
      </c>
      <c r="F940" s="3" t="str">
        <f t="shared" si="56"/>
        <v/>
      </c>
      <c r="G940" s="3" t="str">
        <f t="shared" si="57"/>
        <v>The Rift</v>
      </c>
      <c r="H940" s="17">
        <f t="shared" si="58"/>
        <v>1390</v>
      </c>
      <c r="I940" s="17">
        <f t="shared" si="59"/>
        <v>103</v>
      </c>
      <c r="J940">
        <v>6</v>
      </c>
      <c r="K940" s="3" t="str">
        <f>VLOOKUP(J940,'LibSets constants'!$A$4:$B$1017,2,FALSE)</f>
        <v>DLC_MORROWIND</v>
      </c>
      <c r="L940" s="3" t="str">
        <f>VLOOKUP(J940,'LibSets constants'!$A$4:$C$1017,3,FALSE)</f>
        <v>Morrowind</v>
      </c>
    </row>
    <row r="941" spans="1:12" x14ac:dyDescent="0.25">
      <c r="A941">
        <v>1391</v>
      </c>
      <c r="B941">
        <v>936</v>
      </c>
      <c r="C941" s="45">
        <v>537</v>
      </c>
      <c r="D941" t="s">
        <v>3564</v>
      </c>
      <c r="E941" s="3" t="str">
        <f t="array" ref="E941">IF(OR(EXACT(A941,'ESO Dungeon constants'!$D$3:$D$987)),"X","")</f>
        <v/>
      </c>
      <c r="F941" s="3" t="str">
        <f t="shared" si="56"/>
        <v/>
      </c>
      <c r="G941" s="3" t="str">
        <f t="shared" si="57"/>
        <v>Khenarthi's Roost</v>
      </c>
      <c r="H941" s="17">
        <f t="shared" si="58"/>
        <v>1391</v>
      </c>
      <c r="I941" s="17">
        <f t="shared" si="59"/>
        <v>537</v>
      </c>
      <c r="J941">
        <v>6</v>
      </c>
      <c r="K941" s="3" t="str">
        <f>VLOOKUP(J941,'LibSets constants'!$A$4:$B$1017,2,FALSE)</f>
        <v>DLC_MORROWIND</v>
      </c>
      <c r="L941" s="3" t="str">
        <f>VLOOKUP(J941,'LibSets constants'!$A$4:$C$1017,3,FALSE)</f>
        <v>Morrowind</v>
      </c>
    </row>
    <row r="942" spans="1:12" x14ac:dyDescent="0.25">
      <c r="A942">
        <v>1392</v>
      </c>
      <c r="B942">
        <v>937</v>
      </c>
      <c r="C942" s="45">
        <v>537</v>
      </c>
      <c r="D942" t="s">
        <v>3563</v>
      </c>
      <c r="E942" s="3" t="str">
        <f t="array" ref="E942">IF(OR(EXACT(A942,'ESO Dungeon constants'!$D$3:$D$987)),"X","")</f>
        <v/>
      </c>
      <c r="F942" s="3" t="str">
        <f t="shared" si="56"/>
        <v/>
      </c>
      <c r="G942" s="3" t="str">
        <f t="shared" si="57"/>
        <v>Khenarthi's Roost</v>
      </c>
      <c r="H942" s="17">
        <f t="shared" si="58"/>
        <v>1392</v>
      </c>
      <c r="I942" s="17">
        <f t="shared" si="59"/>
        <v>537</v>
      </c>
      <c r="J942">
        <v>7</v>
      </c>
      <c r="K942" s="3" t="str">
        <f>VLOOKUP(J942,'LibSets constants'!$A$4:$B$1017,2,FALSE)</f>
        <v>DLC_HORNS_OF_THE_REACH</v>
      </c>
      <c r="L942" s="3" t="str">
        <f>VLOOKUP(J942,'LibSets constants'!$A$4:$C$1017,3,FALSE)</f>
        <v>Horns of the Reach</v>
      </c>
    </row>
    <row r="943" spans="1:12" x14ac:dyDescent="0.25">
      <c r="A943">
        <v>1393</v>
      </c>
      <c r="B943">
        <v>938</v>
      </c>
      <c r="C943" s="45">
        <v>1414</v>
      </c>
      <c r="D943" t="s">
        <v>3695</v>
      </c>
      <c r="E943" s="3" t="str">
        <f t="array" ref="E943">IF(OR(EXACT(A943,'ESO Dungeon constants'!$D$3:$D$987)),"X","")</f>
        <v/>
      </c>
      <c r="F943" s="3" t="str">
        <f t="shared" si="56"/>
        <v/>
      </c>
      <c r="G943" s="3" t="str">
        <f t="shared" si="57"/>
        <v>Telvanni Peninsula</v>
      </c>
      <c r="H943" s="17">
        <f t="shared" si="58"/>
        <v>1393</v>
      </c>
      <c r="I943" s="17">
        <f t="shared" si="59"/>
        <v>1414</v>
      </c>
      <c r="J943">
        <v>7</v>
      </c>
      <c r="K943" s="3" t="str">
        <f>VLOOKUP(J943,'LibSets constants'!$A$4:$B$1017,2,FALSE)</f>
        <v>DLC_HORNS_OF_THE_REACH</v>
      </c>
      <c r="L943" s="3" t="str">
        <f>VLOOKUP(J943,'LibSets constants'!$A$4:$C$1017,3,FALSE)</f>
        <v>Horns of the Reach</v>
      </c>
    </row>
    <row r="944" spans="1:12" x14ac:dyDescent="0.25">
      <c r="A944">
        <v>1394</v>
      </c>
      <c r="B944">
        <v>939</v>
      </c>
      <c r="C944" s="45">
        <v>1414</v>
      </c>
      <c r="D944" t="s">
        <v>3694</v>
      </c>
      <c r="E944" s="3" t="str">
        <f t="array" ref="E944">IF(OR(EXACT(A944,'ESO Dungeon constants'!$D$3:$D$987)),"X","")</f>
        <v/>
      </c>
      <c r="F944" s="3" t="str">
        <f t="shared" si="56"/>
        <v/>
      </c>
      <c r="G944" s="3" t="str">
        <f t="shared" si="57"/>
        <v>Telvanni Peninsula</v>
      </c>
      <c r="H944" s="17">
        <f t="shared" si="58"/>
        <v>1394</v>
      </c>
      <c r="I944" s="17">
        <f t="shared" si="59"/>
        <v>1414</v>
      </c>
      <c r="J944">
        <v>30</v>
      </c>
      <c r="K944" s="3" t="str">
        <f>VLOOKUP(J944,'LibSets constants'!$A$4:$B$1017,2,FALSE)</f>
        <v>DLC_NECROM</v>
      </c>
      <c r="L944" s="3" t="str">
        <f>VLOOKUP(J944,'LibSets constants'!$A$4:$C$1017,3,FALSE)</f>
        <v>Necrom</v>
      </c>
    </row>
    <row r="945" spans="1:12" x14ac:dyDescent="0.25">
      <c r="A945">
        <v>1395</v>
      </c>
      <c r="B945">
        <v>940</v>
      </c>
      <c r="C945" s="45">
        <v>1414</v>
      </c>
      <c r="D945" t="s">
        <v>3694</v>
      </c>
      <c r="E945" s="3" t="str">
        <f t="array" ref="E945">IF(OR(EXACT(A945,'ESO Dungeon constants'!$D$3:$D$987)),"X","")</f>
        <v/>
      </c>
      <c r="F945" s="3" t="str">
        <f t="shared" si="56"/>
        <v/>
      </c>
      <c r="G945" s="3" t="str">
        <f t="shared" si="57"/>
        <v>Telvanni Peninsula</v>
      </c>
      <c r="H945" s="17">
        <f t="shared" si="58"/>
        <v>1395</v>
      </c>
      <c r="I945" s="17">
        <f t="shared" si="59"/>
        <v>1414</v>
      </c>
      <c r="J945">
        <v>30</v>
      </c>
      <c r="K945" s="3" t="str">
        <f>VLOOKUP(J945,'LibSets constants'!$A$4:$B$1017,2,FALSE)</f>
        <v>DLC_NECROM</v>
      </c>
      <c r="L945" s="3" t="str">
        <f>VLOOKUP(J945,'LibSets constants'!$A$4:$C$1017,3,FALSE)</f>
        <v>Necrom</v>
      </c>
    </row>
    <row r="946" spans="1:12" x14ac:dyDescent="0.25">
      <c r="A946">
        <v>1396</v>
      </c>
      <c r="B946">
        <v>941</v>
      </c>
      <c r="C946" s="45">
        <v>1414</v>
      </c>
      <c r="D946" t="s">
        <v>3693</v>
      </c>
      <c r="E946" s="3" t="str">
        <f t="array" ref="E946">IF(OR(EXACT(A946,'ESO Dungeon constants'!$D$3:$D$987)),"X","")</f>
        <v/>
      </c>
      <c r="F946" s="3" t="str">
        <f t="shared" si="56"/>
        <v/>
      </c>
      <c r="G946" s="3" t="str">
        <f t="shared" si="57"/>
        <v>Telvanni Peninsula</v>
      </c>
      <c r="H946" s="17">
        <f t="shared" si="58"/>
        <v>1396</v>
      </c>
      <c r="I946" s="17">
        <f t="shared" si="59"/>
        <v>1414</v>
      </c>
      <c r="J946">
        <v>30</v>
      </c>
      <c r="K946" s="3" t="str">
        <f>VLOOKUP(J946,'LibSets constants'!$A$4:$B$1017,2,FALSE)</f>
        <v>DLC_NECROM</v>
      </c>
      <c r="L946" s="3" t="str">
        <f>VLOOKUP(J946,'LibSets constants'!$A$4:$C$1017,3,FALSE)</f>
        <v>Necrom</v>
      </c>
    </row>
    <row r="947" spans="1:12" x14ac:dyDescent="0.25">
      <c r="A947">
        <v>1397</v>
      </c>
      <c r="B947">
        <v>942</v>
      </c>
      <c r="C947" s="45">
        <v>1414</v>
      </c>
      <c r="D947" t="s">
        <v>3669</v>
      </c>
      <c r="E947" s="3" t="str">
        <f t="array" ref="E947">IF(OR(EXACT(A947,'ESO Dungeon constants'!$D$3:$D$987)),"X","")</f>
        <v/>
      </c>
      <c r="F947" s="3" t="str">
        <f t="shared" si="56"/>
        <v/>
      </c>
      <c r="G947" s="3" t="str">
        <f t="shared" si="57"/>
        <v>Telvanni Peninsula</v>
      </c>
      <c r="H947" s="17">
        <f t="shared" si="58"/>
        <v>1397</v>
      </c>
      <c r="I947" s="17">
        <f t="shared" si="59"/>
        <v>1414</v>
      </c>
      <c r="J947">
        <v>30</v>
      </c>
      <c r="K947" s="3" t="str">
        <f>VLOOKUP(J947,'LibSets constants'!$A$4:$B$1017,2,FALSE)</f>
        <v>DLC_NECROM</v>
      </c>
      <c r="L947" s="3" t="str">
        <f>VLOOKUP(J947,'LibSets constants'!$A$4:$C$1017,3,FALSE)</f>
        <v>Necrom</v>
      </c>
    </row>
    <row r="948" spans="1:12" x14ac:dyDescent="0.25">
      <c r="A948">
        <v>1398</v>
      </c>
      <c r="B948">
        <v>943</v>
      </c>
      <c r="C948" s="45">
        <v>1414</v>
      </c>
      <c r="D948" t="s">
        <v>3692</v>
      </c>
      <c r="E948" s="3" t="str">
        <f t="array" ref="E948">IF(OR(EXACT(A948,'ESO Dungeon constants'!$D$3:$D$987)),"X","")</f>
        <v/>
      </c>
      <c r="F948" s="3" t="str">
        <f t="shared" si="56"/>
        <v/>
      </c>
      <c r="G948" s="3" t="str">
        <f t="shared" si="57"/>
        <v>Telvanni Peninsula</v>
      </c>
      <c r="H948" s="17">
        <f t="shared" si="58"/>
        <v>1398</v>
      </c>
      <c r="I948" s="17">
        <f t="shared" si="59"/>
        <v>1414</v>
      </c>
      <c r="J948">
        <v>30</v>
      </c>
      <c r="K948" s="3" t="str">
        <f>VLOOKUP(J948,'LibSets constants'!$A$4:$B$1017,2,FALSE)</f>
        <v>DLC_NECROM</v>
      </c>
      <c r="L948" s="3" t="str">
        <f>VLOOKUP(J948,'LibSets constants'!$A$4:$C$1017,3,FALSE)</f>
        <v>Necrom</v>
      </c>
    </row>
    <row r="949" spans="1:12" x14ac:dyDescent="0.25">
      <c r="A949">
        <v>1399</v>
      </c>
      <c r="B949">
        <v>944</v>
      </c>
      <c r="C949" s="45">
        <v>1414</v>
      </c>
      <c r="D949" t="s">
        <v>3691</v>
      </c>
      <c r="E949" s="3" t="str">
        <f t="array" ref="E949">IF(OR(EXACT(A949,'ESO Dungeon constants'!$D$3:$D$987)),"X","")</f>
        <v/>
      </c>
      <c r="F949" s="3" t="str">
        <f t="shared" si="56"/>
        <v/>
      </c>
      <c r="G949" s="3" t="str">
        <f t="shared" si="57"/>
        <v>Telvanni Peninsula</v>
      </c>
      <c r="H949" s="17">
        <f t="shared" si="58"/>
        <v>1399</v>
      </c>
      <c r="I949" s="17">
        <f t="shared" si="59"/>
        <v>1414</v>
      </c>
      <c r="J949">
        <v>30</v>
      </c>
      <c r="K949" s="3" t="str">
        <f>VLOOKUP(J949,'LibSets constants'!$A$4:$B$1017,2,FALSE)</f>
        <v>DLC_NECROM</v>
      </c>
      <c r="L949" s="3" t="str">
        <f>VLOOKUP(J949,'LibSets constants'!$A$4:$C$1017,3,FALSE)</f>
        <v>Necrom</v>
      </c>
    </row>
    <row r="950" spans="1:12" x14ac:dyDescent="0.25">
      <c r="A950">
        <v>1400</v>
      </c>
      <c r="B950">
        <v>945</v>
      </c>
      <c r="C950" s="45">
        <v>1414</v>
      </c>
      <c r="D950" t="s">
        <v>3690</v>
      </c>
      <c r="E950" s="3" t="str">
        <f t="array" ref="E950">IF(OR(EXACT(A950,'ESO Dungeon constants'!$D$3:$D$987)),"X","")</f>
        <v/>
      </c>
      <c r="F950" s="3" t="str">
        <f t="shared" si="56"/>
        <v/>
      </c>
      <c r="G950" s="3" t="str">
        <f t="shared" si="57"/>
        <v>Telvanni Peninsula</v>
      </c>
      <c r="H950" s="17">
        <f t="shared" si="58"/>
        <v>1400</v>
      </c>
      <c r="I950" s="17">
        <f t="shared" si="59"/>
        <v>1414</v>
      </c>
      <c r="J950">
        <v>30</v>
      </c>
      <c r="K950" s="3" t="str">
        <f>VLOOKUP(J950,'LibSets constants'!$A$4:$B$1017,2,FALSE)</f>
        <v>DLC_NECROM</v>
      </c>
      <c r="L950" s="3" t="str">
        <f>VLOOKUP(J950,'LibSets constants'!$A$4:$C$1017,3,FALSE)</f>
        <v>Necrom</v>
      </c>
    </row>
    <row r="951" spans="1:12" x14ac:dyDescent="0.25">
      <c r="A951">
        <v>1401</v>
      </c>
      <c r="B951">
        <v>946</v>
      </c>
      <c r="C951" s="45">
        <v>1414</v>
      </c>
      <c r="D951" t="s">
        <v>3689</v>
      </c>
      <c r="E951" s="3" t="str">
        <f t="array" ref="E951">IF(OR(EXACT(A951,'ESO Dungeon constants'!$D$3:$D$987)),"X","")</f>
        <v/>
      </c>
      <c r="F951" s="3" t="str">
        <f t="shared" si="56"/>
        <v/>
      </c>
      <c r="G951" s="3" t="str">
        <f t="shared" si="57"/>
        <v>Telvanni Peninsula</v>
      </c>
      <c r="H951" s="17">
        <f t="shared" si="58"/>
        <v>1401</v>
      </c>
      <c r="I951" s="17">
        <f t="shared" si="59"/>
        <v>1414</v>
      </c>
      <c r="J951">
        <v>30</v>
      </c>
      <c r="K951" s="3" t="str">
        <f>VLOOKUP(J951,'LibSets constants'!$A$4:$B$1017,2,FALSE)</f>
        <v>DLC_NECROM</v>
      </c>
      <c r="L951" s="3" t="str">
        <f>VLOOKUP(J951,'LibSets constants'!$A$4:$C$1017,3,FALSE)</f>
        <v>Necrom</v>
      </c>
    </row>
    <row r="952" spans="1:12" x14ac:dyDescent="0.25">
      <c r="A952">
        <v>1402</v>
      </c>
      <c r="B952">
        <v>947</v>
      </c>
      <c r="C952" s="45">
        <v>1414</v>
      </c>
      <c r="D952" t="s">
        <v>3688</v>
      </c>
      <c r="E952" s="3" t="str">
        <f t="array" ref="E952">IF(OR(EXACT(A952,'ESO Dungeon constants'!$D$3:$D$987)),"X","")</f>
        <v/>
      </c>
      <c r="F952" s="3" t="str">
        <f t="shared" si="56"/>
        <v/>
      </c>
      <c r="G952" s="3" t="str">
        <f t="shared" si="57"/>
        <v>Telvanni Peninsula</v>
      </c>
      <c r="H952" s="17">
        <f t="shared" si="58"/>
        <v>1402</v>
      </c>
      <c r="I952" s="17">
        <f t="shared" si="59"/>
        <v>1414</v>
      </c>
      <c r="J952">
        <v>30</v>
      </c>
      <c r="K952" s="3" t="str">
        <f>VLOOKUP(J952,'LibSets constants'!$A$4:$B$1017,2,FALSE)</f>
        <v>DLC_NECROM</v>
      </c>
      <c r="L952" s="3" t="str">
        <f>VLOOKUP(J952,'LibSets constants'!$A$4:$C$1017,3,FALSE)</f>
        <v>Necrom</v>
      </c>
    </row>
    <row r="953" spans="1:12" x14ac:dyDescent="0.25">
      <c r="A953">
        <v>1403</v>
      </c>
      <c r="B953">
        <v>948</v>
      </c>
      <c r="C953" s="45">
        <v>1414</v>
      </c>
      <c r="D953" t="s">
        <v>3687</v>
      </c>
      <c r="E953" s="3" t="str">
        <f t="array" ref="E953">IF(OR(EXACT(A953,'ESO Dungeon constants'!$D$3:$D$987)),"X","")</f>
        <v/>
      </c>
      <c r="F953" s="3" t="str">
        <f t="shared" si="56"/>
        <v/>
      </c>
      <c r="G953" s="3" t="str">
        <f t="shared" si="57"/>
        <v>Telvanni Peninsula</v>
      </c>
      <c r="H953" s="17">
        <f t="shared" si="58"/>
        <v>1403</v>
      </c>
      <c r="I953" s="17">
        <f t="shared" si="59"/>
        <v>1414</v>
      </c>
      <c r="J953">
        <v>30</v>
      </c>
      <c r="K953" s="3" t="str">
        <f>VLOOKUP(J953,'LibSets constants'!$A$4:$B$1017,2,FALSE)</f>
        <v>DLC_NECROM</v>
      </c>
      <c r="L953" s="3" t="str">
        <f>VLOOKUP(J953,'LibSets constants'!$A$4:$C$1017,3,FALSE)</f>
        <v>Necrom</v>
      </c>
    </row>
    <row r="954" spans="1:12" x14ac:dyDescent="0.25">
      <c r="A954">
        <v>1404</v>
      </c>
      <c r="B954">
        <v>949</v>
      </c>
      <c r="C954" s="45">
        <v>1414</v>
      </c>
      <c r="D954" t="s">
        <v>3696</v>
      </c>
      <c r="E954" s="3" t="str">
        <f t="array" ref="E954">IF(OR(EXACT(A954,'ESO Dungeon constants'!$D$3:$D$987)),"X","")</f>
        <v/>
      </c>
      <c r="F954" s="3" t="str">
        <f t="shared" si="56"/>
        <v/>
      </c>
      <c r="G954" s="3" t="str">
        <f t="shared" si="57"/>
        <v>Telvanni Peninsula</v>
      </c>
      <c r="H954" s="17">
        <f t="shared" si="58"/>
        <v>1404</v>
      </c>
      <c r="I954" s="17">
        <f t="shared" si="59"/>
        <v>1414</v>
      </c>
      <c r="J954">
        <v>30</v>
      </c>
      <c r="K954" s="3" t="str">
        <f>VLOOKUP(J954,'LibSets constants'!$A$4:$B$1017,2,FALSE)</f>
        <v>DLC_NECROM</v>
      </c>
      <c r="L954" s="3" t="str">
        <f>VLOOKUP(J954,'LibSets constants'!$A$4:$C$1017,3,FALSE)</f>
        <v>Necrom</v>
      </c>
    </row>
    <row r="955" spans="1:12" x14ac:dyDescent="0.25">
      <c r="A955">
        <v>1405</v>
      </c>
      <c r="B955">
        <v>950</v>
      </c>
      <c r="C955" s="45">
        <v>1414</v>
      </c>
      <c r="D955" t="s">
        <v>3697</v>
      </c>
      <c r="E955" s="3" t="str">
        <f t="array" ref="E955">IF(OR(EXACT(A955,'ESO Dungeon constants'!$D$3:$D$987)),"X","")</f>
        <v/>
      </c>
      <c r="F955" s="3" t="str">
        <f t="shared" si="56"/>
        <v/>
      </c>
      <c r="G955" s="3" t="str">
        <f t="shared" si="57"/>
        <v>Telvanni Peninsula</v>
      </c>
      <c r="H955" s="17">
        <f t="shared" si="58"/>
        <v>1405</v>
      </c>
      <c r="I955" s="17">
        <f t="shared" si="59"/>
        <v>1414</v>
      </c>
      <c r="J955">
        <v>30</v>
      </c>
      <c r="K955" s="3" t="str">
        <f>VLOOKUP(J955,'LibSets constants'!$A$4:$B$1017,2,FALSE)</f>
        <v>DLC_NECROM</v>
      </c>
      <c r="L955" s="3" t="str">
        <f>VLOOKUP(J955,'LibSets constants'!$A$4:$C$1017,3,FALSE)</f>
        <v>Necrom</v>
      </c>
    </row>
    <row r="956" spans="1:12" x14ac:dyDescent="0.25">
      <c r="A956">
        <v>1406</v>
      </c>
      <c r="B956">
        <v>951</v>
      </c>
      <c r="C956" s="45">
        <v>1414</v>
      </c>
      <c r="D956" t="s">
        <v>3698</v>
      </c>
      <c r="E956" s="3" t="str">
        <f t="array" ref="E956">IF(OR(EXACT(A956,'ESO Dungeon constants'!$D$3:$D$987)),"X","")</f>
        <v/>
      </c>
      <c r="F956" s="3" t="str">
        <f t="shared" si="56"/>
        <v/>
      </c>
      <c r="G956" s="3" t="str">
        <f t="shared" si="57"/>
        <v>Telvanni Peninsula</v>
      </c>
      <c r="H956" s="17">
        <f t="shared" si="58"/>
        <v>1406</v>
      </c>
      <c r="I956" s="17">
        <f t="shared" si="59"/>
        <v>1414</v>
      </c>
      <c r="J956">
        <v>30</v>
      </c>
      <c r="K956" s="3" t="str">
        <f>VLOOKUP(J956,'LibSets constants'!$A$4:$B$1017,2,FALSE)</f>
        <v>DLC_NECROM</v>
      </c>
      <c r="L956" s="3" t="str">
        <f>VLOOKUP(J956,'LibSets constants'!$A$4:$C$1017,3,FALSE)</f>
        <v>Necrom</v>
      </c>
    </row>
    <row r="957" spans="1:12" x14ac:dyDescent="0.25">
      <c r="A957">
        <v>1407</v>
      </c>
      <c r="B957">
        <v>952</v>
      </c>
      <c r="C957" s="45">
        <v>1414</v>
      </c>
      <c r="D957" t="s">
        <v>3686</v>
      </c>
      <c r="E957" s="3" t="str">
        <f t="array" ref="E957">IF(OR(EXACT(A957,'ESO Dungeon constants'!$D$3:$D$987)),"X","")</f>
        <v/>
      </c>
      <c r="F957" s="3" t="str">
        <f t="shared" si="56"/>
        <v/>
      </c>
      <c r="G957" s="3" t="str">
        <f t="shared" si="57"/>
        <v>Telvanni Peninsula</v>
      </c>
      <c r="H957" s="17">
        <f t="shared" si="58"/>
        <v>1407</v>
      </c>
      <c r="I957" s="17">
        <f t="shared" si="59"/>
        <v>1414</v>
      </c>
      <c r="J957">
        <v>30</v>
      </c>
      <c r="K957" s="3" t="str">
        <f>VLOOKUP(J957,'LibSets constants'!$A$4:$B$1017,2,FALSE)</f>
        <v>DLC_NECROM</v>
      </c>
      <c r="L957" s="3" t="str">
        <f>VLOOKUP(J957,'LibSets constants'!$A$4:$C$1017,3,FALSE)</f>
        <v>Necrom</v>
      </c>
    </row>
    <row r="958" spans="1:12" x14ac:dyDescent="0.25">
      <c r="A958">
        <v>1408</v>
      </c>
      <c r="B958">
        <v>953</v>
      </c>
      <c r="C958" s="45">
        <v>1414</v>
      </c>
      <c r="D958" t="s">
        <v>3670</v>
      </c>
      <c r="E958" s="3" t="str">
        <f t="array" ref="E958">IF(OR(EXACT(A958,'ESO Dungeon constants'!$D$3:$D$987)),"X","")</f>
        <v/>
      </c>
      <c r="F958" s="3" t="str">
        <f t="shared" si="56"/>
        <v/>
      </c>
      <c r="G958" s="3" t="str">
        <f t="shared" si="57"/>
        <v>Telvanni Peninsula</v>
      </c>
      <c r="H958" s="17">
        <f t="shared" si="58"/>
        <v>1408</v>
      </c>
      <c r="I958" s="17">
        <f t="shared" si="59"/>
        <v>1414</v>
      </c>
      <c r="J958">
        <v>30</v>
      </c>
      <c r="K958" s="3" t="str">
        <f>VLOOKUP(J958,'LibSets constants'!$A$4:$B$1017,2,FALSE)</f>
        <v>DLC_NECROM</v>
      </c>
      <c r="L958" s="3" t="str">
        <f>VLOOKUP(J958,'LibSets constants'!$A$4:$C$1017,3,FALSE)</f>
        <v>Necrom</v>
      </c>
    </row>
    <row r="959" spans="1:12" x14ac:dyDescent="0.25">
      <c r="A959">
        <v>1409</v>
      </c>
      <c r="B959">
        <v>954</v>
      </c>
      <c r="C959" s="45">
        <v>1414</v>
      </c>
      <c r="D959" t="s">
        <v>3685</v>
      </c>
      <c r="E959" s="3" t="str">
        <f t="array" ref="E959">IF(OR(EXACT(A959,'ESO Dungeon constants'!$D$3:$D$987)),"X","")</f>
        <v/>
      </c>
      <c r="F959" s="3" t="str">
        <f t="shared" si="56"/>
        <v/>
      </c>
      <c r="G959" s="3" t="str">
        <f t="shared" si="57"/>
        <v>Telvanni Peninsula</v>
      </c>
      <c r="H959" s="17">
        <f t="shared" si="58"/>
        <v>1409</v>
      </c>
      <c r="I959" s="17">
        <f t="shared" si="59"/>
        <v>1414</v>
      </c>
      <c r="J959">
        <v>30</v>
      </c>
      <c r="K959" s="3" t="str">
        <f>VLOOKUP(J959,'LibSets constants'!$A$4:$B$1017,2,FALSE)</f>
        <v>DLC_NECROM</v>
      </c>
      <c r="L959" s="3" t="str">
        <f>VLOOKUP(J959,'LibSets constants'!$A$4:$C$1017,3,FALSE)</f>
        <v>Necrom</v>
      </c>
    </row>
    <row r="960" spans="1:12" x14ac:dyDescent="0.25">
      <c r="A960">
        <v>1410</v>
      </c>
      <c r="B960">
        <v>955</v>
      </c>
      <c r="C960" s="45">
        <v>1414</v>
      </c>
      <c r="D960" t="s">
        <v>3684</v>
      </c>
      <c r="E960" s="3" t="str">
        <f t="array" ref="E960">IF(OR(EXACT(A960,'ESO Dungeon constants'!$D$3:$D$987)),"X","")</f>
        <v/>
      </c>
      <c r="F960" s="3" t="str">
        <f t="shared" si="56"/>
        <v/>
      </c>
      <c r="G960" s="3" t="str">
        <f t="shared" si="57"/>
        <v>Telvanni Peninsula</v>
      </c>
      <c r="H960" s="17">
        <f t="shared" si="58"/>
        <v>1410</v>
      </c>
      <c r="I960" s="17">
        <f t="shared" si="59"/>
        <v>1414</v>
      </c>
      <c r="J960">
        <v>30</v>
      </c>
      <c r="K960" s="3" t="str">
        <f>VLOOKUP(J960,'LibSets constants'!$A$4:$B$1017,2,FALSE)</f>
        <v>DLC_NECROM</v>
      </c>
      <c r="L960" s="3" t="str">
        <f>VLOOKUP(J960,'LibSets constants'!$A$4:$C$1017,3,FALSE)</f>
        <v>Necrom</v>
      </c>
    </row>
    <row r="961" spans="1:12" x14ac:dyDescent="0.25">
      <c r="A961">
        <v>1411</v>
      </c>
      <c r="B961">
        <v>956</v>
      </c>
      <c r="C961" s="45">
        <v>1414</v>
      </c>
      <c r="D961" t="s">
        <v>3683</v>
      </c>
      <c r="E961" s="3" t="str">
        <f t="array" ref="E961">IF(OR(EXACT(A961,'ESO Dungeon constants'!$D$3:$D$987)),"X","")</f>
        <v/>
      </c>
      <c r="F961" s="3" t="str">
        <f t="shared" si="56"/>
        <v/>
      </c>
      <c r="G961" s="3" t="str">
        <f t="shared" si="57"/>
        <v>Telvanni Peninsula</v>
      </c>
      <c r="H961" s="17">
        <f t="shared" si="58"/>
        <v>1411</v>
      </c>
      <c r="I961" s="17">
        <f t="shared" si="59"/>
        <v>1414</v>
      </c>
      <c r="J961">
        <v>30</v>
      </c>
      <c r="K961" s="3" t="str">
        <f>VLOOKUP(J961,'LibSets constants'!$A$4:$B$1017,2,FALSE)</f>
        <v>DLC_NECROM</v>
      </c>
      <c r="L961" s="3" t="str">
        <f>VLOOKUP(J961,'LibSets constants'!$A$4:$C$1017,3,FALSE)</f>
        <v>Necrom</v>
      </c>
    </row>
    <row r="962" spans="1:12" x14ac:dyDescent="0.25">
      <c r="A962">
        <v>1412</v>
      </c>
      <c r="B962">
        <v>957</v>
      </c>
      <c r="C962" s="45">
        <v>1414</v>
      </c>
      <c r="D962" t="s">
        <v>3682</v>
      </c>
      <c r="E962" s="3" t="str">
        <f t="array" ref="E962">IF(OR(EXACT(A962,'ESO Dungeon constants'!$D$3:$D$987)),"X","")</f>
        <v/>
      </c>
      <c r="F962" s="3" t="str">
        <f t="shared" si="56"/>
        <v/>
      </c>
      <c r="G962" s="3" t="str">
        <f t="shared" si="57"/>
        <v>Telvanni Peninsula</v>
      </c>
      <c r="H962" s="17">
        <f t="shared" si="58"/>
        <v>1412</v>
      </c>
      <c r="I962" s="17">
        <f t="shared" si="59"/>
        <v>1414</v>
      </c>
      <c r="J962">
        <v>30</v>
      </c>
      <c r="K962" s="3" t="str">
        <f>VLOOKUP(J962,'LibSets constants'!$A$4:$B$1017,2,FALSE)</f>
        <v>DLC_NECROM</v>
      </c>
      <c r="L962" s="3" t="str">
        <f>VLOOKUP(J962,'LibSets constants'!$A$4:$C$1017,3,FALSE)</f>
        <v>Necrom</v>
      </c>
    </row>
    <row r="963" spans="1:12" x14ac:dyDescent="0.25">
      <c r="A963">
        <v>1413</v>
      </c>
      <c r="B963">
        <v>958</v>
      </c>
      <c r="C963" s="45">
        <v>1414</v>
      </c>
      <c r="D963" t="s">
        <v>3609</v>
      </c>
      <c r="E963" s="3" t="str">
        <f t="array" ref="E963">IF(OR(EXACT(A963,'ESO Dungeon constants'!$D$3:$D$987)),"X","")</f>
        <v/>
      </c>
      <c r="F963" s="3" t="str">
        <f t="shared" si="56"/>
        <v/>
      </c>
      <c r="G963" s="3" t="str">
        <f t="shared" si="57"/>
        <v>Telvanni Peninsula</v>
      </c>
      <c r="H963" s="17">
        <f t="shared" si="58"/>
        <v>1413</v>
      </c>
      <c r="I963" s="17">
        <f t="shared" si="59"/>
        <v>1414</v>
      </c>
      <c r="J963">
        <v>30</v>
      </c>
      <c r="K963" s="3" t="str">
        <f>VLOOKUP(J963,'LibSets constants'!$A$4:$B$1017,2,FALSE)</f>
        <v>DLC_NECROM</v>
      </c>
      <c r="L963" s="3" t="str">
        <f>VLOOKUP(J963,'LibSets constants'!$A$4:$C$1017,3,FALSE)</f>
        <v>Necrom</v>
      </c>
    </row>
    <row r="964" spans="1:12" x14ac:dyDescent="0.25">
      <c r="A964">
        <v>1414</v>
      </c>
      <c r="B964">
        <v>959</v>
      </c>
      <c r="C964" s="45">
        <v>1414</v>
      </c>
      <c r="D964" t="s">
        <v>3681</v>
      </c>
      <c r="E964" s="3" t="str">
        <f t="array" ref="E964">IF(OR(EXACT(A964,'ESO Dungeon constants'!$D$3:$D$987)),"X","")</f>
        <v/>
      </c>
      <c r="F964" s="3" t="str">
        <f t="shared" si="56"/>
        <v>X</v>
      </c>
      <c r="G964" s="3" t="str">
        <f t="shared" si="57"/>
        <v/>
      </c>
      <c r="H964" s="17">
        <f t="shared" si="58"/>
        <v>1414</v>
      </c>
      <c r="I964" s="17">
        <f t="shared" si="59"/>
        <v>1414</v>
      </c>
      <c r="J964">
        <v>30</v>
      </c>
      <c r="K964" s="3" t="str">
        <f>VLOOKUP(J964,'LibSets constants'!$A$4:$B$1017,2,FALSE)</f>
        <v>DLC_NECROM</v>
      </c>
      <c r="L964" s="3" t="str">
        <f>VLOOKUP(J964,'LibSets constants'!$A$4:$C$1017,3,FALSE)</f>
        <v>Necrom</v>
      </c>
    </row>
    <row r="965" spans="1:12" x14ac:dyDescent="0.25">
      <c r="A965">
        <v>1415</v>
      </c>
      <c r="B965">
        <v>960</v>
      </c>
      <c r="C965" s="45">
        <v>1414</v>
      </c>
      <c r="D965" t="s">
        <v>3671</v>
      </c>
      <c r="E965" s="3" t="str">
        <f t="array" ref="E965">IF(OR(EXACT(A965,'ESO Dungeon constants'!$D$3:$D$987)),"X","")</f>
        <v/>
      </c>
      <c r="F965" s="3" t="str">
        <f t="shared" ref="F965:F982" si="60">IF(EXACT(A965,C965),"X","")</f>
        <v/>
      </c>
      <c r="G965" s="3" t="str">
        <f t="shared" ref="G965:G982" si="61">IF(A965&lt;&gt;C965,VLOOKUP(C965,$A$5:$D$9954,4,FALSE),"")</f>
        <v>Telvanni Peninsula</v>
      </c>
      <c r="H965" s="17">
        <f t="shared" ref="H965:H982" si="62">A965</f>
        <v>1415</v>
      </c>
      <c r="I965" s="17">
        <f t="shared" ref="I965:I982" si="63">C965</f>
        <v>1414</v>
      </c>
      <c r="J965">
        <v>30</v>
      </c>
      <c r="K965" s="3" t="str">
        <f>VLOOKUP(J965,'LibSets constants'!$A$4:$B$1017,2,FALSE)</f>
        <v>DLC_NECROM</v>
      </c>
      <c r="L965" s="3" t="str">
        <f>VLOOKUP(J965,'LibSets constants'!$A$4:$C$1017,3,FALSE)</f>
        <v>Necrom</v>
      </c>
    </row>
    <row r="966" spans="1:12" x14ac:dyDescent="0.25">
      <c r="A966">
        <v>1416</v>
      </c>
      <c r="B966">
        <v>961</v>
      </c>
      <c r="C966" s="45">
        <v>1414</v>
      </c>
      <c r="D966" t="s">
        <v>3680</v>
      </c>
      <c r="E966" s="3" t="str">
        <f t="array" ref="E966">IF(OR(EXACT(A966,'ESO Dungeon constants'!$D$3:$D$987)),"X","")</f>
        <v/>
      </c>
      <c r="F966" s="3" t="str">
        <f t="shared" si="60"/>
        <v/>
      </c>
      <c r="G966" s="3" t="str">
        <f t="shared" si="61"/>
        <v>Telvanni Peninsula</v>
      </c>
      <c r="H966" s="17">
        <f t="shared" si="62"/>
        <v>1416</v>
      </c>
      <c r="I966" s="17">
        <f t="shared" si="63"/>
        <v>1414</v>
      </c>
      <c r="J966">
        <v>30</v>
      </c>
      <c r="K966" s="3" t="str">
        <f>VLOOKUP(J966,'LibSets constants'!$A$4:$B$1017,2,FALSE)</f>
        <v>DLC_NECROM</v>
      </c>
      <c r="L966" s="3" t="str">
        <f>VLOOKUP(J966,'LibSets constants'!$A$4:$C$1017,3,FALSE)</f>
        <v>Necrom</v>
      </c>
    </row>
    <row r="967" spans="1:12" x14ac:dyDescent="0.25">
      <c r="A967">
        <v>1417</v>
      </c>
      <c r="B967">
        <v>962</v>
      </c>
      <c r="C967" s="45">
        <v>1414</v>
      </c>
      <c r="D967" t="s">
        <v>3679</v>
      </c>
      <c r="E967" s="3" t="str">
        <f t="array" ref="E967">IF(OR(EXACT(A967,'ESO Dungeon constants'!$D$3:$D$987)),"X","")</f>
        <v/>
      </c>
      <c r="F967" s="3" t="str">
        <f t="shared" si="60"/>
        <v/>
      </c>
      <c r="G967" s="3" t="str">
        <f t="shared" si="61"/>
        <v>Telvanni Peninsula</v>
      </c>
      <c r="H967" s="17">
        <f t="shared" si="62"/>
        <v>1417</v>
      </c>
      <c r="I967" s="17">
        <f t="shared" si="63"/>
        <v>1414</v>
      </c>
      <c r="J967">
        <v>30</v>
      </c>
      <c r="K967" s="3" t="str">
        <f>VLOOKUP(J967,'LibSets constants'!$A$4:$B$1017,2,FALSE)</f>
        <v>DLC_NECROM</v>
      </c>
      <c r="L967" s="3" t="str">
        <f>VLOOKUP(J967,'LibSets constants'!$A$4:$C$1017,3,FALSE)</f>
        <v>Necrom</v>
      </c>
    </row>
    <row r="968" spans="1:12" x14ac:dyDescent="0.25">
      <c r="A968">
        <v>1420</v>
      </c>
      <c r="B968">
        <v>963</v>
      </c>
      <c r="C968" s="45">
        <v>1414</v>
      </c>
      <c r="D968" t="s">
        <v>3678</v>
      </c>
      <c r="E968" s="3" t="str">
        <f t="array" ref="E968">IF(OR(EXACT(A968,'ESO Dungeon constants'!$D$3:$D$987)),"X","")</f>
        <v/>
      </c>
      <c r="F968" s="3" t="str">
        <f t="shared" si="60"/>
        <v/>
      </c>
      <c r="G968" s="3" t="str">
        <f t="shared" si="61"/>
        <v>Telvanni Peninsula</v>
      </c>
      <c r="H968" s="17">
        <f t="shared" si="62"/>
        <v>1420</v>
      </c>
      <c r="I968" s="17">
        <f t="shared" si="63"/>
        <v>1414</v>
      </c>
      <c r="J968">
        <v>30</v>
      </c>
      <c r="K968" s="3" t="str">
        <f>VLOOKUP(J968,'LibSets constants'!$A$4:$B$1017,2,FALSE)</f>
        <v>DLC_NECROM</v>
      </c>
      <c r="L968" s="3" t="str">
        <f>VLOOKUP(J968,'LibSets constants'!$A$4:$C$1017,3,FALSE)</f>
        <v>Necrom</v>
      </c>
    </row>
    <row r="969" spans="1:12" x14ac:dyDescent="0.25">
      <c r="A969">
        <v>1421</v>
      </c>
      <c r="B969">
        <v>964</v>
      </c>
      <c r="C969" s="45">
        <v>1414</v>
      </c>
      <c r="D969" t="s">
        <v>3677</v>
      </c>
      <c r="E969" s="3" t="str">
        <f t="array" ref="E969">IF(OR(EXACT(A969,'ESO Dungeon constants'!$D$3:$D$987)),"X","")</f>
        <v/>
      </c>
      <c r="F969" s="3" t="str">
        <f t="shared" si="60"/>
        <v/>
      </c>
      <c r="G969" s="3" t="str">
        <f t="shared" si="61"/>
        <v>Telvanni Peninsula</v>
      </c>
      <c r="H969" s="17">
        <f t="shared" si="62"/>
        <v>1421</v>
      </c>
      <c r="I969" s="17">
        <f t="shared" si="63"/>
        <v>1414</v>
      </c>
      <c r="J969">
        <v>30</v>
      </c>
      <c r="K969" s="3" t="str">
        <f>VLOOKUP(J969,'LibSets constants'!$A$4:$B$1017,2,FALSE)</f>
        <v>DLC_NECROM</v>
      </c>
      <c r="L969" s="3" t="str">
        <f>VLOOKUP(J969,'LibSets constants'!$A$4:$C$1017,3,FALSE)</f>
        <v>Necrom</v>
      </c>
    </row>
    <row r="970" spans="1:12" x14ac:dyDescent="0.25">
      <c r="A970">
        <v>1422</v>
      </c>
      <c r="B970">
        <v>965</v>
      </c>
      <c r="C970" s="45">
        <v>1414</v>
      </c>
      <c r="D970" t="s">
        <v>3676</v>
      </c>
      <c r="E970" s="3" t="str">
        <f t="array" ref="E970">IF(OR(EXACT(A970,'ESO Dungeon constants'!$D$3:$D$987)),"X","")</f>
        <v/>
      </c>
      <c r="F970" s="3" t="str">
        <f t="shared" si="60"/>
        <v/>
      </c>
      <c r="G970" s="3" t="str">
        <f t="shared" si="61"/>
        <v>Telvanni Peninsula</v>
      </c>
      <c r="H970" s="17">
        <f t="shared" si="62"/>
        <v>1422</v>
      </c>
      <c r="I970" s="17">
        <f t="shared" si="63"/>
        <v>1414</v>
      </c>
      <c r="J970">
        <v>30</v>
      </c>
      <c r="K970" s="3" t="str">
        <f>VLOOKUP(J970,'LibSets constants'!$A$4:$B$1017,2,FALSE)</f>
        <v>DLC_NECROM</v>
      </c>
      <c r="L970" s="3" t="str">
        <f>VLOOKUP(J970,'LibSets constants'!$A$4:$C$1017,3,FALSE)</f>
        <v>Necrom</v>
      </c>
    </row>
    <row r="971" spans="1:12" x14ac:dyDescent="0.25">
      <c r="A971">
        <v>1423</v>
      </c>
      <c r="B971">
        <v>966</v>
      </c>
      <c r="C971" s="45">
        <v>1414</v>
      </c>
      <c r="D971" t="s">
        <v>3675</v>
      </c>
      <c r="E971" s="3" t="str">
        <f t="array" ref="E971">IF(OR(EXACT(A971,'ESO Dungeon constants'!$D$3:$D$987)),"X","")</f>
        <v/>
      </c>
      <c r="F971" s="3" t="str">
        <f t="shared" si="60"/>
        <v/>
      </c>
      <c r="G971" s="3" t="str">
        <f t="shared" si="61"/>
        <v>Telvanni Peninsula</v>
      </c>
      <c r="H971" s="17">
        <f t="shared" si="62"/>
        <v>1423</v>
      </c>
      <c r="I971" s="17">
        <f t="shared" si="63"/>
        <v>1414</v>
      </c>
      <c r="J971">
        <v>30</v>
      </c>
      <c r="K971" s="3" t="str">
        <f>VLOOKUP(J971,'LibSets constants'!$A$4:$B$1017,2,FALSE)</f>
        <v>DLC_NECROM</v>
      </c>
      <c r="L971" s="3" t="str">
        <f>VLOOKUP(J971,'LibSets constants'!$A$4:$C$1017,3,FALSE)</f>
        <v>Necrom</v>
      </c>
    </row>
    <row r="972" spans="1:12" x14ac:dyDescent="0.25">
      <c r="A972">
        <v>1424</v>
      </c>
      <c r="B972">
        <v>967</v>
      </c>
      <c r="C972" s="45">
        <v>1414</v>
      </c>
      <c r="D972" t="s">
        <v>3674</v>
      </c>
      <c r="E972" s="3" t="str">
        <f t="array" ref="E972">IF(OR(EXACT(A972,'ESO Dungeon constants'!$D$3:$D$987)),"X","")</f>
        <v/>
      </c>
      <c r="F972" s="3" t="str">
        <f t="shared" si="60"/>
        <v/>
      </c>
      <c r="G972" s="3" t="str">
        <f t="shared" si="61"/>
        <v>Telvanni Peninsula</v>
      </c>
      <c r="H972" s="17">
        <f t="shared" si="62"/>
        <v>1424</v>
      </c>
      <c r="I972" s="17">
        <f t="shared" si="63"/>
        <v>1414</v>
      </c>
      <c r="J972">
        <v>30</v>
      </c>
      <c r="K972" s="3" t="str">
        <f>VLOOKUP(J972,'LibSets constants'!$A$4:$B$1017,2,FALSE)</f>
        <v>DLC_NECROM</v>
      </c>
      <c r="L972" s="3" t="str">
        <f>VLOOKUP(J972,'LibSets constants'!$A$4:$C$1017,3,FALSE)</f>
        <v>Necrom</v>
      </c>
    </row>
    <row r="973" spans="1:12" x14ac:dyDescent="0.25">
      <c r="A973">
        <v>1425</v>
      </c>
      <c r="B973">
        <v>968</v>
      </c>
      <c r="C973" s="45">
        <v>1414</v>
      </c>
      <c r="D973" t="s">
        <v>3673</v>
      </c>
      <c r="E973" s="3" t="str">
        <f t="array" ref="E973">IF(OR(EXACT(A973,'ESO Dungeon constants'!$D$3:$D$987)),"X","")</f>
        <v/>
      </c>
      <c r="F973" s="3" t="str">
        <f t="shared" si="60"/>
        <v/>
      </c>
      <c r="G973" s="3" t="str">
        <f t="shared" si="61"/>
        <v>Telvanni Peninsula</v>
      </c>
      <c r="H973" s="17">
        <f t="shared" si="62"/>
        <v>1425</v>
      </c>
      <c r="I973" s="17">
        <f t="shared" si="63"/>
        <v>1414</v>
      </c>
      <c r="J973">
        <v>30</v>
      </c>
      <c r="K973" s="3" t="str">
        <f>VLOOKUP(J973,'LibSets constants'!$A$4:$B$1017,2,FALSE)</f>
        <v>DLC_NECROM</v>
      </c>
      <c r="L973" s="3" t="str">
        <f>VLOOKUP(J973,'LibSets constants'!$A$4:$C$1017,3,FALSE)</f>
        <v>Necrom</v>
      </c>
    </row>
    <row r="974" spans="1:12" x14ac:dyDescent="0.25">
      <c r="A974">
        <v>1427</v>
      </c>
      <c r="B974">
        <v>969</v>
      </c>
      <c r="C974" s="45">
        <v>1414</v>
      </c>
      <c r="D974" t="s">
        <v>3672</v>
      </c>
      <c r="E974" s="3" t="str">
        <f t="array" ref="E974">IF(OR(EXACT(A974,'ESO Dungeon constants'!$D$3:$D$987)),"X","")</f>
        <v>X</v>
      </c>
      <c r="F974" s="3" t="str">
        <f t="shared" si="60"/>
        <v/>
      </c>
      <c r="G974" s="3" t="str">
        <f t="shared" si="61"/>
        <v>Telvanni Peninsula</v>
      </c>
      <c r="H974" s="17">
        <f t="shared" si="62"/>
        <v>1427</v>
      </c>
      <c r="I974" s="17">
        <f t="shared" si="63"/>
        <v>1414</v>
      </c>
      <c r="J974">
        <v>30</v>
      </c>
      <c r="K974" s="3" t="str">
        <f>VLOOKUP(J974,'LibSets constants'!$A$4:$B$1017,2,FALSE)</f>
        <v>DLC_NECROM</v>
      </c>
      <c r="L974" s="3" t="str">
        <f>VLOOKUP(J974,'LibSets constants'!$A$4:$C$1017,3,FALSE)</f>
        <v>Necrom</v>
      </c>
    </row>
    <row r="975" spans="1:12" x14ac:dyDescent="0.25">
      <c r="A975">
        <v>1432</v>
      </c>
      <c r="B975">
        <v>970</v>
      </c>
      <c r="C975" s="45">
        <v>1318</v>
      </c>
      <c r="D975" t="s">
        <v>3551</v>
      </c>
      <c r="E975" s="3" t="str">
        <f t="array" ref="E975">IF(OR(EXACT(A975,'ESO Dungeon constants'!$D$3:$D$987)),"X","")</f>
        <v/>
      </c>
      <c r="F975" s="3" t="str">
        <f t="shared" si="60"/>
        <v/>
      </c>
      <c r="G975" s="3" t="str">
        <f t="shared" si="61"/>
        <v>High Isle</v>
      </c>
      <c r="H975" s="17">
        <f t="shared" si="62"/>
        <v>1432</v>
      </c>
      <c r="I975" s="17">
        <f t="shared" si="63"/>
        <v>1318</v>
      </c>
      <c r="J975">
        <v>32</v>
      </c>
      <c r="K975" s="3" t="str">
        <f>VLOOKUP(J975,'LibSets constants'!$A$4:$B$1017,2,FALSE)</f>
        <v>NO_DLC_SECRET_OF_THE_TELVANNI</v>
      </c>
      <c r="L975" s="3" t="str">
        <f>VLOOKUP(J975,'LibSets constants'!$A$4:$C$1017,3,FALSE)</f>
        <v>Secret of the Telvanni</v>
      </c>
    </row>
    <row r="976" spans="1:12" x14ac:dyDescent="0.25">
      <c r="A976">
        <v>1433</v>
      </c>
      <c r="B976">
        <v>971</v>
      </c>
      <c r="C976" s="45">
        <v>1414</v>
      </c>
      <c r="D976" t="s">
        <v>3666</v>
      </c>
      <c r="E976" s="3" t="str">
        <f t="array" ref="E976">IF(OR(EXACT(A976,'ESO Dungeon constants'!$D$3:$D$987)),"X","")</f>
        <v/>
      </c>
      <c r="F976" s="3" t="str">
        <f t="shared" si="60"/>
        <v/>
      </c>
      <c r="G976" s="3" t="str">
        <f t="shared" si="61"/>
        <v>Telvanni Peninsula</v>
      </c>
      <c r="H976" s="17">
        <f t="shared" si="62"/>
        <v>1433</v>
      </c>
      <c r="I976" s="17">
        <f t="shared" si="63"/>
        <v>1414</v>
      </c>
      <c r="J976">
        <v>32</v>
      </c>
      <c r="K976" s="3" t="str">
        <f>VLOOKUP(J976,'LibSets constants'!$A$4:$B$1017,2,FALSE)</f>
        <v>NO_DLC_SECRET_OF_THE_TELVANNI</v>
      </c>
      <c r="L976" s="3" t="str">
        <f>VLOOKUP(J976,'LibSets constants'!$A$4:$C$1017,3,FALSE)</f>
        <v>Secret of the Telvanni</v>
      </c>
    </row>
    <row r="977" spans="1:12" x14ac:dyDescent="0.25">
      <c r="A977">
        <v>1434</v>
      </c>
      <c r="B977">
        <v>972</v>
      </c>
      <c r="C977" s="45">
        <v>1414</v>
      </c>
      <c r="D977" t="s">
        <v>3667</v>
      </c>
      <c r="E977" s="3" t="str">
        <f t="array" ref="E977">IF(OR(EXACT(A977,'ESO Dungeon constants'!$D$3:$D$987)),"X","")</f>
        <v/>
      </c>
      <c r="F977" s="3" t="str">
        <f t="shared" si="60"/>
        <v/>
      </c>
      <c r="G977" s="3" t="str">
        <f t="shared" si="61"/>
        <v>Telvanni Peninsula</v>
      </c>
      <c r="H977" s="17">
        <f t="shared" si="62"/>
        <v>1434</v>
      </c>
      <c r="I977" s="17">
        <f t="shared" si="63"/>
        <v>1414</v>
      </c>
      <c r="J977">
        <v>32</v>
      </c>
      <c r="K977" s="3" t="str">
        <f>VLOOKUP(J977,'LibSets constants'!$A$4:$B$1017,2,FALSE)</f>
        <v>NO_DLC_SECRET_OF_THE_TELVANNI</v>
      </c>
      <c r="L977" s="3" t="str">
        <f>VLOOKUP(J977,'LibSets constants'!$A$4:$C$1017,3,FALSE)</f>
        <v>Secret of the Telvanni</v>
      </c>
    </row>
    <row r="978" spans="1:12" x14ac:dyDescent="0.25">
      <c r="A978">
        <v>1435</v>
      </c>
      <c r="B978">
        <v>973</v>
      </c>
      <c r="C978" s="45">
        <v>1383</v>
      </c>
      <c r="D978" t="s">
        <v>3665</v>
      </c>
      <c r="E978" s="3" t="str">
        <f t="array" ref="E978">IF(OR(EXACT(A978,'ESO Dungeon constants'!$D$3:$D$987)),"X","")</f>
        <v/>
      </c>
      <c r="F978" s="3" t="str">
        <f t="shared" si="60"/>
        <v/>
      </c>
      <c r="G978" s="3" t="str">
        <f t="shared" si="61"/>
        <v>Galen</v>
      </c>
      <c r="H978" s="17">
        <f t="shared" si="62"/>
        <v>1435</v>
      </c>
      <c r="I978" s="17">
        <f t="shared" si="63"/>
        <v>1383</v>
      </c>
      <c r="J978">
        <v>32</v>
      </c>
      <c r="K978" s="3" t="str">
        <f>VLOOKUP(J978,'LibSets constants'!$A$4:$B$1017,2,FALSE)</f>
        <v>NO_DLC_SECRET_OF_THE_TELVANNI</v>
      </c>
      <c r="L978" s="3" t="str">
        <f>VLOOKUP(J978,'LibSets constants'!$A$4:$C$1017,3,FALSE)</f>
        <v>Secret of the Telvanni</v>
      </c>
    </row>
    <row r="979" spans="1:12" x14ac:dyDescent="0.25">
      <c r="A979">
        <v>1436</v>
      </c>
      <c r="B979">
        <v>974</v>
      </c>
      <c r="C979" s="45">
        <v>1413</v>
      </c>
      <c r="D979" t="s">
        <v>3899</v>
      </c>
      <c r="E979" s="3" t="str">
        <f t="array" ref="E979">IF(OR(EXACT(A979,'ESO Dungeon constants'!$D$3:$D$987)),"X","")</f>
        <v>X</v>
      </c>
      <c r="F979" s="3" t="str">
        <f t="shared" si="60"/>
        <v/>
      </c>
      <c r="G979" s="3" t="str">
        <f t="shared" si="61"/>
        <v>Apocrypha</v>
      </c>
      <c r="H979" s="17">
        <f t="shared" si="62"/>
        <v>1436</v>
      </c>
      <c r="I979" s="17">
        <f t="shared" si="63"/>
        <v>1413</v>
      </c>
      <c r="J979">
        <v>32</v>
      </c>
      <c r="K979" s="3" t="str">
        <f>VLOOKUP(J979,'LibSets constants'!$A$4:$B$1017,2,FALSE)</f>
        <v>NO_DLC_SECRET_OF_THE_TELVANNI</v>
      </c>
      <c r="L979" s="3" t="str">
        <f>VLOOKUP(J979,'LibSets constants'!$A$4:$C$1017,3,FALSE)</f>
        <v>Secret of the Telvanni</v>
      </c>
    </row>
    <row r="980" spans="1:12" x14ac:dyDescent="0.25">
      <c r="A980">
        <v>1437</v>
      </c>
      <c r="B980">
        <v>975</v>
      </c>
      <c r="C980" s="45">
        <v>981</v>
      </c>
      <c r="D980" t="s">
        <v>3761</v>
      </c>
      <c r="E980" s="3" t="str">
        <f t="array" ref="E980">IF(OR(EXACT(A980,'ESO Dungeon constants'!$D$3:$D$987)),"X","")</f>
        <v/>
      </c>
      <c r="F980" s="3" t="str">
        <f t="shared" si="60"/>
        <v/>
      </c>
      <c r="G980" s="3" t="str">
        <f t="shared" si="61"/>
        <v>The Brass Fortress</v>
      </c>
      <c r="H980" s="17">
        <f t="shared" si="62"/>
        <v>1437</v>
      </c>
      <c r="I980" s="17">
        <f t="shared" si="63"/>
        <v>981</v>
      </c>
      <c r="J980">
        <v>30</v>
      </c>
      <c r="K980" s="3" t="str">
        <f>VLOOKUP(J980,'LibSets constants'!$A$4:$B$1017,2,FALSE)</f>
        <v>DLC_NECROM</v>
      </c>
      <c r="L980" s="3" t="str">
        <f>VLOOKUP(J980,'LibSets constants'!$A$4:$C$1017,3,FALSE)</f>
        <v>Necrom</v>
      </c>
    </row>
    <row r="981" spans="1:12" x14ac:dyDescent="0.25">
      <c r="A981">
        <v>1438</v>
      </c>
      <c r="B981">
        <v>976</v>
      </c>
      <c r="C981" s="45">
        <v>104</v>
      </c>
      <c r="D981" t="s">
        <v>3898</v>
      </c>
      <c r="E981" s="3" t="str">
        <f t="array" ref="E981">IF(OR(EXACT(A981,'ESO Dungeon constants'!$D$3:$D$987)),"X","")</f>
        <v/>
      </c>
      <c r="F981" s="3" t="str">
        <f t="shared" si="60"/>
        <v/>
      </c>
      <c r="G981" s="3" t="str">
        <f t="shared" si="61"/>
        <v>Alik'r Desert</v>
      </c>
      <c r="H981" s="17">
        <f t="shared" si="62"/>
        <v>1438</v>
      </c>
      <c r="I981" s="17">
        <f t="shared" si="63"/>
        <v>104</v>
      </c>
      <c r="J981">
        <v>33</v>
      </c>
      <c r="K981" s="3" t="str">
        <f>VLOOKUP(J981,'LibSets constants'!$A$4:$B$1017,2,FALSE)</f>
        <v>DLC_SCIONS_OF_ITHELIA</v>
      </c>
      <c r="L981" s="3" t="str">
        <f>VLOOKUP(J981,'LibSets constants'!$A$4:$C$1017,3,FALSE)</f>
        <v>Scions of Ithelia</v>
      </c>
    </row>
    <row r="982" spans="1:12" x14ac:dyDescent="0.25">
      <c r="A982">
        <v>1439</v>
      </c>
      <c r="B982">
        <v>977</v>
      </c>
      <c r="C982" s="45">
        <v>849</v>
      </c>
      <c r="D982" t="s">
        <v>3897</v>
      </c>
      <c r="E982" s="3" t="str">
        <f t="array" ref="E982">IF(OR(EXACT(A982,'ESO Dungeon constants'!$D$3:$D$987)),"X","")</f>
        <v/>
      </c>
      <c r="F982" s="3" t="str">
        <f t="shared" si="60"/>
        <v/>
      </c>
      <c r="G982" s="3" t="str">
        <f t="shared" si="61"/>
        <v>Vvardenfell</v>
      </c>
      <c r="H982" s="17">
        <f t="shared" si="62"/>
        <v>1439</v>
      </c>
      <c r="I982" s="17">
        <f t="shared" si="63"/>
        <v>849</v>
      </c>
      <c r="J982">
        <v>33</v>
      </c>
      <c r="K982" s="3" t="str">
        <f>VLOOKUP(J982,'LibSets constants'!$A$4:$B$1017,2,FALSE)</f>
        <v>DLC_SCIONS_OF_ITHELIA</v>
      </c>
      <c r="L982" s="3" t="str">
        <f>VLOOKUP(J982,'LibSets constants'!$A$4:$C$1017,3,FALSE)</f>
        <v>Scions of Ithelia</v>
      </c>
    </row>
    <row r="983" spans="1:12" x14ac:dyDescent="0.25">
      <c r="A983">
        <v>1440</v>
      </c>
      <c r="B983">
        <v>978</v>
      </c>
      <c r="C983" s="45">
        <v>1443</v>
      </c>
      <c r="D983" t="s">
        <v>3969</v>
      </c>
      <c r="E983" s="3" t="str">
        <f t="array" ref="E983">IF(OR(EXACT(A983,'ESO Dungeon constants'!$D$3:$D$987)),"X","")</f>
        <v/>
      </c>
      <c r="F983" s="3" t="str">
        <f t="shared" ref="F983:F1023" si="64">IF(EXACT(A983,C983),"X","")</f>
        <v/>
      </c>
      <c r="G983" s="3" t="str">
        <f t="shared" ref="G983:G1023" si="65">IF(A983&lt;&gt;C983,VLOOKUP(C983,$A$5:$D$9954,4,FALSE),"")</f>
        <v>West Weald</v>
      </c>
      <c r="H983" s="17">
        <f t="shared" ref="H983:H1023" si="66">A983</f>
        <v>1440</v>
      </c>
      <c r="I983" s="17">
        <f t="shared" ref="I983:I1023" si="67">C983</f>
        <v>1443</v>
      </c>
      <c r="J983">
        <v>33</v>
      </c>
      <c r="K983" s="3" t="str">
        <f>VLOOKUP(J983,'LibSets constants'!$A$4:$B$1017,2,FALSE)</f>
        <v>DLC_SCIONS_OF_ITHELIA</v>
      </c>
      <c r="L983" s="3" t="str">
        <f>VLOOKUP(J983,'LibSets constants'!$A$4:$C$1017,3,FALSE)</f>
        <v>Scions of Ithelia</v>
      </c>
    </row>
    <row r="984" spans="1:12" x14ac:dyDescent="0.25">
      <c r="A984">
        <v>1441</v>
      </c>
      <c r="B984">
        <v>979</v>
      </c>
      <c r="C984" s="45">
        <v>1443</v>
      </c>
      <c r="D984" t="s">
        <v>3954</v>
      </c>
      <c r="E984" s="3" t="str">
        <f t="array" ref="E984">IF(OR(EXACT(A984,'ESO Dungeon constants'!$D$3:$D$987)),"X","")</f>
        <v/>
      </c>
      <c r="F984" s="3" t="str">
        <f t="shared" si="64"/>
        <v/>
      </c>
      <c r="G984" s="3" t="str">
        <f t="shared" si="65"/>
        <v>West Weald</v>
      </c>
      <c r="H984" s="17">
        <f t="shared" si="66"/>
        <v>1441</v>
      </c>
      <c r="I984" s="17">
        <f t="shared" si="67"/>
        <v>1443</v>
      </c>
      <c r="J984">
        <v>34</v>
      </c>
      <c r="K984" s="3" t="str">
        <f>VLOOKUP(J984,'LibSets constants'!$A$4:$B$1017,2,FALSE)</f>
        <v>DLC_GOLD_ROAD</v>
      </c>
      <c r="L984" s="3" t="str">
        <f>VLOOKUP(J984,'LibSets constants'!$A$4:$C$1017,3,FALSE)</f>
        <v>Gold Road</v>
      </c>
    </row>
    <row r="985" spans="1:12" x14ac:dyDescent="0.25">
      <c r="A985">
        <v>1442</v>
      </c>
      <c r="B985">
        <v>980</v>
      </c>
      <c r="C985" s="45">
        <v>1443</v>
      </c>
      <c r="D985" t="s">
        <v>3968</v>
      </c>
      <c r="E985" s="3" t="str">
        <f t="array" ref="E985">IF(OR(EXACT(A985,'ESO Dungeon constants'!$D$3:$D$987)),"X","")</f>
        <v/>
      </c>
      <c r="F985" s="3" t="str">
        <f t="shared" si="64"/>
        <v/>
      </c>
      <c r="G985" s="3" t="str">
        <f t="shared" si="65"/>
        <v>West Weald</v>
      </c>
      <c r="H985" s="17">
        <f t="shared" si="66"/>
        <v>1442</v>
      </c>
      <c r="I985" s="17">
        <f t="shared" si="67"/>
        <v>1443</v>
      </c>
      <c r="J985">
        <v>34</v>
      </c>
      <c r="K985" s="3" t="str">
        <f>VLOOKUP(J985,'LibSets constants'!$A$4:$B$1017,2,FALSE)</f>
        <v>DLC_GOLD_ROAD</v>
      </c>
      <c r="L985" s="3" t="str">
        <f>VLOOKUP(J985,'LibSets constants'!$A$4:$C$1017,3,FALSE)</f>
        <v>Gold Road</v>
      </c>
    </row>
    <row r="986" spans="1:12" x14ac:dyDescent="0.25">
      <c r="A986">
        <v>1443</v>
      </c>
      <c r="B986">
        <v>981</v>
      </c>
      <c r="C986" s="45">
        <v>1443</v>
      </c>
      <c r="D986" t="s">
        <v>3938</v>
      </c>
      <c r="E986" s="3" t="str">
        <f t="array" ref="E986">IF(OR(EXACT(A986,'ESO Dungeon constants'!$D$3:$D$987)),"X","")</f>
        <v/>
      </c>
      <c r="F986" s="3" t="str">
        <f t="shared" si="64"/>
        <v>X</v>
      </c>
      <c r="G986" s="3" t="str">
        <f t="shared" si="65"/>
        <v/>
      </c>
      <c r="H986" s="17">
        <f t="shared" si="66"/>
        <v>1443</v>
      </c>
      <c r="I986" s="17">
        <f t="shared" si="67"/>
        <v>1443</v>
      </c>
      <c r="J986">
        <v>34</v>
      </c>
      <c r="K986" s="3" t="str">
        <f>VLOOKUP(J986,'LibSets constants'!$A$4:$B$1017,2,FALSE)</f>
        <v>DLC_GOLD_ROAD</v>
      </c>
      <c r="L986" s="3" t="str">
        <f>VLOOKUP(J986,'LibSets constants'!$A$4:$C$1017,3,FALSE)</f>
        <v>Gold Road</v>
      </c>
    </row>
    <row r="987" spans="1:12" x14ac:dyDescent="0.25">
      <c r="A987">
        <v>1444</v>
      </c>
      <c r="B987">
        <v>982</v>
      </c>
      <c r="C987" s="45">
        <v>1443</v>
      </c>
      <c r="D987" t="s">
        <v>3967</v>
      </c>
      <c r="E987" s="3" t="str">
        <f t="array" ref="E987">IF(OR(EXACT(A987,'ESO Dungeon constants'!$D$3:$D$987)),"X","")</f>
        <v/>
      </c>
      <c r="F987" s="3" t="str">
        <f t="shared" si="64"/>
        <v/>
      </c>
      <c r="G987" s="3" t="str">
        <f t="shared" si="65"/>
        <v>West Weald</v>
      </c>
      <c r="H987" s="17">
        <f t="shared" si="66"/>
        <v>1444</v>
      </c>
      <c r="I987" s="17">
        <f t="shared" si="67"/>
        <v>1443</v>
      </c>
      <c r="J987">
        <v>34</v>
      </c>
      <c r="K987" s="3" t="str">
        <f>VLOOKUP(J987,'LibSets constants'!$A$4:$B$1017,2,FALSE)</f>
        <v>DLC_GOLD_ROAD</v>
      </c>
      <c r="L987" s="3" t="str">
        <f>VLOOKUP(J987,'LibSets constants'!$A$4:$C$1017,3,FALSE)</f>
        <v>Gold Road</v>
      </c>
    </row>
    <row r="988" spans="1:12" x14ac:dyDescent="0.25">
      <c r="A988">
        <v>1445</v>
      </c>
      <c r="B988">
        <v>983</v>
      </c>
      <c r="C988" s="45">
        <v>1443</v>
      </c>
      <c r="D988" t="s">
        <v>3966</v>
      </c>
      <c r="E988" s="3" t="str">
        <f t="array" ref="E988">IF(OR(EXACT(A988,'ESO Dungeon constants'!$D$3:$D$987)),"X","")</f>
        <v/>
      </c>
      <c r="F988" s="3" t="str">
        <f t="shared" si="64"/>
        <v/>
      </c>
      <c r="G988" s="3" t="str">
        <f t="shared" si="65"/>
        <v>West Weald</v>
      </c>
      <c r="H988" s="17">
        <f t="shared" si="66"/>
        <v>1445</v>
      </c>
      <c r="I988" s="17">
        <f t="shared" si="67"/>
        <v>1443</v>
      </c>
      <c r="J988">
        <v>34</v>
      </c>
      <c r="K988" s="3" t="str">
        <f>VLOOKUP(J988,'LibSets constants'!$A$4:$B$1017,2,FALSE)</f>
        <v>DLC_GOLD_ROAD</v>
      </c>
      <c r="L988" s="3" t="str">
        <f>VLOOKUP(J988,'LibSets constants'!$A$4:$C$1017,3,FALSE)</f>
        <v>Gold Road</v>
      </c>
    </row>
    <row r="989" spans="1:12" x14ac:dyDescent="0.25">
      <c r="A989">
        <v>1446</v>
      </c>
      <c r="B989">
        <v>984</v>
      </c>
      <c r="C989" s="45">
        <v>1443</v>
      </c>
      <c r="D989" t="s">
        <v>3965</v>
      </c>
      <c r="E989" s="3" t="str">
        <f t="array" ref="E989">IF(OR(EXACT(A989,'ESO Dungeon constants'!$D$3:$D$987)),"X","")</f>
        <v/>
      </c>
      <c r="F989" s="3" t="str">
        <f t="shared" si="64"/>
        <v/>
      </c>
      <c r="G989" s="3" t="str">
        <f t="shared" si="65"/>
        <v>West Weald</v>
      </c>
      <c r="H989" s="17">
        <f t="shared" si="66"/>
        <v>1446</v>
      </c>
      <c r="I989" s="17">
        <f t="shared" si="67"/>
        <v>1443</v>
      </c>
      <c r="J989">
        <v>34</v>
      </c>
      <c r="K989" s="3" t="str">
        <f>VLOOKUP(J989,'LibSets constants'!$A$4:$B$1017,2,FALSE)</f>
        <v>DLC_GOLD_ROAD</v>
      </c>
      <c r="L989" s="3" t="str">
        <f>VLOOKUP(J989,'LibSets constants'!$A$4:$C$1017,3,FALSE)</f>
        <v>Gold Road</v>
      </c>
    </row>
    <row r="990" spans="1:12" x14ac:dyDescent="0.25">
      <c r="A990">
        <v>1447</v>
      </c>
      <c r="B990">
        <v>985</v>
      </c>
      <c r="C990" s="45">
        <v>1443</v>
      </c>
      <c r="D990" t="s">
        <v>3955</v>
      </c>
      <c r="E990" s="3" t="str">
        <f t="array" ref="E990">IF(OR(EXACT(A990,'ESO Dungeon constants'!$D$3:$D$987)),"X","")</f>
        <v/>
      </c>
      <c r="F990" s="3" t="str">
        <f t="shared" si="64"/>
        <v/>
      </c>
      <c r="G990" s="3" t="str">
        <f t="shared" si="65"/>
        <v>West Weald</v>
      </c>
      <c r="H990" s="17">
        <f t="shared" si="66"/>
        <v>1447</v>
      </c>
      <c r="I990" s="17">
        <f t="shared" si="67"/>
        <v>1443</v>
      </c>
      <c r="J990">
        <v>34</v>
      </c>
      <c r="K990" s="3" t="str">
        <f>VLOOKUP(J990,'LibSets constants'!$A$4:$B$1017,2,FALSE)</f>
        <v>DLC_GOLD_ROAD</v>
      </c>
      <c r="L990" s="3" t="str">
        <f>VLOOKUP(J990,'LibSets constants'!$A$4:$C$1017,3,FALSE)</f>
        <v>Gold Road</v>
      </c>
    </row>
    <row r="991" spans="1:12" x14ac:dyDescent="0.25">
      <c r="A991">
        <v>1448</v>
      </c>
      <c r="B991">
        <v>986</v>
      </c>
      <c r="C991" s="45">
        <v>1443</v>
      </c>
      <c r="D991" t="s">
        <v>3964</v>
      </c>
      <c r="E991" s="3" t="str">
        <f t="array" ref="E991">IF(OR(EXACT(A991,'ESO Dungeon constants'!$D$3:$D$987)),"X","")</f>
        <v/>
      </c>
      <c r="F991" s="3" t="str">
        <f t="shared" si="64"/>
        <v/>
      </c>
      <c r="G991" s="3" t="str">
        <f t="shared" si="65"/>
        <v>West Weald</v>
      </c>
      <c r="H991" s="17">
        <f t="shared" si="66"/>
        <v>1448</v>
      </c>
      <c r="I991" s="17">
        <f t="shared" si="67"/>
        <v>1443</v>
      </c>
      <c r="J991">
        <v>34</v>
      </c>
      <c r="K991" s="3" t="str">
        <f>VLOOKUP(J991,'LibSets constants'!$A$4:$B$1017,2,FALSE)</f>
        <v>DLC_GOLD_ROAD</v>
      </c>
      <c r="L991" s="3" t="str">
        <f>VLOOKUP(J991,'LibSets constants'!$A$4:$C$1017,3,FALSE)</f>
        <v>Gold Road</v>
      </c>
    </row>
    <row r="992" spans="1:12" x14ac:dyDescent="0.25">
      <c r="A992">
        <v>1449</v>
      </c>
      <c r="B992">
        <v>987</v>
      </c>
      <c r="C992" s="45">
        <v>1443</v>
      </c>
      <c r="D992" t="s">
        <v>3963</v>
      </c>
      <c r="E992" s="3" t="str">
        <f t="array" ref="E992">IF(OR(EXACT(A992,'ESO Dungeon constants'!$D$3:$D$987)),"X","")</f>
        <v/>
      </c>
      <c r="F992" s="3" t="str">
        <f t="shared" si="64"/>
        <v/>
      </c>
      <c r="G992" s="3" t="str">
        <f t="shared" si="65"/>
        <v>West Weald</v>
      </c>
      <c r="H992" s="17">
        <f t="shared" si="66"/>
        <v>1449</v>
      </c>
      <c r="I992" s="17">
        <f t="shared" si="67"/>
        <v>1443</v>
      </c>
      <c r="J992">
        <v>34</v>
      </c>
      <c r="K992" s="3" t="str">
        <f>VLOOKUP(J992,'LibSets constants'!$A$4:$B$1017,2,FALSE)</f>
        <v>DLC_GOLD_ROAD</v>
      </c>
      <c r="L992" s="3" t="str">
        <f>VLOOKUP(J992,'LibSets constants'!$A$4:$C$1017,3,FALSE)</f>
        <v>Gold Road</v>
      </c>
    </row>
    <row r="993" spans="1:12" x14ac:dyDescent="0.25">
      <c r="A993">
        <v>1450</v>
      </c>
      <c r="B993">
        <v>988</v>
      </c>
      <c r="C993" s="45">
        <v>1443</v>
      </c>
      <c r="D993" t="s">
        <v>3962</v>
      </c>
      <c r="E993" s="3" t="str">
        <f t="array" ref="E993">IF(OR(EXACT(A993,'ESO Dungeon constants'!$D$3:$D$987)),"X","")</f>
        <v/>
      </c>
      <c r="F993" s="3" t="str">
        <f t="shared" si="64"/>
        <v/>
      </c>
      <c r="G993" s="3" t="str">
        <f t="shared" si="65"/>
        <v>West Weald</v>
      </c>
      <c r="H993" s="17">
        <f t="shared" si="66"/>
        <v>1450</v>
      </c>
      <c r="I993" s="17">
        <f t="shared" si="67"/>
        <v>1443</v>
      </c>
      <c r="J993">
        <v>34</v>
      </c>
      <c r="K993" s="3" t="str">
        <f>VLOOKUP(J993,'LibSets constants'!$A$4:$B$1017,2,FALSE)</f>
        <v>DLC_GOLD_ROAD</v>
      </c>
      <c r="L993" s="3" t="str">
        <f>VLOOKUP(J993,'LibSets constants'!$A$4:$C$1017,3,FALSE)</f>
        <v>Gold Road</v>
      </c>
    </row>
    <row r="994" spans="1:12" x14ac:dyDescent="0.25">
      <c r="A994">
        <v>1451</v>
      </c>
      <c r="B994">
        <v>989</v>
      </c>
      <c r="C994" s="45">
        <v>1443</v>
      </c>
      <c r="D994" t="s">
        <v>3956</v>
      </c>
      <c r="E994" s="3" t="str">
        <f t="array" ref="E994">IF(OR(EXACT(A994,'ESO Dungeon constants'!$D$3:$D$987)),"X","")</f>
        <v/>
      </c>
      <c r="F994" s="3" t="str">
        <f t="shared" si="64"/>
        <v/>
      </c>
      <c r="G994" s="3" t="str">
        <f t="shared" si="65"/>
        <v>West Weald</v>
      </c>
      <c r="H994" s="17">
        <f t="shared" si="66"/>
        <v>1451</v>
      </c>
      <c r="I994" s="17">
        <f t="shared" si="67"/>
        <v>1443</v>
      </c>
      <c r="J994">
        <v>34</v>
      </c>
      <c r="K994" s="3" t="str">
        <f>VLOOKUP(J994,'LibSets constants'!$A$4:$B$1017,2,FALSE)</f>
        <v>DLC_GOLD_ROAD</v>
      </c>
      <c r="L994" s="3" t="str">
        <f>VLOOKUP(J994,'LibSets constants'!$A$4:$C$1017,3,FALSE)</f>
        <v>Gold Road</v>
      </c>
    </row>
    <row r="995" spans="1:12" x14ac:dyDescent="0.25">
      <c r="A995">
        <v>1452</v>
      </c>
      <c r="B995">
        <v>990</v>
      </c>
      <c r="C995" s="45">
        <v>1443</v>
      </c>
      <c r="D995" t="s">
        <v>3957</v>
      </c>
      <c r="E995" s="3" t="str">
        <f t="array" ref="E995">IF(OR(EXACT(A995,'ESO Dungeon constants'!$D$3:$D$987)),"X","")</f>
        <v/>
      </c>
      <c r="F995" s="3" t="str">
        <f t="shared" si="64"/>
        <v/>
      </c>
      <c r="G995" s="3" t="str">
        <f t="shared" si="65"/>
        <v>West Weald</v>
      </c>
      <c r="H995" s="17">
        <f t="shared" si="66"/>
        <v>1452</v>
      </c>
      <c r="I995" s="17">
        <f t="shared" si="67"/>
        <v>1443</v>
      </c>
      <c r="J995">
        <v>34</v>
      </c>
      <c r="K995" s="3" t="str">
        <f>VLOOKUP(J995,'LibSets constants'!$A$4:$B$1017,2,FALSE)</f>
        <v>DLC_GOLD_ROAD</v>
      </c>
      <c r="L995" s="3" t="str">
        <f>VLOOKUP(J995,'LibSets constants'!$A$4:$C$1017,3,FALSE)</f>
        <v>Gold Road</v>
      </c>
    </row>
    <row r="996" spans="1:12" x14ac:dyDescent="0.25">
      <c r="A996">
        <v>1453</v>
      </c>
      <c r="B996">
        <v>991</v>
      </c>
      <c r="C996" s="45">
        <v>1443</v>
      </c>
      <c r="D996" t="s">
        <v>3961</v>
      </c>
      <c r="E996" s="3" t="str">
        <f t="array" ref="E996">IF(OR(EXACT(A996,'ESO Dungeon constants'!$D$3:$D$987)),"X","")</f>
        <v/>
      </c>
      <c r="F996" s="3" t="str">
        <f t="shared" si="64"/>
        <v/>
      </c>
      <c r="G996" s="3" t="str">
        <f t="shared" si="65"/>
        <v>West Weald</v>
      </c>
      <c r="H996" s="17">
        <f t="shared" si="66"/>
        <v>1453</v>
      </c>
      <c r="I996" s="17">
        <f t="shared" si="67"/>
        <v>1443</v>
      </c>
      <c r="J996">
        <v>34</v>
      </c>
      <c r="K996" s="3" t="str">
        <f>VLOOKUP(J996,'LibSets constants'!$A$4:$B$1017,2,FALSE)</f>
        <v>DLC_GOLD_ROAD</v>
      </c>
      <c r="L996" s="3" t="str">
        <f>VLOOKUP(J996,'LibSets constants'!$A$4:$C$1017,3,FALSE)</f>
        <v>Gold Road</v>
      </c>
    </row>
    <row r="997" spans="1:12" x14ac:dyDescent="0.25">
      <c r="A997">
        <v>1454</v>
      </c>
      <c r="B997">
        <v>992</v>
      </c>
      <c r="C997" s="45">
        <v>1443</v>
      </c>
      <c r="D997" t="s">
        <v>3945</v>
      </c>
      <c r="E997" s="3" t="str">
        <f t="array" ref="E997">IF(OR(EXACT(A997,'ESO Dungeon constants'!$D$3:$D$987)),"X","")</f>
        <v/>
      </c>
      <c r="F997" s="3" t="str">
        <f t="shared" si="64"/>
        <v/>
      </c>
      <c r="G997" s="3" t="str">
        <f t="shared" si="65"/>
        <v>West Weald</v>
      </c>
      <c r="H997" s="17">
        <f t="shared" si="66"/>
        <v>1454</v>
      </c>
      <c r="I997" s="17">
        <f t="shared" si="67"/>
        <v>1443</v>
      </c>
      <c r="J997">
        <v>34</v>
      </c>
      <c r="K997" s="3" t="str">
        <f>VLOOKUP(J997,'LibSets constants'!$A$4:$B$1017,2,FALSE)</f>
        <v>DLC_GOLD_ROAD</v>
      </c>
      <c r="L997" s="3" t="str">
        <f>VLOOKUP(J997,'LibSets constants'!$A$4:$C$1017,3,FALSE)</f>
        <v>Gold Road</v>
      </c>
    </row>
    <row r="998" spans="1:12" x14ac:dyDescent="0.25">
      <c r="A998">
        <v>1455</v>
      </c>
      <c r="B998">
        <v>993</v>
      </c>
      <c r="C998" s="45">
        <v>1443</v>
      </c>
      <c r="D998" t="s">
        <v>3946</v>
      </c>
      <c r="E998" s="3" t="str">
        <f t="array" ref="E998">IF(OR(EXACT(A998,'ESO Dungeon constants'!$D$3:$D$987)),"X","")</f>
        <v/>
      </c>
      <c r="F998" s="3" t="str">
        <f t="shared" si="64"/>
        <v/>
      </c>
      <c r="G998" s="3" t="str">
        <f t="shared" si="65"/>
        <v>West Weald</v>
      </c>
      <c r="H998" s="17">
        <f t="shared" si="66"/>
        <v>1455</v>
      </c>
      <c r="I998" s="17">
        <f t="shared" si="67"/>
        <v>1443</v>
      </c>
      <c r="J998">
        <v>34</v>
      </c>
      <c r="K998" s="3" t="str">
        <f>VLOOKUP(J998,'LibSets constants'!$A$4:$B$1017,2,FALSE)</f>
        <v>DLC_GOLD_ROAD</v>
      </c>
      <c r="L998" s="3" t="str">
        <f>VLOOKUP(J998,'LibSets constants'!$A$4:$C$1017,3,FALSE)</f>
        <v>Gold Road</v>
      </c>
    </row>
    <row r="999" spans="1:12" x14ac:dyDescent="0.25">
      <c r="A999">
        <v>1456</v>
      </c>
      <c r="B999">
        <v>994</v>
      </c>
      <c r="C999" s="45">
        <v>1443</v>
      </c>
      <c r="D999" t="s">
        <v>3958</v>
      </c>
      <c r="E999" s="3" t="str">
        <f t="array" ref="E999">IF(OR(EXACT(A999,'ESO Dungeon constants'!$D$3:$D$987)),"X","")</f>
        <v/>
      </c>
      <c r="F999" s="3" t="str">
        <f t="shared" si="64"/>
        <v/>
      </c>
      <c r="G999" s="3" t="str">
        <f t="shared" si="65"/>
        <v>West Weald</v>
      </c>
      <c r="H999" s="17">
        <f t="shared" si="66"/>
        <v>1456</v>
      </c>
      <c r="I999" s="17">
        <f t="shared" si="67"/>
        <v>1443</v>
      </c>
      <c r="J999">
        <v>34</v>
      </c>
      <c r="K999" s="3" t="str">
        <f>VLOOKUP(J999,'LibSets constants'!$A$4:$B$1017,2,FALSE)</f>
        <v>DLC_GOLD_ROAD</v>
      </c>
      <c r="L999" s="3" t="str">
        <f>VLOOKUP(J999,'LibSets constants'!$A$4:$C$1017,3,FALSE)</f>
        <v>Gold Road</v>
      </c>
    </row>
    <row r="1000" spans="1:12" x14ac:dyDescent="0.25">
      <c r="A1000">
        <v>1457</v>
      </c>
      <c r="B1000">
        <v>995</v>
      </c>
      <c r="C1000" s="45">
        <v>1463</v>
      </c>
      <c r="D1000" t="s">
        <v>3947</v>
      </c>
      <c r="E1000" s="3" t="str">
        <f t="array" ref="E1000">IF(OR(EXACT(A1000,'ESO Dungeon constants'!$D$3:$D$987)),"X","")</f>
        <v/>
      </c>
      <c r="F1000" s="3" t="str">
        <f t="shared" si="64"/>
        <v/>
      </c>
      <c r="G1000" s="3" t="str">
        <f t="shared" si="65"/>
        <v>The Scholarium</v>
      </c>
      <c r="H1000" s="17">
        <f t="shared" si="66"/>
        <v>1457</v>
      </c>
      <c r="I1000" s="17">
        <f t="shared" si="67"/>
        <v>1463</v>
      </c>
      <c r="J1000">
        <v>34</v>
      </c>
      <c r="K1000" s="3" t="str">
        <f>VLOOKUP(J1000,'LibSets constants'!$A$4:$B$1017,2,FALSE)</f>
        <v>DLC_GOLD_ROAD</v>
      </c>
      <c r="L1000" s="3" t="str">
        <f>VLOOKUP(J1000,'LibSets constants'!$A$4:$C$1017,3,FALSE)</f>
        <v>Gold Road</v>
      </c>
    </row>
    <row r="1001" spans="1:12" x14ac:dyDescent="0.25">
      <c r="A1001">
        <v>1458</v>
      </c>
      <c r="B1001">
        <v>996</v>
      </c>
      <c r="C1001" s="45">
        <v>1443</v>
      </c>
      <c r="D1001" t="s">
        <v>3679</v>
      </c>
      <c r="E1001" s="3" t="str">
        <f t="array" ref="E1001">IF(OR(EXACT(A1001,'ESO Dungeon constants'!$D$3:$D$987)),"X","")</f>
        <v/>
      </c>
      <c r="F1001" s="3" t="str">
        <f t="shared" si="64"/>
        <v/>
      </c>
      <c r="G1001" s="3" t="str">
        <f t="shared" si="65"/>
        <v>West Weald</v>
      </c>
      <c r="H1001" s="17">
        <f t="shared" si="66"/>
        <v>1458</v>
      </c>
      <c r="I1001" s="17">
        <f t="shared" si="67"/>
        <v>1443</v>
      </c>
      <c r="J1001">
        <v>34</v>
      </c>
      <c r="K1001" s="3" t="str">
        <f>VLOOKUP(J1001,'LibSets constants'!$A$4:$B$1017,2,FALSE)</f>
        <v>DLC_GOLD_ROAD</v>
      </c>
      <c r="L1001" s="3" t="str">
        <f>VLOOKUP(J1001,'LibSets constants'!$A$4:$C$1017,3,FALSE)</f>
        <v>Gold Road</v>
      </c>
    </row>
    <row r="1002" spans="1:12" x14ac:dyDescent="0.25">
      <c r="A1002">
        <v>1459</v>
      </c>
      <c r="B1002">
        <v>997</v>
      </c>
      <c r="C1002" s="45">
        <v>1443</v>
      </c>
      <c r="D1002" t="s">
        <v>3948</v>
      </c>
      <c r="E1002" s="3" t="str">
        <f t="array" ref="E1002">IF(OR(EXACT(A1002,'ESO Dungeon constants'!$D$3:$D$987)),"X","")</f>
        <v/>
      </c>
      <c r="F1002" s="3" t="str">
        <f t="shared" si="64"/>
        <v/>
      </c>
      <c r="G1002" s="3" t="str">
        <f t="shared" si="65"/>
        <v>West Weald</v>
      </c>
      <c r="H1002" s="17">
        <f t="shared" si="66"/>
        <v>1459</v>
      </c>
      <c r="I1002" s="17">
        <f t="shared" si="67"/>
        <v>1443</v>
      </c>
      <c r="J1002">
        <v>34</v>
      </c>
      <c r="K1002" s="3" t="str">
        <f>VLOOKUP(J1002,'LibSets constants'!$A$4:$B$1017,2,FALSE)</f>
        <v>DLC_GOLD_ROAD</v>
      </c>
      <c r="L1002" s="3" t="str">
        <f>VLOOKUP(J1002,'LibSets constants'!$A$4:$C$1017,3,FALSE)</f>
        <v>Gold Road</v>
      </c>
    </row>
    <row r="1003" spans="1:12" x14ac:dyDescent="0.25">
      <c r="A1003">
        <v>1460</v>
      </c>
      <c r="B1003">
        <v>998</v>
      </c>
      <c r="C1003" s="45">
        <v>1460</v>
      </c>
      <c r="D1003" t="s">
        <v>3950</v>
      </c>
      <c r="E1003" s="3" t="str">
        <f t="array" ref="E1003">IF(OR(EXACT(A1003,'ESO Dungeon constants'!$D$3:$D$987)),"X","")</f>
        <v/>
      </c>
      <c r="F1003" s="3" t="str">
        <f t="shared" si="64"/>
        <v>X</v>
      </c>
      <c r="G1003" s="3" t="str">
        <f t="shared" si="65"/>
        <v/>
      </c>
      <c r="H1003" s="17">
        <f t="shared" si="66"/>
        <v>1460</v>
      </c>
      <c r="I1003" s="17">
        <f t="shared" si="67"/>
        <v>1460</v>
      </c>
      <c r="J1003">
        <v>34</v>
      </c>
      <c r="K1003" s="3" t="str">
        <f>VLOOKUP(J1003,'LibSets constants'!$A$4:$B$1017,2,FALSE)</f>
        <v>DLC_GOLD_ROAD</v>
      </c>
      <c r="L1003" s="3" t="str">
        <f>VLOOKUP(J1003,'LibSets constants'!$A$4:$C$1017,3,FALSE)</f>
        <v>Gold Road</v>
      </c>
    </row>
    <row r="1004" spans="1:12" x14ac:dyDescent="0.25">
      <c r="A1004">
        <v>1461</v>
      </c>
      <c r="B1004">
        <v>999</v>
      </c>
      <c r="C1004" s="45">
        <v>1443</v>
      </c>
      <c r="D1004" t="s">
        <v>4035</v>
      </c>
      <c r="E1004" s="3" t="str">
        <f t="array" ref="E1004">IF(OR(EXACT(A1004,'ESO Dungeon constants'!$D$3:$D$987)),"X","")</f>
        <v/>
      </c>
      <c r="F1004" s="3" t="str">
        <f t="shared" si="64"/>
        <v/>
      </c>
      <c r="G1004" s="3" t="str">
        <f t="shared" si="65"/>
        <v>West Weald</v>
      </c>
      <c r="H1004" s="17">
        <f t="shared" si="66"/>
        <v>1461</v>
      </c>
      <c r="I1004" s="17">
        <f t="shared" si="67"/>
        <v>1443</v>
      </c>
      <c r="J1004">
        <v>34</v>
      </c>
      <c r="K1004" s="3" t="str">
        <f>VLOOKUP(J1004,'LibSets constants'!$A$4:$B$1017,2,FALSE)</f>
        <v>DLC_GOLD_ROAD</v>
      </c>
      <c r="L1004" s="3" t="str">
        <f>VLOOKUP(J1004,'LibSets constants'!$A$4:$C$1017,3,FALSE)</f>
        <v>Gold Road</v>
      </c>
    </row>
    <row r="1005" spans="1:12" x14ac:dyDescent="0.25">
      <c r="A1005">
        <v>1462</v>
      </c>
      <c r="B1005">
        <v>1000</v>
      </c>
      <c r="C1005" s="45">
        <v>1443</v>
      </c>
      <c r="D1005" t="s">
        <v>3953</v>
      </c>
      <c r="E1005" s="3" t="str">
        <f t="array" ref="E1005">IF(OR(EXACT(A1005,'ESO Dungeon constants'!$D$3:$D$987)),"X","")</f>
        <v/>
      </c>
      <c r="F1005" s="3" t="str">
        <f t="shared" si="64"/>
        <v/>
      </c>
      <c r="G1005" s="3" t="str">
        <f t="shared" si="65"/>
        <v>West Weald</v>
      </c>
      <c r="H1005" s="17">
        <f t="shared" si="66"/>
        <v>1462</v>
      </c>
      <c r="I1005" s="17">
        <f t="shared" si="67"/>
        <v>1443</v>
      </c>
      <c r="J1005">
        <v>34</v>
      </c>
      <c r="K1005" s="3" t="str">
        <f>VLOOKUP(J1005,'LibSets constants'!$A$4:$B$1017,2,FALSE)</f>
        <v>DLC_GOLD_ROAD</v>
      </c>
      <c r="L1005" s="3" t="str">
        <f>VLOOKUP(J1005,'LibSets constants'!$A$4:$C$1017,3,FALSE)</f>
        <v>Gold Road</v>
      </c>
    </row>
    <row r="1006" spans="1:12" x14ac:dyDescent="0.25">
      <c r="A1006">
        <v>1463</v>
      </c>
      <c r="B1006">
        <v>1001</v>
      </c>
      <c r="C1006" s="45">
        <v>1463</v>
      </c>
      <c r="D1006" t="s">
        <v>3952</v>
      </c>
      <c r="E1006" s="3" t="str">
        <f t="array" ref="E1006">IF(OR(EXACT(A1006,'ESO Dungeon constants'!$D$3:$D$987)),"X","")</f>
        <v/>
      </c>
      <c r="F1006" s="3" t="str">
        <f t="shared" si="64"/>
        <v>X</v>
      </c>
      <c r="G1006" s="3" t="str">
        <f t="shared" si="65"/>
        <v/>
      </c>
      <c r="H1006" s="17">
        <f t="shared" si="66"/>
        <v>1463</v>
      </c>
      <c r="I1006" s="17">
        <f t="shared" si="67"/>
        <v>1463</v>
      </c>
      <c r="J1006">
        <v>34</v>
      </c>
      <c r="K1006" s="3" t="str">
        <f>VLOOKUP(J1006,'LibSets constants'!$A$4:$B$1017,2,FALSE)</f>
        <v>DLC_GOLD_ROAD</v>
      </c>
      <c r="L1006" s="3" t="str">
        <f>VLOOKUP(J1006,'LibSets constants'!$A$4:$C$1017,3,FALSE)</f>
        <v>Gold Road</v>
      </c>
    </row>
    <row r="1007" spans="1:12" x14ac:dyDescent="0.25">
      <c r="A1007">
        <v>1464</v>
      </c>
      <c r="B1007">
        <v>1002</v>
      </c>
      <c r="C1007" s="45">
        <v>1443</v>
      </c>
      <c r="D1007" t="s">
        <v>3951</v>
      </c>
      <c r="E1007" s="3" t="str">
        <f t="array" ref="E1007">IF(OR(EXACT(A1007,'ESO Dungeon constants'!$D$3:$D$987)),"X","")</f>
        <v/>
      </c>
      <c r="F1007" s="3" t="str">
        <f t="shared" si="64"/>
        <v/>
      </c>
      <c r="G1007" s="3" t="str">
        <f t="shared" si="65"/>
        <v>West Weald</v>
      </c>
      <c r="H1007" s="17">
        <f t="shared" si="66"/>
        <v>1464</v>
      </c>
      <c r="I1007" s="17">
        <f t="shared" si="67"/>
        <v>1443</v>
      </c>
      <c r="J1007">
        <v>34</v>
      </c>
      <c r="K1007" s="3" t="str">
        <f>VLOOKUP(J1007,'LibSets constants'!$A$4:$B$1017,2,FALSE)</f>
        <v>DLC_GOLD_ROAD</v>
      </c>
      <c r="L1007" s="3" t="str">
        <f>VLOOKUP(J1007,'LibSets constants'!$A$4:$C$1017,3,FALSE)</f>
        <v>Gold Road</v>
      </c>
    </row>
    <row r="1008" spans="1:12" x14ac:dyDescent="0.25">
      <c r="A1008">
        <v>1465</v>
      </c>
      <c r="B1008">
        <v>1003</v>
      </c>
      <c r="C1008" s="45">
        <v>1443</v>
      </c>
      <c r="D1008" t="s">
        <v>3959</v>
      </c>
      <c r="E1008" s="3" t="str">
        <f t="array" ref="E1008">IF(OR(EXACT(A1008,'ESO Dungeon constants'!$D$3:$D$987)),"X","")</f>
        <v/>
      </c>
      <c r="F1008" s="3" t="str">
        <f t="shared" si="64"/>
        <v/>
      </c>
      <c r="G1008" s="3" t="str">
        <f t="shared" si="65"/>
        <v>West Weald</v>
      </c>
      <c r="H1008" s="17">
        <f t="shared" si="66"/>
        <v>1465</v>
      </c>
      <c r="I1008" s="17">
        <f t="shared" si="67"/>
        <v>1443</v>
      </c>
      <c r="J1008">
        <v>34</v>
      </c>
      <c r="K1008" s="3" t="str">
        <f>VLOOKUP(J1008,'LibSets constants'!$A$4:$B$1017,2,FALSE)</f>
        <v>DLC_GOLD_ROAD</v>
      </c>
      <c r="L1008" s="3" t="str">
        <f>VLOOKUP(J1008,'LibSets constants'!$A$4:$C$1017,3,FALSE)</f>
        <v>Gold Road</v>
      </c>
    </row>
    <row r="1009" spans="1:12" x14ac:dyDescent="0.25">
      <c r="A1009">
        <v>1466</v>
      </c>
      <c r="B1009">
        <v>1004</v>
      </c>
      <c r="C1009" s="45">
        <v>1443</v>
      </c>
      <c r="D1009" t="s">
        <v>3949</v>
      </c>
      <c r="E1009" s="3" t="str">
        <f t="array" ref="E1009">IF(OR(EXACT(A1009,'ESO Dungeon constants'!$D$3:$D$987)),"X","")</f>
        <v/>
      </c>
      <c r="F1009" s="3" t="str">
        <f t="shared" si="64"/>
        <v/>
      </c>
      <c r="G1009" s="3" t="str">
        <f t="shared" si="65"/>
        <v>West Weald</v>
      </c>
      <c r="H1009" s="17">
        <f t="shared" si="66"/>
        <v>1466</v>
      </c>
      <c r="I1009" s="17">
        <f t="shared" si="67"/>
        <v>1443</v>
      </c>
      <c r="J1009">
        <v>34</v>
      </c>
      <c r="K1009" s="3" t="str">
        <f>VLOOKUP(J1009,'LibSets constants'!$A$4:$B$1017,2,FALSE)</f>
        <v>DLC_GOLD_ROAD</v>
      </c>
      <c r="L1009" s="3" t="str">
        <f>VLOOKUP(J1009,'LibSets constants'!$A$4:$C$1017,3,FALSE)</f>
        <v>Gold Road</v>
      </c>
    </row>
    <row r="1010" spans="1:12" x14ac:dyDescent="0.25">
      <c r="A1010">
        <v>1467</v>
      </c>
      <c r="B1010">
        <v>1005</v>
      </c>
      <c r="C1010" s="45">
        <v>1443</v>
      </c>
      <c r="D1010" t="s">
        <v>3939</v>
      </c>
      <c r="E1010" s="3" t="str">
        <f t="array" ref="E1010">IF(OR(EXACT(A1010,'ESO Dungeon constants'!$D$3:$D$987)),"X","")</f>
        <v/>
      </c>
      <c r="F1010" s="3" t="str">
        <f t="shared" si="64"/>
        <v/>
      </c>
      <c r="G1010" s="3" t="str">
        <f t="shared" si="65"/>
        <v>West Weald</v>
      </c>
      <c r="H1010" s="17">
        <f t="shared" si="66"/>
        <v>1467</v>
      </c>
      <c r="I1010" s="17">
        <f t="shared" si="67"/>
        <v>1443</v>
      </c>
      <c r="J1010">
        <v>34</v>
      </c>
      <c r="K1010" s="3" t="str">
        <f>VLOOKUP(J1010,'LibSets constants'!$A$4:$B$1017,2,FALSE)</f>
        <v>DLC_GOLD_ROAD</v>
      </c>
      <c r="L1010" s="3" t="str">
        <f>VLOOKUP(J1010,'LibSets constants'!$A$4:$C$1017,3,FALSE)</f>
        <v>Gold Road</v>
      </c>
    </row>
    <row r="1011" spans="1:12" x14ac:dyDescent="0.25">
      <c r="A1011">
        <v>1468</v>
      </c>
      <c r="B1011">
        <v>1006</v>
      </c>
      <c r="C1011" s="45">
        <v>1414</v>
      </c>
      <c r="D1011" t="s">
        <v>3760</v>
      </c>
      <c r="E1011" s="3" t="str">
        <f t="array" ref="E1011">IF(OR(EXACT(A1011,'ESO Dungeon constants'!$D$3:$D$987)),"X","")</f>
        <v/>
      </c>
      <c r="F1011" s="3" t="str">
        <f t="shared" si="64"/>
        <v/>
      </c>
      <c r="G1011" s="3" t="str">
        <f t="shared" si="65"/>
        <v>Telvanni Peninsula</v>
      </c>
      <c r="H1011" s="17">
        <f t="shared" si="66"/>
        <v>1468</v>
      </c>
      <c r="I1011" s="17">
        <f t="shared" si="67"/>
        <v>1414</v>
      </c>
      <c r="J1011">
        <v>34</v>
      </c>
      <c r="K1011" s="3" t="str">
        <f>VLOOKUP(J1011,'LibSets constants'!$A$4:$B$1017,2,FALSE)</f>
        <v>DLC_GOLD_ROAD</v>
      </c>
      <c r="L1011" s="3" t="str">
        <f>VLOOKUP(J1011,'LibSets constants'!$A$4:$C$1017,3,FALSE)</f>
        <v>Gold Road</v>
      </c>
    </row>
    <row r="1012" spans="1:12" x14ac:dyDescent="0.25">
      <c r="A1012">
        <v>1470</v>
      </c>
      <c r="B1012">
        <v>1007</v>
      </c>
      <c r="C1012" s="45">
        <v>1207</v>
      </c>
      <c r="D1012" t="s">
        <v>3873</v>
      </c>
      <c r="E1012" s="3" t="str">
        <f t="array" ref="E1012">IF(OR(EXACT(A1012,'ESO Dungeon constants'!$D$3:$D$987)),"X","")</f>
        <v>X</v>
      </c>
      <c r="F1012" s="3" t="str">
        <f t="shared" si="64"/>
        <v/>
      </c>
      <c r="G1012" s="3" t="str">
        <f t="shared" si="65"/>
        <v>The Reach</v>
      </c>
      <c r="H1012" s="17">
        <f t="shared" si="66"/>
        <v>1470</v>
      </c>
      <c r="I1012" s="17">
        <f t="shared" si="67"/>
        <v>1207</v>
      </c>
      <c r="J1012">
        <v>34</v>
      </c>
      <c r="K1012" s="3" t="str">
        <f>VLOOKUP(J1012,'LibSets constants'!$A$4:$B$1017,2,FALSE)</f>
        <v>DLC_GOLD_ROAD</v>
      </c>
      <c r="L1012" s="3" t="str">
        <f>VLOOKUP(J1012,'LibSets constants'!$A$4:$C$1017,3,FALSE)</f>
        <v>Gold Road</v>
      </c>
    </row>
    <row r="1013" spans="1:12" x14ac:dyDescent="0.25">
      <c r="A1013">
        <v>1471</v>
      </c>
      <c r="B1013">
        <v>1008</v>
      </c>
      <c r="C1013" s="45">
        <v>684</v>
      </c>
      <c r="D1013" t="s">
        <v>3874</v>
      </c>
      <c r="E1013" s="3" t="str">
        <f t="array" ref="E1013">IF(OR(EXACT(A1013,'ESO Dungeon constants'!$D$3:$D$987)),"X","")</f>
        <v>X</v>
      </c>
      <c r="F1013" s="3" t="str">
        <f t="shared" si="64"/>
        <v/>
      </c>
      <c r="G1013" s="3" t="str">
        <f t="shared" si="65"/>
        <v>Wrothgar</v>
      </c>
      <c r="H1013" s="17">
        <f t="shared" si="66"/>
        <v>1471</v>
      </c>
      <c r="I1013" s="17">
        <f t="shared" si="67"/>
        <v>684</v>
      </c>
      <c r="J1013">
        <v>34</v>
      </c>
      <c r="K1013" s="3" t="str">
        <f>VLOOKUP(J1013,'LibSets constants'!$A$4:$B$1017,2,FALSE)</f>
        <v>DLC_GOLD_ROAD</v>
      </c>
      <c r="L1013" s="3" t="str">
        <f>VLOOKUP(J1013,'LibSets constants'!$A$4:$C$1017,3,FALSE)</f>
        <v>Gold Road</v>
      </c>
    </row>
    <row r="1014" spans="1:12" x14ac:dyDescent="0.25">
      <c r="A1014">
        <v>1472</v>
      </c>
      <c r="B1014">
        <v>1009</v>
      </c>
      <c r="C1014" s="45">
        <v>1383</v>
      </c>
      <c r="D1014" t="s">
        <v>3762</v>
      </c>
      <c r="E1014" s="3" t="str">
        <f t="array" ref="E1014">IF(OR(EXACT(A1014,'ESO Dungeon constants'!$D$3:$D$987)),"X","")</f>
        <v/>
      </c>
      <c r="F1014" s="3" t="str">
        <f t="shared" si="64"/>
        <v/>
      </c>
      <c r="G1014" s="3" t="str">
        <f t="shared" si="65"/>
        <v>Galen</v>
      </c>
      <c r="H1014" s="17">
        <f t="shared" si="66"/>
        <v>1472</v>
      </c>
      <c r="I1014" s="17">
        <f t="shared" si="67"/>
        <v>1383</v>
      </c>
      <c r="J1014">
        <v>34</v>
      </c>
      <c r="K1014" s="3" t="str">
        <f>VLOOKUP(J1014,'LibSets constants'!$A$4:$B$1017,2,FALSE)</f>
        <v>DLC_GOLD_ROAD</v>
      </c>
      <c r="L1014" s="3" t="str">
        <f>VLOOKUP(J1014,'LibSets constants'!$A$4:$C$1017,3,FALSE)</f>
        <v>Gold Road</v>
      </c>
    </row>
    <row r="1015" spans="1:12" x14ac:dyDescent="0.25">
      <c r="A1015">
        <v>1473</v>
      </c>
      <c r="B1015">
        <v>1010</v>
      </c>
      <c r="C1015" s="45">
        <v>1413</v>
      </c>
      <c r="D1015" t="s">
        <v>3763</v>
      </c>
      <c r="E1015" s="3" t="str">
        <f t="array" ref="E1015">IF(OR(EXACT(A1015,'ESO Dungeon constants'!$D$3:$D$987)),"X","")</f>
        <v/>
      </c>
      <c r="F1015" s="3" t="str">
        <f t="shared" si="64"/>
        <v/>
      </c>
      <c r="G1015" s="3" t="str">
        <f t="shared" si="65"/>
        <v>Apocrypha</v>
      </c>
      <c r="H1015" s="17">
        <f t="shared" si="66"/>
        <v>1473</v>
      </c>
      <c r="I1015" s="17">
        <f t="shared" si="67"/>
        <v>1413</v>
      </c>
      <c r="J1015">
        <v>34</v>
      </c>
      <c r="K1015" s="3" t="str">
        <f>VLOOKUP(J1015,'LibSets constants'!$A$4:$B$1017,2,FALSE)</f>
        <v>DLC_GOLD_ROAD</v>
      </c>
      <c r="L1015" s="3" t="str">
        <f>VLOOKUP(J1015,'LibSets constants'!$A$4:$C$1017,3,FALSE)</f>
        <v>Gold Road</v>
      </c>
    </row>
    <row r="1016" spans="1:12" x14ac:dyDescent="0.25">
      <c r="A1016">
        <v>1474</v>
      </c>
      <c r="B1016">
        <v>1011</v>
      </c>
      <c r="C1016" s="45">
        <v>1443</v>
      </c>
      <c r="D1016" t="s">
        <v>3679</v>
      </c>
      <c r="E1016" s="3" t="str">
        <f t="array" ref="E1016">IF(OR(EXACT(A1016,'ESO Dungeon constants'!$D$3:$D$987)),"X","")</f>
        <v/>
      </c>
      <c r="F1016" s="3" t="str">
        <f t="shared" si="64"/>
        <v/>
      </c>
      <c r="G1016" s="3" t="str">
        <f t="shared" si="65"/>
        <v>West Weald</v>
      </c>
      <c r="H1016" s="17">
        <f t="shared" si="66"/>
        <v>1474</v>
      </c>
      <c r="I1016" s="17">
        <f t="shared" si="67"/>
        <v>1443</v>
      </c>
      <c r="J1016">
        <v>34</v>
      </c>
      <c r="K1016" s="3" t="str">
        <f>VLOOKUP(J1016,'LibSets constants'!$A$4:$B$1017,2,FALSE)</f>
        <v>DLC_GOLD_ROAD</v>
      </c>
      <c r="L1016" s="3" t="str">
        <f>VLOOKUP(J1016,'LibSets constants'!$A$4:$C$1017,3,FALSE)</f>
        <v>Gold Road</v>
      </c>
    </row>
    <row r="1017" spans="1:12" x14ac:dyDescent="0.25">
      <c r="A1017">
        <v>1475</v>
      </c>
      <c r="B1017">
        <v>1012</v>
      </c>
      <c r="C1017" s="45">
        <v>1475</v>
      </c>
      <c r="D1017" t="s">
        <v>4036</v>
      </c>
      <c r="E1017" s="3" t="str">
        <f t="array" ref="E1017">IF(OR(EXACT(A1017,'ESO Dungeon constants'!$D$3:$D$987)),"X","")</f>
        <v/>
      </c>
      <c r="F1017" s="3" t="str">
        <f t="shared" si="64"/>
        <v>X</v>
      </c>
      <c r="G1017" s="3" t="str">
        <f t="shared" si="65"/>
        <v/>
      </c>
      <c r="H1017" s="17">
        <f t="shared" si="66"/>
        <v>1475</v>
      </c>
      <c r="I1017" s="17">
        <f t="shared" si="67"/>
        <v>1475</v>
      </c>
      <c r="J1017">
        <v>34</v>
      </c>
      <c r="K1017" s="3" t="str">
        <f>VLOOKUP(J1017,'LibSets constants'!$A$4:$B$1017,2,FALSE)</f>
        <v>DLC_GOLD_ROAD</v>
      </c>
      <c r="L1017" s="3" t="str">
        <f>VLOOKUP(J1017,'LibSets constants'!$A$4:$C$1017,3,FALSE)</f>
        <v>Gold Road</v>
      </c>
    </row>
    <row r="1018" spans="1:12" x14ac:dyDescent="0.25">
      <c r="A1018">
        <v>1478</v>
      </c>
      <c r="B1018">
        <v>1013</v>
      </c>
      <c r="C1018" s="45">
        <v>1443</v>
      </c>
      <c r="D1018" t="s">
        <v>3944</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x14ac:dyDescent="0.25">
      <c r="A1019">
        <v>1479</v>
      </c>
      <c r="B1019">
        <v>1014</v>
      </c>
      <c r="C1019" s="45">
        <v>1261</v>
      </c>
      <c r="D1019" t="s">
        <v>3896</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x14ac:dyDescent="0.25">
      <c r="A1020">
        <v>1487</v>
      </c>
      <c r="B1020">
        <v>1015</v>
      </c>
      <c r="C1020" s="45">
        <v>1133</v>
      </c>
      <c r="D1020" t="s">
        <v>3943</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x14ac:dyDescent="0.25">
      <c r="A1021">
        <v>1488</v>
      </c>
      <c r="B1021">
        <v>1016</v>
      </c>
      <c r="C1021" s="45">
        <v>1463</v>
      </c>
      <c r="D1021" t="s">
        <v>3942</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x14ac:dyDescent="0.25">
      <c r="A1022">
        <v>1491</v>
      </c>
      <c r="B1022">
        <v>1017</v>
      </c>
      <c r="C1022" s="45">
        <v>1443</v>
      </c>
      <c r="D1022" t="s">
        <v>3941</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x14ac:dyDescent="0.25">
      <c r="A1023">
        <v>1492</v>
      </c>
      <c r="B1023">
        <v>1018</v>
      </c>
      <c r="C1023" s="45">
        <v>1443</v>
      </c>
      <c r="D1023" t="s">
        <v>3940</v>
      </c>
      <c r="E1023" s="3" t="str">
        <f t="array" ref="E1023">IF(OR(EXACT(A1023,'ESO Dungeon constants'!$D$3:$D$987)),"X","")</f>
        <v/>
      </c>
      <c r="F1023" s="3" t="str">
        <f t="shared" si="64"/>
        <v/>
      </c>
      <c r="G1023" s="3" t="str">
        <f t="shared" si="65"/>
        <v>West Weald</v>
      </c>
      <c r="H1023" s="17">
        <f t="shared" si="66"/>
        <v>1492</v>
      </c>
      <c r="I1023" s="17">
        <f t="shared" si="67"/>
        <v>1443</v>
      </c>
      <c r="J1023">
        <v>34</v>
      </c>
      <c r="K1023" s="3" t="str">
        <f>VLOOKUP(J1023,'LibSets constants'!$A$4:$B$1017,2,FALSE)</f>
        <v>DLC_GOLD_ROAD</v>
      </c>
      <c r="L1023" s="3" t="str">
        <f>VLOOKUP(J1023,'LibSets constants'!$A$4:$C$1017,3,FALSE)</f>
        <v>Gold Road</v>
      </c>
    </row>
    <row r="1024" spans="1:12" x14ac:dyDescent="0.25">
      <c r="A1024">
        <v>1494</v>
      </c>
      <c r="B1024">
        <v>1019</v>
      </c>
      <c r="C1024" s="45">
        <v>381</v>
      </c>
      <c r="D1024" t="s">
        <v>4033</v>
      </c>
      <c r="E1024" s="3" t="str">
        <f t="array" ref="E1024">IF(OR(EXACT(A1024,'ESO Dungeon constants'!$D$3:$D$987)),"X","")</f>
        <v/>
      </c>
      <c r="F1024" s="3" t="str">
        <f t="shared" ref="F1024:F1025" si="68">IF(EXACT(A1024,C1024),"X","")</f>
        <v/>
      </c>
      <c r="G1024" s="3" t="str">
        <f t="shared" ref="G1024:G1025" si="69">IF(A1024&lt;&gt;C1024,VLOOKUP(C1024,$A$5:$D$9954,4,FALSE),"")</f>
        <v>Auridon</v>
      </c>
      <c r="H1024" s="17">
        <f t="shared" ref="H1024:H1025" si="70">A1024</f>
        <v>1494</v>
      </c>
      <c r="I1024" s="17">
        <f t="shared" ref="I1024:I1025" si="71">C1024</f>
        <v>381</v>
      </c>
      <c r="J1024">
        <v>35</v>
      </c>
      <c r="K1024" s="3" t="s">
        <v>4022</v>
      </c>
      <c r="L1024" s="3" t="str">
        <f>VLOOKUP(J1024,'LibSets constants'!$A$4:$C$1017,3,FALSE)</f>
        <v>Patch 43, House tours, QOL and other</v>
      </c>
    </row>
    <row r="1025" spans="1:12" x14ac:dyDescent="0.25">
      <c r="A1025">
        <v>1495</v>
      </c>
      <c r="B1025">
        <v>1020</v>
      </c>
      <c r="C1025" s="45">
        <v>1443</v>
      </c>
      <c r="D1025" t="s">
        <v>4034</v>
      </c>
      <c r="E1025" s="3" t="str">
        <f t="array" ref="E1025">IF(OR(EXACT(A1025,'ESO Dungeon constants'!$D$3:$D$987)),"X","")</f>
        <v/>
      </c>
      <c r="F1025" s="3" t="str">
        <f t="shared" si="68"/>
        <v/>
      </c>
      <c r="G1025" s="3" t="str">
        <f t="shared" si="69"/>
        <v>West Weald</v>
      </c>
      <c r="H1025" s="17">
        <f t="shared" si="70"/>
        <v>1495</v>
      </c>
      <c r="I1025" s="17">
        <f t="shared" si="71"/>
        <v>1443</v>
      </c>
      <c r="J1025">
        <v>35</v>
      </c>
      <c r="K1025" s="3" t="s">
        <v>4022</v>
      </c>
      <c r="L1025" s="3" t="str">
        <f>VLOOKUP(J1025,'LibSets constants'!$A$4:$C$1017,3,FALSE)</f>
        <v>Patch 43, House tours, QOL and other</v>
      </c>
    </row>
  </sheetData>
  <autoFilter ref="A2:L1025"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8" t="s">
        <v>4042</v>
      </c>
      <c r="B1" s="118"/>
      <c r="C1" s="118"/>
      <c r="D1" s="118"/>
      <c r="E1" s="118"/>
    </row>
    <row r="2" spans="1:11" s="1" customFormat="1" x14ac:dyDescent="0.25">
      <c r="A2" s="1" t="s">
        <v>94</v>
      </c>
      <c r="B2" s="1" t="s">
        <v>101</v>
      </c>
      <c r="C2" s="1" t="s">
        <v>98</v>
      </c>
      <c r="D2" s="1" t="s">
        <v>99</v>
      </c>
      <c r="E2" s="1" t="s">
        <v>724</v>
      </c>
      <c r="F2" s="1" t="s">
        <v>1371</v>
      </c>
      <c r="G2" s="1" t="s">
        <v>1370</v>
      </c>
      <c r="H2" s="1" t="s">
        <v>1414</v>
      </c>
      <c r="I2" s="1" t="s">
        <v>1503</v>
      </c>
      <c r="J2" s="1" t="s">
        <v>1415</v>
      </c>
      <c r="K2" s="98" t="s">
        <v>3850</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53">
        <v>1467</v>
      </c>
      <c r="B35" s="53">
        <v>1006</v>
      </c>
      <c r="C35" s="53">
        <v>1443</v>
      </c>
      <c r="D35" s="53" t="s">
        <v>3939</v>
      </c>
      <c r="E35" t="s">
        <v>3938</v>
      </c>
      <c r="F35" s="53">
        <v>1467</v>
      </c>
      <c r="G35" s="53">
        <v>1443</v>
      </c>
      <c r="H35">
        <v>34</v>
      </c>
      <c r="I35" t="s">
        <v>3919</v>
      </c>
      <c r="J35" t="s">
        <v>3920</v>
      </c>
      <c r="K35" s="21" t="str">
        <f t="shared" si="0"/>
        <v>[1467]={parentZoneId=1443, DLCID=DLC_GOLD_ROAD},   --Silorn</v>
      </c>
    </row>
    <row r="36" spans="1:11" x14ac:dyDescent="0.25">
      <c r="A36" s="53">
        <v>1466</v>
      </c>
      <c r="B36" s="53">
        <v>1005</v>
      </c>
      <c r="C36" s="53">
        <v>1443</v>
      </c>
      <c r="D36" s="53" t="s">
        <v>3949</v>
      </c>
      <c r="E36" t="s">
        <v>3938</v>
      </c>
      <c r="F36" s="53">
        <v>1466</v>
      </c>
      <c r="G36" s="53">
        <v>1443</v>
      </c>
      <c r="H36">
        <v>34</v>
      </c>
      <c r="I36" t="s">
        <v>3919</v>
      </c>
      <c r="J36" t="s">
        <v>3920</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4" sqref="C4"/>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4042</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s="45">
        <v>5</v>
      </c>
      <c r="C3" t="s">
        <v>112</v>
      </c>
      <c r="D3">
        <v>104</v>
      </c>
      <c r="E3" t="s">
        <v>112</v>
      </c>
      <c r="F3" s="3">
        <f>VLOOKUP(D3,'ESO zone constants'!$A$5:$B$10001,2,FALSE)</f>
        <v>17</v>
      </c>
      <c r="G3"/>
    </row>
    <row r="4" spans="1:17" x14ac:dyDescent="0.25">
      <c r="A4">
        <v>2275</v>
      </c>
      <c r="B4" s="45">
        <v>50</v>
      </c>
      <c r="C4" t="s">
        <v>3609</v>
      </c>
      <c r="D4">
        <v>1413</v>
      </c>
      <c r="E4" t="s">
        <v>3609</v>
      </c>
      <c r="F4" s="3">
        <f>VLOOKUP(D4,'ESO zone constants'!$A$5:$B$10001,2,FALSE)</f>
        <v>958</v>
      </c>
      <c r="G4"/>
    </row>
    <row r="5" spans="1:17" x14ac:dyDescent="0.25">
      <c r="A5">
        <v>1429</v>
      </c>
      <c r="B5" s="45">
        <v>33</v>
      </c>
      <c r="C5" t="s">
        <v>678</v>
      </c>
      <c r="D5">
        <v>1027</v>
      </c>
      <c r="E5" t="s">
        <v>678</v>
      </c>
      <c r="F5" s="3">
        <f>VLOOKUP(D5,'ESO zone constants'!$A$5:$B$10001,2,FALSE)</f>
        <v>633</v>
      </c>
      <c r="G5"/>
    </row>
    <row r="6" spans="1:17" x14ac:dyDescent="0.25">
      <c r="A6">
        <v>143</v>
      </c>
      <c r="B6" s="45">
        <v>15</v>
      </c>
      <c r="C6" t="s">
        <v>262</v>
      </c>
      <c r="D6">
        <v>381</v>
      </c>
      <c r="E6" t="s">
        <v>262</v>
      </c>
      <c r="F6" s="3">
        <f>VLOOKUP(D6,'ESO zone constants'!$A$5:$B$10001,2,FALSE)</f>
        <v>179</v>
      </c>
      <c r="G6"/>
    </row>
    <row r="7" spans="1:17" x14ac:dyDescent="0.25">
      <c r="A7">
        <v>75</v>
      </c>
      <c r="B7" s="45">
        <v>18</v>
      </c>
      <c r="C7" t="s">
        <v>197</v>
      </c>
      <c r="D7">
        <v>281</v>
      </c>
      <c r="E7" t="s">
        <v>197</v>
      </c>
      <c r="F7" s="3">
        <f>VLOOKUP(D7,'ESO zone constants'!$A$5:$B$10001,2,FALSE)</f>
        <v>111</v>
      </c>
      <c r="G7"/>
    </row>
    <row r="8" spans="1:17" x14ac:dyDescent="0.25">
      <c r="A8">
        <v>20</v>
      </c>
      <c r="B8" s="45">
        <v>6</v>
      </c>
      <c r="C8" t="s">
        <v>109</v>
      </c>
      <c r="D8">
        <v>92</v>
      </c>
      <c r="E8" t="s">
        <v>109</v>
      </c>
      <c r="F8" s="3">
        <f>VLOOKUP(D8,'ESO zone constants'!$A$5:$B$10001,2,FALSE)</f>
        <v>14</v>
      </c>
      <c r="G8"/>
    </row>
    <row r="9" spans="1:17" x14ac:dyDescent="0.25">
      <c r="A9">
        <v>227</v>
      </c>
      <c r="B9" s="45">
        <v>20</v>
      </c>
      <c r="C9" t="s">
        <v>383</v>
      </c>
      <c r="D9">
        <v>535</v>
      </c>
      <c r="E9" t="s">
        <v>383</v>
      </c>
      <c r="F9" s="3">
        <f>VLOOKUP(D9,'ESO zone constants'!$A$5:$B$10001,2,FALSE)</f>
        <v>306</v>
      </c>
      <c r="G9"/>
    </row>
    <row r="10" spans="1:17" x14ac:dyDescent="0.25">
      <c r="A10">
        <v>1850</v>
      </c>
      <c r="B10" s="45">
        <v>41</v>
      </c>
      <c r="C10" t="s">
        <v>2204</v>
      </c>
      <c r="D10">
        <v>1208</v>
      </c>
      <c r="E10" t="s">
        <v>2204</v>
      </c>
      <c r="F10" s="3">
        <f>VLOOKUP(D10,'ESO zone constants'!$A$5:$B$10001,2,FALSE)</f>
        <v>785</v>
      </c>
      <c r="G10"/>
    </row>
    <row r="11" spans="1:17" x14ac:dyDescent="0.25">
      <c r="A11">
        <v>1747</v>
      </c>
      <c r="B11" s="45">
        <v>39</v>
      </c>
      <c r="C11" t="s">
        <v>1707</v>
      </c>
      <c r="D11">
        <v>1161</v>
      </c>
      <c r="E11" t="s">
        <v>1707</v>
      </c>
      <c r="F11" s="3">
        <f>VLOOKUP(D11,'ESO zone constants'!$A$5:$B$10001,2,FALSE)</f>
        <v>745</v>
      </c>
      <c r="G11"/>
    </row>
    <row r="12" spans="1:17" x14ac:dyDescent="0.25">
      <c r="A12">
        <v>1887</v>
      </c>
      <c r="B12" s="45">
        <v>43</v>
      </c>
      <c r="C12" t="s">
        <v>2378</v>
      </c>
      <c r="D12">
        <v>1261</v>
      </c>
      <c r="E12" t="s">
        <v>2378</v>
      </c>
      <c r="F12" s="3">
        <f>VLOOKUP(D12,'ESO zone constants'!$A$5:$B$10001,2,FALSE)</f>
        <v>835</v>
      </c>
      <c r="G12"/>
    </row>
    <row r="13" spans="1:17" x14ac:dyDescent="0.25">
      <c r="A13">
        <v>74</v>
      </c>
      <c r="B13" s="45">
        <v>22</v>
      </c>
      <c r="C13" t="s">
        <v>196</v>
      </c>
      <c r="D13">
        <v>280</v>
      </c>
      <c r="E13" t="s">
        <v>196</v>
      </c>
      <c r="F13" s="3">
        <f>VLOOKUP(D13,'ESO zone constants'!$A$5:$B$10001,2,FALSE)</f>
        <v>110</v>
      </c>
      <c r="G13"/>
    </row>
    <row r="14" spans="1:17" x14ac:dyDescent="0.25">
      <c r="A14">
        <v>1313</v>
      </c>
      <c r="B14" s="45">
        <v>31</v>
      </c>
      <c r="C14" t="s">
        <v>78</v>
      </c>
      <c r="D14">
        <v>980</v>
      </c>
      <c r="E14" t="s">
        <v>78</v>
      </c>
      <c r="F14" s="3">
        <f>VLOOKUP(D14,'ESO zone constants'!$A$5:$B$10001,2,FALSE)</f>
        <v>590</v>
      </c>
      <c r="G14"/>
    </row>
    <row r="15" spans="1:17" x14ac:dyDescent="0.25">
      <c r="A15">
        <v>255</v>
      </c>
      <c r="B15" s="45">
        <v>23</v>
      </c>
      <c r="C15" t="s">
        <v>239</v>
      </c>
      <c r="D15">
        <v>347</v>
      </c>
      <c r="E15" t="s">
        <v>239</v>
      </c>
      <c r="F15" s="3">
        <f>VLOOKUP(D15,'ESO zone constants'!$A$5:$B$10001,2,FALSE)</f>
        <v>155</v>
      </c>
      <c r="G15"/>
    </row>
    <row r="16" spans="1:17" x14ac:dyDescent="0.25">
      <c r="A16">
        <v>1126</v>
      </c>
      <c r="B16" s="45">
        <v>25</v>
      </c>
      <c r="C16" t="s">
        <v>562</v>
      </c>
      <c r="D16">
        <v>888</v>
      </c>
      <c r="E16" t="s">
        <v>562</v>
      </c>
      <c r="F16" s="3">
        <f>VLOOKUP(D16,'ESO zone constants'!$A$5:$B$10001,2,FALSE)</f>
        <v>501</v>
      </c>
      <c r="G16"/>
    </row>
    <row r="17" spans="1:7" x14ac:dyDescent="0.25">
      <c r="A17">
        <v>16</v>
      </c>
      <c r="B17" s="45">
        <v>14</v>
      </c>
      <c r="C17" t="s">
        <v>125</v>
      </c>
      <c r="D17">
        <v>181</v>
      </c>
      <c r="E17" t="s">
        <v>125</v>
      </c>
      <c r="F17" s="3">
        <f>VLOOKUP(D17,'ESO zone constants'!$A$5:$B$10001,2,FALSE)</f>
        <v>38</v>
      </c>
      <c r="G17"/>
    </row>
    <row r="18" spans="1:7" x14ac:dyDescent="0.25">
      <c r="A18">
        <v>13</v>
      </c>
      <c r="B18" s="45">
        <v>10</v>
      </c>
      <c r="C18" t="s">
        <v>107</v>
      </c>
      <c r="D18">
        <v>57</v>
      </c>
      <c r="E18" t="s">
        <v>107</v>
      </c>
      <c r="F18" s="3">
        <f>VLOOKUP(D18,'ESO zone constants'!$A$5:$B$10001,2,FALSE)</f>
        <v>10</v>
      </c>
      <c r="G18"/>
    </row>
    <row r="19" spans="1:7" x14ac:dyDescent="0.25">
      <c r="A19">
        <v>61</v>
      </c>
      <c r="B19" s="45">
        <v>13</v>
      </c>
      <c r="C19" t="s">
        <v>110</v>
      </c>
      <c r="D19">
        <v>101</v>
      </c>
      <c r="E19" t="s">
        <v>110</v>
      </c>
      <c r="F19" s="3">
        <f>VLOOKUP(D19,'ESO zone constants'!$A$5:$B$10001,2,FALSE)</f>
        <v>15</v>
      </c>
      <c r="G19"/>
    </row>
    <row r="20" spans="1:7" x14ac:dyDescent="0.25">
      <c r="A20">
        <v>108</v>
      </c>
      <c r="B20" s="45">
        <v>52</v>
      </c>
      <c r="C20" t="s">
        <v>186</v>
      </c>
      <c r="D20">
        <v>267</v>
      </c>
      <c r="E20" t="s">
        <v>186</v>
      </c>
      <c r="F20" s="3">
        <f>VLOOKUP(D20,'ESO zone constants'!$A$5:$B$10001,2,FALSE)</f>
        <v>100</v>
      </c>
      <c r="G20"/>
    </row>
    <row r="21" spans="1:7" x14ac:dyDescent="0.25">
      <c r="A21">
        <v>2119</v>
      </c>
      <c r="B21" s="45">
        <v>44</v>
      </c>
      <c r="C21" t="s">
        <v>2670</v>
      </c>
      <c r="D21">
        <v>1283</v>
      </c>
      <c r="E21" t="s">
        <v>2671</v>
      </c>
      <c r="F21" s="3">
        <f>VLOOKUP(D21,'ESO zone constants'!$A$5:$B$10001,2,FALSE)</f>
        <v>855</v>
      </c>
      <c r="G21"/>
    </row>
    <row r="22" spans="1:7" x14ac:dyDescent="0.25">
      <c r="A22">
        <v>2035</v>
      </c>
      <c r="B22" s="45">
        <v>47</v>
      </c>
      <c r="C22" t="s">
        <v>3399</v>
      </c>
      <c r="D22">
        <v>1282</v>
      </c>
      <c r="E22" t="s">
        <v>2670</v>
      </c>
      <c r="F22" s="3">
        <f>VLOOKUP(D22,'ESO zone constants'!$A$5:$B$10001,2,FALSE)</f>
        <v>854</v>
      </c>
      <c r="G22"/>
    </row>
    <row r="23" spans="1:7" x14ac:dyDescent="0.25">
      <c r="A23">
        <v>2212</v>
      </c>
      <c r="B23" s="45">
        <v>48</v>
      </c>
      <c r="C23" t="s">
        <v>3461</v>
      </c>
      <c r="D23">
        <v>1383</v>
      </c>
      <c r="E23" t="s">
        <v>3456</v>
      </c>
      <c r="F23" s="3">
        <f>VLOOKUP(D23,'ESO zone constants'!$A$5:$B$10001,2,FALSE)</f>
        <v>930</v>
      </c>
      <c r="G23"/>
    </row>
    <row r="24" spans="1:7" x14ac:dyDescent="0.25">
      <c r="A24">
        <v>1</v>
      </c>
      <c r="B24" s="45">
        <v>2</v>
      </c>
      <c r="C24" t="s">
        <v>103</v>
      </c>
      <c r="D24">
        <v>3</v>
      </c>
      <c r="E24" t="s">
        <v>103</v>
      </c>
      <c r="F24" s="3">
        <f>VLOOKUP(D24,'ESO zone constants'!$A$5:$B$10001,2,FALSE)</f>
        <v>2</v>
      </c>
      <c r="G24"/>
    </row>
    <row r="25" spans="1:7" x14ac:dyDescent="0.25">
      <c r="A25">
        <v>1006</v>
      </c>
      <c r="B25" s="45">
        <v>29</v>
      </c>
      <c r="C25" t="s">
        <v>512</v>
      </c>
      <c r="D25">
        <v>823</v>
      </c>
      <c r="E25" t="s">
        <v>512</v>
      </c>
      <c r="F25" s="3">
        <f>VLOOKUP(D25,'ESO zone constants'!$A$5:$B$10001,2,FALSE)</f>
        <v>449</v>
      </c>
      <c r="G25"/>
    </row>
    <row r="26" spans="1:7" x14ac:dyDescent="0.25">
      <c r="A26">
        <v>9</v>
      </c>
      <c r="B26" s="45">
        <v>7</v>
      </c>
      <c r="C26" t="s">
        <v>264</v>
      </c>
      <c r="D26">
        <v>383</v>
      </c>
      <c r="E26" t="s">
        <v>264</v>
      </c>
      <c r="F26" s="3">
        <f>VLOOKUP(D26,'ESO zone constants'!$A$5:$B$10001,2,FALSE)</f>
        <v>181</v>
      </c>
      <c r="G26"/>
    </row>
    <row r="27" spans="1:7" x14ac:dyDescent="0.25">
      <c r="A27">
        <v>300</v>
      </c>
      <c r="B27" s="45">
        <v>16</v>
      </c>
      <c r="C27" t="s">
        <v>113</v>
      </c>
      <c r="D27">
        <v>108</v>
      </c>
      <c r="E27" t="s">
        <v>113</v>
      </c>
      <c r="F27" s="3">
        <f>VLOOKUP(D27,'ESO zone constants'!$A$5:$B$10001,2,FALSE)</f>
        <v>18</v>
      </c>
      <c r="G27"/>
    </row>
    <row r="28" spans="1:7" x14ac:dyDescent="0.25">
      <c r="A28">
        <v>994</v>
      </c>
      <c r="B28" s="45">
        <v>28</v>
      </c>
      <c r="C28" t="s">
        <v>506</v>
      </c>
      <c r="D28">
        <v>816</v>
      </c>
      <c r="E28" t="s">
        <v>506</v>
      </c>
      <c r="F28" s="3">
        <f>VLOOKUP(D28,'ESO zone constants'!$A$5:$B$10001,2,FALSE)</f>
        <v>443</v>
      </c>
      <c r="G28"/>
    </row>
    <row r="29" spans="1:7" x14ac:dyDescent="0.25">
      <c r="A29">
        <v>2114</v>
      </c>
      <c r="B29" s="45">
        <v>46</v>
      </c>
      <c r="C29" t="s">
        <v>3338</v>
      </c>
      <c r="D29">
        <v>1318</v>
      </c>
      <c r="E29" t="s">
        <v>3315</v>
      </c>
      <c r="F29" s="3">
        <f>VLOOKUP(D29,'ESO zone constants'!$A$5:$B$10001,2,FALSE)</f>
        <v>884</v>
      </c>
      <c r="G29"/>
    </row>
    <row r="30" spans="1:7" x14ac:dyDescent="0.25">
      <c r="A30">
        <v>660</v>
      </c>
      <c r="B30" s="45">
        <v>26</v>
      </c>
      <c r="C30" t="s">
        <v>39</v>
      </c>
      <c r="D30">
        <v>584</v>
      </c>
      <c r="E30" t="s">
        <v>39</v>
      </c>
      <c r="F30" s="3">
        <f>VLOOKUP(D30,'ESO zone constants'!$A$5:$B$10001,2,FALSE)</f>
        <v>347</v>
      </c>
      <c r="G30"/>
    </row>
    <row r="31" spans="1:7" x14ac:dyDescent="0.25">
      <c r="A31">
        <v>258</v>
      </c>
      <c r="B31" s="45">
        <v>21</v>
      </c>
      <c r="C31" t="s">
        <v>384</v>
      </c>
      <c r="D31">
        <v>537</v>
      </c>
      <c r="E31" t="s">
        <v>384</v>
      </c>
      <c r="F31" s="3">
        <f>VLOOKUP(D31,'ESO zone constants'!$A$5:$B$10001,2,FALSE)</f>
        <v>307</v>
      </c>
      <c r="G31"/>
    </row>
    <row r="32" spans="1:7" x14ac:dyDescent="0.25">
      <c r="A32">
        <v>22</v>
      </c>
      <c r="B32" s="45">
        <v>8</v>
      </c>
      <c r="C32" t="s">
        <v>108</v>
      </c>
      <c r="D32">
        <v>58</v>
      </c>
      <c r="E32" t="s">
        <v>108</v>
      </c>
      <c r="F32" s="3">
        <f>VLOOKUP(D32,'ESO zone constants'!$A$5:$B$10001,2,FALSE)</f>
        <v>11</v>
      </c>
      <c r="G32"/>
    </row>
    <row r="33" spans="1:7" x14ac:dyDescent="0.25">
      <c r="A33">
        <v>1484</v>
      </c>
      <c r="B33" s="45">
        <v>34</v>
      </c>
      <c r="C33" t="s">
        <v>80</v>
      </c>
      <c r="D33">
        <v>726</v>
      </c>
      <c r="E33" t="s">
        <v>80</v>
      </c>
      <c r="F33" s="3">
        <f>VLOOKUP(D33,'ESO zone constants'!$A$5:$B$10001,2,FALSE)</f>
        <v>408</v>
      </c>
      <c r="G33"/>
    </row>
    <row r="34" spans="1:7" x14ac:dyDescent="0.25">
      <c r="A34">
        <v>1552</v>
      </c>
      <c r="B34" s="45">
        <v>35</v>
      </c>
      <c r="C34" t="s">
        <v>712</v>
      </c>
      <c r="D34">
        <v>1072</v>
      </c>
      <c r="E34" t="s">
        <v>712</v>
      </c>
      <c r="F34" s="3">
        <f>VLOOKUP(D34,'ESO zone constants'!$A$5:$B$10001,2,FALSE)</f>
        <v>669</v>
      </c>
      <c r="G34"/>
    </row>
    <row r="35" spans="1:7" x14ac:dyDescent="0.25">
      <c r="A35">
        <v>1555</v>
      </c>
      <c r="B35" s="45">
        <v>36</v>
      </c>
      <c r="C35" t="s">
        <v>1384</v>
      </c>
      <c r="D35">
        <v>1086</v>
      </c>
      <c r="E35" t="s">
        <v>1384</v>
      </c>
      <c r="F35" s="3">
        <f>VLOOKUP(D35,'ESO zone constants'!$A$5:$B$10001,2,FALSE)</f>
        <v>682</v>
      </c>
      <c r="G35"/>
    </row>
    <row r="36" spans="1:7" x14ac:dyDescent="0.25">
      <c r="A36">
        <v>256</v>
      </c>
      <c r="B36" s="45">
        <v>17</v>
      </c>
      <c r="C36" t="s">
        <v>263</v>
      </c>
      <c r="D36">
        <v>382</v>
      </c>
      <c r="E36" t="s">
        <v>263</v>
      </c>
      <c r="F36" s="3">
        <f>VLOOKUP(D36,'ESO zone constants'!$A$5:$B$10001,2,FALSE)</f>
        <v>180</v>
      </c>
      <c r="G36"/>
    </row>
    <row r="37" spans="1:7" x14ac:dyDescent="0.25">
      <c r="A37">
        <v>10</v>
      </c>
      <c r="B37" s="45">
        <v>3</v>
      </c>
      <c r="C37" t="s">
        <v>105</v>
      </c>
      <c r="D37">
        <v>20</v>
      </c>
      <c r="E37" t="s">
        <v>105</v>
      </c>
      <c r="F37" s="3">
        <f>VLOOKUP(D37,'ESO zone constants'!$A$5:$B$10001,2,FALSE)</f>
        <v>5</v>
      </c>
      <c r="G37"/>
    </row>
    <row r="38" spans="1:7" x14ac:dyDescent="0.25">
      <c r="A38">
        <v>26</v>
      </c>
      <c r="B38" s="45">
        <v>9</v>
      </c>
      <c r="C38" t="s">
        <v>114</v>
      </c>
      <c r="D38">
        <v>117</v>
      </c>
      <c r="E38" t="s">
        <v>114</v>
      </c>
      <c r="F38" s="3">
        <f>VLOOKUP(D38,'ESO zone constants'!$A$5:$B$10001,2,FALSE)</f>
        <v>19</v>
      </c>
      <c r="G38"/>
    </row>
    <row r="39" spans="1:7" x14ac:dyDescent="0.25">
      <c r="A39">
        <v>1654</v>
      </c>
      <c r="B39" s="45">
        <v>37</v>
      </c>
      <c r="C39" t="s">
        <v>1577</v>
      </c>
      <c r="D39">
        <v>1133</v>
      </c>
      <c r="E39" t="s">
        <v>1577</v>
      </c>
      <c r="F39" s="3">
        <f>VLOOKUP(D39,'ESO zone constants'!$A$5:$B$10001,2,FALSE)</f>
        <v>721</v>
      </c>
      <c r="G39"/>
    </row>
    <row r="40" spans="1:7" x14ac:dyDescent="0.25">
      <c r="A40">
        <v>7</v>
      </c>
      <c r="B40" s="45">
        <v>11</v>
      </c>
      <c r="C40" t="s">
        <v>106</v>
      </c>
      <c r="D40">
        <v>41</v>
      </c>
      <c r="E40" t="s">
        <v>106</v>
      </c>
      <c r="F40" s="3">
        <f>VLOOKUP(D40,'ESO zone constants'!$A$5:$B$10001,2,FALSE)</f>
        <v>9</v>
      </c>
      <c r="G40"/>
    </row>
    <row r="41" spans="1:7" x14ac:dyDescent="0.25">
      <c r="A41">
        <v>12</v>
      </c>
      <c r="B41" s="45">
        <v>4</v>
      </c>
      <c r="C41" t="s">
        <v>104</v>
      </c>
      <c r="D41">
        <v>19</v>
      </c>
      <c r="E41" t="s">
        <v>104</v>
      </c>
      <c r="F41" s="3">
        <f>VLOOKUP(D41,'ESO zone constants'!$A$5:$B$10001,2,FALSE)</f>
        <v>4</v>
      </c>
      <c r="G41"/>
    </row>
    <row r="42" spans="1:7" x14ac:dyDescent="0.25">
      <c r="A42">
        <v>201</v>
      </c>
      <c r="B42" s="45">
        <v>19</v>
      </c>
      <c r="C42" t="s">
        <v>382</v>
      </c>
      <c r="D42">
        <v>534</v>
      </c>
      <c r="E42" t="s">
        <v>382</v>
      </c>
      <c r="F42" s="3">
        <f>VLOOKUP(D42,'ESO zone constants'!$A$5:$B$10001,2,FALSE)</f>
        <v>305</v>
      </c>
      <c r="G42"/>
    </row>
    <row r="43" spans="1:7" x14ac:dyDescent="0.25">
      <c r="A43">
        <v>1349</v>
      </c>
      <c r="B43" s="45">
        <v>32</v>
      </c>
      <c r="C43" t="s">
        <v>79</v>
      </c>
      <c r="D43">
        <v>1011</v>
      </c>
      <c r="E43" t="s">
        <v>79</v>
      </c>
      <c r="F43" s="3">
        <f>VLOOKUP(D43,'ESO zone constants'!$A$5:$B$10001,2,FALSE)</f>
        <v>617</v>
      </c>
      <c r="G43"/>
    </row>
    <row r="44" spans="1:7" x14ac:dyDescent="0.25">
      <c r="A44">
        <v>2274</v>
      </c>
      <c r="B44" s="45">
        <v>49</v>
      </c>
      <c r="C44" t="s">
        <v>3681</v>
      </c>
      <c r="D44">
        <v>1414</v>
      </c>
      <c r="E44" t="s">
        <v>3681</v>
      </c>
      <c r="F44" s="3">
        <f>VLOOKUP(D44,'ESO zone constants'!$A$5:$B$10001,2,FALSE)</f>
        <v>959</v>
      </c>
      <c r="G44"/>
    </row>
    <row r="45" spans="1:7" x14ac:dyDescent="0.25">
      <c r="A45">
        <v>2021</v>
      </c>
      <c r="B45" s="45">
        <v>45</v>
      </c>
      <c r="C45" t="s">
        <v>2434</v>
      </c>
      <c r="D45">
        <v>1286</v>
      </c>
      <c r="E45" t="s">
        <v>2434</v>
      </c>
      <c r="F45" s="3">
        <f>VLOOKUP(D45,'ESO zone constants'!$A$5:$B$10001,2,FALSE)</f>
        <v>858</v>
      </c>
      <c r="G45"/>
    </row>
    <row r="46" spans="1:7" x14ac:dyDescent="0.25">
      <c r="A46">
        <v>1814</v>
      </c>
      <c r="B46" s="45">
        <v>42</v>
      </c>
      <c r="C46" t="s">
        <v>2203</v>
      </c>
      <c r="D46">
        <v>1207</v>
      </c>
      <c r="E46" t="s">
        <v>2203</v>
      </c>
      <c r="F46" s="3">
        <f>VLOOKUP(D46,'ESO zone constants'!$A$5:$B$10001,2,FALSE)</f>
        <v>784</v>
      </c>
    </row>
    <row r="47" spans="1:7" x14ac:dyDescent="0.25">
      <c r="A47">
        <v>125</v>
      </c>
      <c r="B47" s="45">
        <v>12</v>
      </c>
      <c r="C47" t="s">
        <v>111</v>
      </c>
      <c r="D47">
        <v>103</v>
      </c>
      <c r="E47" t="s">
        <v>111</v>
      </c>
      <c r="F47" s="3">
        <f>VLOOKUP(D47,'ESO zone constants'!$A$5:$B$10001,2,FALSE)</f>
        <v>16</v>
      </c>
    </row>
    <row r="48" spans="1:7" s="36" customFormat="1" x14ac:dyDescent="0.25">
      <c r="A48" s="36">
        <v>1060</v>
      </c>
      <c r="B48" s="111">
        <v>30</v>
      </c>
      <c r="C48" s="36" t="s">
        <v>529</v>
      </c>
      <c r="D48" s="36">
        <v>849</v>
      </c>
      <c r="E48" s="36" t="s">
        <v>529</v>
      </c>
      <c r="F48" s="3">
        <f>VLOOKUP(D48,'ESO zone constants'!$A$5:$B$10001,2,FALSE)</f>
        <v>468</v>
      </c>
    </row>
    <row r="49" spans="1:6" x14ac:dyDescent="0.25">
      <c r="A49">
        <v>2427</v>
      </c>
      <c r="B49" s="45">
        <v>51</v>
      </c>
      <c r="C49" t="s">
        <v>3938</v>
      </c>
      <c r="D49">
        <v>1443</v>
      </c>
      <c r="E49" t="s">
        <v>3938</v>
      </c>
      <c r="F49" s="3">
        <f>VLOOKUP(D49,'ESO zone constants'!$A$5:$B$10001,2,FALSE)</f>
        <v>981</v>
      </c>
    </row>
    <row r="50" spans="1:6" x14ac:dyDescent="0.25">
      <c r="A50">
        <v>1719</v>
      </c>
      <c r="B50" s="45">
        <v>38</v>
      </c>
      <c r="C50" t="s">
        <v>1677</v>
      </c>
      <c r="D50">
        <v>1160</v>
      </c>
      <c r="E50" t="s">
        <v>1677</v>
      </c>
      <c r="F50" s="3">
        <f>VLOOKUP(D50,'ESO zone constants'!$A$5:$B$10001,2,FALSE)</f>
        <v>744</v>
      </c>
    </row>
    <row r="51" spans="1:6" x14ac:dyDescent="0.25">
      <c r="A51">
        <v>667</v>
      </c>
      <c r="B51" s="45">
        <v>27</v>
      </c>
      <c r="C51" t="s">
        <v>449</v>
      </c>
      <c r="D51">
        <v>684</v>
      </c>
      <c r="E51" t="s">
        <v>449</v>
      </c>
      <c r="F51" s="3">
        <f>VLOOKUP(D51,'ESO zone constants'!$A$5:$B$10001,2,FALSE)</f>
        <v>380</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26" activePane="bottomLeft" state="frozen"/>
      <selection pane="bottomLeft" activeCell="A2" sqref="A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4042</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K66" si="1">A3</f>
        <v>1</v>
      </c>
      <c r="L3" s="3">
        <f t="shared" ref="L3:L66" si="2">F3</f>
        <v>3</v>
      </c>
      <c r="M3" s="8" t="str">
        <f>VLOOKUP(A3,'ESO wayshrine names'!$A$3:$B$5104,2,)</f>
        <v>Wyrd Tree Wayshrine</v>
      </c>
      <c r="N3" s="3" t="str">
        <f>VLOOKUP(F3,'ESO zone constants'!$A$5:$D$10001,4,FALSE)</f>
        <v>Glenumbra</v>
      </c>
    </row>
    <row r="4" spans="1:14" x14ac:dyDescent="0.25">
      <c r="A4" s="90">
        <v>2</v>
      </c>
      <c r="B4">
        <v>2</v>
      </c>
      <c r="C4">
        <v>1</v>
      </c>
      <c r="D4" t="s">
        <v>103</v>
      </c>
      <c r="E4">
        <v>2</v>
      </c>
      <c r="F4">
        <v>3</v>
      </c>
      <c r="G4" t="s">
        <v>103</v>
      </c>
      <c r="H4">
        <v>1</v>
      </c>
      <c r="I4" t="s">
        <v>2770</v>
      </c>
      <c r="J4" s="30" t="str">
        <f t="shared" si="0"/>
        <v>[2]=3,</v>
      </c>
      <c r="K4" s="3">
        <f t="shared" si="1"/>
        <v>2</v>
      </c>
      <c r="L4" s="3">
        <f t="shared" si="2"/>
        <v>3</v>
      </c>
      <c r="M4" s="8" t="str">
        <f>VLOOKUP(A4,'ESO wayshrine names'!$A$3:$B$5104,2,)</f>
        <v>Aldcroft Wayshrine</v>
      </c>
      <c r="N4" s="3" t="str">
        <f>VLOOKUP(F4,'ESO zone constants'!$A$5:$D$10001,4,FALSE)</f>
        <v>Glenumbra</v>
      </c>
    </row>
    <row r="5" spans="1:14" x14ac:dyDescent="0.25">
      <c r="A5" s="90">
        <v>3</v>
      </c>
      <c r="B5">
        <v>2</v>
      </c>
      <c r="C5">
        <v>1</v>
      </c>
      <c r="D5" t="s">
        <v>103</v>
      </c>
      <c r="E5">
        <v>2</v>
      </c>
      <c r="F5">
        <v>3</v>
      </c>
      <c r="G5" t="s">
        <v>103</v>
      </c>
      <c r="H5">
        <v>1</v>
      </c>
      <c r="I5" t="s">
        <v>2771</v>
      </c>
      <c r="J5" s="30" t="str">
        <f t="shared" si="0"/>
        <v>[3]=3,</v>
      </c>
      <c r="K5" s="3">
        <f t="shared" si="1"/>
        <v>3</v>
      </c>
      <c r="L5" s="3">
        <f t="shared" si="2"/>
        <v>3</v>
      </c>
      <c r="M5" s="8" t="str">
        <f>VLOOKUP(A5,'ESO wayshrine names'!$A$3:$B$5104,2,)</f>
        <v>Deleyn's Mill Wayshrine</v>
      </c>
      <c r="N5" s="3" t="str">
        <f>VLOOKUP(F5,'ESO zone constants'!$A$5:$D$10001,4,FALSE)</f>
        <v>Glenumbra</v>
      </c>
    </row>
    <row r="6" spans="1:14" x14ac:dyDescent="0.25">
      <c r="A6" s="90">
        <v>4</v>
      </c>
      <c r="B6">
        <v>2</v>
      </c>
      <c r="C6">
        <v>1</v>
      </c>
      <c r="D6" t="s">
        <v>103</v>
      </c>
      <c r="E6">
        <v>2</v>
      </c>
      <c r="F6">
        <v>3</v>
      </c>
      <c r="G6" t="s">
        <v>103</v>
      </c>
      <c r="H6">
        <v>1</v>
      </c>
      <c r="I6" t="s">
        <v>2772</v>
      </c>
      <c r="J6" s="30" t="str">
        <f t="shared" si="0"/>
        <v>[4]=3,</v>
      </c>
      <c r="K6" s="3">
        <f t="shared" si="1"/>
        <v>4</v>
      </c>
      <c r="L6" s="3">
        <f t="shared" si="2"/>
        <v>3</v>
      </c>
      <c r="M6" s="8" t="str">
        <f>VLOOKUP(A6,'ESO wayshrine names'!$A$3:$B$5104,2,)</f>
        <v>Eagle's Brook Wayshrine</v>
      </c>
      <c r="N6" s="3" t="str">
        <f>VLOOKUP(F6,'ESO zone constants'!$A$5:$D$10001,4,FALSE)</f>
        <v>Glenumbra</v>
      </c>
    </row>
    <row r="7" spans="1:14" x14ac:dyDescent="0.25">
      <c r="A7" s="90">
        <v>5</v>
      </c>
      <c r="B7">
        <v>2</v>
      </c>
      <c r="C7">
        <v>1</v>
      </c>
      <c r="D7" t="s">
        <v>103</v>
      </c>
      <c r="E7">
        <v>2</v>
      </c>
      <c r="F7">
        <v>3</v>
      </c>
      <c r="G7" t="s">
        <v>103</v>
      </c>
      <c r="H7">
        <v>1</v>
      </c>
      <c r="I7" t="s">
        <v>3767</v>
      </c>
      <c r="J7" s="30" t="str">
        <f t="shared" si="0"/>
        <v>[5]=3,</v>
      </c>
      <c r="K7" s="3">
        <f t="shared" si="1"/>
        <v>5</v>
      </c>
      <c r="L7" s="3">
        <f t="shared" si="2"/>
        <v>3</v>
      </c>
      <c r="M7" s="8" t="str">
        <f>VLOOKUP(A7,'ESO wayshrine names'!$A$3:$B$5104,2,)</f>
        <v>North Hag Fen Wayshrine</v>
      </c>
      <c r="N7" s="3" t="str">
        <f>VLOOKUP(F7,'ESO zone constants'!$A$5:$D$10001,4,FALSE)</f>
        <v>Glenumbra</v>
      </c>
    </row>
    <row r="8" spans="1:14" x14ac:dyDescent="0.25">
      <c r="A8" s="90">
        <v>6</v>
      </c>
      <c r="B8">
        <v>2</v>
      </c>
      <c r="C8">
        <v>1</v>
      </c>
      <c r="D8" t="s">
        <v>103</v>
      </c>
      <c r="E8">
        <v>2</v>
      </c>
      <c r="F8">
        <v>3</v>
      </c>
      <c r="G8" t="s">
        <v>103</v>
      </c>
      <c r="H8">
        <v>1</v>
      </c>
      <c r="I8" t="s">
        <v>2773</v>
      </c>
      <c r="J8" s="30" t="str">
        <f t="shared" si="0"/>
        <v>[6]=3,</v>
      </c>
      <c r="K8" s="3">
        <f t="shared" si="1"/>
        <v>6</v>
      </c>
      <c r="L8" s="3">
        <f t="shared" si="2"/>
        <v>3</v>
      </c>
      <c r="M8" s="8" t="str">
        <f>VLOOKUP(A8,'ESO wayshrine names'!$A$3:$B$5104,2,)</f>
        <v>Lion Guard Redoubt Wayshrine</v>
      </c>
      <c r="N8" s="3" t="str">
        <f>VLOOKUP(F8,'ESO zone constants'!$A$5:$D$10001,4,FALSE)</f>
        <v>Glenumbra</v>
      </c>
    </row>
    <row r="9" spans="1:14" x14ac:dyDescent="0.25">
      <c r="A9" s="90">
        <v>7</v>
      </c>
      <c r="B9">
        <v>2</v>
      </c>
      <c r="C9">
        <v>1</v>
      </c>
      <c r="D9" t="s">
        <v>103</v>
      </c>
      <c r="E9">
        <v>2</v>
      </c>
      <c r="F9">
        <v>3</v>
      </c>
      <c r="G9" t="s">
        <v>103</v>
      </c>
      <c r="H9">
        <v>1</v>
      </c>
      <c r="I9" t="s">
        <v>2774</v>
      </c>
      <c r="J9" s="30" t="str">
        <f t="shared" si="0"/>
        <v>[7]=3,</v>
      </c>
      <c r="K9" s="3">
        <f t="shared" si="1"/>
        <v>7</v>
      </c>
      <c r="L9" s="3">
        <f t="shared" si="2"/>
        <v>3</v>
      </c>
      <c r="M9" s="8" t="str">
        <f>VLOOKUP(A9,'ESO wayshrine names'!$A$3:$B$5104,2,)</f>
        <v>Crosswych Wayshrine</v>
      </c>
      <c r="N9" s="3" t="str">
        <f>VLOOKUP(F9,'ESO zone constants'!$A$5:$D$10001,4,FALSE)</f>
        <v>Glenumbra</v>
      </c>
    </row>
    <row r="10" spans="1:14" x14ac:dyDescent="0.25">
      <c r="A10" s="90">
        <v>8</v>
      </c>
      <c r="B10">
        <v>2</v>
      </c>
      <c r="C10">
        <v>1</v>
      </c>
      <c r="D10" t="s">
        <v>103</v>
      </c>
      <c r="E10">
        <v>2</v>
      </c>
      <c r="F10">
        <v>3</v>
      </c>
      <c r="G10" t="s">
        <v>103</v>
      </c>
      <c r="H10">
        <v>1</v>
      </c>
      <c r="I10" t="s">
        <v>2775</v>
      </c>
      <c r="J10" s="30" t="str">
        <f t="shared" si="0"/>
        <v>[8]=3,</v>
      </c>
      <c r="K10" s="3">
        <f t="shared" si="1"/>
        <v>8</v>
      </c>
      <c r="L10" s="3">
        <f t="shared" si="2"/>
        <v>3</v>
      </c>
      <c r="M10" s="8" t="str">
        <f>VLOOKUP(A10,'ESO wayshrine names'!$A$3:$B$5104,2,)</f>
        <v>Farwatch Wayshrine</v>
      </c>
      <c r="N10" s="3" t="str">
        <f>VLOOKUP(F10,'ESO zone constants'!$A$5:$D$10001,4,FALSE)</f>
        <v>Glenumbra</v>
      </c>
    </row>
    <row r="11" spans="1:14" x14ac:dyDescent="0.25">
      <c r="A11" s="90">
        <v>9</v>
      </c>
      <c r="B11">
        <v>3</v>
      </c>
      <c r="C11">
        <v>10</v>
      </c>
      <c r="D11" t="s">
        <v>2298</v>
      </c>
      <c r="E11">
        <v>5</v>
      </c>
      <c r="F11">
        <v>20</v>
      </c>
      <c r="G11" t="s">
        <v>2298</v>
      </c>
      <c r="H11">
        <v>1</v>
      </c>
      <c r="I11" t="s">
        <v>2776</v>
      </c>
      <c r="J11" s="30" t="str">
        <f t="shared" si="0"/>
        <v>[9]=20,</v>
      </c>
      <c r="K11" s="3">
        <f t="shared" si="1"/>
        <v>9</v>
      </c>
      <c r="L11" s="3">
        <f t="shared" si="2"/>
        <v>20</v>
      </c>
      <c r="M11" s="8" t="str">
        <f>VLOOKUP(A11,'ESO wayshrine names'!$A$3:$B$5104,2,)</f>
        <v>Oldgate Wayshrine</v>
      </c>
      <c r="N11" s="3" t="str">
        <f>VLOOKUP(F11,'ESO zone constants'!$A$5:$D$10001,4,FALSE)</f>
        <v>Rivenspire</v>
      </c>
    </row>
    <row r="12" spans="1:14" x14ac:dyDescent="0.25">
      <c r="A12" s="90">
        <v>10</v>
      </c>
      <c r="B12">
        <v>3</v>
      </c>
      <c r="C12">
        <v>10</v>
      </c>
      <c r="D12" t="s">
        <v>2298</v>
      </c>
      <c r="E12">
        <v>5</v>
      </c>
      <c r="F12">
        <v>20</v>
      </c>
      <c r="G12" t="s">
        <v>2298</v>
      </c>
      <c r="H12">
        <v>1</v>
      </c>
      <c r="I12" t="s">
        <v>2777</v>
      </c>
      <c r="J12" s="30" t="str">
        <f t="shared" si="0"/>
        <v>[10]=20,</v>
      </c>
      <c r="K12" s="3">
        <f t="shared" si="1"/>
        <v>10</v>
      </c>
      <c r="L12" s="3">
        <f t="shared" si="2"/>
        <v>20</v>
      </c>
      <c r="M12" s="8" t="str">
        <f>VLOOKUP(A12,'ESO wayshrine names'!$A$3:$B$5104,2,)</f>
        <v>Crestshade Wayshrine</v>
      </c>
      <c r="N12" s="3" t="str">
        <f>VLOOKUP(F12,'ESO zone constants'!$A$5:$D$10001,4,FALSE)</f>
        <v>Rivenspire</v>
      </c>
    </row>
    <row r="13" spans="1:14" x14ac:dyDescent="0.25">
      <c r="A13" s="90">
        <v>11</v>
      </c>
      <c r="B13">
        <v>3</v>
      </c>
      <c r="C13">
        <v>10</v>
      </c>
      <c r="D13" t="s">
        <v>2298</v>
      </c>
      <c r="E13">
        <v>5</v>
      </c>
      <c r="F13">
        <v>20</v>
      </c>
      <c r="G13" t="s">
        <v>2298</v>
      </c>
      <c r="H13">
        <v>1</v>
      </c>
      <c r="I13" t="s">
        <v>2778</v>
      </c>
      <c r="J13" s="30" t="str">
        <f t="shared" si="0"/>
        <v>[11]=20,</v>
      </c>
      <c r="K13" s="3">
        <f t="shared" si="1"/>
        <v>11</v>
      </c>
      <c r="L13" s="3">
        <f t="shared" si="2"/>
        <v>20</v>
      </c>
      <c r="M13" s="8" t="str">
        <f>VLOOKUP(A13,'ESO wayshrine names'!$A$3:$B$5104,2,)</f>
        <v>Tamrith Camp Wayshrine</v>
      </c>
      <c r="N13" s="3" t="str">
        <f>VLOOKUP(F13,'ESO zone constants'!$A$5:$D$10001,4,FALSE)</f>
        <v>Rivenspire</v>
      </c>
    </row>
    <row r="14" spans="1:14" x14ac:dyDescent="0.25">
      <c r="A14" s="90">
        <v>12</v>
      </c>
      <c r="B14">
        <v>3</v>
      </c>
      <c r="C14">
        <v>10</v>
      </c>
      <c r="D14" t="s">
        <v>2298</v>
      </c>
      <c r="E14">
        <v>5</v>
      </c>
      <c r="F14">
        <v>20</v>
      </c>
      <c r="G14" t="s">
        <v>2298</v>
      </c>
      <c r="H14">
        <v>1</v>
      </c>
      <c r="I14" t="s">
        <v>2779</v>
      </c>
      <c r="J14" s="30" t="str">
        <f t="shared" si="0"/>
        <v>[12]=20,</v>
      </c>
      <c r="K14" s="3">
        <f t="shared" si="1"/>
        <v>12</v>
      </c>
      <c r="L14" s="3">
        <f t="shared" si="2"/>
        <v>20</v>
      </c>
      <c r="M14" s="8" t="str">
        <f>VLOOKUP(A14,'ESO wayshrine names'!$A$3:$B$5104,2,)</f>
        <v>Boralis Wayshrine</v>
      </c>
      <c r="N14" s="3" t="str">
        <f>VLOOKUP(F14,'ESO zone constants'!$A$5:$D$10001,4,FALSE)</f>
        <v>Rivenspire</v>
      </c>
    </row>
    <row r="15" spans="1:14" x14ac:dyDescent="0.25">
      <c r="A15" s="90">
        <v>13</v>
      </c>
      <c r="B15">
        <v>3</v>
      </c>
      <c r="C15">
        <v>10</v>
      </c>
      <c r="D15" t="s">
        <v>2298</v>
      </c>
      <c r="E15">
        <v>5</v>
      </c>
      <c r="F15">
        <v>20</v>
      </c>
      <c r="G15" t="s">
        <v>2298</v>
      </c>
      <c r="H15">
        <v>1</v>
      </c>
      <c r="I15" t="s">
        <v>2780</v>
      </c>
      <c r="J15" s="30" t="str">
        <f t="shared" si="0"/>
        <v>[13]=20,</v>
      </c>
      <c r="K15" s="3">
        <f t="shared" si="1"/>
        <v>13</v>
      </c>
      <c r="L15" s="3">
        <f t="shared" si="2"/>
        <v>20</v>
      </c>
      <c r="M15" s="8" t="str">
        <f>VLOOKUP(A15,'ESO wayshrine names'!$A$3:$B$5104,2,)</f>
        <v>Staging Grounds Wayshrine</v>
      </c>
      <c r="N15" s="3" t="str">
        <f>VLOOKUP(F15,'ESO zone constants'!$A$5:$D$10001,4,FALSE)</f>
        <v>Rivenspire</v>
      </c>
    </row>
    <row r="16" spans="1:14" x14ac:dyDescent="0.25">
      <c r="A16" s="90">
        <v>14</v>
      </c>
      <c r="B16">
        <v>4</v>
      </c>
      <c r="C16">
        <v>12</v>
      </c>
      <c r="D16" t="s">
        <v>2299</v>
      </c>
      <c r="E16">
        <v>4</v>
      </c>
      <c r="F16">
        <v>19</v>
      </c>
      <c r="G16" t="s">
        <v>2299</v>
      </c>
      <c r="H16">
        <v>1</v>
      </c>
      <c r="I16" t="s">
        <v>3768</v>
      </c>
      <c r="J16" s="30" t="str">
        <f t="shared" si="0"/>
        <v>[14]=19,</v>
      </c>
      <c r="K16" s="3">
        <f t="shared" si="1"/>
        <v>14</v>
      </c>
      <c r="L16" s="3">
        <f t="shared" si="2"/>
        <v>19</v>
      </c>
      <c r="M16" s="8" t="str">
        <f>VLOOKUP(A16,'ESO wayshrine names'!$A$3:$B$5104,2,)</f>
        <v>Koeglin Village Wayshrine</v>
      </c>
      <c r="N16" s="3" t="str">
        <f>VLOOKUP(F16,'ESO zone constants'!$A$5:$D$10001,4,FALSE)</f>
        <v>Stormhaven</v>
      </c>
    </row>
    <row r="17" spans="1:14" x14ac:dyDescent="0.25">
      <c r="A17" s="90">
        <v>15</v>
      </c>
      <c r="B17">
        <v>4</v>
      </c>
      <c r="C17">
        <v>12</v>
      </c>
      <c r="D17" t="s">
        <v>2299</v>
      </c>
      <c r="E17">
        <v>4</v>
      </c>
      <c r="F17">
        <v>19</v>
      </c>
      <c r="G17" t="s">
        <v>2299</v>
      </c>
      <c r="H17">
        <v>1</v>
      </c>
      <c r="I17" t="s">
        <v>3769</v>
      </c>
      <c r="J17" s="30" t="str">
        <f t="shared" si="0"/>
        <v>[15]=19,</v>
      </c>
      <c r="K17" s="3">
        <f t="shared" si="1"/>
        <v>15</v>
      </c>
      <c r="L17" s="3">
        <f t="shared" si="2"/>
        <v>19</v>
      </c>
      <c r="M17" s="8" t="str">
        <f>VLOOKUP(A17,'ESO wayshrine names'!$A$3:$B$5104,2,)</f>
        <v>Alcaire Castle Wayshrine</v>
      </c>
      <c r="N17" s="3" t="str">
        <f>VLOOKUP(F17,'ESO zone constants'!$A$5:$D$10001,4,FALSE)</f>
        <v>Stormhaven</v>
      </c>
    </row>
    <row r="18" spans="1:14" x14ac:dyDescent="0.25">
      <c r="A18" s="90">
        <v>16</v>
      </c>
      <c r="B18">
        <v>4</v>
      </c>
      <c r="C18">
        <v>12</v>
      </c>
      <c r="D18" t="s">
        <v>2299</v>
      </c>
      <c r="E18">
        <v>4</v>
      </c>
      <c r="F18">
        <v>19</v>
      </c>
      <c r="G18" t="s">
        <v>2299</v>
      </c>
      <c r="H18">
        <v>1</v>
      </c>
      <c r="I18" t="s">
        <v>3770</v>
      </c>
      <c r="J18" s="30" t="str">
        <f t="shared" si="0"/>
        <v>[16]=19,</v>
      </c>
      <c r="K18" s="3">
        <f t="shared" si="1"/>
        <v>16</v>
      </c>
      <c r="L18" s="3">
        <f t="shared" si="2"/>
        <v>19</v>
      </c>
      <c r="M18" s="8" t="str">
        <f>VLOOKUP(A18,'ESO wayshrine names'!$A$3:$B$5104,2,)</f>
        <v>Firebrand Keep Wayshrine</v>
      </c>
      <c r="N18" s="3" t="str">
        <f>VLOOKUP(F18,'ESO zone constants'!$A$5:$D$10001,4,FALSE)</f>
        <v>Stormhaven</v>
      </c>
    </row>
    <row r="19" spans="1:14" x14ac:dyDescent="0.25">
      <c r="A19" s="90">
        <v>17</v>
      </c>
      <c r="B19">
        <v>4</v>
      </c>
      <c r="C19">
        <v>12</v>
      </c>
      <c r="D19" t="s">
        <v>2299</v>
      </c>
      <c r="E19">
        <v>4</v>
      </c>
      <c r="F19">
        <v>19</v>
      </c>
      <c r="G19" t="s">
        <v>2299</v>
      </c>
      <c r="H19">
        <v>1</v>
      </c>
      <c r="I19" t="s">
        <v>3771</v>
      </c>
      <c r="J19" s="30" t="str">
        <f t="shared" si="0"/>
        <v>[17]=19,</v>
      </c>
      <c r="K19" s="3">
        <f t="shared" si="1"/>
        <v>17</v>
      </c>
      <c r="L19" s="3">
        <f t="shared" si="2"/>
        <v>19</v>
      </c>
      <c r="M19" s="8" t="str">
        <f>VLOOKUP(A19,'ESO wayshrine names'!$A$3:$B$5104,2,)</f>
        <v>Bonesnap Ruins Wayshrine</v>
      </c>
      <c r="N19" s="3" t="str">
        <f>VLOOKUP(F19,'ESO zone constants'!$A$5:$D$10001,4,FALSE)</f>
        <v>Stormhaven</v>
      </c>
    </row>
    <row r="20" spans="1:14" x14ac:dyDescent="0.25">
      <c r="A20" s="90">
        <v>18</v>
      </c>
      <c r="B20">
        <v>4</v>
      </c>
      <c r="C20">
        <v>12</v>
      </c>
      <c r="D20" t="s">
        <v>2299</v>
      </c>
      <c r="E20">
        <v>4</v>
      </c>
      <c r="F20">
        <v>19</v>
      </c>
      <c r="G20" t="s">
        <v>2299</v>
      </c>
      <c r="H20">
        <v>1</v>
      </c>
      <c r="I20" t="s">
        <v>3772</v>
      </c>
      <c r="J20" s="30" t="str">
        <f t="shared" si="0"/>
        <v>[18]=19,</v>
      </c>
      <c r="K20" s="3">
        <f t="shared" si="1"/>
        <v>18</v>
      </c>
      <c r="L20" s="3">
        <f t="shared" si="2"/>
        <v>19</v>
      </c>
      <c r="M20" s="8" t="str">
        <f>VLOOKUP(A20,'ESO wayshrine names'!$A$3:$B$5104,2,)</f>
        <v>Soulshriven Wayshrine</v>
      </c>
      <c r="N20" s="3" t="str">
        <f>VLOOKUP(F20,'ESO zone constants'!$A$5:$D$10001,4,FALSE)</f>
        <v>Stormhaven</v>
      </c>
    </row>
    <row r="21" spans="1:14" x14ac:dyDescent="0.25">
      <c r="A21" s="90">
        <v>19</v>
      </c>
      <c r="B21">
        <v>4</v>
      </c>
      <c r="C21">
        <v>12</v>
      </c>
      <c r="D21" t="s">
        <v>2299</v>
      </c>
      <c r="E21">
        <v>4</v>
      </c>
      <c r="F21">
        <v>19</v>
      </c>
      <c r="G21" t="s">
        <v>2299</v>
      </c>
      <c r="H21">
        <v>1</v>
      </c>
      <c r="I21" t="s">
        <v>3773</v>
      </c>
      <c r="J21" s="30" t="str">
        <f t="shared" si="0"/>
        <v>[19]=19,</v>
      </c>
      <c r="K21" s="3">
        <f t="shared" si="1"/>
        <v>19</v>
      </c>
      <c r="L21" s="3">
        <f t="shared" si="2"/>
        <v>19</v>
      </c>
      <c r="M21" s="8" t="str">
        <f>VLOOKUP(A21,'ESO wayshrine names'!$A$3:$B$5104,2,)</f>
        <v>Pariah Abbey Wayshrine</v>
      </c>
      <c r="N21" s="3" t="str">
        <f>VLOOKUP(F21,'ESO zone constants'!$A$5:$D$10001,4,FALSE)</f>
        <v>Stormhaven</v>
      </c>
    </row>
    <row r="22" spans="1:14" x14ac:dyDescent="0.25">
      <c r="A22" s="90">
        <v>20</v>
      </c>
      <c r="B22">
        <v>2</v>
      </c>
      <c r="C22">
        <v>1</v>
      </c>
      <c r="D22" t="s">
        <v>103</v>
      </c>
      <c r="E22">
        <v>2</v>
      </c>
      <c r="F22">
        <v>3</v>
      </c>
      <c r="G22" t="s">
        <v>103</v>
      </c>
      <c r="H22">
        <v>1</v>
      </c>
      <c r="I22" t="s">
        <v>2781</v>
      </c>
      <c r="J22" s="30" t="str">
        <f t="shared" si="0"/>
        <v>[20]=3,</v>
      </c>
      <c r="K22" s="3">
        <f t="shared" si="1"/>
        <v>20</v>
      </c>
      <c r="L22" s="3">
        <f t="shared" si="2"/>
        <v>3</v>
      </c>
      <c r="M22" s="8" t="str">
        <f>VLOOKUP(A22,'ESO wayshrine names'!$A$3:$B$5104,2,)</f>
        <v>Baelborne Rock Wayshrine</v>
      </c>
      <c r="N22" s="3" t="str">
        <f>VLOOKUP(F22,'ESO zone constants'!$A$5:$D$10001,4,FALSE)</f>
        <v>Glenumbra</v>
      </c>
    </row>
    <row r="23" spans="1:14" x14ac:dyDescent="0.25">
      <c r="A23" s="90">
        <v>21</v>
      </c>
      <c r="B23">
        <v>7</v>
      </c>
      <c r="C23">
        <v>9</v>
      </c>
      <c r="D23" t="s">
        <v>2282</v>
      </c>
      <c r="E23">
        <v>181</v>
      </c>
      <c r="F23">
        <v>383</v>
      </c>
      <c r="G23" t="s">
        <v>2282</v>
      </c>
      <c r="H23">
        <v>1</v>
      </c>
      <c r="I23" t="s">
        <v>2782</v>
      </c>
      <c r="J23" s="30" t="str">
        <f t="shared" si="0"/>
        <v>[21]=383,</v>
      </c>
      <c r="K23" s="3">
        <f t="shared" si="1"/>
        <v>21</v>
      </c>
      <c r="L23" s="3">
        <f t="shared" si="2"/>
        <v>383</v>
      </c>
      <c r="M23" s="8" t="str">
        <f>VLOOKUP(A23,'ESO wayshrine names'!$A$3:$B$5104,2,)</f>
        <v>Elden Root Temple Wayshrine</v>
      </c>
      <c r="N23" s="3" t="str">
        <f>VLOOKUP(F23,'ESO zone constants'!$A$5:$D$10001,4,FALSE)</f>
        <v>Grahtwood</v>
      </c>
    </row>
    <row r="24" spans="1:14" x14ac:dyDescent="0.25">
      <c r="A24" s="90">
        <v>22</v>
      </c>
      <c r="B24">
        <v>4</v>
      </c>
      <c r="C24">
        <v>12</v>
      </c>
      <c r="D24" t="s">
        <v>2299</v>
      </c>
      <c r="E24">
        <v>4</v>
      </c>
      <c r="F24">
        <v>19</v>
      </c>
      <c r="G24" t="s">
        <v>2299</v>
      </c>
      <c r="H24">
        <v>1</v>
      </c>
      <c r="I24" t="s">
        <v>3774</v>
      </c>
      <c r="J24" s="30" t="str">
        <f t="shared" si="0"/>
        <v>[22]=19,</v>
      </c>
      <c r="K24" s="3">
        <f t="shared" si="1"/>
        <v>22</v>
      </c>
      <c r="L24" s="3">
        <f t="shared" si="2"/>
        <v>19</v>
      </c>
      <c r="M24" s="8" t="str">
        <f>VLOOKUP(A24,'ESO wayshrine names'!$A$3:$B$5104,2,)</f>
        <v>Wind Keep Wayshrine</v>
      </c>
      <c r="N24" s="3" t="str">
        <f>VLOOKUP(F24,'ESO zone constants'!$A$5:$D$10001,4,FALSE)</f>
        <v>Stormhaven</v>
      </c>
    </row>
    <row r="25" spans="1:14" x14ac:dyDescent="0.25">
      <c r="A25" s="90">
        <v>23</v>
      </c>
      <c r="B25">
        <v>4</v>
      </c>
      <c r="C25">
        <v>12</v>
      </c>
      <c r="D25" t="s">
        <v>2299</v>
      </c>
      <c r="E25">
        <v>4</v>
      </c>
      <c r="F25">
        <v>19</v>
      </c>
      <c r="G25" t="s">
        <v>2299</v>
      </c>
      <c r="H25">
        <v>1</v>
      </c>
      <c r="I25" t="s">
        <v>3775</v>
      </c>
      <c r="J25" s="30" t="str">
        <f t="shared" si="0"/>
        <v>[23]=19,</v>
      </c>
      <c r="K25" s="3">
        <f t="shared" si="1"/>
        <v>23</v>
      </c>
      <c r="L25" s="3">
        <f t="shared" si="2"/>
        <v>19</v>
      </c>
      <c r="M25" s="8" t="str">
        <f>VLOOKUP(A25,'ESO wayshrine names'!$A$3:$B$5104,2,)</f>
        <v>Dro-Dara Plantation Wayshrine</v>
      </c>
      <c r="N25" s="3" t="str">
        <f>VLOOKUP(F25,'ESO zone constants'!$A$5:$D$10001,4,FALSE)</f>
        <v>Stormhaven</v>
      </c>
    </row>
    <row r="26" spans="1:14" x14ac:dyDescent="0.25">
      <c r="A26" s="90">
        <v>24</v>
      </c>
      <c r="B26">
        <v>10</v>
      </c>
      <c r="C26">
        <v>13</v>
      </c>
      <c r="D26" t="s">
        <v>107</v>
      </c>
      <c r="E26">
        <v>10</v>
      </c>
      <c r="F26">
        <v>57</v>
      </c>
      <c r="G26" t="s">
        <v>107</v>
      </c>
      <c r="H26">
        <v>1</v>
      </c>
      <c r="I26" t="s">
        <v>2783</v>
      </c>
      <c r="J26" s="30" t="str">
        <f t="shared" si="0"/>
        <v>[24]=57,</v>
      </c>
      <c r="K26" s="3">
        <f t="shared" si="1"/>
        <v>24</v>
      </c>
      <c r="L26" s="3">
        <f t="shared" si="2"/>
        <v>57</v>
      </c>
      <c r="M26" s="8" t="str">
        <f>VLOOKUP(A26,'ESO wayshrine names'!$A$3:$B$5104,2,)</f>
        <v>West Narsis Wayshrine</v>
      </c>
      <c r="N26" s="3" t="str">
        <f>VLOOKUP(F26,'ESO zone constants'!$A$5:$D$10001,4,FALSE)</f>
        <v>Deshaan</v>
      </c>
    </row>
    <row r="27" spans="1:14" x14ac:dyDescent="0.25">
      <c r="A27" s="90">
        <v>25</v>
      </c>
      <c r="B27">
        <v>10</v>
      </c>
      <c r="C27">
        <v>13</v>
      </c>
      <c r="D27" t="s">
        <v>107</v>
      </c>
      <c r="E27">
        <v>10</v>
      </c>
      <c r="F27">
        <v>57</v>
      </c>
      <c r="G27" t="s">
        <v>107</v>
      </c>
      <c r="H27">
        <v>1</v>
      </c>
      <c r="I27" t="s">
        <v>2784</v>
      </c>
      <c r="J27" s="30" t="str">
        <f t="shared" si="0"/>
        <v>[25]=57,</v>
      </c>
      <c r="K27" s="3">
        <f t="shared" si="1"/>
        <v>25</v>
      </c>
      <c r="L27" s="3">
        <f t="shared" si="2"/>
        <v>57</v>
      </c>
      <c r="M27" s="8" t="str">
        <f>VLOOKUP(A27,'ESO wayshrine names'!$A$3:$B$5104,2,)</f>
        <v>Muth Gnaar Hills Wayshrine</v>
      </c>
      <c r="N27" s="3" t="str">
        <f>VLOOKUP(F27,'ESO zone constants'!$A$5:$D$10001,4,FALSE)</f>
        <v>Deshaan</v>
      </c>
    </row>
    <row r="28" spans="1:14" x14ac:dyDescent="0.25">
      <c r="A28" s="90">
        <v>26</v>
      </c>
      <c r="B28">
        <v>10</v>
      </c>
      <c r="C28">
        <v>13</v>
      </c>
      <c r="D28" t="s">
        <v>107</v>
      </c>
      <c r="E28">
        <v>10</v>
      </c>
      <c r="F28">
        <v>57</v>
      </c>
      <c r="G28" t="s">
        <v>107</v>
      </c>
      <c r="H28">
        <v>1</v>
      </c>
      <c r="I28" t="s">
        <v>2785</v>
      </c>
      <c r="J28" s="30" t="str">
        <f t="shared" si="0"/>
        <v>[26]=57,</v>
      </c>
      <c r="K28" s="3">
        <f t="shared" si="1"/>
        <v>26</v>
      </c>
      <c r="L28" s="3">
        <f t="shared" si="2"/>
        <v>57</v>
      </c>
      <c r="M28" s="8" t="str">
        <f>VLOOKUP(A28,'ESO wayshrine names'!$A$3:$B$5104,2,)</f>
        <v>Quarantine Serk Wayshrine</v>
      </c>
      <c r="N28" s="3" t="str">
        <f>VLOOKUP(F28,'ESO zone constants'!$A$5:$D$10001,4,FALSE)</f>
        <v>Deshaan</v>
      </c>
    </row>
    <row r="29" spans="1:14" x14ac:dyDescent="0.25">
      <c r="A29" s="90">
        <v>27</v>
      </c>
      <c r="B29">
        <v>10</v>
      </c>
      <c r="C29">
        <v>13</v>
      </c>
      <c r="D29" t="s">
        <v>107</v>
      </c>
      <c r="E29">
        <v>10</v>
      </c>
      <c r="F29">
        <v>57</v>
      </c>
      <c r="G29" t="s">
        <v>107</v>
      </c>
      <c r="H29">
        <v>1</v>
      </c>
      <c r="I29" t="s">
        <v>2786</v>
      </c>
      <c r="J29" s="30" t="str">
        <f t="shared" si="0"/>
        <v>[27]=57,</v>
      </c>
      <c r="K29" s="3">
        <f t="shared" si="1"/>
        <v>27</v>
      </c>
      <c r="L29" s="3">
        <f t="shared" si="2"/>
        <v>57</v>
      </c>
      <c r="M29" s="8" t="str">
        <f>VLOOKUP(A29,'ESO wayshrine names'!$A$3:$B$5104,2,)</f>
        <v>Ghost Snake Vale Wayshrine</v>
      </c>
      <c r="N29" s="3" t="str">
        <f>VLOOKUP(F29,'ESO zone constants'!$A$5:$D$10001,4,FALSE)</f>
        <v>Deshaan</v>
      </c>
    </row>
    <row r="30" spans="1:14" x14ac:dyDescent="0.25">
      <c r="A30" s="90">
        <v>28</v>
      </c>
      <c r="B30">
        <v>10</v>
      </c>
      <c r="C30">
        <v>13</v>
      </c>
      <c r="D30" t="s">
        <v>107</v>
      </c>
      <c r="E30">
        <v>10</v>
      </c>
      <c r="F30">
        <v>57</v>
      </c>
      <c r="G30" t="s">
        <v>107</v>
      </c>
      <c r="H30">
        <v>1</v>
      </c>
      <c r="I30" t="s">
        <v>2787</v>
      </c>
      <c r="J30" s="30" t="str">
        <f t="shared" si="0"/>
        <v>[28]=57,</v>
      </c>
      <c r="K30" s="3">
        <f t="shared" si="1"/>
        <v>28</v>
      </c>
      <c r="L30" s="3">
        <f t="shared" si="2"/>
        <v>57</v>
      </c>
      <c r="M30" s="8" t="str">
        <f>VLOOKUP(A30,'ESO wayshrine names'!$A$3:$B$5104,2,)</f>
        <v>Mournhold Wayshrine</v>
      </c>
      <c r="N30" s="3" t="str">
        <f>VLOOKUP(F30,'ESO zone constants'!$A$5:$D$10001,4,FALSE)</f>
        <v>Deshaan</v>
      </c>
    </row>
    <row r="31" spans="1:14" x14ac:dyDescent="0.25">
      <c r="A31" s="90">
        <v>29</v>
      </c>
      <c r="B31">
        <v>10</v>
      </c>
      <c r="C31">
        <v>13</v>
      </c>
      <c r="D31" t="s">
        <v>107</v>
      </c>
      <c r="E31">
        <v>10</v>
      </c>
      <c r="F31">
        <v>57</v>
      </c>
      <c r="G31" t="s">
        <v>107</v>
      </c>
      <c r="H31">
        <v>1</v>
      </c>
      <c r="I31" t="s">
        <v>3176</v>
      </c>
      <c r="J31" s="30" t="str">
        <f t="shared" si="0"/>
        <v>[29]=57,</v>
      </c>
      <c r="K31" s="3">
        <f t="shared" si="1"/>
        <v>29</v>
      </c>
      <c r="L31" s="3">
        <f t="shared" si="2"/>
        <v>57</v>
      </c>
      <c r="M31" s="8" t="str">
        <f>VLOOKUP(A31,'ESO wayshrine names'!$A$3:$B$5104,2,)</f>
        <v>Tal'Deic Grounds Wayshrine</v>
      </c>
      <c r="N31" s="3" t="str">
        <f>VLOOKUP(F31,'ESO zone constants'!$A$5:$D$10001,4,FALSE)</f>
        <v>Deshaan</v>
      </c>
    </row>
    <row r="32" spans="1:14" x14ac:dyDescent="0.25">
      <c r="A32" s="90">
        <v>30</v>
      </c>
      <c r="B32">
        <v>10</v>
      </c>
      <c r="C32">
        <v>13</v>
      </c>
      <c r="D32" t="s">
        <v>107</v>
      </c>
      <c r="E32">
        <v>10</v>
      </c>
      <c r="F32">
        <v>57</v>
      </c>
      <c r="G32" t="s">
        <v>107</v>
      </c>
      <c r="H32">
        <v>1</v>
      </c>
      <c r="I32" t="s">
        <v>2788</v>
      </c>
      <c r="J32" s="30" t="str">
        <f t="shared" si="0"/>
        <v>[30]=57,</v>
      </c>
      <c r="K32" s="3">
        <f t="shared" si="1"/>
        <v>30</v>
      </c>
      <c r="L32" s="3">
        <f t="shared" si="2"/>
        <v>57</v>
      </c>
      <c r="M32" s="8" t="str">
        <f>VLOOKUP(A32,'ESO wayshrine names'!$A$3:$B$5104,2,)</f>
        <v>Obsidian Gorge Wayshrine</v>
      </c>
      <c r="N32" s="3" t="str">
        <f>VLOOKUP(F32,'ESO zone constants'!$A$5:$D$10001,4,FALSE)</f>
        <v>Deshaan</v>
      </c>
    </row>
    <row r="33" spans="1:14" x14ac:dyDescent="0.25">
      <c r="A33" s="90">
        <v>31</v>
      </c>
      <c r="B33">
        <v>4</v>
      </c>
      <c r="C33">
        <v>12</v>
      </c>
      <c r="D33" t="s">
        <v>2299</v>
      </c>
      <c r="E33">
        <v>4</v>
      </c>
      <c r="F33">
        <v>19</v>
      </c>
      <c r="G33" t="s">
        <v>2299</v>
      </c>
      <c r="H33">
        <v>1</v>
      </c>
      <c r="I33" t="s">
        <v>3776</v>
      </c>
      <c r="J33" s="30" t="str">
        <f t="shared" si="0"/>
        <v>[31]=19,</v>
      </c>
      <c r="K33" s="3">
        <f t="shared" si="1"/>
        <v>31</v>
      </c>
      <c r="L33" s="3">
        <f t="shared" si="2"/>
        <v>19</v>
      </c>
      <c r="M33" s="8" t="str">
        <f>VLOOKUP(A33,'ESO wayshrine names'!$A$3:$B$5104,2,)</f>
        <v>Weeping Giant Wayshrine</v>
      </c>
      <c r="N33" s="3" t="str">
        <f>VLOOKUP(F33,'ESO zone constants'!$A$5:$D$10001,4,FALSE)</f>
        <v>Stormhaven</v>
      </c>
    </row>
    <row r="34" spans="1:14" x14ac:dyDescent="0.25">
      <c r="A34" s="90">
        <v>32</v>
      </c>
      <c r="B34">
        <v>10</v>
      </c>
      <c r="C34">
        <v>13</v>
      </c>
      <c r="D34" t="s">
        <v>107</v>
      </c>
      <c r="E34">
        <v>10</v>
      </c>
      <c r="F34">
        <v>57</v>
      </c>
      <c r="G34" t="s">
        <v>107</v>
      </c>
      <c r="H34">
        <v>1</v>
      </c>
      <c r="I34" t="s">
        <v>2789</v>
      </c>
      <c r="J34" s="30" t="str">
        <f t="shared" si="0"/>
        <v>[32]=57,</v>
      </c>
      <c r="K34" s="3">
        <f t="shared" si="1"/>
        <v>32</v>
      </c>
      <c r="L34" s="3">
        <f t="shared" si="2"/>
        <v>57</v>
      </c>
      <c r="M34" s="8" t="str">
        <f>VLOOKUP(A34,'ESO wayshrine names'!$A$3:$B$5104,2,)</f>
        <v>Mzithumz Wayshrine</v>
      </c>
      <c r="N34" s="3" t="str">
        <f>VLOOKUP(F34,'ESO zone constants'!$A$5:$D$10001,4,FALSE)</f>
        <v>Deshaan</v>
      </c>
    </row>
    <row r="35" spans="1:14" x14ac:dyDescent="0.25">
      <c r="A35" s="90">
        <v>33</v>
      </c>
      <c r="B35">
        <v>6</v>
      </c>
      <c r="C35">
        <v>20</v>
      </c>
      <c r="D35" t="s">
        <v>109</v>
      </c>
      <c r="E35">
        <v>14</v>
      </c>
      <c r="F35">
        <v>92</v>
      </c>
      <c r="G35" t="s">
        <v>109</v>
      </c>
      <c r="H35">
        <v>1</v>
      </c>
      <c r="I35" t="s">
        <v>2790</v>
      </c>
      <c r="J35" s="30" t="str">
        <f t="shared" si="0"/>
        <v>[33]=92,</v>
      </c>
      <c r="K35" s="3">
        <f t="shared" si="1"/>
        <v>33</v>
      </c>
      <c r="L35" s="3">
        <f t="shared" si="2"/>
        <v>92</v>
      </c>
      <c r="M35" s="8" t="str">
        <f>VLOOKUP(A35,'ESO wayshrine names'!$A$3:$B$5104,2,)</f>
        <v>Evermore Wayshrine</v>
      </c>
      <c r="N35" s="3" t="str">
        <f>VLOOKUP(F35,'ESO zone constants'!$A$5:$D$10001,4,FALSE)</f>
        <v>Bangkorai</v>
      </c>
    </row>
    <row r="36" spans="1:14" x14ac:dyDescent="0.25">
      <c r="A36" s="90">
        <v>34</v>
      </c>
      <c r="B36">
        <v>6</v>
      </c>
      <c r="C36">
        <v>20</v>
      </c>
      <c r="D36" t="s">
        <v>109</v>
      </c>
      <c r="E36">
        <v>14</v>
      </c>
      <c r="F36">
        <v>92</v>
      </c>
      <c r="G36" t="s">
        <v>109</v>
      </c>
      <c r="H36">
        <v>1</v>
      </c>
      <c r="I36" t="s">
        <v>2791</v>
      </c>
      <c r="J36" s="30" t="str">
        <f t="shared" si="0"/>
        <v>[34]=92,</v>
      </c>
      <c r="K36" s="3">
        <f t="shared" si="1"/>
        <v>34</v>
      </c>
      <c r="L36" s="3">
        <f t="shared" si="2"/>
        <v>92</v>
      </c>
      <c r="M36" s="8" t="str">
        <f>VLOOKUP(A36,'ESO wayshrine names'!$A$3:$B$5104,2,)</f>
        <v>Troll's Toothpick Wayshrine</v>
      </c>
      <c r="N36" s="3" t="str">
        <f>VLOOKUP(F36,'ESO zone constants'!$A$5:$D$10001,4,FALSE)</f>
        <v>Bangkorai</v>
      </c>
    </row>
    <row r="37" spans="1:14" x14ac:dyDescent="0.25">
      <c r="A37" s="90">
        <v>35</v>
      </c>
      <c r="B37">
        <v>6</v>
      </c>
      <c r="C37">
        <v>20</v>
      </c>
      <c r="D37" t="s">
        <v>109</v>
      </c>
      <c r="E37">
        <v>14</v>
      </c>
      <c r="F37">
        <v>92</v>
      </c>
      <c r="G37" t="s">
        <v>109</v>
      </c>
      <c r="H37">
        <v>1</v>
      </c>
      <c r="I37" t="s">
        <v>2792</v>
      </c>
      <c r="J37" s="30" t="str">
        <f t="shared" si="0"/>
        <v>[35]=92,</v>
      </c>
      <c r="K37" s="3">
        <f t="shared" si="1"/>
        <v>35</v>
      </c>
      <c r="L37" s="3">
        <f t="shared" si="2"/>
        <v>92</v>
      </c>
      <c r="M37" s="8" t="str">
        <f>VLOOKUP(A37,'ESO wayshrine names'!$A$3:$B$5104,2,)</f>
        <v>Viridian Woods Wayshrine</v>
      </c>
      <c r="N37" s="3" t="str">
        <f>VLOOKUP(F37,'ESO zone constants'!$A$5:$D$10001,4,FALSE)</f>
        <v>Bangkorai</v>
      </c>
    </row>
    <row r="38" spans="1:14" x14ac:dyDescent="0.25">
      <c r="A38" s="90">
        <v>36</v>
      </c>
      <c r="B38">
        <v>6</v>
      </c>
      <c r="C38">
        <v>20</v>
      </c>
      <c r="D38" t="s">
        <v>109</v>
      </c>
      <c r="E38">
        <v>14</v>
      </c>
      <c r="F38">
        <v>92</v>
      </c>
      <c r="G38" t="s">
        <v>109</v>
      </c>
      <c r="H38">
        <v>1</v>
      </c>
      <c r="I38" t="s">
        <v>2793</v>
      </c>
      <c r="J38" s="30" t="str">
        <f t="shared" si="0"/>
        <v>[36]=92,</v>
      </c>
      <c r="K38" s="3">
        <f t="shared" si="1"/>
        <v>36</v>
      </c>
      <c r="L38" s="3">
        <f t="shared" si="2"/>
        <v>92</v>
      </c>
      <c r="M38" s="8" t="str">
        <f>VLOOKUP(A38,'ESO wayshrine names'!$A$3:$B$5104,2,)</f>
        <v>Bangkorai Pass Wayshrine</v>
      </c>
      <c r="N38" s="3" t="str">
        <f>VLOOKUP(F38,'ESO zone constants'!$A$5:$D$10001,4,FALSE)</f>
        <v>Bangkorai</v>
      </c>
    </row>
    <row r="39" spans="1:14" x14ac:dyDescent="0.25">
      <c r="A39" s="90">
        <v>37</v>
      </c>
      <c r="B39">
        <v>6</v>
      </c>
      <c r="C39">
        <v>20</v>
      </c>
      <c r="D39" t="s">
        <v>109</v>
      </c>
      <c r="E39">
        <v>14</v>
      </c>
      <c r="F39">
        <v>92</v>
      </c>
      <c r="G39" t="s">
        <v>109</v>
      </c>
      <c r="H39">
        <v>1</v>
      </c>
      <c r="I39" t="s">
        <v>2794</v>
      </c>
      <c r="J39" s="30" t="str">
        <f t="shared" si="0"/>
        <v>[37]=92,</v>
      </c>
      <c r="K39" s="3">
        <f t="shared" si="1"/>
        <v>37</v>
      </c>
      <c r="L39" s="3">
        <f t="shared" si="2"/>
        <v>92</v>
      </c>
      <c r="M39" s="8" t="str">
        <f>VLOOKUP(A39,'ESO wayshrine names'!$A$3:$B$5104,2,)</f>
        <v>Nilata Ruins Wayshrine</v>
      </c>
      <c r="N39" s="3" t="str">
        <f>VLOOKUP(F39,'ESO zone constants'!$A$5:$D$10001,4,FALSE)</f>
        <v>Bangkorai</v>
      </c>
    </row>
    <row r="40" spans="1:14" x14ac:dyDescent="0.25">
      <c r="A40" s="90">
        <v>38</v>
      </c>
      <c r="B40">
        <v>6</v>
      </c>
      <c r="C40">
        <v>20</v>
      </c>
      <c r="D40" t="s">
        <v>109</v>
      </c>
      <c r="E40">
        <v>14</v>
      </c>
      <c r="F40">
        <v>92</v>
      </c>
      <c r="G40" t="s">
        <v>109</v>
      </c>
      <c r="H40">
        <v>1</v>
      </c>
      <c r="I40" t="s">
        <v>2795</v>
      </c>
      <c r="J40" s="30" t="str">
        <f t="shared" si="0"/>
        <v>[38]=92,</v>
      </c>
      <c r="K40" s="3">
        <f t="shared" si="1"/>
        <v>38</v>
      </c>
      <c r="L40" s="3">
        <f t="shared" si="2"/>
        <v>92</v>
      </c>
      <c r="M40" s="8" t="str">
        <f>VLOOKUP(A40,'ESO wayshrine names'!$A$3:$B$5104,2,)</f>
        <v>Hallin's Stand Wayshrine</v>
      </c>
      <c r="N40" s="3" t="str">
        <f>VLOOKUP(F40,'ESO zone constants'!$A$5:$D$10001,4,FALSE)</f>
        <v>Bangkorai</v>
      </c>
    </row>
    <row r="41" spans="1:14" x14ac:dyDescent="0.25">
      <c r="A41" s="90">
        <v>39</v>
      </c>
      <c r="B41">
        <v>6</v>
      </c>
      <c r="C41">
        <v>20</v>
      </c>
      <c r="D41" t="s">
        <v>109</v>
      </c>
      <c r="E41">
        <v>14</v>
      </c>
      <c r="F41">
        <v>92</v>
      </c>
      <c r="G41" t="s">
        <v>109</v>
      </c>
      <c r="H41">
        <v>1</v>
      </c>
      <c r="I41" t="s">
        <v>2796</v>
      </c>
      <c r="J41" s="30" t="str">
        <f t="shared" si="0"/>
        <v>[39]=92,</v>
      </c>
      <c r="K41" s="3">
        <f t="shared" si="1"/>
        <v>39</v>
      </c>
      <c r="L41" s="3">
        <f t="shared" si="2"/>
        <v>92</v>
      </c>
      <c r="M41" s="8" t="str">
        <f>VLOOKUP(A41,'ESO wayshrine names'!$A$3:$B$5104,2,)</f>
        <v>Old Tower Wayshrine</v>
      </c>
      <c r="N41" s="3" t="str">
        <f>VLOOKUP(F41,'ESO zone constants'!$A$5:$D$10001,4,FALSE)</f>
        <v>Bangkorai</v>
      </c>
    </row>
    <row r="42" spans="1:14" x14ac:dyDescent="0.25">
      <c r="A42" s="90">
        <v>40</v>
      </c>
      <c r="B42">
        <v>6</v>
      </c>
      <c r="C42">
        <v>20</v>
      </c>
      <c r="D42" t="s">
        <v>109</v>
      </c>
      <c r="E42">
        <v>14</v>
      </c>
      <c r="F42">
        <v>92</v>
      </c>
      <c r="G42" t="s">
        <v>109</v>
      </c>
      <c r="H42">
        <v>1</v>
      </c>
      <c r="I42" t="s">
        <v>2797</v>
      </c>
      <c r="J42" s="30" t="str">
        <f t="shared" si="0"/>
        <v>[40]=92,</v>
      </c>
      <c r="K42" s="3">
        <f t="shared" si="1"/>
        <v>40</v>
      </c>
      <c r="L42" s="3">
        <f t="shared" si="2"/>
        <v>92</v>
      </c>
      <c r="M42" s="8" t="str">
        <f>VLOOKUP(A42,'ESO wayshrine names'!$A$3:$B$5104,2,)</f>
        <v>Onsi's Breath Wayshrine</v>
      </c>
      <c r="N42" s="3" t="str">
        <f>VLOOKUP(F42,'ESO zone constants'!$A$5:$D$10001,4,FALSE)</f>
        <v>Bangkorai</v>
      </c>
    </row>
    <row r="43" spans="1:14" x14ac:dyDescent="0.25">
      <c r="A43" s="90">
        <v>41</v>
      </c>
      <c r="B43">
        <v>11</v>
      </c>
      <c r="C43">
        <v>7</v>
      </c>
      <c r="D43" t="s">
        <v>2303</v>
      </c>
      <c r="E43">
        <v>9</v>
      </c>
      <c r="F43">
        <v>41</v>
      </c>
      <c r="G43" t="s">
        <v>2303</v>
      </c>
      <c r="H43">
        <v>1</v>
      </c>
      <c r="I43" t="s">
        <v>2798</v>
      </c>
      <c r="J43" s="30" t="str">
        <f t="shared" si="0"/>
        <v>[41]=41,</v>
      </c>
      <c r="K43" s="3">
        <f t="shared" si="1"/>
        <v>41</v>
      </c>
      <c r="L43" s="3">
        <f t="shared" si="2"/>
        <v>41</v>
      </c>
      <c r="M43" s="8" t="str">
        <f>VLOOKUP(A43,'ESO wayshrine names'!$A$3:$B$5104,2,)</f>
        <v>Fort Arand Wayshrine</v>
      </c>
      <c r="N43" s="3" t="str">
        <f>VLOOKUP(F43,'ESO zone constants'!$A$5:$D$10001,4,FALSE)</f>
        <v>Stonefalls</v>
      </c>
    </row>
    <row r="44" spans="1:14" x14ac:dyDescent="0.25">
      <c r="A44" s="90">
        <v>42</v>
      </c>
      <c r="B44">
        <v>5</v>
      </c>
      <c r="C44">
        <v>30</v>
      </c>
      <c r="D44" t="s">
        <v>3177</v>
      </c>
      <c r="E44">
        <v>17</v>
      </c>
      <c r="F44">
        <v>104</v>
      </c>
      <c r="G44" t="s">
        <v>2297</v>
      </c>
      <c r="H44">
        <v>1</v>
      </c>
      <c r="I44" t="s">
        <v>2799</v>
      </c>
      <c r="J44" s="30" t="str">
        <f t="shared" si="0"/>
        <v>[42]=104,</v>
      </c>
      <c r="K44" s="3">
        <f t="shared" si="1"/>
        <v>42</v>
      </c>
      <c r="L44" s="3">
        <f t="shared" si="2"/>
        <v>104</v>
      </c>
      <c r="M44" s="8" t="str">
        <f>VLOOKUP(A44,'ESO wayshrine names'!$A$3:$B$5104,2,)</f>
        <v>Morwha's Bounty Wayshrine</v>
      </c>
      <c r="N44" s="3" t="str">
        <f>VLOOKUP(F44,'ESO zone constants'!$A$5:$D$10001,4,FALSE)</f>
        <v>Alik'r Desert</v>
      </c>
    </row>
    <row r="45" spans="1:14" x14ac:dyDescent="0.25">
      <c r="A45" s="90">
        <v>43</v>
      </c>
      <c r="B45">
        <v>5</v>
      </c>
      <c r="C45">
        <v>30</v>
      </c>
      <c r="D45" t="s">
        <v>3177</v>
      </c>
      <c r="E45">
        <v>17</v>
      </c>
      <c r="F45">
        <v>104</v>
      </c>
      <c r="G45" t="s">
        <v>2297</v>
      </c>
      <c r="H45">
        <v>1</v>
      </c>
      <c r="I45" t="s">
        <v>2800</v>
      </c>
      <c r="J45" s="30" t="str">
        <f t="shared" si="0"/>
        <v>[43]=104,</v>
      </c>
      <c r="K45" s="3">
        <f t="shared" si="1"/>
        <v>43</v>
      </c>
      <c r="L45" s="3">
        <f t="shared" si="2"/>
        <v>104</v>
      </c>
      <c r="M45" s="8" t="str">
        <f>VLOOKUP(A45,'ESO wayshrine names'!$A$3:$B$5104,2,)</f>
        <v>Sentinel Wayshrine</v>
      </c>
      <c r="N45" s="3" t="str">
        <f>VLOOKUP(F45,'ESO zone constants'!$A$5:$D$10001,4,FALSE)</f>
        <v>Alik'r Desert</v>
      </c>
    </row>
    <row r="46" spans="1:14" x14ac:dyDescent="0.25">
      <c r="A46" s="90">
        <v>44</v>
      </c>
      <c r="B46">
        <v>5</v>
      </c>
      <c r="C46">
        <v>30</v>
      </c>
      <c r="D46" t="s">
        <v>3177</v>
      </c>
      <c r="E46">
        <v>17</v>
      </c>
      <c r="F46">
        <v>104</v>
      </c>
      <c r="G46" t="s">
        <v>2297</v>
      </c>
      <c r="H46">
        <v>1</v>
      </c>
      <c r="I46" t="s">
        <v>2801</v>
      </c>
      <c r="J46" s="30" t="str">
        <f t="shared" si="0"/>
        <v>[44]=104,</v>
      </c>
      <c r="K46" s="3">
        <f t="shared" si="1"/>
        <v>44</v>
      </c>
      <c r="L46" s="3">
        <f t="shared" si="2"/>
        <v>104</v>
      </c>
      <c r="M46" s="8" t="str">
        <f>VLOOKUP(A46,'ESO wayshrine names'!$A$3:$B$5104,2,)</f>
        <v>Bergama Wayshrine</v>
      </c>
      <c r="N46" s="3" t="str">
        <f>VLOOKUP(F46,'ESO zone constants'!$A$5:$D$10001,4,FALSE)</f>
        <v>Alik'r Desert</v>
      </c>
    </row>
    <row r="47" spans="1:14" x14ac:dyDescent="0.25">
      <c r="A47" s="90">
        <v>45</v>
      </c>
      <c r="B47">
        <v>5</v>
      </c>
      <c r="C47">
        <v>30</v>
      </c>
      <c r="D47" t="s">
        <v>3177</v>
      </c>
      <c r="E47">
        <v>17</v>
      </c>
      <c r="F47">
        <v>104</v>
      </c>
      <c r="G47" t="s">
        <v>2297</v>
      </c>
      <c r="H47">
        <v>1</v>
      </c>
      <c r="I47" t="s">
        <v>2802</v>
      </c>
      <c r="J47" s="30" t="str">
        <f t="shared" si="0"/>
        <v>[45]=104,</v>
      </c>
      <c r="K47" s="3">
        <f t="shared" si="1"/>
        <v>45</v>
      </c>
      <c r="L47" s="3">
        <f t="shared" si="2"/>
        <v>104</v>
      </c>
      <c r="M47" s="8" t="str">
        <f>VLOOKUP(A47,'ESO wayshrine names'!$A$3:$B$5104,2,)</f>
        <v>Leki's Blade Wayshrine</v>
      </c>
      <c r="N47" s="3" t="str">
        <f>VLOOKUP(F47,'ESO zone constants'!$A$5:$D$10001,4,FALSE)</f>
        <v>Alik'r Desert</v>
      </c>
    </row>
    <row r="48" spans="1:14" x14ac:dyDescent="0.25">
      <c r="A48" s="90">
        <v>46</v>
      </c>
      <c r="B48">
        <v>5</v>
      </c>
      <c r="C48">
        <v>30</v>
      </c>
      <c r="D48" t="s">
        <v>3177</v>
      </c>
      <c r="E48">
        <v>17</v>
      </c>
      <c r="F48">
        <v>104</v>
      </c>
      <c r="G48" t="s">
        <v>2297</v>
      </c>
      <c r="H48">
        <v>1</v>
      </c>
      <c r="I48" t="s">
        <v>2803</v>
      </c>
      <c r="J48" s="30" t="str">
        <f t="shared" si="0"/>
        <v>[46]=104,</v>
      </c>
      <c r="K48" s="3">
        <f t="shared" si="1"/>
        <v>46</v>
      </c>
      <c r="L48" s="3">
        <f t="shared" si="2"/>
        <v>104</v>
      </c>
      <c r="M48" s="8" t="str">
        <f>VLOOKUP(A48,'ESO wayshrine names'!$A$3:$B$5104,2,)</f>
        <v>Satakalaam Wayshrine</v>
      </c>
      <c r="N48" s="3" t="str">
        <f>VLOOKUP(F48,'ESO zone constants'!$A$5:$D$10001,4,FALSE)</f>
        <v>Alik'r Desert</v>
      </c>
    </row>
    <row r="49" spans="1:14" x14ac:dyDescent="0.25">
      <c r="A49" s="90">
        <v>47</v>
      </c>
      <c r="B49">
        <v>9</v>
      </c>
      <c r="C49">
        <v>26</v>
      </c>
      <c r="D49" t="s">
        <v>2302</v>
      </c>
      <c r="E49">
        <v>19</v>
      </c>
      <c r="F49">
        <v>117</v>
      </c>
      <c r="G49" t="s">
        <v>2302</v>
      </c>
      <c r="H49">
        <v>1</v>
      </c>
      <c r="I49" t="s">
        <v>2804</v>
      </c>
      <c r="J49" s="30" t="str">
        <f t="shared" si="0"/>
        <v>[47]=117,</v>
      </c>
      <c r="K49" s="3">
        <f t="shared" si="1"/>
        <v>47</v>
      </c>
      <c r="L49" s="3">
        <f t="shared" si="2"/>
        <v>117</v>
      </c>
      <c r="M49" s="8" t="str">
        <f>VLOOKUP(A49,'ESO wayshrine names'!$A$3:$B$5104,2,)</f>
        <v>Stillrise Wayshrine</v>
      </c>
      <c r="N49" s="3" t="str">
        <f>VLOOKUP(F49,'ESO zone constants'!$A$5:$D$10001,4,FALSE)</f>
        <v>Shadowfen</v>
      </c>
    </row>
    <row r="50" spans="1:14" x14ac:dyDescent="0.25">
      <c r="A50" s="90">
        <v>48</v>
      </c>
      <c r="B50">
        <v>9</v>
      </c>
      <c r="C50">
        <v>26</v>
      </c>
      <c r="D50" t="s">
        <v>2302</v>
      </c>
      <c r="E50">
        <v>19</v>
      </c>
      <c r="F50">
        <v>117</v>
      </c>
      <c r="G50" t="s">
        <v>2302</v>
      </c>
      <c r="H50">
        <v>1</v>
      </c>
      <c r="I50" t="s">
        <v>2805</v>
      </c>
      <c r="J50" s="30" t="str">
        <f t="shared" si="0"/>
        <v>[48]=117,</v>
      </c>
      <c r="K50" s="3">
        <f t="shared" si="1"/>
        <v>48</v>
      </c>
      <c r="L50" s="3">
        <f t="shared" si="2"/>
        <v>117</v>
      </c>
      <c r="M50" s="8" t="str">
        <f>VLOOKUP(A50,'ESO wayshrine names'!$A$3:$B$5104,2,)</f>
        <v>Stormhold Wayshrine</v>
      </c>
      <c r="N50" s="3" t="str">
        <f>VLOOKUP(F50,'ESO zone constants'!$A$5:$D$10001,4,FALSE)</f>
        <v>Shadowfen</v>
      </c>
    </row>
    <row r="51" spans="1:14" x14ac:dyDescent="0.25">
      <c r="A51" s="90">
        <v>49</v>
      </c>
      <c r="B51">
        <v>9</v>
      </c>
      <c r="C51">
        <v>26</v>
      </c>
      <c r="D51" t="s">
        <v>2302</v>
      </c>
      <c r="E51">
        <v>19</v>
      </c>
      <c r="F51">
        <v>117</v>
      </c>
      <c r="G51" t="s">
        <v>2302</v>
      </c>
      <c r="H51">
        <v>1</v>
      </c>
      <c r="I51" t="s">
        <v>2806</v>
      </c>
      <c r="J51" s="30" t="str">
        <f t="shared" si="0"/>
        <v>[49]=117,</v>
      </c>
      <c r="K51" s="3">
        <f t="shared" si="1"/>
        <v>49</v>
      </c>
      <c r="L51" s="3">
        <f t="shared" si="2"/>
        <v>117</v>
      </c>
      <c r="M51" s="8" t="str">
        <f>VLOOKUP(A51,'ESO wayshrine names'!$A$3:$B$5104,2,)</f>
        <v>Hatching Pools Wayshrine</v>
      </c>
      <c r="N51" s="3" t="str">
        <f>VLOOKUP(F51,'ESO zone constants'!$A$5:$D$10001,4,FALSE)</f>
        <v>Shadowfen</v>
      </c>
    </row>
    <row r="52" spans="1:14" x14ac:dyDescent="0.25">
      <c r="A52" s="90">
        <v>50</v>
      </c>
      <c r="B52">
        <v>9</v>
      </c>
      <c r="C52">
        <v>26</v>
      </c>
      <c r="D52" t="s">
        <v>2302</v>
      </c>
      <c r="E52">
        <v>19</v>
      </c>
      <c r="F52">
        <v>117</v>
      </c>
      <c r="G52" t="s">
        <v>2302</v>
      </c>
      <c r="H52">
        <v>1</v>
      </c>
      <c r="I52" t="s">
        <v>2807</v>
      </c>
      <c r="J52" s="30" t="str">
        <f t="shared" si="0"/>
        <v>[50]=117,</v>
      </c>
      <c r="K52" s="3">
        <f t="shared" si="1"/>
        <v>50</v>
      </c>
      <c r="L52" s="3">
        <f t="shared" si="2"/>
        <v>117</v>
      </c>
      <c r="M52" s="8" t="str">
        <f>VLOOKUP(A52,'ESO wayshrine names'!$A$3:$B$5104,2,)</f>
        <v>Alten Corimont Wayshrine</v>
      </c>
      <c r="N52" s="3" t="str">
        <f>VLOOKUP(F52,'ESO zone constants'!$A$5:$D$10001,4,FALSE)</f>
        <v>Shadowfen</v>
      </c>
    </row>
    <row r="53" spans="1:14" x14ac:dyDescent="0.25">
      <c r="A53" s="90">
        <v>51</v>
      </c>
      <c r="B53">
        <v>9</v>
      </c>
      <c r="C53">
        <v>26</v>
      </c>
      <c r="D53" t="s">
        <v>2302</v>
      </c>
      <c r="E53">
        <v>19</v>
      </c>
      <c r="F53">
        <v>117</v>
      </c>
      <c r="G53" t="s">
        <v>2302</v>
      </c>
      <c r="H53">
        <v>1</v>
      </c>
      <c r="I53" t="s">
        <v>2808</v>
      </c>
      <c r="J53" s="30" t="str">
        <f t="shared" si="0"/>
        <v>[51]=117,</v>
      </c>
      <c r="K53" s="3">
        <f t="shared" si="1"/>
        <v>51</v>
      </c>
      <c r="L53" s="3">
        <f t="shared" si="2"/>
        <v>117</v>
      </c>
      <c r="M53" s="8" t="str">
        <f>VLOOKUP(A53,'ESO wayshrine names'!$A$3:$B$5104,2,)</f>
        <v>Percolating Mire Wayshrine</v>
      </c>
      <c r="N53" s="3" t="str">
        <f>VLOOKUP(F53,'ESO zone constants'!$A$5:$D$10001,4,FALSE)</f>
        <v>Shadowfen</v>
      </c>
    </row>
    <row r="54" spans="1:14" x14ac:dyDescent="0.25">
      <c r="A54" s="90">
        <v>52</v>
      </c>
      <c r="B54">
        <v>9</v>
      </c>
      <c r="C54">
        <v>26</v>
      </c>
      <c r="D54" t="s">
        <v>2302</v>
      </c>
      <c r="E54">
        <v>19</v>
      </c>
      <c r="F54">
        <v>117</v>
      </c>
      <c r="G54" t="s">
        <v>2302</v>
      </c>
      <c r="H54">
        <v>1</v>
      </c>
      <c r="I54" t="s">
        <v>2809</v>
      </c>
      <c r="J54" s="30" t="str">
        <f t="shared" si="0"/>
        <v>[52]=117,</v>
      </c>
      <c r="K54" s="3">
        <f t="shared" si="1"/>
        <v>52</v>
      </c>
      <c r="L54" s="3">
        <f t="shared" si="2"/>
        <v>117</v>
      </c>
      <c r="M54" s="8" t="str">
        <f>VLOOKUP(A54,'ESO wayshrine names'!$A$3:$B$5104,2,)</f>
        <v>Hissmir Wayshrine</v>
      </c>
      <c r="N54" s="3" t="str">
        <f>VLOOKUP(F54,'ESO zone constants'!$A$5:$D$10001,4,FALSE)</f>
        <v>Shadowfen</v>
      </c>
    </row>
    <row r="55" spans="1:14" x14ac:dyDescent="0.25">
      <c r="A55" s="90">
        <v>53</v>
      </c>
      <c r="B55">
        <v>9</v>
      </c>
      <c r="C55">
        <v>26</v>
      </c>
      <c r="D55" t="s">
        <v>2302</v>
      </c>
      <c r="E55">
        <v>19</v>
      </c>
      <c r="F55">
        <v>117</v>
      </c>
      <c r="G55" t="s">
        <v>2302</v>
      </c>
      <c r="H55">
        <v>1</v>
      </c>
      <c r="I55" t="s">
        <v>2810</v>
      </c>
      <c r="J55" s="30" t="str">
        <f t="shared" si="0"/>
        <v>[53]=117,</v>
      </c>
      <c r="K55" s="3">
        <f t="shared" si="1"/>
        <v>53</v>
      </c>
      <c r="L55" s="3">
        <f t="shared" si="2"/>
        <v>117</v>
      </c>
      <c r="M55" s="8" t="str">
        <f>VLOOKUP(A55,'ESO wayshrine names'!$A$3:$B$5104,2,)</f>
        <v>Loriasel Wayshrine</v>
      </c>
      <c r="N55" s="3" t="str">
        <f>VLOOKUP(F55,'ESO zone constants'!$A$5:$D$10001,4,FALSE)</f>
        <v>Shadowfen</v>
      </c>
    </row>
    <row r="56" spans="1:14" x14ac:dyDescent="0.25">
      <c r="A56" s="90">
        <v>55</v>
      </c>
      <c r="B56">
        <v>3</v>
      </c>
      <c r="C56">
        <v>10</v>
      </c>
      <c r="D56" t="s">
        <v>2298</v>
      </c>
      <c r="E56">
        <v>5</v>
      </c>
      <c r="F56">
        <v>20</v>
      </c>
      <c r="G56" t="s">
        <v>2298</v>
      </c>
      <c r="H56">
        <v>1</v>
      </c>
      <c r="I56" t="s">
        <v>2811</v>
      </c>
      <c r="J56" s="30" t="str">
        <f t="shared" si="0"/>
        <v>[55]=20,</v>
      </c>
      <c r="K56" s="3">
        <f t="shared" si="1"/>
        <v>55</v>
      </c>
      <c r="L56" s="3">
        <f t="shared" si="2"/>
        <v>20</v>
      </c>
      <c r="M56" s="8" t="str">
        <f>VLOOKUP(A56,'ESO wayshrine names'!$A$3:$B$5104,2,)</f>
        <v>Shornhelm Wayshrine</v>
      </c>
      <c r="N56" s="3" t="str">
        <f>VLOOKUP(F56,'ESO zone constants'!$A$5:$D$10001,4,FALSE)</f>
        <v>Rivenspire</v>
      </c>
    </row>
    <row r="57" spans="1:14" x14ac:dyDescent="0.25">
      <c r="A57" s="90">
        <v>56</v>
      </c>
      <c r="B57">
        <v>4</v>
      </c>
      <c r="C57">
        <v>12</v>
      </c>
      <c r="D57" t="s">
        <v>2299</v>
      </c>
      <c r="E57">
        <v>4</v>
      </c>
      <c r="F57">
        <v>19</v>
      </c>
      <c r="G57" t="s">
        <v>2299</v>
      </c>
      <c r="H57">
        <v>1</v>
      </c>
      <c r="I57" t="s">
        <v>3777</v>
      </c>
      <c r="J57" s="30" t="str">
        <f t="shared" si="0"/>
        <v>[56]=19,</v>
      </c>
      <c r="K57" s="3">
        <f t="shared" si="1"/>
        <v>56</v>
      </c>
      <c r="L57" s="3">
        <f t="shared" si="2"/>
        <v>19</v>
      </c>
      <c r="M57" s="8" t="str">
        <f>VLOOKUP(A57,'ESO wayshrine names'!$A$3:$B$5104,2,)</f>
        <v>Wayrest Wayshrine</v>
      </c>
      <c r="N57" s="3" t="str">
        <f>VLOOKUP(F57,'ESO zone constants'!$A$5:$D$10001,4,FALSE)</f>
        <v>Stormhaven</v>
      </c>
    </row>
    <row r="58" spans="1:14" x14ac:dyDescent="0.25">
      <c r="A58" s="90">
        <v>57</v>
      </c>
      <c r="B58">
        <v>5</v>
      </c>
      <c r="C58">
        <v>30</v>
      </c>
      <c r="D58" t="s">
        <v>3177</v>
      </c>
      <c r="E58">
        <v>17</v>
      </c>
      <c r="F58">
        <v>104</v>
      </c>
      <c r="G58" t="s">
        <v>2297</v>
      </c>
      <c r="H58">
        <v>1</v>
      </c>
      <c r="I58" t="s">
        <v>2812</v>
      </c>
      <c r="J58" s="30" t="str">
        <f t="shared" si="0"/>
        <v>[57]=104,</v>
      </c>
      <c r="K58" s="3">
        <f t="shared" si="1"/>
        <v>57</v>
      </c>
      <c r="L58" s="3">
        <f t="shared" si="2"/>
        <v>104</v>
      </c>
      <c r="M58" s="8" t="str">
        <f>VLOOKUP(A58,'ESO wayshrine names'!$A$3:$B$5104,2,)</f>
        <v>Divad's Chagrin Mine Wayshrine</v>
      </c>
      <c r="N58" s="3" t="str">
        <f>VLOOKUP(F58,'ESO zone constants'!$A$5:$D$10001,4,FALSE)</f>
        <v>Alik'r Desert</v>
      </c>
    </row>
    <row r="59" spans="1:14" x14ac:dyDescent="0.25">
      <c r="A59" s="90">
        <v>58</v>
      </c>
      <c r="B59">
        <v>5</v>
      </c>
      <c r="C59">
        <v>30</v>
      </c>
      <c r="D59" t="s">
        <v>3177</v>
      </c>
      <c r="E59">
        <v>17</v>
      </c>
      <c r="F59">
        <v>104</v>
      </c>
      <c r="G59" t="s">
        <v>2297</v>
      </c>
      <c r="H59">
        <v>1</v>
      </c>
      <c r="I59" t="s">
        <v>2813</v>
      </c>
      <c r="J59" s="30" t="str">
        <f t="shared" si="0"/>
        <v>[58]=104,</v>
      </c>
      <c r="K59" s="3">
        <f t="shared" si="1"/>
        <v>58</v>
      </c>
      <c r="L59" s="3">
        <f t="shared" si="2"/>
        <v>104</v>
      </c>
      <c r="M59" s="8" t="str">
        <f>VLOOKUP(A59,'ESO wayshrine names'!$A$3:$B$5104,2,)</f>
        <v>Kulati Mines Wayshrine</v>
      </c>
      <c r="N59" s="3" t="str">
        <f>VLOOKUP(F59,'ESO zone constants'!$A$5:$D$10001,4,FALSE)</f>
        <v>Alik'r Desert</v>
      </c>
    </row>
    <row r="60" spans="1:14" x14ac:dyDescent="0.25">
      <c r="A60" s="90">
        <v>59</v>
      </c>
      <c r="B60">
        <v>5</v>
      </c>
      <c r="C60">
        <v>30</v>
      </c>
      <c r="D60" t="s">
        <v>3177</v>
      </c>
      <c r="E60">
        <v>17</v>
      </c>
      <c r="F60">
        <v>104</v>
      </c>
      <c r="G60" t="s">
        <v>2297</v>
      </c>
      <c r="H60">
        <v>1</v>
      </c>
      <c r="I60" t="s">
        <v>2814</v>
      </c>
      <c r="J60" s="30" t="str">
        <f t="shared" si="0"/>
        <v>[59]=104,</v>
      </c>
      <c r="K60" s="3">
        <f t="shared" si="1"/>
        <v>59</v>
      </c>
      <c r="L60" s="3">
        <f t="shared" si="2"/>
        <v>104</v>
      </c>
      <c r="M60" s="8" t="str">
        <f>VLOOKUP(A60,'ESO wayshrine names'!$A$3:$B$5104,2,)</f>
        <v>Aswala Stables Wayshrine</v>
      </c>
      <c r="N60" s="3" t="str">
        <f>VLOOKUP(F60,'ESO zone constants'!$A$5:$D$10001,4,FALSE)</f>
        <v>Alik'r Desert</v>
      </c>
    </row>
    <row r="61" spans="1:14" x14ac:dyDescent="0.25">
      <c r="A61" s="90">
        <v>60</v>
      </c>
      <c r="B61">
        <v>5</v>
      </c>
      <c r="C61">
        <v>30</v>
      </c>
      <c r="D61" t="s">
        <v>3177</v>
      </c>
      <c r="E61">
        <v>17</v>
      </c>
      <c r="F61">
        <v>104</v>
      </c>
      <c r="G61" t="s">
        <v>2297</v>
      </c>
      <c r="H61">
        <v>1</v>
      </c>
      <c r="I61" t="s">
        <v>2815</v>
      </c>
      <c r="J61" s="30" t="str">
        <f t="shared" si="0"/>
        <v>[60]=104,</v>
      </c>
      <c r="K61" s="3">
        <f t="shared" si="1"/>
        <v>60</v>
      </c>
      <c r="L61" s="3">
        <f t="shared" si="2"/>
        <v>104</v>
      </c>
      <c r="M61" s="8" t="str">
        <f>VLOOKUP(A61,'ESO wayshrine names'!$A$3:$B$5104,2,)</f>
        <v>Shrikes' Aerie Wayshrine</v>
      </c>
      <c r="N61" s="3" t="str">
        <f>VLOOKUP(F61,'ESO zone constants'!$A$5:$D$10001,4,FALSE)</f>
        <v>Alik'r Desert</v>
      </c>
    </row>
    <row r="62" spans="1:14" x14ac:dyDescent="0.25">
      <c r="A62" s="90">
        <v>61</v>
      </c>
      <c r="B62">
        <v>5</v>
      </c>
      <c r="C62">
        <v>30</v>
      </c>
      <c r="D62" t="s">
        <v>3177</v>
      </c>
      <c r="E62">
        <v>17</v>
      </c>
      <c r="F62">
        <v>104</v>
      </c>
      <c r="G62" t="s">
        <v>2297</v>
      </c>
      <c r="H62">
        <v>1</v>
      </c>
      <c r="I62" t="s">
        <v>2816</v>
      </c>
      <c r="J62" s="30" t="str">
        <f t="shared" si="0"/>
        <v>[61]=104,</v>
      </c>
      <c r="K62" s="3">
        <f t="shared" si="1"/>
        <v>61</v>
      </c>
      <c r="L62" s="3">
        <f t="shared" si="2"/>
        <v>104</v>
      </c>
      <c r="M62" s="8" t="str">
        <f>VLOOKUP(A62,'ESO wayshrine names'!$A$3:$B$5104,2,)</f>
        <v>HoonDing's Watch Wayshrine</v>
      </c>
      <c r="N62" s="3" t="str">
        <f>VLOOKUP(F62,'ESO zone constants'!$A$5:$D$10001,4,FALSE)</f>
        <v>Alik'r Desert</v>
      </c>
    </row>
    <row r="63" spans="1:14" x14ac:dyDescent="0.25">
      <c r="A63" s="90">
        <v>62</v>
      </c>
      <c r="B63">
        <v>2</v>
      </c>
      <c r="C63">
        <v>1</v>
      </c>
      <c r="D63" t="s">
        <v>103</v>
      </c>
      <c r="E63">
        <v>2</v>
      </c>
      <c r="F63">
        <v>3</v>
      </c>
      <c r="G63" t="s">
        <v>103</v>
      </c>
      <c r="H63">
        <v>1</v>
      </c>
      <c r="I63" t="s">
        <v>2817</v>
      </c>
      <c r="J63" s="30" t="str">
        <f t="shared" si="0"/>
        <v>[62]=3,</v>
      </c>
      <c r="K63" s="3">
        <f t="shared" si="1"/>
        <v>62</v>
      </c>
      <c r="L63" s="3">
        <f t="shared" si="2"/>
        <v>3</v>
      </c>
      <c r="M63" s="8" t="str">
        <f>VLOOKUP(A63,'ESO wayshrine names'!$A$3:$B$5104,2,)</f>
        <v>Daggerfall Wayshrine</v>
      </c>
      <c r="N63" s="3" t="str">
        <f>VLOOKUP(F63,'ESO zone constants'!$A$5:$D$10001,4,FALSE)</f>
        <v>Glenumbra</v>
      </c>
    </row>
    <row r="64" spans="1:14" x14ac:dyDescent="0.25">
      <c r="A64" s="90">
        <v>63</v>
      </c>
      <c r="B64">
        <v>6</v>
      </c>
      <c r="C64">
        <v>20</v>
      </c>
      <c r="D64" t="s">
        <v>109</v>
      </c>
      <c r="E64">
        <v>14</v>
      </c>
      <c r="F64">
        <v>92</v>
      </c>
      <c r="G64" t="s">
        <v>109</v>
      </c>
      <c r="H64">
        <v>1</v>
      </c>
      <c r="I64" t="s">
        <v>2818</v>
      </c>
      <c r="J64" s="30" t="str">
        <f t="shared" si="0"/>
        <v>[63]=92,</v>
      </c>
      <c r="K64" s="3">
        <f t="shared" si="1"/>
        <v>63</v>
      </c>
      <c r="L64" s="3">
        <f t="shared" si="2"/>
        <v>92</v>
      </c>
      <c r="M64" s="8" t="str">
        <f>VLOOKUP(A64,'ESO wayshrine names'!$A$3:$B$5104,2,)</f>
        <v>Sunken Road Wayshrine</v>
      </c>
      <c r="N64" s="3" t="str">
        <f>VLOOKUP(F64,'ESO zone constants'!$A$5:$D$10001,4,FALSE)</f>
        <v>Bangkorai</v>
      </c>
    </row>
    <row r="65" spans="1:14" x14ac:dyDescent="0.25">
      <c r="A65" s="90">
        <v>64</v>
      </c>
      <c r="B65">
        <v>2</v>
      </c>
      <c r="C65">
        <v>1</v>
      </c>
      <c r="D65" t="s">
        <v>103</v>
      </c>
      <c r="E65">
        <v>2</v>
      </c>
      <c r="F65">
        <v>3</v>
      </c>
      <c r="G65" t="s">
        <v>103</v>
      </c>
      <c r="H65">
        <v>1</v>
      </c>
      <c r="I65" t="s">
        <v>2819</v>
      </c>
      <c r="J65" s="30" t="str">
        <f t="shared" si="0"/>
        <v>[64]=3,</v>
      </c>
      <c r="K65" s="3">
        <f t="shared" si="1"/>
        <v>64</v>
      </c>
      <c r="L65" s="3">
        <f t="shared" si="2"/>
        <v>3</v>
      </c>
      <c r="M65" s="8" t="str">
        <f>VLOOKUP(A65,'ESO wayshrine names'!$A$3:$B$5104,2,)</f>
        <v>Burial Tombs Wayshrine</v>
      </c>
      <c r="N65" s="3" t="str">
        <f>VLOOKUP(F65,'ESO zone constants'!$A$5:$D$10001,4,FALSE)</f>
        <v>Glenumbra</v>
      </c>
    </row>
    <row r="66" spans="1:14" x14ac:dyDescent="0.25">
      <c r="A66" s="90">
        <v>65</v>
      </c>
      <c r="B66">
        <v>11</v>
      </c>
      <c r="C66">
        <v>7</v>
      </c>
      <c r="D66" t="s">
        <v>2303</v>
      </c>
      <c r="E66">
        <v>9</v>
      </c>
      <c r="F66">
        <v>41</v>
      </c>
      <c r="G66" t="s">
        <v>2303</v>
      </c>
      <c r="H66">
        <v>1</v>
      </c>
      <c r="I66" t="s">
        <v>2820</v>
      </c>
      <c r="J66" s="30" t="str">
        <f t="shared" si="0"/>
        <v>[65]=41,</v>
      </c>
      <c r="K66" s="3">
        <f t="shared" si="1"/>
        <v>65</v>
      </c>
      <c r="L66" s="3">
        <f t="shared" si="2"/>
        <v>41</v>
      </c>
      <c r="M66" s="8" t="str">
        <f>VLOOKUP(A66,'ESO wayshrine names'!$A$3:$B$5104,2,)</f>
        <v>Davon's Watch Wayshrine</v>
      </c>
      <c r="N66" s="3" t="str">
        <f>VLOOKUP(F66,'ESO zone constants'!$A$5:$D$10001,4,FALSE)</f>
        <v>Stonefalls</v>
      </c>
    </row>
    <row r="67" spans="1:14" x14ac:dyDescent="0.25">
      <c r="A67" s="90">
        <v>66</v>
      </c>
      <c r="B67">
        <v>11</v>
      </c>
      <c r="C67">
        <v>7</v>
      </c>
      <c r="D67" t="s">
        <v>2303</v>
      </c>
      <c r="E67">
        <v>9</v>
      </c>
      <c r="F67">
        <v>41</v>
      </c>
      <c r="G67" t="s">
        <v>2303</v>
      </c>
      <c r="H67">
        <v>1</v>
      </c>
      <c r="I67" t="s">
        <v>2821</v>
      </c>
      <c r="J67" s="30" t="str">
        <f t="shared" ref="J67:J130" si="3">IF(A67&lt;&gt;"",IF(F67&lt;&gt;"",IF(OR(ISNA(A67),ISNA(F67)),"","["&amp;A67&amp;"]="&amp;F67&amp;","),""),"")</f>
        <v>[66]=41,</v>
      </c>
      <c r="K67" s="3">
        <f t="shared" ref="K67:K130" si="4">A67</f>
        <v>66</v>
      </c>
      <c r="L67" s="3">
        <f t="shared" ref="L67:L130" si="5">F67</f>
        <v>41</v>
      </c>
      <c r="M67" s="8" t="str">
        <f>VLOOKUP(A67,'ESO wayshrine names'!$A$3:$B$5104,2,)</f>
        <v>Othrenis Wayshrine</v>
      </c>
      <c r="N67" s="3" t="str">
        <f>VLOOKUP(F67,'ESO zone constants'!$A$5:$D$10001,4,FALSE)</f>
        <v>Stonefalls</v>
      </c>
    </row>
    <row r="68" spans="1:14" x14ac:dyDescent="0.25">
      <c r="A68" s="90">
        <v>67</v>
      </c>
      <c r="B68">
        <v>11</v>
      </c>
      <c r="C68">
        <v>7</v>
      </c>
      <c r="D68" t="s">
        <v>2303</v>
      </c>
      <c r="E68">
        <v>9</v>
      </c>
      <c r="F68">
        <v>41</v>
      </c>
      <c r="G68" t="s">
        <v>2303</v>
      </c>
      <c r="H68">
        <v>1</v>
      </c>
      <c r="I68" t="s">
        <v>2822</v>
      </c>
      <c r="J68" s="30" t="str">
        <f t="shared" si="3"/>
        <v>[67]=41,</v>
      </c>
      <c r="K68" s="3">
        <f t="shared" si="4"/>
        <v>67</v>
      </c>
      <c r="L68" s="3">
        <f t="shared" si="5"/>
        <v>41</v>
      </c>
      <c r="M68" s="8" t="str">
        <f>VLOOKUP(A68,'ESO wayshrine names'!$A$3:$B$5104,2,)</f>
        <v>Ebonheart Wayshrine</v>
      </c>
      <c r="N68" s="3" t="str">
        <f>VLOOKUP(F68,'ESO zone constants'!$A$5:$D$10001,4,FALSE)</f>
        <v>Stonefalls</v>
      </c>
    </row>
    <row r="69" spans="1:14" x14ac:dyDescent="0.25">
      <c r="A69" s="90">
        <v>68</v>
      </c>
      <c r="B69">
        <v>11</v>
      </c>
      <c r="C69">
        <v>7</v>
      </c>
      <c r="D69" t="s">
        <v>2303</v>
      </c>
      <c r="E69">
        <v>9</v>
      </c>
      <c r="F69">
        <v>41</v>
      </c>
      <c r="G69" t="s">
        <v>2303</v>
      </c>
      <c r="H69">
        <v>1</v>
      </c>
      <c r="I69" t="s">
        <v>2823</v>
      </c>
      <c r="J69" s="30" t="str">
        <f t="shared" si="3"/>
        <v>[68]=41,</v>
      </c>
      <c r="K69" s="3">
        <f t="shared" si="4"/>
        <v>68</v>
      </c>
      <c r="L69" s="3">
        <f t="shared" si="5"/>
        <v>41</v>
      </c>
      <c r="M69" s="8" t="str">
        <f>VLOOKUP(A69,'ESO wayshrine names'!$A$3:$B$5104,2,)</f>
        <v>Vivec's Antlers Wayshrine</v>
      </c>
      <c r="N69" s="3" t="str">
        <f>VLOOKUP(F69,'ESO zone constants'!$A$5:$D$10001,4,FALSE)</f>
        <v>Stonefalls</v>
      </c>
    </row>
    <row r="70" spans="1:14" x14ac:dyDescent="0.25">
      <c r="A70" s="90">
        <v>69</v>
      </c>
      <c r="B70">
        <v>11</v>
      </c>
      <c r="C70">
        <v>7</v>
      </c>
      <c r="D70" t="s">
        <v>2303</v>
      </c>
      <c r="E70">
        <v>9</v>
      </c>
      <c r="F70">
        <v>41</v>
      </c>
      <c r="G70" t="s">
        <v>2303</v>
      </c>
      <c r="H70">
        <v>1</v>
      </c>
      <c r="I70" t="s">
        <v>2824</v>
      </c>
      <c r="J70" s="30" t="str">
        <f t="shared" si="3"/>
        <v>[69]=41,</v>
      </c>
      <c r="K70" s="3">
        <f t="shared" si="4"/>
        <v>69</v>
      </c>
      <c r="L70" s="3">
        <f t="shared" si="5"/>
        <v>41</v>
      </c>
      <c r="M70" s="8" t="str">
        <f>VLOOKUP(A70,'ESO wayshrine names'!$A$3:$B$5104,2,)</f>
        <v>Sulfur Pools Wayshrine</v>
      </c>
      <c r="N70" s="3" t="str">
        <f>VLOOKUP(F70,'ESO zone constants'!$A$5:$D$10001,4,FALSE)</f>
        <v>Stonefalls</v>
      </c>
    </row>
    <row r="71" spans="1:14" x14ac:dyDescent="0.25">
      <c r="A71" s="90">
        <v>71</v>
      </c>
      <c r="B71">
        <v>11</v>
      </c>
      <c r="C71">
        <v>7</v>
      </c>
      <c r="D71" t="s">
        <v>2303</v>
      </c>
      <c r="E71">
        <v>9</v>
      </c>
      <c r="F71">
        <v>41</v>
      </c>
      <c r="G71" t="s">
        <v>2303</v>
      </c>
      <c r="H71">
        <v>1</v>
      </c>
      <c r="I71" t="s">
        <v>2825</v>
      </c>
      <c r="J71" s="30" t="str">
        <f t="shared" si="3"/>
        <v>[71]=41,</v>
      </c>
      <c r="K71" s="3">
        <f t="shared" si="4"/>
        <v>71</v>
      </c>
      <c r="L71" s="3">
        <f t="shared" si="5"/>
        <v>41</v>
      </c>
      <c r="M71" s="8" t="str">
        <f>VLOOKUP(A71,'ESO wayshrine names'!$A$3:$B$5104,2,)</f>
        <v>Brothers of Strife Wayshrine</v>
      </c>
      <c r="N71" s="3" t="str">
        <f>VLOOKUP(F71,'ESO zone constants'!$A$5:$D$10001,4,FALSE)</f>
        <v>Stonefalls</v>
      </c>
    </row>
    <row r="72" spans="1:14" x14ac:dyDescent="0.25">
      <c r="A72" s="90">
        <v>72</v>
      </c>
      <c r="B72">
        <v>11</v>
      </c>
      <c r="C72">
        <v>7</v>
      </c>
      <c r="D72" t="s">
        <v>2303</v>
      </c>
      <c r="E72">
        <v>9</v>
      </c>
      <c r="F72">
        <v>41</v>
      </c>
      <c r="G72" t="s">
        <v>2303</v>
      </c>
      <c r="H72">
        <v>1</v>
      </c>
      <c r="I72" t="s">
        <v>2826</v>
      </c>
      <c r="J72" s="30" t="str">
        <f t="shared" si="3"/>
        <v>[72]=41,</v>
      </c>
      <c r="K72" s="3">
        <f t="shared" si="4"/>
        <v>72</v>
      </c>
      <c r="L72" s="3">
        <f t="shared" si="5"/>
        <v>41</v>
      </c>
      <c r="M72" s="8" t="str">
        <f>VLOOKUP(A72,'ESO wayshrine names'!$A$3:$B$5104,2,)</f>
        <v>Hrogar's Hold Wayshrine</v>
      </c>
      <c r="N72" s="3" t="str">
        <f>VLOOKUP(F72,'ESO zone constants'!$A$5:$D$10001,4,FALSE)</f>
        <v>Stonefalls</v>
      </c>
    </row>
    <row r="73" spans="1:14" x14ac:dyDescent="0.25">
      <c r="A73" s="90">
        <v>73</v>
      </c>
      <c r="B73">
        <v>11</v>
      </c>
      <c r="C73">
        <v>7</v>
      </c>
      <c r="D73" t="s">
        <v>2303</v>
      </c>
      <c r="E73">
        <v>9</v>
      </c>
      <c r="F73">
        <v>41</v>
      </c>
      <c r="G73" t="s">
        <v>2303</v>
      </c>
      <c r="H73">
        <v>1</v>
      </c>
      <c r="I73" t="s">
        <v>2827</v>
      </c>
      <c r="J73" s="30" t="str">
        <f t="shared" si="3"/>
        <v>[73]=41,</v>
      </c>
      <c r="K73" s="3">
        <f t="shared" si="4"/>
        <v>73</v>
      </c>
      <c r="L73" s="3">
        <f t="shared" si="5"/>
        <v>41</v>
      </c>
      <c r="M73" s="8" t="str">
        <f>VLOOKUP(A73,'ESO wayshrine names'!$A$3:$B$5104,2,)</f>
        <v>Fort Virak Wayshrine</v>
      </c>
      <c r="N73" s="3" t="str">
        <f>VLOOKUP(F73,'ESO zone constants'!$A$5:$D$10001,4,FALSE)</f>
        <v>Stonefalls</v>
      </c>
    </row>
    <row r="74" spans="1:14" x14ac:dyDescent="0.25">
      <c r="A74" s="90">
        <v>74</v>
      </c>
      <c r="B74">
        <v>11</v>
      </c>
      <c r="C74">
        <v>7</v>
      </c>
      <c r="D74" t="s">
        <v>2303</v>
      </c>
      <c r="E74">
        <v>9</v>
      </c>
      <c r="F74">
        <v>41</v>
      </c>
      <c r="G74" t="s">
        <v>2303</v>
      </c>
      <c r="H74">
        <v>1</v>
      </c>
      <c r="I74" t="s">
        <v>2828</v>
      </c>
      <c r="J74" s="30" t="str">
        <f t="shared" si="3"/>
        <v>[74]=41,</v>
      </c>
      <c r="K74" s="3">
        <f t="shared" si="4"/>
        <v>74</v>
      </c>
      <c r="L74" s="3">
        <f t="shared" si="5"/>
        <v>41</v>
      </c>
      <c r="M74" s="8" t="str">
        <f>VLOOKUP(A74,'ESO wayshrine names'!$A$3:$B$5104,2,)</f>
        <v>Iliath Temple Wayshrine</v>
      </c>
      <c r="N74" s="3" t="str">
        <f>VLOOKUP(F74,'ESO zone constants'!$A$5:$D$10001,4,FALSE)</f>
        <v>Stonefalls</v>
      </c>
    </row>
    <row r="75" spans="1:14" x14ac:dyDescent="0.25">
      <c r="A75" s="90">
        <v>75</v>
      </c>
      <c r="B75">
        <v>11</v>
      </c>
      <c r="C75">
        <v>7</v>
      </c>
      <c r="D75" t="s">
        <v>2303</v>
      </c>
      <c r="E75">
        <v>9</v>
      </c>
      <c r="F75">
        <v>41</v>
      </c>
      <c r="G75" t="s">
        <v>2303</v>
      </c>
      <c r="H75">
        <v>1</v>
      </c>
      <c r="I75" t="s">
        <v>2829</v>
      </c>
      <c r="J75" s="30" t="str">
        <f t="shared" si="3"/>
        <v>[75]=41,</v>
      </c>
      <c r="K75" s="3">
        <f t="shared" si="4"/>
        <v>75</v>
      </c>
      <c r="L75" s="3">
        <f t="shared" si="5"/>
        <v>41</v>
      </c>
      <c r="M75" s="8" t="str">
        <f>VLOOKUP(A75,'ESO wayshrine names'!$A$3:$B$5104,2,)</f>
        <v>Sathram Plantation Wayshrine</v>
      </c>
      <c r="N75" s="3" t="str">
        <f>VLOOKUP(F75,'ESO zone constants'!$A$5:$D$10001,4,FALSE)</f>
        <v>Stonefalls</v>
      </c>
    </row>
    <row r="76" spans="1:14" x14ac:dyDescent="0.25">
      <c r="A76" s="90">
        <v>76</v>
      </c>
      <c r="B76">
        <v>11</v>
      </c>
      <c r="C76">
        <v>7</v>
      </c>
      <c r="D76" t="s">
        <v>2303</v>
      </c>
      <c r="E76">
        <v>9</v>
      </c>
      <c r="F76">
        <v>41</v>
      </c>
      <c r="G76" t="s">
        <v>2303</v>
      </c>
      <c r="H76">
        <v>1</v>
      </c>
      <c r="I76" t="s">
        <v>2830</v>
      </c>
      <c r="J76" s="30" t="str">
        <f t="shared" si="3"/>
        <v>[76]=41,</v>
      </c>
      <c r="K76" s="3">
        <f t="shared" si="4"/>
        <v>76</v>
      </c>
      <c r="L76" s="3">
        <f t="shared" si="5"/>
        <v>41</v>
      </c>
      <c r="M76" s="8" t="str">
        <f>VLOOKUP(A76,'ESO wayshrine names'!$A$3:$B$5104,2,)</f>
        <v>Kragenmoor Wayshrine</v>
      </c>
      <c r="N76" s="3" t="str">
        <f>VLOOKUP(F76,'ESO zone constants'!$A$5:$D$10001,4,FALSE)</f>
        <v>Stonefalls</v>
      </c>
    </row>
    <row r="77" spans="1:14" x14ac:dyDescent="0.25">
      <c r="A77" s="90">
        <v>77</v>
      </c>
      <c r="B77">
        <v>11</v>
      </c>
      <c r="C77">
        <v>7</v>
      </c>
      <c r="D77" t="s">
        <v>2303</v>
      </c>
      <c r="E77">
        <v>9</v>
      </c>
      <c r="F77">
        <v>41</v>
      </c>
      <c r="G77" t="s">
        <v>2303</v>
      </c>
      <c r="H77">
        <v>1</v>
      </c>
      <c r="I77" t="s">
        <v>2831</v>
      </c>
      <c r="J77" s="30" t="str">
        <f t="shared" si="3"/>
        <v>[77]=41,</v>
      </c>
      <c r="K77" s="3">
        <f t="shared" si="4"/>
        <v>77</v>
      </c>
      <c r="L77" s="3">
        <f t="shared" si="5"/>
        <v>41</v>
      </c>
      <c r="M77" s="8" t="str">
        <f>VLOOKUP(A77,'ESO wayshrine names'!$A$3:$B$5104,2,)</f>
        <v>Ashen Road Wayshrine</v>
      </c>
      <c r="N77" s="3" t="str">
        <f>VLOOKUP(F77,'ESO zone constants'!$A$5:$D$10001,4,FALSE)</f>
        <v>Stonefalls</v>
      </c>
    </row>
    <row r="78" spans="1:14" x14ac:dyDescent="0.25">
      <c r="A78" s="90">
        <v>78</v>
      </c>
      <c r="B78">
        <v>9</v>
      </c>
      <c r="C78">
        <v>26</v>
      </c>
      <c r="D78" t="s">
        <v>2302</v>
      </c>
      <c r="E78">
        <v>19</v>
      </c>
      <c r="F78">
        <v>117</v>
      </c>
      <c r="G78" t="s">
        <v>2302</v>
      </c>
      <c r="H78">
        <v>1</v>
      </c>
      <c r="I78" t="s">
        <v>2832</v>
      </c>
      <c r="J78" s="30" t="str">
        <f t="shared" si="3"/>
        <v>[78]=117,</v>
      </c>
      <c r="K78" s="3">
        <f t="shared" si="4"/>
        <v>78</v>
      </c>
      <c r="L78" s="3">
        <f t="shared" si="5"/>
        <v>117</v>
      </c>
      <c r="M78" s="8" t="str">
        <f>VLOOKUP(A78,'ESO wayshrine names'!$A$3:$B$5104,2,)</f>
        <v>Venomous Fens Wayshrine</v>
      </c>
      <c r="N78" s="3" t="str">
        <f>VLOOKUP(F78,'ESO zone constants'!$A$5:$D$10001,4,FALSE)</f>
        <v>Shadowfen</v>
      </c>
    </row>
    <row r="79" spans="1:14" x14ac:dyDescent="0.25">
      <c r="A79" s="90">
        <v>79</v>
      </c>
      <c r="B79">
        <v>10</v>
      </c>
      <c r="C79">
        <v>13</v>
      </c>
      <c r="D79" t="s">
        <v>107</v>
      </c>
      <c r="E79">
        <v>10</v>
      </c>
      <c r="F79">
        <v>57</v>
      </c>
      <c r="G79" t="s">
        <v>107</v>
      </c>
      <c r="H79">
        <v>1</v>
      </c>
      <c r="I79" t="s">
        <v>2833</v>
      </c>
      <c r="J79" s="30" t="str">
        <f t="shared" si="3"/>
        <v>[79]=57,</v>
      </c>
      <c r="K79" s="3">
        <f t="shared" si="4"/>
        <v>79</v>
      </c>
      <c r="L79" s="3">
        <f t="shared" si="5"/>
        <v>57</v>
      </c>
      <c r="M79" s="8" t="str">
        <f>VLOOKUP(A79,'ESO wayshrine names'!$A$3:$B$5104,2,)</f>
        <v>Selfora Wayshrine</v>
      </c>
      <c r="N79" s="3" t="str">
        <f>VLOOKUP(F79,'ESO zone constants'!$A$5:$D$10001,4,FALSE)</f>
        <v>Deshaan</v>
      </c>
    </row>
    <row r="80" spans="1:14" x14ac:dyDescent="0.25">
      <c r="A80" s="90">
        <v>80</v>
      </c>
      <c r="B80">
        <v>10</v>
      </c>
      <c r="C80">
        <v>13</v>
      </c>
      <c r="D80" t="s">
        <v>107</v>
      </c>
      <c r="E80">
        <v>10</v>
      </c>
      <c r="F80">
        <v>57</v>
      </c>
      <c r="G80" t="s">
        <v>107</v>
      </c>
      <c r="H80">
        <v>1</v>
      </c>
      <c r="I80" t="s">
        <v>2834</v>
      </c>
      <c r="J80" s="30" t="str">
        <f t="shared" si="3"/>
        <v>[80]=57,</v>
      </c>
      <c r="K80" s="3">
        <f t="shared" si="4"/>
        <v>80</v>
      </c>
      <c r="L80" s="3">
        <f t="shared" si="5"/>
        <v>57</v>
      </c>
      <c r="M80" s="8" t="str">
        <f>VLOOKUP(A80,'ESO wayshrine names'!$A$3:$B$5104,2,)</f>
        <v>Silent Mire Wayshrine</v>
      </c>
      <c r="N80" s="3" t="str">
        <f>VLOOKUP(F80,'ESO zone constants'!$A$5:$D$10001,4,FALSE)</f>
        <v>Deshaan</v>
      </c>
    </row>
    <row r="81" spans="1:14" x14ac:dyDescent="0.25">
      <c r="A81" s="90">
        <v>81</v>
      </c>
      <c r="B81">
        <v>10</v>
      </c>
      <c r="C81">
        <v>13</v>
      </c>
      <c r="D81" t="s">
        <v>107</v>
      </c>
      <c r="E81">
        <v>10</v>
      </c>
      <c r="F81">
        <v>57</v>
      </c>
      <c r="G81" t="s">
        <v>107</v>
      </c>
      <c r="H81">
        <v>1</v>
      </c>
      <c r="I81" t="s">
        <v>2835</v>
      </c>
      <c r="J81" s="30" t="str">
        <f t="shared" si="3"/>
        <v>[81]=57,</v>
      </c>
      <c r="K81" s="3">
        <f t="shared" si="4"/>
        <v>81</v>
      </c>
      <c r="L81" s="3">
        <f t="shared" si="5"/>
        <v>57</v>
      </c>
      <c r="M81" s="8" t="str">
        <f>VLOOKUP(A81,'ESO wayshrine names'!$A$3:$B$5104,2,)</f>
        <v>Eidolon's Hollow Wayshrine</v>
      </c>
      <c r="N81" s="3" t="str">
        <f>VLOOKUP(F81,'ESO zone constants'!$A$5:$D$10001,4,FALSE)</f>
        <v>Deshaan</v>
      </c>
    </row>
    <row r="82" spans="1:14" x14ac:dyDescent="0.25">
      <c r="A82" s="90">
        <v>82</v>
      </c>
      <c r="B82">
        <v>3</v>
      </c>
      <c r="C82">
        <v>10</v>
      </c>
      <c r="D82" t="s">
        <v>2298</v>
      </c>
      <c r="E82">
        <v>5</v>
      </c>
      <c r="F82">
        <v>20</v>
      </c>
      <c r="G82" t="s">
        <v>2298</v>
      </c>
      <c r="H82">
        <v>1</v>
      </c>
      <c r="I82" t="s">
        <v>2836</v>
      </c>
      <c r="J82" s="30" t="str">
        <f t="shared" si="3"/>
        <v>[82]=20,</v>
      </c>
      <c r="K82" s="3">
        <f t="shared" si="4"/>
        <v>82</v>
      </c>
      <c r="L82" s="3">
        <f t="shared" si="5"/>
        <v>20</v>
      </c>
      <c r="M82" s="8" t="str">
        <f>VLOOKUP(A82,'ESO wayshrine names'!$A$3:$B$5104,2,)</f>
        <v>Northpoint Wayshrine</v>
      </c>
      <c r="N82" s="3" t="str">
        <f>VLOOKUP(F82,'ESO zone constants'!$A$5:$D$10001,4,FALSE)</f>
        <v>Rivenspire</v>
      </c>
    </row>
    <row r="83" spans="1:14" x14ac:dyDescent="0.25">
      <c r="A83" s="90">
        <v>83</v>
      </c>
      <c r="B83">
        <v>3</v>
      </c>
      <c r="C83">
        <v>10</v>
      </c>
      <c r="D83" t="s">
        <v>2298</v>
      </c>
      <c r="E83">
        <v>5</v>
      </c>
      <c r="F83">
        <v>20</v>
      </c>
      <c r="G83" t="s">
        <v>2298</v>
      </c>
      <c r="H83">
        <v>1</v>
      </c>
      <c r="I83" t="s">
        <v>2837</v>
      </c>
      <c r="J83" s="30" t="str">
        <f t="shared" si="3"/>
        <v>[83]=20,</v>
      </c>
      <c r="K83" s="3">
        <f t="shared" si="4"/>
        <v>83</v>
      </c>
      <c r="L83" s="3">
        <f t="shared" si="5"/>
        <v>20</v>
      </c>
      <c r="M83" s="8" t="str">
        <f>VLOOKUP(A83,'ESO wayshrine names'!$A$3:$B$5104,2,)</f>
        <v>Fell's Run Wayshrine</v>
      </c>
      <c r="N83" s="3" t="str">
        <f>VLOOKUP(F83,'ESO zone constants'!$A$5:$D$10001,4,FALSE)</f>
        <v>Rivenspire</v>
      </c>
    </row>
    <row r="84" spans="1:14" x14ac:dyDescent="0.25">
      <c r="A84" s="90">
        <v>84</v>
      </c>
      <c r="B84">
        <v>3</v>
      </c>
      <c r="C84">
        <v>10</v>
      </c>
      <c r="D84" t="s">
        <v>2298</v>
      </c>
      <c r="E84">
        <v>5</v>
      </c>
      <c r="F84">
        <v>20</v>
      </c>
      <c r="G84" t="s">
        <v>2298</v>
      </c>
      <c r="H84">
        <v>1</v>
      </c>
      <c r="I84" t="s">
        <v>2838</v>
      </c>
      <c r="J84" s="30" t="str">
        <f t="shared" si="3"/>
        <v>[84]=20,</v>
      </c>
      <c r="K84" s="3">
        <f t="shared" si="4"/>
        <v>84</v>
      </c>
      <c r="L84" s="3">
        <f t="shared" si="5"/>
        <v>20</v>
      </c>
      <c r="M84" s="8" t="str">
        <f>VLOOKUP(A84,'ESO wayshrine names'!$A$3:$B$5104,2,)</f>
        <v>Hoarfrost Downs Wayshrine</v>
      </c>
      <c r="N84" s="3" t="str">
        <f>VLOOKUP(F84,'ESO zone constants'!$A$5:$D$10001,4,FALSE)</f>
        <v>Rivenspire</v>
      </c>
    </row>
    <row r="85" spans="1:14" x14ac:dyDescent="0.25">
      <c r="A85" s="90">
        <v>85</v>
      </c>
      <c r="B85">
        <v>9</v>
      </c>
      <c r="C85">
        <v>26</v>
      </c>
      <c r="D85" t="s">
        <v>2302</v>
      </c>
      <c r="E85">
        <v>19</v>
      </c>
      <c r="F85">
        <v>117</v>
      </c>
      <c r="G85" t="s">
        <v>2302</v>
      </c>
      <c r="H85">
        <v>1</v>
      </c>
      <c r="I85" t="s">
        <v>2839</v>
      </c>
      <c r="J85" s="30" t="str">
        <f t="shared" si="3"/>
        <v>[85]=117,</v>
      </c>
      <c r="K85" s="3">
        <f t="shared" si="4"/>
        <v>85</v>
      </c>
      <c r="L85" s="3">
        <f t="shared" si="5"/>
        <v>117</v>
      </c>
      <c r="M85" s="8" t="str">
        <f>VLOOKUP(A85,'ESO wayshrine names'!$A$3:$B$5104,2,)</f>
        <v>Forsaken Hamlet Wayshrine</v>
      </c>
      <c r="N85" s="3" t="str">
        <f>VLOOKUP(F85,'ESO zone constants'!$A$5:$D$10001,4,FALSE)</f>
        <v>Shadowfen</v>
      </c>
    </row>
    <row r="86" spans="1:14" x14ac:dyDescent="0.25">
      <c r="A86" s="90">
        <v>86</v>
      </c>
      <c r="B86">
        <v>3</v>
      </c>
      <c r="C86">
        <v>10</v>
      </c>
      <c r="D86" t="s">
        <v>2298</v>
      </c>
      <c r="E86">
        <v>5</v>
      </c>
      <c r="F86">
        <v>20</v>
      </c>
      <c r="G86" t="s">
        <v>2298</v>
      </c>
      <c r="H86">
        <v>1</v>
      </c>
      <c r="I86" t="s">
        <v>2840</v>
      </c>
      <c r="J86" s="30" t="str">
        <f t="shared" si="3"/>
        <v>[86]=20,</v>
      </c>
      <c r="K86" s="3">
        <f t="shared" si="4"/>
        <v>86</v>
      </c>
      <c r="L86" s="3">
        <f t="shared" si="5"/>
        <v>20</v>
      </c>
      <c r="M86" s="8" t="str">
        <f>VLOOKUP(A86,'ESO wayshrine names'!$A$3:$B$5104,2,)</f>
        <v>Sanguine Barrows Wayshrine</v>
      </c>
      <c r="N86" s="3" t="str">
        <f>VLOOKUP(F86,'ESO zone constants'!$A$5:$D$10001,4,FALSE)</f>
        <v>Rivenspire</v>
      </c>
    </row>
    <row r="87" spans="1:14" x14ac:dyDescent="0.25">
      <c r="A87" s="90">
        <v>87</v>
      </c>
      <c r="B87">
        <v>13</v>
      </c>
      <c r="C87">
        <v>61</v>
      </c>
      <c r="D87" t="s">
        <v>2300</v>
      </c>
      <c r="E87">
        <v>15</v>
      </c>
      <c r="F87">
        <v>101</v>
      </c>
      <c r="G87" t="s">
        <v>2300</v>
      </c>
      <c r="H87">
        <v>1</v>
      </c>
      <c r="I87" t="s">
        <v>3245</v>
      </c>
      <c r="J87" s="30" t="str">
        <f t="shared" si="3"/>
        <v>[87]=101,</v>
      </c>
      <c r="K87" s="3">
        <f t="shared" si="4"/>
        <v>87</v>
      </c>
      <c r="L87" s="3">
        <f t="shared" si="5"/>
        <v>101</v>
      </c>
      <c r="M87" s="8" t="str">
        <f>VLOOKUP(A87,'ESO wayshrine names'!$A$3:$B$5104,2,)</f>
        <v>Windhelm Wayshrine</v>
      </c>
      <c r="N87" s="3" t="str">
        <f>VLOOKUP(F87,'ESO zone constants'!$A$5:$D$10001,4,FALSE)</f>
        <v>Eastmarch</v>
      </c>
    </row>
    <row r="88" spans="1:14" x14ac:dyDescent="0.25">
      <c r="A88" s="90">
        <v>88</v>
      </c>
      <c r="B88">
        <v>13</v>
      </c>
      <c r="C88">
        <v>61</v>
      </c>
      <c r="D88" t="s">
        <v>2300</v>
      </c>
      <c r="E88">
        <v>15</v>
      </c>
      <c r="F88">
        <v>101</v>
      </c>
      <c r="G88" t="s">
        <v>2300</v>
      </c>
      <c r="H88">
        <v>1</v>
      </c>
      <c r="I88" t="s">
        <v>3242</v>
      </c>
      <c r="J88" s="30" t="str">
        <f t="shared" si="3"/>
        <v>[88]=101,</v>
      </c>
      <c r="K88" s="3">
        <f t="shared" si="4"/>
        <v>88</v>
      </c>
      <c r="L88" s="3">
        <f t="shared" si="5"/>
        <v>101</v>
      </c>
      <c r="M88" s="8" t="str">
        <f>VLOOKUP(A88,'ESO wayshrine names'!$A$3:$B$5104,2,)</f>
        <v>Fort Morvunskar Wayshrine</v>
      </c>
      <c r="N88" s="3" t="str">
        <f>VLOOKUP(F88,'ESO zone constants'!$A$5:$D$10001,4,FALSE)</f>
        <v>Eastmarch</v>
      </c>
    </row>
    <row r="89" spans="1:14" x14ac:dyDescent="0.25">
      <c r="A89" s="90">
        <v>89</v>
      </c>
      <c r="B89">
        <v>13</v>
      </c>
      <c r="C89">
        <v>61</v>
      </c>
      <c r="D89" t="s">
        <v>2300</v>
      </c>
      <c r="E89">
        <v>15</v>
      </c>
      <c r="F89">
        <v>101</v>
      </c>
      <c r="G89" t="s">
        <v>2300</v>
      </c>
      <c r="H89">
        <v>1</v>
      </c>
      <c r="I89" t="s">
        <v>3247</v>
      </c>
      <c r="J89" s="30" t="str">
        <f t="shared" si="3"/>
        <v>[89]=101,</v>
      </c>
      <c r="K89" s="3">
        <f t="shared" si="4"/>
        <v>89</v>
      </c>
      <c r="L89" s="3">
        <f t="shared" si="5"/>
        <v>101</v>
      </c>
      <c r="M89" s="8" t="str">
        <f>VLOOKUP(A89,'ESO wayshrine names'!$A$3:$B$5104,2,)</f>
        <v>Kynesgrove Wayshrine</v>
      </c>
      <c r="N89" s="3" t="str">
        <f>VLOOKUP(F89,'ESO zone constants'!$A$5:$D$10001,4,FALSE)</f>
        <v>Eastmarch</v>
      </c>
    </row>
    <row r="90" spans="1:14" x14ac:dyDescent="0.25">
      <c r="A90" s="90">
        <v>90</v>
      </c>
      <c r="B90">
        <v>13</v>
      </c>
      <c r="C90">
        <v>61</v>
      </c>
      <c r="D90" t="s">
        <v>2300</v>
      </c>
      <c r="E90">
        <v>15</v>
      </c>
      <c r="F90">
        <v>101</v>
      </c>
      <c r="G90" t="s">
        <v>2300</v>
      </c>
      <c r="H90">
        <v>1</v>
      </c>
      <c r="I90" t="s">
        <v>3248</v>
      </c>
      <c r="J90" s="30" t="str">
        <f t="shared" si="3"/>
        <v>[90]=101,</v>
      </c>
      <c r="K90" s="3">
        <f t="shared" si="4"/>
        <v>90</v>
      </c>
      <c r="L90" s="3">
        <f t="shared" si="5"/>
        <v>101</v>
      </c>
      <c r="M90" s="8" t="str">
        <f>VLOOKUP(A90,'ESO wayshrine names'!$A$3:$B$5104,2,)</f>
        <v>Voljar Meadery Wayshrine</v>
      </c>
      <c r="N90" s="3" t="str">
        <f>VLOOKUP(F90,'ESO zone constants'!$A$5:$D$10001,4,FALSE)</f>
        <v>Eastmarch</v>
      </c>
    </row>
    <row r="91" spans="1:14" x14ac:dyDescent="0.25">
      <c r="A91" s="90">
        <v>91</v>
      </c>
      <c r="B91">
        <v>13</v>
      </c>
      <c r="C91">
        <v>61</v>
      </c>
      <c r="D91" t="s">
        <v>2300</v>
      </c>
      <c r="E91">
        <v>15</v>
      </c>
      <c r="F91">
        <v>101</v>
      </c>
      <c r="G91" t="s">
        <v>2300</v>
      </c>
      <c r="H91">
        <v>1</v>
      </c>
      <c r="I91" t="s">
        <v>3249</v>
      </c>
      <c r="J91" s="30" t="str">
        <f t="shared" si="3"/>
        <v>[91]=101,</v>
      </c>
      <c r="K91" s="3">
        <f t="shared" si="4"/>
        <v>91</v>
      </c>
      <c r="L91" s="3">
        <f t="shared" si="5"/>
        <v>101</v>
      </c>
      <c r="M91" s="8" t="str">
        <f>VLOOKUP(A91,'ESO wayshrine names'!$A$3:$B$5104,2,)</f>
        <v>Cradlecrush Wayshrine</v>
      </c>
      <c r="N91" s="3" t="str">
        <f>VLOOKUP(F91,'ESO zone constants'!$A$5:$D$10001,4,FALSE)</f>
        <v>Eastmarch</v>
      </c>
    </row>
    <row r="92" spans="1:14" x14ac:dyDescent="0.25">
      <c r="A92" s="90">
        <v>92</v>
      </c>
      <c r="B92">
        <v>13</v>
      </c>
      <c r="C92">
        <v>61</v>
      </c>
      <c r="D92" t="s">
        <v>2300</v>
      </c>
      <c r="E92">
        <v>15</v>
      </c>
      <c r="F92">
        <v>101</v>
      </c>
      <c r="G92" t="s">
        <v>2300</v>
      </c>
      <c r="H92">
        <v>1</v>
      </c>
      <c r="I92" t="s">
        <v>3244</v>
      </c>
      <c r="J92" s="30" t="str">
        <f t="shared" si="3"/>
        <v>[92]=101,</v>
      </c>
      <c r="K92" s="3">
        <f t="shared" si="4"/>
        <v>92</v>
      </c>
      <c r="L92" s="3">
        <f t="shared" si="5"/>
        <v>101</v>
      </c>
      <c r="M92" s="8" t="str">
        <f>VLOOKUP(A92,'ESO wayshrine names'!$A$3:$B$5104,2,)</f>
        <v>Fort Amol Wayshrine</v>
      </c>
      <c r="N92" s="3" t="str">
        <f>VLOOKUP(F92,'ESO zone constants'!$A$5:$D$10001,4,FALSE)</f>
        <v>Eastmarch</v>
      </c>
    </row>
    <row r="93" spans="1:14" x14ac:dyDescent="0.25">
      <c r="A93" s="90">
        <v>93</v>
      </c>
      <c r="B93">
        <v>13</v>
      </c>
      <c r="C93">
        <v>61</v>
      </c>
      <c r="D93" t="s">
        <v>2300</v>
      </c>
      <c r="E93">
        <v>15</v>
      </c>
      <c r="F93">
        <v>101</v>
      </c>
      <c r="G93" t="s">
        <v>2300</v>
      </c>
      <c r="H93">
        <v>1</v>
      </c>
      <c r="I93" t="s">
        <v>3251</v>
      </c>
      <c r="J93" s="30" t="str">
        <f t="shared" si="3"/>
        <v>[93]=101,</v>
      </c>
      <c r="K93" s="3">
        <f t="shared" si="4"/>
        <v>93</v>
      </c>
      <c r="L93" s="3">
        <f t="shared" si="5"/>
        <v>101</v>
      </c>
      <c r="M93" s="8" t="str">
        <f>VLOOKUP(A93,'ESO wayshrine names'!$A$3:$B$5104,2,)</f>
        <v>Wittestadr Wayshrine</v>
      </c>
      <c r="N93" s="3" t="str">
        <f>VLOOKUP(F93,'ESO zone constants'!$A$5:$D$10001,4,FALSE)</f>
        <v>Eastmarch</v>
      </c>
    </row>
    <row r="94" spans="1:14" x14ac:dyDescent="0.25">
      <c r="A94" s="90">
        <v>94</v>
      </c>
      <c r="B94">
        <v>13</v>
      </c>
      <c r="C94">
        <v>61</v>
      </c>
      <c r="D94" t="s">
        <v>2300</v>
      </c>
      <c r="E94">
        <v>15</v>
      </c>
      <c r="F94">
        <v>101</v>
      </c>
      <c r="G94" t="s">
        <v>2300</v>
      </c>
      <c r="H94">
        <v>1</v>
      </c>
      <c r="I94" t="s">
        <v>3252</v>
      </c>
      <c r="J94" s="30" t="str">
        <f t="shared" si="3"/>
        <v>[94]=101,</v>
      </c>
      <c r="K94" s="3">
        <f t="shared" si="4"/>
        <v>94</v>
      </c>
      <c r="L94" s="3">
        <f t="shared" si="5"/>
        <v>101</v>
      </c>
      <c r="M94" s="8" t="str">
        <f>VLOOKUP(A94,'ESO wayshrine names'!$A$3:$B$5104,2,)</f>
        <v>Mistwatch Wayshrine</v>
      </c>
      <c r="N94" s="3" t="str">
        <f>VLOOKUP(F94,'ESO zone constants'!$A$5:$D$10001,4,FALSE)</f>
        <v>Eastmarch</v>
      </c>
    </row>
    <row r="95" spans="1:14" x14ac:dyDescent="0.25">
      <c r="A95" s="90">
        <v>95</v>
      </c>
      <c r="B95">
        <v>13</v>
      </c>
      <c r="C95">
        <v>61</v>
      </c>
      <c r="D95" t="s">
        <v>2300</v>
      </c>
      <c r="E95">
        <v>15</v>
      </c>
      <c r="F95">
        <v>101</v>
      </c>
      <c r="G95" t="s">
        <v>2300</v>
      </c>
      <c r="H95">
        <v>1</v>
      </c>
      <c r="I95" t="s">
        <v>3253</v>
      </c>
      <c r="J95" s="30" t="str">
        <f t="shared" si="3"/>
        <v>[95]=101,</v>
      </c>
      <c r="K95" s="3">
        <f t="shared" si="4"/>
        <v>95</v>
      </c>
      <c r="L95" s="3">
        <f t="shared" si="5"/>
        <v>101</v>
      </c>
      <c r="M95" s="8" t="str">
        <f>VLOOKUP(A95,'ESO wayshrine names'!$A$3:$B$5104,2,)</f>
        <v>Jorunn's Stand Wayshrine</v>
      </c>
      <c r="N95" s="3" t="str">
        <f>VLOOKUP(F95,'ESO zone constants'!$A$5:$D$10001,4,FALSE)</f>
        <v>Eastmarch</v>
      </c>
    </row>
    <row r="96" spans="1:14" x14ac:dyDescent="0.25">
      <c r="A96" s="90">
        <v>96</v>
      </c>
      <c r="B96">
        <v>13</v>
      </c>
      <c r="C96">
        <v>61</v>
      </c>
      <c r="D96" t="s">
        <v>2300</v>
      </c>
      <c r="E96">
        <v>15</v>
      </c>
      <c r="F96">
        <v>101</v>
      </c>
      <c r="G96" t="s">
        <v>2300</v>
      </c>
      <c r="H96">
        <v>1</v>
      </c>
      <c r="I96" t="s">
        <v>3238</v>
      </c>
      <c r="J96" s="30" t="str">
        <f t="shared" si="3"/>
        <v>[96]=101,</v>
      </c>
      <c r="K96" s="3">
        <f t="shared" si="4"/>
        <v>96</v>
      </c>
      <c r="L96" s="3">
        <f t="shared" si="5"/>
        <v>101</v>
      </c>
      <c r="M96" s="8" t="str">
        <f>VLOOKUP(A96,'ESO wayshrine names'!$A$3:$B$5104,2,)</f>
        <v>Logging Camp Wayshrine</v>
      </c>
      <c r="N96" s="3" t="str">
        <f>VLOOKUP(F96,'ESO zone constants'!$A$5:$D$10001,4,FALSE)</f>
        <v>Eastmarch</v>
      </c>
    </row>
    <row r="97" spans="1:14" x14ac:dyDescent="0.25">
      <c r="A97" s="90">
        <v>97</v>
      </c>
      <c r="B97">
        <v>13</v>
      </c>
      <c r="C97">
        <v>61</v>
      </c>
      <c r="D97" t="s">
        <v>2300</v>
      </c>
      <c r="E97">
        <v>15</v>
      </c>
      <c r="F97">
        <v>101</v>
      </c>
      <c r="G97" t="s">
        <v>2300</v>
      </c>
      <c r="H97">
        <v>1</v>
      </c>
      <c r="I97" t="s">
        <v>3239</v>
      </c>
      <c r="J97" s="30" t="str">
        <f t="shared" si="3"/>
        <v>[97]=101,</v>
      </c>
      <c r="K97" s="3">
        <f t="shared" si="4"/>
        <v>97</v>
      </c>
      <c r="L97" s="3">
        <f t="shared" si="5"/>
        <v>101</v>
      </c>
      <c r="M97" s="8" t="str">
        <f>VLOOKUP(A97,'ESO wayshrine names'!$A$3:$B$5104,2,)</f>
        <v>Skuldafn Wayshrine</v>
      </c>
      <c r="N97" s="3" t="str">
        <f>VLOOKUP(F97,'ESO zone constants'!$A$5:$D$10001,4,FALSE)</f>
        <v>Eastmarch</v>
      </c>
    </row>
    <row r="98" spans="1:14" x14ac:dyDescent="0.25">
      <c r="A98" s="90">
        <v>98</v>
      </c>
      <c r="B98">
        <v>11</v>
      </c>
      <c r="C98">
        <v>7</v>
      </c>
      <c r="D98" t="s">
        <v>2303</v>
      </c>
      <c r="E98">
        <v>9</v>
      </c>
      <c r="F98">
        <v>41</v>
      </c>
      <c r="G98" t="s">
        <v>2303</v>
      </c>
      <c r="H98">
        <v>6</v>
      </c>
      <c r="I98" t="s">
        <v>2841</v>
      </c>
      <c r="J98" s="30" t="str">
        <f t="shared" si="3"/>
        <v>[98]=41,</v>
      </c>
      <c r="K98" s="3">
        <f t="shared" si="4"/>
        <v>98</v>
      </c>
      <c r="L98" s="3">
        <f t="shared" si="5"/>
        <v>41</v>
      </c>
      <c r="M98" s="8" t="str">
        <f>VLOOKUP(A98,'ESO wayshrine names'!$A$3:$B$5104,2,)</f>
        <v>Dungeon: Fungal Grotto I</v>
      </c>
      <c r="N98" s="3" t="str">
        <f>VLOOKUP(F98,'ESO zone constants'!$A$5:$D$10001,4,FALSE)</f>
        <v>Stonefalls</v>
      </c>
    </row>
    <row r="99" spans="1:14" x14ac:dyDescent="0.25">
      <c r="A99" s="90">
        <v>99</v>
      </c>
      <c r="B99">
        <v>8</v>
      </c>
      <c r="C99">
        <v>22</v>
      </c>
      <c r="D99" t="s">
        <v>108</v>
      </c>
      <c r="E99">
        <v>11</v>
      </c>
      <c r="F99">
        <v>58</v>
      </c>
      <c r="G99" t="s">
        <v>108</v>
      </c>
      <c r="H99">
        <v>1</v>
      </c>
      <c r="I99" t="s">
        <v>2842</v>
      </c>
      <c r="J99" s="30" t="str">
        <f t="shared" si="3"/>
        <v>[99]=58,</v>
      </c>
      <c r="K99" s="3">
        <f t="shared" si="4"/>
        <v>99</v>
      </c>
      <c r="L99" s="3">
        <f t="shared" si="5"/>
        <v>58</v>
      </c>
      <c r="M99" s="8" t="str">
        <f>VLOOKUP(A99,'ESO wayshrine names'!$A$3:$B$5104,2,)</f>
        <v>Ilayas Ruins Wayshrine</v>
      </c>
      <c r="N99" s="3" t="str">
        <f>VLOOKUP(F99,'ESO zone constants'!$A$5:$D$10001,4,FALSE)</f>
        <v>Malabal Tor</v>
      </c>
    </row>
    <row r="100" spans="1:14" x14ac:dyDescent="0.25">
      <c r="A100" s="90">
        <v>100</v>
      </c>
      <c r="B100">
        <v>8</v>
      </c>
      <c r="C100">
        <v>22</v>
      </c>
      <c r="D100" t="s">
        <v>108</v>
      </c>
      <c r="E100">
        <v>11</v>
      </c>
      <c r="F100">
        <v>58</v>
      </c>
      <c r="G100" t="s">
        <v>108</v>
      </c>
      <c r="H100">
        <v>1</v>
      </c>
      <c r="I100" t="s">
        <v>2843</v>
      </c>
      <c r="J100" s="30" t="str">
        <f t="shared" si="3"/>
        <v>[100]=58,</v>
      </c>
      <c r="K100" s="3">
        <f t="shared" si="4"/>
        <v>100</v>
      </c>
      <c r="L100" s="3">
        <f t="shared" si="5"/>
        <v>58</v>
      </c>
      <c r="M100" s="8" t="str">
        <f>VLOOKUP(A100,'ESO wayshrine names'!$A$3:$B$5104,2,)</f>
        <v>Vulkwasten Wayshrine</v>
      </c>
      <c r="N100" s="3" t="str">
        <f>VLOOKUP(F100,'ESO zone constants'!$A$5:$D$10001,4,FALSE)</f>
        <v>Malabal Tor</v>
      </c>
    </row>
    <row r="101" spans="1:14" x14ac:dyDescent="0.25">
      <c r="A101" s="90">
        <v>101</v>
      </c>
      <c r="B101">
        <v>8</v>
      </c>
      <c r="C101">
        <v>22</v>
      </c>
      <c r="D101" t="s">
        <v>108</v>
      </c>
      <c r="E101">
        <v>11</v>
      </c>
      <c r="F101">
        <v>58</v>
      </c>
      <c r="G101" t="s">
        <v>108</v>
      </c>
      <c r="H101">
        <v>1</v>
      </c>
      <c r="I101" t="s">
        <v>3178</v>
      </c>
      <c r="J101" s="30" t="str">
        <f t="shared" si="3"/>
        <v>[101]=58,</v>
      </c>
      <c r="K101" s="3">
        <f t="shared" si="4"/>
        <v>101</v>
      </c>
      <c r="L101" s="3">
        <f t="shared" si="5"/>
        <v>58</v>
      </c>
      <c r="M101" s="8" t="str">
        <f>VLOOKUP(A101,'ESO wayshrine names'!$A$3:$B$5104,2,)</f>
        <v>Dra'bul Wayshrine</v>
      </c>
      <c r="N101" s="3" t="str">
        <f>VLOOKUP(F101,'ESO zone constants'!$A$5:$D$10001,4,FALSE)</f>
        <v>Malabal Tor</v>
      </c>
    </row>
    <row r="102" spans="1:14" x14ac:dyDescent="0.25">
      <c r="A102" s="90">
        <v>102</v>
      </c>
      <c r="B102">
        <v>8</v>
      </c>
      <c r="C102">
        <v>22</v>
      </c>
      <c r="D102" t="s">
        <v>108</v>
      </c>
      <c r="E102">
        <v>11</v>
      </c>
      <c r="F102">
        <v>58</v>
      </c>
      <c r="G102" t="s">
        <v>108</v>
      </c>
      <c r="H102">
        <v>1</v>
      </c>
      <c r="I102" t="s">
        <v>2844</v>
      </c>
      <c r="J102" s="30" t="str">
        <f t="shared" si="3"/>
        <v>[102]=58,</v>
      </c>
      <c r="K102" s="3">
        <f t="shared" si="4"/>
        <v>102</v>
      </c>
      <c r="L102" s="3">
        <f t="shared" si="5"/>
        <v>58</v>
      </c>
      <c r="M102" s="8" t="str">
        <f>VLOOKUP(A102,'ESO wayshrine names'!$A$3:$B$5104,2,)</f>
        <v>Velyn Harbor Wayshrine</v>
      </c>
      <c r="N102" s="3" t="str">
        <f>VLOOKUP(F102,'ESO zone constants'!$A$5:$D$10001,4,FALSE)</f>
        <v>Malabal Tor</v>
      </c>
    </row>
    <row r="103" spans="1:14" x14ac:dyDescent="0.25">
      <c r="A103" s="90">
        <v>103</v>
      </c>
      <c r="B103">
        <v>8</v>
      </c>
      <c r="C103">
        <v>22</v>
      </c>
      <c r="D103" t="s">
        <v>108</v>
      </c>
      <c r="E103">
        <v>11</v>
      </c>
      <c r="F103">
        <v>58</v>
      </c>
      <c r="G103" t="s">
        <v>108</v>
      </c>
      <c r="H103">
        <v>1</v>
      </c>
      <c r="I103" t="s">
        <v>2845</v>
      </c>
      <c r="J103" s="30" t="str">
        <f t="shared" si="3"/>
        <v>[103]=58,</v>
      </c>
      <c r="K103" s="3">
        <f t="shared" si="4"/>
        <v>103</v>
      </c>
      <c r="L103" s="3">
        <f t="shared" si="5"/>
        <v>58</v>
      </c>
      <c r="M103" s="8" t="str">
        <f>VLOOKUP(A103,'ESO wayshrine names'!$A$3:$B$5104,2,)</f>
        <v>Bloodtoil Wayshrine</v>
      </c>
      <c r="N103" s="3" t="str">
        <f>VLOOKUP(F103,'ESO zone constants'!$A$5:$D$10001,4,FALSE)</f>
        <v>Malabal Tor</v>
      </c>
    </row>
    <row r="104" spans="1:14" x14ac:dyDescent="0.25">
      <c r="A104" s="90">
        <v>104</v>
      </c>
      <c r="B104">
        <v>8</v>
      </c>
      <c r="C104">
        <v>22</v>
      </c>
      <c r="D104" t="s">
        <v>108</v>
      </c>
      <c r="E104">
        <v>11</v>
      </c>
      <c r="F104">
        <v>58</v>
      </c>
      <c r="G104" t="s">
        <v>108</v>
      </c>
      <c r="H104">
        <v>1</v>
      </c>
      <c r="I104" t="s">
        <v>2846</v>
      </c>
      <c r="J104" s="30" t="str">
        <f t="shared" si="3"/>
        <v>[104]=58,</v>
      </c>
      <c r="K104" s="3">
        <f t="shared" si="4"/>
        <v>104</v>
      </c>
      <c r="L104" s="3">
        <f t="shared" si="5"/>
        <v>58</v>
      </c>
      <c r="M104" s="8" t="str">
        <f>VLOOKUP(A104,'ESO wayshrine names'!$A$3:$B$5104,2,)</f>
        <v>Abamath Wayshrine</v>
      </c>
      <c r="N104" s="3" t="str">
        <f>VLOOKUP(F104,'ESO zone constants'!$A$5:$D$10001,4,FALSE)</f>
        <v>Malabal Tor</v>
      </c>
    </row>
    <row r="105" spans="1:14" x14ac:dyDescent="0.25">
      <c r="A105" s="90">
        <v>105</v>
      </c>
      <c r="B105">
        <v>8</v>
      </c>
      <c r="C105">
        <v>22</v>
      </c>
      <c r="D105" t="s">
        <v>108</v>
      </c>
      <c r="E105">
        <v>11</v>
      </c>
      <c r="F105">
        <v>58</v>
      </c>
      <c r="G105" t="s">
        <v>108</v>
      </c>
      <c r="H105">
        <v>1</v>
      </c>
      <c r="I105" t="s">
        <v>2847</v>
      </c>
      <c r="J105" s="30" t="str">
        <f t="shared" si="3"/>
        <v>[105]=58,</v>
      </c>
      <c r="K105" s="3">
        <f t="shared" si="4"/>
        <v>105</v>
      </c>
      <c r="L105" s="3">
        <f t="shared" si="5"/>
        <v>58</v>
      </c>
      <c r="M105" s="8" t="str">
        <f>VLOOKUP(A105,'ESO wayshrine names'!$A$3:$B$5104,2,)</f>
        <v>Wilding Run Wayshrine</v>
      </c>
      <c r="N105" s="3" t="str">
        <f>VLOOKUP(F105,'ESO zone constants'!$A$5:$D$10001,4,FALSE)</f>
        <v>Malabal Tor</v>
      </c>
    </row>
    <row r="106" spans="1:14" x14ac:dyDescent="0.25">
      <c r="A106" s="90">
        <v>106</v>
      </c>
      <c r="B106">
        <v>8</v>
      </c>
      <c r="C106">
        <v>22</v>
      </c>
      <c r="D106" t="s">
        <v>108</v>
      </c>
      <c r="E106">
        <v>11</v>
      </c>
      <c r="F106">
        <v>58</v>
      </c>
      <c r="G106" t="s">
        <v>108</v>
      </c>
      <c r="H106">
        <v>1</v>
      </c>
      <c r="I106" t="s">
        <v>3778</v>
      </c>
      <c r="J106" s="30" t="str">
        <f t="shared" si="3"/>
        <v>[106]=58,</v>
      </c>
      <c r="K106" s="3">
        <f t="shared" si="4"/>
        <v>106</v>
      </c>
      <c r="L106" s="3">
        <f t="shared" si="5"/>
        <v>58</v>
      </c>
      <c r="M106" s="8" t="str">
        <f>VLOOKUP(A106,'ESO wayshrine names'!$A$3:$B$5104,2,)</f>
        <v>Baandari Market Wayshrine</v>
      </c>
      <c r="N106" s="3" t="str">
        <f>VLOOKUP(F106,'ESO zone constants'!$A$5:$D$10001,4,FALSE)</f>
        <v>Malabal Tor</v>
      </c>
    </row>
    <row r="107" spans="1:14" x14ac:dyDescent="0.25">
      <c r="A107" s="90">
        <v>107</v>
      </c>
      <c r="B107">
        <v>8</v>
      </c>
      <c r="C107">
        <v>22</v>
      </c>
      <c r="D107" t="s">
        <v>108</v>
      </c>
      <c r="E107">
        <v>11</v>
      </c>
      <c r="F107">
        <v>58</v>
      </c>
      <c r="G107" t="s">
        <v>108</v>
      </c>
      <c r="H107">
        <v>1</v>
      </c>
      <c r="I107" t="s">
        <v>2848</v>
      </c>
      <c r="J107" s="30" t="str">
        <f t="shared" si="3"/>
        <v>[107]=58,</v>
      </c>
      <c r="K107" s="3">
        <f t="shared" si="4"/>
        <v>107</v>
      </c>
      <c r="L107" s="3">
        <f t="shared" si="5"/>
        <v>58</v>
      </c>
      <c r="M107" s="8" t="str">
        <f>VLOOKUP(A107,'ESO wayshrine names'!$A$3:$B$5104,2,)</f>
        <v>Valeguard Wayshrine</v>
      </c>
      <c r="N107" s="3" t="str">
        <f>VLOOKUP(F107,'ESO zone constants'!$A$5:$D$10001,4,FALSE)</f>
        <v>Malabal Tor</v>
      </c>
    </row>
    <row r="108" spans="1:14" x14ac:dyDescent="0.25">
      <c r="A108" s="90">
        <v>108</v>
      </c>
      <c r="B108">
        <v>11</v>
      </c>
      <c r="C108">
        <v>7</v>
      </c>
      <c r="D108" t="s">
        <v>2303</v>
      </c>
      <c r="E108">
        <v>9</v>
      </c>
      <c r="F108">
        <v>41</v>
      </c>
      <c r="G108" t="s">
        <v>2303</v>
      </c>
      <c r="H108">
        <v>1</v>
      </c>
      <c r="I108" t="s">
        <v>2849</v>
      </c>
      <c r="J108" s="30" t="str">
        <f t="shared" si="3"/>
        <v>[108]=41,</v>
      </c>
      <c r="K108" s="3">
        <f t="shared" si="4"/>
        <v>108</v>
      </c>
      <c r="L108" s="3">
        <f t="shared" si="5"/>
        <v>41</v>
      </c>
      <c r="M108" s="8" t="str">
        <f>VLOOKUP(A108,'ESO wayshrine names'!$A$3:$B$5104,2,)</f>
        <v>Senie Wayshrine</v>
      </c>
      <c r="N108" s="3" t="str">
        <f>VLOOKUP(F108,'ESO zone constants'!$A$5:$D$10001,4,FALSE)</f>
        <v>Stonefalls</v>
      </c>
    </row>
    <row r="109" spans="1:14" x14ac:dyDescent="0.25">
      <c r="A109" s="90">
        <v>109</v>
      </c>
      <c r="B109">
        <v>12</v>
      </c>
      <c r="C109">
        <v>125</v>
      </c>
      <c r="D109" t="s">
        <v>2301</v>
      </c>
      <c r="E109">
        <v>16</v>
      </c>
      <c r="F109">
        <v>103</v>
      </c>
      <c r="G109" t="s">
        <v>2301</v>
      </c>
      <c r="H109">
        <v>1</v>
      </c>
      <c r="I109" t="s">
        <v>2850</v>
      </c>
      <c r="J109" s="30" t="str">
        <f t="shared" si="3"/>
        <v>[109]=103,</v>
      </c>
      <c r="K109" s="3">
        <f t="shared" si="4"/>
        <v>109</v>
      </c>
      <c r="L109" s="3">
        <f t="shared" si="5"/>
        <v>103</v>
      </c>
      <c r="M109" s="8" t="str">
        <f>VLOOKUP(A109,'ESO wayshrine names'!$A$3:$B$5104,2,)</f>
        <v>Riften Wayshrine</v>
      </c>
      <c r="N109" s="3" t="str">
        <f>VLOOKUP(F109,'ESO zone constants'!$A$5:$D$10001,4,FALSE)</f>
        <v>The Rift</v>
      </c>
    </row>
    <row r="110" spans="1:14" x14ac:dyDescent="0.25">
      <c r="A110" s="90">
        <v>110</v>
      </c>
      <c r="B110">
        <v>12</v>
      </c>
      <c r="C110">
        <v>125</v>
      </c>
      <c r="D110" t="s">
        <v>2301</v>
      </c>
      <c r="E110">
        <v>16</v>
      </c>
      <c r="F110">
        <v>103</v>
      </c>
      <c r="G110" t="s">
        <v>2301</v>
      </c>
      <c r="H110">
        <v>1</v>
      </c>
      <c r="I110" t="s">
        <v>2851</v>
      </c>
      <c r="J110" s="30" t="str">
        <f t="shared" si="3"/>
        <v>[110]=103,</v>
      </c>
      <c r="K110" s="3">
        <f t="shared" si="4"/>
        <v>110</v>
      </c>
      <c r="L110" s="3">
        <f t="shared" si="5"/>
        <v>103</v>
      </c>
      <c r="M110" s="8" t="str">
        <f>VLOOKUP(A110,'ESO wayshrine names'!$A$3:$B$5104,2,)</f>
        <v>Skald's Retreat Wayshrine</v>
      </c>
      <c r="N110" s="3" t="str">
        <f>VLOOKUP(F110,'ESO zone constants'!$A$5:$D$10001,4,FALSE)</f>
        <v>The Rift</v>
      </c>
    </row>
    <row r="111" spans="1:14" x14ac:dyDescent="0.25">
      <c r="A111" s="90">
        <v>111</v>
      </c>
      <c r="B111">
        <v>12</v>
      </c>
      <c r="C111">
        <v>125</v>
      </c>
      <c r="D111" t="s">
        <v>2301</v>
      </c>
      <c r="E111">
        <v>16</v>
      </c>
      <c r="F111">
        <v>103</v>
      </c>
      <c r="G111" t="s">
        <v>2301</v>
      </c>
      <c r="H111">
        <v>1</v>
      </c>
      <c r="I111" t="s">
        <v>2852</v>
      </c>
      <c r="J111" s="30" t="str">
        <f t="shared" si="3"/>
        <v>[111]=103,</v>
      </c>
      <c r="K111" s="3">
        <f t="shared" si="4"/>
        <v>111</v>
      </c>
      <c r="L111" s="3">
        <f t="shared" si="5"/>
        <v>103</v>
      </c>
      <c r="M111" s="8" t="str">
        <f>VLOOKUP(A111,'ESO wayshrine names'!$A$3:$B$5104,2,)</f>
        <v>Trolhetta Wayshrine</v>
      </c>
      <c r="N111" s="3" t="str">
        <f>VLOOKUP(F111,'ESO zone constants'!$A$5:$D$10001,4,FALSE)</f>
        <v>The Rift</v>
      </c>
    </row>
    <row r="112" spans="1:14" x14ac:dyDescent="0.25">
      <c r="A112" s="90">
        <v>112</v>
      </c>
      <c r="B112">
        <v>12</v>
      </c>
      <c r="C112">
        <v>125</v>
      </c>
      <c r="D112" t="s">
        <v>2301</v>
      </c>
      <c r="E112">
        <v>16</v>
      </c>
      <c r="F112">
        <v>103</v>
      </c>
      <c r="G112" t="s">
        <v>2301</v>
      </c>
      <c r="H112">
        <v>1</v>
      </c>
      <c r="I112" t="s">
        <v>2853</v>
      </c>
      <c r="J112" s="30" t="str">
        <f t="shared" si="3"/>
        <v>[112]=103,</v>
      </c>
      <c r="K112" s="3">
        <f t="shared" si="4"/>
        <v>112</v>
      </c>
      <c r="L112" s="3">
        <f t="shared" si="5"/>
        <v>103</v>
      </c>
      <c r="M112" s="8" t="str">
        <f>VLOOKUP(A112,'ESO wayshrine names'!$A$3:$B$5104,2,)</f>
        <v>Trolhetta Summit Wayshrine</v>
      </c>
      <c r="N112" s="3" t="str">
        <f>VLOOKUP(F112,'ESO zone constants'!$A$5:$D$10001,4,FALSE)</f>
        <v>The Rift</v>
      </c>
    </row>
    <row r="113" spans="1:14" x14ac:dyDescent="0.25">
      <c r="A113" s="90">
        <v>113</v>
      </c>
      <c r="B113">
        <v>12</v>
      </c>
      <c r="C113">
        <v>125</v>
      </c>
      <c r="D113" t="s">
        <v>2301</v>
      </c>
      <c r="E113">
        <v>16</v>
      </c>
      <c r="F113">
        <v>103</v>
      </c>
      <c r="G113" t="s">
        <v>2301</v>
      </c>
      <c r="H113">
        <v>1</v>
      </c>
      <c r="I113" t="s">
        <v>2854</v>
      </c>
      <c r="J113" s="30" t="str">
        <f t="shared" si="3"/>
        <v>[113]=103,</v>
      </c>
      <c r="K113" s="3">
        <f t="shared" si="4"/>
        <v>113</v>
      </c>
      <c r="L113" s="3">
        <f t="shared" si="5"/>
        <v>103</v>
      </c>
      <c r="M113" s="8" t="str">
        <f>VLOOKUP(A113,'ESO wayshrine names'!$A$3:$B$5104,2,)</f>
        <v>Honrich Tower Wayshrine</v>
      </c>
      <c r="N113" s="3" t="str">
        <f>VLOOKUP(F113,'ESO zone constants'!$A$5:$D$10001,4,FALSE)</f>
        <v>The Rift</v>
      </c>
    </row>
    <row r="114" spans="1:14" x14ac:dyDescent="0.25">
      <c r="A114" s="90">
        <v>114</v>
      </c>
      <c r="B114">
        <v>12</v>
      </c>
      <c r="C114">
        <v>125</v>
      </c>
      <c r="D114" t="s">
        <v>2301</v>
      </c>
      <c r="E114">
        <v>16</v>
      </c>
      <c r="F114">
        <v>103</v>
      </c>
      <c r="G114" t="s">
        <v>2301</v>
      </c>
      <c r="H114">
        <v>1</v>
      </c>
      <c r="I114" t="s">
        <v>2855</v>
      </c>
      <c r="J114" s="30" t="str">
        <f t="shared" si="3"/>
        <v>[114]=103,</v>
      </c>
      <c r="K114" s="3">
        <f t="shared" si="4"/>
        <v>114</v>
      </c>
      <c r="L114" s="3">
        <f t="shared" si="5"/>
        <v>103</v>
      </c>
      <c r="M114" s="8" t="str">
        <f>VLOOKUP(A114,'ESO wayshrine names'!$A$3:$B$5104,2,)</f>
        <v>Fallowstone Hall Wayshrine</v>
      </c>
      <c r="N114" s="3" t="str">
        <f>VLOOKUP(F114,'ESO zone constants'!$A$5:$D$10001,4,FALSE)</f>
        <v>The Rift</v>
      </c>
    </row>
    <row r="115" spans="1:14" x14ac:dyDescent="0.25">
      <c r="A115" s="90">
        <v>115</v>
      </c>
      <c r="B115">
        <v>12</v>
      </c>
      <c r="C115">
        <v>125</v>
      </c>
      <c r="D115" t="s">
        <v>2301</v>
      </c>
      <c r="E115">
        <v>16</v>
      </c>
      <c r="F115">
        <v>103</v>
      </c>
      <c r="G115" t="s">
        <v>2301</v>
      </c>
      <c r="H115">
        <v>1</v>
      </c>
      <c r="I115" t="s">
        <v>2856</v>
      </c>
      <c r="J115" s="30" t="str">
        <f t="shared" si="3"/>
        <v>[115]=103,</v>
      </c>
      <c r="K115" s="3">
        <f t="shared" si="4"/>
        <v>115</v>
      </c>
      <c r="L115" s="3">
        <f t="shared" si="5"/>
        <v>103</v>
      </c>
      <c r="M115" s="8" t="str">
        <f>VLOOKUP(A115,'ESO wayshrine names'!$A$3:$B$5104,2,)</f>
        <v>Northwind Mine Wayshrine</v>
      </c>
      <c r="N115" s="3" t="str">
        <f>VLOOKUP(F115,'ESO zone constants'!$A$5:$D$10001,4,FALSE)</f>
        <v>The Rift</v>
      </c>
    </row>
    <row r="116" spans="1:14" x14ac:dyDescent="0.25">
      <c r="A116" s="90">
        <v>116</v>
      </c>
      <c r="B116">
        <v>12</v>
      </c>
      <c r="C116">
        <v>125</v>
      </c>
      <c r="D116" t="s">
        <v>2301</v>
      </c>
      <c r="E116">
        <v>16</v>
      </c>
      <c r="F116">
        <v>103</v>
      </c>
      <c r="G116" t="s">
        <v>2301</v>
      </c>
      <c r="H116">
        <v>1</v>
      </c>
      <c r="I116" t="s">
        <v>2857</v>
      </c>
      <c r="J116" s="30" t="str">
        <f t="shared" si="3"/>
        <v>[116]=103,</v>
      </c>
      <c r="K116" s="3">
        <f t="shared" si="4"/>
        <v>116</v>
      </c>
      <c r="L116" s="3">
        <f t="shared" si="5"/>
        <v>103</v>
      </c>
      <c r="M116" s="8" t="str">
        <f>VLOOKUP(A116,'ESO wayshrine names'!$A$3:$B$5104,2,)</f>
        <v>Geirmund's Hall Wayshrine</v>
      </c>
      <c r="N116" s="3" t="str">
        <f>VLOOKUP(F116,'ESO zone constants'!$A$5:$D$10001,4,FALSE)</f>
        <v>The Rift</v>
      </c>
    </row>
    <row r="117" spans="1:14" x14ac:dyDescent="0.25">
      <c r="A117" s="90">
        <v>117</v>
      </c>
      <c r="B117">
        <v>12</v>
      </c>
      <c r="C117">
        <v>125</v>
      </c>
      <c r="D117" t="s">
        <v>2301</v>
      </c>
      <c r="E117">
        <v>16</v>
      </c>
      <c r="F117">
        <v>103</v>
      </c>
      <c r="G117" t="s">
        <v>2301</v>
      </c>
      <c r="H117">
        <v>1</v>
      </c>
      <c r="I117" t="s">
        <v>2858</v>
      </c>
      <c r="J117" s="30" t="str">
        <f t="shared" si="3"/>
        <v>[117]=103,</v>
      </c>
      <c r="K117" s="3">
        <f t="shared" si="4"/>
        <v>117</v>
      </c>
      <c r="L117" s="3">
        <f t="shared" si="5"/>
        <v>103</v>
      </c>
      <c r="M117" s="8" t="str">
        <f>VLOOKUP(A117,'ESO wayshrine names'!$A$3:$B$5104,2,)</f>
        <v>Taarengrav Wayshrine</v>
      </c>
      <c r="N117" s="3" t="str">
        <f>VLOOKUP(F117,'ESO zone constants'!$A$5:$D$10001,4,FALSE)</f>
        <v>The Rift</v>
      </c>
    </row>
    <row r="118" spans="1:14" x14ac:dyDescent="0.25">
      <c r="A118" s="90">
        <v>118</v>
      </c>
      <c r="B118">
        <v>12</v>
      </c>
      <c r="C118">
        <v>125</v>
      </c>
      <c r="D118" t="s">
        <v>2301</v>
      </c>
      <c r="E118">
        <v>16</v>
      </c>
      <c r="F118">
        <v>103</v>
      </c>
      <c r="G118" t="s">
        <v>2301</v>
      </c>
      <c r="H118">
        <v>1</v>
      </c>
      <c r="I118" t="s">
        <v>2859</v>
      </c>
      <c r="J118" s="30" t="str">
        <f t="shared" si="3"/>
        <v>[118]=103,</v>
      </c>
      <c r="K118" s="3">
        <f t="shared" si="4"/>
        <v>118</v>
      </c>
      <c r="L118" s="3">
        <f t="shared" si="5"/>
        <v>103</v>
      </c>
      <c r="M118" s="8" t="str">
        <f>VLOOKUP(A118,'ESO wayshrine names'!$A$3:$B$5104,2,)</f>
        <v>Nimalten Wayshrine</v>
      </c>
      <c r="N118" s="3" t="str">
        <f>VLOOKUP(F118,'ESO zone constants'!$A$5:$D$10001,4,FALSE)</f>
        <v>The Rift</v>
      </c>
    </row>
    <row r="119" spans="1:14" x14ac:dyDescent="0.25">
      <c r="A119" s="90">
        <v>119</v>
      </c>
      <c r="B119">
        <v>12</v>
      </c>
      <c r="C119">
        <v>125</v>
      </c>
      <c r="D119" t="s">
        <v>2301</v>
      </c>
      <c r="E119">
        <v>16</v>
      </c>
      <c r="F119">
        <v>103</v>
      </c>
      <c r="G119" t="s">
        <v>2301</v>
      </c>
      <c r="H119">
        <v>1</v>
      </c>
      <c r="I119" t="s">
        <v>2860</v>
      </c>
      <c r="J119" s="30" t="str">
        <f t="shared" si="3"/>
        <v>[119]=103,</v>
      </c>
      <c r="K119" s="3">
        <f t="shared" si="4"/>
        <v>119</v>
      </c>
      <c r="L119" s="3">
        <f t="shared" si="5"/>
        <v>103</v>
      </c>
      <c r="M119" s="8" t="str">
        <f>VLOOKUP(A119,'ESO wayshrine names'!$A$3:$B$5104,2,)</f>
        <v>Ragged Hills Wayshrine</v>
      </c>
      <c r="N119" s="3" t="str">
        <f>VLOOKUP(F119,'ESO zone constants'!$A$5:$D$10001,4,FALSE)</f>
        <v>The Rift</v>
      </c>
    </row>
    <row r="120" spans="1:14" x14ac:dyDescent="0.25">
      <c r="A120" s="90">
        <v>120</v>
      </c>
      <c r="B120">
        <v>12</v>
      </c>
      <c r="C120">
        <v>125</v>
      </c>
      <c r="D120" t="s">
        <v>2301</v>
      </c>
      <c r="E120">
        <v>16</v>
      </c>
      <c r="F120">
        <v>103</v>
      </c>
      <c r="G120" t="s">
        <v>2301</v>
      </c>
      <c r="H120">
        <v>1</v>
      </c>
      <c r="I120" t="s">
        <v>2861</v>
      </c>
      <c r="J120" s="30" t="str">
        <f t="shared" si="3"/>
        <v>[120]=103,</v>
      </c>
      <c r="K120" s="3">
        <f t="shared" si="4"/>
        <v>120</v>
      </c>
      <c r="L120" s="3">
        <f t="shared" si="5"/>
        <v>103</v>
      </c>
      <c r="M120" s="8" t="str">
        <f>VLOOKUP(A120,'ESO wayshrine names'!$A$3:$B$5104,2,)</f>
        <v>Fullhelm Fort Wayshrine</v>
      </c>
      <c r="N120" s="3" t="str">
        <f>VLOOKUP(F120,'ESO zone constants'!$A$5:$D$10001,4,FALSE)</f>
        <v>The Rift</v>
      </c>
    </row>
    <row r="121" spans="1:14" x14ac:dyDescent="0.25">
      <c r="A121" s="90">
        <v>121</v>
      </c>
      <c r="B121">
        <v>15</v>
      </c>
      <c r="C121">
        <v>143</v>
      </c>
      <c r="D121" t="s">
        <v>262</v>
      </c>
      <c r="E121">
        <v>179</v>
      </c>
      <c r="F121">
        <v>381</v>
      </c>
      <c r="G121" t="s">
        <v>262</v>
      </c>
      <c r="H121">
        <v>1</v>
      </c>
      <c r="I121" t="s">
        <v>2862</v>
      </c>
      <c r="J121" s="30" t="str">
        <f t="shared" si="3"/>
        <v>[121]=381,</v>
      </c>
      <c r="K121" s="3">
        <f t="shared" si="4"/>
        <v>121</v>
      </c>
      <c r="L121" s="3">
        <f t="shared" si="5"/>
        <v>381</v>
      </c>
      <c r="M121" s="8" t="str">
        <f>VLOOKUP(A121,'ESO wayshrine names'!$A$3:$B$5104,2,)</f>
        <v>Skywatch Wayshrine</v>
      </c>
      <c r="N121" s="3" t="str">
        <f>VLOOKUP(F121,'ESO zone constants'!$A$5:$D$10001,4,FALSE)</f>
        <v>Auridon</v>
      </c>
    </row>
    <row r="122" spans="1:14" x14ac:dyDescent="0.25">
      <c r="A122" s="90">
        <v>122</v>
      </c>
      <c r="B122">
        <v>15</v>
      </c>
      <c r="C122">
        <v>143</v>
      </c>
      <c r="D122" t="s">
        <v>262</v>
      </c>
      <c r="E122">
        <v>179</v>
      </c>
      <c r="F122">
        <v>381</v>
      </c>
      <c r="G122" t="s">
        <v>262</v>
      </c>
      <c r="H122">
        <v>1</v>
      </c>
      <c r="I122" t="s">
        <v>2863</v>
      </c>
      <c r="J122" s="30" t="str">
        <f t="shared" si="3"/>
        <v>[122]=381,</v>
      </c>
      <c r="K122" s="3">
        <f t="shared" si="4"/>
        <v>122</v>
      </c>
      <c r="L122" s="3">
        <f t="shared" si="5"/>
        <v>381</v>
      </c>
      <c r="M122" s="8" t="str">
        <f>VLOOKUP(A122,'ESO wayshrine names'!$A$3:$B$5104,2,)</f>
        <v>Quendeluun Wayshrine</v>
      </c>
      <c r="N122" s="3" t="str">
        <f>VLOOKUP(F122,'ESO zone constants'!$A$5:$D$10001,4,FALSE)</f>
        <v>Auridon</v>
      </c>
    </row>
    <row r="123" spans="1:14" x14ac:dyDescent="0.25">
      <c r="A123" s="90">
        <v>123</v>
      </c>
      <c r="B123">
        <v>15</v>
      </c>
      <c r="C123">
        <v>143</v>
      </c>
      <c r="D123" t="s">
        <v>262</v>
      </c>
      <c r="E123">
        <v>179</v>
      </c>
      <c r="F123">
        <v>381</v>
      </c>
      <c r="G123" t="s">
        <v>262</v>
      </c>
      <c r="H123">
        <v>1</v>
      </c>
      <c r="I123" t="s">
        <v>2864</v>
      </c>
      <c r="J123" s="30" t="str">
        <f t="shared" si="3"/>
        <v>[123]=381,</v>
      </c>
      <c r="K123" s="3">
        <f t="shared" si="4"/>
        <v>123</v>
      </c>
      <c r="L123" s="3">
        <f t="shared" si="5"/>
        <v>381</v>
      </c>
      <c r="M123" s="8" t="str">
        <f>VLOOKUP(A123,'ESO wayshrine names'!$A$3:$B$5104,2,)</f>
        <v>College Wayshrine</v>
      </c>
      <c r="N123" s="3" t="str">
        <f>VLOOKUP(F123,'ESO zone constants'!$A$5:$D$10001,4,FALSE)</f>
        <v>Auridon</v>
      </c>
    </row>
    <row r="124" spans="1:14" x14ac:dyDescent="0.25">
      <c r="A124" s="90">
        <v>124</v>
      </c>
      <c r="B124">
        <v>15</v>
      </c>
      <c r="C124">
        <v>143</v>
      </c>
      <c r="D124" t="s">
        <v>262</v>
      </c>
      <c r="E124">
        <v>179</v>
      </c>
      <c r="F124">
        <v>381</v>
      </c>
      <c r="G124" t="s">
        <v>262</v>
      </c>
      <c r="H124">
        <v>1</v>
      </c>
      <c r="I124" t="s">
        <v>2865</v>
      </c>
      <c r="J124" s="30" t="str">
        <f t="shared" si="3"/>
        <v>[124]=381,</v>
      </c>
      <c r="K124" s="3">
        <f t="shared" si="4"/>
        <v>124</v>
      </c>
      <c r="L124" s="3">
        <f t="shared" si="5"/>
        <v>381</v>
      </c>
      <c r="M124" s="8" t="str">
        <f>VLOOKUP(A124,'ESO wayshrine names'!$A$3:$B$5104,2,)</f>
        <v>Greenwater Wayshrine</v>
      </c>
      <c r="N124" s="3" t="str">
        <f>VLOOKUP(F124,'ESO zone constants'!$A$5:$D$10001,4,FALSE)</f>
        <v>Auridon</v>
      </c>
    </row>
    <row r="125" spans="1:14" x14ac:dyDescent="0.25">
      <c r="A125" s="90">
        <v>125</v>
      </c>
      <c r="B125">
        <v>18</v>
      </c>
      <c r="C125">
        <v>75</v>
      </c>
      <c r="D125" t="s">
        <v>197</v>
      </c>
      <c r="E125">
        <v>111</v>
      </c>
      <c r="F125">
        <v>281</v>
      </c>
      <c r="G125" t="s">
        <v>197</v>
      </c>
      <c r="H125">
        <v>1</v>
      </c>
      <c r="I125" t="s">
        <v>2866</v>
      </c>
      <c r="J125" s="30" t="str">
        <f t="shared" si="3"/>
        <v>[125]=281,</v>
      </c>
      <c r="K125" s="3">
        <f t="shared" si="4"/>
        <v>125</v>
      </c>
      <c r="L125" s="3">
        <f t="shared" si="5"/>
        <v>281</v>
      </c>
      <c r="M125" s="8" t="str">
        <f>VLOOKUP(A125,'ESO wayshrine names'!$A$3:$B$5104,2,)</f>
        <v>Fort Zeren Wayshrine</v>
      </c>
      <c r="N125" s="3" t="str">
        <f>VLOOKUP(F125,'ESO zone constants'!$A$5:$D$10001,4,FALSE)</f>
        <v>Bal Foyen</v>
      </c>
    </row>
    <row r="126" spans="1:14" x14ac:dyDescent="0.25">
      <c r="A126" s="90">
        <v>126</v>
      </c>
      <c r="B126">
        <v>18</v>
      </c>
      <c r="C126">
        <v>75</v>
      </c>
      <c r="D126" t="s">
        <v>197</v>
      </c>
      <c r="E126">
        <v>111</v>
      </c>
      <c r="F126">
        <v>281</v>
      </c>
      <c r="G126" t="s">
        <v>197</v>
      </c>
      <c r="H126">
        <v>1</v>
      </c>
      <c r="I126" t="s">
        <v>2867</v>
      </c>
      <c r="J126" s="30" t="str">
        <f t="shared" si="3"/>
        <v>[126]=281,</v>
      </c>
      <c r="K126" s="3">
        <f t="shared" si="4"/>
        <v>126</v>
      </c>
      <c r="L126" s="3">
        <f t="shared" si="5"/>
        <v>281</v>
      </c>
      <c r="M126" s="8" t="str">
        <f>VLOOKUP(A126,'ESO wayshrine names'!$A$3:$B$5104,2,)</f>
        <v>Foyen Docks Wayshrine</v>
      </c>
      <c r="N126" s="3" t="str">
        <f>VLOOKUP(F126,'ESO zone constants'!$A$5:$D$10001,4,FALSE)</f>
        <v>Bal Foyen</v>
      </c>
    </row>
    <row r="127" spans="1:14" x14ac:dyDescent="0.25">
      <c r="A127" s="90">
        <v>127</v>
      </c>
      <c r="B127">
        <v>15</v>
      </c>
      <c r="C127">
        <v>143</v>
      </c>
      <c r="D127" t="s">
        <v>262</v>
      </c>
      <c r="E127">
        <v>179</v>
      </c>
      <c r="F127">
        <v>381</v>
      </c>
      <c r="G127" t="s">
        <v>262</v>
      </c>
      <c r="H127">
        <v>1</v>
      </c>
      <c r="I127" t="s">
        <v>2868</v>
      </c>
      <c r="J127" s="30" t="str">
        <f t="shared" si="3"/>
        <v>[127]=381,</v>
      </c>
      <c r="K127" s="3">
        <f t="shared" si="4"/>
        <v>127</v>
      </c>
      <c r="L127" s="3">
        <f t="shared" si="5"/>
        <v>381</v>
      </c>
      <c r="M127" s="8" t="str">
        <f>VLOOKUP(A127,'ESO wayshrine names'!$A$3:$B$5104,2,)</f>
        <v>Windy Glade Wayshrine</v>
      </c>
      <c r="N127" s="3" t="str">
        <f>VLOOKUP(F127,'ESO zone constants'!$A$5:$D$10001,4,FALSE)</f>
        <v>Auridon</v>
      </c>
    </row>
    <row r="128" spans="1:14" x14ac:dyDescent="0.25">
      <c r="A128" s="90">
        <v>128</v>
      </c>
      <c r="B128">
        <v>23</v>
      </c>
      <c r="C128">
        <v>255</v>
      </c>
      <c r="D128" t="s">
        <v>2359</v>
      </c>
      <c r="E128">
        <v>155</v>
      </c>
      <c r="F128">
        <v>347</v>
      </c>
      <c r="G128" t="s">
        <v>2359</v>
      </c>
      <c r="H128">
        <v>1</v>
      </c>
      <c r="I128" t="s">
        <v>2869</v>
      </c>
      <c r="J128" s="30" t="str">
        <f t="shared" si="3"/>
        <v>[128]=347,</v>
      </c>
      <c r="K128" s="3">
        <f t="shared" si="4"/>
        <v>128</v>
      </c>
      <c r="L128" s="3">
        <f t="shared" si="5"/>
        <v>347</v>
      </c>
      <c r="M128" s="8" t="str">
        <f>VLOOKUP(A128,'ESO wayshrine names'!$A$3:$B$5104,2,)</f>
        <v>Library of Dusk Wayshrine</v>
      </c>
      <c r="N128" s="3" t="str">
        <f>VLOOKUP(F128,'ESO zone constants'!$A$5:$D$10001,4,FALSE)</f>
        <v>Coldharbour</v>
      </c>
    </row>
    <row r="129" spans="1:14" x14ac:dyDescent="0.25">
      <c r="A129" s="90">
        <v>129</v>
      </c>
      <c r="B129">
        <v>23</v>
      </c>
      <c r="C129">
        <v>255</v>
      </c>
      <c r="D129" t="s">
        <v>2359</v>
      </c>
      <c r="E129">
        <v>155</v>
      </c>
      <c r="F129">
        <v>347</v>
      </c>
      <c r="G129" t="s">
        <v>2359</v>
      </c>
      <c r="H129">
        <v>1</v>
      </c>
      <c r="I129" t="s">
        <v>2870</v>
      </c>
      <c r="J129" s="30" t="str">
        <f t="shared" si="3"/>
        <v>[129]=347,</v>
      </c>
      <c r="K129" s="3">
        <f t="shared" si="4"/>
        <v>129</v>
      </c>
      <c r="L129" s="3">
        <f t="shared" si="5"/>
        <v>347</v>
      </c>
      <c r="M129" s="8" t="str">
        <f>VLOOKUP(A129,'ESO wayshrine names'!$A$3:$B$5104,2,)</f>
        <v>Great Shackle Wayshrine</v>
      </c>
      <c r="N129" s="3" t="str">
        <f>VLOOKUP(F129,'ESO zone constants'!$A$5:$D$10001,4,FALSE)</f>
        <v>Coldharbour</v>
      </c>
    </row>
    <row r="130" spans="1:14" x14ac:dyDescent="0.25">
      <c r="A130" s="90">
        <v>130</v>
      </c>
      <c r="B130">
        <v>23</v>
      </c>
      <c r="C130">
        <v>255</v>
      </c>
      <c r="D130" t="s">
        <v>2359</v>
      </c>
      <c r="E130">
        <v>155</v>
      </c>
      <c r="F130">
        <v>347</v>
      </c>
      <c r="G130" t="s">
        <v>2359</v>
      </c>
      <c r="H130">
        <v>1</v>
      </c>
      <c r="I130" t="s">
        <v>2871</v>
      </c>
      <c r="J130" s="30" t="str">
        <f t="shared" si="3"/>
        <v>[130]=347,</v>
      </c>
      <c r="K130" s="3">
        <f t="shared" si="4"/>
        <v>130</v>
      </c>
      <c r="L130" s="3">
        <f t="shared" si="5"/>
        <v>347</v>
      </c>
      <c r="M130" s="8" t="str">
        <f>VLOOKUP(A130,'ESO wayshrine names'!$A$3:$B$5104,2,)</f>
        <v>The Chasm Wayshrine</v>
      </c>
      <c r="N130" s="3" t="str">
        <f>VLOOKUP(F130,'ESO zone constants'!$A$5:$D$10001,4,FALSE)</f>
        <v>Coldharbour</v>
      </c>
    </row>
    <row r="131" spans="1:14" x14ac:dyDescent="0.25">
      <c r="A131" s="90">
        <v>131</v>
      </c>
      <c r="B131">
        <v>23</v>
      </c>
      <c r="C131">
        <v>255</v>
      </c>
      <c r="D131" t="s">
        <v>2359</v>
      </c>
      <c r="E131">
        <v>155</v>
      </c>
      <c r="F131">
        <v>347</v>
      </c>
      <c r="G131" t="s">
        <v>2359</v>
      </c>
      <c r="H131">
        <v>1</v>
      </c>
      <c r="I131" t="s">
        <v>2872</v>
      </c>
      <c r="J131" s="30" t="str">
        <f t="shared" ref="J131:J194" si="6">IF(A131&lt;&gt;"",IF(F131&lt;&gt;"",IF(OR(ISNA(A131),ISNA(F131)),"","["&amp;A131&amp;"]="&amp;F131&amp;","),""),"")</f>
        <v>[131]=347,</v>
      </c>
      <c r="K131" s="3">
        <f t="shared" ref="K131:K194" si="7">A131</f>
        <v>131</v>
      </c>
      <c r="L131" s="3">
        <f t="shared" ref="L131:L194" si="8">F131</f>
        <v>347</v>
      </c>
      <c r="M131" s="8" t="str">
        <f>VLOOKUP(A131,'ESO wayshrine names'!$A$3:$B$5104,2,)</f>
        <v>Hollow City Wayshrine</v>
      </c>
      <c r="N131" s="3" t="str">
        <f>VLOOKUP(F131,'ESO zone constants'!$A$5:$D$10001,4,FALSE)</f>
        <v>Coldharbour</v>
      </c>
    </row>
    <row r="132" spans="1:14" x14ac:dyDescent="0.25">
      <c r="A132" s="90">
        <v>132</v>
      </c>
      <c r="B132">
        <v>23</v>
      </c>
      <c r="C132">
        <v>255</v>
      </c>
      <c r="D132" t="s">
        <v>2359</v>
      </c>
      <c r="E132">
        <v>155</v>
      </c>
      <c r="F132">
        <v>347</v>
      </c>
      <c r="G132" t="s">
        <v>2359</v>
      </c>
      <c r="H132">
        <v>1</v>
      </c>
      <c r="I132" t="s">
        <v>2873</v>
      </c>
      <c r="J132" s="30" t="str">
        <f t="shared" si="6"/>
        <v>[132]=347,</v>
      </c>
      <c r="K132" s="3">
        <f t="shared" si="7"/>
        <v>132</v>
      </c>
      <c r="L132" s="3">
        <f t="shared" si="8"/>
        <v>347</v>
      </c>
      <c r="M132" s="8" t="str">
        <f>VLOOKUP(A132,'ESO wayshrine names'!$A$3:$B$5104,2,)</f>
        <v>Endless Stair Wayshrine</v>
      </c>
      <c r="N132" s="3" t="str">
        <f>VLOOKUP(F132,'ESO zone constants'!$A$5:$D$10001,4,FALSE)</f>
        <v>Coldharbour</v>
      </c>
    </row>
    <row r="133" spans="1:14" x14ac:dyDescent="0.25">
      <c r="A133" s="90">
        <v>133</v>
      </c>
      <c r="B133">
        <v>23</v>
      </c>
      <c r="C133">
        <v>255</v>
      </c>
      <c r="D133" t="s">
        <v>2359</v>
      </c>
      <c r="E133">
        <v>155</v>
      </c>
      <c r="F133">
        <v>347</v>
      </c>
      <c r="G133" t="s">
        <v>2359</v>
      </c>
      <c r="H133">
        <v>1</v>
      </c>
      <c r="I133" t="s">
        <v>2874</v>
      </c>
      <c r="J133" s="30" t="str">
        <f t="shared" si="6"/>
        <v>[133]=347,</v>
      </c>
      <c r="K133" s="3">
        <f t="shared" si="7"/>
        <v>133</v>
      </c>
      <c r="L133" s="3">
        <f t="shared" si="8"/>
        <v>347</v>
      </c>
      <c r="M133" s="8" t="str">
        <f>VLOOKUP(A133,'ESO wayshrine names'!$A$3:$B$5104,2,)</f>
        <v>Everfull Flagon Wayshrine</v>
      </c>
      <c r="N133" s="3" t="str">
        <f>VLOOKUP(F133,'ESO zone constants'!$A$5:$D$10001,4,FALSE)</f>
        <v>Coldharbour</v>
      </c>
    </row>
    <row r="134" spans="1:14" x14ac:dyDescent="0.25">
      <c r="A134" s="90">
        <v>134</v>
      </c>
      <c r="B134">
        <v>23</v>
      </c>
      <c r="C134">
        <v>255</v>
      </c>
      <c r="D134" t="s">
        <v>2359</v>
      </c>
      <c r="E134">
        <v>155</v>
      </c>
      <c r="F134">
        <v>347</v>
      </c>
      <c r="G134" t="s">
        <v>2359</v>
      </c>
      <c r="H134">
        <v>1</v>
      </c>
      <c r="I134" t="s">
        <v>2875</v>
      </c>
      <c r="J134" s="30" t="str">
        <f t="shared" si="6"/>
        <v>[134]=347,</v>
      </c>
      <c r="K134" s="3">
        <f t="shared" si="7"/>
        <v>134</v>
      </c>
      <c r="L134" s="3">
        <f t="shared" si="8"/>
        <v>347</v>
      </c>
      <c r="M134" s="8" t="str">
        <f>VLOOKUP(A134,'ESO wayshrine names'!$A$3:$B$5104,2,)</f>
        <v>Moonless Walk Wayshrine</v>
      </c>
      <c r="N134" s="3" t="str">
        <f>VLOOKUP(F134,'ESO zone constants'!$A$5:$D$10001,4,FALSE)</f>
        <v>Coldharbour</v>
      </c>
    </row>
    <row r="135" spans="1:14" x14ac:dyDescent="0.25">
      <c r="A135" s="90">
        <v>135</v>
      </c>
      <c r="B135">
        <v>23</v>
      </c>
      <c r="C135">
        <v>255</v>
      </c>
      <c r="D135" t="s">
        <v>2359</v>
      </c>
      <c r="E135">
        <v>155</v>
      </c>
      <c r="F135">
        <v>347</v>
      </c>
      <c r="G135" t="s">
        <v>2359</v>
      </c>
      <c r="H135">
        <v>1</v>
      </c>
      <c r="I135" t="s">
        <v>2876</v>
      </c>
      <c r="J135" s="30" t="str">
        <f t="shared" si="6"/>
        <v>[135]=347,</v>
      </c>
      <c r="K135" s="3">
        <f t="shared" si="7"/>
        <v>135</v>
      </c>
      <c r="L135" s="3">
        <f t="shared" si="8"/>
        <v>347</v>
      </c>
      <c r="M135" s="8" t="str">
        <f>VLOOKUP(A135,'ESO wayshrine names'!$A$3:$B$5104,2,)</f>
        <v>Haj Uxith Wayshrine</v>
      </c>
      <c r="N135" s="3" t="str">
        <f>VLOOKUP(F135,'ESO zone constants'!$A$5:$D$10001,4,FALSE)</f>
        <v>Coldharbour</v>
      </c>
    </row>
    <row r="136" spans="1:14" x14ac:dyDescent="0.25">
      <c r="A136" s="90">
        <v>136</v>
      </c>
      <c r="B136">
        <v>23</v>
      </c>
      <c r="C136">
        <v>255</v>
      </c>
      <c r="D136" t="s">
        <v>2359</v>
      </c>
      <c r="E136">
        <v>155</v>
      </c>
      <c r="F136">
        <v>347</v>
      </c>
      <c r="G136" t="s">
        <v>2359</v>
      </c>
      <c r="H136">
        <v>1</v>
      </c>
      <c r="I136" t="s">
        <v>2877</v>
      </c>
      <c r="J136" s="30" t="str">
        <f t="shared" si="6"/>
        <v>[136]=347,</v>
      </c>
      <c r="K136" s="3">
        <f t="shared" si="7"/>
        <v>136</v>
      </c>
      <c r="L136" s="3">
        <f t="shared" si="8"/>
        <v>347</v>
      </c>
      <c r="M136" s="8" t="str">
        <f>VLOOKUP(A136,'ESO wayshrine names'!$A$3:$B$5104,2,)</f>
        <v>Manor of Revelry Wayshrine</v>
      </c>
      <c r="N136" s="3" t="str">
        <f>VLOOKUP(F136,'ESO zone constants'!$A$5:$D$10001,4,FALSE)</f>
        <v>Coldharbour</v>
      </c>
    </row>
    <row r="137" spans="1:14" x14ac:dyDescent="0.25">
      <c r="A137" s="90">
        <v>137</v>
      </c>
      <c r="B137">
        <v>5</v>
      </c>
      <c r="C137">
        <v>30</v>
      </c>
      <c r="D137" t="s">
        <v>3177</v>
      </c>
      <c r="E137">
        <v>17</v>
      </c>
      <c r="F137">
        <v>104</v>
      </c>
      <c r="G137" t="s">
        <v>2297</v>
      </c>
      <c r="H137">
        <v>1</v>
      </c>
      <c r="I137" t="s">
        <v>2878</v>
      </c>
      <c r="J137" s="30" t="str">
        <f t="shared" si="6"/>
        <v>[137]=104,</v>
      </c>
      <c r="K137" s="3">
        <f t="shared" si="7"/>
        <v>137</v>
      </c>
      <c r="L137" s="3">
        <f t="shared" si="8"/>
        <v>104</v>
      </c>
      <c r="M137" s="8" t="str">
        <f>VLOOKUP(A137,'ESO wayshrine names'!$A$3:$B$5104,2,)</f>
        <v>Sep's Spine Wayshrine</v>
      </c>
      <c r="N137" s="3" t="str">
        <f>VLOOKUP(F137,'ESO zone constants'!$A$5:$D$10001,4,FALSE)</f>
        <v>Alik'r Desert</v>
      </c>
    </row>
    <row r="138" spans="1:14" x14ac:dyDescent="0.25">
      <c r="A138" s="90">
        <v>138</v>
      </c>
      <c r="B138">
        <v>19</v>
      </c>
      <c r="C138">
        <v>201</v>
      </c>
      <c r="D138" t="s">
        <v>382</v>
      </c>
      <c r="E138">
        <v>305</v>
      </c>
      <c r="F138">
        <v>534</v>
      </c>
      <c r="G138" t="s">
        <v>382</v>
      </c>
      <c r="H138">
        <v>1</v>
      </c>
      <c r="I138" t="s">
        <v>2879</v>
      </c>
      <c r="J138" s="30" t="str">
        <f t="shared" si="6"/>
        <v>[138]=534,</v>
      </c>
      <c r="K138" s="3">
        <f t="shared" si="7"/>
        <v>138</v>
      </c>
      <c r="L138" s="3">
        <f t="shared" si="8"/>
        <v>534</v>
      </c>
      <c r="M138" s="8" t="str">
        <f>VLOOKUP(A138,'ESO wayshrine names'!$A$3:$B$5104,2,)</f>
        <v>Port Hunding Wayshrine</v>
      </c>
      <c r="N138" s="3" t="str">
        <f>VLOOKUP(F138,'ESO zone constants'!$A$5:$D$10001,4,FALSE)</f>
        <v>Stros M'Kai</v>
      </c>
    </row>
    <row r="139" spans="1:14" x14ac:dyDescent="0.25">
      <c r="A139" s="90">
        <v>139</v>
      </c>
      <c r="B139">
        <v>23</v>
      </c>
      <c r="C139">
        <v>255</v>
      </c>
      <c r="D139" t="s">
        <v>2359</v>
      </c>
      <c r="E139">
        <v>155</v>
      </c>
      <c r="F139">
        <v>347</v>
      </c>
      <c r="G139" t="s">
        <v>2359</v>
      </c>
      <c r="H139">
        <v>1</v>
      </c>
      <c r="I139" t="s">
        <v>2880</v>
      </c>
      <c r="J139" s="30" t="str">
        <f t="shared" si="6"/>
        <v>[139]=347,</v>
      </c>
      <c r="K139" s="3">
        <f t="shared" si="7"/>
        <v>139</v>
      </c>
      <c r="L139" s="3">
        <f t="shared" si="8"/>
        <v>347</v>
      </c>
      <c r="M139" s="8" t="str">
        <f>VLOOKUP(A139,'ESO wayshrine names'!$A$3:$B$5104,2,)</f>
        <v>Reaver Citadel Wayshrine</v>
      </c>
      <c r="N139" s="3" t="str">
        <f>VLOOKUP(F139,'ESO zone constants'!$A$5:$D$10001,4,FALSE)</f>
        <v>Coldharbour</v>
      </c>
    </row>
    <row r="140" spans="1:14" x14ac:dyDescent="0.25">
      <c r="A140" s="90">
        <v>140</v>
      </c>
      <c r="B140">
        <v>23</v>
      </c>
      <c r="C140">
        <v>255</v>
      </c>
      <c r="D140" t="s">
        <v>2359</v>
      </c>
      <c r="E140">
        <v>155</v>
      </c>
      <c r="F140">
        <v>347</v>
      </c>
      <c r="G140" t="s">
        <v>2359</v>
      </c>
      <c r="H140">
        <v>1</v>
      </c>
      <c r="I140" t="s">
        <v>2881</v>
      </c>
      <c r="J140" s="30" t="str">
        <f t="shared" si="6"/>
        <v>[140]=347,</v>
      </c>
      <c r="K140" s="3">
        <f t="shared" si="7"/>
        <v>140</v>
      </c>
      <c r="L140" s="3">
        <f t="shared" si="8"/>
        <v>347</v>
      </c>
      <c r="M140" s="8" t="str">
        <f>VLOOKUP(A140,'ESO wayshrine names'!$A$3:$B$5104,2,)</f>
        <v>The Orchard Wayshrine</v>
      </c>
      <c r="N140" s="3" t="str">
        <f>VLOOKUP(F140,'ESO zone constants'!$A$5:$D$10001,4,FALSE)</f>
        <v>Coldharbour</v>
      </c>
    </row>
    <row r="141" spans="1:14" x14ac:dyDescent="0.25">
      <c r="A141" s="90">
        <v>141</v>
      </c>
      <c r="B141">
        <v>21</v>
      </c>
      <c r="C141">
        <v>258</v>
      </c>
      <c r="D141" t="s">
        <v>2882</v>
      </c>
      <c r="E141">
        <v>307</v>
      </c>
      <c r="F141">
        <v>537</v>
      </c>
      <c r="G141" t="s">
        <v>2882</v>
      </c>
      <c r="H141">
        <v>1</v>
      </c>
      <c r="I141" t="s">
        <v>2883</v>
      </c>
      <c r="J141" s="30" t="str">
        <f t="shared" si="6"/>
        <v>[141]=537,</v>
      </c>
      <c r="K141" s="3">
        <f t="shared" si="7"/>
        <v>141</v>
      </c>
      <c r="L141" s="3">
        <f t="shared" si="8"/>
        <v>537</v>
      </c>
      <c r="M141" s="8" t="str">
        <f>VLOOKUP(A141,'ESO wayshrine names'!$A$3:$B$5104,2,)</f>
        <v>Khenarthi's Roost Wayshrine</v>
      </c>
      <c r="N141" s="3" t="str">
        <f>VLOOKUP(F141,'ESO zone constants'!$A$5:$D$10001,4,FALSE)</f>
        <v>Khenarthi's Roost</v>
      </c>
    </row>
    <row r="142" spans="1:14" x14ac:dyDescent="0.25">
      <c r="A142" s="90">
        <v>142</v>
      </c>
      <c r="B142">
        <v>21</v>
      </c>
      <c r="C142">
        <v>258</v>
      </c>
      <c r="D142" t="s">
        <v>2882</v>
      </c>
      <c r="E142">
        <v>307</v>
      </c>
      <c r="F142">
        <v>537</v>
      </c>
      <c r="G142" t="s">
        <v>2882</v>
      </c>
      <c r="H142">
        <v>1</v>
      </c>
      <c r="I142" t="s">
        <v>2884</v>
      </c>
      <c r="J142" s="30" t="str">
        <f t="shared" si="6"/>
        <v>[142]=537,</v>
      </c>
      <c r="K142" s="3">
        <f t="shared" si="7"/>
        <v>142</v>
      </c>
      <c r="L142" s="3">
        <f t="shared" si="8"/>
        <v>537</v>
      </c>
      <c r="M142" s="8" t="str">
        <f>VLOOKUP(A142,'ESO wayshrine names'!$A$3:$B$5104,2,)</f>
        <v>Mistral Wayshrine</v>
      </c>
      <c r="N142" s="3" t="str">
        <f>VLOOKUP(F142,'ESO zone constants'!$A$5:$D$10001,4,FALSE)</f>
        <v>Khenarthi's Roost</v>
      </c>
    </row>
    <row r="143" spans="1:14" x14ac:dyDescent="0.25">
      <c r="A143" s="90">
        <v>143</v>
      </c>
      <c r="B143">
        <v>16</v>
      </c>
      <c r="C143">
        <v>300</v>
      </c>
      <c r="D143" t="s">
        <v>2284</v>
      </c>
      <c r="E143">
        <v>18</v>
      </c>
      <c r="F143">
        <v>108</v>
      </c>
      <c r="G143" t="s">
        <v>2284</v>
      </c>
      <c r="H143">
        <v>1</v>
      </c>
      <c r="I143" t="s">
        <v>2885</v>
      </c>
      <c r="J143" s="30" t="str">
        <f t="shared" si="6"/>
        <v>[143]=108,</v>
      </c>
      <c r="K143" s="3">
        <f t="shared" si="7"/>
        <v>143</v>
      </c>
      <c r="L143" s="3">
        <f t="shared" si="8"/>
        <v>108</v>
      </c>
      <c r="M143" s="8" t="str">
        <f>VLOOKUP(A143,'ESO wayshrine names'!$A$3:$B$5104,2,)</f>
        <v>Marbruk Wayshrine</v>
      </c>
      <c r="N143" s="3" t="str">
        <f>VLOOKUP(F143,'ESO zone constants'!$A$5:$D$10001,4,FALSE)</f>
        <v>Greenshade</v>
      </c>
    </row>
    <row r="144" spans="1:14" x14ac:dyDescent="0.25">
      <c r="A144" s="90">
        <v>144</v>
      </c>
      <c r="B144">
        <v>17</v>
      </c>
      <c r="C144">
        <v>256</v>
      </c>
      <c r="D144" t="s">
        <v>2285</v>
      </c>
      <c r="E144">
        <v>180</v>
      </c>
      <c r="F144">
        <v>382</v>
      </c>
      <c r="G144" t="s">
        <v>2285</v>
      </c>
      <c r="H144">
        <v>1</v>
      </c>
      <c r="I144" t="s">
        <v>2886</v>
      </c>
      <c r="J144" s="30" t="str">
        <f t="shared" si="6"/>
        <v>[144]=382,</v>
      </c>
      <c r="K144" s="3">
        <f t="shared" si="7"/>
        <v>144</v>
      </c>
      <c r="L144" s="3">
        <f t="shared" si="8"/>
        <v>382</v>
      </c>
      <c r="M144" s="8" t="str">
        <f>VLOOKUP(A144,'ESO wayshrine names'!$A$3:$B$5104,2,)</f>
        <v>Vinedusk Wayshrine</v>
      </c>
      <c r="N144" s="3" t="str">
        <f>VLOOKUP(F144,'ESO zone constants'!$A$5:$D$10001,4,FALSE)</f>
        <v>Reaper's March</v>
      </c>
    </row>
    <row r="145" spans="1:14" x14ac:dyDescent="0.25">
      <c r="A145" s="90">
        <v>145</v>
      </c>
      <c r="B145">
        <v>23</v>
      </c>
      <c r="C145">
        <v>255</v>
      </c>
      <c r="D145" t="s">
        <v>2359</v>
      </c>
      <c r="E145">
        <v>155</v>
      </c>
      <c r="F145">
        <v>347</v>
      </c>
      <c r="G145" t="s">
        <v>2359</v>
      </c>
      <c r="H145">
        <v>1</v>
      </c>
      <c r="I145" t="s">
        <v>2887</v>
      </c>
      <c r="J145" s="30" t="str">
        <f t="shared" si="6"/>
        <v>[145]=347,</v>
      </c>
      <c r="K145" s="3">
        <f t="shared" si="7"/>
        <v>145</v>
      </c>
      <c r="L145" s="3">
        <f t="shared" si="8"/>
        <v>347</v>
      </c>
      <c r="M145" s="8" t="str">
        <f>VLOOKUP(A145,'ESO wayshrine names'!$A$3:$B$5104,2,)</f>
        <v>Shrouded Plains Wayshrine</v>
      </c>
      <c r="N145" s="3" t="str">
        <f>VLOOKUP(F145,'ESO zone constants'!$A$5:$D$10001,4,FALSE)</f>
        <v>Coldharbour</v>
      </c>
    </row>
    <row r="146" spans="1:14" x14ac:dyDescent="0.25">
      <c r="A146" s="90">
        <v>146</v>
      </c>
      <c r="B146">
        <v>23</v>
      </c>
      <c r="C146">
        <v>255</v>
      </c>
      <c r="D146" t="s">
        <v>2359</v>
      </c>
      <c r="E146">
        <v>155</v>
      </c>
      <c r="F146">
        <v>347</v>
      </c>
      <c r="G146" t="s">
        <v>2359</v>
      </c>
      <c r="H146">
        <v>1</v>
      </c>
      <c r="I146" t="s">
        <v>2888</v>
      </c>
      <c r="J146" s="30" t="str">
        <f t="shared" si="6"/>
        <v>[146]=347,</v>
      </c>
      <c r="K146" s="3">
        <f t="shared" si="7"/>
        <v>146</v>
      </c>
      <c r="L146" s="3">
        <f t="shared" si="8"/>
        <v>347</v>
      </c>
      <c r="M146" s="8" t="str">
        <f>VLOOKUP(A146,'ESO wayshrine names'!$A$3:$B$5104,2,)</f>
        <v>Court of Contempt Wayshrine</v>
      </c>
      <c r="N146" s="3" t="str">
        <f>VLOOKUP(F146,'ESO zone constants'!$A$5:$D$10001,4,FALSE)</f>
        <v>Coldharbour</v>
      </c>
    </row>
    <row r="147" spans="1:14" x14ac:dyDescent="0.25">
      <c r="A147" s="90">
        <v>147</v>
      </c>
      <c r="B147">
        <v>16</v>
      </c>
      <c r="C147">
        <v>300</v>
      </c>
      <c r="D147" t="s">
        <v>2284</v>
      </c>
      <c r="E147">
        <v>18</v>
      </c>
      <c r="F147">
        <v>108</v>
      </c>
      <c r="G147" t="s">
        <v>2284</v>
      </c>
      <c r="H147">
        <v>1</v>
      </c>
      <c r="I147" t="s">
        <v>2889</v>
      </c>
      <c r="J147" s="30" t="str">
        <f t="shared" si="6"/>
        <v>[147]=108,</v>
      </c>
      <c r="K147" s="3">
        <f t="shared" si="7"/>
        <v>147</v>
      </c>
      <c r="L147" s="3">
        <f t="shared" si="8"/>
        <v>108</v>
      </c>
      <c r="M147" s="8" t="str">
        <f>VLOOKUP(A147,'ESO wayshrine names'!$A$3:$B$5104,2,)</f>
        <v>Greenheart Wayshrine</v>
      </c>
      <c r="N147" s="3" t="str">
        <f>VLOOKUP(F147,'ESO zone constants'!$A$5:$D$10001,4,FALSE)</f>
        <v>Greenshade</v>
      </c>
    </row>
    <row r="148" spans="1:14" x14ac:dyDescent="0.25">
      <c r="A148" s="90">
        <v>148</v>
      </c>
      <c r="B148">
        <v>16</v>
      </c>
      <c r="C148">
        <v>300</v>
      </c>
      <c r="D148" t="s">
        <v>2284</v>
      </c>
      <c r="E148">
        <v>18</v>
      </c>
      <c r="F148">
        <v>108</v>
      </c>
      <c r="G148" t="s">
        <v>2284</v>
      </c>
      <c r="H148">
        <v>1</v>
      </c>
      <c r="I148" t="s">
        <v>2890</v>
      </c>
      <c r="J148" s="30" t="str">
        <f t="shared" si="6"/>
        <v>[148]=108,</v>
      </c>
      <c r="K148" s="3">
        <f t="shared" si="7"/>
        <v>148</v>
      </c>
      <c r="L148" s="3">
        <f t="shared" si="8"/>
        <v>108</v>
      </c>
      <c r="M148" s="8" t="str">
        <f>VLOOKUP(A148,'ESO wayshrine names'!$A$3:$B$5104,2,)</f>
        <v>Labyrinth Wayshrine</v>
      </c>
      <c r="N148" s="3" t="str">
        <f>VLOOKUP(F148,'ESO zone constants'!$A$5:$D$10001,4,FALSE)</f>
        <v>Greenshade</v>
      </c>
    </row>
    <row r="149" spans="1:14" x14ac:dyDescent="0.25">
      <c r="A149" s="90">
        <v>149</v>
      </c>
      <c r="B149">
        <v>16</v>
      </c>
      <c r="C149">
        <v>300</v>
      </c>
      <c r="D149" t="s">
        <v>2284</v>
      </c>
      <c r="E149">
        <v>18</v>
      </c>
      <c r="F149">
        <v>108</v>
      </c>
      <c r="G149" t="s">
        <v>2284</v>
      </c>
      <c r="H149">
        <v>1</v>
      </c>
      <c r="I149" t="s">
        <v>2891</v>
      </c>
      <c r="J149" s="30" t="str">
        <f t="shared" si="6"/>
        <v>[149]=108,</v>
      </c>
      <c r="K149" s="3">
        <f t="shared" si="7"/>
        <v>149</v>
      </c>
      <c r="L149" s="3">
        <f t="shared" si="8"/>
        <v>108</v>
      </c>
      <c r="M149" s="8" t="str">
        <f>VLOOKUP(A149,'ESO wayshrine names'!$A$3:$B$5104,2,)</f>
        <v>Falinesti Wayshrine</v>
      </c>
      <c r="N149" s="3" t="str">
        <f>VLOOKUP(F149,'ESO zone constants'!$A$5:$D$10001,4,FALSE)</f>
        <v>Greenshade</v>
      </c>
    </row>
    <row r="150" spans="1:14" x14ac:dyDescent="0.25">
      <c r="A150" s="90">
        <v>150</v>
      </c>
      <c r="B150">
        <v>16</v>
      </c>
      <c r="C150">
        <v>300</v>
      </c>
      <c r="D150" t="s">
        <v>2284</v>
      </c>
      <c r="E150">
        <v>18</v>
      </c>
      <c r="F150">
        <v>108</v>
      </c>
      <c r="G150" t="s">
        <v>2284</v>
      </c>
      <c r="H150">
        <v>1</v>
      </c>
      <c r="I150" t="s">
        <v>2892</v>
      </c>
      <c r="J150" s="30" t="str">
        <f t="shared" si="6"/>
        <v>[150]=108,</v>
      </c>
      <c r="K150" s="3">
        <f t="shared" si="7"/>
        <v>150</v>
      </c>
      <c r="L150" s="3">
        <f t="shared" si="8"/>
        <v>108</v>
      </c>
      <c r="M150" s="8" t="str">
        <f>VLOOKUP(A150,'ESO wayshrine names'!$A$3:$B$5104,2,)</f>
        <v>Seaside Sanctuary</v>
      </c>
      <c r="N150" s="3" t="str">
        <f>VLOOKUP(F150,'ESO zone constants'!$A$5:$D$10001,4,FALSE)</f>
        <v>Greenshade</v>
      </c>
    </row>
    <row r="151" spans="1:14" x14ac:dyDescent="0.25">
      <c r="A151" s="90">
        <v>151</v>
      </c>
      <c r="B151">
        <v>16</v>
      </c>
      <c r="C151">
        <v>300</v>
      </c>
      <c r="D151" t="s">
        <v>2284</v>
      </c>
      <c r="E151">
        <v>18</v>
      </c>
      <c r="F151">
        <v>108</v>
      </c>
      <c r="G151" t="s">
        <v>2284</v>
      </c>
      <c r="H151">
        <v>1</v>
      </c>
      <c r="I151" t="s">
        <v>2893</v>
      </c>
      <c r="J151" s="30" t="str">
        <f t="shared" si="6"/>
        <v>[151]=108,</v>
      </c>
      <c r="K151" s="3">
        <f t="shared" si="7"/>
        <v>151</v>
      </c>
      <c r="L151" s="3">
        <f t="shared" si="8"/>
        <v>108</v>
      </c>
      <c r="M151" s="8" t="str">
        <f>VLOOKUP(A151,'ESO wayshrine names'!$A$3:$B$5104,2,)</f>
        <v>Verrant Morass Wayshrine</v>
      </c>
      <c r="N151" s="3" t="str">
        <f>VLOOKUP(F151,'ESO zone constants'!$A$5:$D$10001,4,FALSE)</f>
        <v>Greenshade</v>
      </c>
    </row>
    <row r="152" spans="1:14" x14ac:dyDescent="0.25">
      <c r="A152" s="90">
        <v>152</v>
      </c>
      <c r="B152">
        <v>16</v>
      </c>
      <c r="C152">
        <v>300</v>
      </c>
      <c r="D152" t="s">
        <v>2284</v>
      </c>
      <c r="E152">
        <v>18</v>
      </c>
      <c r="F152">
        <v>108</v>
      </c>
      <c r="G152" t="s">
        <v>2284</v>
      </c>
      <c r="H152">
        <v>1</v>
      </c>
      <c r="I152" t="s">
        <v>2894</v>
      </c>
      <c r="J152" s="30" t="str">
        <f t="shared" si="6"/>
        <v>[152]=108,</v>
      </c>
      <c r="K152" s="3">
        <f t="shared" si="7"/>
        <v>152</v>
      </c>
      <c r="L152" s="3">
        <f t="shared" si="8"/>
        <v>108</v>
      </c>
      <c r="M152" s="8" t="str">
        <f>VLOOKUP(A152,'ESO wayshrine names'!$A$3:$B$5104,2,)</f>
        <v>Woodhearth Wayshrine</v>
      </c>
      <c r="N152" s="3" t="str">
        <f>VLOOKUP(F152,'ESO zone constants'!$A$5:$D$10001,4,FALSE)</f>
        <v>Greenshade</v>
      </c>
    </row>
    <row r="153" spans="1:14" x14ac:dyDescent="0.25">
      <c r="A153" s="90">
        <v>153</v>
      </c>
      <c r="B153">
        <v>16</v>
      </c>
      <c r="C153">
        <v>300</v>
      </c>
      <c r="D153" t="s">
        <v>2284</v>
      </c>
      <c r="E153">
        <v>18</v>
      </c>
      <c r="F153">
        <v>108</v>
      </c>
      <c r="G153" t="s">
        <v>2284</v>
      </c>
      <c r="H153">
        <v>1</v>
      </c>
      <c r="I153" t="s">
        <v>2895</v>
      </c>
      <c r="J153" s="30" t="str">
        <f t="shared" si="6"/>
        <v>[153]=108,</v>
      </c>
      <c r="K153" s="3">
        <f t="shared" si="7"/>
        <v>153</v>
      </c>
      <c r="L153" s="3">
        <f t="shared" si="8"/>
        <v>108</v>
      </c>
      <c r="M153" s="8" t="str">
        <f>VLOOKUP(A153,'ESO wayshrine names'!$A$3:$B$5104,2,)</f>
        <v>Moonhenge Wayshrine</v>
      </c>
      <c r="N153" s="3" t="str">
        <f>VLOOKUP(F153,'ESO zone constants'!$A$5:$D$10001,4,FALSE)</f>
        <v>Greenshade</v>
      </c>
    </row>
    <row r="154" spans="1:14" x14ac:dyDescent="0.25">
      <c r="A154" s="90">
        <v>154</v>
      </c>
      <c r="B154">
        <v>16</v>
      </c>
      <c r="C154">
        <v>300</v>
      </c>
      <c r="D154" t="s">
        <v>2284</v>
      </c>
      <c r="E154">
        <v>18</v>
      </c>
      <c r="F154">
        <v>108</v>
      </c>
      <c r="G154" t="s">
        <v>2284</v>
      </c>
      <c r="H154">
        <v>1</v>
      </c>
      <c r="I154" t="s">
        <v>2896</v>
      </c>
      <c r="J154" s="30" t="str">
        <f t="shared" si="6"/>
        <v>[154]=108,</v>
      </c>
      <c r="K154" s="3">
        <f t="shared" si="7"/>
        <v>154</v>
      </c>
      <c r="L154" s="3">
        <f t="shared" si="8"/>
        <v>108</v>
      </c>
      <c r="M154" s="8" t="str">
        <f>VLOOKUP(A154,'ESO wayshrine names'!$A$3:$B$5104,2,)</f>
        <v>Serpent's Grotto Wayshrine</v>
      </c>
      <c r="N154" s="3" t="str">
        <f>VLOOKUP(F154,'ESO zone constants'!$A$5:$D$10001,4,FALSE)</f>
        <v>Greenshade</v>
      </c>
    </row>
    <row r="155" spans="1:14" x14ac:dyDescent="0.25">
      <c r="A155" s="90">
        <v>155</v>
      </c>
      <c r="B155">
        <v>5</v>
      </c>
      <c r="C155">
        <v>30</v>
      </c>
      <c r="D155" t="s">
        <v>3177</v>
      </c>
      <c r="E155">
        <v>17</v>
      </c>
      <c r="F155">
        <v>104</v>
      </c>
      <c r="G155" t="s">
        <v>2297</v>
      </c>
      <c r="H155">
        <v>1</v>
      </c>
      <c r="I155" t="s">
        <v>2897</v>
      </c>
      <c r="J155" s="30" t="str">
        <f t="shared" si="6"/>
        <v>[155]=104,</v>
      </c>
      <c r="K155" s="3">
        <f t="shared" si="7"/>
        <v>155</v>
      </c>
      <c r="L155" s="3">
        <f t="shared" si="8"/>
        <v>104</v>
      </c>
      <c r="M155" s="8" t="str">
        <f>VLOOKUP(A155,'ESO wayshrine names'!$A$3:$B$5104,2,)</f>
        <v>Goat's Head Oasis Wayshrine</v>
      </c>
      <c r="N155" s="3" t="str">
        <f>VLOOKUP(F155,'ESO zone constants'!$A$5:$D$10001,4,FALSE)</f>
        <v>Alik'r Desert</v>
      </c>
    </row>
    <row r="156" spans="1:14" x14ac:dyDescent="0.25">
      <c r="A156" s="90">
        <v>156</v>
      </c>
      <c r="B156">
        <v>17</v>
      </c>
      <c r="C156">
        <v>256</v>
      </c>
      <c r="D156" t="s">
        <v>2285</v>
      </c>
      <c r="E156">
        <v>180</v>
      </c>
      <c r="F156">
        <v>382</v>
      </c>
      <c r="G156" t="s">
        <v>2285</v>
      </c>
      <c r="H156">
        <v>1</v>
      </c>
      <c r="I156" t="s">
        <v>2898</v>
      </c>
      <c r="J156" s="30" t="str">
        <f t="shared" si="6"/>
        <v>[156]=382,</v>
      </c>
      <c r="K156" s="3">
        <f t="shared" si="7"/>
        <v>156</v>
      </c>
      <c r="L156" s="3">
        <f t="shared" si="8"/>
        <v>382</v>
      </c>
      <c r="M156" s="8" t="str">
        <f>VLOOKUP(A156,'ESO wayshrine names'!$A$3:$B$5104,2,)</f>
        <v>Fort Grimwatch Wayshrine</v>
      </c>
      <c r="N156" s="3" t="str">
        <f>VLOOKUP(F156,'ESO zone constants'!$A$5:$D$10001,4,FALSE)</f>
        <v>Reaper's March</v>
      </c>
    </row>
    <row r="157" spans="1:14" x14ac:dyDescent="0.25">
      <c r="A157" s="90">
        <v>157</v>
      </c>
      <c r="B157">
        <v>17</v>
      </c>
      <c r="C157">
        <v>256</v>
      </c>
      <c r="D157" t="s">
        <v>2285</v>
      </c>
      <c r="E157">
        <v>180</v>
      </c>
      <c r="F157">
        <v>382</v>
      </c>
      <c r="G157" t="s">
        <v>2285</v>
      </c>
      <c r="H157">
        <v>1</v>
      </c>
      <c r="I157" t="s">
        <v>2899</v>
      </c>
      <c r="J157" s="30" t="str">
        <f t="shared" si="6"/>
        <v>[157]=382,</v>
      </c>
      <c r="K157" s="3">
        <f t="shared" si="7"/>
        <v>157</v>
      </c>
      <c r="L157" s="3">
        <f t="shared" si="8"/>
        <v>382</v>
      </c>
      <c r="M157" s="8" t="str">
        <f>VLOOKUP(A157,'ESO wayshrine names'!$A$3:$B$5104,2,)</f>
        <v>Fort Sphinxmoth Wayshrine</v>
      </c>
      <c r="N157" s="3" t="str">
        <f>VLOOKUP(F157,'ESO zone constants'!$A$5:$D$10001,4,FALSE)</f>
        <v>Reaper's March</v>
      </c>
    </row>
    <row r="158" spans="1:14" x14ac:dyDescent="0.25">
      <c r="A158" s="90">
        <v>158</v>
      </c>
      <c r="B158">
        <v>17</v>
      </c>
      <c r="C158">
        <v>256</v>
      </c>
      <c r="D158" t="s">
        <v>2285</v>
      </c>
      <c r="E158">
        <v>180</v>
      </c>
      <c r="F158">
        <v>382</v>
      </c>
      <c r="G158" t="s">
        <v>2285</v>
      </c>
      <c r="H158">
        <v>1</v>
      </c>
      <c r="I158" t="s">
        <v>2900</v>
      </c>
      <c r="J158" s="30" t="str">
        <f t="shared" si="6"/>
        <v>[158]=382,</v>
      </c>
      <c r="K158" s="3">
        <f t="shared" si="7"/>
        <v>158</v>
      </c>
      <c r="L158" s="3">
        <f t="shared" si="8"/>
        <v>382</v>
      </c>
      <c r="M158" s="8" t="str">
        <f>VLOOKUP(A158,'ESO wayshrine names'!$A$3:$B$5104,2,)</f>
        <v>Arenthia Wayshrine</v>
      </c>
      <c r="N158" s="3" t="str">
        <f>VLOOKUP(F158,'ESO zone constants'!$A$5:$D$10001,4,FALSE)</f>
        <v>Reaper's March</v>
      </c>
    </row>
    <row r="159" spans="1:14" x14ac:dyDescent="0.25">
      <c r="A159" s="90">
        <v>159</v>
      </c>
      <c r="B159">
        <v>17</v>
      </c>
      <c r="C159">
        <v>256</v>
      </c>
      <c r="D159" t="s">
        <v>2285</v>
      </c>
      <c r="E159">
        <v>180</v>
      </c>
      <c r="F159">
        <v>382</v>
      </c>
      <c r="G159" t="s">
        <v>2285</v>
      </c>
      <c r="H159">
        <v>1</v>
      </c>
      <c r="I159" t="s">
        <v>2901</v>
      </c>
      <c r="J159" s="30" t="str">
        <f t="shared" si="6"/>
        <v>[159]=382,</v>
      </c>
      <c r="K159" s="3">
        <f t="shared" si="7"/>
        <v>159</v>
      </c>
      <c r="L159" s="3">
        <f t="shared" si="8"/>
        <v>382</v>
      </c>
      <c r="M159" s="8" t="str">
        <f>VLOOKUP(A159,'ESO wayshrine names'!$A$3:$B$5104,2,)</f>
        <v>Dune Wayshrine</v>
      </c>
      <c r="N159" s="3" t="str">
        <f>VLOOKUP(F159,'ESO zone constants'!$A$5:$D$10001,4,FALSE)</f>
        <v>Reaper's March</v>
      </c>
    </row>
    <row r="160" spans="1:14" x14ac:dyDescent="0.25">
      <c r="A160" s="90">
        <v>160</v>
      </c>
      <c r="B160">
        <v>17</v>
      </c>
      <c r="C160">
        <v>256</v>
      </c>
      <c r="D160" t="s">
        <v>2285</v>
      </c>
      <c r="E160">
        <v>180</v>
      </c>
      <c r="F160">
        <v>382</v>
      </c>
      <c r="G160" t="s">
        <v>2285</v>
      </c>
      <c r="H160">
        <v>1</v>
      </c>
      <c r="I160" t="s">
        <v>2902</v>
      </c>
      <c r="J160" s="30" t="str">
        <f t="shared" si="6"/>
        <v>[160]=382,</v>
      </c>
      <c r="K160" s="3">
        <f t="shared" si="7"/>
        <v>160</v>
      </c>
      <c r="L160" s="3">
        <f t="shared" si="8"/>
        <v>382</v>
      </c>
      <c r="M160" s="8" t="str">
        <f>VLOOKUP(A160,'ESO wayshrine names'!$A$3:$B$5104,2,)</f>
        <v>Willowgrove Wayshrine</v>
      </c>
      <c r="N160" s="3" t="str">
        <f>VLOOKUP(F160,'ESO zone constants'!$A$5:$D$10001,4,FALSE)</f>
        <v>Reaper's March</v>
      </c>
    </row>
    <row r="161" spans="1:14" x14ac:dyDescent="0.25">
      <c r="A161" s="90">
        <v>161</v>
      </c>
      <c r="B161">
        <v>17</v>
      </c>
      <c r="C161">
        <v>256</v>
      </c>
      <c r="D161" t="s">
        <v>2285</v>
      </c>
      <c r="E161">
        <v>180</v>
      </c>
      <c r="F161">
        <v>382</v>
      </c>
      <c r="G161" t="s">
        <v>2285</v>
      </c>
      <c r="H161">
        <v>1</v>
      </c>
      <c r="I161" t="s">
        <v>2903</v>
      </c>
      <c r="J161" s="30" t="str">
        <f t="shared" si="6"/>
        <v>[161]=382,</v>
      </c>
      <c r="K161" s="3">
        <f t="shared" si="7"/>
        <v>161</v>
      </c>
      <c r="L161" s="3">
        <f t="shared" si="8"/>
        <v>382</v>
      </c>
      <c r="M161" s="8" t="str">
        <f>VLOOKUP(A161,'ESO wayshrine names'!$A$3:$B$5104,2,)</f>
        <v>Moonmont Wayshrine</v>
      </c>
      <c r="N161" s="3" t="str">
        <f>VLOOKUP(F161,'ESO zone constants'!$A$5:$D$10001,4,FALSE)</f>
        <v>Reaper's March</v>
      </c>
    </row>
    <row r="162" spans="1:14" x14ac:dyDescent="0.25">
      <c r="A162" s="90">
        <v>162</v>
      </c>
      <c r="B162">
        <v>17</v>
      </c>
      <c r="C162">
        <v>256</v>
      </c>
      <c r="D162" t="s">
        <v>2285</v>
      </c>
      <c r="E162">
        <v>180</v>
      </c>
      <c r="F162">
        <v>382</v>
      </c>
      <c r="G162" t="s">
        <v>2285</v>
      </c>
      <c r="H162">
        <v>1</v>
      </c>
      <c r="I162" t="s">
        <v>3179</v>
      </c>
      <c r="J162" s="30" t="str">
        <f t="shared" si="6"/>
        <v>[162]=382,</v>
      </c>
      <c r="K162" s="3">
        <f t="shared" si="7"/>
        <v>162</v>
      </c>
      <c r="L162" s="3">
        <f t="shared" si="8"/>
        <v>382</v>
      </c>
      <c r="M162" s="8" t="str">
        <f>VLOOKUP(A162,'ESO wayshrine names'!$A$3:$B$5104,2,)</f>
        <v>Rawl'kha Wayshrine</v>
      </c>
      <c r="N162" s="3" t="str">
        <f>VLOOKUP(F162,'ESO zone constants'!$A$5:$D$10001,4,FALSE)</f>
        <v>Reaper's March</v>
      </c>
    </row>
    <row r="163" spans="1:14" x14ac:dyDescent="0.25">
      <c r="A163" s="90">
        <v>163</v>
      </c>
      <c r="B163">
        <v>17</v>
      </c>
      <c r="C163">
        <v>256</v>
      </c>
      <c r="D163" t="s">
        <v>2285</v>
      </c>
      <c r="E163">
        <v>180</v>
      </c>
      <c r="F163">
        <v>382</v>
      </c>
      <c r="G163" t="s">
        <v>2285</v>
      </c>
      <c r="H163">
        <v>1</v>
      </c>
      <c r="I163" t="s">
        <v>3180</v>
      </c>
      <c r="J163" s="30" t="str">
        <f t="shared" si="6"/>
        <v>[163]=382,</v>
      </c>
      <c r="K163" s="3">
        <f t="shared" si="7"/>
        <v>163</v>
      </c>
      <c r="L163" s="3">
        <f t="shared" si="8"/>
        <v>382</v>
      </c>
      <c r="M163" s="8" t="str">
        <f>VLOOKUP(A163,'ESO wayshrine names'!$A$3:$B$5104,2,)</f>
        <v>S'ren-ja Wayshrine</v>
      </c>
      <c r="N163" s="3" t="str">
        <f>VLOOKUP(F163,'ESO zone constants'!$A$5:$D$10001,4,FALSE)</f>
        <v>Reaper's March</v>
      </c>
    </row>
    <row r="164" spans="1:14" x14ac:dyDescent="0.25">
      <c r="A164" s="90">
        <v>164</v>
      </c>
      <c r="B164">
        <v>7</v>
      </c>
      <c r="C164">
        <v>9</v>
      </c>
      <c r="D164" t="s">
        <v>2282</v>
      </c>
      <c r="E164">
        <v>181</v>
      </c>
      <c r="F164">
        <v>383</v>
      </c>
      <c r="G164" t="s">
        <v>2282</v>
      </c>
      <c r="H164">
        <v>1</v>
      </c>
      <c r="I164" t="s">
        <v>2904</v>
      </c>
      <c r="J164" s="30" t="str">
        <f t="shared" si="6"/>
        <v>[164]=383,</v>
      </c>
      <c r="K164" s="3">
        <f t="shared" si="7"/>
        <v>164</v>
      </c>
      <c r="L164" s="3">
        <f t="shared" si="8"/>
        <v>383</v>
      </c>
      <c r="M164" s="8" t="str">
        <f>VLOOKUP(A164,'ESO wayshrine names'!$A$3:$B$5104,2,)</f>
        <v>Gil-Var-Delle Wayshrine</v>
      </c>
      <c r="N164" s="3" t="str">
        <f>VLOOKUP(F164,'ESO zone constants'!$A$5:$D$10001,4,FALSE)</f>
        <v>Grahtwood</v>
      </c>
    </row>
    <row r="165" spans="1:14" x14ac:dyDescent="0.25">
      <c r="A165" s="90">
        <v>165</v>
      </c>
      <c r="B165">
        <v>7</v>
      </c>
      <c r="C165">
        <v>9</v>
      </c>
      <c r="D165" t="s">
        <v>2282</v>
      </c>
      <c r="E165">
        <v>181</v>
      </c>
      <c r="F165">
        <v>383</v>
      </c>
      <c r="G165" t="s">
        <v>2282</v>
      </c>
      <c r="H165">
        <v>1</v>
      </c>
      <c r="I165" t="s">
        <v>2905</v>
      </c>
      <c r="J165" s="30" t="str">
        <f t="shared" si="6"/>
        <v>[165]=383,</v>
      </c>
      <c r="K165" s="3">
        <f t="shared" si="7"/>
        <v>165</v>
      </c>
      <c r="L165" s="3">
        <f t="shared" si="8"/>
        <v>383</v>
      </c>
      <c r="M165" s="8" t="str">
        <f>VLOOKUP(A165,'ESO wayshrine names'!$A$3:$B$5104,2,)</f>
        <v>Haven Wayshrine</v>
      </c>
      <c r="N165" s="3" t="str">
        <f>VLOOKUP(F165,'ESO zone constants'!$A$5:$D$10001,4,FALSE)</f>
        <v>Grahtwood</v>
      </c>
    </row>
    <row r="166" spans="1:14" x14ac:dyDescent="0.25">
      <c r="A166" s="90">
        <v>166</v>
      </c>
      <c r="B166">
        <v>7</v>
      </c>
      <c r="C166">
        <v>9</v>
      </c>
      <c r="D166" t="s">
        <v>2282</v>
      </c>
      <c r="E166">
        <v>181</v>
      </c>
      <c r="F166">
        <v>383</v>
      </c>
      <c r="G166" t="s">
        <v>2282</v>
      </c>
      <c r="H166">
        <v>1</v>
      </c>
      <c r="I166" t="s">
        <v>2906</v>
      </c>
      <c r="J166" s="30" t="str">
        <f t="shared" si="6"/>
        <v>[166]=383,</v>
      </c>
      <c r="K166" s="3">
        <f t="shared" si="7"/>
        <v>166</v>
      </c>
      <c r="L166" s="3">
        <f t="shared" si="8"/>
        <v>383</v>
      </c>
      <c r="M166" s="8" t="str">
        <f>VLOOKUP(A166,'ESO wayshrine names'!$A$3:$B$5104,2,)</f>
        <v>Redfur Trading Post Wayshrine</v>
      </c>
      <c r="N166" s="3" t="str">
        <f>VLOOKUP(F166,'ESO zone constants'!$A$5:$D$10001,4,FALSE)</f>
        <v>Grahtwood</v>
      </c>
    </row>
    <row r="167" spans="1:14" x14ac:dyDescent="0.25">
      <c r="A167" s="90">
        <v>167</v>
      </c>
      <c r="B167">
        <v>7</v>
      </c>
      <c r="C167">
        <v>9</v>
      </c>
      <c r="D167" t="s">
        <v>2282</v>
      </c>
      <c r="E167">
        <v>181</v>
      </c>
      <c r="F167">
        <v>383</v>
      </c>
      <c r="G167" t="s">
        <v>2282</v>
      </c>
      <c r="H167">
        <v>1</v>
      </c>
      <c r="I167" t="s">
        <v>2907</v>
      </c>
      <c r="J167" s="30" t="str">
        <f t="shared" si="6"/>
        <v>[167]=383,</v>
      </c>
      <c r="K167" s="3">
        <f t="shared" si="7"/>
        <v>167</v>
      </c>
      <c r="L167" s="3">
        <f t="shared" si="8"/>
        <v>383</v>
      </c>
      <c r="M167" s="8" t="str">
        <f>VLOOKUP(A167,'ESO wayshrine names'!$A$3:$B$5104,2,)</f>
        <v>Southpoint Wayshrine</v>
      </c>
      <c r="N167" s="3" t="str">
        <f>VLOOKUP(F167,'ESO zone constants'!$A$5:$D$10001,4,FALSE)</f>
        <v>Grahtwood</v>
      </c>
    </row>
    <row r="168" spans="1:14" x14ac:dyDescent="0.25">
      <c r="A168" s="90">
        <v>168</v>
      </c>
      <c r="B168">
        <v>7</v>
      </c>
      <c r="C168">
        <v>9</v>
      </c>
      <c r="D168" t="s">
        <v>2282</v>
      </c>
      <c r="E168">
        <v>181</v>
      </c>
      <c r="F168">
        <v>383</v>
      </c>
      <c r="G168" t="s">
        <v>2282</v>
      </c>
      <c r="H168">
        <v>1</v>
      </c>
      <c r="I168" t="s">
        <v>2908</v>
      </c>
      <c r="J168" s="30" t="str">
        <f t="shared" si="6"/>
        <v>[168]=383,</v>
      </c>
      <c r="K168" s="3">
        <f t="shared" si="7"/>
        <v>168</v>
      </c>
      <c r="L168" s="3">
        <f t="shared" si="8"/>
        <v>383</v>
      </c>
      <c r="M168" s="8" t="str">
        <f>VLOOKUP(A168,'ESO wayshrine names'!$A$3:$B$5104,2,)</f>
        <v>Cormount Wayshrine</v>
      </c>
      <c r="N168" s="3" t="str">
        <f>VLOOKUP(F168,'ESO zone constants'!$A$5:$D$10001,4,FALSE)</f>
        <v>Grahtwood</v>
      </c>
    </row>
    <row r="169" spans="1:14" x14ac:dyDescent="0.25">
      <c r="A169" s="90">
        <v>169</v>
      </c>
      <c r="B169">
        <v>7</v>
      </c>
      <c r="C169">
        <v>9</v>
      </c>
      <c r="D169" t="s">
        <v>2282</v>
      </c>
      <c r="E169">
        <v>181</v>
      </c>
      <c r="F169">
        <v>383</v>
      </c>
      <c r="G169" t="s">
        <v>2282</v>
      </c>
      <c r="H169">
        <v>1</v>
      </c>
      <c r="I169" t="s">
        <v>2909</v>
      </c>
      <c r="J169" s="30" t="str">
        <f t="shared" si="6"/>
        <v>[169]=383,</v>
      </c>
      <c r="K169" s="3">
        <f t="shared" si="7"/>
        <v>169</v>
      </c>
      <c r="L169" s="3">
        <f t="shared" si="8"/>
        <v>383</v>
      </c>
      <c r="M169" s="8" t="str">
        <f>VLOOKUP(A169,'ESO wayshrine names'!$A$3:$B$5104,2,)</f>
        <v>Ossuary Wayshrine</v>
      </c>
      <c r="N169" s="3" t="str">
        <f>VLOOKUP(F169,'ESO zone constants'!$A$5:$D$10001,4,FALSE)</f>
        <v>Grahtwood</v>
      </c>
    </row>
    <row r="170" spans="1:14" x14ac:dyDescent="0.25">
      <c r="A170" s="90">
        <v>170</v>
      </c>
      <c r="B170">
        <v>14</v>
      </c>
      <c r="C170">
        <v>16</v>
      </c>
      <c r="D170" t="s">
        <v>125</v>
      </c>
      <c r="E170">
        <v>38</v>
      </c>
      <c r="F170">
        <v>181</v>
      </c>
      <c r="G170" t="s">
        <v>125</v>
      </c>
      <c r="H170">
        <v>1</v>
      </c>
      <c r="I170" t="s">
        <v>2910</v>
      </c>
      <c r="J170" s="30" t="str">
        <f t="shared" si="6"/>
        <v>[170]=181,</v>
      </c>
      <c r="K170" s="3">
        <f t="shared" si="7"/>
        <v>170</v>
      </c>
      <c r="L170" s="3">
        <f t="shared" si="8"/>
        <v>181</v>
      </c>
      <c r="M170" s="8" t="str">
        <f>VLOOKUP(A170,'ESO wayshrine names'!$A$3:$B$5104,2,)</f>
        <v>Northern High Rock Wayshrine</v>
      </c>
      <c r="N170" s="3" t="str">
        <f>VLOOKUP(F170,'ESO zone constants'!$A$5:$D$10001,4,FALSE)</f>
        <v>Cyrodiil</v>
      </c>
    </row>
    <row r="171" spans="1:14" x14ac:dyDescent="0.25">
      <c r="A171" s="90">
        <v>171</v>
      </c>
      <c r="B171">
        <v>9</v>
      </c>
      <c r="C171">
        <v>26</v>
      </c>
      <c r="D171" t="s">
        <v>2302</v>
      </c>
      <c r="E171">
        <v>19</v>
      </c>
      <c r="F171">
        <v>117</v>
      </c>
      <c r="G171" t="s">
        <v>2302</v>
      </c>
      <c r="H171">
        <v>1</v>
      </c>
      <c r="I171" t="s">
        <v>2911</v>
      </c>
      <c r="J171" s="30" t="str">
        <f t="shared" si="6"/>
        <v>[171]=117,</v>
      </c>
      <c r="K171" s="3">
        <f t="shared" si="7"/>
        <v>171</v>
      </c>
      <c r="L171" s="3">
        <f t="shared" si="8"/>
        <v>117</v>
      </c>
      <c r="M171" s="8" t="str">
        <f>VLOOKUP(A171,'ESO wayshrine names'!$A$3:$B$5104,2,)</f>
        <v>Bogmother Wayshrine</v>
      </c>
      <c r="N171" s="3" t="str">
        <f>VLOOKUP(F171,'ESO zone constants'!$A$5:$D$10001,4,FALSE)</f>
        <v>Shadowfen</v>
      </c>
    </row>
    <row r="172" spans="1:14" x14ac:dyDescent="0.25">
      <c r="A172" s="90">
        <v>172</v>
      </c>
      <c r="B172">
        <v>22</v>
      </c>
      <c r="C172">
        <v>74</v>
      </c>
      <c r="D172" t="s">
        <v>3779</v>
      </c>
      <c r="E172">
        <v>110</v>
      </c>
      <c r="F172">
        <v>280</v>
      </c>
      <c r="G172" t="s">
        <v>3779</v>
      </c>
      <c r="H172">
        <v>1</v>
      </c>
      <c r="I172" t="s">
        <v>3780</v>
      </c>
      <c r="J172" s="30" t="str">
        <f t="shared" si="6"/>
        <v>[172]=280,</v>
      </c>
      <c r="K172" s="3">
        <f t="shared" si="7"/>
        <v>172</v>
      </c>
      <c r="L172" s="3">
        <f t="shared" si="8"/>
        <v>280</v>
      </c>
      <c r="M172" s="8" t="str">
        <f>VLOOKUP(A172,'ESO wayshrine names'!$A$3:$B$5104,2,)</f>
        <v>Bleakrock Wayshrine</v>
      </c>
      <c r="N172" s="3" t="str">
        <f>VLOOKUP(F172,'ESO zone constants'!$A$5:$D$10001,4,FALSE)</f>
        <v>Bleakrock Isle</v>
      </c>
    </row>
    <row r="173" spans="1:14" x14ac:dyDescent="0.25">
      <c r="A173" s="90">
        <v>173</v>
      </c>
      <c r="B173">
        <v>18</v>
      </c>
      <c r="C173">
        <v>75</v>
      </c>
      <c r="D173" t="s">
        <v>197</v>
      </c>
      <c r="E173">
        <v>111</v>
      </c>
      <c r="F173">
        <v>281</v>
      </c>
      <c r="G173" t="s">
        <v>197</v>
      </c>
      <c r="H173">
        <v>1</v>
      </c>
      <c r="I173" t="s">
        <v>2912</v>
      </c>
      <c r="J173" s="30" t="str">
        <f t="shared" si="6"/>
        <v>[173]=281,</v>
      </c>
      <c r="K173" s="3">
        <f t="shared" si="7"/>
        <v>173</v>
      </c>
      <c r="L173" s="3">
        <f t="shared" si="8"/>
        <v>281</v>
      </c>
      <c r="M173" s="8" t="str">
        <f>VLOOKUP(A173,'ESO wayshrine names'!$A$3:$B$5104,2,)</f>
        <v>Dhalmora Wayshrine</v>
      </c>
      <c r="N173" s="3" t="str">
        <f>VLOOKUP(F173,'ESO zone constants'!$A$5:$D$10001,4,FALSE)</f>
        <v>Bal Foyen</v>
      </c>
    </row>
    <row r="174" spans="1:14" x14ac:dyDescent="0.25">
      <c r="A174" s="90">
        <v>174</v>
      </c>
      <c r="B174">
        <v>15</v>
      </c>
      <c r="C174">
        <v>143</v>
      </c>
      <c r="D174" t="s">
        <v>262</v>
      </c>
      <c r="E174">
        <v>179</v>
      </c>
      <c r="F174">
        <v>381</v>
      </c>
      <c r="G174" t="s">
        <v>262</v>
      </c>
      <c r="H174">
        <v>1</v>
      </c>
      <c r="I174" t="s">
        <v>2913</v>
      </c>
      <c r="J174" s="30" t="str">
        <f t="shared" si="6"/>
        <v>[174]=381,</v>
      </c>
      <c r="K174" s="3">
        <f t="shared" si="7"/>
        <v>174</v>
      </c>
      <c r="L174" s="3">
        <f t="shared" si="8"/>
        <v>381</v>
      </c>
      <c r="M174" s="8" t="str">
        <f>VLOOKUP(A174,'ESO wayshrine names'!$A$3:$B$5104,2,)</f>
        <v>Tanzelwil Wayshrine</v>
      </c>
      <c r="N174" s="3" t="str">
        <f>VLOOKUP(F174,'ESO zone constants'!$A$5:$D$10001,4,FALSE)</f>
        <v>Auridon</v>
      </c>
    </row>
    <row r="175" spans="1:14" x14ac:dyDescent="0.25">
      <c r="A175" s="90">
        <v>175</v>
      </c>
      <c r="B175">
        <v>15</v>
      </c>
      <c r="C175">
        <v>143</v>
      </c>
      <c r="D175" t="s">
        <v>262</v>
      </c>
      <c r="E175">
        <v>179</v>
      </c>
      <c r="F175">
        <v>381</v>
      </c>
      <c r="G175" t="s">
        <v>262</v>
      </c>
      <c r="H175">
        <v>1</v>
      </c>
      <c r="I175" t="s">
        <v>2914</v>
      </c>
      <c r="J175" s="30" t="str">
        <f t="shared" si="6"/>
        <v>[175]=381,</v>
      </c>
      <c r="K175" s="3">
        <f t="shared" si="7"/>
        <v>175</v>
      </c>
      <c r="L175" s="3">
        <f t="shared" si="8"/>
        <v>381</v>
      </c>
      <c r="M175" s="8" t="str">
        <f>VLOOKUP(A175,'ESO wayshrine names'!$A$3:$B$5104,2,)</f>
        <v>Firsthold Wayshrine</v>
      </c>
      <c r="N175" s="3" t="str">
        <f>VLOOKUP(F175,'ESO zone constants'!$A$5:$D$10001,4,FALSE)</f>
        <v>Auridon</v>
      </c>
    </row>
    <row r="176" spans="1:14" x14ac:dyDescent="0.25">
      <c r="A176" s="90">
        <v>176</v>
      </c>
      <c r="B176">
        <v>15</v>
      </c>
      <c r="C176">
        <v>143</v>
      </c>
      <c r="D176" t="s">
        <v>262</v>
      </c>
      <c r="E176">
        <v>179</v>
      </c>
      <c r="F176">
        <v>381</v>
      </c>
      <c r="G176" t="s">
        <v>262</v>
      </c>
      <c r="H176">
        <v>1</v>
      </c>
      <c r="I176" t="s">
        <v>2915</v>
      </c>
      <c r="J176" s="30" t="str">
        <f t="shared" si="6"/>
        <v>[176]=381,</v>
      </c>
      <c r="K176" s="3">
        <f t="shared" si="7"/>
        <v>176</v>
      </c>
      <c r="L176" s="3">
        <f t="shared" si="8"/>
        <v>381</v>
      </c>
      <c r="M176" s="8" t="str">
        <f>VLOOKUP(A176,'ESO wayshrine names'!$A$3:$B$5104,2,)</f>
        <v>Mathiisen Wayshrine</v>
      </c>
      <c r="N176" s="3" t="str">
        <f>VLOOKUP(F176,'ESO zone constants'!$A$5:$D$10001,4,FALSE)</f>
        <v>Auridon</v>
      </c>
    </row>
    <row r="177" spans="1:14" x14ac:dyDescent="0.25">
      <c r="A177" s="90">
        <v>177</v>
      </c>
      <c r="B177">
        <v>15</v>
      </c>
      <c r="C177">
        <v>143</v>
      </c>
      <c r="D177" t="s">
        <v>262</v>
      </c>
      <c r="E177">
        <v>179</v>
      </c>
      <c r="F177">
        <v>381</v>
      </c>
      <c r="G177" t="s">
        <v>262</v>
      </c>
      <c r="H177">
        <v>1</v>
      </c>
      <c r="I177" t="s">
        <v>2916</v>
      </c>
      <c r="J177" s="30" t="str">
        <f t="shared" si="6"/>
        <v>[177]=381,</v>
      </c>
      <c r="K177" s="3">
        <f t="shared" si="7"/>
        <v>177</v>
      </c>
      <c r="L177" s="3">
        <f t="shared" si="8"/>
        <v>381</v>
      </c>
      <c r="M177" s="8" t="str">
        <f>VLOOKUP(A177,'ESO wayshrine names'!$A$3:$B$5104,2,)</f>
        <v>Vulkhel Guard Wayshrine</v>
      </c>
      <c r="N177" s="3" t="str">
        <f>VLOOKUP(F177,'ESO zone constants'!$A$5:$D$10001,4,FALSE)</f>
        <v>Auridon</v>
      </c>
    </row>
    <row r="178" spans="1:14" x14ac:dyDescent="0.25">
      <c r="A178" s="90">
        <v>178</v>
      </c>
      <c r="B178">
        <v>15</v>
      </c>
      <c r="C178">
        <v>143</v>
      </c>
      <c r="D178" t="s">
        <v>262</v>
      </c>
      <c r="E178">
        <v>179</v>
      </c>
      <c r="F178">
        <v>381</v>
      </c>
      <c r="G178" t="s">
        <v>262</v>
      </c>
      <c r="H178">
        <v>1</v>
      </c>
      <c r="I178" t="s">
        <v>2917</v>
      </c>
      <c r="J178" s="30" t="str">
        <f t="shared" si="6"/>
        <v>[178]=381,</v>
      </c>
      <c r="K178" s="3">
        <f t="shared" si="7"/>
        <v>178</v>
      </c>
      <c r="L178" s="3">
        <f t="shared" si="8"/>
        <v>381</v>
      </c>
      <c r="M178" s="8" t="str">
        <f>VLOOKUP(A178,'ESO wayshrine names'!$A$3:$B$5104,2,)</f>
        <v>Phaer Wayshrine</v>
      </c>
      <c r="N178" s="3" t="str">
        <f>VLOOKUP(F178,'ESO zone constants'!$A$5:$D$10001,4,FALSE)</f>
        <v>Auridon</v>
      </c>
    </row>
    <row r="179" spans="1:14" x14ac:dyDescent="0.25">
      <c r="A179" s="90">
        <v>179</v>
      </c>
      <c r="B179">
        <v>19</v>
      </c>
      <c r="C179">
        <v>201</v>
      </c>
      <c r="D179" t="s">
        <v>382</v>
      </c>
      <c r="E179">
        <v>305</v>
      </c>
      <c r="F179">
        <v>534</v>
      </c>
      <c r="G179" t="s">
        <v>382</v>
      </c>
      <c r="H179">
        <v>1</v>
      </c>
      <c r="I179" t="s">
        <v>2918</v>
      </c>
      <c r="J179" s="30" t="str">
        <f t="shared" si="6"/>
        <v>[179]=534,</v>
      </c>
      <c r="K179" s="3">
        <f t="shared" si="7"/>
        <v>179</v>
      </c>
      <c r="L179" s="3">
        <f t="shared" si="8"/>
        <v>534</v>
      </c>
      <c r="M179" s="8" t="str">
        <f>VLOOKUP(A179,'ESO wayshrine names'!$A$3:$B$5104,2,)</f>
        <v>Sandy Grotto Wayshrine</v>
      </c>
      <c r="N179" s="3" t="str">
        <f>VLOOKUP(F179,'ESO zone constants'!$A$5:$D$10001,4,FALSE)</f>
        <v>Stros M'Kai</v>
      </c>
    </row>
    <row r="180" spans="1:14" x14ac:dyDescent="0.25">
      <c r="A180" s="90">
        <v>180</v>
      </c>
      <c r="B180">
        <v>19</v>
      </c>
      <c r="C180">
        <v>201</v>
      </c>
      <c r="D180" t="s">
        <v>382</v>
      </c>
      <c r="E180">
        <v>305</v>
      </c>
      <c r="F180">
        <v>534</v>
      </c>
      <c r="G180" t="s">
        <v>382</v>
      </c>
      <c r="H180">
        <v>1</v>
      </c>
      <c r="I180" t="s">
        <v>2919</v>
      </c>
      <c r="J180" s="30" t="str">
        <f t="shared" si="6"/>
        <v>[180]=534,</v>
      </c>
      <c r="K180" s="3">
        <f t="shared" si="7"/>
        <v>180</v>
      </c>
      <c r="L180" s="3">
        <f t="shared" si="8"/>
        <v>534</v>
      </c>
      <c r="M180" s="8" t="str">
        <f>VLOOKUP(A180,'ESO wayshrine names'!$A$3:$B$5104,2,)</f>
        <v>Saintsport Wayshrine</v>
      </c>
      <c r="N180" s="3" t="str">
        <f>VLOOKUP(F180,'ESO zone constants'!$A$5:$D$10001,4,FALSE)</f>
        <v>Stros M'Kai</v>
      </c>
    </row>
    <row r="181" spans="1:14" x14ac:dyDescent="0.25">
      <c r="A181" s="90">
        <v>181</v>
      </c>
      <c r="B181">
        <v>20</v>
      </c>
      <c r="C181">
        <v>227</v>
      </c>
      <c r="D181" t="s">
        <v>383</v>
      </c>
      <c r="E181">
        <v>306</v>
      </c>
      <c r="F181">
        <v>535</v>
      </c>
      <c r="G181" t="s">
        <v>383</v>
      </c>
      <c r="H181">
        <v>1</v>
      </c>
      <c r="I181" t="s">
        <v>2920</v>
      </c>
      <c r="J181" s="30" t="str">
        <f t="shared" si="6"/>
        <v>[181]=535,</v>
      </c>
      <c r="K181" s="3">
        <f t="shared" si="7"/>
        <v>181</v>
      </c>
      <c r="L181" s="3">
        <f t="shared" si="8"/>
        <v>535</v>
      </c>
      <c r="M181" s="8" t="str">
        <f>VLOOKUP(A181,'ESO wayshrine names'!$A$3:$B$5104,2,)</f>
        <v>Stonetooth Wayshrine</v>
      </c>
      <c r="N181" s="3" t="str">
        <f>VLOOKUP(F181,'ESO zone constants'!$A$5:$D$10001,4,FALSE)</f>
        <v>Betnikh</v>
      </c>
    </row>
    <row r="182" spans="1:14" x14ac:dyDescent="0.25">
      <c r="A182" s="90">
        <v>182</v>
      </c>
      <c r="B182">
        <v>20</v>
      </c>
      <c r="C182">
        <v>227</v>
      </c>
      <c r="D182" t="s">
        <v>383</v>
      </c>
      <c r="E182">
        <v>306</v>
      </c>
      <c r="F182">
        <v>535</v>
      </c>
      <c r="G182" t="s">
        <v>383</v>
      </c>
      <c r="H182">
        <v>1</v>
      </c>
      <c r="I182" t="s">
        <v>2921</v>
      </c>
      <c r="J182" s="30" t="str">
        <f t="shared" si="6"/>
        <v>[182]=535,</v>
      </c>
      <c r="K182" s="3">
        <f t="shared" si="7"/>
        <v>182</v>
      </c>
      <c r="L182" s="3">
        <f t="shared" si="8"/>
        <v>535</v>
      </c>
      <c r="M182" s="8" t="str">
        <f>VLOOKUP(A182,'ESO wayshrine names'!$A$3:$B$5104,2,)</f>
        <v>Grimfield Wayshrine</v>
      </c>
      <c r="N182" s="3" t="str">
        <f>VLOOKUP(F182,'ESO zone constants'!$A$5:$D$10001,4,FALSE)</f>
        <v>Betnikh</v>
      </c>
    </row>
    <row r="183" spans="1:14" x14ac:dyDescent="0.25">
      <c r="A183" s="90">
        <v>183</v>
      </c>
      <c r="B183">
        <v>20</v>
      </c>
      <c r="C183">
        <v>227</v>
      </c>
      <c r="D183" t="s">
        <v>383</v>
      </c>
      <c r="E183">
        <v>306</v>
      </c>
      <c r="F183">
        <v>535</v>
      </c>
      <c r="G183" t="s">
        <v>383</v>
      </c>
      <c r="H183">
        <v>1</v>
      </c>
      <c r="I183" t="s">
        <v>2922</v>
      </c>
      <c r="J183" s="30" t="str">
        <f t="shared" si="6"/>
        <v>[183]=535,</v>
      </c>
      <c r="K183" s="3">
        <f t="shared" si="7"/>
        <v>183</v>
      </c>
      <c r="L183" s="3">
        <f t="shared" si="8"/>
        <v>535</v>
      </c>
      <c r="M183" s="8" t="str">
        <f>VLOOKUP(A183,'ESO wayshrine names'!$A$3:$B$5104,2,)</f>
        <v>Carved Hills Wayshrine</v>
      </c>
      <c r="N183" s="3" t="str">
        <f>VLOOKUP(F183,'ESO zone constants'!$A$5:$D$10001,4,FALSE)</f>
        <v>Betnikh</v>
      </c>
    </row>
    <row r="184" spans="1:14" x14ac:dyDescent="0.25">
      <c r="A184" s="90">
        <v>184</v>
      </c>
      <c r="B184">
        <v>23</v>
      </c>
      <c r="C184">
        <v>255</v>
      </c>
      <c r="D184" t="s">
        <v>2359</v>
      </c>
      <c r="E184">
        <v>155</v>
      </c>
      <c r="F184">
        <v>347</v>
      </c>
      <c r="G184" t="s">
        <v>2359</v>
      </c>
      <c r="H184">
        <v>6</v>
      </c>
      <c r="I184" t="s">
        <v>2923</v>
      </c>
      <c r="J184" s="30" t="str">
        <f t="shared" si="6"/>
        <v>[184]=347,</v>
      </c>
      <c r="K184" s="3">
        <f t="shared" si="7"/>
        <v>184</v>
      </c>
      <c r="L184" s="3">
        <f t="shared" si="8"/>
        <v>347</v>
      </c>
      <c r="M184" s="8" t="str">
        <f>VLOOKUP(A184,'ESO wayshrine names'!$A$3:$B$5104,2,)</f>
        <v>Dungeon: Vaults of Madness</v>
      </c>
      <c r="N184" s="3" t="str">
        <f>VLOOKUP(F184,'ESO zone constants'!$A$5:$D$10001,4,FALSE)</f>
        <v>Coldharbour</v>
      </c>
    </row>
    <row r="185" spans="1:14" x14ac:dyDescent="0.25">
      <c r="A185" s="90">
        <v>185</v>
      </c>
      <c r="B185">
        <v>17</v>
      </c>
      <c r="C185">
        <v>256</v>
      </c>
      <c r="D185" t="s">
        <v>2285</v>
      </c>
      <c r="E185">
        <v>180</v>
      </c>
      <c r="F185">
        <v>382</v>
      </c>
      <c r="G185" t="s">
        <v>2285</v>
      </c>
      <c r="H185">
        <v>6</v>
      </c>
      <c r="I185" t="s">
        <v>2924</v>
      </c>
      <c r="J185" s="30" t="str">
        <f t="shared" si="6"/>
        <v>[185]=382,</v>
      </c>
      <c r="K185" s="3">
        <f t="shared" si="7"/>
        <v>185</v>
      </c>
      <c r="L185" s="3">
        <f t="shared" si="8"/>
        <v>382</v>
      </c>
      <c r="M185" s="8" t="str">
        <f>VLOOKUP(A185,'ESO wayshrine names'!$A$3:$B$5104,2,)</f>
        <v>Dungeon: Selene's Web</v>
      </c>
      <c r="N185" s="3" t="str">
        <f>VLOOKUP(F185,'ESO zone constants'!$A$5:$D$10001,4,FALSE)</f>
        <v>Reaper's March</v>
      </c>
    </row>
    <row r="186" spans="1:14" x14ac:dyDescent="0.25">
      <c r="A186" s="90">
        <v>186</v>
      </c>
      <c r="B186">
        <v>6</v>
      </c>
      <c r="C186">
        <v>20</v>
      </c>
      <c r="D186" t="s">
        <v>109</v>
      </c>
      <c r="E186">
        <v>14</v>
      </c>
      <c r="F186">
        <v>92</v>
      </c>
      <c r="G186" t="s">
        <v>109</v>
      </c>
      <c r="H186">
        <v>6</v>
      </c>
      <c r="I186" t="s">
        <v>2925</v>
      </c>
      <c r="J186" s="30" t="str">
        <f t="shared" si="6"/>
        <v>[186]=92,</v>
      </c>
      <c r="K186" s="3">
        <f t="shared" si="7"/>
        <v>186</v>
      </c>
      <c r="L186" s="3">
        <f t="shared" si="8"/>
        <v>92</v>
      </c>
      <c r="M186" s="8" t="str">
        <f>VLOOKUP(A186,'ESO wayshrine names'!$A$3:$B$5104,2,)</f>
        <v>Dungeon: Blackheart Haven</v>
      </c>
      <c r="N186" s="3" t="str">
        <f>VLOOKUP(F186,'ESO zone constants'!$A$5:$D$10001,4,FALSE)</f>
        <v>Bangkorai</v>
      </c>
    </row>
    <row r="187" spans="1:14" x14ac:dyDescent="0.25">
      <c r="A187" s="90">
        <v>187</v>
      </c>
      <c r="B187">
        <v>12</v>
      </c>
      <c r="C187">
        <v>125</v>
      </c>
      <c r="D187" t="s">
        <v>2301</v>
      </c>
      <c r="E187">
        <v>16</v>
      </c>
      <c r="F187">
        <v>103</v>
      </c>
      <c r="G187" t="s">
        <v>2301</v>
      </c>
      <c r="H187">
        <v>6</v>
      </c>
      <c r="I187" t="s">
        <v>2926</v>
      </c>
      <c r="J187" s="30" t="str">
        <f t="shared" si="6"/>
        <v>[187]=103,</v>
      </c>
      <c r="K187" s="3">
        <f t="shared" si="7"/>
        <v>187</v>
      </c>
      <c r="L187" s="3">
        <f t="shared" si="8"/>
        <v>103</v>
      </c>
      <c r="M187" s="8" t="str">
        <f>VLOOKUP(A187,'ESO wayshrine names'!$A$3:$B$5104,2,)</f>
        <v>Dungeon: Blessed Crucible</v>
      </c>
      <c r="N187" s="3" t="str">
        <f>VLOOKUP(F187,'ESO zone constants'!$A$5:$D$10001,4,FALSE)</f>
        <v>The Rift</v>
      </c>
    </row>
    <row r="188" spans="1:14" x14ac:dyDescent="0.25">
      <c r="A188" s="90">
        <v>188</v>
      </c>
      <c r="B188">
        <v>8</v>
      </c>
      <c r="C188">
        <v>22</v>
      </c>
      <c r="D188" t="s">
        <v>108</v>
      </c>
      <c r="E188">
        <v>11</v>
      </c>
      <c r="F188">
        <v>58</v>
      </c>
      <c r="G188" t="s">
        <v>108</v>
      </c>
      <c r="H188">
        <v>6</v>
      </c>
      <c r="I188" t="s">
        <v>2927</v>
      </c>
      <c r="J188" s="30" t="str">
        <f t="shared" si="6"/>
        <v>[188]=58,</v>
      </c>
      <c r="K188" s="3">
        <f t="shared" si="7"/>
        <v>188</v>
      </c>
      <c r="L188" s="3">
        <f t="shared" si="8"/>
        <v>58</v>
      </c>
      <c r="M188" s="8" t="str">
        <f>VLOOKUP(A188,'ESO wayshrine names'!$A$3:$B$5104,2,)</f>
        <v>Dungeon: Tempest Island</v>
      </c>
      <c r="N188" s="3" t="str">
        <f>VLOOKUP(F188,'ESO zone constants'!$A$5:$D$10001,4,FALSE)</f>
        <v>Malabal Tor</v>
      </c>
    </row>
    <row r="189" spans="1:14" x14ac:dyDescent="0.25">
      <c r="A189" s="90">
        <v>189</v>
      </c>
      <c r="B189">
        <v>4</v>
      </c>
      <c r="C189">
        <v>12</v>
      </c>
      <c r="D189" t="s">
        <v>2299</v>
      </c>
      <c r="E189">
        <v>4</v>
      </c>
      <c r="F189">
        <v>19</v>
      </c>
      <c r="G189" t="s">
        <v>2299</v>
      </c>
      <c r="H189">
        <v>6</v>
      </c>
      <c r="I189" t="s">
        <v>3781</v>
      </c>
      <c r="J189" s="30" t="str">
        <f t="shared" si="6"/>
        <v>[189]=19,</v>
      </c>
      <c r="K189" s="3">
        <f t="shared" si="7"/>
        <v>189</v>
      </c>
      <c r="L189" s="3">
        <f t="shared" si="8"/>
        <v>19</v>
      </c>
      <c r="M189" s="8" t="str">
        <f>VLOOKUP(A189,'ESO wayshrine names'!$A$3:$B$5104,2,)</f>
        <v>Dungeon: Wayrest Sewers I</v>
      </c>
      <c r="N189" s="3" t="str">
        <f>VLOOKUP(F189,'ESO zone constants'!$A$5:$D$10001,4,FALSE)</f>
        <v>Stormhaven</v>
      </c>
    </row>
    <row r="190" spans="1:14" x14ac:dyDescent="0.25">
      <c r="A190" s="90">
        <v>190</v>
      </c>
      <c r="B190">
        <v>3</v>
      </c>
      <c r="C190">
        <v>10</v>
      </c>
      <c r="D190" t="s">
        <v>2298</v>
      </c>
      <c r="E190">
        <v>5</v>
      </c>
      <c r="F190">
        <v>20</v>
      </c>
      <c r="G190" t="s">
        <v>2298</v>
      </c>
      <c r="H190">
        <v>6</v>
      </c>
      <c r="I190" t="s">
        <v>2928</v>
      </c>
      <c r="J190" s="30" t="str">
        <f t="shared" si="6"/>
        <v>[190]=20,</v>
      </c>
      <c r="K190" s="3">
        <f t="shared" si="7"/>
        <v>190</v>
      </c>
      <c r="L190" s="3">
        <f t="shared" si="8"/>
        <v>20</v>
      </c>
      <c r="M190" s="8" t="str">
        <f>VLOOKUP(A190,'ESO wayshrine names'!$A$3:$B$5104,2,)</f>
        <v>Dungeon: Crypt of Hearts I</v>
      </c>
      <c r="N190" s="3" t="str">
        <f>VLOOKUP(F190,'ESO zone constants'!$A$5:$D$10001,4,FALSE)</f>
        <v>Rivenspire</v>
      </c>
    </row>
    <row r="191" spans="1:14" x14ac:dyDescent="0.25">
      <c r="A191" s="90">
        <v>191</v>
      </c>
      <c r="B191">
        <v>7</v>
      </c>
      <c r="C191">
        <v>9</v>
      </c>
      <c r="D191" t="s">
        <v>2282</v>
      </c>
      <c r="E191">
        <v>181</v>
      </c>
      <c r="F191">
        <v>383</v>
      </c>
      <c r="G191" t="s">
        <v>2282</v>
      </c>
      <c r="H191">
        <v>6</v>
      </c>
      <c r="I191" t="s">
        <v>2929</v>
      </c>
      <c r="J191" s="30" t="str">
        <f t="shared" si="6"/>
        <v>[191]=383,</v>
      </c>
      <c r="K191" s="3">
        <f t="shared" si="7"/>
        <v>191</v>
      </c>
      <c r="L191" s="3">
        <f t="shared" si="8"/>
        <v>383</v>
      </c>
      <c r="M191" s="8" t="str">
        <f>VLOOKUP(A191,'ESO wayshrine names'!$A$3:$B$5104,2,)</f>
        <v>Dungeon: Elden Hollow I</v>
      </c>
      <c r="N191" s="3" t="str">
        <f>VLOOKUP(F191,'ESO zone constants'!$A$5:$D$10001,4,FALSE)</f>
        <v>Grahtwood</v>
      </c>
    </row>
    <row r="192" spans="1:14" x14ac:dyDescent="0.25">
      <c r="A192" s="90">
        <v>192</v>
      </c>
      <c r="B192">
        <v>9</v>
      </c>
      <c r="C192">
        <v>26</v>
      </c>
      <c r="D192" t="s">
        <v>2302</v>
      </c>
      <c r="E192">
        <v>19</v>
      </c>
      <c r="F192">
        <v>117</v>
      </c>
      <c r="G192" t="s">
        <v>2302</v>
      </c>
      <c r="H192">
        <v>6</v>
      </c>
      <c r="I192" t="s">
        <v>2930</v>
      </c>
      <c r="J192" s="30" t="str">
        <f t="shared" si="6"/>
        <v>[192]=117,</v>
      </c>
      <c r="K192" s="3">
        <f t="shared" si="7"/>
        <v>192</v>
      </c>
      <c r="L192" s="3">
        <f t="shared" si="8"/>
        <v>117</v>
      </c>
      <c r="M192" s="8" t="str">
        <f>VLOOKUP(A192,'ESO wayshrine names'!$A$3:$B$5104,2,)</f>
        <v>Dungeon: Arx Corinium</v>
      </c>
      <c r="N192" s="3" t="str">
        <f>VLOOKUP(F192,'ESO zone constants'!$A$5:$D$10001,4,FALSE)</f>
        <v>Shadowfen</v>
      </c>
    </row>
    <row r="193" spans="1:14" x14ac:dyDescent="0.25">
      <c r="A193" s="90">
        <v>193</v>
      </c>
      <c r="B193">
        <v>2</v>
      </c>
      <c r="C193">
        <v>1</v>
      </c>
      <c r="D193" t="s">
        <v>103</v>
      </c>
      <c r="E193">
        <v>2</v>
      </c>
      <c r="F193">
        <v>3</v>
      </c>
      <c r="G193" t="s">
        <v>103</v>
      </c>
      <c r="H193">
        <v>6</v>
      </c>
      <c r="I193" t="s">
        <v>2931</v>
      </c>
      <c r="J193" s="30" t="str">
        <f t="shared" si="6"/>
        <v>[193]=3,</v>
      </c>
      <c r="K193" s="3">
        <f t="shared" si="7"/>
        <v>193</v>
      </c>
      <c r="L193" s="3">
        <f t="shared" si="8"/>
        <v>3</v>
      </c>
      <c r="M193" s="8" t="str">
        <f>VLOOKUP(A193,'ESO wayshrine names'!$A$3:$B$5104,2,)</f>
        <v>Dungeon: Spindleclutch I</v>
      </c>
      <c r="N193" s="3" t="str">
        <f>VLOOKUP(F193,'ESO zone constants'!$A$5:$D$10001,4,FALSE)</f>
        <v>Glenumbra</v>
      </c>
    </row>
    <row r="194" spans="1:14" x14ac:dyDescent="0.25">
      <c r="A194" s="90">
        <v>194</v>
      </c>
      <c r="B194">
        <v>15</v>
      </c>
      <c r="C194">
        <v>143</v>
      </c>
      <c r="D194" t="s">
        <v>262</v>
      </c>
      <c r="E194">
        <v>179</v>
      </c>
      <c r="F194">
        <v>381</v>
      </c>
      <c r="G194" t="s">
        <v>262</v>
      </c>
      <c r="H194">
        <v>6</v>
      </c>
      <c r="I194" t="s">
        <v>2932</v>
      </c>
      <c r="J194" s="30" t="str">
        <f t="shared" si="6"/>
        <v>[194]=381,</v>
      </c>
      <c r="K194" s="3">
        <f t="shared" si="7"/>
        <v>194</v>
      </c>
      <c r="L194" s="3">
        <f t="shared" si="8"/>
        <v>381</v>
      </c>
      <c r="M194" s="8" t="str">
        <f>VLOOKUP(A194,'ESO wayshrine names'!$A$3:$B$5104,2,)</f>
        <v>Dungeon: The Banished Cells I</v>
      </c>
      <c r="N194" s="3" t="str">
        <f>VLOOKUP(F194,'ESO zone constants'!$A$5:$D$10001,4,FALSE)</f>
        <v>Auridon</v>
      </c>
    </row>
    <row r="195" spans="1:14" x14ac:dyDescent="0.25">
      <c r="A195" s="90">
        <v>195</v>
      </c>
      <c r="B195">
        <v>13</v>
      </c>
      <c r="C195">
        <v>61</v>
      </c>
      <c r="D195" t="s">
        <v>2300</v>
      </c>
      <c r="E195">
        <v>15</v>
      </c>
      <c r="F195">
        <v>101</v>
      </c>
      <c r="G195" t="s">
        <v>2300</v>
      </c>
      <c r="H195">
        <v>6</v>
      </c>
      <c r="I195" t="s">
        <v>3241</v>
      </c>
      <c r="J195" s="30" t="str">
        <f t="shared" ref="J195:J258" si="9">IF(A195&lt;&gt;"",IF(F195&lt;&gt;"",IF(OR(ISNA(A195),ISNA(F195)),"","["&amp;A195&amp;"]="&amp;F195&amp;","),""),"")</f>
        <v>[195]=101,</v>
      </c>
      <c r="K195" s="3">
        <f t="shared" ref="K195:K258" si="10">A195</f>
        <v>195</v>
      </c>
      <c r="L195" s="3">
        <f t="shared" ref="L195:L258" si="11">F195</f>
        <v>101</v>
      </c>
      <c r="M195" s="8" t="str">
        <f>VLOOKUP(A195,'ESO wayshrine names'!$A$3:$B$5104,2,)</f>
        <v>Dungeon: Direfrost Keep</v>
      </c>
      <c r="N195" s="3" t="str">
        <f>VLOOKUP(F195,'ESO zone constants'!$A$5:$D$10001,4,FALSE)</f>
        <v>Eastmarch</v>
      </c>
    </row>
    <row r="196" spans="1:14" x14ac:dyDescent="0.25">
      <c r="A196" s="90">
        <v>196</v>
      </c>
      <c r="B196">
        <v>5</v>
      </c>
      <c r="C196">
        <v>30</v>
      </c>
      <c r="D196" t="s">
        <v>3177</v>
      </c>
      <c r="E196">
        <v>17</v>
      </c>
      <c r="F196">
        <v>104</v>
      </c>
      <c r="G196" t="s">
        <v>2297</v>
      </c>
      <c r="H196">
        <v>6</v>
      </c>
      <c r="I196" t="s">
        <v>2933</v>
      </c>
      <c r="J196" s="30" t="str">
        <f t="shared" si="9"/>
        <v>[196]=104,</v>
      </c>
      <c r="K196" s="3">
        <f t="shared" si="10"/>
        <v>196</v>
      </c>
      <c r="L196" s="3">
        <f t="shared" si="11"/>
        <v>104</v>
      </c>
      <c r="M196" s="8" t="str">
        <f>VLOOKUP(A196,'ESO wayshrine names'!$A$3:$B$5104,2,)</f>
        <v>Dungeon: Volenfell</v>
      </c>
      <c r="N196" s="3" t="str">
        <f>VLOOKUP(F196,'ESO zone constants'!$A$5:$D$10001,4,FALSE)</f>
        <v>Alik'r Desert</v>
      </c>
    </row>
    <row r="197" spans="1:14" x14ac:dyDescent="0.25">
      <c r="A197" s="90">
        <v>197</v>
      </c>
      <c r="B197">
        <v>16</v>
      </c>
      <c r="C197">
        <v>300</v>
      </c>
      <c r="D197" t="s">
        <v>2284</v>
      </c>
      <c r="E197">
        <v>18</v>
      </c>
      <c r="F197">
        <v>108</v>
      </c>
      <c r="G197" t="s">
        <v>2284</v>
      </c>
      <c r="H197">
        <v>6</v>
      </c>
      <c r="I197" t="s">
        <v>2934</v>
      </c>
      <c r="J197" s="30" t="str">
        <f t="shared" si="9"/>
        <v>[197]=108,</v>
      </c>
      <c r="K197" s="3">
        <f t="shared" si="10"/>
        <v>197</v>
      </c>
      <c r="L197" s="3">
        <f t="shared" si="11"/>
        <v>108</v>
      </c>
      <c r="M197" s="8" t="str">
        <f>VLOOKUP(A197,'ESO wayshrine names'!$A$3:$B$5104,2,)</f>
        <v>Dungeon: City of Ash I</v>
      </c>
      <c r="N197" s="3" t="str">
        <f>VLOOKUP(F197,'ESO zone constants'!$A$5:$D$10001,4,FALSE)</f>
        <v>Greenshade</v>
      </c>
    </row>
    <row r="198" spans="1:14" x14ac:dyDescent="0.25">
      <c r="A198" s="90">
        <v>198</v>
      </c>
      <c r="B198">
        <v>10</v>
      </c>
      <c r="C198">
        <v>13</v>
      </c>
      <c r="D198" t="s">
        <v>107</v>
      </c>
      <c r="E198">
        <v>10</v>
      </c>
      <c r="F198">
        <v>57</v>
      </c>
      <c r="G198" t="s">
        <v>107</v>
      </c>
      <c r="H198">
        <v>6</v>
      </c>
      <c r="I198" t="s">
        <v>2935</v>
      </c>
      <c r="J198" s="30" t="str">
        <f t="shared" si="9"/>
        <v>[198]=57,</v>
      </c>
      <c r="K198" s="3">
        <f t="shared" si="10"/>
        <v>198</v>
      </c>
      <c r="L198" s="3">
        <f t="shared" si="11"/>
        <v>57</v>
      </c>
      <c r="M198" s="8" t="str">
        <f>VLOOKUP(A198,'ESO wayshrine names'!$A$3:$B$5104,2,)</f>
        <v>Dungeon: Darkshade Caverns I</v>
      </c>
      <c r="N198" s="3" t="str">
        <f>VLOOKUP(F198,'ESO zone constants'!$A$5:$D$10001,4,FALSE)</f>
        <v>Deshaan</v>
      </c>
    </row>
    <row r="199" spans="1:14" x14ac:dyDescent="0.25">
      <c r="A199" s="90">
        <v>199</v>
      </c>
      <c r="B199">
        <v>14</v>
      </c>
      <c r="C199">
        <v>16</v>
      </c>
      <c r="D199" t="s">
        <v>125</v>
      </c>
      <c r="E199">
        <v>38</v>
      </c>
      <c r="F199">
        <v>181</v>
      </c>
      <c r="G199" t="s">
        <v>125</v>
      </c>
      <c r="H199">
        <v>1</v>
      </c>
      <c r="I199" t="s">
        <v>2936</v>
      </c>
      <c r="J199" s="30" t="str">
        <f t="shared" si="9"/>
        <v>[199]=181,</v>
      </c>
      <c r="K199" s="3">
        <f t="shared" si="10"/>
        <v>199</v>
      </c>
      <c r="L199" s="3">
        <f t="shared" si="11"/>
        <v>181</v>
      </c>
      <c r="M199" s="8" t="str">
        <f>VLOOKUP(A199,'ESO wayshrine names'!$A$3:$B$5104,2,)</f>
        <v>Southern High Rock Wayshrine</v>
      </c>
      <c r="N199" s="3" t="str">
        <f>VLOOKUP(F199,'ESO zone constants'!$A$5:$D$10001,4,FALSE)</f>
        <v>Cyrodiil</v>
      </c>
    </row>
    <row r="200" spans="1:14" x14ac:dyDescent="0.25">
      <c r="A200" s="90">
        <v>200</v>
      </c>
      <c r="B200">
        <v>14</v>
      </c>
      <c r="C200">
        <v>16</v>
      </c>
      <c r="D200" t="s">
        <v>125</v>
      </c>
      <c r="E200">
        <v>38</v>
      </c>
      <c r="F200">
        <v>181</v>
      </c>
      <c r="G200" t="s">
        <v>125</v>
      </c>
      <c r="H200">
        <v>1</v>
      </c>
      <c r="I200" t="s">
        <v>2937</v>
      </c>
      <c r="J200" s="30" t="str">
        <f t="shared" si="9"/>
        <v>[200]=181,</v>
      </c>
      <c r="K200" s="3">
        <f t="shared" si="10"/>
        <v>200</v>
      </c>
      <c r="L200" s="3">
        <f t="shared" si="11"/>
        <v>181</v>
      </c>
      <c r="M200" s="8" t="str">
        <f>VLOOKUP(A200,'ESO wayshrine names'!$A$3:$B$5104,2,)</f>
        <v>Eastern Elsweyr Wayshrine</v>
      </c>
      <c r="N200" s="3" t="str">
        <f>VLOOKUP(F200,'ESO zone constants'!$A$5:$D$10001,4,FALSE)</f>
        <v>Cyrodiil</v>
      </c>
    </row>
    <row r="201" spans="1:14" x14ac:dyDescent="0.25">
      <c r="A201" s="90">
        <v>201</v>
      </c>
      <c r="B201">
        <v>14</v>
      </c>
      <c r="C201">
        <v>16</v>
      </c>
      <c r="D201" t="s">
        <v>125</v>
      </c>
      <c r="E201">
        <v>38</v>
      </c>
      <c r="F201">
        <v>181</v>
      </c>
      <c r="G201" t="s">
        <v>125</v>
      </c>
      <c r="H201">
        <v>1</v>
      </c>
      <c r="I201" t="s">
        <v>2938</v>
      </c>
      <c r="J201" s="30" t="str">
        <f t="shared" si="9"/>
        <v>[201]=181,</v>
      </c>
      <c r="K201" s="3">
        <f t="shared" si="10"/>
        <v>201</v>
      </c>
      <c r="L201" s="3">
        <f t="shared" si="11"/>
        <v>181</v>
      </c>
      <c r="M201" s="8" t="str">
        <f>VLOOKUP(A201,'ESO wayshrine names'!$A$3:$B$5104,2,)</f>
        <v>Western Elsweyr Wayshrine</v>
      </c>
      <c r="N201" s="3" t="str">
        <f>VLOOKUP(F201,'ESO zone constants'!$A$5:$D$10001,4,FALSE)</f>
        <v>Cyrodiil</v>
      </c>
    </row>
    <row r="202" spans="1:14" x14ac:dyDescent="0.25">
      <c r="A202" s="90">
        <v>202</v>
      </c>
      <c r="B202">
        <v>14</v>
      </c>
      <c r="C202">
        <v>16</v>
      </c>
      <c r="D202" t="s">
        <v>125</v>
      </c>
      <c r="E202">
        <v>38</v>
      </c>
      <c r="F202">
        <v>181</v>
      </c>
      <c r="G202" t="s">
        <v>125</v>
      </c>
      <c r="H202">
        <v>1</v>
      </c>
      <c r="I202" t="s">
        <v>2939</v>
      </c>
      <c r="J202" s="30" t="str">
        <f t="shared" si="9"/>
        <v>[202]=181,</v>
      </c>
      <c r="K202" s="3">
        <f t="shared" si="10"/>
        <v>202</v>
      </c>
      <c r="L202" s="3">
        <f t="shared" si="11"/>
        <v>181</v>
      </c>
      <c r="M202" s="8" t="str">
        <f>VLOOKUP(A202,'ESO wayshrine names'!$A$3:$B$5104,2,)</f>
        <v>North Morrowind Wayshrine</v>
      </c>
      <c r="N202" s="3" t="str">
        <f>VLOOKUP(F202,'ESO zone constants'!$A$5:$D$10001,4,FALSE)</f>
        <v>Cyrodiil</v>
      </c>
    </row>
    <row r="203" spans="1:14" x14ac:dyDescent="0.25">
      <c r="A203" s="90">
        <v>203</v>
      </c>
      <c r="B203">
        <v>14</v>
      </c>
      <c r="C203">
        <v>16</v>
      </c>
      <c r="D203" t="s">
        <v>125</v>
      </c>
      <c r="E203">
        <v>38</v>
      </c>
      <c r="F203">
        <v>181</v>
      </c>
      <c r="G203" t="s">
        <v>125</v>
      </c>
      <c r="H203">
        <v>1</v>
      </c>
      <c r="I203" t="s">
        <v>2940</v>
      </c>
      <c r="J203" s="30" t="str">
        <f t="shared" si="9"/>
        <v>[203]=181,</v>
      </c>
      <c r="K203" s="3">
        <f t="shared" si="10"/>
        <v>203</v>
      </c>
      <c r="L203" s="3">
        <f t="shared" si="11"/>
        <v>181</v>
      </c>
      <c r="M203" s="8" t="str">
        <f>VLOOKUP(A203,'ESO wayshrine names'!$A$3:$B$5104,2,)</f>
        <v>South Morrowind Wayshrine</v>
      </c>
      <c r="N203" s="3" t="str">
        <f>VLOOKUP(F203,'ESO zone constants'!$A$5:$D$10001,4,FALSE)</f>
        <v>Cyrodiil</v>
      </c>
    </row>
    <row r="204" spans="1:14" x14ac:dyDescent="0.25">
      <c r="A204" s="90">
        <v>204</v>
      </c>
      <c r="B204">
        <v>6</v>
      </c>
      <c r="C204">
        <v>20</v>
      </c>
      <c r="D204" t="s">
        <v>109</v>
      </c>
      <c r="E204">
        <v>14</v>
      </c>
      <c r="F204">
        <v>92</v>
      </c>
      <c r="G204" t="s">
        <v>109</v>
      </c>
      <c r="H204">
        <v>1</v>
      </c>
      <c r="I204" t="s">
        <v>2941</v>
      </c>
      <c r="J204" s="30" t="str">
        <f t="shared" si="9"/>
        <v>[204]=92,</v>
      </c>
      <c r="K204" s="3">
        <f t="shared" si="10"/>
        <v>204</v>
      </c>
      <c r="L204" s="3">
        <f t="shared" si="11"/>
        <v>92</v>
      </c>
      <c r="M204" s="8" t="str">
        <f>VLOOKUP(A204,'ESO wayshrine names'!$A$3:$B$5104,2,)</f>
        <v>Eastern Evermore Wayshrine</v>
      </c>
      <c r="N204" s="3" t="str">
        <f>VLOOKUP(F204,'ESO zone constants'!$A$5:$D$10001,4,FALSE)</f>
        <v>Bangkorai</v>
      </c>
    </row>
    <row r="205" spans="1:14" x14ac:dyDescent="0.25">
      <c r="A205" s="90">
        <v>205</v>
      </c>
      <c r="B205">
        <v>10</v>
      </c>
      <c r="C205">
        <v>13</v>
      </c>
      <c r="D205" t="s">
        <v>107</v>
      </c>
      <c r="E205">
        <v>10</v>
      </c>
      <c r="F205">
        <v>57</v>
      </c>
      <c r="G205" t="s">
        <v>107</v>
      </c>
      <c r="H205">
        <v>1</v>
      </c>
      <c r="I205" t="s">
        <v>2942</v>
      </c>
      <c r="J205" s="30" t="str">
        <f t="shared" si="9"/>
        <v>[205]=57,</v>
      </c>
      <c r="K205" s="3">
        <f t="shared" si="10"/>
        <v>205</v>
      </c>
      <c r="L205" s="3">
        <f t="shared" si="11"/>
        <v>57</v>
      </c>
      <c r="M205" s="8" t="str">
        <f>VLOOKUP(A205,'ESO wayshrine names'!$A$3:$B$5104,2,)</f>
        <v>Shad Astula Wayshrine</v>
      </c>
      <c r="N205" s="3" t="str">
        <f>VLOOKUP(F205,'ESO zone constants'!$A$5:$D$10001,4,FALSE)</f>
        <v>Deshaan</v>
      </c>
    </row>
    <row r="206" spans="1:14" x14ac:dyDescent="0.25">
      <c r="A206" s="90">
        <v>206</v>
      </c>
      <c r="B206">
        <v>6</v>
      </c>
      <c r="C206">
        <v>20</v>
      </c>
      <c r="D206" t="s">
        <v>109</v>
      </c>
      <c r="E206">
        <v>14</v>
      </c>
      <c r="F206">
        <v>92</v>
      </c>
      <c r="G206" t="s">
        <v>109</v>
      </c>
      <c r="H206">
        <v>1</v>
      </c>
      <c r="I206" t="s">
        <v>2943</v>
      </c>
      <c r="J206" s="30" t="str">
        <f t="shared" si="9"/>
        <v>[206]=92,</v>
      </c>
      <c r="K206" s="3">
        <f t="shared" si="10"/>
        <v>206</v>
      </c>
      <c r="L206" s="3">
        <f t="shared" si="11"/>
        <v>92</v>
      </c>
      <c r="M206" s="8" t="str">
        <f>VLOOKUP(A206,'ESO wayshrine names'!$A$3:$B$5104,2,)</f>
        <v>Halcyon Lake Wayshrine</v>
      </c>
      <c r="N206" s="3" t="str">
        <f>VLOOKUP(F206,'ESO zone constants'!$A$5:$D$10001,4,FALSE)</f>
        <v>Bangkorai</v>
      </c>
    </row>
    <row r="207" spans="1:14" x14ac:dyDescent="0.25">
      <c r="A207" s="90">
        <v>207</v>
      </c>
      <c r="B207">
        <v>7</v>
      </c>
      <c r="C207">
        <v>9</v>
      </c>
      <c r="D207" t="s">
        <v>2282</v>
      </c>
      <c r="E207">
        <v>181</v>
      </c>
      <c r="F207">
        <v>383</v>
      </c>
      <c r="G207" t="s">
        <v>2282</v>
      </c>
      <c r="H207">
        <v>1</v>
      </c>
      <c r="I207" t="s">
        <v>2944</v>
      </c>
      <c r="J207" s="30" t="str">
        <f t="shared" si="9"/>
        <v>[207]=383,</v>
      </c>
      <c r="K207" s="3">
        <f t="shared" si="10"/>
        <v>207</v>
      </c>
      <c r="L207" s="3">
        <f t="shared" si="11"/>
        <v>383</v>
      </c>
      <c r="M207" s="8" t="str">
        <f>VLOOKUP(A207,'ESO wayshrine names'!$A$3:$B$5104,2,)</f>
        <v>Gray Mire Wayshrine</v>
      </c>
      <c r="N207" s="3" t="str">
        <f>VLOOKUP(F207,'ESO zone constants'!$A$5:$D$10001,4,FALSE)</f>
        <v>Grahtwood</v>
      </c>
    </row>
    <row r="208" spans="1:14" x14ac:dyDescent="0.25">
      <c r="A208" s="90">
        <v>208</v>
      </c>
      <c r="B208">
        <v>3</v>
      </c>
      <c r="C208">
        <v>10</v>
      </c>
      <c r="D208" t="s">
        <v>2298</v>
      </c>
      <c r="E208">
        <v>5</v>
      </c>
      <c r="F208">
        <v>20</v>
      </c>
      <c r="G208" t="s">
        <v>2298</v>
      </c>
      <c r="H208">
        <v>1</v>
      </c>
      <c r="I208" t="s">
        <v>2945</v>
      </c>
      <c r="J208" s="30" t="str">
        <f t="shared" si="9"/>
        <v>[208]=20,</v>
      </c>
      <c r="K208" s="3">
        <f t="shared" si="10"/>
        <v>208</v>
      </c>
      <c r="L208" s="3">
        <f t="shared" si="11"/>
        <v>20</v>
      </c>
      <c r="M208" s="8" t="str">
        <f>VLOOKUP(A208,'ESO wayshrine names'!$A$3:$B$5104,2,)</f>
        <v>Shrouded Pass Wayshrine</v>
      </c>
      <c r="N208" s="3" t="str">
        <f>VLOOKUP(F208,'ESO zone constants'!$A$5:$D$10001,4,FALSE)</f>
        <v>Rivenspire</v>
      </c>
    </row>
    <row r="209" spans="1:14" x14ac:dyDescent="0.25">
      <c r="A209" s="90">
        <v>210</v>
      </c>
      <c r="B209">
        <v>2</v>
      </c>
      <c r="C209">
        <v>1</v>
      </c>
      <c r="D209" t="s">
        <v>103</v>
      </c>
      <c r="E209">
        <v>2</v>
      </c>
      <c r="F209">
        <v>3</v>
      </c>
      <c r="G209" t="s">
        <v>103</v>
      </c>
      <c r="H209">
        <v>1</v>
      </c>
      <c r="I209" t="s">
        <v>2946</v>
      </c>
      <c r="J209" s="30" t="str">
        <f t="shared" si="9"/>
        <v>[210]=3,</v>
      </c>
      <c r="K209" s="3">
        <f t="shared" si="10"/>
        <v>210</v>
      </c>
      <c r="L209" s="3">
        <f t="shared" si="11"/>
        <v>3</v>
      </c>
      <c r="M209" s="8" t="str">
        <f>VLOOKUP(A209,'ESO wayshrine names'!$A$3:$B$5104,2,)</f>
        <v>The Harborage</v>
      </c>
      <c r="N209" s="3" t="str">
        <f>VLOOKUP(F209,'ESO zone constants'!$A$5:$D$10001,4,FALSE)</f>
        <v>Glenumbra</v>
      </c>
    </row>
    <row r="210" spans="1:14" x14ac:dyDescent="0.25">
      <c r="A210" s="90">
        <v>211</v>
      </c>
      <c r="B210">
        <v>15</v>
      </c>
      <c r="C210">
        <v>143</v>
      </c>
      <c r="D210" t="s">
        <v>262</v>
      </c>
      <c r="E210">
        <v>179</v>
      </c>
      <c r="F210">
        <v>381</v>
      </c>
      <c r="G210" t="s">
        <v>262</v>
      </c>
      <c r="H210">
        <v>1</v>
      </c>
      <c r="I210" t="s">
        <v>2946</v>
      </c>
      <c r="J210" s="30" t="str">
        <f t="shared" si="9"/>
        <v>[211]=381,</v>
      </c>
      <c r="K210" s="3">
        <f t="shared" si="10"/>
        <v>211</v>
      </c>
      <c r="L210" s="3">
        <f t="shared" si="11"/>
        <v>381</v>
      </c>
      <c r="M210" s="8" t="str">
        <f>VLOOKUP(A210,'ESO wayshrine names'!$A$3:$B$5104,2,)</f>
        <v>The Harborage</v>
      </c>
      <c r="N210" s="3" t="str">
        <f>VLOOKUP(F210,'ESO zone constants'!$A$5:$D$10001,4,FALSE)</f>
        <v>Auridon</v>
      </c>
    </row>
    <row r="211" spans="1:14" x14ac:dyDescent="0.25">
      <c r="A211" s="90">
        <v>212</v>
      </c>
      <c r="B211">
        <v>11</v>
      </c>
      <c r="C211">
        <v>7</v>
      </c>
      <c r="D211" t="s">
        <v>2303</v>
      </c>
      <c r="E211">
        <v>9</v>
      </c>
      <c r="F211">
        <v>41</v>
      </c>
      <c r="G211" t="s">
        <v>2303</v>
      </c>
      <c r="H211">
        <v>1</v>
      </c>
      <c r="I211" t="s">
        <v>2946</v>
      </c>
      <c r="J211" s="30" t="str">
        <f t="shared" si="9"/>
        <v>[212]=41,</v>
      </c>
      <c r="K211" s="3">
        <f t="shared" si="10"/>
        <v>212</v>
      </c>
      <c r="L211" s="3">
        <f t="shared" si="11"/>
        <v>41</v>
      </c>
      <c r="M211" s="8" t="str">
        <f>VLOOKUP(A211,'ESO wayshrine names'!$A$3:$B$5104,2,)</f>
        <v>The Harborage</v>
      </c>
      <c r="N211" s="3" t="str">
        <f>VLOOKUP(F211,'ESO zone constants'!$A$5:$D$10001,4,FALSE)</f>
        <v>Stonefalls</v>
      </c>
    </row>
    <row r="212" spans="1:14" x14ac:dyDescent="0.25">
      <c r="A212" s="90">
        <v>213</v>
      </c>
      <c r="B212">
        <v>7</v>
      </c>
      <c r="C212">
        <v>9</v>
      </c>
      <c r="D212" t="s">
        <v>2282</v>
      </c>
      <c r="E212">
        <v>181</v>
      </c>
      <c r="F212">
        <v>383</v>
      </c>
      <c r="G212" t="s">
        <v>2282</v>
      </c>
      <c r="H212">
        <v>1</v>
      </c>
      <c r="I212" t="s">
        <v>2947</v>
      </c>
      <c r="J212" s="30" t="str">
        <f t="shared" si="9"/>
        <v>[213]=383,</v>
      </c>
      <c r="K212" s="3">
        <f t="shared" si="10"/>
        <v>213</v>
      </c>
      <c r="L212" s="3">
        <f t="shared" si="11"/>
        <v>383</v>
      </c>
      <c r="M212" s="8" t="str">
        <f>VLOOKUP(A212,'ESO wayshrine names'!$A$3:$B$5104,2,)</f>
        <v>Falinesti Winter Wayshrine</v>
      </c>
      <c r="N212" s="3" t="str">
        <f>VLOOKUP(F212,'ESO zone constants'!$A$5:$D$10001,4,FALSE)</f>
        <v>Grahtwood</v>
      </c>
    </row>
    <row r="213" spans="1:14" x14ac:dyDescent="0.25">
      <c r="A213" s="90">
        <v>214</v>
      </c>
      <c r="B213">
        <v>7</v>
      </c>
      <c r="C213">
        <v>9</v>
      </c>
      <c r="D213" t="s">
        <v>2282</v>
      </c>
      <c r="E213">
        <v>181</v>
      </c>
      <c r="F213">
        <v>383</v>
      </c>
      <c r="G213" t="s">
        <v>2282</v>
      </c>
      <c r="H213">
        <v>1</v>
      </c>
      <c r="I213" t="s">
        <v>2948</v>
      </c>
      <c r="J213" s="30" t="str">
        <f t="shared" si="9"/>
        <v>[214]=383,</v>
      </c>
      <c r="K213" s="3">
        <f t="shared" si="10"/>
        <v>214</v>
      </c>
      <c r="L213" s="3">
        <f t="shared" si="11"/>
        <v>383</v>
      </c>
      <c r="M213" s="8" t="str">
        <f>VLOOKUP(A213,'ESO wayshrine names'!$A$3:$B$5104,2,)</f>
        <v>Elden Root Wayshrine</v>
      </c>
      <c r="N213" s="3" t="str">
        <f>VLOOKUP(F213,'ESO zone constants'!$A$5:$D$10001,4,FALSE)</f>
        <v>Grahtwood</v>
      </c>
    </row>
    <row r="214" spans="1:14" x14ac:dyDescent="0.25">
      <c r="A214" s="90">
        <v>216</v>
      </c>
      <c r="B214">
        <v>2</v>
      </c>
      <c r="C214">
        <v>1</v>
      </c>
      <c r="D214" t="s">
        <v>103</v>
      </c>
      <c r="E214">
        <v>2</v>
      </c>
      <c r="F214">
        <v>3</v>
      </c>
      <c r="G214" t="s">
        <v>103</v>
      </c>
      <c r="H214">
        <v>1</v>
      </c>
      <c r="I214" t="s">
        <v>2949</v>
      </c>
      <c r="J214" s="30" t="str">
        <f t="shared" si="9"/>
        <v>[216]=3,</v>
      </c>
      <c r="K214" s="3">
        <f t="shared" si="10"/>
        <v>216</v>
      </c>
      <c r="L214" s="3">
        <f t="shared" si="11"/>
        <v>3</v>
      </c>
      <c r="M214" s="8" t="str">
        <f>VLOOKUP(A214,'ESO wayshrine names'!$A$3:$B$5104,2,)</f>
        <v>Hag Fen Wayshrine</v>
      </c>
      <c r="N214" s="3" t="str">
        <f>VLOOKUP(F214,'ESO zone constants'!$A$5:$D$10001,4,FALSE)</f>
        <v>Glenumbra</v>
      </c>
    </row>
    <row r="215" spans="1:14" x14ac:dyDescent="0.25">
      <c r="A215" s="90">
        <v>217</v>
      </c>
      <c r="B215">
        <v>25</v>
      </c>
      <c r="C215">
        <v>1126</v>
      </c>
      <c r="D215" t="s">
        <v>2360</v>
      </c>
      <c r="E215">
        <v>501</v>
      </c>
      <c r="F215">
        <v>888</v>
      </c>
      <c r="G215" t="s">
        <v>2360</v>
      </c>
      <c r="H215">
        <v>1</v>
      </c>
      <c r="I215" t="s">
        <v>3782</v>
      </c>
      <c r="J215" s="30" t="str">
        <f t="shared" si="9"/>
        <v>[217]=888,</v>
      </c>
      <c r="K215" s="3">
        <f t="shared" si="10"/>
        <v>217</v>
      </c>
      <c r="L215" s="3">
        <f t="shared" si="11"/>
        <v>888</v>
      </c>
      <c r="M215" s="8" t="str">
        <f>VLOOKUP(A215,'ESO wayshrine names'!$A$3:$B$5104,2,)</f>
        <v>Seeker's Archive Wayshrine</v>
      </c>
      <c r="N215" s="3" t="str">
        <f>VLOOKUP(F215,'ESO zone constants'!$A$5:$D$10001,4,FALSE)</f>
        <v>Craglorn</v>
      </c>
    </row>
    <row r="216" spans="1:14" x14ac:dyDescent="0.25">
      <c r="A216" s="90">
        <v>218</v>
      </c>
      <c r="B216">
        <v>25</v>
      </c>
      <c r="C216">
        <v>1126</v>
      </c>
      <c r="D216" t="s">
        <v>2360</v>
      </c>
      <c r="E216">
        <v>501</v>
      </c>
      <c r="F216">
        <v>888</v>
      </c>
      <c r="G216" t="s">
        <v>2360</v>
      </c>
      <c r="H216">
        <v>1</v>
      </c>
      <c r="I216" t="s">
        <v>3783</v>
      </c>
      <c r="J216" s="30" t="str">
        <f t="shared" si="9"/>
        <v>[218]=888,</v>
      </c>
      <c r="K216" s="3">
        <f t="shared" si="10"/>
        <v>218</v>
      </c>
      <c r="L216" s="3">
        <f t="shared" si="11"/>
        <v>888</v>
      </c>
      <c r="M216" s="8" t="str">
        <f>VLOOKUP(A216,'ESO wayshrine names'!$A$3:$B$5104,2,)</f>
        <v>Shada's Tear Wayshrine</v>
      </c>
      <c r="N216" s="3" t="str">
        <f>VLOOKUP(F216,'ESO zone constants'!$A$5:$D$10001,4,FALSE)</f>
        <v>Craglorn</v>
      </c>
    </row>
    <row r="217" spans="1:14" x14ac:dyDescent="0.25">
      <c r="A217" s="90">
        <v>219</v>
      </c>
      <c r="B217">
        <v>25</v>
      </c>
      <c r="C217">
        <v>1126</v>
      </c>
      <c r="D217" t="s">
        <v>2360</v>
      </c>
      <c r="E217">
        <v>501</v>
      </c>
      <c r="F217">
        <v>888</v>
      </c>
      <c r="G217" t="s">
        <v>2360</v>
      </c>
      <c r="H217">
        <v>1</v>
      </c>
      <c r="I217" t="s">
        <v>3784</v>
      </c>
      <c r="J217" s="30" t="str">
        <f t="shared" si="9"/>
        <v>[219]=888,</v>
      </c>
      <c r="K217" s="3">
        <f t="shared" si="10"/>
        <v>219</v>
      </c>
      <c r="L217" s="3">
        <f t="shared" si="11"/>
        <v>888</v>
      </c>
      <c r="M217" s="8" t="str">
        <f>VLOOKUP(A217,'ESO wayshrine names'!$A$3:$B$5104,2,)</f>
        <v>Sandy Path Wayshrine</v>
      </c>
      <c r="N217" s="3" t="str">
        <f>VLOOKUP(F217,'ESO zone constants'!$A$5:$D$10001,4,FALSE)</f>
        <v>Craglorn</v>
      </c>
    </row>
    <row r="218" spans="1:14" x14ac:dyDescent="0.25">
      <c r="A218" s="90">
        <v>220</v>
      </c>
      <c r="B218">
        <v>25</v>
      </c>
      <c r="C218">
        <v>1126</v>
      </c>
      <c r="D218" t="s">
        <v>2360</v>
      </c>
      <c r="E218">
        <v>501</v>
      </c>
      <c r="F218">
        <v>888</v>
      </c>
      <c r="G218" t="s">
        <v>2360</v>
      </c>
      <c r="H218">
        <v>1</v>
      </c>
      <c r="I218" t="s">
        <v>3785</v>
      </c>
      <c r="J218" s="30" t="str">
        <f t="shared" si="9"/>
        <v>[220]=888,</v>
      </c>
      <c r="K218" s="3">
        <f t="shared" si="10"/>
        <v>220</v>
      </c>
      <c r="L218" s="3">
        <f t="shared" si="11"/>
        <v>888</v>
      </c>
      <c r="M218" s="8" t="str">
        <f>VLOOKUP(A218,'ESO wayshrine names'!$A$3:$B$5104,2,)</f>
        <v>Belkarth Wayshrine</v>
      </c>
      <c r="N218" s="3" t="str">
        <f>VLOOKUP(F218,'ESO zone constants'!$A$5:$D$10001,4,FALSE)</f>
        <v>Craglorn</v>
      </c>
    </row>
    <row r="219" spans="1:14" x14ac:dyDescent="0.25">
      <c r="A219" s="90">
        <v>225</v>
      </c>
      <c r="B219">
        <v>25</v>
      </c>
      <c r="C219">
        <v>1126</v>
      </c>
      <c r="D219" t="s">
        <v>2360</v>
      </c>
      <c r="E219">
        <v>501</v>
      </c>
      <c r="F219">
        <v>888</v>
      </c>
      <c r="G219" t="s">
        <v>2360</v>
      </c>
      <c r="H219">
        <v>1</v>
      </c>
      <c r="I219" t="s">
        <v>3786</v>
      </c>
      <c r="J219" s="30" t="str">
        <f t="shared" si="9"/>
        <v>[225]=888,</v>
      </c>
      <c r="K219" s="3">
        <f t="shared" si="10"/>
        <v>225</v>
      </c>
      <c r="L219" s="3">
        <f t="shared" si="11"/>
        <v>888</v>
      </c>
      <c r="M219" s="8" t="str">
        <f>VLOOKUP(A219,'ESO wayshrine names'!$A$3:$B$5104,2,)</f>
        <v>Spellscar Wayshrine</v>
      </c>
      <c r="N219" s="3" t="str">
        <f>VLOOKUP(F219,'ESO zone constants'!$A$5:$D$10001,4,FALSE)</f>
        <v>Craglorn</v>
      </c>
    </row>
    <row r="220" spans="1:14" x14ac:dyDescent="0.25">
      <c r="A220" s="90">
        <v>226</v>
      </c>
      <c r="B220">
        <v>25</v>
      </c>
      <c r="C220">
        <v>1126</v>
      </c>
      <c r="D220" t="s">
        <v>2360</v>
      </c>
      <c r="E220">
        <v>501</v>
      </c>
      <c r="F220">
        <v>888</v>
      </c>
      <c r="G220" t="s">
        <v>2360</v>
      </c>
      <c r="H220">
        <v>1</v>
      </c>
      <c r="I220" t="s">
        <v>3787</v>
      </c>
      <c r="J220" s="30" t="str">
        <f t="shared" si="9"/>
        <v>[226]=888,</v>
      </c>
      <c r="K220" s="3">
        <f t="shared" si="10"/>
        <v>226</v>
      </c>
      <c r="L220" s="3">
        <f t="shared" si="11"/>
        <v>888</v>
      </c>
      <c r="M220" s="8" t="str">
        <f>VLOOKUP(A220,'ESO wayshrine names'!$A$3:$B$5104,2,)</f>
        <v>Mountain Overlook Wayshrine</v>
      </c>
      <c r="N220" s="3" t="str">
        <f>VLOOKUP(F220,'ESO zone constants'!$A$5:$D$10001,4,FALSE)</f>
        <v>Craglorn</v>
      </c>
    </row>
    <row r="221" spans="1:14" x14ac:dyDescent="0.25">
      <c r="A221" s="90">
        <v>227</v>
      </c>
      <c r="B221">
        <v>25</v>
      </c>
      <c r="C221">
        <v>1126</v>
      </c>
      <c r="D221" t="s">
        <v>2360</v>
      </c>
      <c r="E221">
        <v>501</v>
      </c>
      <c r="F221">
        <v>888</v>
      </c>
      <c r="G221" t="s">
        <v>2360</v>
      </c>
      <c r="H221">
        <v>1</v>
      </c>
      <c r="I221" t="s">
        <v>3788</v>
      </c>
      <c r="J221" s="30" t="str">
        <f t="shared" si="9"/>
        <v>[227]=888,</v>
      </c>
      <c r="K221" s="3">
        <f t="shared" si="10"/>
        <v>227</v>
      </c>
      <c r="L221" s="3">
        <f t="shared" si="11"/>
        <v>888</v>
      </c>
      <c r="M221" s="8" t="str">
        <f>VLOOKUP(A221,'ESO wayshrine names'!$A$3:$B$5104,2,)</f>
        <v>Inazzur's Hold Wayshrine</v>
      </c>
      <c r="N221" s="3" t="str">
        <f>VLOOKUP(F221,'ESO zone constants'!$A$5:$D$10001,4,FALSE)</f>
        <v>Craglorn</v>
      </c>
    </row>
    <row r="222" spans="1:14" x14ac:dyDescent="0.25">
      <c r="A222" s="90">
        <v>229</v>
      </c>
      <c r="B222">
        <v>25</v>
      </c>
      <c r="C222">
        <v>1126</v>
      </c>
      <c r="D222" t="s">
        <v>2360</v>
      </c>
      <c r="E222">
        <v>501</v>
      </c>
      <c r="F222">
        <v>888</v>
      </c>
      <c r="G222" t="s">
        <v>2360</v>
      </c>
      <c r="H222">
        <v>1</v>
      </c>
      <c r="I222" t="s">
        <v>3789</v>
      </c>
      <c r="J222" s="30" t="str">
        <f t="shared" si="9"/>
        <v>[229]=888,</v>
      </c>
      <c r="K222" s="3">
        <f t="shared" si="10"/>
        <v>229</v>
      </c>
      <c r="L222" s="3">
        <f t="shared" si="11"/>
        <v>888</v>
      </c>
      <c r="M222" s="8" t="str">
        <f>VLOOKUP(A222,'ESO wayshrine names'!$A$3:$B$5104,2,)</f>
        <v>Elinhir Wayshrine</v>
      </c>
      <c r="N222" s="3" t="str">
        <f>VLOOKUP(F222,'ESO zone constants'!$A$5:$D$10001,4,FALSE)</f>
        <v>Craglorn</v>
      </c>
    </row>
    <row r="223" spans="1:14" x14ac:dyDescent="0.25">
      <c r="A223" s="90">
        <v>230</v>
      </c>
      <c r="B223">
        <v>25</v>
      </c>
      <c r="C223">
        <v>1126</v>
      </c>
      <c r="D223" t="s">
        <v>2360</v>
      </c>
      <c r="E223">
        <v>501</v>
      </c>
      <c r="F223">
        <v>888</v>
      </c>
      <c r="G223" t="s">
        <v>2360</v>
      </c>
      <c r="H223">
        <v>3</v>
      </c>
      <c r="I223" t="s">
        <v>3790</v>
      </c>
      <c r="J223" s="30" t="str">
        <f t="shared" si="9"/>
        <v>[230]=888,</v>
      </c>
      <c r="K223" s="3">
        <f t="shared" si="10"/>
        <v>230</v>
      </c>
      <c r="L223" s="3">
        <f t="shared" si="11"/>
        <v>888</v>
      </c>
      <c r="M223" s="8" t="str">
        <f>VLOOKUP(A223,'ESO wayshrine names'!$A$3:$B$5104,2,)</f>
        <v>Trial: Hel Ra Citadel</v>
      </c>
      <c r="N223" s="3" t="str">
        <f>VLOOKUP(F223,'ESO zone constants'!$A$5:$D$10001,4,FALSE)</f>
        <v>Craglorn</v>
      </c>
    </row>
    <row r="224" spans="1:14" x14ac:dyDescent="0.25">
      <c r="A224" s="90">
        <v>231</v>
      </c>
      <c r="B224">
        <v>25</v>
      </c>
      <c r="C224">
        <v>1126</v>
      </c>
      <c r="D224" t="s">
        <v>2360</v>
      </c>
      <c r="E224">
        <v>501</v>
      </c>
      <c r="F224">
        <v>888</v>
      </c>
      <c r="G224" t="s">
        <v>2360</v>
      </c>
      <c r="H224">
        <v>3</v>
      </c>
      <c r="I224" t="s">
        <v>3791</v>
      </c>
      <c r="J224" s="30" t="str">
        <f t="shared" si="9"/>
        <v>[231]=888,</v>
      </c>
      <c r="K224" s="3">
        <f t="shared" si="10"/>
        <v>231</v>
      </c>
      <c r="L224" s="3">
        <f t="shared" si="11"/>
        <v>888</v>
      </c>
      <c r="M224" s="8" t="str">
        <f>VLOOKUP(A224,'ESO wayshrine names'!$A$3:$B$5104,2,)</f>
        <v>Trial: Aetherian Archive</v>
      </c>
      <c r="N224" s="3" t="str">
        <f>VLOOKUP(F224,'ESO zone constants'!$A$5:$D$10001,4,FALSE)</f>
        <v>Craglorn</v>
      </c>
    </row>
    <row r="225" spans="1:14" x14ac:dyDescent="0.25">
      <c r="A225" s="90">
        <v>232</v>
      </c>
      <c r="B225">
        <v>25</v>
      </c>
      <c r="C225">
        <v>1126</v>
      </c>
      <c r="D225" t="s">
        <v>2360</v>
      </c>
      <c r="E225">
        <v>501</v>
      </c>
      <c r="F225">
        <v>888</v>
      </c>
      <c r="G225" t="s">
        <v>2360</v>
      </c>
      <c r="H225">
        <v>3</v>
      </c>
      <c r="I225" t="s">
        <v>3792</v>
      </c>
      <c r="J225" s="30" t="str">
        <f t="shared" si="9"/>
        <v>[232]=888,</v>
      </c>
      <c r="K225" s="3">
        <f t="shared" si="10"/>
        <v>232</v>
      </c>
      <c r="L225" s="3">
        <f t="shared" si="11"/>
        <v>888</v>
      </c>
      <c r="M225" s="8" t="str">
        <f>VLOOKUP(A225,'ESO wayshrine names'!$A$3:$B$5104,2,)</f>
        <v>Trial: Sanctum Ophidia</v>
      </c>
      <c r="N225" s="3" t="str">
        <f>VLOOKUP(F225,'ESO zone constants'!$A$5:$D$10001,4,FALSE)</f>
        <v>Craglorn</v>
      </c>
    </row>
    <row r="226" spans="1:14" x14ac:dyDescent="0.25">
      <c r="A226" s="90">
        <v>233</v>
      </c>
      <c r="B226">
        <v>25</v>
      </c>
      <c r="C226">
        <v>1126</v>
      </c>
      <c r="D226" t="s">
        <v>2360</v>
      </c>
      <c r="E226">
        <v>501</v>
      </c>
      <c r="F226">
        <v>888</v>
      </c>
      <c r="G226" t="s">
        <v>2360</v>
      </c>
      <c r="H226">
        <v>1</v>
      </c>
      <c r="I226" t="s">
        <v>3793</v>
      </c>
      <c r="J226" s="30" t="str">
        <f t="shared" si="9"/>
        <v>[233]=888,</v>
      </c>
      <c r="K226" s="3">
        <f t="shared" si="10"/>
        <v>233</v>
      </c>
      <c r="L226" s="3">
        <f t="shared" si="11"/>
        <v>888</v>
      </c>
      <c r="M226" s="8" t="str">
        <f>VLOOKUP(A226,'ESO wayshrine names'!$A$3:$B$5104,2,)</f>
        <v>Dragonstar Wayshrine</v>
      </c>
      <c r="N226" s="3" t="str">
        <f>VLOOKUP(F226,'ESO zone constants'!$A$5:$D$10001,4,FALSE)</f>
        <v>Craglorn</v>
      </c>
    </row>
    <row r="227" spans="1:14" x14ac:dyDescent="0.25">
      <c r="A227" s="90">
        <v>234</v>
      </c>
      <c r="B227">
        <v>25</v>
      </c>
      <c r="C227">
        <v>1126</v>
      </c>
      <c r="D227" t="s">
        <v>2360</v>
      </c>
      <c r="E227">
        <v>501</v>
      </c>
      <c r="F227">
        <v>888</v>
      </c>
      <c r="G227" t="s">
        <v>2360</v>
      </c>
      <c r="H227">
        <v>1</v>
      </c>
      <c r="I227" t="s">
        <v>3794</v>
      </c>
      <c r="J227" s="30" t="str">
        <f t="shared" si="9"/>
        <v>[234]=888,</v>
      </c>
      <c r="K227" s="3">
        <f t="shared" si="10"/>
        <v>234</v>
      </c>
      <c r="L227" s="3">
        <f t="shared" si="11"/>
        <v>888</v>
      </c>
      <c r="M227" s="8" t="str">
        <f>VLOOKUP(A227,'ESO wayshrine names'!$A$3:$B$5104,2,)</f>
        <v>Skyreach Wayshrine</v>
      </c>
      <c r="N227" s="3" t="str">
        <f>VLOOKUP(F227,'ESO zone constants'!$A$5:$D$10001,4,FALSE)</f>
        <v>Craglorn</v>
      </c>
    </row>
    <row r="228" spans="1:14" x14ac:dyDescent="0.25">
      <c r="A228" s="90">
        <v>235</v>
      </c>
      <c r="B228">
        <v>25</v>
      </c>
      <c r="C228">
        <v>1126</v>
      </c>
      <c r="D228" t="s">
        <v>2360</v>
      </c>
      <c r="E228">
        <v>501</v>
      </c>
      <c r="F228">
        <v>888</v>
      </c>
      <c r="G228" t="s">
        <v>2360</v>
      </c>
      <c r="H228">
        <v>1</v>
      </c>
      <c r="I228" t="s">
        <v>3795</v>
      </c>
      <c r="J228" s="30" t="str">
        <f t="shared" si="9"/>
        <v>[235]=888,</v>
      </c>
      <c r="K228" s="3">
        <f t="shared" si="10"/>
        <v>235</v>
      </c>
      <c r="L228" s="3">
        <f t="shared" si="11"/>
        <v>888</v>
      </c>
      <c r="M228" s="8" t="str">
        <f>VLOOKUP(A228,'ESO wayshrine names'!$A$3:$B$5104,2,)</f>
        <v>Valley of Scars Wayshrine</v>
      </c>
      <c r="N228" s="3" t="str">
        <f>VLOOKUP(F228,'ESO zone constants'!$A$5:$D$10001,4,FALSE)</f>
        <v>Craglorn</v>
      </c>
    </row>
    <row r="229" spans="1:14" x14ac:dyDescent="0.25">
      <c r="A229" s="90">
        <v>236</v>
      </c>
      <c r="B229">
        <v>14</v>
      </c>
      <c r="C229">
        <v>16</v>
      </c>
      <c r="D229" t="s">
        <v>125</v>
      </c>
      <c r="E229">
        <v>38</v>
      </c>
      <c r="F229">
        <v>181</v>
      </c>
      <c r="G229" t="s">
        <v>125</v>
      </c>
      <c r="H229">
        <v>6</v>
      </c>
      <c r="I229" t="s">
        <v>2950</v>
      </c>
      <c r="J229" s="30" t="str">
        <f t="shared" si="9"/>
        <v>[236]=181,</v>
      </c>
      <c r="K229" s="3">
        <f t="shared" si="10"/>
        <v>236</v>
      </c>
      <c r="L229" s="3">
        <f t="shared" si="11"/>
        <v>181</v>
      </c>
      <c r="M229" s="8" t="str">
        <f>VLOOKUP(A229,'ESO wayshrine names'!$A$3:$B$5104,2,)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2022</v>
      </c>
      <c r="J230" s="30" t="str">
        <f t="shared" si="9"/>
        <v>[237]=684,</v>
      </c>
      <c r="K230" s="3">
        <f t="shared" si="10"/>
        <v>237</v>
      </c>
      <c r="L230" s="3">
        <f t="shared" si="11"/>
        <v>684</v>
      </c>
      <c r="M230" s="8" t="str">
        <f>VLOOKUP(A230,'ESO wayshrine names'!$A$3:$B$5104,2,)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2023</v>
      </c>
      <c r="J231" s="30" t="str">
        <f t="shared" si="9"/>
        <v>[238]=684,</v>
      </c>
      <c r="K231" s="3">
        <f t="shared" si="10"/>
        <v>238</v>
      </c>
      <c r="L231" s="3">
        <f t="shared" si="11"/>
        <v>684</v>
      </c>
      <c r="M231" s="8" t="str">
        <f>VLOOKUP(A231,'ESO wayshrine names'!$A$3:$B$5104,2,)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2024</v>
      </c>
      <c r="J232" s="30" t="str">
        <f t="shared" si="9"/>
        <v>[239]=684,</v>
      </c>
      <c r="K232" s="3">
        <f t="shared" si="10"/>
        <v>239</v>
      </c>
      <c r="L232" s="3">
        <f t="shared" si="11"/>
        <v>684</v>
      </c>
      <c r="M232" s="8" t="str">
        <f>VLOOKUP(A232,'ESO wayshrine names'!$A$3:$B$5104,2,)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2025</v>
      </c>
      <c r="J233" s="30" t="str">
        <f t="shared" si="9"/>
        <v>[240]=684,</v>
      </c>
      <c r="K233" s="3">
        <f t="shared" si="10"/>
        <v>240</v>
      </c>
      <c r="L233" s="3">
        <f t="shared" si="11"/>
        <v>684</v>
      </c>
      <c r="M233" s="8" t="str">
        <f>VLOOKUP(A233,'ESO wayshrine names'!$A$3:$B$5104,2,)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2026</v>
      </c>
      <c r="J234" s="30" t="str">
        <f t="shared" si="9"/>
        <v>[241]=684,</v>
      </c>
      <c r="K234" s="3">
        <f t="shared" si="10"/>
        <v>241</v>
      </c>
      <c r="L234" s="3">
        <f t="shared" si="11"/>
        <v>684</v>
      </c>
      <c r="M234" s="8" t="str">
        <f>VLOOKUP(A234,'ESO wayshrine names'!$A$3:$B$5104,2,)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2027</v>
      </c>
      <c r="J235" s="30" t="str">
        <f t="shared" si="9"/>
        <v>[242]=684,</v>
      </c>
      <c r="K235" s="3">
        <f t="shared" si="10"/>
        <v>242</v>
      </c>
      <c r="L235" s="3">
        <f t="shared" si="11"/>
        <v>684</v>
      </c>
      <c r="M235" s="8" t="str">
        <f>VLOOKUP(A235,'ESO wayshrine names'!$A$3:$B$5104,2,)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2028</v>
      </c>
      <c r="J236" s="30" t="str">
        <f t="shared" si="9"/>
        <v>[243]=684,</v>
      </c>
      <c r="K236" s="3">
        <f t="shared" si="10"/>
        <v>243</v>
      </c>
      <c r="L236" s="3">
        <f t="shared" si="11"/>
        <v>684</v>
      </c>
      <c r="M236" s="8" t="str">
        <f>VLOOKUP(A236,'ESO wayshrine names'!$A$3:$B$5104,2,)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2029</v>
      </c>
      <c r="J237" s="30" t="str">
        <f t="shared" si="9"/>
        <v>[244]=684,</v>
      </c>
      <c r="K237" s="3">
        <f t="shared" si="10"/>
        <v>244</v>
      </c>
      <c r="L237" s="3">
        <f t="shared" si="11"/>
        <v>684</v>
      </c>
      <c r="M237" s="8" t="str">
        <f>VLOOKUP(A237,'ESO wayshrine names'!$A$3:$B$5104,2,)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2030</v>
      </c>
      <c r="J238" s="30" t="str">
        <f t="shared" si="9"/>
        <v>[245]=684,</v>
      </c>
      <c r="K238" s="3">
        <f t="shared" si="10"/>
        <v>245</v>
      </c>
      <c r="L238" s="3">
        <f t="shared" si="11"/>
        <v>684</v>
      </c>
      <c r="M238" s="8" t="str">
        <f>VLOOKUP(A238,'ESO wayshrine names'!$A$3:$B$5104,2,)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2031</v>
      </c>
      <c r="J239" s="30" t="str">
        <f t="shared" si="9"/>
        <v>[246]=684,</v>
      </c>
      <c r="K239" s="3">
        <f t="shared" si="10"/>
        <v>246</v>
      </c>
      <c r="L239" s="3">
        <f t="shared" si="11"/>
        <v>684</v>
      </c>
      <c r="M239" s="8" t="str">
        <f>VLOOKUP(A239,'ESO wayshrine names'!$A$3:$B$5104,2,)</f>
        <v>Merchant's Gate Wayshrine</v>
      </c>
      <c r="N239" s="3" t="str">
        <f>VLOOKUP(F239,'ESO zone constants'!$A$5:$D$10001,4,FALSE)</f>
        <v>Wrothgar</v>
      </c>
    </row>
    <row r="240" spans="1:14" x14ac:dyDescent="0.25">
      <c r="A240" s="90">
        <v>247</v>
      </c>
      <c r="B240">
        <v>14</v>
      </c>
      <c r="C240">
        <v>16</v>
      </c>
      <c r="D240" t="s">
        <v>125</v>
      </c>
      <c r="E240">
        <v>38</v>
      </c>
      <c r="F240">
        <v>181</v>
      </c>
      <c r="G240" t="s">
        <v>125</v>
      </c>
      <c r="H240">
        <v>6</v>
      </c>
      <c r="I240" t="s">
        <v>2951</v>
      </c>
      <c r="J240" s="30" t="str">
        <f t="shared" si="9"/>
        <v>[247]=181,</v>
      </c>
      <c r="K240" s="3">
        <f t="shared" si="10"/>
        <v>247</v>
      </c>
      <c r="L240" s="3">
        <f t="shared" si="11"/>
        <v>181</v>
      </c>
      <c r="M240" s="8" t="str">
        <f>VLOOKUP(A240,'ESO wayshrine names'!$A$3:$B$5104,2,)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names'!$A$3:$B$5104,2,)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names'!$A$3:$B$5104,2,)</f>
        <v>Maelstrom Arena</v>
      </c>
      <c r="N242" s="3" t="str">
        <f>VLOOKUP(F242,'ESO zone constants'!$A$5:$D$10001,4,FALSE)</f>
        <v>Wrothgar</v>
      </c>
    </row>
    <row r="243" spans="1:14" x14ac:dyDescent="0.25">
      <c r="A243" s="90">
        <v>251</v>
      </c>
      <c r="B243">
        <v>29</v>
      </c>
      <c r="C243">
        <v>1006</v>
      </c>
      <c r="D243" t="s">
        <v>2304</v>
      </c>
      <c r="E243">
        <v>449</v>
      </c>
      <c r="F243">
        <v>823</v>
      </c>
      <c r="G243" t="s">
        <v>2952</v>
      </c>
      <c r="H243">
        <v>1</v>
      </c>
      <c r="I243" t="s">
        <v>2953</v>
      </c>
      <c r="J243" s="30" t="str">
        <f t="shared" si="9"/>
        <v>[251]=823,</v>
      </c>
      <c r="K243" s="3">
        <f t="shared" si="10"/>
        <v>251</v>
      </c>
      <c r="L243" s="3">
        <f t="shared" si="11"/>
        <v>823</v>
      </c>
      <c r="M243" s="8" t="str">
        <f>VLOOKUP(A243,'ESO wayshrine names'!$A$3:$B$5104,2,)</f>
        <v>Anvil Wayshrine</v>
      </c>
      <c r="N243" s="3" t="str">
        <f>VLOOKUP(F243,'ESO zone constants'!$A$5:$D$10001,4,FALSE)</f>
        <v>Gold Coast</v>
      </c>
    </row>
    <row r="244" spans="1:14" x14ac:dyDescent="0.25">
      <c r="A244" s="90">
        <v>252</v>
      </c>
      <c r="B244">
        <v>29</v>
      </c>
      <c r="C244">
        <v>1006</v>
      </c>
      <c r="D244" t="s">
        <v>2304</v>
      </c>
      <c r="E244">
        <v>449</v>
      </c>
      <c r="F244">
        <v>823</v>
      </c>
      <c r="G244" t="s">
        <v>2952</v>
      </c>
      <c r="H244">
        <v>1</v>
      </c>
      <c r="I244" t="s">
        <v>2954</v>
      </c>
      <c r="J244" s="30" t="str">
        <f t="shared" si="9"/>
        <v>[252]=823,</v>
      </c>
      <c r="K244" s="3">
        <f t="shared" si="10"/>
        <v>252</v>
      </c>
      <c r="L244" s="3">
        <f t="shared" si="11"/>
        <v>823</v>
      </c>
      <c r="M244" s="8" t="str">
        <f>VLOOKUP(A244,'ESO wayshrine names'!$A$3:$B$5104,2,)</f>
        <v>Kvatch Wayshrine</v>
      </c>
      <c r="N244" s="3" t="str">
        <f>VLOOKUP(F244,'ESO zone constants'!$A$5:$D$10001,4,FALSE)</f>
        <v>Gold Coast</v>
      </c>
    </row>
    <row r="245" spans="1:14" x14ac:dyDescent="0.25">
      <c r="A245" s="90">
        <v>253</v>
      </c>
      <c r="B245">
        <v>29</v>
      </c>
      <c r="C245">
        <v>1006</v>
      </c>
      <c r="D245" t="s">
        <v>2304</v>
      </c>
      <c r="E245">
        <v>449</v>
      </c>
      <c r="F245">
        <v>823</v>
      </c>
      <c r="G245" t="s">
        <v>2952</v>
      </c>
      <c r="H245">
        <v>1</v>
      </c>
      <c r="I245" t="s">
        <v>2955</v>
      </c>
      <c r="J245" s="30" t="str">
        <f t="shared" si="9"/>
        <v>[253]=823,</v>
      </c>
      <c r="K245" s="3">
        <f t="shared" si="10"/>
        <v>253</v>
      </c>
      <c r="L245" s="3">
        <f t="shared" si="11"/>
        <v>823</v>
      </c>
      <c r="M245" s="8" t="str">
        <f>VLOOKUP(A245,'ESO wayshrine names'!$A$3:$B$5104,2,)</f>
        <v>Strid River Wayshrine</v>
      </c>
      <c r="N245" s="3" t="str">
        <f>VLOOKUP(F245,'ESO zone constants'!$A$5:$D$10001,4,FALSE)</f>
        <v>Gold Coast</v>
      </c>
    </row>
    <row r="246" spans="1:14" x14ac:dyDescent="0.25">
      <c r="A246" s="90">
        <v>254</v>
      </c>
      <c r="B246">
        <v>29</v>
      </c>
      <c r="C246">
        <v>1006</v>
      </c>
      <c r="D246" t="s">
        <v>2304</v>
      </c>
      <c r="E246">
        <v>449</v>
      </c>
      <c r="F246">
        <v>823</v>
      </c>
      <c r="G246" t="s">
        <v>2952</v>
      </c>
      <c r="H246">
        <v>1</v>
      </c>
      <c r="I246" t="s">
        <v>2956</v>
      </c>
      <c r="J246" s="30" t="str">
        <f t="shared" si="9"/>
        <v>[254]=823,</v>
      </c>
      <c r="K246" s="3">
        <f t="shared" si="10"/>
        <v>254</v>
      </c>
      <c r="L246" s="3">
        <f t="shared" si="11"/>
        <v>823</v>
      </c>
      <c r="M246" s="8" t="str">
        <f>VLOOKUP(A246,'ESO wayshrine names'!$A$3:$B$5104,2,)</f>
        <v>Gold Coast Wayshrine</v>
      </c>
      <c r="N246" s="3" t="str">
        <f>VLOOKUP(F246,'ESO zone constants'!$A$5:$D$10001,4,FALSE)</f>
        <v>Gold Coast</v>
      </c>
    </row>
    <row r="247" spans="1:14" x14ac:dyDescent="0.25">
      <c r="A247" s="90">
        <v>255</v>
      </c>
      <c r="B247">
        <v>28</v>
      </c>
      <c r="C247">
        <v>994</v>
      </c>
      <c r="D247" t="s">
        <v>2305</v>
      </c>
      <c r="E247">
        <v>443</v>
      </c>
      <c r="F247">
        <v>816</v>
      </c>
      <c r="G247" t="s">
        <v>2305</v>
      </c>
      <c r="H247">
        <v>1</v>
      </c>
      <c r="I247" t="s">
        <v>2957</v>
      </c>
      <c r="J247" s="30" t="str">
        <f t="shared" si="9"/>
        <v>[255]=816,</v>
      </c>
      <c r="K247" s="3">
        <f t="shared" si="10"/>
        <v>255</v>
      </c>
      <c r="L247" s="3">
        <f t="shared" si="11"/>
        <v>816</v>
      </c>
      <c r="M247" s="8" t="str">
        <f>VLOOKUP(A247,'ESO wayshrine names'!$A$3:$B$5104,2,)</f>
        <v>Abah's Landing Wayshrine</v>
      </c>
      <c r="N247" s="3" t="str">
        <f>VLOOKUP(F247,'ESO zone constants'!$A$5:$D$10001,4,FALSE)</f>
        <v>Hew's Bane</v>
      </c>
    </row>
    <row r="248" spans="1:14" x14ac:dyDescent="0.25">
      <c r="A248" s="90">
        <v>256</v>
      </c>
      <c r="B248">
        <v>28</v>
      </c>
      <c r="C248">
        <v>994</v>
      </c>
      <c r="D248" t="s">
        <v>2305</v>
      </c>
      <c r="E248">
        <v>443</v>
      </c>
      <c r="F248">
        <v>816</v>
      </c>
      <c r="G248" t="s">
        <v>2305</v>
      </c>
      <c r="H248">
        <v>1</v>
      </c>
      <c r="I248" t="s">
        <v>2958</v>
      </c>
      <c r="J248" s="30" t="str">
        <f t="shared" si="9"/>
        <v>[256]=816,</v>
      </c>
      <c r="K248" s="3">
        <f t="shared" si="10"/>
        <v>256</v>
      </c>
      <c r="L248" s="3">
        <f t="shared" si="11"/>
        <v>816</v>
      </c>
      <c r="M248" s="8" t="str">
        <f>VLOOKUP(A248,'ESO wayshrine names'!$A$3:$B$5104,2,)</f>
        <v>Zeht's Displeasure Wayshrine</v>
      </c>
      <c r="N248" s="3" t="str">
        <f>VLOOKUP(F248,'ESO zone constants'!$A$5:$D$10001,4,FALSE)</f>
        <v>Hew's Bane</v>
      </c>
    </row>
    <row r="249" spans="1:14" x14ac:dyDescent="0.25">
      <c r="A249" s="90">
        <v>257</v>
      </c>
      <c r="B249">
        <v>28</v>
      </c>
      <c r="C249">
        <v>994</v>
      </c>
      <c r="D249" t="s">
        <v>2305</v>
      </c>
      <c r="E249">
        <v>443</v>
      </c>
      <c r="F249">
        <v>816</v>
      </c>
      <c r="G249" t="s">
        <v>2305</v>
      </c>
      <c r="H249">
        <v>1</v>
      </c>
      <c r="I249" t="s">
        <v>2959</v>
      </c>
      <c r="J249" s="30" t="str">
        <f t="shared" si="9"/>
        <v>[257]=816,</v>
      </c>
      <c r="K249" s="3">
        <f t="shared" si="10"/>
        <v>257</v>
      </c>
      <c r="L249" s="3">
        <f t="shared" si="11"/>
        <v>816</v>
      </c>
      <c r="M249" s="8" t="str">
        <f>VLOOKUP(A249,'ESO wayshrine names'!$A$3:$B$5104,2,)</f>
        <v>No Shira Citadel Wayshrine</v>
      </c>
      <c r="N249" s="3" t="str">
        <f>VLOOKUP(F249,'ESO zone constants'!$A$5:$D$10001,4,FALSE)</f>
        <v>Hew's Bane</v>
      </c>
    </row>
    <row r="250" spans="1:14" x14ac:dyDescent="0.25">
      <c r="A250" s="90">
        <v>258</v>
      </c>
      <c r="B250">
        <v>17</v>
      </c>
      <c r="C250">
        <v>256</v>
      </c>
      <c r="D250" t="s">
        <v>2285</v>
      </c>
      <c r="E250">
        <v>180</v>
      </c>
      <c r="F250">
        <v>382</v>
      </c>
      <c r="G250" t="s">
        <v>2285</v>
      </c>
      <c r="H250">
        <v>3</v>
      </c>
      <c r="I250" t="s">
        <v>2960</v>
      </c>
      <c r="J250" s="30" t="str">
        <f t="shared" si="9"/>
        <v>[258]=382,</v>
      </c>
      <c r="K250" s="3">
        <f t="shared" si="10"/>
        <v>258</v>
      </c>
      <c r="L250" s="3">
        <f t="shared" si="11"/>
        <v>382</v>
      </c>
      <c r="M250" s="8" t="str">
        <f>VLOOKUP(A250,'ESO wayshrine names'!$A$3:$B$5104,2,)</f>
        <v>Trial: Maw of Lorkhaj</v>
      </c>
      <c r="N250" s="3" t="str">
        <f>VLOOKUP(F250,'ESO zone constants'!$A$5:$D$10001,4,FALSE)</f>
        <v>Reaper's March</v>
      </c>
    </row>
    <row r="251" spans="1:14" x14ac:dyDescent="0.25">
      <c r="A251" s="90">
        <v>260</v>
      </c>
      <c r="B251">
        <v>9</v>
      </c>
      <c r="C251">
        <v>26</v>
      </c>
      <c r="D251" t="s">
        <v>2302</v>
      </c>
      <c r="E251">
        <v>19</v>
      </c>
      <c r="F251">
        <v>117</v>
      </c>
      <c r="G251" t="s">
        <v>2302</v>
      </c>
      <c r="H251">
        <v>6</v>
      </c>
      <c r="I251" t="s">
        <v>2961</v>
      </c>
      <c r="J251" s="30" t="str">
        <f t="shared" si="9"/>
        <v>[260]=117,</v>
      </c>
      <c r="K251" s="3">
        <f t="shared" si="10"/>
        <v>260</v>
      </c>
      <c r="L251" s="3">
        <f t="shared" si="11"/>
        <v>117</v>
      </c>
      <c r="M251" s="8" t="str">
        <f>VLOOKUP(A251,'ESO wayshrine names'!$A$3:$B$5104,2,)</f>
        <v>Dungeon: Ruins of Mazzatun</v>
      </c>
      <c r="N251" s="3" t="str">
        <f>VLOOKUP(F251,'ESO zone constants'!$A$5:$D$10001,4,FALSE)</f>
        <v>Shadowfen</v>
      </c>
    </row>
    <row r="252" spans="1:14" x14ac:dyDescent="0.25">
      <c r="A252" s="90">
        <v>261</v>
      </c>
      <c r="B252">
        <v>9</v>
      </c>
      <c r="C252">
        <v>26</v>
      </c>
      <c r="D252" t="s">
        <v>2302</v>
      </c>
      <c r="E252">
        <v>19</v>
      </c>
      <c r="F252">
        <v>117</v>
      </c>
      <c r="G252" t="s">
        <v>2302</v>
      </c>
      <c r="H252">
        <v>6</v>
      </c>
      <c r="I252" t="s">
        <v>2962</v>
      </c>
      <c r="J252" s="30" t="str">
        <f t="shared" si="9"/>
        <v>[261]=117,</v>
      </c>
      <c r="K252" s="3">
        <f t="shared" si="10"/>
        <v>261</v>
      </c>
      <c r="L252" s="3">
        <f t="shared" si="11"/>
        <v>117</v>
      </c>
      <c r="M252" s="8" t="str">
        <f>VLOOKUP(A252,'ESO wayshrine names'!$A$3:$B$5104,2,)</f>
        <v>Dungeon: Cradle of Shadows</v>
      </c>
      <c r="N252" s="3" t="str">
        <f>VLOOKUP(F252,'ESO zone constants'!$A$5:$D$10001,4,FALSE)</f>
        <v>Shadowfen</v>
      </c>
    </row>
    <row r="253" spans="1:14" x14ac:dyDescent="0.25">
      <c r="A253" s="90">
        <v>262</v>
      </c>
      <c r="B253">
        <v>15</v>
      </c>
      <c r="C253">
        <v>143</v>
      </c>
      <c r="D253" t="s">
        <v>262</v>
      </c>
      <c r="E253">
        <v>179</v>
      </c>
      <c r="F253">
        <v>381</v>
      </c>
      <c r="G253" t="s">
        <v>262</v>
      </c>
      <c r="H253">
        <v>6</v>
      </c>
      <c r="I253" t="s">
        <v>2963</v>
      </c>
      <c r="J253" s="30" t="str">
        <f t="shared" si="9"/>
        <v>[262]=381,</v>
      </c>
      <c r="K253" s="3">
        <f t="shared" si="10"/>
        <v>262</v>
      </c>
      <c r="L253" s="3">
        <f t="shared" si="11"/>
        <v>381</v>
      </c>
      <c r="M253" s="8" t="str">
        <f>VLOOKUP(A253,'ESO wayshrine names'!$A$3:$B$5104,2,)</f>
        <v>Dungeon: The Banished Cells II</v>
      </c>
      <c r="N253" s="3" t="str">
        <f>VLOOKUP(F253,'ESO zone constants'!$A$5:$D$10001,4,FALSE)</f>
        <v>Auridon</v>
      </c>
    </row>
    <row r="254" spans="1:14" x14ac:dyDescent="0.25">
      <c r="A254" s="90">
        <v>263</v>
      </c>
      <c r="B254">
        <v>4</v>
      </c>
      <c r="C254">
        <v>12</v>
      </c>
      <c r="D254" t="s">
        <v>2299</v>
      </c>
      <c r="E254">
        <v>4</v>
      </c>
      <c r="F254">
        <v>19</v>
      </c>
      <c r="G254" t="s">
        <v>2299</v>
      </c>
      <c r="H254">
        <v>6</v>
      </c>
      <c r="I254" t="s">
        <v>3796</v>
      </c>
      <c r="J254" s="30" t="str">
        <f t="shared" si="9"/>
        <v>[263]=19,</v>
      </c>
      <c r="K254" s="3">
        <f t="shared" si="10"/>
        <v>263</v>
      </c>
      <c r="L254" s="3">
        <f t="shared" si="11"/>
        <v>19</v>
      </c>
      <c r="M254" s="8" t="str">
        <f>VLOOKUP(A254,'ESO wayshrine names'!$A$3:$B$5104,2,)</f>
        <v>Dungeon: Wayrest Sewers II</v>
      </c>
      <c r="N254" s="3" t="str">
        <f>VLOOKUP(F254,'ESO zone constants'!$A$5:$D$10001,4,FALSE)</f>
        <v>Stormhaven</v>
      </c>
    </row>
    <row r="255" spans="1:14" x14ac:dyDescent="0.25">
      <c r="A255" s="90">
        <v>264</v>
      </c>
      <c r="B255">
        <v>10</v>
      </c>
      <c r="C255">
        <v>13</v>
      </c>
      <c r="D255" t="s">
        <v>107</v>
      </c>
      <c r="E255">
        <v>10</v>
      </c>
      <c r="F255">
        <v>57</v>
      </c>
      <c r="G255" t="s">
        <v>107</v>
      </c>
      <c r="H255">
        <v>6</v>
      </c>
      <c r="I255" t="s">
        <v>2964</v>
      </c>
      <c r="J255" s="30" t="str">
        <f t="shared" si="9"/>
        <v>[264]=57,</v>
      </c>
      <c r="K255" s="3">
        <f t="shared" si="10"/>
        <v>264</v>
      </c>
      <c r="L255" s="3">
        <f t="shared" si="11"/>
        <v>57</v>
      </c>
      <c r="M255" s="8" t="str">
        <f>VLOOKUP(A255,'ESO wayshrine names'!$A$3:$B$5104,2,)</f>
        <v>Dungeon: Darkshade Caverns II</v>
      </c>
      <c r="N255" s="3" t="str">
        <f>VLOOKUP(F255,'ESO zone constants'!$A$5:$D$10001,4,FALSE)</f>
        <v>Deshaan</v>
      </c>
    </row>
    <row r="256" spans="1:14" x14ac:dyDescent="0.25">
      <c r="A256" s="90">
        <v>265</v>
      </c>
      <c r="B256">
        <v>7</v>
      </c>
      <c r="C256">
        <v>9</v>
      </c>
      <c r="D256" t="s">
        <v>2282</v>
      </c>
      <c r="E256">
        <v>181</v>
      </c>
      <c r="F256">
        <v>383</v>
      </c>
      <c r="G256" t="s">
        <v>2282</v>
      </c>
      <c r="H256">
        <v>6</v>
      </c>
      <c r="I256" t="s">
        <v>2965</v>
      </c>
      <c r="J256" s="30" t="str">
        <f t="shared" si="9"/>
        <v>[265]=383,</v>
      </c>
      <c r="K256" s="3">
        <f t="shared" si="10"/>
        <v>265</v>
      </c>
      <c r="L256" s="3">
        <f t="shared" si="11"/>
        <v>383</v>
      </c>
      <c r="M256" s="8" t="str">
        <f>VLOOKUP(A256,'ESO wayshrine names'!$A$3:$B$5104,2,)</f>
        <v>Dungeon: Elden Hollow II</v>
      </c>
      <c r="N256" s="3" t="str">
        <f>VLOOKUP(F256,'ESO zone constants'!$A$5:$D$10001,4,FALSE)</f>
        <v>Grahtwood</v>
      </c>
    </row>
    <row r="257" spans="1:14" x14ac:dyDescent="0.25">
      <c r="A257" s="90">
        <v>266</v>
      </c>
      <c r="B257">
        <v>11</v>
      </c>
      <c r="C257">
        <v>7</v>
      </c>
      <c r="D257" t="s">
        <v>2303</v>
      </c>
      <c r="E257">
        <v>9</v>
      </c>
      <c r="F257">
        <v>41</v>
      </c>
      <c r="G257" t="s">
        <v>2303</v>
      </c>
      <c r="H257">
        <v>6</v>
      </c>
      <c r="I257" t="s">
        <v>2966</v>
      </c>
      <c r="J257" s="30" t="str">
        <f t="shared" si="9"/>
        <v>[266]=41,</v>
      </c>
      <c r="K257" s="3">
        <f t="shared" si="10"/>
        <v>266</v>
      </c>
      <c r="L257" s="3">
        <f t="shared" si="11"/>
        <v>41</v>
      </c>
      <c r="M257" s="8" t="str">
        <f>VLOOKUP(A257,'ESO wayshrine names'!$A$3:$B$5104,2,)</f>
        <v>Dungeon: Fungal Grotto II</v>
      </c>
      <c r="N257" s="3" t="str">
        <f>VLOOKUP(F257,'ESO zone constants'!$A$5:$D$10001,4,FALSE)</f>
        <v>Stonefalls</v>
      </c>
    </row>
    <row r="258" spans="1:14" x14ac:dyDescent="0.25">
      <c r="A258" s="90">
        <v>267</v>
      </c>
      <c r="B258">
        <v>2</v>
      </c>
      <c r="C258">
        <v>1</v>
      </c>
      <c r="D258" t="s">
        <v>103</v>
      </c>
      <c r="E258">
        <v>2</v>
      </c>
      <c r="F258">
        <v>3</v>
      </c>
      <c r="G258" t="s">
        <v>103</v>
      </c>
      <c r="H258">
        <v>6</v>
      </c>
      <c r="I258" t="s">
        <v>2967</v>
      </c>
      <c r="J258" s="30" t="str">
        <f t="shared" si="9"/>
        <v>[267]=3,</v>
      </c>
      <c r="K258" s="3">
        <f t="shared" si="10"/>
        <v>267</v>
      </c>
      <c r="L258" s="3">
        <f t="shared" si="11"/>
        <v>3</v>
      </c>
      <c r="M258" s="8" t="str">
        <f>VLOOKUP(A258,'ESO wayshrine names'!$A$3:$B$5104,2,)</f>
        <v>Dungeon: Spindleclutch II</v>
      </c>
      <c r="N258" s="3" t="str">
        <f>VLOOKUP(F258,'ESO zone constants'!$A$5:$D$10001,4,FALSE)</f>
        <v>Glenumbra</v>
      </c>
    </row>
    <row r="259" spans="1:14" x14ac:dyDescent="0.25">
      <c r="A259" s="90">
        <v>268</v>
      </c>
      <c r="B259">
        <v>16</v>
      </c>
      <c r="C259">
        <v>300</v>
      </c>
      <c r="D259" t="s">
        <v>2284</v>
      </c>
      <c r="E259">
        <v>18</v>
      </c>
      <c r="F259">
        <v>108</v>
      </c>
      <c r="G259" t="s">
        <v>2284</v>
      </c>
      <c r="H259">
        <v>6</v>
      </c>
      <c r="I259" t="s">
        <v>2968</v>
      </c>
      <c r="J259" s="30" t="str">
        <f t="shared" ref="J259:J322" si="12">IF(A259&lt;&gt;"",IF(F259&lt;&gt;"",IF(OR(ISNA(A259),ISNA(F259)),"","["&amp;A259&amp;"]="&amp;F259&amp;","),""),"")</f>
        <v>[268]=108,</v>
      </c>
      <c r="K259" s="3">
        <f t="shared" ref="K259:K322" si="13">A259</f>
        <v>268</v>
      </c>
      <c r="L259" s="3">
        <f t="shared" ref="L259:L322" si="14">F259</f>
        <v>108</v>
      </c>
      <c r="M259" s="8" t="str">
        <f>VLOOKUP(A259,'ESO wayshrine names'!$A$3:$B$5104,2,)</f>
        <v>Dungeon: City of Ash II</v>
      </c>
      <c r="N259" s="3" t="str">
        <f>VLOOKUP(F259,'ESO zone constants'!$A$5:$D$10001,4,FALSE)</f>
        <v>Greenshade</v>
      </c>
    </row>
    <row r="260" spans="1:14" x14ac:dyDescent="0.25">
      <c r="A260" s="90">
        <v>269</v>
      </c>
      <c r="B260">
        <v>3</v>
      </c>
      <c r="C260">
        <v>10</v>
      </c>
      <c r="D260" t="s">
        <v>2298</v>
      </c>
      <c r="E260">
        <v>5</v>
      </c>
      <c r="F260">
        <v>20</v>
      </c>
      <c r="G260" t="s">
        <v>2298</v>
      </c>
      <c r="H260">
        <v>6</v>
      </c>
      <c r="I260" t="s">
        <v>2969</v>
      </c>
      <c r="J260" s="30" t="str">
        <f t="shared" si="12"/>
        <v>[269]=20,</v>
      </c>
      <c r="K260" s="3">
        <f t="shared" si="13"/>
        <v>269</v>
      </c>
      <c r="L260" s="3">
        <f t="shared" si="14"/>
        <v>20</v>
      </c>
      <c r="M260" s="8" t="str">
        <f>VLOOKUP(A260,'ESO wayshrine names'!$A$3:$B$5104,2,)</f>
        <v>Dungeon: Crypt of Hearts II</v>
      </c>
      <c r="N260" s="3" t="str">
        <f>VLOOKUP(F260,'ESO zone constants'!$A$5:$D$10001,4,FALSE)</f>
        <v>Rivenspire</v>
      </c>
    </row>
    <row r="261" spans="1:14" x14ac:dyDescent="0.25">
      <c r="A261" s="90">
        <v>270</v>
      </c>
      <c r="B261">
        <v>25</v>
      </c>
      <c r="C261">
        <v>1126</v>
      </c>
      <c r="D261" t="s">
        <v>2360</v>
      </c>
      <c r="E261">
        <v>501</v>
      </c>
      <c r="F261">
        <v>888</v>
      </c>
      <c r="G261" t="s">
        <v>2360</v>
      </c>
      <c r="H261">
        <v>2</v>
      </c>
      <c r="I261" t="s">
        <v>3797</v>
      </c>
      <c r="J261" s="30" t="str">
        <f t="shared" si="12"/>
        <v>[270]=888,</v>
      </c>
      <c r="K261" s="3">
        <f t="shared" si="13"/>
        <v>270</v>
      </c>
      <c r="L261" s="3">
        <f t="shared" si="14"/>
        <v>888</v>
      </c>
      <c r="M261" s="8" t="str">
        <f>VLOOKUP(A261,'ESO wayshrine names'!$A$3:$B$5104,2,)</f>
        <v>Dragonstar Arena</v>
      </c>
      <c r="N261" s="3" t="str">
        <f>VLOOKUP(F261,'ESO zone constants'!$A$5:$D$10001,4,FALSE)</f>
        <v>Craglorn</v>
      </c>
    </row>
    <row r="262" spans="1:14" x14ac:dyDescent="0.25">
      <c r="A262" s="90">
        <v>272</v>
      </c>
      <c r="B262">
        <v>30</v>
      </c>
      <c r="C262">
        <v>1060</v>
      </c>
      <c r="D262" t="s">
        <v>529</v>
      </c>
      <c r="E262">
        <v>468</v>
      </c>
      <c r="F262">
        <v>849</v>
      </c>
      <c r="G262" t="s">
        <v>529</v>
      </c>
      <c r="H262">
        <v>1</v>
      </c>
      <c r="I262" t="s">
        <v>2970</v>
      </c>
      <c r="J262" s="30" t="str">
        <f t="shared" si="12"/>
        <v>[272]=849,</v>
      </c>
      <c r="K262" s="3">
        <f t="shared" si="13"/>
        <v>272</v>
      </c>
      <c r="L262" s="3">
        <f t="shared" si="14"/>
        <v>849</v>
      </c>
      <c r="M262" s="8" t="str">
        <f>VLOOKUP(A262,'ESO wayshrine names'!$A$3:$B$5104,2,)</f>
        <v>Seyda Neen Wayshrine</v>
      </c>
      <c r="N262" s="3" t="str">
        <f>VLOOKUP(F262,'ESO zone constants'!$A$5:$D$10001,4,FALSE)</f>
        <v>Vvardenfell</v>
      </c>
    </row>
    <row r="263" spans="1:14" x14ac:dyDescent="0.25">
      <c r="A263" s="90">
        <v>273</v>
      </c>
      <c r="B263">
        <v>30</v>
      </c>
      <c r="C263">
        <v>1060</v>
      </c>
      <c r="D263" t="s">
        <v>529</v>
      </c>
      <c r="E263">
        <v>468</v>
      </c>
      <c r="F263">
        <v>849</v>
      </c>
      <c r="G263" t="s">
        <v>529</v>
      </c>
      <c r="H263">
        <v>1</v>
      </c>
      <c r="I263" t="s">
        <v>2971</v>
      </c>
      <c r="J263" s="30" t="str">
        <f t="shared" si="12"/>
        <v>[273]=849,</v>
      </c>
      <c r="K263" s="3">
        <f t="shared" si="13"/>
        <v>273</v>
      </c>
      <c r="L263" s="3">
        <f t="shared" si="14"/>
        <v>849</v>
      </c>
      <c r="M263" s="8" t="str">
        <f>VLOOKUP(A263,'ESO wayshrine names'!$A$3:$B$5104,2,)</f>
        <v>Gnisis Wayshrine</v>
      </c>
      <c r="N263" s="3" t="str">
        <f>VLOOKUP(F263,'ESO zone constants'!$A$5:$D$10001,4,FALSE)</f>
        <v>Vvardenfell</v>
      </c>
    </row>
    <row r="264" spans="1:14" x14ac:dyDescent="0.25">
      <c r="A264" s="90">
        <v>274</v>
      </c>
      <c r="B264">
        <v>30</v>
      </c>
      <c r="C264">
        <v>1060</v>
      </c>
      <c r="D264" t="s">
        <v>529</v>
      </c>
      <c r="E264">
        <v>468</v>
      </c>
      <c r="F264">
        <v>849</v>
      </c>
      <c r="G264" t="s">
        <v>529</v>
      </c>
      <c r="H264">
        <v>1</v>
      </c>
      <c r="I264" t="s">
        <v>3181</v>
      </c>
      <c r="J264" s="30" t="str">
        <f t="shared" si="12"/>
        <v>[274]=849,</v>
      </c>
      <c r="K264" s="3">
        <f t="shared" si="13"/>
        <v>274</v>
      </c>
      <c r="L264" s="3">
        <f t="shared" si="14"/>
        <v>849</v>
      </c>
      <c r="M264" s="8" t="str">
        <f>VLOOKUP(A264,'ESO wayshrine names'!$A$3:$B$5104,2,)</f>
        <v>Ald'ruhn Wayshrine</v>
      </c>
      <c r="N264" s="3" t="str">
        <f>VLOOKUP(F264,'ESO zone constants'!$A$5:$D$10001,4,FALSE)</f>
        <v>Vvardenfell</v>
      </c>
    </row>
    <row r="265" spans="1:14" x14ac:dyDescent="0.25">
      <c r="A265" s="90">
        <v>275</v>
      </c>
      <c r="B265">
        <v>30</v>
      </c>
      <c r="C265">
        <v>1060</v>
      </c>
      <c r="D265" t="s">
        <v>529</v>
      </c>
      <c r="E265">
        <v>468</v>
      </c>
      <c r="F265">
        <v>849</v>
      </c>
      <c r="G265" t="s">
        <v>529</v>
      </c>
      <c r="H265">
        <v>1</v>
      </c>
      <c r="I265" t="s">
        <v>2972</v>
      </c>
      <c r="J265" s="30" t="str">
        <f t="shared" si="12"/>
        <v>[275]=849,</v>
      </c>
      <c r="K265" s="3">
        <f t="shared" si="13"/>
        <v>275</v>
      </c>
      <c r="L265" s="3">
        <f t="shared" si="14"/>
        <v>849</v>
      </c>
      <c r="M265" s="8" t="str">
        <f>VLOOKUP(A265,'ESO wayshrine names'!$A$3:$B$5104,2,)</f>
        <v>Balmora Wayshrine</v>
      </c>
      <c r="N265" s="3" t="str">
        <f>VLOOKUP(F265,'ESO zone constants'!$A$5:$D$10001,4,FALSE)</f>
        <v>Vvardenfell</v>
      </c>
    </row>
    <row r="266" spans="1:14" x14ac:dyDescent="0.25">
      <c r="A266" s="90">
        <v>276</v>
      </c>
      <c r="B266">
        <v>30</v>
      </c>
      <c r="C266">
        <v>1060</v>
      </c>
      <c r="D266" t="s">
        <v>529</v>
      </c>
      <c r="E266">
        <v>468</v>
      </c>
      <c r="F266">
        <v>849</v>
      </c>
      <c r="G266" t="s">
        <v>529</v>
      </c>
      <c r="H266">
        <v>1</v>
      </c>
      <c r="I266" t="s">
        <v>2973</v>
      </c>
      <c r="J266" s="30" t="str">
        <f t="shared" si="12"/>
        <v>[276]=849,</v>
      </c>
      <c r="K266" s="3">
        <f t="shared" si="13"/>
        <v>276</v>
      </c>
      <c r="L266" s="3">
        <f t="shared" si="14"/>
        <v>849</v>
      </c>
      <c r="M266" s="8" t="str">
        <f>VLOOKUP(A266,'ESO wayshrine names'!$A$3:$B$5104,2,)</f>
        <v>Suran Wayshrine</v>
      </c>
      <c r="N266" s="3" t="str">
        <f>VLOOKUP(F266,'ESO zone constants'!$A$5:$D$10001,4,FALSE)</f>
        <v>Vvardenfell</v>
      </c>
    </row>
    <row r="267" spans="1:14" x14ac:dyDescent="0.25">
      <c r="A267" s="90">
        <v>277</v>
      </c>
      <c r="B267">
        <v>30</v>
      </c>
      <c r="C267">
        <v>1060</v>
      </c>
      <c r="D267" t="s">
        <v>529</v>
      </c>
      <c r="E267">
        <v>468</v>
      </c>
      <c r="F267">
        <v>849</v>
      </c>
      <c r="G267" t="s">
        <v>529</v>
      </c>
      <c r="H267">
        <v>1</v>
      </c>
      <c r="I267" t="s">
        <v>2974</v>
      </c>
      <c r="J267" s="30" t="str">
        <f t="shared" si="12"/>
        <v>[277]=849,</v>
      </c>
      <c r="K267" s="3">
        <f t="shared" si="13"/>
        <v>277</v>
      </c>
      <c r="L267" s="3">
        <f t="shared" si="14"/>
        <v>849</v>
      </c>
      <c r="M267" s="8" t="str">
        <f>VLOOKUP(A267,'ESO wayshrine names'!$A$3:$B$5104,2,)</f>
        <v>Molag Mar Wayshrine</v>
      </c>
      <c r="N267" s="3" t="str">
        <f>VLOOKUP(F267,'ESO zone constants'!$A$5:$D$10001,4,FALSE)</f>
        <v>Vvardenfell</v>
      </c>
    </row>
    <row r="268" spans="1:14" x14ac:dyDescent="0.25">
      <c r="A268" s="90">
        <v>278</v>
      </c>
      <c r="B268">
        <v>30</v>
      </c>
      <c r="C268">
        <v>1060</v>
      </c>
      <c r="D268" t="s">
        <v>529</v>
      </c>
      <c r="E268">
        <v>468</v>
      </c>
      <c r="F268">
        <v>849</v>
      </c>
      <c r="G268" t="s">
        <v>529</v>
      </c>
      <c r="H268">
        <v>1</v>
      </c>
      <c r="I268" t="s">
        <v>2975</v>
      </c>
      <c r="J268" s="30" t="str">
        <f t="shared" si="12"/>
        <v>[278]=849,</v>
      </c>
      <c r="K268" s="3">
        <f t="shared" si="13"/>
        <v>278</v>
      </c>
      <c r="L268" s="3">
        <f t="shared" si="14"/>
        <v>849</v>
      </c>
      <c r="M268" s="8" t="str">
        <f>VLOOKUP(A268,'ESO wayshrine names'!$A$3:$B$5104,2,)</f>
        <v>Tel Branora Wayshrine</v>
      </c>
      <c r="N268" s="3" t="str">
        <f>VLOOKUP(F268,'ESO zone constants'!$A$5:$D$10001,4,FALSE)</f>
        <v>Vvardenfell</v>
      </c>
    </row>
    <row r="269" spans="1:14" x14ac:dyDescent="0.25">
      <c r="A269" s="90">
        <v>279</v>
      </c>
      <c r="B269">
        <v>30</v>
      </c>
      <c r="C269">
        <v>1060</v>
      </c>
      <c r="D269" t="s">
        <v>529</v>
      </c>
      <c r="E269">
        <v>468</v>
      </c>
      <c r="F269">
        <v>849</v>
      </c>
      <c r="G269" t="s">
        <v>529</v>
      </c>
      <c r="H269">
        <v>1</v>
      </c>
      <c r="I269" t="s">
        <v>2976</v>
      </c>
      <c r="J269" s="30" t="str">
        <f t="shared" si="12"/>
        <v>[279]=849,</v>
      </c>
      <c r="K269" s="3">
        <f t="shared" si="13"/>
        <v>279</v>
      </c>
      <c r="L269" s="3">
        <f t="shared" si="14"/>
        <v>849</v>
      </c>
      <c r="M269" s="8" t="str">
        <f>VLOOKUP(A269,'ESO wayshrine names'!$A$3:$B$5104,2,)</f>
        <v>Nchuleftingth Wayshrine</v>
      </c>
      <c r="N269" s="3" t="str">
        <f>VLOOKUP(F269,'ESO zone constants'!$A$5:$D$10001,4,FALSE)</f>
        <v>Vvardenfell</v>
      </c>
    </row>
    <row r="270" spans="1:14" x14ac:dyDescent="0.25">
      <c r="A270" s="90">
        <v>280</v>
      </c>
      <c r="B270">
        <v>30</v>
      </c>
      <c r="C270">
        <v>1060</v>
      </c>
      <c r="D270" t="s">
        <v>529</v>
      </c>
      <c r="E270">
        <v>468</v>
      </c>
      <c r="F270">
        <v>849</v>
      </c>
      <c r="G270" t="s">
        <v>529</v>
      </c>
      <c r="H270">
        <v>1</v>
      </c>
      <c r="I270" t="s">
        <v>2977</v>
      </c>
      <c r="J270" s="30" t="str">
        <f t="shared" si="12"/>
        <v>[280]=849,</v>
      </c>
      <c r="K270" s="3">
        <f t="shared" si="13"/>
        <v>280</v>
      </c>
      <c r="L270" s="3">
        <f t="shared" si="14"/>
        <v>849</v>
      </c>
      <c r="M270" s="8" t="str">
        <f>VLOOKUP(A270,'ESO wayshrine names'!$A$3:$B$5104,2,)</f>
        <v>Tel Mora Wayshrine</v>
      </c>
      <c r="N270" s="3" t="str">
        <f>VLOOKUP(F270,'ESO zone constants'!$A$5:$D$10001,4,FALSE)</f>
        <v>Vvardenfell</v>
      </c>
    </row>
    <row r="271" spans="1:14" x14ac:dyDescent="0.25">
      <c r="A271" s="90">
        <v>281</v>
      </c>
      <c r="B271">
        <v>30</v>
      </c>
      <c r="C271">
        <v>1060</v>
      </c>
      <c r="D271" t="s">
        <v>529</v>
      </c>
      <c r="E271">
        <v>468</v>
      </c>
      <c r="F271">
        <v>849</v>
      </c>
      <c r="G271" t="s">
        <v>529</v>
      </c>
      <c r="H271">
        <v>1</v>
      </c>
      <c r="I271" t="s">
        <v>2978</v>
      </c>
      <c r="J271" s="30" t="str">
        <f t="shared" si="12"/>
        <v>[281]=849,</v>
      </c>
      <c r="K271" s="3">
        <f t="shared" si="13"/>
        <v>281</v>
      </c>
      <c r="L271" s="3">
        <f t="shared" si="14"/>
        <v>849</v>
      </c>
      <c r="M271" s="8" t="str">
        <f>VLOOKUP(A271,'ESO wayshrine names'!$A$3:$B$5104,2,)</f>
        <v>Sadrith Mora Wayshrine</v>
      </c>
      <c r="N271" s="3" t="str">
        <f>VLOOKUP(F271,'ESO zone constants'!$A$5:$D$10001,4,FALSE)</f>
        <v>Vvardenfell</v>
      </c>
    </row>
    <row r="272" spans="1:14" x14ac:dyDescent="0.25">
      <c r="A272" s="90">
        <v>282</v>
      </c>
      <c r="B272">
        <v>30</v>
      </c>
      <c r="C272">
        <v>1060</v>
      </c>
      <c r="D272" t="s">
        <v>529</v>
      </c>
      <c r="E272">
        <v>468</v>
      </c>
      <c r="F272">
        <v>849</v>
      </c>
      <c r="G272" t="s">
        <v>529</v>
      </c>
      <c r="H272">
        <v>1</v>
      </c>
      <c r="I272" t="s">
        <v>2979</v>
      </c>
      <c r="J272" s="30" t="str">
        <f t="shared" si="12"/>
        <v>[282]=849,</v>
      </c>
      <c r="K272" s="3">
        <f t="shared" si="13"/>
        <v>282</v>
      </c>
      <c r="L272" s="3">
        <f t="shared" si="14"/>
        <v>849</v>
      </c>
      <c r="M272" s="8" t="str">
        <f>VLOOKUP(A272,'ESO wayshrine names'!$A$3:$B$5104,2,)</f>
        <v>Valley of the Wind Wayshrine</v>
      </c>
      <c r="N272" s="3" t="str">
        <f>VLOOKUP(F272,'ESO zone constants'!$A$5:$D$10001,4,FALSE)</f>
        <v>Vvardenfell</v>
      </c>
    </row>
    <row r="273" spans="1:14" x14ac:dyDescent="0.25">
      <c r="A273" s="90">
        <v>284</v>
      </c>
      <c r="B273">
        <v>30</v>
      </c>
      <c r="C273">
        <v>1060</v>
      </c>
      <c r="D273" t="s">
        <v>529</v>
      </c>
      <c r="E273">
        <v>468</v>
      </c>
      <c r="F273">
        <v>849</v>
      </c>
      <c r="G273" t="s">
        <v>529</v>
      </c>
      <c r="H273">
        <v>1</v>
      </c>
      <c r="I273" t="s">
        <v>2980</v>
      </c>
      <c r="J273" s="30" t="str">
        <f t="shared" si="12"/>
        <v>[284]=849,</v>
      </c>
      <c r="K273" s="3">
        <f t="shared" si="13"/>
        <v>284</v>
      </c>
      <c r="L273" s="3">
        <f t="shared" si="14"/>
        <v>849</v>
      </c>
      <c r="M273" s="8" t="str">
        <f>VLOOKUP(A273,'ESO wayshrine names'!$A$3:$B$5104,2,)</f>
        <v>Vivec City Wayshrine</v>
      </c>
      <c r="N273" s="3" t="str">
        <f>VLOOKUP(F273,'ESO zone constants'!$A$5:$D$10001,4,FALSE)</f>
        <v>Vvardenfell</v>
      </c>
    </row>
    <row r="274" spans="1:14" x14ac:dyDescent="0.25">
      <c r="A274" s="90">
        <v>285</v>
      </c>
      <c r="B274">
        <v>15</v>
      </c>
      <c r="C274">
        <v>143</v>
      </c>
      <c r="D274" t="s">
        <v>262</v>
      </c>
      <c r="E274">
        <v>179</v>
      </c>
      <c r="F274">
        <v>381</v>
      </c>
      <c r="G274" t="s">
        <v>262</v>
      </c>
      <c r="H274">
        <v>7</v>
      </c>
      <c r="I274" t="s">
        <v>2981</v>
      </c>
      <c r="J274" s="30" t="str">
        <f t="shared" si="12"/>
        <v>[285]=381,</v>
      </c>
      <c r="K274" s="3">
        <f t="shared" si="13"/>
        <v>285</v>
      </c>
      <c r="L274" s="3">
        <f t="shared" si="14"/>
        <v>381</v>
      </c>
      <c r="M274" s="8" t="str">
        <f>VLOOKUP(A274,'ESO wayshrine names'!$A$3:$B$5104,2,)</f>
        <v>Barbed Hook Private Room</v>
      </c>
      <c r="N274" s="3" t="str">
        <f>VLOOKUP(F274,'ESO zone constants'!$A$5:$D$10001,4,FALSE)</f>
        <v>Auridon</v>
      </c>
    </row>
    <row r="275" spans="1:14" x14ac:dyDescent="0.25">
      <c r="A275" s="90">
        <v>286</v>
      </c>
      <c r="B275">
        <v>5</v>
      </c>
      <c r="C275">
        <v>30</v>
      </c>
      <c r="D275" t="s">
        <v>3177</v>
      </c>
      <c r="E275">
        <v>17</v>
      </c>
      <c r="F275">
        <v>104</v>
      </c>
      <c r="G275" t="s">
        <v>2297</v>
      </c>
      <c r="H275">
        <v>7</v>
      </c>
      <c r="I275" t="s">
        <v>2982</v>
      </c>
      <c r="J275" s="30" t="str">
        <f t="shared" si="12"/>
        <v>[286]=104,</v>
      </c>
      <c r="K275" s="3">
        <f t="shared" si="13"/>
        <v>286</v>
      </c>
      <c r="L275" s="3">
        <f t="shared" si="14"/>
        <v>104</v>
      </c>
      <c r="M275" s="8" t="str">
        <f>VLOOKUP(A275,'ESO wayshrine names'!$A$3:$B$5104,2,)</f>
        <v>Sisters of the Sands Apartment</v>
      </c>
      <c r="N275" s="3" t="str">
        <f>VLOOKUP(F275,'ESO zone constants'!$A$5:$D$10001,4,FALSE)</f>
        <v>Alik'r Desert</v>
      </c>
    </row>
    <row r="276" spans="1:14" x14ac:dyDescent="0.25">
      <c r="A276" s="90">
        <v>287</v>
      </c>
      <c r="B276">
        <v>10</v>
      </c>
      <c r="C276">
        <v>13</v>
      </c>
      <c r="D276" t="s">
        <v>107</v>
      </c>
      <c r="E276">
        <v>10</v>
      </c>
      <c r="F276">
        <v>57</v>
      </c>
      <c r="G276" t="s">
        <v>107</v>
      </c>
      <c r="H276">
        <v>7</v>
      </c>
      <c r="I276" t="s">
        <v>2983</v>
      </c>
      <c r="J276" s="30" t="str">
        <f t="shared" si="12"/>
        <v>[287]=57,</v>
      </c>
      <c r="K276" s="3">
        <f t="shared" si="13"/>
        <v>287</v>
      </c>
      <c r="L276" s="3">
        <f t="shared" si="14"/>
        <v>57</v>
      </c>
      <c r="M276" s="8" t="str">
        <f>VLOOKUP(A276,'ESO wayshrine names'!$A$3:$B$5104,2,)</f>
        <v>Flaming Nix Deluxe Garret</v>
      </c>
      <c r="N276" s="3" t="str">
        <f>VLOOKUP(F276,'ESO zone constants'!$A$5:$D$10001,4,FALSE)</f>
        <v>Deshaan</v>
      </c>
    </row>
    <row r="277" spans="1:14" x14ac:dyDescent="0.25">
      <c r="A277" s="90">
        <v>288</v>
      </c>
      <c r="B277">
        <v>15</v>
      </c>
      <c r="C277">
        <v>143</v>
      </c>
      <c r="D277" t="s">
        <v>262</v>
      </c>
      <c r="E277">
        <v>179</v>
      </c>
      <c r="F277">
        <v>381</v>
      </c>
      <c r="G277" t="s">
        <v>262</v>
      </c>
      <c r="H277">
        <v>7</v>
      </c>
      <c r="I277" t="s">
        <v>2984</v>
      </c>
      <c r="J277" s="30" t="str">
        <f t="shared" si="12"/>
        <v>[288]=381,</v>
      </c>
      <c r="K277" s="3">
        <f t="shared" si="13"/>
        <v>288</v>
      </c>
      <c r="L277" s="3">
        <f t="shared" si="14"/>
        <v>381</v>
      </c>
      <c r="M277" s="8" t="str">
        <f>VLOOKUP(A277,'ESO wayshrine names'!$A$3:$B$5104,2,)</f>
        <v>Mara's Kiss Public House</v>
      </c>
      <c r="N277" s="3" t="str">
        <f>VLOOKUP(F277,'ESO zone constants'!$A$5:$D$10001,4,FALSE)</f>
        <v>Auridon</v>
      </c>
    </row>
    <row r="278" spans="1:14" x14ac:dyDescent="0.25">
      <c r="A278" s="90">
        <v>289</v>
      </c>
      <c r="B278">
        <v>2</v>
      </c>
      <c r="C278">
        <v>1</v>
      </c>
      <c r="D278" t="s">
        <v>103</v>
      </c>
      <c r="E278">
        <v>2</v>
      </c>
      <c r="F278">
        <v>3</v>
      </c>
      <c r="G278" t="s">
        <v>103</v>
      </c>
      <c r="H278">
        <v>7</v>
      </c>
      <c r="I278" t="s">
        <v>2985</v>
      </c>
      <c r="J278" s="30" t="str">
        <f t="shared" si="12"/>
        <v>[289]=3,</v>
      </c>
      <c r="K278" s="3">
        <f t="shared" si="13"/>
        <v>289</v>
      </c>
      <c r="L278" s="3">
        <f t="shared" si="14"/>
        <v>3</v>
      </c>
      <c r="M278" s="8" t="str">
        <f>VLOOKUP(A278,'ESO wayshrine names'!$A$3:$B$5104,2,)</f>
        <v>The Rosy Lion</v>
      </c>
      <c r="N278" s="3" t="str">
        <f>VLOOKUP(F278,'ESO zone constants'!$A$5:$D$10001,4,FALSE)</f>
        <v>Glenumbra</v>
      </c>
    </row>
    <row r="279" spans="1:14" x14ac:dyDescent="0.25">
      <c r="A279" s="90">
        <v>290</v>
      </c>
      <c r="B279">
        <v>11</v>
      </c>
      <c r="C279">
        <v>7</v>
      </c>
      <c r="D279" t="s">
        <v>2303</v>
      </c>
      <c r="E279">
        <v>9</v>
      </c>
      <c r="F279">
        <v>41</v>
      </c>
      <c r="G279" t="s">
        <v>2303</v>
      </c>
      <c r="H279">
        <v>7</v>
      </c>
      <c r="I279" t="s">
        <v>2986</v>
      </c>
      <c r="J279" s="30" t="str">
        <f t="shared" si="12"/>
        <v>[290]=41,</v>
      </c>
      <c r="K279" s="3">
        <f t="shared" si="13"/>
        <v>290</v>
      </c>
      <c r="L279" s="3">
        <f t="shared" si="14"/>
        <v>41</v>
      </c>
      <c r="M279" s="8" t="str">
        <f>VLOOKUP(A279,'ESO wayshrine names'!$A$3:$B$5104,2,)</f>
        <v>The Ebony Flask Inn Room</v>
      </c>
      <c r="N279" s="3" t="str">
        <f>VLOOKUP(F279,'ESO zone constants'!$A$5:$D$10001,4,FALSE)</f>
        <v>Stonefalls</v>
      </c>
    </row>
    <row r="280" spans="1:14" x14ac:dyDescent="0.25">
      <c r="A280" s="90">
        <v>291</v>
      </c>
      <c r="B280">
        <v>17</v>
      </c>
      <c r="C280">
        <v>256</v>
      </c>
      <c r="D280" t="s">
        <v>2285</v>
      </c>
      <c r="E280">
        <v>180</v>
      </c>
      <c r="F280">
        <v>382</v>
      </c>
      <c r="G280" t="s">
        <v>2285</v>
      </c>
      <c r="H280">
        <v>7</v>
      </c>
      <c r="I280" t="s">
        <v>2987</v>
      </c>
      <c r="J280" s="30" t="str">
        <f t="shared" si="12"/>
        <v>[291]=382,</v>
      </c>
      <c r="K280" s="3">
        <f t="shared" si="13"/>
        <v>291</v>
      </c>
      <c r="L280" s="3">
        <f t="shared" si="14"/>
        <v>382</v>
      </c>
      <c r="M280" s="8" t="str">
        <f>VLOOKUP(A280,'ESO wayshrine names'!$A$3:$B$5104,2,)</f>
        <v>Serenity Falls Estate</v>
      </c>
      <c r="N280" s="3" t="str">
        <f>VLOOKUP(F280,'ESO zone constants'!$A$5:$D$10001,4,FALSE)</f>
        <v>Reaper's March</v>
      </c>
    </row>
    <row r="281" spans="1:14" x14ac:dyDescent="0.25">
      <c r="A281" s="90">
        <v>292</v>
      </c>
      <c r="B281">
        <v>2</v>
      </c>
      <c r="C281">
        <v>1</v>
      </c>
      <c r="D281" t="s">
        <v>103</v>
      </c>
      <c r="E281">
        <v>2</v>
      </c>
      <c r="F281">
        <v>3</v>
      </c>
      <c r="G281" t="s">
        <v>103</v>
      </c>
      <c r="H281">
        <v>7</v>
      </c>
      <c r="I281" t="s">
        <v>2988</v>
      </c>
      <c r="J281" s="30" t="str">
        <f t="shared" si="12"/>
        <v>[292]=3,</v>
      </c>
      <c r="K281" s="3">
        <f t="shared" si="13"/>
        <v>292</v>
      </c>
      <c r="L281" s="3">
        <f t="shared" si="14"/>
        <v>3</v>
      </c>
      <c r="M281" s="8" t="str">
        <f>VLOOKUP(A281,'ESO wayshrine names'!$A$3:$B$5104,2,)</f>
        <v>Daggerfall Overlook</v>
      </c>
      <c r="N281" s="3" t="str">
        <f>VLOOKUP(F281,'ESO zone constants'!$A$5:$D$10001,4,FALSE)</f>
        <v>Glenumbra</v>
      </c>
    </row>
    <row r="282" spans="1:14" x14ac:dyDescent="0.25">
      <c r="A282" s="90">
        <v>293</v>
      </c>
      <c r="B282">
        <v>11</v>
      </c>
      <c r="C282">
        <v>7</v>
      </c>
      <c r="D282" t="s">
        <v>2303</v>
      </c>
      <c r="E282">
        <v>9</v>
      </c>
      <c r="F282">
        <v>41</v>
      </c>
      <c r="G282" t="s">
        <v>2303</v>
      </c>
      <c r="H282">
        <v>7</v>
      </c>
      <c r="I282" t="s">
        <v>2989</v>
      </c>
      <c r="J282" s="30" t="str">
        <f t="shared" si="12"/>
        <v>[293]=41,</v>
      </c>
      <c r="K282" s="3">
        <f t="shared" si="13"/>
        <v>293</v>
      </c>
      <c r="L282" s="3">
        <f t="shared" si="14"/>
        <v>41</v>
      </c>
      <c r="M282" s="8" t="str">
        <f>VLOOKUP(A282,'ESO wayshrine names'!$A$3:$B$5104,2,)</f>
        <v>Ebonheart Chateau</v>
      </c>
      <c r="N282" s="3" t="str">
        <f>VLOOKUP(F282,'ESO zone constants'!$A$5:$D$10001,4,FALSE)</f>
        <v>Stonefalls</v>
      </c>
    </row>
    <row r="283" spans="1:14" x14ac:dyDescent="0.25">
      <c r="A283" s="90">
        <v>294</v>
      </c>
      <c r="B283">
        <v>8</v>
      </c>
      <c r="C283">
        <v>22</v>
      </c>
      <c r="D283" t="s">
        <v>108</v>
      </c>
      <c r="E283">
        <v>11</v>
      </c>
      <c r="F283">
        <v>58</v>
      </c>
      <c r="G283" t="s">
        <v>108</v>
      </c>
      <c r="H283">
        <v>7</v>
      </c>
      <c r="I283" t="s">
        <v>2990</v>
      </c>
      <c r="J283" s="30" t="str">
        <f t="shared" si="12"/>
        <v>[294]=58,</v>
      </c>
      <c r="K283" s="3">
        <f t="shared" si="13"/>
        <v>294</v>
      </c>
      <c r="L283" s="3">
        <f t="shared" si="14"/>
        <v>58</v>
      </c>
      <c r="M283" s="8" t="str">
        <f>VLOOKUP(A283,'ESO wayshrine names'!$A$3:$B$5104,2,)</f>
        <v>Black Vine Villa</v>
      </c>
      <c r="N283" s="3" t="str">
        <f>VLOOKUP(F283,'ESO zone constants'!$A$5:$D$10001,4,FALSE)</f>
        <v>Malabal Tor</v>
      </c>
    </row>
    <row r="284" spans="1:14" x14ac:dyDescent="0.25">
      <c r="A284" s="90">
        <v>295</v>
      </c>
      <c r="B284">
        <v>18</v>
      </c>
      <c r="C284">
        <v>75</v>
      </c>
      <c r="D284" t="s">
        <v>197</v>
      </c>
      <c r="E284">
        <v>111</v>
      </c>
      <c r="F284">
        <v>281</v>
      </c>
      <c r="G284" t="s">
        <v>197</v>
      </c>
      <c r="H284">
        <v>7</v>
      </c>
      <c r="I284" t="s">
        <v>2991</v>
      </c>
      <c r="J284" s="30" t="str">
        <f t="shared" si="12"/>
        <v>[295]=281,</v>
      </c>
      <c r="K284" s="3">
        <f t="shared" si="13"/>
        <v>295</v>
      </c>
      <c r="L284" s="3">
        <f t="shared" si="14"/>
        <v>281</v>
      </c>
      <c r="M284" s="8" t="str">
        <f>VLOOKUP(A284,'ESO wayshrine names'!$A$3:$B$5104,2,)</f>
        <v>Humblemud</v>
      </c>
      <c r="N284" s="3" t="str">
        <f>VLOOKUP(F284,'ESO zone constants'!$A$5:$D$10001,4,FALSE)</f>
        <v>Bal Foyen</v>
      </c>
    </row>
    <row r="285" spans="1:14" x14ac:dyDescent="0.25">
      <c r="A285" s="90">
        <v>296</v>
      </c>
      <c r="B285">
        <v>7</v>
      </c>
      <c r="C285">
        <v>9</v>
      </c>
      <c r="D285" t="s">
        <v>2282</v>
      </c>
      <c r="E285">
        <v>181</v>
      </c>
      <c r="F285">
        <v>383</v>
      </c>
      <c r="G285" t="s">
        <v>2282</v>
      </c>
      <c r="H285">
        <v>7</v>
      </c>
      <c r="I285" t="s">
        <v>2992</v>
      </c>
      <c r="J285" s="30" t="str">
        <f t="shared" si="12"/>
        <v>[296]=383,</v>
      </c>
      <c r="K285" s="3">
        <f t="shared" si="13"/>
        <v>296</v>
      </c>
      <c r="L285" s="3">
        <f t="shared" si="14"/>
        <v>383</v>
      </c>
      <c r="M285" s="8" t="str">
        <f>VLOOKUP(A285,'ESO wayshrine names'!$A$3:$B$5104,2,)</f>
        <v>Snugpod</v>
      </c>
      <c r="N285" s="3" t="str">
        <f>VLOOKUP(F285,'ESO zone constants'!$A$5:$D$10001,4,FALSE)</f>
        <v>Grahtwood</v>
      </c>
    </row>
    <row r="286" spans="1:14" x14ac:dyDescent="0.25">
      <c r="A286" s="90">
        <v>297</v>
      </c>
      <c r="B286">
        <v>2</v>
      </c>
      <c r="C286">
        <v>1</v>
      </c>
      <c r="D286" t="s">
        <v>103</v>
      </c>
      <c r="E286">
        <v>2</v>
      </c>
      <c r="F286">
        <v>3</v>
      </c>
      <c r="G286" t="s">
        <v>103</v>
      </c>
      <c r="H286">
        <v>7</v>
      </c>
      <c r="I286" t="s">
        <v>3182</v>
      </c>
      <c r="J286" s="30" t="str">
        <f t="shared" si="12"/>
        <v>[297]=3,</v>
      </c>
      <c r="K286" s="3">
        <f t="shared" si="13"/>
        <v>297</v>
      </c>
      <c r="L286" s="3">
        <f t="shared" si="14"/>
        <v>3</v>
      </c>
      <c r="M286" s="8" t="str">
        <f>VLOOKUP(A286,'ESO wayshrine names'!$A$3:$B$5104,2,)</f>
        <v>Captain Margaux's Place</v>
      </c>
      <c r="N286" s="3" t="str">
        <f>VLOOKUP(F286,'ESO zone constants'!$A$5:$D$10001,4,FALSE)</f>
        <v>Glenumbra</v>
      </c>
    </row>
    <row r="287" spans="1:14" x14ac:dyDescent="0.25">
      <c r="A287" s="90">
        <v>298</v>
      </c>
      <c r="B287">
        <v>11</v>
      </c>
      <c r="C287">
        <v>7</v>
      </c>
      <c r="D287" t="s">
        <v>2303</v>
      </c>
      <c r="E287">
        <v>9</v>
      </c>
      <c r="F287">
        <v>41</v>
      </c>
      <c r="G287" t="s">
        <v>2303</v>
      </c>
      <c r="H287">
        <v>7</v>
      </c>
      <c r="I287" t="s">
        <v>2993</v>
      </c>
      <c r="J287" s="30" t="str">
        <f t="shared" si="12"/>
        <v>[298]=41,</v>
      </c>
      <c r="K287" s="3">
        <f t="shared" si="13"/>
        <v>298</v>
      </c>
      <c r="L287" s="3">
        <f t="shared" si="14"/>
        <v>41</v>
      </c>
      <c r="M287" s="8" t="str">
        <f>VLOOKUP(A287,'ESO wayshrine names'!$A$3:$B$5104,2,)</f>
        <v>Kragenhome</v>
      </c>
      <c r="N287" s="3" t="str">
        <f>VLOOKUP(F287,'ESO zone constants'!$A$5:$D$10001,4,FALSE)</f>
        <v>Stonefalls</v>
      </c>
    </row>
    <row r="288" spans="1:14" x14ac:dyDescent="0.25">
      <c r="A288" s="90">
        <v>299</v>
      </c>
      <c r="B288">
        <v>8</v>
      </c>
      <c r="C288">
        <v>22</v>
      </c>
      <c r="D288" t="s">
        <v>108</v>
      </c>
      <c r="E288">
        <v>11</v>
      </c>
      <c r="F288">
        <v>58</v>
      </c>
      <c r="G288" t="s">
        <v>108</v>
      </c>
      <c r="H288">
        <v>7</v>
      </c>
      <c r="I288" t="s">
        <v>2994</v>
      </c>
      <c r="J288" s="30" t="str">
        <f t="shared" si="12"/>
        <v>[299]=58,</v>
      </c>
      <c r="K288" s="3">
        <f t="shared" si="13"/>
        <v>299</v>
      </c>
      <c r="L288" s="3">
        <f t="shared" si="14"/>
        <v>58</v>
      </c>
      <c r="M288" s="8" t="str">
        <f>VLOOKUP(A288,'ESO wayshrine names'!$A$3:$B$5104,2,)</f>
        <v>Cyrodilic Jungle House</v>
      </c>
      <c r="N288" s="3" t="str">
        <f>VLOOKUP(F288,'ESO zone constants'!$A$5:$D$10001,4,FALSE)</f>
        <v>Malabal Tor</v>
      </c>
    </row>
    <row r="289" spans="1:14" x14ac:dyDescent="0.25">
      <c r="A289" s="90">
        <v>300</v>
      </c>
      <c r="B289">
        <v>21</v>
      </c>
      <c r="C289">
        <v>258</v>
      </c>
      <c r="D289" t="s">
        <v>2882</v>
      </c>
      <c r="E289">
        <v>307</v>
      </c>
      <c r="F289">
        <v>537</v>
      </c>
      <c r="G289" t="s">
        <v>2882</v>
      </c>
      <c r="H289">
        <v>7</v>
      </c>
      <c r="I289" t="s">
        <v>2995</v>
      </c>
      <c r="J289" s="30" t="str">
        <f t="shared" si="12"/>
        <v>[300]=537,</v>
      </c>
      <c r="K289" s="3">
        <f t="shared" si="13"/>
        <v>300</v>
      </c>
      <c r="L289" s="3">
        <f t="shared" si="14"/>
        <v>537</v>
      </c>
      <c r="M289" s="8" t="str">
        <f>VLOOKUP(A289,'ESO wayshrine names'!$A$3:$B$5104,2,)</f>
        <v>Moonmirth House</v>
      </c>
      <c r="N289" s="3" t="str">
        <f>VLOOKUP(F289,'ESO zone constants'!$A$5:$D$10001,4,FALSE)</f>
        <v>Khenarthi's Roost</v>
      </c>
    </row>
    <row r="290" spans="1:14" x14ac:dyDescent="0.25">
      <c r="A290" s="90">
        <v>301</v>
      </c>
      <c r="B290">
        <v>12</v>
      </c>
      <c r="C290">
        <v>125</v>
      </c>
      <c r="D290" t="s">
        <v>2301</v>
      </c>
      <c r="E290">
        <v>16</v>
      </c>
      <c r="F290">
        <v>103</v>
      </c>
      <c r="G290" t="s">
        <v>2301</v>
      </c>
      <c r="H290">
        <v>7</v>
      </c>
      <c r="I290" t="s">
        <v>2996</v>
      </c>
      <c r="J290" s="30" t="str">
        <f t="shared" si="12"/>
        <v>[301]=103,</v>
      </c>
      <c r="K290" s="3">
        <f t="shared" si="13"/>
        <v>301</v>
      </c>
      <c r="L290" s="3">
        <f t="shared" si="14"/>
        <v>103</v>
      </c>
      <c r="M290" s="8" t="str">
        <f>VLOOKUP(A290,'ESO wayshrine names'!$A$3:$B$5104,2,)</f>
        <v>Autumn's-Gate</v>
      </c>
      <c r="N290" s="3" t="str">
        <f>VLOOKUP(F290,'ESO zone constants'!$A$5:$D$10001,4,FALSE)</f>
        <v>The Rift</v>
      </c>
    </row>
    <row r="291" spans="1:14" x14ac:dyDescent="0.25">
      <c r="A291" s="90">
        <v>302</v>
      </c>
      <c r="B291">
        <v>4</v>
      </c>
      <c r="C291">
        <v>12</v>
      </c>
      <c r="D291" t="s">
        <v>2299</v>
      </c>
      <c r="E291">
        <v>4</v>
      </c>
      <c r="F291">
        <v>19</v>
      </c>
      <c r="G291" t="s">
        <v>2299</v>
      </c>
      <c r="H291">
        <v>7</v>
      </c>
      <c r="I291" t="s">
        <v>3798</v>
      </c>
      <c r="J291" s="30" t="str">
        <f t="shared" si="12"/>
        <v>[302]=19,</v>
      </c>
      <c r="K291" s="3">
        <f t="shared" si="13"/>
        <v>302</v>
      </c>
      <c r="L291" s="3">
        <f t="shared" si="14"/>
        <v>19</v>
      </c>
      <c r="M291" s="8" t="str">
        <f>VLOOKUP(A291,'ESO wayshrine names'!$A$3:$B$5104,2,)</f>
        <v>Hammerdeath Bungalow</v>
      </c>
      <c r="N291" s="3" t="str">
        <f>VLOOKUP(F291,'ESO zone constants'!$A$5:$D$10001,4,FALSE)</f>
        <v>Stormhaven</v>
      </c>
    </row>
    <row r="292" spans="1:14" x14ac:dyDescent="0.25">
      <c r="A292" s="90">
        <v>303</v>
      </c>
      <c r="B292">
        <v>6</v>
      </c>
      <c r="C292">
        <v>20</v>
      </c>
      <c r="D292" t="s">
        <v>109</v>
      </c>
      <c r="E292">
        <v>14</v>
      </c>
      <c r="F292">
        <v>92</v>
      </c>
      <c r="G292" t="s">
        <v>109</v>
      </c>
      <c r="H292">
        <v>7</v>
      </c>
      <c r="I292" t="s">
        <v>2997</v>
      </c>
      <c r="J292" s="30" t="str">
        <f t="shared" si="12"/>
        <v>[303]=92,</v>
      </c>
      <c r="K292" s="3">
        <f t="shared" si="13"/>
        <v>303</v>
      </c>
      <c r="L292" s="3">
        <f t="shared" si="14"/>
        <v>92</v>
      </c>
      <c r="M292" s="8" t="str">
        <f>VLOOKUP(A292,'ESO wayshrine names'!$A$3:$B$5104,2,)</f>
        <v>Twin Arches</v>
      </c>
      <c r="N292" s="3" t="str">
        <f>VLOOKUP(F292,'ESO zone constants'!$A$5:$D$10001,4,FALSE)</f>
        <v>Bangkorai</v>
      </c>
    </row>
    <row r="293" spans="1:14" x14ac:dyDescent="0.25">
      <c r="A293" s="90">
        <v>304</v>
      </c>
      <c r="B293">
        <v>16</v>
      </c>
      <c r="C293">
        <v>300</v>
      </c>
      <c r="D293" t="s">
        <v>2284</v>
      </c>
      <c r="E293">
        <v>18</v>
      </c>
      <c r="F293">
        <v>108</v>
      </c>
      <c r="G293" t="s">
        <v>2284</v>
      </c>
      <c r="H293">
        <v>7</v>
      </c>
      <c r="I293" t="s">
        <v>2998</v>
      </c>
      <c r="J293" s="30" t="str">
        <f t="shared" si="12"/>
        <v>[304]=108,</v>
      </c>
      <c r="K293" s="3">
        <f t="shared" si="13"/>
        <v>304</v>
      </c>
      <c r="L293" s="3">
        <f t="shared" si="14"/>
        <v>108</v>
      </c>
      <c r="M293" s="8" t="str">
        <f>VLOOKUP(A293,'ESO wayshrine names'!$A$3:$B$5104,2,)</f>
        <v>Cliffshade</v>
      </c>
      <c r="N293" s="3" t="str">
        <f>VLOOKUP(F293,'ESO zone constants'!$A$5:$D$10001,4,FALSE)</f>
        <v>Greenshade</v>
      </c>
    </row>
    <row r="294" spans="1:14" x14ac:dyDescent="0.25">
      <c r="A294" s="90">
        <v>305</v>
      </c>
      <c r="B294">
        <v>9</v>
      </c>
      <c r="C294">
        <v>26</v>
      </c>
      <c r="D294" t="s">
        <v>2302</v>
      </c>
      <c r="E294">
        <v>19</v>
      </c>
      <c r="F294">
        <v>117</v>
      </c>
      <c r="G294" t="s">
        <v>2302</v>
      </c>
      <c r="H294">
        <v>7</v>
      </c>
      <c r="I294" t="s">
        <v>2999</v>
      </c>
      <c r="J294" s="30" t="str">
        <f t="shared" si="12"/>
        <v>[305]=117,</v>
      </c>
      <c r="K294" s="3">
        <f t="shared" si="13"/>
        <v>305</v>
      </c>
      <c r="L294" s="3">
        <f t="shared" si="14"/>
        <v>117</v>
      </c>
      <c r="M294" s="8" t="str">
        <f>VLOOKUP(A294,'ESO wayshrine names'!$A$3:$B$5104,2,)</f>
        <v>The Ample Domicile</v>
      </c>
      <c r="N294" s="3" t="str">
        <f>VLOOKUP(F294,'ESO zone constants'!$A$5:$D$10001,4,FALSE)</f>
        <v>Shadowfen</v>
      </c>
    </row>
    <row r="295" spans="1:14" x14ac:dyDescent="0.25">
      <c r="A295" s="90">
        <v>306</v>
      </c>
      <c r="B295">
        <v>16</v>
      </c>
      <c r="C295">
        <v>300</v>
      </c>
      <c r="D295" t="s">
        <v>2284</v>
      </c>
      <c r="E295">
        <v>18</v>
      </c>
      <c r="F295">
        <v>108</v>
      </c>
      <c r="G295" t="s">
        <v>2284</v>
      </c>
      <c r="H295">
        <v>7</v>
      </c>
      <c r="I295" t="s">
        <v>3000</v>
      </c>
      <c r="J295" s="30" t="str">
        <f t="shared" si="12"/>
        <v>[306]=108,</v>
      </c>
      <c r="K295" s="3">
        <f t="shared" si="13"/>
        <v>306</v>
      </c>
      <c r="L295" s="3">
        <f t="shared" si="14"/>
        <v>108</v>
      </c>
      <c r="M295" s="8" t="str">
        <f>VLOOKUP(A295,'ESO wayshrine names'!$A$3:$B$5104,2,)</f>
        <v>Bouldertree Refuge</v>
      </c>
      <c r="N295" s="3" t="str">
        <f>VLOOKUP(F295,'ESO zone constants'!$A$5:$D$10001,4,FALSE)</f>
        <v>Greenshade</v>
      </c>
    </row>
    <row r="296" spans="1:14" x14ac:dyDescent="0.25">
      <c r="A296" s="90">
        <v>307</v>
      </c>
      <c r="B296">
        <v>3</v>
      </c>
      <c r="C296">
        <v>10</v>
      </c>
      <c r="D296" t="s">
        <v>2298</v>
      </c>
      <c r="E296">
        <v>5</v>
      </c>
      <c r="F296">
        <v>20</v>
      </c>
      <c r="G296" t="s">
        <v>2298</v>
      </c>
      <c r="H296">
        <v>7</v>
      </c>
      <c r="I296" t="s">
        <v>3001</v>
      </c>
      <c r="J296" s="30" t="str">
        <f t="shared" si="12"/>
        <v>[307]=20,</v>
      </c>
      <c r="K296" s="3">
        <f t="shared" si="13"/>
        <v>307</v>
      </c>
      <c r="L296" s="3">
        <f t="shared" si="14"/>
        <v>20</v>
      </c>
      <c r="M296" s="8" t="str">
        <f>VLOOKUP(A296,'ESO wayshrine names'!$A$3:$B$5104,2,)</f>
        <v>Ravenhurst</v>
      </c>
      <c r="N296" s="3" t="str">
        <f>VLOOKUP(F296,'ESO zone constants'!$A$5:$D$10001,4,FALSE)</f>
        <v>Rivenspire</v>
      </c>
    </row>
    <row r="297" spans="1:14" x14ac:dyDescent="0.25">
      <c r="A297" s="90">
        <v>309</v>
      </c>
      <c r="B297">
        <v>10</v>
      </c>
      <c r="C297">
        <v>13</v>
      </c>
      <c r="D297" t="s">
        <v>107</v>
      </c>
      <c r="E297">
        <v>10</v>
      </c>
      <c r="F297">
        <v>57</v>
      </c>
      <c r="G297" t="s">
        <v>107</v>
      </c>
      <c r="H297">
        <v>7</v>
      </c>
      <c r="I297" t="s">
        <v>3002</v>
      </c>
      <c r="J297" s="30" t="str">
        <f t="shared" si="12"/>
        <v>[309]=57,</v>
      </c>
      <c r="K297" s="3">
        <f t="shared" si="13"/>
        <v>309</v>
      </c>
      <c r="L297" s="3">
        <f t="shared" si="14"/>
        <v>57</v>
      </c>
      <c r="M297" s="8" t="str">
        <f>VLOOKUP(A297,'ESO wayshrine names'!$A$3:$B$5104,2,)</f>
        <v>Velothi Reverie</v>
      </c>
      <c r="N297" s="3" t="str">
        <f>VLOOKUP(F297,'ESO zone constants'!$A$5:$D$10001,4,FALSE)</f>
        <v>Deshaan</v>
      </c>
    </row>
    <row r="298" spans="1:14" x14ac:dyDescent="0.25">
      <c r="A298" s="90">
        <v>310</v>
      </c>
      <c r="B298">
        <v>25</v>
      </c>
      <c r="C298">
        <v>1126</v>
      </c>
      <c r="D298" t="s">
        <v>2360</v>
      </c>
      <c r="E298">
        <v>501</v>
      </c>
      <c r="F298">
        <v>888</v>
      </c>
      <c r="G298" t="s">
        <v>2360</v>
      </c>
      <c r="H298">
        <v>7</v>
      </c>
      <c r="I298" t="s">
        <v>548</v>
      </c>
      <c r="J298" s="30" t="str">
        <f t="shared" si="12"/>
        <v>[310]=888,</v>
      </c>
      <c r="K298" s="3">
        <f t="shared" si="13"/>
        <v>310</v>
      </c>
      <c r="L298" s="3">
        <f t="shared" si="14"/>
        <v>888</v>
      </c>
      <c r="M298" s="8" t="str">
        <f>VLOOKUP(A298,'ESO wayshrine names'!$A$3:$B$5104,2,)</f>
        <v>Domus Phrasticus</v>
      </c>
      <c r="N298" s="3" t="str">
        <f>VLOOKUP(F298,'ESO zone constants'!$A$5:$D$10001,4,FALSE)</f>
        <v>Craglorn</v>
      </c>
    </row>
    <row r="299" spans="1:14" x14ac:dyDescent="0.25">
      <c r="A299" s="90">
        <v>311</v>
      </c>
      <c r="B299">
        <v>17</v>
      </c>
      <c r="C299">
        <v>256</v>
      </c>
      <c r="D299" t="s">
        <v>2285</v>
      </c>
      <c r="E299">
        <v>180</v>
      </c>
      <c r="F299">
        <v>382</v>
      </c>
      <c r="G299" t="s">
        <v>2285</v>
      </c>
      <c r="H299">
        <v>7</v>
      </c>
      <c r="I299" t="s">
        <v>3003</v>
      </c>
      <c r="J299" s="30" t="str">
        <f t="shared" si="12"/>
        <v>[311]=382,</v>
      </c>
      <c r="K299" s="3">
        <f t="shared" si="13"/>
        <v>311</v>
      </c>
      <c r="L299" s="3">
        <f t="shared" si="14"/>
        <v>382</v>
      </c>
      <c r="M299" s="8" t="str">
        <f>VLOOKUP(A299,'ESO wayshrine names'!$A$3:$B$5104,2,)</f>
        <v>Sleek Creek House</v>
      </c>
      <c r="N299" s="3" t="str">
        <f>VLOOKUP(F299,'ESO zone constants'!$A$5:$D$10001,4,FALSE)</f>
        <v>Reaper's March</v>
      </c>
    </row>
    <row r="300" spans="1:14" x14ac:dyDescent="0.25">
      <c r="A300" s="90">
        <v>312</v>
      </c>
      <c r="B300">
        <v>13</v>
      </c>
      <c r="C300">
        <v>61</v>
      </c>
      <c r="D300" t="s">
        <v>2300</v>
      </c>
      <c r="E300">
        <v>15</v>
      </c>
      <c r="F300">
        <v>101</v>
      </c>
      <c r="G300" t="s">
        <v>2300</v>
      </c>
      <c r="H300">
        <v>7</v>
      </c>
      <c r="I300" t="s">
        <v>3246</v>
      </c>
      <c r="J300" s="30" t="str">
        <f t="shared" si="12"/>
        <v>[312]=101,</v>
      </c>
      <c r="K300" s="3">
        <f t="shared" si="13"/>
        <v>312</v>
      </c>
      <c r="L300" s="3">
        <f t="shared" si="14"/>
        <v>101</v>
      </c>
      <c r="M300" s="8" t="str">
        <f>VLOOKUP(A300,'ESO wayshrine names'!$A$3:$B$5104,2,)</f>
        <v>Grymharth's Woe</v>
      </c>
      <c r="N300" s="3" t="str">
        <f>VLOOKUP(F300,'ESO zone constants'!$A$5:$D$10001,4,FALSE)</f>
        <v>Eastmarch</v>
      </c>
    </row>
    <row r="301" spans="1:14" x14ac:dyDescent="0.25">
      <c r="A301" s="90">
        <v>313</v>
      </c>
      <c r="B301">
        <v>6</v>
      </c>
      <c r="C301">
        <v>20</v>
      </c>
      <c r="D301" t="s">
        <v>109</v>
      </c>
      <c r="E301">
        <v>14</v>
      </c>
      <c r="F301">
        <v>92</v>
      </c>
      <c r="G301" t="s">
        <v>109</v>
      </c>
      <c r="H301">
        <v>7</v>
      </c>
      <c r="I301" t="s">
        <v>3004</v>
      </c>
      <c r="J301" s="30" t="str">
        <f t="shared" si="12"/>
        <v>[313]=92,</v>
      </c>
      <c r="K301" s="3">
        <f t="shared" si="13"/>
        <v>313</v>
      </c>
      <c r="L301" s="3">
        <f t="shared" si="14"/>
        <v>92</v>
      </c>
      <c r="M301" s="8" t="str">
        <f>VLOOKUP(A301,'ESO wayshrine names'!$A$3:$B$5104,2,)</f>
        <v>Mournoth Keep</v>
      </c>
      <c r="N301" s="3" t="str">
        <f>VLOOKUP(F301,'ESO zone constants'!$A$5:$D$10001,4,FALSE)</f>
        <v>Bangkorai</v>
      </c>
    </row>
    <row r="302" spans="1:14" x14ac:dyDescent="0.25">
      <c r="A302" s="90">
        <v>314</v>
      </c>
      <c r="B302">
        <v>5</v>
      </c>
      <c r="C302">
        <v>30</v>
      </c>
      <c r="D302" t="s">
        <v>3177</v>
      </c>
      <c r="E302">
        <v>17</v>
      </c>
      <c r="F302">
        <v>104</v>
      </c>
      <c r="G302" t="s">
        <v>2297</v>
      </c>
      <c r="H302">
        <v>7</v>
      </c>
      <c r="I302" t="s">
        <v>3005</v>
      </c>
      <c r="J302" s="30" t="str">
        <f t="shared" si="12"/>
        <v>[314]=104,</v>
      </c>
      <c r="K302" s="3">
        <f t="shared" si="13"/>
        <v>314</v>
      </c>
      <c r="L302" s="3">
        <f t="shared" si="14"/>
        <v>104</v>
      </c>
      <c r="M302" s="8" t="str">
        <f>VLOOKUP(A302,'ESO wayshrine names'!$A$3:$B$5104,2,)</f>
        <v>House of the Silent Magnifico</v>
      </c>
      <c r="N302" s="3" t="str">
        <f>VLOOKUP(F302,'ESO zone constants'!$A$5:$D$10001,4,FALSE)</f>
        <v>Alik'r Desert</v>
      </c>
    </row>
    <row r="303" spans="1:14" x14ac:dyDescent="0.25">
      <c r="A303" s="90">
        <v>315</v>
      </c>
      <c r="B303">
        <v>15</v>
      </c>
      <c r="C303">
        <v>143</v>
      </c>
      <c r="D303" t="s">
        <v>262</v>
      </c>
      <c r="E303">
        <v>179</v>
      </c>
      <c r="F303">
        <v>381</v>
      </c>
      <c r="G303" t="s">
        <v>262</v>
      </c>
      <c r="H303">
        <v>7</v>
      </c>
      <c r="I303" t="s">
        <v>3006</v>
      </c>
      <c r="J303" s="30" t="str">
        <f t="shared" si="12"/>
        <v>[315]=381,</v>
      </c>
      <c r="K303" s="3">
        <f t="shared" si="13"/>
        <v>315</v>
      </c>
      <c r="L303" s="3">
        <f t="shared" si="14"/>
        <v>381</v>
      </c>
      <c r="M303" s="8" t="str">
        <f>VLOOKUP(A303,'ESO wayshrine names'!$A$3:$B$5104,2,)</f>
        <v>Mathiisen Manor</v>
      </c>
      <c r="N303" s="3" t="str">
        <f>VLOOKUP(F303,'ESO zone constants'!$A$5:$D$10001,4,FALSE)</f>
        <v>Auridon</v>
      </c>
    </row>
    <row r="304" spans="1:14" x14ac:dyDescent="0.25">
      <c r="A304" s="90">
        <v>316</v>
      </c>
      <c r="B304">
        <v>9</v>
      </c>
      <c r="C304">
        <v>26</v>
      </c>
      <c r="D304" t="s">
        <v>2302</v>
      </c>
      <c r="E304">
        <v>19</v>
      </c>
      <c r="F304">
        <v>117</v>
      </c>
      <c r="G304" t="s">
        <v>2302</v>
      </c>
      <c r="H304">
        <v>7</v>
      </c>
      <c r="I304" t="s">
        <v>3007</v>
      </c>
      <c r="J304" s="30" t="str">
        <f t="shared" si="12"/>
        <v>[316]=117,</v>
      </c>
      <c r="K304" s="3">
        <f t="shared" si="13"/>
        <v>316</v>
      </c>
      <c r="L304" s="3">
        <f t="shared" si="14"/>
        <v>117</v>
      </c>
      <c r="M304" s="8" t="str">
        <f>VLOOKUP(A304,'ESO wayshrine names'!$A$3:$B$5104,2,)</f>
        <v>Stay-Moist Mansion</v>
      </c>
      <c r="N304" s="3" t="str">
        <f>VLOOKUP(F304,'ESO zone constants'!$A$5:$D$10001,4,FALSE)</f>
        <v>Shadowfen</v>
      </c>
    </row>
    <row r="305" spans="1:14" x14ac:dyDescent="0.25">
      <c r="A305" s="90">
        <v>317</v>
      </c>
      <c r="B305">
        <v>7</v>
      </c>
      <c r="C305">
        <v>9</v>
      </c>
      <c r="D305" t="s">
        <v>2282</v>
      </c>
      <c r="E305">
        <v>181</v>
      </c>
      <c r="F305">
        <v>383</v>
      </c>
      <c r="G305" t="s">
        <v>2282</v>
      </c>
      <c r="H305">
        <v>7</v>
      </c>
      <c r="I305" t="s">
        <v>3008</v>
      </c>
      <c r="J305" s="30" t="str">
        <f t="shared" si="12"/>
        <v>[317]=383,</v>
      </c>
      <c r="K305" s="3">
        <f t="shared" si="13"/>
        <v>317</v>
      </c>
      <c r="L305" s="3">
        <f t="shared" si="14"/>
        <v>383</v>
      </c>
      <c r="M305" s="8" t="str">
        <f>VLOOKUP(A305,'ESO wayshrine names'!$A$3:$B$5104,2,)</f>
        <v>The Gorinir Estate</v>
      </c>
      <c r="N305" s="3" t="str">
        <f>VLOOKUP(F305,'ESO zone constants'!$A$5:$D$10001,4,FALSE)</f>
        <v>Grahtwood</v>
      </c>
    </row>
    <row r="306" spans="1:14" x14ac:dyDescent="0.25">
      <c r="A306" s="90">
        <v>318</v>
      </c>
      <c r="B306">
        <v>4</v>
      </c>
      <c r="C306">
        <v>12</v>
      </c>
      <c r="D306" t="s">
        <v>2299</v>
      </c>
      <c r="E306">
        <v>4</v>
      </c>
      <c r="F306">
        <v>19</v>
      </c>
      <c r="G306" t="s">
        <v>2299</v>
      </c>
      <c r="H306">
        <v>7</v>
      </c>
      <c r="I306" t="s">
        <v>3799</v>
      </c>
      <c r="J306" s="30" t="str">
        <f t="shared" si="12"/>
        <v>[318]=19,</v>
      </c>
      <c r="K306" s="3">
        <f t="shared" si="13"/>
        <v>318</v>
      </c>
      <c r="L306" s="3">
        <f t="shared" si="14"/>
        <v>19</v>
      </c>
      <c r="M306" s="8" t="str">
        <f>VLOOKUP(A306,'ESO wayshrine names'!$A$3:$B$5104,2,)</f>
        <v>Gardner House</v>
      </c>
      <c r="N306" s="3" t="str">
        <f>VLOOKUP(F306,'ESO zone constants'!$A$5:$D$10001,4,FALSE)</f>
        <v>Stormhaven</v>
      </c>
    </row>
    <row r="307" spans="1:14" x14ac:dyDescent="0.25">
      <c r="A307" s="90">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names'!$A$3:$B$5104,2,)</f>
        <v>Quondam Indorilia</v>
      </c>
      <c r="N307" s="3" t="str">
        <f>VLOOKUP(F307,'ESO zone constants'!$A$5:$D$10001,4,FALSE)</f>
        <v>Deshaan</v>
      </c>
    </row>
    <row r="308" spans="1:14" x14ac:dyDescent="0.25">
      <c r="A308" s="90">
        <v>320</v>
      </c>
      <c r="B308">
        <v>17</v>
      </c>
      <c r="C308">
        <v>256</v>
      </c>
      <c r="D308" t="s">
        <v>2285</v>
      </c>
      <c r="E308">
        <v>180</v>
      </c>
      <c r="F308">
        <v>382</v>
      </c>
      <c r="G308" t="s">
        <v>2285</v>
      </c>
      <c r="H308">
        <v>7</v>
      </c>
      <c r="I308" t="s">
        <v>3009</v>
      </c>
      <c r="J308" s="30" t="str">
        <f t="shared" si="12"/>
        <v>[320]=382,</v>
      </c>
      <c r="K308" s="3">
        <f t="shared" si="13"/>
        <v>320</v>
      </c>
      <c r="L308" s="3">
        <f t="shared" si="14"/>
        <v>382</v>
      </c>
      <c r="M308" s="8" t="str">
        <f>VLOOKUP(A308,'ESO wayshrine names'!$A$3:$B$5104,2,)</f>
        <v>Strident Springs Demesne</v>
      </c>
      <c r="N308" s="3" t="str">
        <f>VLOOKUP(F308,'ESO zone constants'!$A$5:$D$10001,4,FALSE)</f>
        <v>Reaper's March</v>
      </c>
    </row>
    <row r="309" spans="1:14" x14ac:dyDescent="0.25">
      <c r="A309" s="90">
        <v>321</v>
      </c>
      <c r="B309">
        <v>17</v>
      </c>
      <c r="C309">
        <v>256</v>
      </c>
      <c r="D309" t="s">
        <v>2285</v>
      </c>
      <c r="E309">
        <v>180</v>
      </c>
      <c r="F309">
        <v>382</v>
      </c>
      <c r="G309" t="s">
        <v>2285</v>
      </c>
      <c r="H309">
        <v>7</v>
      </c>
      <c r="I309" t="s">
        <v>3010</v>
      </c>
      <c r="J309" s="30" t="str">
        <f t="shared" si="12"/>
        <v>[321]=382,</v>
      </c>
      <c r="K309" s="3">
        <f t="shared" si="13"/>
        <v>321</v>
      </c>
      <c r="L309" s="3">
        <f t="shared" si="14"/>
        <v>382</v>
      </c>
      <c r="M309" s="8" t="str">
        <f>VLOOKUP(A309,'ESO wayshrine names'!$A$3:$B$5104,2,)</f>
        <v>Dawnshadow</v>
      </c>
      <c r="N309" s="3" t="str">
        <f>VLOOKUP(F309,'ESO zone constants'!$A$5:$D$10001,4,FALSE)</f>
        <v>Reaper's March</v>
      </c>
    </row>
    <row r="310" spans="1:14" x14ac:dyDescent="0.25">
      <c r="A310" s="90">
        <v>322</v>
      </c>
      <c r="B310">
        <v>12</v>
      </c>
      <c r="C310">
        <v>125</v>
      </c>
      <c r="D310" t="s">
        <v>2301</v>
      </c>
      <c r="E310">
        <v>16</v>
      </c>
      <c r="F310">
        <v>103</v>
      </c>
      <c r="G310" t="s">
        <v>2301</v>
      </c>
      <c r="H310">
        <v>7</v>
      </c>
      <c r="I310" t="s">
        <v>3011</v>
      </c>
      <c r="J310" s="30" t="str">
        <f t="shared" si="12"/>
        <v>[322]=103,</v>
      </c>
      <c r="K310" s="3">
        <f t="shared" si="13"/>
        <v>322</v>
      </c>
      <c r="L310" s="3">
        <f t="shared" si="14"/>
        <v>103</v>
      </c>
      <c r="M310" s="8" t="str">
        <f>VLOOKUP(A310,'ESO wayshrine names'!$A$3:$B$5104,2,)</f>
        <v>Old Mistveil Manor</v>
      </c>
      <c r="N310" s="3" t="str">
        <f>VLOOKUP(F310,'ESO zone constants'!$A$5:$D$10001,4,FALSE)</f>
        <v>The Rift</v>
      </c>
    </row>
    <row r="311" spans="1:14" x14ac:dyDescent="0.25">
      <c r="A311" s="90">
        <v>323</v>
      </c>
      <c r="B311">
        <v>6</v>
      </c>
      <c r="C311">
        <v>20</v>
      </c>
      <c r="D311" t="s">
        <v>109</v>
      </c>
      <c r="E311">
        <v>14</v>
      </c>
      <c r="F311">
        <v>92</v>
      </c>
      <c r="G311" t="s">
        <v>109</v>
      </c>
      <c r="H311">
        <v>7</v>
      </c>
      <c r="I311" t="s">
        <v>3012</v>
      </c>
      <c r="J311" s="30" t="str">
        <f t="shared" si="12"/>
        <v>[323]=92,</v>
      </c>
      <c r="K311" s="3">
        <f t="shared" si="13"/>
        <v>323</v>
      </c>
      <c r="L311" s="3">
        <f t="shared" si="14"/>
        <v>92</v>
      </c>
      <c r="M311" s="8" t="str">
        <f>VLOOKUP(A311,'ESO wayshrine names'!$A$3:$B$5104,2,)</f>
        <v>Forsaken Stronghold</v>
      </c>
      <c r="N311" s="3" t="str">
        <f>VLOOKUP(F311,'ESO zone constants'!$A$5:$D$10001,4,FALSE)</f>
        <v>Bangkorai</v>
      </c>
    </row>
    <row r="312" spans="1:14" x14ac:dyDescent="0.25">
      <c r="A312" s="90">
        <v>324</v>
      </c>
      <c r="B312">
        <v>19</v>
      </c>
      <c r="C312">
        <v>201</v>
      </c>
      <c r="D312" t="s">
        <v>382</v>
      </c>
      <c r="E312">
        <v>305</v>
      </c>
      <c r="F312">
        <v>534</v>
      </c>
      <c r="G312" t="s">
        <v>382</v>
      </c>
      <c r="H312">
        <v>7</v>
      </c>
      <c r="I312" t="s">
        <v>3013</v>
      </c>
      <c r="J312" s="30" t="str">
        <f t="shared" si="12"/>
        <v>[324]=534,</v>
      </c>
      <c r="K312" s="3">
        <f t="shared" si="13"/>
        <v>324</v>
      </c>
      <c r="L312" s="3">
        <f t="shared" si="14"/>
        <v>534</v>
      </c>
      <c r="M312" s="8" t="str">
        <f>VLOOKUP(A312,'ESO wayshrine names'!$A$3:$B$5104,2,)</f>
        <v>Hunding's Palatial Hall</v>
      </c>
      <c r="N312" s="3" t="str">
        <f>VLOOKUP(F312,'ESO zone constants'!$A$5:$D$10001,4,FALSE)</f>
        <v>Stros M'Kai</v>
      </c>
    </row>
    <row r="313" spans="1:14" x14ac:dyDescent="0.25">
      <c r="A313" s="90">
        <v>325</v>
      </c>
      <c r="B313">
        <v>7</v>
      </c>
      <c r="C313">
        <v>9</v>
      </c>
      <c r="D313" t="s">
        <v>2282</v>
      </c>
      <c r="E313">
        <v>181</v>
      </c>
      <c r="F313">
        <v>383</v>
      </c>
      <c r="G313" t="s">
        <v>2282</v>
      </c>
      <c r="H313">
        <v>7</v>
      </c>
      <c r="I313" t="s">
        <v>3014</v>
      </c>
      <c r="J313" s="30" t="str">
        <f t="shared" si="12"/>
        <v>[325]=383,</v>
      </c>
      <c r="K313" s="3">
        <f t="shared" si="13"/>
        <v>325</v>
      </c>
      <c r="L313" s="3">
        <f t="shared" si="14"/>
        <v>383</v>
      </c>
      <c r="M313" s="8" t="str">
        <f>VLOOKUP(A313,'ESO wayshrine names'!$A$3:$B$5104,2,)</f>
        <v>Grand Topal Hideaway</v>
      </c>
      <c r="N313" s="3" t="str">
        <f>VLOOKUP(F313,'ESO zone constants'!$A$5:$D$10001,4,FALSE)</f>
        <v>Grahtwood</v>
      </c>
    </row>
    <row r="314" spans="1:14" x14ac:dyDescent="0.25">
      <c r="A314" s="90">
        <v>326</v>
      </c>
      <c r="B314">
        <v>25</v>
      </c>
      <c r="C314">
        <v>1126</v>
      </c>
      <c r="D314" t="s">
        <v>2360</v>
      </c>
      <c r="E314">
        <v>501</v>
      </c>
      <c r="F314">
        <v>888</v>
      </c>
      <c r="G314" t="s">
        <v>2360</v>
      </c>
      <c r="H314">
        <v>6</v>
      </c>
      <c r="I314" t="s">
        <v>3800</v>
      </c>
      <c r="J314" s="30" t="str">
        <f t="shared" si="12"/>
        <v>[326]=888,</v>
      </c>
      <c r="K314" s="3">
        <f t="shared" si="13"/>
        <v>326</v>
      </c>
      <c r="L314" s="3">
        <f t="shared" si="14"/>
        <v>888</v>
      </c>
      <c r="M314" s="8" t="str">
        <f>VLOOKUP(A314,'ESO wayshrine names'!$A$3:$B$5104,2,)</f>
        <v>Dungeon: Bloodroot Forge</v>
      </c>
      <c r="N314" s="3" t="str">
        <f>VLOOKUP(F314,'ESO zone constants'!$A$5:$D$10001,4,FALSE)</f>
        <v>Craglorn</v>
      </c>
    </row>
    <row r="315" spans="1:14" x14ac:dyDescent="0.25">
      <c r="A315" s="90">
        <v>327</v>
      </c>
      <c r="B315">
        <v>25</v>
      </c>
      <c r="C315">
        <v>1126</v>
      </c>
      <c r="D315" t="s">
        <v>2360</v>
      </c>
      <c r="E315">
        <v>501</v>
      </c>
      <c r="F315">
        <v>888</v>
      </c>
      <c r="G315" t="s">
        <v>2360</v>
      </c>
      <c r="H315">
        <v>7</v>
      </c>
      <c r="I315" t="s">
        <v>3801</v>
      </c>
      <c r="J315" s="30" t="str">
        <f t="shared" si="12"/>
        <v>[327]=888,</v>
      </c>
      <c r="K315" s="3">
        <f t="shared" si="13"/>
        <v>327</v>
      </c>
      <c r="L315" s="3">
        <f t="shared" si="14"/>
        <v>888</v>
      </c>
      <c r="M315" s="8" t="str">
        <f>VLOOKUP(A315,'ESO wayshrine names'!$A$3:$B$5104,2,)</f>
        <v>Earthtear Cavern</v>
      </c>
      <c r="N315" s="3" t="str">
        <f>VLOOKUP(F315,'ESO zone constants'!$A$5:$D$10001,4,FALSE)</f>
        <v>Craglorn</v>
      </c>
    </row>
    <row r="316" spans="1:14" x14ac:dyDescent="0.25">
      <c r="A316" s="90">
        <v>328</v>
      </c>
      <c r="B316">
        <v>30</v>
      </c>
      <c r="C316">
        <v>1060</v>
      </c>
      <c r="D316" t="s">
        <v>529</v>
      </c>
      <c r="E316">
        <v>468</v>
      </c>
      <c r="F316">
        <v>849</v>
      </c>
      <c r="G316" t="s">
        <v>529</v>
      </c>
      <c r="H316">
        <v>1</v>
      </c>
      <c r="I316" t="s">
        <v>3015</v>
      </c>
      <c r="J316" s="30" t="str">
        <f t="shared" si="12"/>
        <v>[328]=849,</v>
      </c>
      <c r="K316" s="3">
        <f t="shared" si="13"/>
        <v>328</v>
      </c>
      <c r="L316" s="3">
        <f t="shared" si="14"/>
        <v>849</v>
      </c>
      <c r="M316" s="8" t="str">
        <f>VLOOKUP(A316,'ESO wayshrine names'!$A$3:$B$5104,2,)</f>
        <v>Vivec Temple Wayshrine</v>
      </c>
      <c r="N316" s="3" t="str">
        <f>VLOOKUP(F316,'ESO zone constants'!$A$5:$D$10001,4,FALSE)</f>
        <v>Vvardenfell</v>
      </c>
    </row>
    <row r="317" spans="1:14" x14ac:dyDescent="0.25">
      <c r="A317" s="90">
        <v>329</v>
      </c>
      <c r="B317">
        <v>30</v>
      </c>
      <c r="C317">
        <v>1060</v>
      </c>
      <c r="D317" t="s">
        <v>529</v>
      </c>
      <c r="E317">
        <v>468</v>
      </c>
      <c r="F317">
        <v>849</v>
      </c>
      <c r="G317" t="s">
        <v>529</v>
      </c>
      <c r="H317">
        <v>1</v>
      </c>
      <c r="I317" t="s">
        <v>3016</v>
      </c>
      <c r="J317" s="30" t="str">
        <f t="shared" si="12"/>
        <v>[329]=849,</v>
      </c>
      <c r="K317" s="3">
        <f t="shared" si="13"/>
        <v>329</v>
      </c>
      <c r="L317" s="3">
        <f t="shared" si="14"/>
        <v>849</v>
      </c>
      <c r="M317" s="8" t="str">
        <f>VLOOKUP(A317,'ESO wayshrine names'!$A$3:$B$5104,2,)</f>
        <v>West Gash Wayshrine</v>
      </c>
      <c r="N317" s="3" t="str">
        <f>VLOOKUP(F317,'ESO zone constants'!$A$5:$D$10001,4,FALSE)</f>
        <v>Vvardenfell</v>
      </c>
    </row>
    <row r="318" spans="1:14" x14ac:dyDescent="0.25">
      <c r="A318" s="90">
        <v>330</v>
      </c>
      <c r="B318">
        <v>30</v>
      </c>
      <c r="C318">
        <v>1060</v>
      </c>
      <c r="D318" t="s">
        <v>529</v>
      </c>
      <c r="E318">
        <v>468</v>
      </c>
      <c r="F318">
        <v>849</v>
      </c>
      <c r="G318" t="s">
        <v>529</v>
      </c>
      <c r="H318">
        <v>1</v>
      </c>
      <c r="I318" t="s">
        <v>3017</v>
      </c>
      <c r="J318" s="30" t="str">
        <f t="shared" si="12"/>
        <v>[330]=849,</v>
      </c>
      <c r="K318" s="3">
        <f t="shared" si="13"/>
        <v>330</v>
      </c>
      <c r="L318" s="3">
        <f t="shared" si="14"/>
        <v>849</v>
      </c>
      <c r="M318" s="8" t="str">
        <f>VLOOKUP(A318,'ESO wayshrine names'!$A$3:$B$5104,2,)</f>
        <v>Urshilaku Camp Wayshrine</v>
      </c>
      <c r="N318" s="3" t="str">
        <f>VLOOKUP(F318,'ESO zone constants'!$A$5:$D$10001,4,FALSE)</f>
        <v>Vvardenfell</v>
      </c>
    </row>
    <row r="319" spans="1:14" x14ac:dyDescent="0.25">
      <c r="A319" s="90">
        <v>331</v>
      </c>
      <c r="B319">
        <v>30</v>
      </c>
      <c r="C319">
        <v>1060</v>
      </c>
      <c r="D319" t="s">
        <v>529</v>
      </c>
      <c r="E319">
        <v>468</v>
      </c>
      <c r="F319">
        <v>849</v>
      </c>
      <c r="G319" t="s">
        <v>529</v>
      </c>
      <c r="H319">
        <v>3</v>
      </c>
      <c r="I319" t="s">
        <v>3018</v>
      </c>
      <c r="J319" s="30" t="str">
        <f t="shared" si="12"/>
        <v>[331]=849,</v>
      </c>
      <c r="K319" s="3">
        <f t="shared" si="13"/>
        <v>331</v>
      </c>
      <c r="L319" s="3">
        <f t="shared" si="14"/>
        <v>849</v>
      </c>
      <c r="M319" s="8" t="str">
        <f>VLOOKUP(A319,'ESO wayshrine names'!$A$3:$B$5104,2,)</f>
        <v>Trial: Halls of Fabrication</v>
      </c>
      <c r="N319" s="3" t="str">
        <f>VLOOKUP(F319,'ESO zone constants'!$A$5:$D$10001,4,FALSE)</f>
        <v>Vvardenfell</v>
      </c>
    </row>
    <row r="320" spans="1:14" x14ac:dyDescent="0.25">
      <c r="A320" s="90">
        <v>332</v>
      </c>
      <c r="B320">
        <v>25</v>
      </c>
      <c r="C320">
        <v>1126</v>
      </c>
      <c r="D320" t="s">
        <v>2360</v>
      </c>
      <c r="E320">
        <v>501</v>
      </c>
      <c r="F320">
        <v>888</v>
      </c>
      <c r="G320" t="s">
        <v>2360</v>
      </c>
      <c r="H320">
        <v>6</v>
      </c>
      <c r="I320" t="s">
        <v>3802</v>
      </c>
      <c r="J320" s="30" t="str">
        <f t="shared" si="12"/>
        <v>[332]=888,</v>
      </c>
      <c r="K320" s="3">
        <f t="shared" si="13"/>
        <v>332</v>
      </c>
      <c r="L320" s="3">
        <f t="shared" si="14"/>
        <v>888</v>
      </c>
      <c r="M320" s="8" t="str">
        <f>VLOOKUP(A320,'ESO wayshrine names'!$A$3:$B$5104,2,)</f>
        <v>Dungeon: Falkreath Hold</v>
      </c>
      <c r="N320" s="3" t="str">
        <f>VLOOKUP(F320,'ESO zone constants'!$A$5:$D$10001,4,FALSE)</f>
        <v>Craglorn</v>
      </c>
    </row>
    <row r="321" spans="1:14" x14ac:dyDescent="0.25">
      <c r="A321" s="90">
        <v>333</v>
      </c>
      <c r="B321">
        <v>30</v>
      </c>
      <c r="C321">
        <v>1060</v>
      </c>
      <c r="D321" t="s">
        <v>529</v>
      </c>
      <c r="E321">
        <v>468</v>
      </c>
      <c r="F321">
        <v>849</v>
      </c>
      <c r="G321" t="s">
        <v>529</v>
      </c>
      <c r="H321">
        <v>7</v>
      </c>
      <c r="I321" t="s">
        <v>3019</v>
      </c>
      <c r="J321" s="30" t="str">
        <f t="shared" si="12"/>
        <v>[333]=849,</v>
      </c>
      <c r="K321" s="3">
        <f t="shared" si="13"/>
        <v>333</v>
      </c>
      <c r="L321" s="3">
        <f t="shared" si="14"/>
        <v>849</v>
      </c>
      <c r="M321" s="8" t="str">
        <f>VLOOKUP(A321,'ESO wayshrine names'!$A$3:$B$5104,2,)</f>
        <v>Saint Delyn Penthouse</v>
      </c>
      <c r="N321" s="3" t="str">
        <f>VLOOKUP(F321,'ESO zone constants'!$A$5:$D$10001,4,FALSE)</f>
        <v>Vvardenfell</v>
      </c>
    </row>
    <row r="322" spans="1:14" x14ac:dyDescent="0.25">
      <c r="A322" s="90">
        <v>334</v>
      </c>
      <c r="B322">
        <v>30</v>
      </c>
      <c r="C322">
        <v>1060</v>
      </c>
      <c r="D322" t="s">
        <v>529</v>
      </c>
      <c r="E322">
        <v>468</v>
      </c>
      <c r="F322">
        <v>849</v>
      </c>
      <c r="G322" t="s">
        <v>529</v>
      </c>
      <c r="H322">
        <v>7</v>
      </c>
      <c r="I322" t="s">
        <v>3020</v>
      </c>
      <c r="J322" s="30" t="str">
        <f t="shared" si="12"/>
        <v>[334]=849,</v>
      </c>
      <c r="K322" s="3">
        <f t="shared" si="13"/>
        <v>334</v>
      </c>
      <c r="L322" s="3">
        <f t="shared" si="14"/>
        <v>849</v>
      </c>
      <c r="M322" s="8" t="str">
        <f>VLOOKUP(A322,'ESO wayshrine names'!$A$3:$B$5104,2,)</f>
        <v>Amaya Lake Lodge</v>
      </c>
      <c r="N322" s="3" t="str">
        <f>VLOOKUP(F322,'ESO zone constants'!$A$5:$D$10001,4,FALSE)</f>
        <v>Vvardenfell</v>
      </c>
    </row>
    <row r="323" spans="1:14" x14ac:dyDescent="0.25">
      <c r="A323" s="90">
        <v>335</v>
      </c>
      <c r="B323">
        <v>30</v>
      </c>
      <c r="C323">
        <v>1060</v>
      </c>
      <c r="D323" t="s">
        <v>529</v>
      </c>
      <c r="E323">
        <v>468</v>
      </c>
      <c r="F323">
        <v>849</v>
      </c>
      <c r="G323" t="s">
        <v>529</v>
      </c>
      <c r="H323">
        <v>7</v>
      </c>
      <c r="I323" t="s">
        <v>3021</v>
      </c>
      <c r="J323" s="30" t="str">
        <f t="shared" ref="J323:J386" si="15">IF(A323&lt;&gt;"",IF(F323&lt;&gt;"",IF(OR(ISNA(A323),ISNA(F323)),"","["&amp;A323&amp;"]="&amp;F323&amp;","),""),"")</f>
        <v>[335]=849,</v>
      </c>
      <c r="K323" s="3">
        <f t="shared" ref="K323:K386" si="16">A323</f>
        <v>335</v>
      </c>
      <c r="L323" s="3">
        <f t="shared" ref="L323:L386" si="17">F323</f>
        <v>849</v>
      </c>
      <c r="M323" s="8" t="str">
        <f>VLOOKUP(A323,'ESO wayshrine names'!$A$3:$B$5104,2,)</f>
        <v>Ald Velothi Harbor House</v>
      </c>
      <c r="N323" s="3" t="str">
        <f>VLOOKUP(F323,'ESO zone constants'!$A$5:$D$10001,4,FALSE)</f>
        <v>Vvardenfell</v>
      </c>
    </row>
    <row r="324" spans="1:14" x14ac:dyDescent="0.25">
      <c r="A324" s="90">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names'!$A$3:$B$5104,2,)</f>
        <v>Tel Galen</v>
      </c>
      <c r="N324" s="3" t="str">
        <f>VLOOKUP(F324,'ESO zone constants'!$A$5:$D$10001,4,FALSE)</f>
        <v>Vvardenfell</v>
      </c>
    </row>
    <row r="325" spans="1:14" x14ac:dyDescent="0.25">
      <c r="A325" s="90">
        <v>337</v>
      </c>
      <c r="B325">
        <v>31</v>
      </c>
      <c r="C325">
        <v>1313</v>
      </c>
      <c r="D325" t="s">
        <v>2308</v>
      </c>
      <c r="E325">
        <v>590</v>
      </c>
      <c r="F325">
        <v>980</v>
      </c>
      <c r="G325" t="s">
        <v>3022</v>
      </c>
      <c r="H325">
        <v>1</v>
      </c>
      <c r="I325" t="s">
        <v>3023</v>
      </c>
      <c r="J325" s="30" t="str">
        <f t="shared" si="15"/>
        <v>[337]=980,</v>
      </c>
      <c r="K325" s="3">
        <f t="shared" si="16"/>
        <v>337</v>
      </c>
      <c r="L325" s="3">
        <f t="shared" si="17"/>
        <v>980</v>
      </c>
      <c r="M325" s="8" t="str">
        <f>VLOOKUP(A325,'ESO wayshrine names'!$A$3:$B$5104,2,)</f>
        <v>Brass Fortress Wayshrine</v>
      </c>
      <c r="N325" s="3" t="str">
        <f>VLOOKUP(F325,'ESO zone constants'!$A$5:$D$10001,4,FALSE)</f>
        <v>Clockwork City</v>
      </c>
    </row>
    <row r="326" spans="1:14" x14ac:dyDescent="0.25">
      <c r="A326" s="90">
        <v>338</v>
      </c>
      <c r="B326">
        <v>31</v>
      </c>
      <c r="C326">
        <v>1313</v>
      </c>
      <c r="D326" t="s">
        <v>2308</v>
      </c>
      <c r="E326">
        <v>590</v>
      </c>
      <c r="F326">
        <v>980</v>
      </c>
      <c r="G326" t="s">
        <v>3022</v>
      </c>
      <c r="H326">
        <v>1</v>
      </c>
      <c r="I326" t="s">
        <v>3024</v>
      </c>
      <c r="J326" s="30" t="str">
        <f t="shared" si="15"/>
        <v>[338]=980,</v>
      </c>
      <c r="K326" s="3">
        <f t="shared" si="16"/>
        <v>338</v>
      </c>
      <c r="L326" s="3">
        <f t="shared" si="17"/>
        <v>980</v>
      </c>
      <c r="M326" s="8" t="str">
        <f>VLOOKUP(A326,'ESO wayshrine names'!$A$3:$B$5104,2,)</f>
        <v>Clockwork Crossroads Wayshrine</v>
      </c>
      <c r="N326" s="3" t="str">
        <f>VLOOKUP(F326,'ESO zone constants'!$A$5:$D$10001,4,FALSE)</f>
        <v>Clockwork City</v>
      </c>
    </row>
    <row r="327" spans="1:14" x14ac:dyDescent="0.25">
      <c r="A327" s="90">
        <v>339</v>
      </c>
      <c r="B327">
        <v>31</v>
      </c>
      <c r="C327">
        <v>1313</v>
      </c>
      <c r="D327" t="s">
        <v>2308</v>
      </c>
      <c r="E327">
        <v>590</v>
      </c>
      <c r="F327">
        <v>980</v>
      </c>
      <c r="G327" t="s">
        <v>3022</v>
      </c>
      <c r="H327">
        <v>1</v>
      </c>
      <c r="I327" t="s">
        <v>3025</v>
      </c>
      <c r="J327" s="30" t="str">
        <f t="shared" si="15"/>
        <v>[339]=980,</v>
      </c>
      <c r="K327" s="3">
        <f t="shared" si="16"/>
        <v>339</v>
      </c>
      <c r="L327" s="3">
        <f t="shared" si="17"/>
        <v>980</v>
      </c>
      <c r="M327" s="8" t="str">
        <f>VLOOKUP(A327,'ESO wayshrine names'!$A$3:$B$5104,2,)</f>
        <v>Mire Mechanica Wayshrine</v>
      </c>
      <c r="N327" s="3" t="str">
        <f>VLOOKUP(F327,'ESO zone constants'!$A$5:$D$10001,4,FALSE)</f>
        <v>Clockwork City</v>
      </c>
    </row>
    <row r="328" spans="1:14" x14ac:dyDescent="0.25">
      <c r="A328" s="90">
        <v>340</v>
      </c>
      <c r="B328">
        <v>31</v>
      </c>
      <c r="C328">
        <v>1313</v>
      </c>
      <c r="D328" t="s">
        <v>2308</v>
      </c>
      <c r="E328">
        <v>590</v>
      </c>
      <c r="F328">
        <v>980</v>
      </c>
      <c r="G328" t="s">
        <v>3022</v>
      </c>
      <c r="H328">
        <v>1</v>
      </c>
      <c r="I328" t="s">
        <v>3026</v>
      </c>
      <c r="J328" s="30" t="str">
        <f t="shared" si="15"/>
        <v>[340]=980,</v>
      </c>
      <c r="K328" s="3">
        <f t="shared" si="16"/>
        <v>340</v>
      </c>
      <c r="L328" s="3">
        <f t="shared" si="17"/>
        <v>980</v>
      </c>
      <c r="M328" s="8" t="str">
        <f>VLOOKUP(A328,'ESO wayshrine names'!$A$3:$B$5104,2,)</f>
        <v>Sanctuary Wayshrine</v>
      </c>
      <c r="N328" s="3" t="str">
        <f>VLOOKUP(F328,'ESO zone constants'!$A$5:$D$10001,4,FALSE)</f>
        <v>Clockwork City</v>
      </c>
    </row>
    <row r="329" spans="1:14" x14ac:dyDescent="0.25">
      <c r="A329" s="90">
        <v>341</v>
      </c>
      <c r="B329">
        <v>6</v>
      </c>
      <c r="C329">
        <v>20</v>
      </c>
      <c r="D329" t="s">
        <v>109</v>
      </c>
      <c r="E329">
        <v>14</v>
      </c>
      <c r="F329">
        <v>92</v>
      </c>
      <c r="G329" t="s">
        <v>109</v>
      </c>
      <c r="H329">
        <v>6</v>
      </c>
      <c r="I329" t="s">
        <v>3027</v>
      </c>
      <c r="J329" s="30" t="str">
        <f t="shared" si="15"/>
        <v>[341]=92,</v>
      </c>
      <c r="K329" s="3">
        <f t="shared" si="16"/>
        <v>341</v>
      </c>
      <c r="L329" s="3">
        <f t="shared" si="17"/>
        <v>92</v>
      </c>
      <c r="M329" s="8" t="str">
        <f>VLOOKUP(A329,'ESO wayshrine names'!$A$3:$B$5104,2,)</f>
        <v>Dungeon: Fang Lair</v>
      </c>
      <c r="N329" s="3" t="str">
        <f>VLOOKUP(F329,'ESO zone constants'!$A$5:$D$10001,4,FALSE)</f>
        <v>Bangkorai</v>
      </c>
    </row>
    <row r="330" spans="1:14" x14ac:dyDescent="0.25">
      <c r="A330" s="90">
        <v>342</v>
      </c>
      <c r="B330">
        <v>2</v>
      </c>
      <c r="C330">
        <v>1</v>
      </c>
      <c r="D330" t="s">
        <v>103</v>
      </c>
      <c r="E330">
        <v>2</v>
      </c>
      <c r="F330">
        <v>3</v>
      </c>
      <c r="G330" t="s">
        <v>103</v>
      </c>
      <c r="H330">
        <v>7</v>
      </c>
      <c r="I330" t="s">
        <v>3028</v>
      </c>
      <c r="J330" s="30" t="str">
        <f t="shared" si="15"/>
        <v>[342]=3,</v>
      </c>
      <c r="K330" s="3">
        <f t="shared" si="16"/>
        <v>342</v>
      </c>
      <c r="L330" s="3">
        <f t="shared" si="17"/>
        <v>3</v>
      </c>
      <c r="M330" s="8" t="str">
        <f>VLOOKUP(A330,'ESO wayshrine names'!$A$3:$B$5104,2,)</f>
        <v>Exorcised Coven Cottage</v>
      </c>
      <c r="N330" s="3" t="str">
        <f>VLOOKUP(F330,'ESO zone constants'!$A$5:$D$10001,4,FALSE)</f>
        <v>Glenumbra</v>
      </c>
    </row>
    <row r="331" spans="1:14" x14ac:dyDescent="0.25">
      <c r="A331" s="90">
        <v>343</v>
      </c>
      <c r="B331">
        <v>29</v>
      </c>
      <c r="C331">
        <v>1006</v>
      </c>
      <c r="D331" t="s">
        <v>2304</v>
      </c>
      <c r="E331">
        <v>449</v>
      </c>
      <c r="F331">
        <v>823</v>
      </c>
      <c r="G331" t="s">
        <v>2952</v>
      </c>
      <c r="H331">
        <v>7</v>
      </c>
      <c r="I331" t="s">
        <v>3029</v>
      </c>
      <c r="J331" s="30" t="str">
        <f t="shared" si="15"/>
        <v>[343]=823,</v>
      </c>
      <c r="K331" s="3">
        <f t="shared" si="16"/>
        <v>343</v>
      </c>
      <c r="L331" s="3">
        <f t="shared" si="17"/>
        <v>823</v>
      </c>
      <c r="M331" s="8" t="str">
        <f>VLOOKUP(A331,'ESO wayshrine names'!$A$3:$B$5104,2,)</f>
        <v>Linchal Grand Manor</v>
      </c>
      <c r="N331" s="3" t="str">
        <f>VLOOKUP(F331,'ESO zone constants'!$A$5:$D$10001,4,FALSE)</f>
        <v>Gold Coast</v>
      </c>
    </row>
    <row r="332" spans="1:14" x14ac:dyDescent="0.25">
      <c r="A332" s="90">
        <v>344</v>
      </c>
      <c r="B332">
        <v>23</v>
      </c>
      <c r="C332">
        <v>255</v>
      </c>
      <c r="D332" t="s">
        <v>2359</v>
      </c>
      <c r="E332">
        <v>155</v>
      </c>
      <c r="F332">
        <v>347</v>
      </c>
      <c r="G332" t="s">
        <v>2359</v>
      </c>
      <c r="H332">
        <v>7</v>
      </c>
      <c r="I332" t="s">
        <v>3030</v>
      </c>
      <c r="J332" s="30" t="str">
        <f t="shared" si="15"/>
        <v>[344]=347,</v>
      </c>
      <c r="K332" s="3">
        <f t="shared" si="16"/>
        <v>344</v>
      </c>
      <c r="L332" s="3">
        <f t="shared" si="17"/>
        <v>347</v>
      </c>
      <c r="M332" s="8" t="str">
        <f>VLOOKUP(A332,'ESO wayshrine names'!$A$3:$B$5104,2,)</f>
        <v>Coldharbour Surreal Estate</v>
      </c>
      <c r="N332" s="3" t="str">
        <f>VLOOKUP(F332,'ESO zone constants'!$A$5:$D$10001,4,FALSE)</f>
        <v>Coldharbour</v>
      </c>
    </row>
    <row r="333" spans="1:14" x14ac:dyDescent="0.25">
      <c r="A333" s="90">
        <v>345</v>
      </c>
      <c r="B333">
        <v>25</v>
      </c>
      <c r="C333">
        <v>1126</v>
      </c>
      <c r="D333" t="s">
        <v>2360</v>
      </c>
      <c r="E333">
        <v>501</v>
      </c>
      <c r="F333">
        <v>888</v>
      </c>
      <c r="G333" t="s">
        <v>2360</v>
      </c>
      <c r="H333">
        <v>7</v>
      </c>
      <c r="I333" t="s">
        <v>3803</v>
      </c>
      <c r="J333" s="30" t="str">
        <f t="shared" si="15"/>
        <v>[345]=888,</v>
      </c>
      <c r="K333" s="3">
        <f t="shared" si="16"/>
        <v>345</v>
      </c>
      <c r="L333" s="3">
        <f t="shared" si="17"/>
        <v>888</v>
      </c>
      <c r="M333" s="8" t="str">
        <f>VLOOKUP(A333,'ESO wayshrine names'!$A$3:$B$5104,2,)</f>
        <v>Hakkvild's High Hall</v>
      </c>
      <c r="N333" s="3" t="str">
        <f>VLOOKUP(F333,'ESO zone constants'!$A$5:$D$10001,4,FALSE)</f>
        <v>Craglorn</v>
      </c>
    </row>
    <row r="334" spans="1:14" x14ac:dyDescent="0.25">
      <c r="A334" s="90">
        <v>346</v>
      </c>
      <c r="B334">
        <v>31</v>
      </c>
      <c r="C334">
        <v>1313</v>
      </c>
      <c r="D334" t="s">
        <v>2308</v>
      </c>
      <c r="E334">
        <v>590</v>
      </c>
      <c r="F334">
        <v>980</v>
      </c>
      <c r="G334" t="s">
        <v>3022</v>
      </c>
      <c r="H334">
        <v>3</v>
      </c>
      <c r="I334" t="s">
        <v>3031</v>
      </c>
      <c r="J334" s="30" t="str">
        <f t="shared" si="15"/>
        <v>[346]=980,</v>
      </c>
      <c r="K334" s="3">
        <f t="shared" si="16"/>
        <v>346</v>
      </c>
      <c r="L334" s="3">
        <f t="shared" si="17"/>
        <v>980</v>
      </c>
      <c r="M334" s="8" t="str">
        <f>VLOOKUP(A334,'ESO wayshrine names'!$A$3:$B$5104,2,)</f>
        <v>Trial: Asylum Sanctorium</v>
      </c>
      <c r="N334" s="3" t="str">
        <f>VLOOKUP(F334,'ESO zone constants'!$A$5:$D$10001,4,FALSE)</f>
        <v>Clockwork City</v>
      </c>
    </row>
    <row r="335" spans="1:14" x14ac:dyDescent="0.25">
      <c r="A335" s="90">
        <v>347</v>
      </c>
      <c r="B335">
        <v>31</v>
      </c>
      <c r="C335">
        <v>1313</v>
      </c>
      <c r="D335" t="s">
        <v>2308</v>
      </c>
      <c r="E335">
        <v>590</v>
      </c>
      <c r="F335">
        <v>980</v>
      </c>
      <c r="G335" t="s">
        <v>3022</v>
      </c>
      <c r="H335">
        <v>7</v>
      </c>
      <c r="I335" t="s">
        <v>3032</v>
      </c>
      <c r="J335" s="30" t="str">
        <f t="shared" si="15"/>
        <v>[347]=980,</v>
      </c>
      <c r="K335" s="3">
        <f t="shared" si="16"/>
        <v>347</v>
      </c>
      <c r="L335" s="3">
        <f t="shared" si="17"/>
        <v>980</v>
      </c>
      <c r="M335" s="8" t="str">
        <f>VLOOKUP(A335,'ESO wayshrine names'!$A$3:$B$5104,2,)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names'!$A$3:$B$5104,2,)</f>
        <v>Pariah's Pinnacle</v>
      </c>
      <c r="N336" s="3" t="str">
        <f>VLOOKUP(F336,'ESO zone constants'!$A$5:$D$10001,4,FALSE)</f>
        <v>Wrothgar</v>
      </c>
    </row>
    <row r="337" spans="1:14" x14ac:dyDescent="0.25">
      <c r="A337" s="90">
        <v>349</v>
      </c>
      <c r="B337">
        <v>32</v>
      </c>
      <c r="C337">
        <v>1349</v>
      </c>
      <c r="D337" t="s">
        <v>2307</v>
      </c>
      <c r="E337">
        <v>617</v>
      </c>
      <c r="F337">
        <v>1011</v>
      </c>
      <c r="G337" t="s">
        <v>2307</v>
      </c>
      <c r="H337">
        <v>1</v>
      </c>
      <c r="I337" t="s">
        <v>3033</v>
      </c>
      <c r="J337" s="30" t="str">
        <f t="shared" si="15"/>
        <v>[349]=1011,</v>
      </c>
      <c r="K337" s="3">
        <f t="shared" si="16"/>
        <v>349</v>
      </c>
      <c r="L337" s="3">
        <f t="shared" si="17"/>
        <v>1011</v>
      </c>
      <c r="M337" s="8" t="str">
        <f>VLOOKUP(A337,'ESO wayshrine names'!$A$3:$B$5104,2,)</f>
        <v>King's Haven Pass Wayshrine</v>
      </c>
      <c r="N337" s="3" t="str">
        <f>VLOOKUP(F337,'ESO zone constants'!$A$5:$D$10001,4,FALSE)</f>
        <v>Summerset</v>
      </c>
    </row>
    <row r="338" spans="1:14" x14ac:dyDescent="0.25">
      <c r="A338" s="90">
        <v>350</v>
      </c>
      <c r="B338">
        <v>32</v>
      </c>
      <c r="C338">
        <v>1349</v>
      </c>
      <c r="D338" t="s">
        <v>2307</v>
      </c>
      <c r="E338">
        <v>617</v>
      </c>
      <c r="F338">
        <v>1011</v>
      </c>
      <c r="G338" t="s">
        <v>2307</v>
      </c>
      <c r="H338">
        <v>1</v>
      </c>
      <c r="I338" t="s">
        <v>3034</v>
      </c>
      <c r="J338" s="30" t="str">
        <f t="shared" si="15"/>
        <v>[350]=1011,</v>
      </c>
      <c r="K338" s="3">
        <f t="shared" si="16"/>
        <v>350</v>
      </c>
      <c r="L338" s="3">
        <f t="shared" si="17"/>
        <v>1011</v>
      </c>
      <c r="M338" s="8" t="str">
        <f>VLOOKUP(A338,'ESO wayshrine names'!$A$3:$B$5104,2,)</f>
        <v>Shimmerene Wayshrine</v>
      </c>
      <c r="N338" s="3" t="str">
        <f>VLOOKUP(F338,'ESO zone constants'!$A$5:$D$10001,4,FALSE)</f>
        <v>Summerset</v>
      </c>
    </row>
    <row r="339" spans="1:14" x14ac:dyDescent="0.25">
      <c r="A339" s="90">
        <v>351</v>
      </c>
      <c r="B339">
        <v>32</v>
      </c>
      <c r="C339">
        <v>1349</v>
      </c>
      <c r="D339" t="s">
        <v>2307</v>
      </c>
      <c r="E339">
        <v>617</v>
      </c>
      <c r="F339">
        <v>1011</v>
      </c>
      <c r="G339" t="s">
        <v>2307</v>
      </c>
      <c r="H339">
        <v>1</v>
      </c>
      <c r="I339" t="s">
        <v>3035</v>
      </c>
      <c r="J339" s="30" t="str">
        <f t="shared" si="15"/>
        <v>[351]=1011,</v>
      </c>
      <c r="K339" s="3">
        <f t="shared" si="16"/>
        <v>351</v>
      </c>
      <c r="L339" s="3">
        <f t="shared" si="17"/>
        <v>1011</v>
      </c>
      <c r="M339" s="8" t="str">
        <f>VLOOKUP(A339,'ESO wayshrine names'!$A$3:$B$5104,2,)</f>
        <v>Sil-Var-Woad Wayshrine</v>
      </c>
      <c r="N339" s="3" t="str">
        <f>VLOOKUP(F339,'ESO zone constants'!$A$5:$D$10001,4,FALSE)</f>
        <v>Summerset</v>
      </c>
    </row>
    <row r="340" spans="1:14" x14ac:dyDescent="0.25">
      <c r="A340" s="90">
        <v>352</v>
      </c>
      <c r="B340">
        <v>32</v>
      </c>
      <c r="C340">
        <v>1349</v>
      </c>
      <c r="D340" t="s">
        <v>2307</v>
      </c>
      <c r="E340">
        <v>617</v>
      </c>
      <c r="F340">
        <v>1011</v>
      </c>
      <c r="G340" t="s">
        <v>2307</v>
      </c>
      <c r="H340">
        <v>1</v>
      </c>
      <c r="I340" t="s">
        <v>3036</v>
      </c>
      <c r="J340" s="30" t="str">
        <f t="shared" si="15"/>
        <v>[352]=1011,</v>
      </c>
      <c r="K340" s="3">
        <f t="shared" si="16"/>
        <v>352</v>
      </c>
      <c r="L340" s="3">
        <f t="shared" si="17"/>
        <v>1011</v>
      </c>
      <c r="M340" s="8" t="str">
        <f>VLOOKUP(A340,'ESO wayshrine names'!$A$3:$B$5104,2,)</f>
        <v>Russafeld Heights Wayshrine</v>
      </c>
      <c r="N340" s="3" t="str">
        <f>VLOOKUP(F340,'ESO zone constants'!$A$5:$D$10001,4,FALSE)</f>
        <v>Summerset</v>
      </c>
    </row>
    <row r="341" spans="1:14" x14ac:dyDescent="0.25">
      <c r="A341" s="90">
        <v>353</v>
      </c>
      <c r="B341">
        <v>32</v>
      </c>
      <c r="C341">
        <v>1349</v>
      </c>
      <c r="D341" t="s">
        <v>2307</v>
      </c>
      <c r="E341">
        <v>617</v>
      </c>
      <c r="F341">
        <v>1011</v>
      </c>
      <c r="G341" t="s">
        <v>2307</v>
      </c>
      <c r="H341">
        <v>1</v>
      </c>
      <c r="I341" t="s">
        <v>3037</v>
      </c>
      <c r="J341" s="30" t="str">
        <f t="shared" si="15"/>
        <v>[353]=1011,</v>
      </c>
      <c r="K341" s="3">
        <f t="shared" si="16"/>
        <v>353</v>
      </c>
      <c r="L341" s="3">
        <f t="shared" si="17"/>
        <v>1011</v>
      </c>
      <c r="M341" s="8" t="str">
        <f>VLOOKUP(A341,'ESO wayshrine names'!$A$3:$B$5104,2,)</f>
        <v>Cey-Tarn Keep Wayshrine</v>
      </c>
      <c r="N341" s="3" t="str">
        <f>VLOOKUP(F341,'ESO zone constants'!$A$5:$D$10001,4,FALSE)</f>
        <v>Summerset</v>
      </c>
    </row>
    <row r="342" spans="1:14" x14ac:dyDescent="0.25">
      <c r="A342" s="90">
        <v>354</v>
      </c>
      <c r="B342">
        <v>32</v>
      </c>
      <c r="C342">
        <v>1349</v>
      </c>
      <c r="D342" t="s">
        <v>2307</v>
      </c>
      <c r="E342">
        <v>617</v>
      </c>
      <c r="F342">
        <v>1011</v>
      </c>
      <c r="G342" t="s">
        <v>2307</v>
      </c>
      <c r="H342">
        <v>1</v>
      </c>
      <c r="I342" t="s">
        <v>3038</v>
      </c>
      <c r="J342" s="30" t="str">
        <f t="shared" si="15"/>
        <v>[354]=1011,</v>
      </c>
      <c r="K342" s="3">
        <f t="shared" si="16"/>
        <v>354</v>
      </c>
      <c r="L342" s="3">
        <f t="shared" si="17"/>
        <v>1011</v>
      </c>
      <c r="M342" s="8" t="str">
        <f>VLOOKUP(A342,'ESO wayshrine names'!$A$3:$B$5104,2,)</f>
        <v>Ebon Stadmont Wayshrine</v>
      </c>
      <c r="N342" s="3" t="str">
        <f>VLOOKUP(F342,'ESO zone constants'!$A$5:$D$10001,4,FALSE)</f>
        <v>Summerset</v>
      </c>
    </row>
    <row r="343" spans="1:14" x14ac:dyDescent="0.25">
      <c r="A343" s="90">
        <v>355</v>
      </c>
      <c r="B343">
        <v>32</v>
      </c>
      <c r="C343">
        <v>1349</v>
      </c>
      <c r="D343" t="s">
        <v>2307</v>
      </c>
      <c r="E343">
        <v>617</v>
      </c>
      <c r="F343">
        <v>1011</v>
      </c>
      <c r="G343" t="s">
        <v>2307</v>
      </c>
      <c r="H343">
        <v>1</v>
      </c>
      <c r="I343" t="s">
        <v>3039</v>
      </c>
      <c r="J343" s="30" t="str">
        <f t="shared" si="15"/>
        <v>[355]=1011,</v>
      </c>
      <c r="K343" s="3">
        <f t="shared" si="16"/>
        <v>355</v>
      </c>
      <c r="L343" s="3">
        <f t="shared" si="17"/>
        <v>1011</v>
      </c>
      <c r="M343" s="8" t="str">
        <f>VLOOKUP(A343,'ESO wayshrine names'!$A$3:$B$5104,2,)</f>
        <v>Alinor Wayshrine</v>
      </c>
      <c r="N343" s="3" t="str">
        <f>VLOOKUP(F343,'ESO zone constants'!$A$5:$D$10001,4,FALSE)</f>
        <v>Summerset</v>
      </c>
    </row>
    <row r="344" spans="1:14" x14ac:dyDescent="0.25">
      <c r="A344" s="90">
        <v>356</v>
      </c>
      <c r="B344">
        <v>32</v>
      </c>
      <c r="C344">
        <v>1349</v>
      </c>
      <c r="D344" t="s">
        <v>2307</v>
      </c>
      <c r="E344">
        <v>617</v>
      </c>
      <c r="F344">
        <v>1011</v>
      </c>
      <c r="G344" t="s">
        <v>2307</v>
      </c>
      <c r="H344">
        <v>1</v>
      </c>
      <c r="I344" t="s">
        <v>3040</v>
      </c>
      <c r="J344" s="30" t="str">
        <f t="shared" si="15"/>
        <v>[356]=1011,</v>
      </c>
      <c r="K344" s="3">
        <f t="shared" si="16"/>
        <v>356</v>
      </c>
      <c r="L344" s="3">
        <f t="shared" si="17"/>
        <v>1011</v>
      </c>
      <c r="M344" s="8" t="str">
        <f>VLOOKUP(A344,'ESO wayshrine names'!$A$3:$B$5104,2,)</f>
        <v>Lillandril Wayshrine</v>
      </c>
      <c r="N344" s="3" t="str">
        <f>VLOOKUP(F344,'ESO zone constants'!$A$5:$D$10001,4,FALSE)</f>
        <v>Summerset</v>
      </c>
    </row>
    <row r="345" spans="1:14" x14ac:dyDescent="0.25">
      <c r="A345" s="90">
        <v>357</v>
      </c>
      <c r="B345">
        <v>32</v>
      </c>
      <c r="C345">
        <v>1349</v>
      </c>
      <c r="D345" t="s">
        <v>2307</v>
      </c>
      <c r="E345">
        <v>617</v>
      </c>
      <c r="F345">
        <v>1011</v>
      </c>
      <c r="G345" t="s">
        <v>2307</v>
      </c>
      <c r="H345">
        <v>1</v>
      </c>
      <c r="I345" t="s">
        <v>3041</v>
      </c>
      <c r="J345" s="30" t="str">
        <f t="shared" si="15"/>
        <v>[357]=1011,</v>
      </c>
      <c r="K345" s="3">
        <f t="shared" si="16"/>
        <v>357</v>
      </c>
      <c r="L345" s="3">
        <f t="shared" si="17"/>
        <v>1011</v>
      </c>
      <c r="M345" s="8" t="str">
        <f>VLOOKUP(A345,'ESO wayshrine names'!$A$3:$B$5104,2,)</f>
        <v>Eastern Pass Wayshrine</v>
      </c>
      <c r="N345" s="3" t="str">
        <f>VLOOKUP(F345,'ESO zone constants'!$A$5:$D$10001,4,FALSE)</f>
        <v>Summerset</v>
      </c>
    </row>
    <row r="346" spans="1:14" x14ac:dyDescent="0.25">
      <c r="A346" s="90">
        <v>358</v>
      </c>
      <c r="B346">
        <v>32</v>
      </c>
      <c r="C346">
        <v>1349</v>
      </c>
      <c r="D346" t="s">
        <v>2307</v>
      </c>
      <c r="E346">
        <v>617</v>
      </c>
      <c r="F346">
        <v>1011</v>
      </c>
      <c r="G346" t="s">
        <v>2307</v>
      </c>
      <c r="H346">
        <v>1</v>
      </c>
      <c r="I346" t="s">
        <v>3042</v>
      </c>
      <c r="J346" s="30" t="str">
        <f t="shared" si="15"/>
        <v>[358]=1011,</v>
      </c>
      <c r="K346" s="3">
        <f t="shared" si="16"/>
        <v>358</v>
      </c>
      <c r="L346" s="3">
        <f t="shared" si="17"/>
        <v>1011</v>
      </c>
      <c r="M346" s="8" t="str">
        <f>VLOOKUP(A346,'ESO wayshrine names'!$A$3:$B$5104,2,)</f>
        <v>The Crystal Tower Wayshrine</v>
      </c>
      <c r="N346" s="3" t="str">
        <f>VLOOKUP(F346,'ESO zone constants'!$A$5:$D$10001,4,FALSE)</f>
        <v>Summerset</v>
      </c>
    </row>
    <row r="347" spans="1:14" x14ac:dyDescent="0.25">
      <c r="A347" s="90">
        <v>359</v>
      </c>
      <c r="B347">
        <v>32</v>
      </c>
      <c r="C347">
        <v>1349</v>
      </c>
      <c r="D347" t="s">
        <v>2307</v>
      </c>
      <c r="E347">
        <v>617</v>
      </c>
      <c r="F347">
        <v>1011</v>
      </c>
      <c r="G347" t="s">
        <v>2307</v>
      </c>
      <c r="H347">
        <v>1</v>
      </c>
      <c r="I347" t="s">
        <v>3043</v>
      </c>
      <c r="J347" s="30" t="str">
        <f t="shared" si="15"/>
        <v>[359]=1011,</v>
      </c>
      <c r="K347" s="3">
        <f t="shared" si="16"/>
        <v>359</v>
      </c>
      <c r="L347" s="3">
        <f t="shared" si="17"/>
        <v>1011</v>
      </c>
      <c r="M347" s="8" t="str">
        <f>VLOOKUP(A347,'ESO wayshrine names'!$A$3:$B$5104,2,)</f>
        <v>Eldbur Ruins Wayshrine</v>
      </c>
      <c r="N347" s="3" t="str">
        <f>VLOOKUP(F347,'ESO zone constants'!$A$5:$D$10001,4,FALSE)</f>
        <v>Summerset</v>
      </c>
    </row>
    <row r="348" spans="1:14" x14ac:dyDescent="0.25">
      <c r="A348" s="90">
        <v>360</v>
      </c>
      <c r="B348">
        <v>33</v>
      </c>
      <c r="C348">
        <v>1429</v>
      </c>
      <c r="D348" t="s">
        <v>678</v>
      </c>
      <c r="E348">
        <v>633</v>
      </c>
      <c r="F348">
        <v>1027</v>
      </c>
      <c r="G348" t="s">
        <v>678</v>
      </c>
      <c r="H348">
        <v>1</v>
      </c>
      <c r="I348" t="s">
        <v>3044</v>
      </c>
      <c r="J348" s="30" t="str">
        <f t="shared" si="15"/>
        <v>[360]=1027,</v>
      </c>
      <c r="K348" s="3">
        <f t="shared" si="16"/>
        <v>360</v>
      </c>
      <c r="L348" s="3">
        <f t="shared" si="17"/>
        <v>1027</v>
      </c>
      <c r="M348" s="8" t="str">
        <f>VLOOKUP(A348,'ESO wayshrine names'!$A$3:$B$5104,2,)</f>
        <v>Artaeum Wayshrine</v>
      </c>
      <c r="N348" s="3" t="str">
        <f>VLOOKUP(F348,'ESO zone constants'!$A$5:$D$10001,4,FALSE)</f>
        <v>Artaeum</v>
      </c>
    </row>
    <row r="349" spans="1:14" x14ac:dyDescent="0.25">
      <c r="A349" s="90">
        <v>361</v>
      </c>
      <c r="B349">
        <v>28</v>
      </c>
      <c r="C349">
        <v>994</v>
      </c>
      <c r="D349" t="s">
        <v>2305</v>
      </c>
      <c r="E349">
        <v>443</v>
      </c>
      <c r="F349">
        <v>816</v>
      </c>
      <c r="G349" t="s">
        <v>2305</v>
      </c>
      <c r="H349">
        <v>7</v>
      </c>
      <c r="I349" t="s">
        <v>3045</v>
      </c>
      <c r="J349" s="30" t="str">
        <f t="shared" si="15"/>
        <v>[361]=816,</v>
      </c>
      <c r="K349" s="3">
        <f t="shared" si="16"/>
        <v>361</v>
      </c>
      <c r="L349" s="3">
        <f t="shared" si="17"/>
        <v>816</v>
      </c>
      <c r="M349" s="8" t="str">
        <f>VLOOKUP(A349,'ESO wayshrine names'!$A$3:$B$5104,2,)</f>
        <v>Princely Dawnlight Palace</v>
      </c>
      <c r="N349" s="3" t="str">
        <f>VLOOKUP(F349,'ESO zone constants'!$A$5:$D$10001,4,FALSE)</f>
        <v>Hew's Bane</v>
      </c>
    </row>
    <row r="350" spans="1:14" x14ac:dyDescent="0.25">
      <c r="A350" s="90">
        <v>362</v>
      </c>
      <c r="B350">
        <v>29</v>
      </c>
      <c r="C350">
        <v>1006</v>
      </c>
      <c r="D350" t="s">
        <v>2304</v>
      </c>
      <c r="E350">
        <v>449</v>
      </c>
      <c r="F350">
        <v>823</v>
      </c>
      <c r="G350" t="s">
        <v>2952</v>
      </c>
      <c r="H350">
        <v>7</v>
      </c>
      <c r="I350" t="s">
        <v>3046</v>
      </c>
      <c r="J350" s="30" t="str">
        <f t="shared" si="15"/>
        <v>[362]=823,</v>
      </c>
      <c r="K350" s="3">
        <f t="shared" si="16"/>
        <v>362</v>
      </c>
      <c r="L350" s="3">
        <f t="shared" si="17"/>
        <v>823</v>
      </c>
      <c r="M350" s="8" t="str">
        <f>VLOOKUP(A350,'ESO wayshrine names'!$A$3:$B$5104,2,)</f>
        <v>The Erstwhile Sanctuary</v>
      </c>
      <c r="N350" s="3" t="str">
        <f>VLOOKUP(F350,'ESO zone constants'!$A$5:$D$10001,4,FALSE)</f>
        <v>Gold Coast</v>
      </c>
    </row>
    <row r="351" spans="1:14" x14ac:dyDescent="0.25">
      <c r="A351" s="90">
        <v>363</v>
      </c>
      <c r="B351">
        <v>4</v>
      </c>
      <c r="C351">
        <v>12</v>
      </c>
      <c r="D351" t="s">
        <v>2299</v>
      </c>
      <c r="E351">
        <v>4</v>
      </c>
      <c r="F351">
        <v>19</v>
      </c>
      <c r="G351" t="s">
        <v>2299</v>
      </c>
      <c r="H351">
        <v>6</v>
      </c>
      <c r="I351" t="s">
        <v>3804</v>
      </c>
      <c r="J351" s="30" t="str">
        <f t="shared" si="15"/>
        <v>[363]=19,</v>
      </c>
      <c r="K351" s="3">
        <f t="shared" si="16"/>
        <v>363</v>
      </c>
      <c r="L351" s="3">
        <f t="shared" si="17"/>
        <v>19</v>
      </c>
      <c r="M351" s="8" t="str">
        <f>VLOOKUP(A351,'ESO wayshrine names'!$A$3:$B$5104,2,)</f>
        <v>Dungeon: Scalecaller Peak</v>
      </c>
      <c r="N351" s="3" t="str">
        <f>VLOOKUP(F351,'ESO zone constants'!$A$5:$D$10001,4,FALSE)</f>
        <v>Stormhaven</v>
      </c>
    </row>
    <row r="352" spans="1:14" x14ac:dyDescent="0.25">
      <c r="A352" s="90">
        <v>364</v>
      </c>
      <c r="B352">
        <v>32</v>
      </c>
      <c r="C352">
        <v>1349</v>
      </c>
      <c r="D352" t="s">
        <v>2307</v>
      </c>
      <c r="E352">
        <v>617</v>
      </c>
      <c r="F352">
        <v>1011</v>
      </c>
      <c r="G352" t="s">
        <v>2307</v>
      </c>
      <c r="H352">
        <v>3</v>
      </c>
      <c r="I352" t="s">
        <v>3047</v>
      </c>
      <c r="J352" s="30" t="str">
        <f t="shared" si="15"/>
        <v>[364]=1011,</v>
      </c>
      <c r="K352" s="3">
        <f t="shared" si="16"/>
        <v>364</v>
      </c>
      <c r="L352" s="3">
        <f t="shared" si="17"/>
        <v>1011</v>
      </c>
      <c r="M352" s="8" t="str">
        <f>VLOOKUP(A352,'ESO wayshrine names'!$A$3:$B$5104,2,)</f>
        <v>Trial: Cloudrest</v>
      </c>
      <c r="N352" s="3" t="str">
        <f>VLOOKUP(F352,'ESO zone constants'!$A$5:$D$10001,4,FALSE)</f>
        <v>Summerset</v>
      </c>
    </row>
    <row r="353" spans="1:14" x14ac:dyDescent="0.25">
      <c r="A353" s="90">
        <v>365</v>
      </c>
      <c r="B353">
        <v>32</v>
      </c>
      <c r="C353">
        <v>1349</v>
      </c>
      <c r="D353" t="s">
        <v>2307</v>
      </c>
      <c r="E353">
        <v>617</v>
      </c>
      <c r="F353">
        <v>1011</v>
      </c>
      <c r="G353" t="s">
        <v>2307</v>
      </c>
      <c r="H353">
        <v>1</v>
      </c>
      <c r="I353" t="s">
        <v>3048</v>
      </c>
      <c r="J353" s="30" t="str">
        <f t="shared" si="15"/>
        <v>[365]=1011,</v>
      </c>
      <c r="K353" s="3">
        <f t="shared" si="16"/>
        <v>365</v>
      </c>
      <c r="L353" s="3">
        <f t="shared" si="17"/>
        <v>1011</v>
      </c>
      <c r="M353" s="8" t="str">
        <f>VLOOKUP(A353,'ESO wayshrine names'!$A$3:$B$5104,2,)</f>
        <v>Sunhold Wayshrine</v>
      </c>
      <c r="N353" s="3" t="str">
        <f>VLOOKUP(F353,'ESO zone constants'!$A$5:$D$10001,4,FALSE)</f>
        <v>Summerset</v>
      </c>
    </row>
    <row r="354" spans="1:14" x14ac:dyDescent="0.25">
      <c r="A354" s="90">
        <v>366</v>
      </c>
      <c r="B354">
        <v>32</v>
      </c>
      <c r="C354">
        <v>1349</v>
      </c>
      <c r="D354" t="s">
        <v>2307</v>
      </c>
      <c r="E354">
        <v>617</v>
      </c>
      <c r="F354">
        <v>1011</v>
      </c>
      <c r="G354" t="s">
        <v>2307</v>
      </c>
      <c r="H354">
        <v>7</v>
      </c>
      <c r="I354" t="s">
        <v>3049</v>
      </c>
      <c r="J354" s="30" t="str">
        <f t="shared" si="15"/>
        <v>[366]=1011,</v>
      </c>
      <c r="K354" s="3">
        <f t="shared" si="16"/>
        <v>366</v>
      </c>
      <c r="L354" s="3">
        <f t="shared" si="17"/>
        <v>1011</v>
      </c>
      <c r="M354" s="8" t="str">
        <f>VLOOKUP(A354,'ESO wayshrine names'!$A$3:$B$5104,2,)</f>
        <v>Golden Gryphon Garret</v>
      </c>
      <c r="N354" s="3" t="str">
        <f>VLOOKUP(F354,'ESO zone constants'!$A$5:$D$10001,4,FALSE)</f>
        <v>Summerset</v>
      </c>
    </row>
    <row r="355" spans="1:14" x14ac:dyDescent="0.25">
      <c r="A355" s="90">
        <v>367</v>
      </c>
      <c r="B355">
        <v>32</v>
      </c>
      <c r="C355">
        <v>1349</v>
      </c>
      <c r="D355" t="s">
        <v>2307</v>
      </c>
      <c r="E355">
        <v>617</v>
      </c>
      <c r="F355">
        <v>1011</v>
      </c>
      <c r="G355" t="s">
        <v>2307</v>
      </c>
      <c r="H355">
        <v>7</v>
      </c>
      <c r="I355" t="s">
        <v>3050</v>
      </c>
      <c r="J355" s="30" t="str">
        <f t="shared" si="15"/>
        <v>[367]=1011,</v>
      </c>
      <c r="K355" s="3">
        <f t="shared" si="16"/>
        <v>367</v>
      </c>
      <c r="L355" s="3">
        <f t="shared" si="17"/>
        <v>1011</v>
      </c>
      <c r="M355" s="8" t="str">
        <f>VLOOKUP(A355,'ESO wayshrine names'!$A$3:$B$5104,2,)</f>
        <v>Alinor Crest Townhouse</v>
      </c>
      <c r="N355" s="3" t="str">
        <f>VLOOKUP(F355,'ESO zone constants'!$A$5:$D$10001,4,FALSE)</f>
        <v>Summerset</v>
      </c>
    </row>
    <row r="356" spans="1:14" x14ac:dyDescent="0.25">
      <c r="A356" s="90">
        <v>368</v>
      </c>
      <c r="B356">
        <v>32</v>
      </c>
      <c r="C356">
        <v>1349</v>
      </c>
      <c r="D356" t="s">
        <v>2307</v>
      </c>
      <c r="E356">
        <v>617</v>
      </c>
      <c r="F356">
        <v>1011</v>
      </c>
      <c r="G356" t="s">
        <v>2307</v>
      </c>
      <c r="H356">
        <v>7</v>
      </c>
      <c r="I356" t="s">
        <v>3051</v>
      </c>
      <c r="J356" s="30" t="str">
        <f t="shared" si="15"/>
        <v>[368]=1011,</v>
      </c>
      <c r="K356" s="3">
        <f t="shared" si="16"/>
        <v>368</v>
      </c>
      <c r="L356" s="3">
        <f t="shared" si="17"/>
        <v>1011</v>
      </c>
      <c r="M356" s="8" t="str">
        <f>VLOOKUP(A356,'ESO wayshrine names'!$A$3:$B$5104,2,)</f>
        <v>Colossal Aldmeri Grotto</v>
      </c>
      <c r="N356" s="3" t="str">
        <f>VLOOKUP(F356,'ESO zone constants'!$A$5:$D$10001,4,FALSE)</f>
        <v>Summerset</v>
      </c>
    </row>
    <row r="357" spans="1:14" x14ac:dyDescent="0.25">
      <c r="A357" s="90">
        <v>369</v>
      </c>
      <c r="B357">
        <v>32</v>
      </c>
      <c r="C357">
        <v>1349</v>
      </c>
      <c r="D357" t="s">
        <v>2307</v>
      </c>
      <c r="E357">
        <v>617</v>
      </c>
      <c r="F357">
        <v>1011</v>
      </c>
      <c r="G357" t="s">
        <v>2307</v>
      </c>
      <c r="H357">
        <v>1</v>
      </c>
      <c r="I357" t="s">
        <v>3052</v>
      </c>
      <c r="J357" s="30" t="str">
        <f t="shared" si="15"/>
        <v>[369]=1011,</v>
      </c>
      <c r="K357" s="3">
        <f t="shared" si="16"/>
        <v>369</v>
      </c>
      <c r="L357" s="3">
        <f t="shared" si="17"/>
        <v>1011</v>
      </c>
      <c r="M357" s="8" t="str">
        <f>VLOOKUP(A357,'ESO wayshrine names'!$A$3:$B$5104,2,)</f>
        <v>Veyond Wyte Wayshrine</v>
      </c>
      <c r="N357" s="3" t="str">
        <f>VLOOKUP(F357,'ESO zone constants'!$A$5:$D$10001,4,FALSE)</f>
        <v>Summerset</v>
      </c>
    </row>
    <row r="358" spans="1:14" x14ac:dyDescent="0.25">
      <c r="A358" s="90">
        <v>370</v>
      </c>
      <c r="B358">
        <v>16</v>
      </c>
      <c r="C358">
        <v>300</v>
      </c>
      <c r="D358" t="s">
        <v>2284</v>
      </c>
      <c r="E358">
        <v>18</v>
      </c>
      <c r="F358">
        <v>108</v>
      </c>
      <c r="G358" t="s">
        <v>2284</v>
      </c>
      <c r="H358">
        <v>6</v>
      </c>
      <c r="I358" t="s">
        <v>3053</v>
      </c>
      <c r="J358" s="30" t="str">
        <f t="shared" si="15"/>
        <v>[370]=108,</v>
      </c>
      <c r="K358" s="3">
        <f t="shared" si="16"/>
        <v>370</v>
      </c>
      <c r="L358" s="3">
        <f t="shared" si="17"/>
        <v>108</v>
      </c>
      <c r="M358" s="8" t="str">
        <f>VLOOKUP(A358,'ESO wayshrine names'!$A$3:$B$5104,2,)</f>
        <v>Dungeon: March of Sacrifices</v>
      </c>
      <c r="N358" s="3" t="str">
        <f>VLOOKUP(F358,'ESO zone constants'!$A$5:$D$10001,4,FALSE)</f>
        <v>Greenshade</v>
      </c>
    </row>
    <row r="359" spans="1:14" x14ac:dyDescent="0.25">
      <c r="A359" s="90">
        <v>371</v>
      </c>
      <c r="B359">
        <v>17</v>
      </c>
      <c r="C359">
        <v>256</v>
      </c>
      <c r="D359" t="s">
        <v>2285</v>
      </c>
      <c r="E359">
        <v>180</v>
      </c>
      <c r="F359">
        <v>382</v>
      </c>
      <c r="G359" t="s">
        <v>2285</v>
      </c>
      <c r="H359">
        <v>6</v>
      </c>
      <c r="I359" t="s">
        <v>3054</v>
      </c>
      <c r="J359" s="30" t="str">
        <f t="shared" si="15"/>
        <v>[371]=382,</v>
      </c>
      <c r="K359" s="3">
        <f t="shared" si="16"/>
        <v>371</v>
      </c>
      <c r="L359" s="3">
        <f t="shared" si="17"/>
        <v>382</v>
      </c>
      <c r="M359" s="8" t="str">
        <f>VLOOKUP(A359,'ESO wayshrine names'!$A$3:$B$5104,2,)</f>
        <v>Dungeon: Moon Hunter Keep</v>
      </c>
      <c r="N359" s="3" t="str">
        <f>VLOOKUP(F359,'ESO zone constants'!$A$5:$D$10001,4,FALSE)</f>
        <v>Reaper's March</v>
      </c>
    </row>
    <row r="360" spans="1:14" x14ac:dyDescent="0.25">
      <c r="A360" s="90">
        <v>372</v>
      </c>
      <c r="B360">
        <v>12</v>
      </c>
      <c r="C360">
        <v>125</v>
      </c>
      <c r="D360" t="s">
        <v>2301</v>
      </c>
      <c r="E360">
        <v>16</v>
      </c>
      <c r="F360">
        <v>103</v>
      </c>
      <c r="G360" t="s">
        <v>2301</v>
      </c>
      <c r="H360">
        <v>7</v>
      </c>
      <c r="I360" t="s">
        <v>3055</v>
      </c>
      <c r="J360" s="30" t="str">
        <f t="shared" si="15"/>
        <v>[372]=103,</v>
      </c>
      <c r="K360" s="3">
        <f t="shared" si="16"/>
        <v>372</v>
      </c>
      <c r="L360" s="3">
        <f t="shared" si="17"/>
        <v>103</v>
      </c>
      <c r="M360" s="8" t="str">
        <f>VLOOKUP(A360,'ESO wayshrine names'!$A$3:$B$5104,2,)</f>
        <v>Hunter's Glade</v>
      </c>
      <c r="N360" s="3" t="str">
        <f>VLOOKUP(F360,'ESO zone constants'!$A$5:$D$10001,4,FALSE)</f>
        <v>The Rift</v>
      </c>
    </row>
    <row r="361" spans="1:14" x14ac:dyDescent="0.25">
      <c r="A361" s="90">
        <v>373</v>
      </c>
      <c r="B361">
        <v>33</v>
      </c>
      <c r="C361">
        <v>1429</v>
      </c>
      <c r="D361" t="s">
        <v>678</v>
      </c>
      <c r="E361">
        <v>633</v>
      </c>
      <c r="F361">
        <v>1027</v>
      </c>
      <c r="G361" t="s">
        <v>678</v>
      </c>
      <c r="H361">
        <v>7</v>
      </c>
      <c r="I361" t="s">
        <v>3056</v>
      </c>
      <c r="J361" s="30" t="str">
        <f t="shared" si="15"/>
        <v>[373]=1027,</v>
      </c>
      <c r="K361" s="3">
        <f t="shared" si="16"/>
        <v>373</v>
      </c>
      <c r="L361" s="3">
        <f t="shared" si="17"/>
        <v>1027</v>
      </c>
      <c r="M361" s="8" t="str">
        <f>VLOOKUP(A361,'ESO wayshrine names'!$A$3:$B$5104,2,)</f>
        <v>Grand Psijic Villa</v>
      </c>
      <c r="N361" s="3" t="str">
        <f>VLOOKUP(F361,'ESO zone constants'!$A$5:$D$10001,4,FALSE)</f>
        <v>Artaeum</v>
      </c>
    </row>
    <row r="362" spans="1:14" x14ac:dyDescent="0.25">
      <c r="A362" s="90">
        <v>374</v>
      </c>
      <c r="B362">
        <v>34</v>
      </c>
      <c r="C362">
        <v>1484</v>
      </c>
      <c r="D362" t="s">
        <v>2310</v>
      </c>
      <c r="E362">
        <v>408</v>
      </c>
      <c r="F362">
        <v>726</v>
      </c>
      <c r="G362" t="s">
        <v>2310</v>
      </c>
      <c r="H362">
        <v>1</v>
      </c>
      <c r="I362" t="s">
        <v>3057</v>
      </c>
      <c r="J362" s="30" t="str">
        <f t="shared" si="15"/>
        <v>[374]=726,</v>
      </c>
      <c r="K362" s="3">
        <f t="shared" si="16"/>
        <v>374</v>
      </c>
      <c r="L362" s="3">
        <f t="shared" si="17"/>
        <v>726</v>
      </c>
      <c r="M362" s="8" t="str">
        <f>VLOOKUP(A362,'ESO wayshrine names'!$A$3:$B$5104,2,)</f>
        <v>Lilmoth Wayshrine</v>
      </c>
      <c r="N362" s="3" t="str">
        <f>VLOOKUP(F362,'ESO zone constants'!$A$5:$D$10001,4,FALSE)</f>
        <v>Murkmire</v>
      </c>
    </row>
    <row r="363" spans="1:14" x14ac:dyDescent="0.25">
      <c r="A363" s="90">
        <v>375</v>
      </c>
      <c r="B363">
        <v>34</v>
      </c>
      <c r="C363">
        <v>1484</v>
      </c>
      <c r="D363" t="s">
        <v>2310</v>
      </c>
      <c r="E363">
        <v>408</v>
      </c>
      <c r="F363">
        <v>726</v>
      </c>
      <c r="G363" t="s">
        <v>2310</v>
      </c>
      <c r="H363">
        <v>1</v>
      </c>
      <c r="I363" t="s">
        <v>3058</v>
      </c>
      <c r="J363" s="30" t="str">
        <f t="shared" si="15"/>
        <v>[375]=726,</v>
      </c>
      <c r="K363" s="3">
        <f t="shared" si="16"/>
        <v>375</v>
      </c>
      <c r="L363" s="3">
        <f t="shared" si="17"/>
        <v>726</v>
      </c>
      <c r="M363" s="8" t="str">
        <f>VLOOKUP(A363,'ESO wayshrine names'!$A$3:$B$5104,2,)</f>
        <v>Bright-Throat Wayshrine</v>
      </c>
      <c r="N363" s="3" t="str">
        <f>VLOOKUP(F363,'ESO zone constants'!$A$5:$D$10001,4,FALSE)</f>
        <v>Murkmire</v>
      </c>
    </row>
    <row r="364" spans="1:14" x14ac:dyDescent="0.25">
      <c r="A364" s="90">
        <v>376</v>
      </c>
      <c r="B364">
        <v>34</v>
      </c>
      <c r="C364">
        <v>1484</v>
      </c>
      <c r="D364" t="s">
        <v>2310</v>
      </c>
      <c r="E364">
        <v>408</v>
      </c>
      <c r="F364">
        <v>726</v>
      </c>
      <c r="G364" t="s">
        <v>2310</v>
      </c>
      <c r="H364">
        <v>1</v>
      </c>
      <c r="I364" t="s">
        <v>3059</v>
      </c>
      <c r="J364" s="30" t="str">
        <f t="shared" si="15"/>
        <v>[376]=726,</v>
      </c>
      <c r="K364" s="3">
        <f t="shared" si="16"/>
        <v>376</v>
      </c>
      <c r="L364" s="3">
        <f t="shared" si="17"/>
        <v>726</v>
      </c>
      <c r="M364" s="8" t="str">
        <f>VLOOKUP(A364,'ESO wayshrine names'!$A$3:$B$5104,2,)</f>
        <v>Dead-Water Wayshrine</v>
      </c>
      <c r="N364" s="3" t="str">
        <f>VLOOKUP(F364,'ESO zone constants'!$A$5:$D$10001,4,FALSE)</f>
        <v>Murkmire</v>
      </c>
    </row>
    <row r="365" spans="1:14" x14ac:dyDescent="0.25">
      <c r="A365" s="90">
        <v>377</v>
      </c>
      <c r="B365">
        <v>34</v>
      </c>
      <c r="C365">
        <v>1484</v>
      </c>
      <c r="D365" t="s">
        <v>2310</v>
      </c>
      <c r="E365">
        <v>408</v>
      </c>
      <c r="F365">
        <v>726</v>
      </c>
      <c r="G365" t="s">
        <v>2310</v>
      </c>
      <c r="H365">
        <v>1</v>
      </c>
      <c r="I365" t="s">
        <v>3060</v>
      </c>
      <c r="J365" s="30" t="str">
        <f t="shared" si="15"/>
        <v>[377]=726,</v>
      </c>
      <c r="K365" s="3">
        <f t="shared" si="16"/>
        <v>377</v>
      </c>
      <c r="L365" s="3">
        <f t="shared" si="17"/>
        <v>726</v>
      </c>
      <c r="M365" s="8" t="str">
        <f>VLOOKUP(A365,'ESO wayshrine names'!$A$3:$B$5104,2,)</f>
        <v>Root-Whisper Wayshrine</v>
      </c>
      <c r="N365" s="3" t="str">
        <f>VLOOKUP(F365,'ESO zone constants'!$A$5:$D$10001,4,FALSE)</f>
        <v>Murkmire</v>
      </c>
    </row>
    <row r="366" spans="1:14" x14ac:dyDescent="0.25">
      <c r="A366" s="90">
        <v>378</v>
      </c>
      <c r="B366">
        <v>34</v>
      </c>
      <c r="C366">
        <v>1484</v>
      </c>
      <c r="D366" t="s">
        <v>2310</v>
      </c>
      <c r="E366">
        <v>408</v>
      </c>
      <c r="F366">
        <v>726</v>
      </c>
      <c r="G366" t="s">
        <v>2310</v>
      </c>
      <c r="H366">
        <v>6</v>
      </c>
      <c r="I366" t="s">
        <v>3061</v>
      </c>
      <c r="J366" s="30" t="str">
        <f t="shared" si="15"/>
        <v>[378]=726,</v>
      </c>
      <c r="K366" s="3">
        <f t="shared" si="16"/>
        <v>378</v>
      </c>
      <c r="L366" s="3">
        <f t="shared" si="17"/>
        <v>726</v>
      </c>
      <c r="M366" s="8" t="str">
        <f>VLOOKUP(A366,'ESO wayshrine names'!$A$3:$B$5104,2,)</f>
        <v>Blackrose Prison</v>
      </c>
      <c r="N366" s="3" t="str">
        <f>VLOOKUP(F366,'ESO zone constants'!$A$5:$D$10001,4,FALSE)</f>
        <v>Murkmire</v>
      </c>
    </row>
    <row r="367" spans="1:14" x14ac:dyDescent="0.25">
      <c r="A367" s="90">
        <v>379</v>
      </c>
      <c r="B367">
        <v>34</v>
      </c>
      <c r="C367">
        <v>1484</v>
      </c>
      <c r="D367" t="s">
        <v>2310</v>
      </c>
      <c r="E367">
        <v>408</v>
      </c>
      <c r="F367">
        <v>726</v>
      </c>
      <c r="G367" t="s">
        <v>2310</v>
      </c>
      <c r="H367">
        <v>1</v>
      </c>
      <c r="I367" t="s">
        <v>3062</v>
      </c>
      <c r="J367" s="30" t="str">
        <f t="shared" si="15"/>
        <v>[379]=726,</v>
      </c>
      <c r="K367" s="3">
        <f t="shared" si="16"/>
        <v>379</v>
      </c>
      <c r="L367" s="3">
        <f t="shared" si="17"/>
        <v>726</v>
      </c>
      <c r="M367" s="8" t="str">
        <f>VLOOKUP(A367,'ESO wayshrine names'!$A$3:$B$5104,2,)</f>
        <v>Blackrose Prison Wayshrine</v>
      </c>
      <c r="N367" s="3" t="str">
        <f>VLOOKUP(F367,'ESO zone constants'!$A$5:$D$10001,4,FALSE)</f>
        <v>Murkmire</v>
      </c>
    </row>
    <row r="368" spans="1:14" x14ac:dyDescent="0.25">
      <c r="A368" s="90">
        <v>380</v>
      </c>
      <c r="B368">
        <v>13</v>
      </c>
      <c r="C368">
        <v>61</v>
      </c>
      <c r="D368" t="s">
        <v>2300</v>
      </c>
      <c r="E368">
        <v>15</v>
      </c>
      <c r="F368">
        <v>101</v>
      </c>
      <c r="G368" t="s">
        <v>2300</v>
      </c>
      <c r="H368">
        <v>7</v>
      </c>
      <c r="I368" t="s">
        <v>3250</v>
      </c>
      <c r="J368" s="30" t="str">
        <f t="shared" si="15"/>
        <v>[380]=101,</v>
      </c>
      <c r="K368" s="3">
        <f t="shared" si="16"/>
        <v>380</v>
      </c>
      <c r="L368" s="3">
        <f t="shared" si="17"/>
        <v>101</v>
      </c>
      <c r="M368" s="8" t="str">
        <f>VLOOKUP(A368,'ESO wayshrine names'!$A$3:$B$5104,2,)</f>
        <v>Enchanted Snow Globe Home</v>
      </c>
      <c r="N368" s="3" t="str">
        <f>VLOOKUP(F368,'ESO zone constants'!$A$5:$D$10001,4,FALSE)</f>
        <v>Eastmarch</v>
      </c>
    </row>
    <row r="369" spans="1:14" x14ac:dyDescent="0.25">
      <c r="A369" s="90">
        <v>381</v>
      </c>
      <c r="B369">
        <v>36</v>
      </c>
      <c r="C369">
        <v>1555</v>
      </c>
      <c r="D369" t="s">
        <v>3063</v>
      </c>
      <c r="E369">
        <v>682</v>
      </c>
      <c r="F369">
        <v>1086</v>
      </c>
      <c r="G369" t="s">
        <v>3063</v>
      </c>
      <c r="H369">
        <v>1</v>
      </c>
      <c r="I369" t="s">
        <v>3064</v>
      </c>
      <c r="J369" s="30" t="str">
        <f t="shared" si="15"/>
        <v>[381]=1086,</v>
      </c>
      <c r="K369" s="3">
        <f t="shared" si="16"/>
        <v>381</v>
      </c>
      <c r="L369" s="3">
        <f t="shared" si="17"/>
        <v>1086</v>
      </c>
      <c r="M369" s="8" t="str">
        <f>VLOOKUP(A369,'ESO wayshrine names'!$A$3:$B$5104,2,)</f>
        <v>Riverhold Wayshrine</v>
      </c>
      <c r="N369" s="3" t="str">
        <f>VLOOKUP(F369,'ESO zone constants'!$A$5:$D$10001,4,FALSE)</f>
        <v>Northern Elsweyr</v>
      </c>
    </row>
    <row r="370" spans="1:14" x14ac:dyDescent="0.25">
      <c r="A370" s="90">
        <v>382</v>
      </c>
      <c r="B370">
        <v>36</v>
      </c>
      <c r="C370">
        <v>1555</v>
      </c>
      <c r="D370" t="s">
        <v>3063</v>
      </c>
      <c r="E370">
        <v>682</v>
      </c>
      <c r="F370">
        <v>1086</v>
      </c>
      <c r="G370" t="s">
        <v>3063</v>
      </c>
      <c r="H370">
        <v>1</v>
      </c>
      <c r="I370" t="s">
        <v>3065</v>
      </c>
      <c r="J370" s="30" t="str">
        <f t="shared" si="15"/>
        <v>[382]=1086,</v>
      </c>
      <c r="K370" s="3">
        <f t="shared" si="16"/>
        <v>382</v>
      </c>
      <c r="L370" s="3">
        <f t="shared" si="17"/>
        <v>1086</v>
      </c>
      <c r="M370" s="8" t="str">
        <f>VLOOKUP(A370,'ESO wayshrine names'!$A$3:$B$5104,2,)</f>
        <v>Rimmen Wayshrine</v>
      </c>
      <c r="N370" s="3" t="str">
        <f>VLOOKUP(F370,'ESO zone constants'!$A$5:$D$10001,4,FALSE)</f>
        <v>Northern Elsweyr</v>
      </c>
    </row>
    <row r="371" spans="1:14" x14ac:dyDescent="0.25">
      <c r="A371" s="90">
        <v>383</v>
      </c>
      <c r="B371">
        <v>36</v>
      </c>
      <c r="C371">
        <v>1555</v>
      </c>
      <c r="D371" t="s">
        <v>3063</v>
      </c>
      <c r="E371">
        <v>682</v>
      </c>
      <c r="F371">
        <v>1086</v>
      </c>
      <c r="G371" t="s">
        <v>3063</v>
      </c>
      <c r="H371">
        <v>1</v>
      </c>
      <c r="I371" t="s">
        <v>3066</v>
      </c>
      <c r="J371" s="30" t="str">
        <f t="shared" si="15"/>
        <v>[383]=1086,</v>
      </c>
      <c r="K371" s="3">
        <f t="shared" si="16"/>
        <v>383</v>
      </c>
      <c r="L371" s="3">
        <f t="shared" si="17"/>
        <v>1086</v>
      </c>
      <c r="M371" s="8" t="str">
        <f>VLOOKUP(A371,'ESO wayshrine names'!$A$3:$B$5104,2,)</f>
        <v>The Stitches Wayshrine</v>
      </c>
      <c r="N371" s="3" t="str">
        <f>VLOOKUP(F371,'ESO zone constants'!$A$5:$D$10001,4,FALSE)</f>
        <v>Northern Elsweyr</v>
      </c>
    </row>
    <row r="372" spans="1:14" x14ac:dyDescent="0.25">
      <c r="A372" s="90">
        <v>384</v>
      </c>
      <c r="B372">
        <v>36</v>
      </c>
      <c r="C372">
        <v>1555</v>
      </c>
      <c r="D372" t="s">
        <v>3063</v>
      </c>
      <c r="E372">
        <v>682</v>
      </c>
      <c r="F372">
        <v>1086</v>
      </c>
      <c r="G372" t="s">
        <v>3063</v>
      </c>
      <c r="H372">
        <v>1</v>
      </c>
      <c r="I372" t="s">
        <v>3067</v>
      </c>
      <c r="J372" s="30" t="str">
        <f t="shared" si="15"/>
        <v>[384]=1086,</v>
      </c>
      <c r="K372" s="3">
        <f t="shared" si="16"/>
        <v>384</v>
      </c>
      <c r="L372" s="3">
        <f t="shared" si="17"/>
        <v>1086</v>
      </c>
      <c r="M372" s="8" t="str">
        <f>VLOOKUP(A372,'ESO wayshrine names'!$A$3:$B$5104,2,)</f>
        <v>Tenmar Temple Wayshrine</v>
      </c>
      <c r="N372" s="3" t="str">
        <f>VLOOKUP(F372,'ESO zone constants'!$A$5:$D$10001,4,FALSE)</f>
        <v>Northern Elsweyr</v>
      </c>
    </row>
    <row r="373" spans="1:14" x14ac:dyDescent="0.25">
      <c r="A373" s="90">
        <v>386</v>
      </c>
      <c r="B373">
        <v>36</v>
      </c>
      <c r="C373">
        <v>1555</v>
      </c>
      <c r="D373" t="s">
        <v>3063</v>
      </c>
      <c r="E373">
        <v>682</v>
      </c>
      <c r="F373">
        <v>1086</v>
      </c>
      <c r="G373" t="s">
        <v>3063</v>
      </c>
      <c r="H373">
        <v>1</v>
      </c>
      <c r="I373" t="s">
        <v>3068</v>
      </c>
      <c r="J373" s="30" t="str">
        <f t="shared" si="15"/>
        <v>[386]=1086,</v>
      </c>
      <c r="K373" s="3">
        <f t="shared" si="16"/>
        <v>386</v>
      </c>
      <c r="L373" s="3">
        <f t="shared" si="17"/>
        <v>1086</v>
      </c>
      <c r="M373" s="8" t="str">
        <f>VLOOKUP(A373,'ESO wayshrine names'!$A$3:$B$5104,2,)</f>
        <v>Scar's End Wayshrine</v>
      </c>
      <c r="N373" s="3" t="str">
        <f>VLOOKUP(F373,'ESO zone constants'!$A$5:$D$10001,4,FALSE)</f>
        <v>Northern Elsweyr</v>
      </c>
    </row>
    <row r="374" spans="1:14" x14ac:dyDescent="0.25">
      <c r="A374" s="90">
        <v>387</v>
      </c>
      <c r="B374">
        <v>36</v>
      </c>
      <c r="C374">
        <v>1555</v>
      </c>
      <c r="D374" t="s">
        <v>3063</v>
      </c>
      <c r="E374">
        <v>682</v>
      </c>
      <c r="F374">
        <v>1086</v>
      </c>
      <c r="G374" t="s">
        <v>3063</v>
      </c>
      <c r="H374">
        <v>1</v>
      </c>
      <c r="I374" t="s">
        <v>3069</v>
      </c>
      <c r="J374" s="30" t="str">
        <f t="shared" si="15"/>
        <v>[387]=1086,</v>
      </c>
      <c r="K374" s="3">
        <f t="shared" si="16"/>
        <v>387</v>
      </c>
      <c r="L374" s="3">
        <f t="shared" si="17"/>
        <v>1086</v>
      </c>
      <c r="M374" s="8" t="str">
        <f>VLOOKUP(A374,'ESO wayshrine names'!$A$3:$B$5104,2,)</f>
        <v>Hakoshae Wayshrine</v>
      </c>
      <c r="N374" s="3" t="str">
        <f>VLOOKUP(F374,'ESO zone constants'!$A$5:$D$10001,4,FALSE)</f>
        <v>Northern Elsweyr</v>
      </c>
    </row>
    <row r="375" spans="1:14" x14ac:dyDescent="0.25">
      <c r="A375" s="90">
        <v>388</v>
      </c>
      <c r="B375">
        <v>34</v>
      </c>
      <c r="C375">
        <v>1484</v>
      </c>
      <c r="D375" t="s">
        <v>2310</v>
      </c>
      <c r="E375">
        <v>408</v>
      </c>
      <c r="F375">
        <v>726</v>
      </c>
      <c r="G375" t="s">
        <v>2310</v>
      </c>
      <c r="H375">
        <v>7</v>
      </c>
      <c r="I375" t="s">
        <v>3070</v>
      </c>
      <c r="J375" s="30" t="str">
        <f t="shared" si="15"/>
        <v>[388]=726,</v>
      </c>
      <c r="K375" s="3">
        <f t="shared" si="16"/>
        <v>388</v>
      </c>
      <c r="L375" s="3">
        <f t="shared" si="17"/>
        <v>726</v>
      </c>
      <c r="M375" s="8" t="str">
        <f>VLOOKUP(A375,'ESO wayshrine names'!$A$3:$B$5104,2,)</f>
        <v>Lakemire Xanmeer Manor</v>
      </c>
      <c r="N375" s="3" t="str">
        <f>VLOOKUP(F375,'ESO zone constants'!$A$5:$D$10001,4,FALSE)</f>
        <v>Murkmire</v>
      </c>
    </row>
    <row r="376" spans="1:14" x14ac:dyDescent="0.25">
      <c r="A376" s="90">
        <v>389</v>
      </c>
      <c r="B376">
        <v>13</v>
      </c>
      <c r="C376">
        <v>61</v>
      </c>
      <c r="D376" t="s">
        <v>2300</v>
      </c>
      <c r="E376">
        <v>15</v>
      </c>
      <c r="F376">
        <v>101</v>
      </c>
      <c r="G376" t="s">
        <v>2300</v>
      </c>
      <c r="H376">
        <v>6</v>
      </c>
      <c r="I376" t="s">
        <v>3243</v>
      </c>
      <c r="J376" s="30" t="str">
        <f t="shared" si="15"/>
        <v>[389]=101,</v>
      </c>
      <c r="K376" s="3">
        <f t="shared" si="16"/>
        <v>389</v>
      </c>
      <c r="L376" s="3">
        <f t="shared" si="17"/>
        <v>101</v>
      </c>
      <c r="M376" s="8" t="str">
        <f>VLOOKUP(A376,'ESO wayshrine names'!$A$3:$B$5104,2,)</f>
        <v>Dungeon: Frostvault</v>
      </c>
      <c r="N376" s="3" t="str">
        <f>VLOOKUP(F376,'ESO zone constants'!$A$5:$D$10001,4,FALSE)</f>
        <v>Eastmarch</v>
      </c>
    </row>
    <row r="377" spans="1:14" x14ac:dyDescent="0.25">
      <c r="A377" s="90">
        <v>390</v>
      </c>
      <c r="B377">
        <v>29</v>
      </c>
      <c r="C377">
        <v>1006</v>
      </c>
      <c r="D377" t="s">
        <v>2304</v>
      </c>
      <c r="E377">
        <v>449</v>
      </c>
      <c r="F377">
        <v>823</v>
      </c>
      <c r="G377" t="s">
        <v>2952</v>
      </c>
      <c r="H377">
        <v>6</v>
      </c>
      <c r="I377" t="s">
        <v>3071</v>
      </c>
      <c r="J377" s="30" t="str">
        <f t="shared" si="15"/>
        <v>[390]=823,</v>
      </c>
      <c r="K377" s="3">
        <f t="shared" si="16"/>
        <v>390</v>
      </c>
      <c r="L377" s="3">
        <f t="shared" si="17"/>
        <v>823</v>
      </c>
      <c r="M377" s="8" t="str">
        <f>VLOOKUP(A377,'ESO wayshrine names'!$A$3:$B$5104,2,)</f>
        <v>Dungeon: Depths of Malatar</v>
      </c>
      <c r="N377" s="3" t="str">
        <f>VLOOKUP(F377,'ESO zone constants'!$A$5:$D$10001,4,FALSE)</f>
        <v>Gold Coast</v>
      </c>
    </row>
    <row r="378" spans="1:14" x14ac:dyDescent="0.25">
      <c r="A378" s="90">
        <v>391</v>
      </c>
      <c r="B378">
        <v>36</v>
      </c>
      <c r="C378">
        <v>1555</v>
      </c>
      <c r="D378" t="s">
        <v>3063</v>
      </c>
      <c r="E378">
        <v>682</v>
      </c>
      <c r="F378">
        <v>1086</v>
      </c>
      <c r="G378" t="s">
        <v>3063</v>
      </c>
      <c r="H378">
        <v>6</v>
      </c>
      <c r="I378" t="s">
        <v>3072</v>
      </c>
      <c r="J378" s="30" t="str">
        <f t="shared" si="15"/>
        <v>[391]=1086,</v>
      </c>
      <c r="K378" s="3">
        <f t="shared" si="16"/>
        <v>391</v>
      </c>
      <c r="L378" s="3">
        <f t="shared" si="17"/>
        <v>1086</v>
      </c>
      <c r="M378" s="8" t="str">
        <f>VLOOKUP(A378,'ESO wayshrine names'!$A$3:$B$5104,2,)</f>
        <v>Dungeon: Moongrave Fane</v>
      </c>
      <c r="N378" s="3" t="str">
        <f>VLOOKUP(F378,'ESO zone constants'!$A$5:$D$10001,4,FALSE)</f>
        <v>Northern Elsweyr</v>
      </c>
    </row>
    <row r="379" spans="1:14" x14ac:dyDescent="0.25">
      <c r="A379" s="90">
        <v>392</v>
      </c>
      <c r="B379">
        <v>13</v>
      </c>
      <c r="C379">
        <v>61</v>
      </c>
      <c r="D379" t="s">
        <v>2300</v>
      </c>
      <c r="E379">
        <v>15</v>
      </c>
      <c r="F379">
        <v>101</v>
      </c>
      <c r="G379" t="s">
        <v>2300</v>
      </c>
      <c r="H379">
        <v>7</v>
      </c>
      <c r="I379" t="s">
        <v>3240</v>
      </c>
      <c r="J379" s="30" t="str">
        <f t="shared" si="15"/>
        <v>[392]=101,</v>
      </c>
      <c r="K379" s="3">
        <f t="shared" si="16"/>
        <v>392</v>
      </c>
      <c r="L379" s="3">
        <f t="shared" si="17"/>
        <v>101</v>
      </c>
      <c r="M379" s="8" t="str">
        <f>VLOOKUP(A379,'ESO wayshrine names'!$A$3:$B$5104,2,)</f>
        <v>Frostvault Chasm</v>
      </c>
      <c r="N379" s="3" t="str">
        <f>VLOOKUP(F379,'ESO zone constants'!$A$5:$D$10001,4,FALSE)</f>
        <v>Eastmarch</v>
      </c>
    </row>
    <row r="380" spans="1:14" x14ac:dyDescent="0.25">
      <c r="A380" s="90">
        <v>395</v>
      </c>
      <c r="B380">
        <v>25</v>
      </c>
      <c r="C380">
        <v>1126</v>
      </c>
      <c r="D380" t="s">
        <v>2360</v>
      </c>
      <c r="E380">
        <v>501</v>
      </c>
      <c r="F380">
        <v>888</v>
      </c>
      <c r="G380" t="s">
        <v>2360</v>
      </c>
      <c r="H380">
        <v>7</v>
      </c>
      <c r="I380" t="s">
        <v>3805</v>
      </c>
      <c r="J380" s="30" t="str">
        <f t="shared" si="15"/>
        <v>[395]=888,</v>
      </c>
      <c r="K380" s="3">
        <f t="shared" si="16"/>
        <v>395</v>
      </c>
      <c r="L380" s="3">
        <f t="shared" si="17"/>
        <v>888</v>
      </c>
      <c r="M380" s="8" t="str">
        <f>VLOOKUP(A380,'ESO wayshrine names'!$A$3:$B$5104,2,)</f>
        <v>Elinhir Private Arena</v>
      </c>
      <c r="N380" s="3" t="str">
        <f>VLOOKUP(F380,'ESO zone constants'!$A$5:$D$10001,4,FALSE)</f>
        <v>Craglorn</v>
      </c>
    </row>
    <row r="381" spans="1:14" x14ac:dyDescent="0.25">
      <c r="A381" s="90">
        <v>396</v>
      </c>
      <c r="B381">
        <v>36</v>
      </c>
      <c r="C381">
        <v>1555</v>
      </c>
      <c r="D381" t="s">
        <v>3063</v>
      </c>
      <c r="E381">
        <v>682</v>
      </c>
      <c r="F381">
        <v>1086</v>
      </c>
      <c r="G381" t="s">
        <v>3063</v>
      </c>
      <c r="H381">
        <v>7</v>
      </c>
      <c r="I381" t="s">
        <v>3073</v>
      </c>
      <c r="J381" s="30" t="str">
        <f t="shared" si="15"/>
        <v>[396]=1086,</v>
      </c>
      <c r="K381" s="3">
        <f t="shared" si="16"/>
        <v>396</v>
      </c>
      <c r="L381" s="3">
        <f t="shared" si="17"/>
        <v>1086</v>
      </c>
      <c r="M381" s="8" t="str">
        <f>VLOOKUP(A381,'ESO wayshrine names'!$A$3:$B$5104,2,)</f>
        <v>Sugar Bowl Suite</v>
      </c>
      <c r="N381" s="3" t="str">
        <f>VLOOKUP(F381,'ESO zone constants'!$A$5:$D$10001,4,FALSE)</f>
        <v>Northern Elsweyr</v>
      </c>
    </row>
    <row r="382" spans="1:14" x14ac:dyDescent="0.25">
      <c r="A382" s="90">
        <v>397</v>
      </c>
      <c r="B382">
        <v>36</v>
      </c>
      <c r="C382">
        <v>1555</v>
      </c>
      <c r="D382" t="s">
        <v>3063</v>
      </c>
      <c r="E382">
        <v>682</v>
      </c>
      <c r="F382">
        <v>1086</v>
      </c>
      <c r="G382" t="s">
        <v>3063</v>
      </c>
      <c r="H382">
        <v>1</v>
      </c>
      <c r="I382" t="s">
        <v>3074</v>
      </c>
      <c r="J382" s="30" t="str">
        <f t="shared" si="15"/>
        <v>[397]=1086,</v>
      </c>
      <c r="K382" s="3">
        <f t="shared" si="16"/>
        <v>397</v>
      </c>
      <c r="L382" s="3">
        <f t="shared" si="17"/>
        <v>1086</v>
      </c>
      <c r="M382" s="8" t="str">
        <f>VLOOKUP(A382,'ESO wayshrine names'!$A$3:$B$5104,2,)</f>
        <v>Star Haven Wayshrine</v>
      </c>
      <c r="N382" s="3" t="str">
        <f>VLOOKUP(F382,'ESO zone constants'!$A$5:$D$10001,4,FALSE)</f>
        <v>Northern Elsweyr</v>
      </c>
    </row>
    <row r="383" spans="1:14" x14ac:dyDescent="0.25">
      <c r="A383" s="90">
        <v>398</v>
      </c>
      <c r="B383">
        <v>7</v>
      </c>
      <c r="C383">
        <v>9</v>
      </c>
      <c r="D383" t="s">
        <v>2282</v>
      </c>
      <c r="E383">
        <v>181</v>
      </c>
      <c r="F383">
        <v>383</v>
      </c>
      <c r="G383" t="s">
        <v>2282</v>
      </c>
      <c r="H383">
        <v>6</v>
      </c>
      <c r="I383" t="s">
        <v>3075</v>
      </c>
      <c r="J383" s="30" t="str">
        <f t="shared" si="15"/>
        <v>[398]=383,</v>
      </c>
      <c r="K383" s="3">
        <f t="shared" si="16"/>
        <v>398</v>
      </c>
      <c r="L383" s="3">
        <f t="shared" si="17"/>
        <v>383</v>
      </c>
      <c r="M383" s="8" t="str">
        <f>VLOOKUP(A383,'ESO wayshrine names'!$A$3:$B$5104,2,)</f>
        <v>Dungeon: Lair of Maarselok</v>
      </c>
      <c r="N383" s="3" t="str">
        <f>VLOOKUP(F383,'ESO zone constants'!$A$5:$D$10001,4,FALSE)</f>
        <v>Grahtwood</v>
      </c>
    </row>
    <row r="384" spans="1:14" x14ac:dyDescent="0.25">
      <c r="A384" s="90">
        <v>399</v>
      </c>
      <c r="B384">
        <v>36</v>
      </c>
      <c r="C384">
        <v>1555</v>
      </c>
      <c r="D384" t="s">
        <v>3063</v>
      </c>
      <c r="E384">
        <v>682</v>
      </c>
      <c r="F384">
        <v>1086</v>
      </c>
      <c r="G384" t="s">
        <v>3063</v>
      </c>
      <c r="H384">
        <v>3</v>
      </c>
      <c r="I384" t="s">
        <v>3076</v>
      </c>
      <c r="J384" s="30" t="str">
        <f t="shared" si="15"/>
        <v>[399]=1086,</v>
      </c>
      <c r="K384" s="3">
        <f t="shared" si="16"/>
        <v>399</v>
      </c>
      <c r="L384" s="3">
        <f t="shared" si="17"/>
        <v>1086</v>
      </c>
      <c r="M384" s="8" t="str">
        <f>VLOOKUP(A384,'ESO wayshrine names'!$A$3:$B$5104,2,)</f>
        <v>Trial: Sunspire</v>
      </c>
      <c r="N384" s="3" t="str">
        <f>VLOOKUP(F384,'ESO zone constants'!$A$5:$D$10001,4,FALSE)</f>
        <v>Northern Elsweyr</v>
      </c>
    </row>
    <row r="385" spans="1:14" x14ac:dyDescent="0.25">
      <c r="A385" s="90">
        <v>400</v>
      </c>
      <c r="B385">
        <v>36</v>
      </c>
      <c r="C385">
        <v>1555</v>
      </c>
      <c r="D385" t="s">
        <v>3063</v>
      </c>
      <c r="E385">
        <v>682</v>
      </c>
      <c r="F385">
        <v>1086</v>
      </c>
      <c r="G385" t="s">
        <v>3063</v>
      </c>
      <c r="H385">
        <v>7</v>
      </c>
      <c r="I385" t="s">
        <v>3077</v>
      </c>
      <c r="J385" s="30" t="str">
        <f t="shared" si="15"/>
        <v>[400]=1086,</v>
      </c>
      <c r="K385" s="3">
        <f t="shared" si="16"/>
        <v>400</v>
      </c>
      <c r="L385" s="3">
        <f t="shared" si="17"/>
        <v>1086</v>
      </c>
      <c r="M385" s="8" t="str">
        <f>VLOOKUP(A385,'ESO wayshrine names'!$A$3:$B$5104,2,)</f>
        <v>Hall of the Lunar Champion</v>
      </c>
      <c r="N385" s="3" t="str">
        <f>VLOOKUP(F385,'ESO zone constants'!$A$5:$D$10001,4,FALSE)</f>
        <v>Northern Elsweyr</v>
      </c>
    </row>
    <row r="386" spans="1:14" x14ac:dyDescent="0.25">
      <c r="A386" s="90">
        <v>401</v>
      </c>
      <c r="B386">
        <v>36</v>
      </c>
      <c r="C386">
        <v>1555</v>
      </c>
      <c r="D386" t="s">
        <v>3063</v>
      </c>
      <c r="E386">
        <v>682</v>
      </c>
      <c r="F386">
        <v>1086</v>
      </c>
      <c r="G386" t="s">
        <v>3063</v>
      </c>
      <c r="H386">
        <v>7</v>
      </c>
      <c r="I386" t="s">
        <v>3078</v>
      </c>
      <c r="J386" s="30" t="str">
        <f t="shared" si="15"/>
        <v>[401]=1086,</v>
      </c>
      <c r="K386" s="3">
        <f t="shared" si="16"/>
        <v>401</v>
      </c>
      <c r="L386" s="3">
        <f t="shared" si="17"/>
        <v>1086</v>
      </c>
      <c r="M386" s="8" t="str">
        <f>VLOOKUP(A386,'ESO wayshrine names'!$A$3:$B$5104,2,)</f>
        <v>Jode's Embrace</v>
      </c>
      <c r="N386" s="3" t="str">
        <f>VLOOKUP(F386,'ESO zone constants'!$A$5:$D$10001,4,FALSE)</f>
        <v>Northern Elsweyr</v>
      </c>
    </row>
    <row r="387" spans="1:14" x14ac:dyDescent="0.25">
      <c r="A387" s="90">
        <v>402</v>
      </c>
      <c r="B387">
        <v>37</v>
      </c>
      <c r="C387">
        <v>1654</v>
      </c>
      <c r="D387" t="s">
        <v>3079</v>
      </c>
      <c r="E387">
        <v>721</v>
      </c>
      <c r="F387">
        <v>1133</v>
      </c>
      <c r="G387" t="s">
        <v>3079</v>
      </c>
      <c r="H387">
        <v>1</v>
      </c>
      <c r="I387" t="s">
        <v>3080</v>
      </c>
      <c r="J387" s="30" t="str">
        <f t="shared" ref="J387:J450" si="18">IF(A387&lt;&gt;"",IF(F387&lt;&gt;"",IF(OR(ISNA(A387),ISNA(F387)),"","["&amp;A387&amp;"]="&amp;F387&amp;","),""),"")</f>
        <v>[402]=1133,</v>
      </c>
      <c r="K387" s="3">
        <f t="shared" ref="K387:K450" si="19">A387</f>
        <v>402</v>
      </c>
      <c r="L387" s="3">
        <f t="shared" ref="L387:L450" si="20">F387</f>
        <v>1133</v>
      </c>
      <c r="M387" s="8" t="str">
        <f>VLOOKUP(A387,'ESO wayshrine names'!$A$3:$B$5104,2,)</f>
        <v>Senchal Wayshrine</v>
      </c>
      <c r="N387" s="3" t="str">
        <f>VLOOKUP(F387,'ESO zone constants'!$A$5:$D$10001,4,FALSE)</f>
        <v>Southern Elsweyr</v>
      </c>
    </row>
    <row r="388" spans="1:14" x14ac:dyDescent="0.25">
      <c r="A388" s="90">
        <v>403</v>
      </c>
      <c r="B388">
        <v>37</v>
      </c>
      <c r="C388">
        <v>1654</v>
      </c>
      <c r="D388" t="s">
        <v>3079</v>
      </c>
      <c r="E388">
        <v>721</v>
      </c>
      <c r="F388">
        <v>1133</v>
      </c>
      <c r="G388" t="s">
        <v>3079</v>
      </c>
      <c r="H388">
        <v>1</v>
      </c>
      <c r="I388" t="s">
        <v>3081</v>
      </c>
      <c r="J388" s="30" t="str">
        <f t="shared" si="18"/>
        <v>[403]=1133,</v>
      </c>
      <c r="K388" s="3">
        <f t="shared" si="19"/>
        <v>403</v>
      </c>
      <c r="L388" s="3">
        <f t="shared" si="20"/>
        <v>1133</v>
      </c>
      <c r="M388" s="8" t="str">
        <f>VLOOKUP(A388,'ESO wayshrine names'!$A$3:$B$5104,2,)</f>
        <v>South Guard Ruins Wayshrine</v>
      </c>
      <c r="N388" s="3" t="str">
        <f>VLOOKUP(F388,'ESO zone constants'!$A$5:$D$10001,4,FALSE)</f>
        <v>Southern Elsweyr</v>
      </c>
    </row>
    <row r="389" spans="1:14" x14ac:dyDescent="0.25">
      <c r="A389" s="90">
        <v>404</v>
      </c>
      <c r="B389">
        <v>37</v>
      </c>
      <c r="C389">
        <v>1654</v>
      </c>
      <c r="D389" t="s">
        <v>3079</v>
      </c>
      <c r="E389">
        <v>721</v>
      </c>
      <c r="F389">
        <v>1133</v>
      </c>
      <c r="G389" t="s">
        <v>3079</v>
      </c>
      <c r="H389">
        <v>1</v>
      </c>
      <c r="I389" t="s">
        <v>3082</v>
      </c>
      <c r="J389" s="30" t="str">
        <f t="shared" si="18"/>
        <v>[404]=1133,</v>
      </c>
      <c r="K389" s="3">
        <f t="shared" si="19"/>
        <v>404</v>
      </c>
      <c r="L389" s="3">
        <f t="shared" si="20"/>
        <v>1133</v>
      </c>
      <c r="M389" s="8" t="str">
        <f>VLOOKUP(A389,'ESO wayshrine names'!$A$3:$B$5104,2,)</f>
        <v>Western Plains Wayshrine</v>
      </c>
      <c r="N389" s="3" t="str">
        <f>VLOOKUP(F389,'ESO zone constants'!$A$5:$D$10001,4,FALSE)</f>
        <v>Southern Elsweyr</v>
      </c>
    </row>
    <row r="390" spans="1:14" x14ac:dyDescent="0.25">
      <c r="A390" s="90">
        <v>405</v>
      </c>
      <c r="B390">
        <v>37</v>
      </c>
      <c r="C390">
        <v>1654</v>
      </c>
      <c r="D390" t="s">
        <v>3079</v>
      </c>
      <c r="E390">
        <v>721</v>
      </c>
      <c r="F390">
        <v>1133</v>
      </c>
      <c r="G390" t="s">
        <v>3079</v>
      </c>
      <c r="H390">
        <v>1</v>
      </c>
      <c r="I390" t="s">
        <v>3083</v>
      </c>
      <c r="J390" s="30" t="str">
        <f t="shared" si="18"/>
        <v>[405]=1133,</v>
      </c>
      <c r="K390" s="3">
        <f t="shared" si="19"/>
        <v>405</v>
      </c>
      <c r="L390" s="3">
        <f t="shared" si="20"/>
        <v>1133</v>
      </c>
      <c r="M390" s="8" t="str">
        <f>VLOOKUP(A390,'ESO wayshrine names'!$A$3:$B$5104,2,)</f>
        <v>Black Heights Wayshrine</v>
      </c>
      <c r="N390" s="3" t="str">
        <f>VLOOKUP(F390,'ESO zone constants'!$A$5:$D$10001,4,FALSE)</f>
        <v>Southern Elsweyr</v>
      </c>
    </row>
    <row r="391" spans="1:14" x14ac:dyDescent="0.25">
      <c r="A391" s="90">
        <v>406</v>
      </c>
      <c r="B391">
        <v>37</v>
      </c>
      <c r="C391">
        <v>1654</v>
      </c>
      <c r="D391" t="s">
        <v>3079</v>
      </c>
      <c r="E391">
        <v>721</v>
      </c>
      <c r="F391">
        <v>1133</v>
      </c>
      <c r="G391" t="s">
        <v>3079</v>
      </c>
      <c r="H391">
        <v>1</v>
      </c>
      <c r="I391" t="s">
        <v>3084</v>
      </c>
      <c r="J391" s="30" t="str">
        <f t="shared" si="18"/>
        <v>[406]=1133,</v>
      </c>
      <c r="K391" s="3">
        <f t="shared" si="19"/>
        <v>406</v>
      </c>
      <c r="L391" s="3">
        <f t="shared" si="20"/>
        <v>1133</v>
      </c>
      <c r="M391" s="8" t="str">
        <f>VLOOKUP(A391,'ESO wayshrine names'!$A$3:$B$5104,2,)</f>
        <v>Pridehome Wayshrine</v>
      </c>
      <c r="N391" s="3" t="str">
        <f>VLOOKUP(F391,'ESO zone constants'!$A$5:$D$10001,4,FALSE)</f>
        <v>Southern Elsweyr</v>
      </c>
    </row>
    <row r="392" spans="1:14" x14ac:dyDescent="0.25">
      <c r="A392" s="90">
        <v>407</v>
      </c>
      <c r="B392">
        <v>37</v>
      </c>
      <c r="C392">
        <v>1654</v>
      </c>
      <c r="D392" t="s">
        <v>3079</v>
      </c>
      <c r="E392">
        <v>721</v>
      </c>
      <c r="F392">
        <v>1133</v>
      </c>
      <c r="G392" t="s">
        <v>3079</v>
      </c>
      <c r="H392">
        <v>1</v>
      </c>
      <c r="I392" t="s">
        <v>3706</v>
      </c>
      <c r="J392" s="30" t="str">
        <f t="shared" si="18"/>
        <v>[407]=1133,</v>
      </c>
      <c r="K392" s="3">
        <f t="shared" si="19"/>
        <v>407</v>
      </c>
      <c r="L392" s="3">
        <f t="shared" si="20"/>
        <v>1133</v>
      </c>
      <c r="M392" s="8" t="str">
        <f>VLOOKUP(A392,'ESO wayshrine names'!$A$3:$B$5104,2,)</f>
        <v>Dragonguard Sanctum Wayshrine</v>
      </c>
      <c r="N392" s="3" t="str">
        <f>VLOOKUP(F392,'ESO zone constants'!$A$5:$D$10001,4,FALSE)</f>
        <v>Southern Elsweyr</v>
      </c>
    </row>
    <row r="393" spans="1:14" x14ac:dyDescent="0.25">
      <c r="A393" s="90">
        <v>409</v>
      </c>
      <c r="B393">
        <v>3</v>
      </c>
      <c r="C393">
        <v>10</v>
      </c>
      <c r="D393" t="s">
        <v>2298</v>
      </c>
      <c r="E393">
        <v>5</v>
      </c>
      <c r="F393">
        <v>20</v>
      </c>
      <c r="G393" t="s">
        <v>2298</v>
      </c>
      <c r="H393">
        <v>7</v>
      </c>
      <c r="I393" t="s">
        <v>3085</v>
      </c>
      <c r="J393" s="30" t="str">
        <f t="shared" si="18"/>
        <v>[409]=20,</v>
      </c>
      <c r="K393" s="3">
        <f t="shared" si="19"/>
        <v>409</v>
      </c>
      <c r="L393" s="3">
        <f t="shared" si="20"/>
        <v>20</v>
      </c>
      <c r="M393" s="8" t="str">
        <f>VLOOKUP(A393,'ESO wayshrine names'!$A$3:$B$5104,2,)</f>
        <v>Wraithhome</v>
      </c>
      <c r="N393" s="3" t="str">
        <f>VLOOKUP(F393,'ESO zone constants'!$A$5:$D$10001,4,FALSE)</f>
        <v>Rivenspire</v>
      </c>
    </row>
    <row r="394" spans="1:14" x14ac:dyDescent="0.25">
      <c r="A394" s="90">
        <v>410</v>
      </c>
      <c r="B394">
        <v>36</v>
      </c>
      <c r="C394">
        <v>1555</v>
      </c>
      <c r="D394" t="s">
        <v>3063</v>
      </c>
      <c r="E394">
        <v>682</v>
      </c>
      <c r="F394">
        <v>1086</v>
      </c>
      <c r="G394" t="s">
        <v>3063</v>
      </c>
      <c r="H394">
        <v>7</v>
      </c>
      <c r="I394" t="s">
        <v>3086</v>
      </c>
      <c r="J394" s="30" t="str">
        <f t="shared" si="18"/>
        <v>[410]=1086,</v>
      </c>
      <c r="K394" s="3">
        <f t="shared" si="19"/>
        <v>410</v>
      </c>
      <c r="L394" s="3">
        <f t="shared" si="20"/>
        <v>1086</v>
      </c>
      <c r="M394" s="8" t="str">
        <f>VLOOKUP(A394,'ESO wayshrine names'!$A$3:$B$5104,2,)</f>
        <v>Moon-Sugar Meadow</v>
      </c>
      <c r="N394" s="3" t="str">
        <f>VLOOKUP(F394,'ESO zone constants'!$A$5:$D$10001,4,FALSE)</f>
        <v>Northern Elsweyr</v>
      </c>
    </row>
    <row r="395" spans="1:14" x14ac:dyDescent="0.25">
      <c r="A395" s="90">
        <v>411</v>
      </c>
      <c r="B395">
        <v>40</v>
      </c>
      <c r="C395">
        <v>1782</v>
      </c>
      <c r="D395" t="s">
        <v>3087</v>
      </c>
      <c r="E395">
        <v>4294967296</v>
      </c>
      <c r="F395">
        <v>0</v>
      </c>
      <c r="H395">
        <v>1</v>
      </c>
      <c r="I395" t="s">
        <v>3088</v>
      </c>
      <c r="J395" s="30" t="str">
        <f t="shared" si="18"/>
        <v>[411]=0,</v>
      </c>
      <c r="K395" s="3">
        <f t="shared" si="19"/>
        <v>411</v>
      </c>
      <c r="L395" s="3">
        <f t="shared" si="20"/>
        <v>0</v>
      </c>
      <c r="M395" s="8" t="str">
        <f>VLOOKUP(A395,'ESO wayshrine names'!$A$3:$B$5104,2,)</f>
        <v>Dusktown Wayshrine</v>
      </c>
      <c r="N395" s="3" t="str">
        <f>VLOOKUP(F395,'ESO zone constants'!$A$5:$D$10001,4,FALSE)</f>
        <v>Tamriel Map</v>
      </c>
    </row>
    <row r="396" spans="1:14" x14ac:dyDescent="0.25">
      <c r="A396" s="90">
        <v>412</v>
      </c>
      <c r="B396">
        <v>40</v>
      </c>
      <c r="C396">
        <v>1782</v>
      </c>
      <c r="D396" t="s">
        <v>3087</v>
      </c>
      <c r="E396">
        <v>4294967296</v>
      </c>
      <c r="F396">
        <v>0</v>
      </c>
      <c r="H396">
        <v>1</v>
      </c>
      <c r="I396" t="s">
        <v>3089</v>
      </c>
      <c r="J396" s="30" t="str">
        <f t="shared" si="18"/>
        <v>[412]=0,</v>
      </c>
      <c r="K396" s="3">
        <f t="shared" si="19"/>
        <v>412</v>
      </c>
      <c r="L396" s="3">
        <f t="shared" si="20"/>
        <v>0</v>
      </c>
      <c r="M396" s="8" t="str">
        <f>VLOOKUP(A396,'ESO wayshrine names'!$A$3:$B$5104,2,)</f>
        <v>Greymoor Keep Wayshrine</v>
      </c>
      <c r="N396" s="3" t="str">
        <f>VLOOKUP(F396,'ESO zone constants'!$A$5:$D$10001,4,FALSE)</f>
        <v>Tamriel Map</v>
      </c>
    </row>
    <row r="397" spans="1:14" x14ac:dyDescent="0.25">
      <c r="A397" s="90">
        <v>413</v>
      </c>
      <c r="B397">
        <v>40</v>
      </c>
      <c r="C397">
        <v>1782</v>
      </c>
      <c r="D397" t="s">
        <v>3087</v>
      </c>
      <c r="E397">
        <v>4294967296</v>
      </c>
      <c r="F397">
        <v>0</v>
      </c>
      <c r="H397">
        <v>1</v>
      </c>
      <c r="I397" t="s">
        <v>3090</v>
      </c>
      <c r="J397" s="30" t="str">
        <f t="shared" si="18"/>
        <v>[413]=0,</v>
      </c>
      <c r="K397" s="3">
        <f t="shared" si="19"/>
        <v>413</v>
      </c>
      <c r="L397" s="3">
        <f t="shared" si="20"/>
        <v>0</v>
      </c>
      <c r="M397" s="8" t="str">
        <f>VLOOKUP(A397,'ESO wayshrine names'!$A$3:$B$5104,2,)</f>
        <v>Lightless Hollow Wayshrine</v>
      </c>
      <c r="N397" s="3" t="str">
        <f>VLOOKUP(F397,'ESO zone constants'!$A$5:$D$10001,4,FALSE)</f>
        <v>Tamriel Map</v>
      </c>
    </row>
    <row r="398" spans="1:14" x14ac:dyDescent="0.25">
      <c r="A398" s="90">
        <v>414</v>
      </c>
      <c r="B398">
        <v>40</v>
      </c>
      <c r="C398">
        <v>1782</v>
      </c>
      <c r="D398" t="s">
        <v>3087</v>
      </c>
      <c r="E398">
        <v>4294967296</v>
      </c>
      <c r="F398">
        <v>0</v>
      </c>
      <c r="H398">
        <v>1</v>
      </c>
      <c r="I398" t="s">
        <v>3091</v>
      </c>
      <c r="J398" s="30" t="str">
        <f t="shared" si="18"/>
        <v>[414]=0,</v>
      </c>
      <c r="K398" s="3">
        <f t="shared" si="19"/>
        <v>414</v>
      </c>
      <c r="L398" s="3">
        <f t="shared" si="20"/>
        <v>0</v>
      </c>
      <c r="M398" s="8" t="str">
        <f>VLOOKUP(A398,'ESO wayshrine names'!$A$3:$B$5104,2,)</f>
        <v>Dark Moon Grotto Wayshrine</v>
      </c>
      <c r="N398" s="3" t="str">
        <f>VLOOKUP(F398,'ESO zone constants'!$A$5:$D$10001,4,FALSE)</f>
        <v>Tamriel Map</v>
      </c>
    </row>
    <row r="399" spans="1:14" x14ac:dyDescent="0.25">
      <c r="A399" s="90">
        <v>415</v>
      </c>
      <c r="B399">
        <v>38</v>
      </c>
      <c r="C399">
        <v>1719</v>
      </c>
      <c r="D399" t="s">
        <v>3092</v>
      </c>
      <c r="E399">
        <v>744</v>
      </c>
      <c r="F399">
        <v>1160</v>
      </c>
      <c r="G399" t="s">
        <v>3092</v>
      </c>
      <c r="H399">
        <v>1</v>
      </c>
      <c r="I399" t="s">
        <v>3093</v>
      </c>
      <c r="J399" s="30" t="str">
        <f t="shared" si="18"/>
        <v>[415]=1160,</v>
      </c>
      <c r="K399" s="3">
        <f t="shared" si="19"/>
        <v>415</v>
      </c>
      <c r="L399" s="3">
        <f t="shared" si="20"/>
        <v>1160</v>
      </c>
      <c r="M399" s="8" t="str">
        <f>VLOOKUP(A399,'ESO wayshrine names'!$A$3:$B$5104,2,)</f>
        <v>Kilkreath Temple Wayshrine</v>
      </c>
      <c r="N399" s="3" t="str">
        <f>VLOOKUP(F399,'ESO zone constants'!$A$5:$D$10001,4,FALSE)</f>
        <v>Western Skyrim</v>
      </c>
    </row>
    <row r="400" spans="1:14" x14ac:dyDescent="0.25">
      <c r="A400" s="90">
        <v>416</v>
      </c>
      <c r="B400">
        <v>38</v>
      </c>
      <c r="C400">
        <v>1719</v>
      </c>
      <c r="D400" t="s">
        <v>3092</v>
      </c>
      <c r="E400">
        <v>744</v>
      </c>
      <c r="F400">
        <v>1160</v>
      </c>
      <c r="G400" t="s">
        <v>3092</v>
      </c>
      <c r="H400">
        <v>1</v>
      </c>
      <c r="I400" t="s">
        <v>3094</v>
      </c>
      <c r="J400" s="30" t="str">
        <f t="shared" si="18"/>
        <v>[416]=1160,</v>
      </c>
      <c r="K400" s="3">
        <f t="shared" si="19"/>
        <v>416</v>
      </c>
      <c r="L400" s="3">
        <f t="shared" si="20"/>
        <v>1160</v>
      </c>
      <c r="M400" s="8" t="str">
        <f>VLOOKUP(A400,'ESO wayshrine names'!$A$3:$B$5104,2,)</f>
        <v>Morthal Wayshrine</v>
      </c>
      <c r="N400" s="3" t="str">
        <f>VLOOKUP(F400,'ESO zone constants'!$A$5:$D$10001,4,FALSE)</f>
        <v>Western Skyrim</v>
      </c>
    </row>
    <row r="401" spans="1:14" x14ac:dyDescent="0.25">
      <c r="A401" s="90">
        <v>417</v>
      </c>
      <c r="B401">
        <v>38</v>
      </c>
      <c r="C401">
        <v>1719</v>
      </c>
      <c r="D401" t="s">
        <v>3092</v>
      </c>
      <c r="E401">
        <v>744</v>
      </c>
      <c r="F401">
        <v>1160</v>
      </c>
      <c r="G401" t="s">
        <v>3092</v>
      </c>
      <c r="H401">
        <v>1</v>
      </c>
      <c r="I401" t="s">
        <v>3095</v>
      </c>
      <c r="J401" s="30" t="str">
        <f t="shared" si="18"/>
        <v>[417]=1160,</v>
      </c>
      <c r="K401" s="3">
        <f t="shared" si="19"/>
        <v>417</v>
      </c>
      <c r="L401" s="3">
        <f t="shared" si="20"/>
        <v>1160</v>
      </c>
      <c r="M401" s="8" t="str">
        <f>VLOOKUP(A401,'ESO wayshrine names'!$A$3:$B$5104,2,)</f>
        <v>Mor Khazgur Wayshrine</v>
      </c>
      <c r="N401" s="3" t="str">
        <f>VLOOKUP(F401,'ESO zone constants'!$A$5:$D$10001,4,FALSE)</f>
        <v>Western Skyrim</v>
      </c>
    </row>
    <row r="402" spans="1:14" x14ac:dyDescent="0.25">
      <c r="A402" s="90">
        <v>418</v>
      </c>
      <c r="B402">
        <v>38</v>
      </c>
      <c r="C402">
        <v>1719</v>
      </c>
      <c r="D402" t="s">
        <v>3092</v>
      </c>
      <c r="E402">
        <v>744</v>
      </c>
      <c r="F402">
        <v>1160</v>
      </c>
      <c r="G402" t="s">
        <v>3092</v>
      </c>
      <c r="H402">
        <v>1</v>
      </c>
      <c r="I402" t="s">
        <v>3096</v>
      </c>
      <c r="J402" s="30" t="str">
        <f t="shared" si="18"/>
        <v>[418]=1160,</v>
      </c>
      <c r="K402" s="3">
        <f t="shared" si="19"/>
        <v>418</v>
      </c>
      <c r="L402" s="3">
        <f t="shared" si="20"/>
        <v>1160</v>
      </c>
      <c r="M402" s="8" t="str">
        <f>VLOOKUP(A402,'ESO wayshrine names'!$A$3:$B$5104,2,)</f>
        <v>Dragon Bridge Wayshrine</v>
      </c>
      <c r="N402" s="3" t="str">
        <f>VLOOKUP(F402,'ESO zone constants'!$A$5:$D$10001,4,FALSE)</f>
        <v>Western Skyrim</v>
      </c>
    </row>
    <row r="403" spans="1:14" x14ac:dyDescent="0.25">
      <c r="A403" s="90">
        <v>419</v>
      </c>
      <c r="B403">
        <v>38</v>
      </c>
      <c r="C403">
        <v>1719</v>
      </c>
      <c r="D403" t="s">
        <v>3092</v>
      </c>
      <c r="E403">
        <v>744</v>
      </c>
      <c r="F403">
        <v>1160</v>
      </c>
      <c r="G403" t="s">
        <v>3092</v>
      </c>
      <c r="H403">
        <v>1</v>
      </c>
      <c r="I403" t="s">
        <v>3097</v>
      </c>
      <c r="J403" s="30" t="str">
        <f t="shared" si="18"/>
        <v>[419]=1160,</v>
      </c>
      <c r="K403" s="3">
        <f t="shared" si="19"/>
        <v>419</v>
      </c>
      <c r="L403" s="3">
        <f t="shared" si="20"/>
        <v>1160</v>
      </c>
      <c r="M403" s="8" t="str">
        <f>VLOOKUP(A403,'ESO wayshrine names'!$A$3:$B$5104,2,)</f>
        <v>Southern Watch Wayshrine</v>
      </c>
      <c r="N403" s="3" t="str">
        <f>VLOOKUP(F403,'ESO zone constants'!$A$5:$D$10001,4,FALSE)</f>
        <v>Western Skyrim</v>
      </c>
    </row>
    <row r="404" spans="1:14" x14ac:dyDescent="0.25">
      <c r="A404" s="90">
        <v>420</v>
      </c>
      <c r="B404">
        <v>38</v>
      </c>
      <c r="C404">
        <v>1719</v>
      </c>
      <c r="D404" t="s">
        <v>3092</v>
      </c>
      <c r="E404">
        <v>744</v>
      </c>
      <c r="F404">
        <v>1160</v>
      </c>
      <c r="G404" t="s">
        <v>3092</v>
      </c>
      <c r="H404">
        <v>1</v>
      </c>
      <c r="I404" t="s">
        <v>3098</v>
      </c>
      <c r="J404" s="30" t="str">
        <f t="shared" si="18"/>
        <v>[420]=1160,</v>
      </c>
      <c r="K404" s="3">
        <f t="shared" si="19"/>
        <v>420</v>
      </c>
      <c r="L404" s="3">
        <f t="shared" si="20"/>
        <v>1160</v>
      </c>
      <c r="M404" s="8" t="str">
        <f>VLOOKUP(A404,'ESO wayshrine names'!$A$3:$B$5104,2,)</f>
        <v>Frozen Coast Wayshrine</v>
      </c>
      <c r="N404" s="3" t="str">
        <f>VLOOKUP(F404,'ESO zone constants'!$A$5:$D$10001,4,FALSE)</f>
        <v>Western Skyrim</v>
      </c>
    </row>
    <row r="405" spans="1:14" x14ac:dyDescent="0.25">
      <c r="A405" s="90">
        <v>421</v>
      </c>
      <c r="B405">
        <v>38</v>
      </c>
      <c r="C405">
        <v>1719</v>
      </c>
      <c r="D405" t="s">
        <v>3092</v>
      </c>
      <c r="E405">
        <v>744</v>
      </c>
      <c r="F405">
        <v>1160</v>
      </c>
      <c r="G405" t="s">
        <v>3092</v>
      </c>
      <c r="H405">
        <v>1</v>
      </c>
      <c r="I405" t="s">
        <v>3099</v>
      </c>
      <c r="J405" s="30" t="str">
        <f t="shared" si="18"/>
        <v>[421]=1160,</v>
      </c>
      <c r="K405" s="3">
        <f t="shared" si="19"/>
        <v>421</v>
      </c>
      <c r="L405" s="3">
        <f t="shared" si="20"/>
        <v>1160</v>
      </c>
      <c r="M405" s="8" t="str">
        <f>VLOOKUP(A405,'ESO wayshrine names'!$A$3:$B$5104,2,)</f>
        <v>Solitude Wayshrine</v>
      </c>
      <c r="N405" s="3" t="str">
        <f>VLOOKUP(F405,'ESO zone constants'!$A$5:$D$10001,4,FALSE)</f>
        <v>Western Skyrim</v>
      </c>
    </row>
    <row r="406" spans="1:14" x14ac:dyDescent="0.25">
      <c r="A406" s="90">
        <v>422</v>
      </c>
      <c r="B406">
        <v>37</v>
      </c>
      <c r="C406">
        <v>1654</v>
      </c>
      <c r="D406" t="s">
        <v>3079</v>
      </c>
      <c r="E406">
        <v>721</v>
      </c>
      <c r="F406">
        <v>1133</v>
      </c>
      <c r="G406" t="s">
        <v>3079</v>
      </c>
      <c r="H406">
        <v>7</v>
      </c>
      <c r="I406" t="s">
        <v>3100</v>
      </c>
      <c r="J406" s="30" t="str">
        <f t="shared" si="18"/>
        <v>[422]=1133,</v>
      </c>
      <c r="K406" s="3">
        <f t="shared" si="19"/>
        <v>422</v>
      </c>
      <c r="L406" s="3">
        <f t="shared" si="20"/>
        <v>1133</v>
      </c>
      <c r="M406" s="8" t="str">
        <f>VLOOKUP(A406,'ESO wayshrine names'!$A$3:$B$5104,2,)</f>
        <v>Lucky Cat Landing</v>
      </c>
      <c r="N406" s="3" t="str">
        <f>VLOOKUP(F406,'ESO zone constants'!$A$5:$D$10001,4,FALSE)</f>
        <v>Southern Elsweyr</v>
      </c>
    </row>
    <row r="407" spans="1:14" x14ac:dyDescent="0.25">
      <c r="A407" s="90">
        <v>423</v>
      </c>
      <c r="B407">
        <v>37</v>
      </c>
      <c r="C407">
        <v>1654</v>
      </c>
      <c r="D407" t="s">
        <v>3079</v>
      </c>
      <c r="E407">
        <v>721</v>
      </c>
      <c r="F407">
        <v>1133</v>
      </c>
      <c r="G407" t="s">
        <v>3079</v>
      </c>
      <c r="H407">
        <v>7</v>
      </c>
      <c r="I407" t="s">
        <v>3101</v>
      </c>
      <c r="J407" s="30" t="str">
        <f t="shared" si="18"/>
        <v>[423]=1133,</v>
      </c>
      <c r="K407" s="3">
        <f t="shared" si="19"/>
        <v>423</v>
      </c>
      <c r="L407" s="3">
        <f t="shared" si="20"/>
        <v>1133</v>
      </c>
      <c r="M407" s="8" t="str">
        <f>VLOOKUP(A407,'ESO wayshrine names'!$A$3:$B$5104,2,)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2127</v>
      </c>
      <c r="J408" s="30" t="str">
        <f t="shared" si="18"/>
        <v>[424]=684,</v>
      </c>
      <c r="K408" s="3">
        <f t="shared" si="19"/>
        <v>424</v>
      </c>
      <c r="L408" s="3">
        <f t="shared" si="20"/>
        <v>684</v>
      </c>
      <c r="M408" s="8" t="str">
        <f>VLOOKUP(A408,'ESO wayshrine names'!$A$3:$B$5104,2,)</f>
        <v>Dungeon: Icereach</v>
      </c>
      <c r="N408" s="3" t="str">
        <f>VLOOKUP(F408,'ESO zone constants'!$A$5:$D$10001,4,FALSE)</f>
        <v>Wrothgar</v>
      </c>
    </row>
    <row r="409" spans="1:14" x14ac:dyDescent="0.25">
      <c r="A409" s="90">
        <v>425</v>
      </c>
      <c r="B409">
        <v>6</v>
      </c>
      <c r="C409">
        <v>20</v>
      </c>
      <c r="D409" t="s">
        <v>109</v>
      </c>
      <c r="E409">
        <v>14</v>
      </c>
      <c r="F409">
        <v>92</v>
      </c>
      <c r="G409" t="s">
        <v>109</v>
      </c>
      <c r="H409">
        <v>6</v>
      </c>
      <c r="I409" t="s">
        <v>3102</v>
      </c>
      <c r="J409" s="30" t="str">
        <f t="shared" si="18"/>
        <v>[425]=92,</v>
      </c>
      <c r="K409" s="3">
        <f t="shared" si="19"/>
        <v>425</v>
      </c>
      <c r="L409" s="3">
        <f t="shared" si="20"/>
        <v>92</v>
      </c>
      <c r="M409" s="8" t="str">
        <f>VLOOKUP(A409,'ESO wayshrine names'!$A$3:$B$5104,2,)</f>
        <v>Dungeon: Unhallowed Grave</v>
      </c>
      <c r="N409" s="3" t="str">
        <f>VLOOKUP(F409,'ESO zone constants'!$A$5:$D$10001,4,FALSE)</f>
        <v>Bangkorai</v>
      </c>
    </row>
    <row r="410" spans="1:14" x14ac:dyDescent="0.25">
      <c r="A410" s="90">
        <v>426</v>
      </c>
      <c r="B410">
        <v>38</v>
      </c>
      <c r="C410">
        <v>1719</v>
      </c>
      <c r="D410" t="s">
        <v>3092</v>
      </c>
      <c r="E410">
        <v>744</v>
      </c>
      <c r="F410">
        <v>1160</v>
      </c>
      <c r="G410" t="s">
        <v>3092</v>
      </c>
      <c r="H410">
        <v>1</v>
      </c>
      <c r="I410" t="s">
        <v>3103</v>
      </c>
      <c r="J410" s="30" t="str">
        <f t="shared" si="18"/>
        <v>[426]=1160,</v>
      </c>
      <c r="K410" s="3">
        <f t="shared" si="19"/>
        <v>426</v>
      </c>
      <c r="L410" s="3">
        <f t="shared" si="20"/>
        <v>1160</v>
      </c>
      <c r="M410" s="8" t="str">
        <f>VLOOKUP(A410,'ESO wayshrine names'!$A$3:$B$5104,2,)</f>
        <v>Solitude Docks Wayshrine</v>
      </c>
      <c r="N410" s="3" t="str">
        <f>VLOOKUP(F410,'ESO zone constants'!$A$5:$D$10001,4,FALSE)</f>
        <v>Western Skyrim</v>
      </c>
    </row>
    <row r="411" spans="1:14" x14ac:dyDescent="0.25">
      <c r="A411" s="90">
        <v>427</v>
      </c>
      <c r="B411">
        <v>6</v>
      </c>
      <c r="C411">
        <v>20</v>
      </c>
      <c r="D411" t="s">
        <v>109</v>
      </c>
      <c r="E411">
        <v>14</v>
      </c>
      <c r="F411">
        <v>92</v>
      </c>
      <c r="G411" t="s">
        <v>109</v>
      </c>
      <c r="H411">
        <v>7</v>
      </c>
      <c r="I411" t="s">
        <v>3104</v>
      </c>
      <c r="J411" s="30" t="str">
        <f t="shared" si="18"/>
        <v>[427]=92,</v>
      </c>
      <c r="K411" s="3">
        <f t="shared" si="19"/>
        <v>427</v>
      </c>
      <c r="L411" s="3">
        <f t="shared" si="20"/>
        <v>92</v>
      </c>
      <c r="M411" s="8" t="str">
        <f>VLOOKUP(A411,'ESO wayshrine names'!$A$3:$B$5104,2,)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1648</v>
      </c>
      <c r="J412" s="30" t="str">
        <f t="shared" si="18"/>
        <v>[428]=684,</v>
      </c>
      <c r="K412" s="3">
        <f t="shared" si="19"/>
        <v>428</v>
      </c>
      <c r="L412" s="3">
        <f t="shared" si="20"/>
        <v>684</v>
      </c>
      <c r="M412" s="8" t="str">
        <f>VLOOKUP(A412,'ESO wayshrine names'!$A$3:$B$5104,2,)</f>
        <v>Forgemaster Falls</v>
      </c>
      <c r="N412" s="3" t="str">
        <f>VLOOKUP(F412,'ESO zone constants'!$A$5:$D$10001,4,FALSE)</f>
        <v>Wrothgar</v>
      </c>
    </row>
    <row r="413" spans="1:14" x14ac:dyDescent="0.25">
      <c r="A413" s="90">
        <v>429</v>
      </c>
      <c r="B413">
        <v>38</v>
      </c>
      <c r="C413">
        <v>1719</v>
      </c>
      <c r="D413" t="s">
        <v>3092</v>
      </c>
      <c r="E413">
        <v>744</v>
      </c>
      <c r="F413">
        <v>1160</v>
      </c>
      <c r="G413" t="s">
        <v>3092</v>
      </c>
      <c r="H413">
        <v>1</v>
      </c>
      <c r="I413" t="s">
        <v>3105</v>
      </c>
      <c r="J413" s="30" t="str">
        <f t="shared" si="18"/>
        <v>[429]=1160,</v>
      </c>
      <c r="K413" s="3">
        <f t="shared" si="19"/>
        <v>429</v>
      </c>
      <c r="L413" s="3">
        <f t="shared" si="20"/>
        <v>1160</v>
      </c>
      <c r="M413" s="8" t="str">
        <f>VLOOKUP(A413,'ESO wayshrine names'!$A$3:$B$5104,2,)</f>
        <v>Deepwood Vale Wayshrine</v>
      </c>
      <c r="N413" s="3" t="str">
        <f>VLOOKUP(F413,'ESO zone constants'!$A$5:$D$10001,4,FALSE)</f>
        <v>Western Skyrim</v>
      </c>
    </row>
    <row r="414" spans="1:14" x14ac:dyDescent="0.25">
      <c r="A414" s="90">
        <v>430</v>
      </c>
      <c r="B414">
        <v>40</v>
      </c>
      <c r="C414">
        <v>1782</v>
      </c>
      <c r="D414" t="s">
        <v>3087</v>
      </c>
      <c r="E414">
        <v>4294967296</v>
      </c>
      <c r="F414">
        <v>0</v>
      </c>
      <c r="H414">
        <v>1</v>
      </c>
      <c r="I414" t="s">
        <v>3106</v>
      </c>
      <c r="J414" s="30" t="str">
        <f t="shared" si="18"/>
        <v>[430]=0,</v>
      </c>
      <c r="K414" s="3">
        <f t="shared" si="19"/>
        <v>430</v>
      </c>
      <c r="L414" s="3">
        <f t="shared" si="20"/>
        <v>0</v>
      </c>
      <c r="M414" s="8" t="str">
        <f>VLOOKUP(A414,'ESO wayshrine names'!$A$3:$B$5104,2,)</f>
        <v>Dwarven Run Wayshrine</v>
      </c>
      <c r="N414" s="3" t="str">
        <f>VLOOKUP(F414,'ESO zone constants'!$A$5:$D$10001,4,FALSE)</f>
        <v>Tamriel Map</v>
      </c>
    </row>
    <row r="415" spans="1:14" x14ac:dyDescent="0.25">
      <c r="A415" s="90">
        <v>431</v>
      </c>
      <c r="B415">
        <v>40</v>
      </c>
      <c r="C415">
        <v>1782</v>
      </c>
      <c r="D415" t="s">
        <v>3087</v>
      </c>
      <c r="E415">
        <v>4294967296</v>
      </c>
      <c r="F415">
        <v>0</v>
      </c>
      <c r="H415">
        <v>1</v>
      </c>
      <c r="I415" t="s">
        <v>3107</v>
      </c>
      <c r="J415" s="30" t="str">
        <f t="shared" si="18"/>
        <v>[431]=0,</v>
      </c>
      <c r="K415" s="3">
        <f t="shared" si="19"/>
        <v>431</v>
      </c>
      <c r="L415" s="3">
        <f t="shared" si="20"/>
        <v>0</v>
      </c>
      <c r="M415" s="8" t="str">
        <f>VLOOKUP(A415,'ESO wayshrine names'!$A$3:$B$5104,2,)</f>
        <v>Grotto Falls Wayshrine</v>
      </c>
      <c r="N415" s="3" t="str">
        <f>VLOOKUP(F415,'ESO zone constants'!$A$5:$D$10001,4,FALSE)</f>
        <v>Tamriel Map</v>
      </c>
    </row>
    <row r="416" spans="1:14" x14ac:dyDescent="0.25">
      <c r="A416" s="90">
        <v>432</v>
      </c>
      <c r="B416">
        <v>40</v>
      </c>
      <c r="C416">
        <v>1782</v>
      </c>
      <c r="D416" t="s">
        <v>3087</v>
      </c>
      <c r="E416">
        <v>4294967296</v>
      </c>
      <c r="F416">
        <v>0</v>
      </c>
      <c r="H416">
        <v>1</v>
      </c>
      <c r="I416" t="s">
        <v>3108</v>
      </c>
      <c r="J416" s="30" t="str">
        <f t="shared" si="18"/>
        <v>[432]=0,</v>
      </c>
      <c r="K416" s="3">
        <f t="shared" si="19"/>
        <v>432</v>
      </c>
      <c r="L416" s="3">
        <f t="shared" si="20"/>
        <v>0</v>
      </c>
      <c r="M416" s="8" t="str">
        <f>VLOOKUP(A416,'ESO wayshrine names'!$A$3:$B$5104,2,)</f>
        <v>Deep Overlook Wayshrine</v>
      </c>
      <c r="N416" s="3" t="str">
        <f>VLOOKUP(F416,'ESO zone constants'!$A$5:$D$10001,4,FALSE)</f>
        <v>Tamriel Map</v>
      </c>
    </row>
    <row r="417" spans="1:14" x14ac:dyDescent="0.25">
      <c r="A417" s="90">
        <v>433</v>
      </c>
      <c r="B417">
        <v>40</v>
      </c>
      <c r="C417">
        <v>1782</v>
      </c>
      <c r="D417" t="s">
        <v>3087</v>
      </c>
      <c r="E417">
        <v>4294967296</v>
      </c>
      <c r="F417">
        <v>0</v>
      </c>
      <c r="H417">
        <v>1</v>
      </c>
      <c r="I417" t="s">
        <v>3109</v>
      </c>
      <c r="J417" s="30" t="str">
        <f t="shared" si="18"/>
        <v>[433]=0,</v>
      </c>
      <c r="K417" s="3">
        <f t="shared" si="19"/>
        <v>433</v>
      </c>
      <c r="L417" s="3">
        <f t="shared" si="20"/>
        <v>0</v>
      </c>
      <c r="M417" s="8" t="str">
        <f>VLOOKUP(A417,'ESO wayshrine names'!$A$3:$B$5104,2,)</f>
        <v>Western Greymoor Wayshrine</v>
      </c>
      <c r="N417" s="3" t="str">
        <f>VLOOKUP(F417,'ESO zone constants'!$A$5:$D$10001,4,FALSE)</f>
        <v>Tamriel Map</v>
      </c>
    </row>
    <row r="418" spans="1:14" x14ac:dyDescent="0.25">
      <c r="A418" s="90">
        <v>434</v>
      </c>
      <c r="B418">
        <v>38</v>
      </c>
      <c r="C418">
        <v>1719</v>
      </c>
      <c r="D418" t="s">
        <v>3092</v>
      </c>
      <c r="E418">
        <v>744</v>
      </c>
      <c r="F418">
        <v>1160</v>
      </c>
      <c r="G418" t="s">
        <v>3092</v>
      </c>
      <c r="H418">
        <v>3</v>
      </c>
      <c r="I418" t="s">
        <v>3110</v>
      </c>
      <c r="J418" s="30" t="str">
        <f t="shared" si="18"/>
        <v>[434]=1160,</v>
      </c>
      <c r="K418" s="3">
        <f t="shared" si="19"/>
        <v>434</v>
      </c>
      <c r="L418" s="3">
        <f t="shared" si="20"/>
        <v>1160</v>
      </c>
      <c r="M418" s="8" t="str">
        <f>VLOOKUP(A418,'ESO wayshrine names'!$A$3:$B$5104,2,)</f>
        <v>Trial: Kyne's Aegis</v>
      </c>
      <c r="N418" s="3" t="str">
        <f>VLOOKUP(F418,'ESO zone constants'!$A$5:$D$10001,4,FALSE)</f>
        <v>Western Skyrim</v>
      </c>
    </row>
    <row r="419" spans="1:14" x14ac:dyDescent="0.25">
      <c r="A419" s="90">
        <v>435</v>
      </c>
      <c r="B419">
        <v>40</v>
      </c>
      <c r="C419">
        <v>1782</v>
      </c>
      <c r="D419" t="s">
        <v>3087</v>
      </c>
      <c r="E419">
        <v>4294967296</v>
      </c>
      <c r="F419">
        <v>0</v>
      </c>
      <c r="H419">
        <v>6</v>
      </c>
      <c r="I419" t="s">
        <v>3111</v>
      </c>
      <c r="J419" s="30" t="str">
        <f t="shared" si="18"/>
        <v>[435]=0,</v>
      </c>
      <c r="K419" s="3">
        <f t="shared" si="19"/>
        <v>435</v>
      </c>
      <c r="L419" s="3">
        <f t="shared" si="20"/>
        <v>0</v>
      </c>
      <c r="M419" s="8" t="str">
        <f>VLOOKUP(A419,'ESO wayshrine names'!$A$3:$B$5104,2,)</f>
        <v>Dungeon: Stone Garden</v>
      </c>
      <c r="N419" s="3" t="str">
        <f>VLOOKUP(F419,'ESO zone constants'!$A$5:$D$10001,4,FALSE)</f>
        <v>Tamriel Map</v>
      </c>
    </row>
    <row r="420" spans="1:14" x14ac:dyDescent="0.25">
      <c r="A420" s="90">
        <v>436</v>
      </c>
      <c r="B420">
        <v>38</v>
      </c>
      <c r="C420">
        <v>1719</v>
      </c>
      <c r="D420" t="s">
        <v>3092</v>
      </c>
      <c r="E420">
        <v>744</v>
      </c>
      <c r="F420">
        <v>1160</v>
      </c>
      <c r="G420" t="s">
        <v>3092</v>
      </c>
      <c r="H420">
        <v>6</v>
      </c>
      <c r="I420" t="s">
        <v>3112</v>
      </c>
      <c r="J420" s="30" t="str">
        <f t="shared" si="18"/>
        <v>[436]=1160,</v>
      </c>
      <c r="K420" s="3">
        <f t="shared" si="19"/>
        <v>436</v>
      </c>
      <c r="L420" s="3">
        <f t="shared" si="20"/>
        <v>1160</v>
      </c>
      <c r="M420" s="8" t="str">
        <f>VLOOKUP(A420,'ESO wayshrine names'!$A$3:$B$5104,2,)</f>
        <v>Dungeon: Castle Thorn</v>
      </c>
      <c r="N420" s="3" t="str">
        <f>VLOOKUP(F420,'ESO zone constants'!$A$5:$D$10001,4,FALSE)</f>
        <v>Western Skyrim</v>
      </c>
    </row>
    <row r="421" spans="1:14" x14ac:dyDescent="0.25">
      <c r="A421" s="90">
        <v>437</v>
      </c>
      <c r="B421">
        <v>29</v>
      </c>
      <c r="C421">
        <v>1006</v>
      </c>
      <c r="D421" t="s">
        <v>2304</v>
      </c>
      <c r="E421">
        <v>449</v>
      </c>
      <c r="F421">
        <v>823</v>
      </c>
      <c r="G421" t="s">
        <v>2952</v>
      </c>
      <c r="H421">
        <v>6</v>
      </c>
      <c r="I421" t="s">
        <v>3113</v>
      </c>
      <c r="J421" s="30" t="str">
        <f t="shared" si="18"/>
        <v>[437]=823,</v>
      </c>
      <c r="K421" s="3">
        <f t="shared" si="19"/>
        <v>437</v>
      </c>
      <c r="L421" s="3">
        <f t="shared" si="20"/>
        <v>823</v>
      </c>
      <c r="M421" s="8" t="str">
        <f>VLOOKUP(A421,'ESO wayshrine names'!$A$3:$B$5104,2,)</f>
        <v>Dungeon: Black Drake Villa</v>
      </c>
      <c r="N421" s="3" t="str">
        <f>VLOOKUP(F421,'ESO zone constants'!$A$5:$D$10001,4,FALSE)</f>
        <v>Gold Coast</v>
      </c>
    </row>
    <row r="422" spans="1:14" x14ac:dyDescent="0.25">
      <c r="A422" s="90">
        <v>438</v>
      </c>
      <c r="B422">
        <v>38</v>
      </c>
      <c r="C422">
        <v>1719</v>
      </c>
      <c r="D422" t="s">
        <v>3092</v>
      </c>
      <c r="E422">
        <v>744</v>
      </c>
      <c r="F422">
        <v>1160</v>
      </c>
      <c r="G422" t="s">
        <v>3092</v>
      </c>
      <c r="H422">
        <v>7</v>
      </c>
      <c r="I422" t="s">
        <v>3114</v>
      </c>
      <c r="J422" s="30" t="str">
        <f t="shared" si="18"/>
        <v>[438]=1160,</v>
      </c>
      <c r="K422" s="3">
        <f t="shared" si="19"/>
        <v>438</v>
      </c>
      <c r="L422" s="3">
        <f t="shared" si="20"/>
        <v>1160</v>
      </c>
      <c r="M422" s="8" t="str">
        <f>VLOOKUP(A422,'ESO wayshrine names'!$A$3:$B$5104,2,)</f>
        <v>Snowmelt Suite</v>
      </c>
      <c r="N422" s="3" t="str">
        <f>VLOOKUP(F422,'ESO zone constants'!$A$5:$D$10001,4,FALSE)</f>
        <v>Western Skyrim</v>
      </c>
    </row>
    <row r="423" spans="1:14" s="53" customFormat="1" x14ac:dyDescent="0.25">
      <c r="A423" s="90">
        <v>439</v>
      </c>
      <c r="B423">
        <v>38</v>
      </c>
      <c r="C423">
        <v>1719</v>
      </c>
      <c r="D423" t="s">
        <v>3092</v>
      </c>
      <c r="E423">
        <v>744</v>
      </c>
      <c r="F423">
        <v>1160</v>
      </c>
      <c r="G423" t="s">
        <v>3092</v>
      </c>
      <c r="H423">
        <v>7</v>
      </c>
      <c r="I423" t="s">
        <v>3115</v>
      </c>
      <c r="J423" s="30" t="str">
        <f t="shared" si="18"/>
        <v>[439]=1160,</v>
      </c>
      <c r="K423" s="3">
        <f t="shared" si="19"/>
        <v>439</v>
      </c>
      <c r="L423" s="3">
        <f t="shared" si="20"/>
        <v>1160</v>
      </c>
      <c r="M423" s="8" t="str">
        <f>VLOOKUP(A423,'ESO wayshrine names'!$A$3:$B$5104,2,)</f>
        <v>Proudspire Manor</v>
      </c>
      <c r="N423" s="3" t="str">
        <f>VLOOKUP(F423,'ESO zone constants'!$A$5:$D$10001,4,FALSE)</f>
        <v>Western Skyrim</v>
      </c>
    </row>
    <row r="424" spans="1:14" s="53" customFormat="1" x14ac:dyDescent="0.25">
      <c r="A424" s="90">
        <v>440</v>
      </c>
      <c r="B424">
        <v>40</v>
      </c>
      <c r="C424">
        <v>1782</v>
      </c>
      <c r="D424" t="s">
        <v>3087</v>
      </c>
      <c r="E424">
        <v>4294967296</v>
      </c>
      <c r="F424">
        <v>0</v>
      </c>
      <c r="G424"/>
      <c r="H424">
        <v>7</v>
      </c>
      <c r="I424" t="s">
        <v>3116</v>
      </c>
      <c r="J424" s="30" t="str">
        <f t="shared" si="18"/>
        <v>[440]=0,</v>
      </c>
      <c r="K424" s="3">
        <f t="shared" si="19"/>
        <v>440</v>
      </c>
      <c r="L424" s="3">
        <f t="shared" si="20"/>
        <v>0</v>
      </c>
      <c r="M424" s="8" t="str">
        <f>VLOOKUP(A424,'ESO wayshrine names'!$A$3:$B$5104,2,)</f>
        <v>Bastion Sanguinaris</v>
      </c>
      <c r="N424" s="3" t="str">
        <f>VLOOKUP(F424,'ESO zone constants'!$A$5:$D$10001,4,FALSE)</f>
        <v>Tamriel Map</v>
      </c>
    </row>
    <row r="425" spans="1:14" x14ac:dyDescent="0.25">
      <c r="A425">
        <v>441</v>
      </c>
      <c r="B425">
        <v>42</v>
      </c>
      <c r="C425">
        <v>1814</v>
      </c>
      <c r="D425" t="s">
        <v>2203</v>
      </c>
      <c r="E425">
        <v>784</v>
      </c>
      <c r="F425">
        <v>1207</v>
      </c>
      <c r="G425" t="s">
        <v>2203</v>
      </c>
      <c r="H425">
        <v>1</v>
      </c>
      <c r="I425" t="s">
        <v>2191</v>
      </c>
      <c r="J425" s="30" t="str">
        <f t="shared" si="18"/>
        <v>[441]=1207,</v>
      </c>
      <c r="K425" s="3">
        <f t="shared" si="19"/>
        <v>441</v>
      </c>
      <c r="L425" s="3">
        <f t="shared" si="20"/>
        <v>1207</v>
      </c>
      <c r="M425" s="8" t="str">
        <f>VLOOKUP(A425,'ESO wayshrine names'!$A$3:$B$5104,2,)</f>
        <v>Briar Rock Wayshrine</v>
      </c>
      <c r="N425" s="3" t="str">
        <f>VLOOKUP(F425,'ESO zone constants'!$A$5:$D$10001,4,FALSE)</f>
        <v>The Reach</v>
      </c>
    </row>
    <row r="426" spans="1:14" x14ac:dyDescent="0.25">
      <c r="A426">
        <v>442</v>
      </c>
      <c r="B426">
        <v>42</v>
      </c>
      <c r="C426">
        <v>1814</v>
      </c>
      <c r="D426" t="s">
        <v>2203</v>
      </c>
      <c r="E426">
        <v>784</v>
      </c>
      <c r="F426">
        <v>1207</v>
      </c>
      <c r="G426" t="s">
        <v>2203</v>
      </c>
      <c r="H426">
        <v>1</v>
      </c>
      <c r="I426" t="s">
        <v>2192</v>
      </c>
      <c r="J426" s="30" t="str">
        <f t="shared" si="18"/>
        <v>[442]=1207,</v>
      </c>
      <c r="K426" s="3">
        <f t="shared" si="19"/>
        <v>442</v>
      </c>
      <c r="L426" s="3">
        <f t="shared" si="20"/>
        <v>1207</v>
      </c>
      <c r="M426" s="8" t="str">
        <f>VLOOKUP(A426,'ESO wayshrine names'!$A$3:$B$5104,2,)</f>
        <v>Druadach Mountains Wayshrine</v>
      </c>
      <c r="N426" s="3" t="str">
        <f>VLOOKUP(F426,'ESO zone constants'!$A$5:$D$10001,4,FALSE)</f>
        <v>The Reach</v>
      </c>
    </row>
    <row r="427" spans="1:14" x14ac:dyDescent="0.25">
      <c r="A427">
        <v>443</v>
      </c>
      <c r="B427">
        <v>42</v>
      </c>
      <c r="C427">
        <v>1814</v>
      </c>
      <c r="D427" t="s">
        <v>2203</v>
      </c>
      <c r="E427">
        <v>784</v>
      </c>
      <c r="F427">
        <v>1207</v>
      </c>
      <c r="G427" t="s">
        <v>2203</v>
      </c>
      <c r="H427">
        <v>1</v>
      </c>
      <c r="I427" t="s">
        <v>2193</v>
      </c>
      <c r="J427" s="30" t="str">
        <f t="shared" si="18"/>
        <v>[443]=1207,</v>
      </c>
      <c r="K427" s="3">
        <f t="shared" si="19"/>
        <v>443</v>
      </c>
      <c r="L427" s="3">
        <f t="shared" si="20"/>
        <v>1207</v>
      </c>
      <c r="M427" s="8" t="str">
        <f>VLOOKUP(A427,'ESO wayshrine names'!$A$3:$B$5104,2,)</f>
        <v>North Markarth Wayshrine</v>
      </c>
      <c r="N427" s="3" t="str">
        <f>VLOOKUP(F427,'ESO zone constants'!$A$5:$D$10001,4,FALSE)</f>
        <v>The Reach</v>
      </c>
    </row>
    <row r="428" spans="1:14" x14ac:dyDescent="0.25">
      <c r="A428">
        <v>444</v>
      </c>
      <c r="B428">
        <v>42</v>
      </c>
      <c r="C428">
        <v>1814</v>
      </c>
      <c r="D428" t="s">
        <v>2203</v>
      </c>
      <c r="E428">
        <v>784</v>
      </c>
      <c r="F428">
        <v>1207</v>
      </c>
      <c r="G428" t="s">
        <v>2203</v>
      </c>
      <c r="H428">
        <v>1</v>
      </c>
      <c r="I428" t="s">
        <v>2194</v>
      </c>
      <c r="J428" s="30" t="str">
        <f t="shared" si="18"/>
        <v>[444]=1207,</v>
      </c>
      <c r="K428" s="3">
        <f t="shared" si="19"/>
        <v>444</v>
      </c>
      <c r="L428" s="3">
        <f t="shared" si="20"/>
        <v>1207</v>
      </c>
      <c r="M428" s="8" t="str">
        <f>VLOOKUP(A428,'ESO wayshrine names'!$A$3:$B$5104,2,)</f>
        <v>Lost Valley Wayshrine</v>
      </c>
      <c r="N428" s="3" t="str">
        <f>VLOOKUP(F428,'ESO zone constants'!$A$5:$D$10001,4,FALSE)</f>
        <v>The Reach</v>
      </c>
    </row>
    <row r="429" spans="1:14" x14ac:dyDescent="0.25">
      <c r="A429">
        <v>445</v>
      </c>
      <c r="B429">
        <v>42</v>
      </c>
      <c r="C429">
        <v>1814</v>
      </c>
      <c r="D429" t="s">
        <v>2203</v>
      </c>
      <c r="E429">
        <v>784</v>
      </c>
      <c r="F429">
        <v>1207</v>
      </c>
      <c r="G429" t="s">
        <v>2203</v>
      </c>
      <c r="H429">
        <v>1</v>
      </c>
      <c r="I429" t="s">
        <v>2195</v>
      </c>
      <c r="J429" s="30" t="str">
        <f t="shared" si="18"/>
        <v>[445]=1207,</v>
      </c>
      <c r="K429" s="3">
        <f t="shared" si="19"/>
        <v>445</v>
      </c>
      <c r="L429" s="3">
        <f t="shared" si="20"/>
        <v>1207</v>
      </c>
      <c r="M429" s="8" t="str">
        <f>VLOOKUP(A429,'ESO wayshrine names'!$A$3:$B$5104,2,)</f>
        <v>Karthwasten Wayshrine</v>
      </c>
      <c r="N429" s="3" t="str">
        <f>VLOOKUP(F429,'ESO zone constants'!$A$5:$D$10001,4,FALSE)</f>
        <v>The Reach</v>
      </c>
    </row>
    <row r="430" spans="1:14" x14ac:dyDescent="0.25">
      <c r="A430" s="90">
        <v>446</v>
      </c>
      <c r="B430">
        <v>40</v>
      </c>
      <c r="C430">
        <v>1782</v>
      </c>
      <c r="D430" t="s">
        <v>3087</v>
      </c>
      <c r="E430">
        <v>4294967296</v>
      </c>
      <c r="F430">
        <v>0</v>
      </c>
      <c r="H430">
        <v>1</v>
      </c>
      <c r="I430" t="s">
        <v>3117</v>
      </c>
      <c r="J430" s="30" t="str">
        <f t="shared" si="18"/>
        <v>[446]=0,</v>
      </c>
      <c r="K430" s="3">
        <f t="shared" si="19"/>
        <v>446</v>
      </c>
      <c r="L430" s="3">
        <f t="shared" si="20"/>
        <v>0</v>
      </c>
      <c r="M430" s="8" t="str">
        <f>VLOOKUP(A430,'ESO wayshrine names'!$A$3:$B$5104,2,)</f>
        <v>Arkthzand Wayshrine</v>
      </c>
      <c r="N430" s="3" t="str">
        <f>VLOOKUP(F430,'ESO zone constants'!$A$5:$D$10001,4,FALSE)</f>
        <v>Tamriel Map</v>
      </c>
    </row>
    <row r="431" spans="1:14" x14ac:dyDescent="0.25">
      <c r="A431">
        <v>447</v>
      </c>
      <c r="B431">
        <v>42</v>
      </c>
      <c r="C431">
        <v>1814</v>
      </c>
      <c r="D431" t="s">
        <v>2203</v>
      </c>
      <c r="E431">
        <v>784</v>
      </c>
      <c r="F431">
        <v>1207</v>
      </c>
      <c r="G431" t="s">
        <v>2203</v>
      </c>
      <c r="H431">
        <v>1</v>
      </c>
      <c r="I431" t="s">
        <v>2197</v>
      </c>
      <c r="J431" s="30" t="str">
        <f t="shared" si="18"/>
        <v>[447]=1207,</v>
      </c>
      <c r="K431" s="3">
        <f t="shared" si="19"/>
        <v>447</v>
      </c>
      <c r="L431" s="3">
        <f t="shared" si="20"/>
        <v>1207</v>
      </c>
      <c r="M431" s="8" t="str">
        <f>VLOOKUP(A431,'ESO wayshrine names'!$A$3:$B$5104,2,)</f>
        <v>Rebel's Retreat Wayshrine</v>
      </c>
      <c r="N431" s="3" t="str">
        <f>VLOOKUP(F431,'ESO zone constants'!$A$5:$D$10001,4,FALSE)</f>
        <v>The Reach</v>
      </c>
    </row>
    <row r="432" spans="1:14" x14ac:dyDescent="0.25">
      <c r="A432" s="90">
        <v>448</v>
      </c>
      <c r="B432">
        <v>40</v>
      </c>
      <c r="C432">
        <v>1782</v>
      </c>
      <c r="D432" t="s">
        <v>3087</v>
      </c>
      <c r="E432">
        <v>4294967296</v>
      </c>
      <c r="F432">
        <v>0</v>
      </c>
      <c r="H432">
        <v>1</v>
      </c>
      <c r="I432" t="s">
        <v>3118</v>
      </c>
      <c r="J432" s="30" t="str">
        <f t="shared" si="18"/>
        <v>[448]=0,</v>
      </c>
      <c r="K432" s="3">
        <f t="shared" si="19"/>
        <v>448</v>
      </c>
      <c r="L432" s="3">
        <f t="shared" si="20"/>
        <v>0</v>
      </c>
      <c r="M432" s="8" t="str">
        <f>VLOOKUP(A432,'ESO wayshrine names'!$A$3:$B$5104,2,)</f>
        <v>Nighthollow Wayshrine</v>
      </c>
      <c r="N432" s="3" t="str">
        <f>VLOOKUP(F432,'ESO zone constants'!$A$5:$D$10001,4,FALSE)</f>
        <v>Tamriel Map</v>
      </c>
    </row>
    <row r="433" spans="1:14" x14ac:dyDescent="0.25">
      <c r="A433">
        <v>449</v>
      </c>
      <c r="B433">
        <v>42</v>
      </c>
      <c r="C433">
        <v>1814</v>
      </c>
      <c r="D433" t="s">
        <v>2203</v>
      </c>
      <c r="E433">
        <v>784</v>
      </c>
      <c r="F433">
        <v>1207</v>
      </c>
      <c r="G433" t="s">
        <v>2203</v>
      </c>
      <c r="H433">
        <v>1</v>
      </c>
      <c r="I433" t="s">
        <v>2199</v>
      </c>
      <c r="J433" s="30" t="str">
        <f t="shared" si="18"/>
        <v>[449]=1207,</v>
      </c>
      <c r="K433" s="3">
        <f t="shared" si="19"/>
        <v>449</v>
      </c>
      <c r="L433" s="3">
        <f t="shared" si="20"/>
        <v>1207</v>
      </c>
      <c r="M433" s="8" t="str">
        <f>VLOOKUP(A433,'ESO wayshrine names'!$A$3:$B$5104,2,)</f>
        <v>Markarth Wayshrine</v>
      </c>
      <c r="N433" s="3" t="str">
        <f>VLOOKUP(F433,'ESO zone constants'!$A$5:$D$10001,4,FALSE)</f>
        <v>The Reach</v>
      </c>
    </row>
    <row r="434" spans="1:14" x14ac:dyDescent="0.25">
      <c r="A434" s="90">
        <v>450</v>
      </c>
      <c r="B434">
        <v>38</v>
      </c>
      <c r="C434">
        <v>1719</v>
      </c>
      <c r="D434" t="s">
        <v>3092</v>
      </c>
      <c r="E434">
        <v>744</v>
      </c>
      <c r="F434">
        <v>1160</v>
      </c>
      <c r="G434" t="s">
        <v>3092</v>
      </c>
      <c r="H434">
        <v>1</v>
      </c>
      <c r="I434" t="s">
        <v>3119</v>
      </c>
      <c r="J434" s="30" t="str">
        <f t="shared" si="18"/>
        <v>[450]=1160,</v>
      </c>
      <c r="K434" s="3">
        <f t="shared" si="19"/>
        <v>450</v>
      </c>
      <c r="L434" s="3">
        <f t="shared" si="20"/>
        <v>1160</v>
      </c>
      <c r="M434" s="8" t="str">
        <f>VLOOKUP(A434,'ESO wayshrine names'!$A$3:$B$5104,2,)</f>
        <v>Giant's Coast Wayshrine</v>
      </c>
      <c r="N434" s="3" t="str">
        <f>VLOOKUP(F434,'ESO zone constants'!$A$5:$D$10001,4,FALSE)</f>
        <v>Western Skyrim</v>
      </c>
    </row>
    <row r="435" spans="1:14" x14ac:dyDescent="0.25">
      <c r="A435" s="90">
        <v>451</v>
      </c>
      <c r="B435">
        <v>38</v>
      </c>
      <c r="C435">
        <v>1719</v>
      </c>
      <c r="D435" t="s">
        <v>3092</v>
      </c>
      <c r="E435">
        <v>744</v>
      </c>
      <c r="F435">
        <v>1160</v>
      </c>
      <c r="G435" t="s">
        <v>3092</v>
      </c>
      <c r="H435">
        <v>1</v>
      </c>
      <c r="I435" t="s">
        <v>3120</v>
      </c>
      <c r="J435" s="30" t="str">
        <f t="shared" si="18"/>
        <v>[451]=1160,</v>
      </c>
      <c r="K435" s="3">
        <f t="shared" si="19"/>
        <v>451</v>
      </c>
      <c r="L435" s="3">
        <f t="shared" si="20"/>
        <v>1160</v>
      </c>
      <c r="M435" s="8" t="str">
        <f>VLOOKUP(A435,'ESO wayshrine names'!$A$3:$B$5104,2,)</f>
        <v>Northern Watch Wayshrine</v>
      </c>
      <c r="N435" s="3" t="str">
        <f>VLOOKUP(F435,'ESO zone constants'!$A$5:$D$10001,4,FALSE)</f>
        <v>Western Skyrim</v>
      </c>
    </row>
    <row r="436" spans="1:14" x14ac:dyDescent="0.25">
      <c r="A436" s="90">
        <v>452</v>
      </c>
      <c r="B436">
        <v>38</v>
      </c>
      <c r="C436">
        <v>1719</v>
      </c>
      <c r="D436" t="s">
        <v>3092</v>
      </c>
      <c r="E436">
        <v>744</v>
      </c>
      <c r="F436">
        <v>1160</v>
      </c>
      <c r="G436" t="s">
        <v>3092</v>
      </c>
      <c r="H436">
        <v>7</v>
      </c>
      <c r="I436" t="s">
        <v>3121</v>
      </c>
      <c r="J436" s="30" t="str">
        <f t="shared" si="18"/>
        <v>[452]=1160,</v>
      </c>
      <c r="K436" s="3">
        <f t="shared" si="19"/>
        <v>452</v>
      </c>
      <c r="L436" s="3">
        <f t="shared" si="20"/>
        <v>1160</v>
      </c>
      <c r="M436" s="8" t="str">
        <f>VLOOKUP(A436,'ESO wayshrine names'!$A$3:$B$5104,2,)</f>
        <v>Antiquarian's Alpine Gallery</v>
      </c>
      <c r="N436" s="3" t="str">
        <f>VLOOKUP(F436,'ESO zone constants'!$A$5:$D$10001,4,FALSE)</f>
        <v>Western Skyrim</v>
      </c>
    </row>
    <row r="437" spans="1:14" x14ac:dyDescent="0.25">
      <c r="A437" s="90">
        <v>453</v>
      </c>
      <c r="B437">
        <v>38</v>
      </c>
      <c r="C437">
        <v>1719</v>
      </c>
      <c r="D437" t="s">
        <v>3092</v>
      </c>
      <c r="E437">
        <v>744</v>
      </c>
      <c r="F437">
        <v>1160</v>
      </c>
      <c r="G437" t="s">
        <v>3092</v>
      </c>
      <c r="H437">
        <v>7</v>
      </c>
      <c r="I437" t="s">
        <v>3122</v>
      </c>
      <c r="J437" s="30" t="str">
        <f t="shared" si="18"/>
        <v>[453]=1160,</v>
      </c>
      <c r="K437" s="3">
        <f t="shared" si="19"/>
        <v>453</v>
      </c>
      <c r="L437" s="3">
        <f t="shared" si="20"/>
        <v>1160</v>
      </c>
      <c r="M437" s="8" t="str">
        <f>VLOOKUP(A437,'ESO wayshrine names'!$A$3:$B$5104,2,)</f>
        <v>Stillwaters Retreat</v>
      </c>
      <c r="N437" s="3" t="str">
        <f>VLOOKUP(F437,'ESO zone constants'!$A$5:$D$10001,4,FALSE)</f>
        <v>Western Skyrim</v>
      </c>
    </row>
    <row r="438" spans="1:14" x14ac:dyDescent="0.25">
      <c r="A438" s="90">
        <v>454</v>
      </c>
      <c r="B438">
        <v>10</v>
      </c>
      <c r="C438">
        <v>13</v>
      </c>
      <c r="D438" t="s">
        <v>107</v>
      </c>
      <c r="E438">
        <v>10</v>
      </c>
      <c r="F438">
        <v>57</v>
      </c>
      <c r="G438" t="s">
        <v>107</v>
      </c>
      <c r="H438">
        <v>6</v>
      </c>
      <c r="I438" t="s">
        <v>3123</v>
      </c>
      <c r="J438" s="30" t="str">
        <f t="shared" si="18"/>
        <v>[454]=57,</v>
      </c>
      <c r="K438" s="3">
        <f t="shared" si="19"/>
        <v>454</v>
      </c>
      <c r="L438" s="3">
        <f t="shared" si="20"/>
        <v>57</v>
      </c>
      <c r="M438" s="8" t="str">
        <f>VLOOKUP(A438,'ESO wayshrine names'!$A$3:$B$5104,2,)</f>
        <v>Dungeon: The Cauldron</v>
      </c>
      <c r="N438" s="3" t="str">
        <f>VLOOKUP(F438,'ESO zone constants'!$A$5:$D$10001,4,FALSE)</f>
        <v>Deshaan</v>
      </c>
    </row>
    <row r="439" spans="1:14" x14ac:dyDescent="0.25">
      <c r="A439" s="90">
        <v>455</v>
      </c>
      <c r="B439">
        <v>38</v>
      </c>
      <c r="C439">
        <v>1719</v>
      </c>
      <c r="D439" t="s">
        <v>3092</v>
      </c>
      <c r="E439">
        <v>744</v>
      </c>
      <c r="F439">
        <v>1160</v>
      </c>
      <c r="G439" t="s">
        <v>3092</v>
      </c>
      <c r="H439">
        <v>7</v>
      </c>
      <c r="I439" t="s">
        <v>3124</v>
      </c>
      <c r="J439" s="30" t="str">
        <f t="shared" si="18"/>
        <v>[455]=1160,</v>
      </c>
      <c r="K439" s="3">
        <f t="shared" si="19"/>
        <v>455</v>
      </c>
      <c r="L439" s="3">
        <f t="shared" si="20"/>
        <v>1160</v>
      </c>
      <c r="M439" s="8" t="str">
        <f>VLOOKUP(A439,'ESO wayshrine names'!$A$3:$B$5104,2,)</f>
        <v>Shalidor's Shrouded Realm</v>
      </c>
      <c r="N439" s="3" t="str">
        <f>VLOOKUP(F439,'ESO zone constants'!$A$5:$D$10001,4,FALSE)</f>
        <v>Western Skyrim</v>
      </c>
    </row>
    <row r="440" spans="1:14" x14ac:dyDescent="0.25">
      <c r="A440">
        <v>456</v>
      </c>
      <c r="B440">
        <v>42</v>
      </c>
      <c r="C440">
        <v>1814</v>
      </c>
      <c r="D440" t="s">
        <v>2203</v>
      </c>
      <c r="E440">
        <v>784</v>
      </c>
      <c r="F440">
        <v>1207</v>
      </c>
      <c r="G440" t="s">
        <v>2203</v>
      </c>
      <c r="H440">
        <v>7</v>
      </c>
      <c r="I440" t="s">
        <v>2201</v>
      </c>
      <c r="J440" s="30" t="str">
        <f t="shared" si="18"/>
        <v>[456]=1207,</v>
      </c>
      <c r="K440" s="3">
        <f t="shared" si="19"/>
        <v>456</v>
      </c>
      <c r="L440" s="3">
        <f t="shared" si="20"/>
        <v>1207</v>
      </c>
      <c r="M440" s="8" t="str">
        <f>VLOOKUP(A440,'ESO wayshrine names'!$A$3:$B$5104,2,)</f>
        <v>Stone Eagle Aerie</v>
      </c>
      <c r="N440" s="3" t="str">
        <f>VLOOKUP(F440,'ESO zone constants'!$A$5:$D$10001,4,FALSE)</f>
        <v>The Reach</v>
      </c>
    </row>
    <row r="441" spans="1:14" x14ac:dyDescent="0.25">
      <c r="A441">
        <v>457</v>
      </c>
      <c r="B441">
        <v>42</v>
      </c>
      <c r="C441">
        <v>1814</v>
      </c>
      <c r="D441" t="s">
        <v>2203</v>
      </c>
      <c r="E441">
        <v>784</v>
      </c>
      <c r="F441">
        <v>1207</v>
      </c>
      <c r="G441" t="s">
        <v>2203</v>
      </c>
      <c r="H441">
        <v>0</v>
      </c>
      <c r="I441" t="s">
        <v>2202</v>
      </c>
      <c r="J441" s="30" t="str">
        <f t="shared" si="18"/>
        <v>[457]=1207,</v>
      </c>
      <c r="K441" s="3">
        <f t="shared" si="19"/>
        <v>457</v>
      </c>
      <c r="L441" s="3">
        <f t="shared" si="20"/>
        <v>1207</v>
      </c>
      <c r="M441" s="8" t="str">
        <f>VLOOKUP(A441,'ESO wayshrine names'!$A$3:$B$5104,2,)</f>
        <v>Vateshran Hollows</v>
      </c>
      <c r="N441" s="3" t="str">
        <f>VLOOKUP(F441,'ESO zone constants'!$A$5:$D$10001,4,FALSE)</f>
        <v>The Reach</v>
      </c>
    </row>
    <row r="442" spans="1:14" x14ac:dyDescent="0.25">
      <c r="A442" s="90">
        <v>458</v>
      </c>
      <c r="B442">
        <v>43</v>
      </c>
      <c r="C442">
        <v>1887</v>
      </c>
      <c r="D442" t="s">
        <v>3125</v>
      </c>
      <c r="E442">
        <v>835</v>
      </c>
      <c r="F442">
        <v>1261</v>
      </c>
      <c r="G442" t="s">
        <v>3125</v>
      </c>
      <c r="H442">
        <v>1</v>
      </c>
      <c r="I442" t="s">
        <v>3126</v>
      </c>
      <c r="J442" s="30" t="str">
        <f t="shared" si="18"/>
        <v>[458]=1261,</v>
      </c>
      <c r="K442" s="3">
        <f t="shared" si="19"/>
        <v>458</v>
      </c>
      <c r="L442" s="3">
        <f t="shared" si="20"/>
        <v>1261</v>
      </c>
      <c r="M442" s="8" t="str">
        <f>VLOOKUP(A442,'ESO wayshrine names'!$A$3:$B$5104,2,)</f>
        <v>Leyawiin Wayshrine</v>
      </c>
      <c r="N442" s="3" t="str">
        <f>VLOOKUP(F442,'ESO zone constants'!$A$5:$D$10001,4,FALSE)</f>
        <v>Blackwood</v>
      </c>
    </row>
    <row r="443" spans="1:14" x14ac:dyDescent="0.25">
      <c r="A443" s="90">
        <v>459</v>
      </c>
      <c r="B443">
        <v>43</v>
      </c>
      <c r="C443">
        <v>1887</v>
      </c>
      <c r="D443" t="s">
        <v>3125</v>
      </c>
      <c r="E443">
        <v>835</v>
      </c>
      <c r="F443">
        <v>1261</v>
      </c>
      <c r="G443" t="s">
        <v>3125</v>
      </c>
      <c r="H443">
        <v>1</v>
      </c>
      <c r="I443" t="s">
        <v>3127</v>
      </c>
      <c r="J443" s="30" t="str">
        <f t="shared" si="18"/>
        <v>[459]=1261,</v>
      </c>
      <c r="K443" s="3">
        <f t="shared" si="19"/>
        <v>459</v>
      </c>
      <c r="L443" s="3">
        <f t="shared" si="20"/>
        <v>1261</v>
      </c>
      <c r="M443" s="8" t="str">
        <f>VLOOKUP(A443,'ESO wayshrine names'!$A$3:$B$5104,2,)</f>
        <v>Gideon Wayshrine</v>
      </c>
      <c r="N443" s="3" t="str">
        <f>VLOOKUP(F443,'ESO zone constants'!$A$5:$D$10001,4,FALSE)</f>
        <v>Blackwood</v>
      </c>
    </row>
    <row r="444" spans="1:14" x14ac:dyDescent="0.25">
      <c r="A444" s="90">
        <v>460</v>
      </c>
      <c r="B444">
        <v>43</v>
      </c>
      <c r="C444">
        <v>1887</v>
      </c>
      <c r="D444" t="s">
        <v>3125</v>
      </c>
      <c r="E444">
        <v>835</v>
      </c>
      <c r="F444">
        <v>1261</v>
      </c>
      <c r="G444" t="s">
        <v>3125</v>
      </c>
      <c r="H444">
        <v>1</v>
      </c>
      <c r="I444" t="s">
        <v>3128</v>
      </c>
      <c r="J444" s="30" t="str">
        <f t="shared" si="18"/>
        <v>[460]=1261,</v>
      </c>
      <c r="K444" s="3">
        <f t="shared" si="19"/>
        <v>460</v>
      </c>
      <c r="L444" s="3">
        <f t="shared" si="20"/>
        <v>1261</v>
      </c>
      <c r="M444" s="8" t="str">
        <f>VLOOKUP(A444,'ESO wayshrine names'!$A$3:$B$5104,2,)</f>
        <v>Borderwatch Wayshrine</v>
      </c>
      <c r="N444" s="3" t="str">
        <f>VLOOKUP(F444,'ESO zone constants'!$A$5:$D$10001,4,FALSE)</f>
        <v>Blackwood</v>
      </c>
    </row>
    <row r="445" spans="1:14" x14ac:dyDescent="0.25">
      <c r="A445" s="90">
        <v>461</v>
      </c>
      <c r="B445">
        <v>43</v>
      </c>
      <c r="C445">
        <v>1887</v>
      </c>
      <c r="D445" t="s">
        <v>3125</v>
      </c>
      <c r="E445">
        <v>835</v>
      </c>
      <c r="F445">
        <v>1261</v>
      </c>
      <c r="G445" t="s">
        <v>3125</v>
      </c>
      <c r="H445">
        <v>1</v>
      </c>
      <c r="I445" t="s">
        <v>3129</v>
      </c>
      <c r="J445" s="30" t="str">
        <f t="shared" si="18"/>
        <v>[461]=1261,</v>
      </c>
      <c r="K445" s="3">
        <f t="shared" si="19"/>
        <v>461</v>
      </c>
      <c r="L445" s="3">
        <f t="shared" si="20"/>
        <v>1261</v>
      </c>
      <c r="M445" s="8" t="str">
        <f>VLOOKUP(A445,'ESO wayshrine names'!$A$3:$B$5104,2,)</f>
        <v>Fort Redmane Wayshrine</v>
      </c>
      <c r="N445" s="3" t="str">
        <f>VLOOKUP(F445,'ESO zone constants'!$A$5:$D$10001,4,FALSE)</f>
        <v>Blackwood</v>
      </c>
    </row>
    <row r="446" spans="1:14" x14ac:dyDescent="0.25">
      <c r="A446" s="90">
        <v>462</v>
      </c>
      <c r="B446">
        <v>43</v>
      </c>
      <c r="C446">
        <v>1887</v>
      </c>
      <c r="D446" t="s">
        <v>3125</v>
      </c>
      <c r="E446">
        <v>835</v>
      </c>
      <c r="F446">
        <v>1261</v>
      </c>
      <c r="G446" t="s">
        <v>3125</v>
      </c>
      <c r="H446">
        <v>1</v>
      </c>
      <c r="I446" t="s">
        <v>3130</v>
      </c>
      <c r="J446" s="30" t="str">
        <f t="shared" si="18"/>
        <v>[462]=1261,</v>
      </c>
      <c r="K446" s="3">
        <f t="shared" si="19"/>
        <v>462</v>
      </c>
      <c r="L446" s="3">
        <f t="shared" si="20"/>
        <v>1261</v>
      </c>
      <c r="M446" s="8" t="str">
        <f>VLOOKUP(A446,'ESO wayshrine names'!$A$3:$B$5104,2,)</f>
        <v>Bloodrun Wayshrine</v>
      </c>
      <c r="N446" s="3" t="str">
        <f>VLOOKUP(F446,'ESO zone constants'!$A$5:$D$10001,4,FALSE)</f>
        <v>Blackwood</v>
      </c>
    </row>
    <row r="447" spans="1:14" x14ac:dyDescent="0.25">
      <c r="A447" s="90">
        <v>463</v>
      </c>
      <c r="B447">
        <v>43</v>
      </c>
      <c r="C447">
        <v>1887</v>
      </c>
      <c r="D447" t="s">
        <v>3125</v>
      </c>
      <c r="E447">
        <v>835</v>
      </c>
      <c r="F447">
        <v>1261</v>
      </c>
      <c r="G447" t="s">
        <v>3125</v>
      </c>
      <c r="H447">
        <v>1</v>
      </c>
      <c r="I447" t="s">
        <v>3131</v>
      </c>
      <c r="J447" s="30" t="str">
        <f t="shared" si="18"/>
        <v>[463]=1261,</v>
      </c>
      <c r="K447" s="3">
        <f t="shared" si="19"/>
        <v>463</v>
      </c>
      <c r="L447" s="3">
        <f t="shared" si="20"/>
        <v>1261</v>
      </c>
      <c r="M447" s="8" t="str">
        <f>VLOOKUP(A447,'ESO wayshrine names'!$A$3:$B$5104,2,)</f>
        <v>Blueblood Wayshrine</v>
      </c>
      <c r="N447" s="3" t="str">
        <f>VLOOKUP(F447,'ESO zone constants'!$A$5:$D$10001,4,FALSE)</f>
        <v>Blackwood</v>
      </c>
    </row>
    <row r="448" spans="1:14" x14ac:dyDescent="0.25">
      <c r="A448" s="90">
        <v>464</v>
      </c>
      <c r="B448">
        <v>43</v>
      </c>
      <c r="C448">
        <v>1887</v>
      </c>
      <c r="D448" t="s">
        <v>3125</v>
      </c>
      <c r="E448">
        <v>835</v>
      </c>
      <c r="F448">
        <v>1261</v>
      </c>
      <c r="G448" t="s">
        <v>3125</v>
      </c>
      <c r="H448">
        <v>1</v>
      </c>
      <c r="I448" t="s">
        <v>3132</v>
      </c>
      <c r="J448" s="30" t="str">
        <f t="shared" si="18"/>
        <v>[464]=1261,</v>
      </c>
      <c r="K448" s="3">
        <f t="shared" si="19"/>
        <v>464</v>
      </c>
      <c r="L448" s="3">
        <f t="shared" si="20"/>
        <v>1261</v>
      </c>
      <c r="M448" s="8" t="str">
        <f>VLOOKUP(A448,'ESO wayshrine names'!$A$3:$B$5104,2,)</f>
        <v>Stonewastes Wayshrine</v>
      </c>
      <c r="N448" s="3" t="str">
        <f>VLOOKUP(F448,'ESO zone constants'!$A$5:$D$10001,4,FALSE)</f>
        <v>Blackwood</v>
      </c>
    </row>
    <row r="449" spans="1:14" x14ac:dyDescent="0.25">
      <c r="A449" s="90">
        <v>465</v>
      </c>
      <c r="B449">
        <v>30</v>
      </c>
      <c r="C449">
        <v>1060</v>
      </c>
      <c r="D449" t="s">
        <v>529</v>
      </c>
      <c r="E449">
        <v>468</v>
      </c>
      <c r="F449">
        <v>849</v>
      </c>
      <c r="G449" t="s">
        <v>529</v>
      </c>
      <c r="H449">
        <v>7</v>
      </c>
      <c r="I449" t="s">
        <v>3133</v>
      </c>
      <c r="J449" s="30" t="str">
        <f t="shared" si="18"/>
        <v>[465]=849,</v>
      </c>
      <c r="K449" s="3">
        <f t="shared" si="19"/>
        <v>465</v>
      </c>
      <c r="L449" s="3">
        <f t="shared" si="20"/>
        <v>849</v>
      </c>
      <c r="M449" s="8" t="str">
        <f>VLOOKUP(A449,'ESO wayshrine names'!$A$3:$B$5104,2,)</f>
        <v>Kushalit Sanctuary</v>
      </c>
      <c r="N449" s="3" t="str">
        <f>VLOOKUP(F449,'ESO zone constants'!$A$5:$D$10001,4,FALSE)</f>
        <v>Vvardenfell</v>
      </c>
    </row>
    <row r="450" spans="1:14" x14ac:dyDescent="0.25">
      <c r="A450" s="90">
        <v>466</v>
      </c>
      <c r="B450">
        <v>29</v>
      </c>
      <c r="C450">
        <v>1006</v>
      </c>
      <c r="D450" t="s">
        <v>2304</v>
      </c>
      <c r="E450">
        <v>449</v>
      </c>
      <c r="F450">
        <v>823</v>
      </c>
      <c r="G450" t="s">
        <v>2952</v>
      </c>
      <c r="H450">
        <v>7</v>
      </c>
      <c r="I450" t="s">
        <v>3134</v>
      </c>
      <c r="J450" s="30" t="str">
        <f t="shared" si="18"/>
        <v>[466]=823,</v>
      </c>
      <c r="K450" s="3">
        <f t="shared" si="19"/>
        <v>466</v>
      </c>
      <c r="L450" s="3">
        <f t="shared" si="20"/>
        <v>823</v>
      </c>
      <c r="M450" s="8" t="str">
        <f>VLOOKUP(A450,'ESO wayshrine names'!$A$3:$B$5104,2,)</f>
        <v>Varlaisvea Ayleid Ruins</v>
      </c>
      <c r="N450" s="3" t="str">
        <f>VLOOKUP(F450,'ESO zone constants'!$A$5:$D$10001,4,FALSE)</f>
        <v>Gold Coast</v>
      </c>
    </row>
    <row r="451" spans="1:14" x14ac:dyDescent="0.25">
      <c r="A451" s="90">
        <v>467</v>
      </c>
      <c r="B451">
        <v>43</v>
      </c>
      <c r="C451">
        <v>1887</v>
      </c>
      <c r="D451" t="s">
        <v>3125</v>
      </c>
      <c r="E451">
        <v>835</v>
      </c>
      <c r="F451">
        <v>1261</v>
      </c>
      <c r="G451" t="s">
        <v>3125</v>
      </c>
      <c r="H451">
        <v>1</v>
      </c>
      <c r="I451" t="s">
        <v>3135</v>
      </c>
      <c r="J451" s="30" t="str">
        <f t="shared" ref="J451:J514" si="21">IF(A451&lt;&gt;"",IF(F451&lt;&gt;"",IF(OR(ISNA(A451),ISNA(F451)),"","["&amp;A451&amp;"]="&amp;F451&amp;","),""),"")</f>
        <v>[467]=1261,</v>
      </c>
      <c r="K451" s="3">
        <f t="shared" ref="K451:K514" si="22">A451</f>
        <v>467</v>
      </c>
      <c r="L451" s="3">
        <f t="shared" ref="L451:L514" si="23">F451</f>
        <v>1261</v>
      </c>
      <c r="M451" s="8" t="str">
        <f>VLOOKUP(A451,'ESO wayshrine names'!$A$3:$B$5104,2,)</f>
        <v>Leyawiin Outskirts Wayshrine</v>
      </c>
      <c r="N451" s="3" t="str">
        <f>VLOOKUP(F451,'ESO zone constants'!$A$5:$D$10001,4,FALSE)</f>
        <v>Blackwood</v>
      </c>
    </row>
    <row r="452" spans="1:14" x14ac:dyDescent="0.25">
      <c r="A452" s="90">
        <v>468</v>
      </c>
      <c r="B452">
        <v>43</v>
      </c>
      <c r="C452">
        <v>1887</v>
      </c>
      <c r="D452" t="s">
        <v>3125</v>
      </c>
      <c r="E452">
        <v>835</v>
      </c>
      <c r="F452">
        <v>1261</v>
      </c>
      <c r="G452" t="s">
        <v>3125</v>
      </c>
      <c r="H452">
        <v>3</v>
      </c>
      <c r="I452" t="s">
        <v>3136</v>
      </c>
      <c r="J452" s="30" t="str">
        <f t="shared" si="21"/>
        <v>[468]=1261,</v>
      </c>
      <c r="K452" s="3">
        <f t="shared" si="22"/>
        <v>468</v>
      </c>
      <c r="L452" s="3">
        <f t="shared" si="23"/>
        <v>1261</v>
      </c>
      <c r="M452" s="8" t="str">
        <f>VLOOKUP(A452,'ESO wayshrine names'!$A$3:$B$5104,2,)</f>
        <v>Trial: Rockgrove</v>
      </c>
      <c r="N452" s="3" t="str">
        <f>VLOOKUP(F452,'ESO zone constants'!$A$5:$D$10001,4,FALSE)</f>
        <v>Blackwood</v>
      </c>
    </row>
    <row r="453" spans="1:14" x14ac:dyDescent="0.25">
      <c r="A453" s="90">
        <v>469</v>
      </c>
      <c r="B453">
        <v>43</v>
      </c>
      <c r="C453">
        <v>1887</v>
      </c>
      <c r="D453" t="s">
        <v>3125</v>
      </c>
      <c r="E453">
        <v>835</v>
      </c>
      <c r="F453">
        <v>1261</v>
      </c>
      <c r="G453" t="s">
        <v>3125</v>
      </c>
      <c r="H453">
        <v>6</v>
      </c>
      <c r="I453" t="s">
        <v>3137</v>
      </c>
      <c r="J453" s="30" t="str">
        <f t="shared" si="21"/>
        <v>[469]=1261,</v>
      </c>
      <c r="K453" s="3">
        <f t="shared" si="22"/>
        <v>469</v>
      </c>
      <c r="L453" s="3">
        <f t="shared" si="23"/>
        <v>1261</v>
      </c>
      <c r="M453" s="8" t="str">
        <f>VLOOKUP(A453,'ESO wayshrine names'!$A$3:$B$5104,2,)</f>
        <v>Dungeon: The Dread Cellar</v>
      </c>
      <c r="N453" s="3" t="str">
        <f>VLOOKUP(F453,'ESO zone constants'!$A$5:$D$10001,4,FALSE)</f>
        <v>Blackwood</v>
      </c>
    </row>
    <row r="454" spans="1:14" x14ac:dyDescent="0.25">
      <c r="A454" s="90">
        <v>470</v>
      </c>
      <c r="B454">
        <v>2</v>
      </c>
      <c r="C454">
        <v>1</v>
      </c>
      <c r="D454" t="s">
        <v>103</v>
      </c>
      <c r="E454">
        <v>2</v>
      </c>
      <c r="F454">
        <v>3</v>
      </c>
      <c r="G454" t="s">
        <v>103</v>
      </c>
      <c r="H454">
        <v>6</v>
      </c>
      <c r="I454" t="s">
        <v>3138</v>
      </c>
      <c r="J454" s="30" t="str">
        <f t="shared" si="21"/>
        <v>[470]=3,</v>
      </c>
      <c r="K454" s="3">
        <f t="shared" si="22"/>
        <v>470</v>
      </c>
      <c r="L454" s="3">
        <f t="shared" si="23"/>
        <v>3</v>
      </c>
      <c r="M454" s="8" t="str">
        <f>VLOOKUP(A454,'ESO wayshrine names'!$A$3:$B$5104,2,)</f>
        <v>Dungeon: Red Petal Bastion</v>
      </c>
      <c r="N454" s="3" t="str">
        <f>VLOOKUP(F454,'ESO zone constants'!$A$5:$D$10001,4,FALSE)</f>
        <v>Glenumbra</v>
      </c>
    </row>
    <row r="455" spans="1:14" x14ac:dyDescent="0.25">
      <c r="A455" s="90">
        <v>471</v>
      </c>
      <c r="B455">
        <v>43</v>
      </c>
      <c r="C455">
        <v>1887</v>
      </c>
      <c r="D455" t="s">
        <v>3125</v>
      </c>
      <c r="E455">
        <v>835</v>
      </c>
      <c r="F455">
        <v>1261</v>
      </c>
      <c r="G455" t="s">
        <v>3125</v>
      </c>
      <c r="H455">
        <v>7</v>
      </c>
      <c r="I455" t="s">
        <v>3139</v>
      </c>
      <c r="J455" s="30" t="str">
        <f t="shared" si="21"/>
        <v>[471]=1261,</v>
      </c>
      <c r="K455" s="3">
        <f t="shared" si="22"/>
        <v>471</v>
      </c>
      <c r="L455" s="3">
        <f t="shared" si="23"/>
        <v>1261</v>
      </c>
      <c r="M455" s="8" t="str">
        <f>VLOOKUP(A455,'ESO wayshrine names'!$A$3:$B$5104,2,)</f>
        <v>Pilgrim's Rest</v>
      </c>
      <c r="N455" s="3" t="str">
        <f>VLOOKUP(F455,'ESO zone constants'!$A$5:$D$10001,4,FALSE)</f>
        <v>Blackwood</v>
      </c>
    </row>
    <row r="456" spans="1:14" x14ac:dyDescent="0.25">
      <c r="A456" s="90">
        <v>472</v>
      </c>
      <c r="B456">
        <v>43</v>
      </c>
      <c r="C456">
        <v>1887</v>
      </c>
      <c r="D456" t="s">
        <v>3125</v>
      </c>
      <c r="E456">
        <v>835</v>
      </c>
      <c r="F456">
        <v>1261</v>
      </c>
      <c r="G456" t="s">
        <v>3125</v>
      </c>
      <c r="H456">
        <v>7</v>
      </c>
      <c r="I456" t="s">
        <v>3140</v>
      </c>
      <c r="J456" s="30" t="str">
        <f t="shared" si="21"/>
        <v>[472]=1261,</v>
      </c>
      <c r="K456" s="3">
        <f t="shared" si="22"/>
        <v>472</v>
      </c>
      <c r="L456" s="3">
        <f t="shared" si="23"/>
        <v>1261</v>
      </c>
      <c r="M456" s="8" t="str">
        <f>VLOOKUP(A456,'ESO wayshrine names'!$A$3:$B$5104,2,)</f>
        <v>Water's Edge</v>
      </c>
      <c r="N456" s="3" t="str">
        <f>VLOOKUP(F456,'ESO zone constants'!$A$5:$D$10001,4,FALSE)</f>
        <v>Blackwood</v>
      </c>
    </row>
    <row r="457" spans="1:14" x14ac:dyDescent="0.25">
      <c r="A457" s="90">
        <v>473</v>
      </c>
      <c r="B457">
        <v>43</v>
      </c>
      <c r="C457">
        <v>1887</v>
      </c>
      <c r="D457" t="s">
        <v>3125</v>
      </c>
      <c r="E457">
        <v>835</v>
      </c>
      <c r="F457">
        <v>1261</v>
      </c>
      <c r="G457" t="s">
        <v>3125</v>
      </c>
      <c r="H457">
        <v>7</v>
      </c>
      <c r="I457" t="s">
        <v>3141</v>
      </c>
      <c r="J457" s="30" t="str">
        <f t="shared" si="21"/>
        <v>[473]=1261,</v>
      </c>
      <c r="K457" s="3">
        <f t="shared" si="22"/>
        <v>473</v>
      </c>
      <c r="L457" s="3">
        <f t="shared" si="23"/>
        <v>1261</v>
      </c>
      <c r="M457" s="8" t="str">
        <f>VLOOKUP(A457,'ESO wayshrine names'!$A$3:$B$5104,2,)</f>
        <v>Pantherfang Chapel</v>
      </c>
      <c r="N457" s="3" t="str">
        <f>VLOOKUP(F457,'ESO zone constants'!$A$5:$D$10001,4,FALSE)</f>
        <v>Blackwood</v>
      </c>
    </row>
    <row r="458" spans="1:14" x14ac:dyDescent="0.25">
      <c r="A458" s="90">
        <v>476</v>
      </c>
      <c r="B458">
        <v>45</v>
      </c>
      <c r="C458">
        <v>2021</v>
      </c>
      <c r="D458" t="s">
        <v>3142</v>
      </c>
      <c r="E458">
        <v>858</v>
      </c>
      <c r="F458">
        <v>1286</v>
      </c>
      <c r="G458" t="s">
        <v>3142</v>
      </c>
      <c r="H458">
        <v>1</v>
      </c>
      <c r="I458" t="s">
        <v>3143</v>
      </c>
      <c r="J458" s="30" t="str">
        <f t="shared" si="21"/>
        <v>[476]=1286,</v>
      </c>
      <c r="K458" s="3">
        <f t="shared" si="22"/>
        <v>476</v>
      </c>
      <c r="L458" s="3">
        <f t="shared" si="23"/>
        <v>1286</v>
      </c>
      <c r="M458" s="8" t="str">
        <f>VLOOKUP(A458,'ESO wayshrine names'!$A$3:$B$5104,2,)</f>
        <v>The Blood Pit Wayshrine</v>
      </c>
      <c r="N458" s="3" t="str">
        <f>VLOOKUP(F458,'ESO zone constants'!$A$5:$D$10001,4,FALSE)</f>
        <v>The Deadlands</v>
      </c>
    </row>
    <row r="459" spans="1:14" x14ac:dyDescent="0.25">
      <c r="A459" s="90">
        <v>477</v>
      </c>
      <c r="B459">
        <v>45</v>
      </c>
      <c r="C459">
        <v>2021</v>
      </c>
      <c r="D459" t="s">
        <v>3142</v>
      </c>
      <c r="E459">
        <v>858</v>
      </c>
      <c r="F459">
        <v>1286</v>
      </c>
      <c r="G459" t="s">
        <v>3142</v>
      </c>
      <c r="H459">
        <v>1</v>
      </c>
      <c r="I459" t="s">
        <v>3144</v>
      </c>
      <c r="J459" s="30" t="str">
        <f t="shared" si="21"/>
        <v>[477]=1286,</v>
      </c>
      <c r="K459" s="3">
        <f t="shared" si="22"/>
        <v>477</v>
      </c>
      <c r="L459" s="3">
        <f t="shared" si="23"/>
        <v>1286</v>
      </c>
      <c r="M459" s="8" t="str">
        <f>VLOOKUP(A459,'ESO wayshrine names'!$A$3:$B$5104,2,)</f>
        <v>Ardent Hope Wayshrine</v>
      </c>
      <c r="N459" s="3" t="str">
        <f>VLOOKUP(F459,'ESO zone constants'!$A$5:$D$10001,4,FALSE)</f>
        <v>The Deadlands</v>
      </c>
    </row>
    <row r="460" spans="1:14" x14ac:dyDescent="0.25">
      <c r="A460" s="90">
        <v>478</v>
      </c>
      <c r="B460">
        <v>45</v>
      </c>
      <c r="C460">
        <v>2021</v>
      </c>
      <c r="D460" t="s">
        <v>3142</v>
      </c>
      <c r="E460">
        <v>858</v>
      </c>
      <c r="F460">
        <v>1286</v>
      </c>
      <c r="G460" t="s">
        <v>3142</v>
      </c>
      <c r="H460">
        <v>1</v>
      </c>
      <c r="I460" t="s">
        <v>3145</v>
      </c>
      <c r="J460" s="30" t="str">
        <f t="shared" si="21"/>
        <v>[478]=1286,</v>
      </c>
      <c r="K460" s="3">
        <f t="shared" si="22"/>
        <v>478</v>
      </c>
      <c r="L460" s="3">
        <f t="shared" si="23"/>
        <v>1286</v>
      </c>
      <c r="M460" s="8" t="str">
        <f>VLOOKUP(A460,'ESO wayshrine names'!$A$3:$B$5104,2,)</f>
        <v>Wretched Spire Wayshrine</v>
      </c>
      <c r="N460" s="3" t="str">
        <f>VLOOKUP(F460,'ESO zone constants'!$A$5:$D$10001,4,FALSE)</f>
        <v>The Deadlands</v>
      </c>
    </row>
    <row r="461" spans="1:14" x14ac:dyDescent="0.25">
      <c r="A461" s="90">
        <v>479</v>
      </c>
      <c r="B461">
        <v>45</v>
      </c>
      <c r="C461">
        <v>2021</v>
      </c>
      <c r="D461" t="s">
        <v>3142</v>
      </c>
      <c r="E461">
        <v>858</v>
      </c>
      <c r="F461">
        <v>1286</v>
      </c>
      <c r="G461" t="s">
        <v>3142</v>
      </c>
      <c r="H461">
        <v>1</v>
      </c>
      <c r="I461" t="s">
        <v>3146</v>
      </c>
      <c r="J461" s="30" t="str">
        <f t="shared" si="21"/>
        <v>[479]=1286,</v>
      </c>
      <c r="K461" s="3">
        <f t="shared" si="22"/>
        <v>479</v>
      </c>
      <c r="L461" s="3">
        <f t="shared" si="23"/>
        <v>1286</v>
      </c>
      <c r="M461" s="8" t="str">
        <f>VLOOKUP(A461,'ESO wayshrine names'!$A$3:$B$5104,2,)</f>
        <v>False Martyrs' Folly Wayshrine</v>
      </c>
      <c r="N461" s="3" t="str">
        <f>VLOOKUP(F461,'ESO zone constants'!$A$5:$D$10001,4,FALSE)</f>
        <v>The Deadlands</v>
      </c>
    </row>
    <row r="462" spans="1:14" x14ac:dyDescent="0.25">
      <c r="A462" s="90">
        <v>480</v>
      </c>
      <c r="B462">
        <v>45</v>
      </c>
      <c r="C462">
        <v>2021</v>
      </c>
      <c r="D462" t="s">
        <v>3142</v>
      </c>
      <c r="E462">
        <v>858</v>
      </c>
      <c r="F462">
        <v>1286</v>
      </c>
      <c r="G462" t="s">
        <v>3142</v>
      </c>
      <c r="H462">
        <v>1</v>
      </c>
      <c r="I462" t="s">
        <v>3147</v>
      </c>
      <c r="J462" s="30" t="str">
        <f t="shared" si="21"/>
        <v>[480]=1286,</v>
      </c>
      <c r="K462" s="3">
        <f t="shared" si="22"/>
        <v>480</v>
      </c>
      <c r="L462" s="3">
        <f t="shared" si="23"/>
        <v>1286</v>
      </c>
      <c r="M462" s="8" t="str">
        <f>VLOOKUP(A462,'ESO wayshrine names'!$A$3:$B$5104,2,)</f>
        <v>Annihilarch's Summit Wayshrine</v>
      </c>
      <c r="N462" s="3" t="str">
        <f>VLOOKUP(F462,'ESO zone constants'!$A$5:$D$10001,4,FALSE)</f>
        <v>The Deadlands</v>
      </c>
    </row>
    <row r="463" spans="1:14" x14ac:dyDescent="0.25">
      <c r="A463" s="90">
        <v>481</v>
      </c>
      <c r="B463">
        <v>43</v>
      </c>
      <c r="C463">
        <v>1887</v>
      </c>
      <c r="D463" t="s">
        <v>3125</v>
      </c>
      <c r="E463">
        <v>835</v>
      </c>
      <c r="F463">
        <v>1261</v>
      </c>
      <c r="G463" t="s">
        <v>3125</v>
      </c>
      <c r="H463">
        <v>1</v>
      </c>
      <c r="I463" t="s">
        <v>3148</v>
      </c>
      <c r="J463" s="30" t="str">
        <f t="shared" si="21"/>
        <v>[481]=1261,</v>
      </c>
      <c r="K463" s="3">
        <f t="shared" si="22"/>
        <v>481</v>
      </c>
      <c r="L463" s="3">
        <f t="shared" si="23"/>
        <v>1261</v>
      </c>
      <c r="M463" s="8" t="str">
        <f>VLOOKUP(A463,'ESO wayshrine names'!$A$3:$B$5104,2,)</f>
        <v>Doomvault Vulpinaz Wayshrine</v>
      </c>
      <c r="N463" s="3" t="str">
        <f>VLOOKUP(F463,'ESO zone constants'!$A$5:$D$10001,4,FALSE)</f>
        <v>Blackwood</v>
      </c>
    </row>
    <row r="464" spans="1:14" x14ac:dyDescent="0.25">
      <c r="A464" s="90">
        <v>482</v>
      </c>
      <c r="B464">
        <v>43</v>
      </c>
      <c r="C464">
        <v>1887</v>
      </c>
      <c r="D464" t="s">
        <v>3125</v>
      </c>
      <c r="E464">
        <v>835</v>
      </c>
      <c r="F464">
        <v>1261</v>
      </c>
      <c r="G464" t="s">
        <v>3125</v>
      </c>
      <c r="H464">
        <v>1</v>
      </c>
      <c r="I464" t="s">
        <v>3149</v>
      </c>
      <c r="J464" s="30" t="str">
        <f t="shared" si="21"/>
        <v>[482]=1261,</v>
      </c>
      <c r="K464" s="3">
        <f t="shared" si="22"/>
        <v>482</v>
      </c>
      <c r="L464" s="3">
        <f t="shared" si="23"/>
        <v>1261</v>
      </c>
      <c r="M464" s="8" t="str">
        <f>VLOOKUP(A464,'ESO wayshrine names'!$A$3:$B$5104,2,)</f>
        <v>Blackwood Crossroads Wayshrine</v>
      </c>
      <c r="N464" s="3" t="str">
        <f>VLOOKUP(F464,'ESO zone constants'!$A$5:$D$10001,4,FALSE)</f>
        <v>Blackwood</v>
      </c>
    </row>
    <row r="465" spans="1:14" x14ac:dyDescent="0.25">
      <c r="A465" s="90">
        <v>483</v>
      </c>
      <c r="B465">
        <v>43</v>
      </c>
      <c r="C465">
        <v>1887</v>
      </c>
      <c r="D465" t="s">
        <v>3125</v>
      </c>
      <c r="E465">
        <v>835</v>
      </c>
      <c r="F465">
        <v>1261</v>
      </c>
      <c r="G465" t="s">
        <v>3125</v>
      </c>
      <c r="H465">
        <v>1</v>
      </c>
      <c r="I465" t="s">
        <v>3150</v>
      </c>
      <c r="J465" s="30" t="str">
        <f t="shared" si="21"/>
        <v>[483]=1261,</v>
      </c>
      <c r="K465" s="3">
        <f t="shared" si="22"/>
        <v>483</v>
      </c>
      <c r="L465" s="3">
        <f t="shared" si="23"/>
        <v>1261</v>
      </c>
      <c r="M465" s="8" t="str">
        <f>VLOOKUP(A465,'ESO wayshrine names'!$A$3:$B$5104,2,)</f>
        <v>Hutan-Tzel Wayshrine</v>
      </c>
      <c r="N465" s="3" t="str">
        <f>VLOOKUP(F465,'ESO zone constants'!$A$5:$D$10001,4,FALSE)</f>
        <v>Blackwood</v>
      </c>
    </row>
    <row r="466" spans="1:14" x14ac:dyDescent="0.25">
      <c r="A466" s="90">
        <v>484</v>
      </c>
      <c r="B466">
        <v>43</v>
      </c>
      <c r="C466">
        <v>1887</v>
      </c>
      <c r="D466" t="s">
        <v>3125</v>
      </c>
      <c r="E466">
        <v>835</v>
      </c>
      <c r="F466">
        <v>1261</v>
      </c>
      <c r="G466" t="s">
        <v>3125</v>
      </c>
      <c r="H466">
        <v>1</v>
      </c>
      <c r="I466" t="s">
        <v>3151</v>
      </c>
      <c r="J466" s="30" t="str">
        <f t="shared" si="21"/>
        <v>[484]=1261,</v>
      </c>
      <c r="K466" s="3">
        <f t="shared" si="22"/>
        <v>484</v>
      </c>
      <c r="L466" s="3">
        <f t="shared" si="23"/>
        <v>1261</v>
      </c>
      <c r="M466" s="8" t="str">
        <f>VLOOKUP(A466,'ESO wayshrine names'!$A$3:$B$5104,2,)</f>
        <v>Vunalk Wayshrine</v>
      </c>
      <c r="N466" s="3" t="str">
        <f>VLOOKUP(F466,'ESO zone constants'!$A$5:$D$10001,4,FALSE)</f>
        <v>Blackwood</v>
      </c>
    </row>
    <row r="467" spans="1:14" x14ac:dyDescent="0.25">
      <c r="A467" s="90">
        <v>485</v>
      </c>
      <c r="B467">
        <v>8</v>
      </c>
      <c r="C467">
        <v>22</v>
      </c>
      <c r="D467" t="s">
        <v>108</v>
      </c>
      <c r="E467">
        <v>11</v>
      </c>
      <c r="F467">
        <v>58</v>
      </c>
      <c r="G467" t="s">
        <v>108</v>
      </c>
      <c r="H467">
        <v>7</v>
      </c>
      <c r="I467" t="s">
        <v>3152</v>
      </c>
      <c r="J467" s="30" t="str">
        <f t="shared" si="21"/>
        <v>[485]=58,</v>
      </c>
      <c r="K467" s="3">
        <f t="shared" si="22"/>
        <v>485</v>
      </c>
      <c r="L467" s="3">
        <f t="shared" si="23"/>
        <v>58</v>
      </c>
      <c r="M467" s="8" t="str">
        <f>VLOOKUP(A467,'ESO wayshrine names'!$A$3:$B$5104,2,)</f>
        <v>Doomchar Plateau</v>
      </c>
      <c r="N467" s="3" t="str">
        <f>VLOOKUP(F467,'ESO zone constants'!$A$5:$D$10001,4,FALSE)</f>
        <v>Malabal Tor</v>
      </c>
    </row>
    <row r="468" spans="1:14" x14ac:dyDescent="0.25">
      <c r="A468" s="90">
        <v>486</v>
      </c>
      <c r="B468">
        <v>43</v>
      </c>
      <c r="C468">
        <v>1887</v>
      </c>
      <c r="D468" t="s">
        <v>3125</v>
      </c>
      <c r="E468">
        <v>835</v>
      </c>
      <c r="F468">
        <v>1261</v>
      </c>
      <c r="G468" t="s">
        <v>3125</v>
      </c>
      <c r="H468">
        <v>7</v>
      </c>
      <c r="I468" t="s">
        <v>3153</v>
      </c>
      <c r="J468" s="30" t="str">
        <f t="shared" si="21"/>
        <v>[486]=1261,</v>
      </c>
      <c r="K468" s="3">
        <f t="shared" si="22"/>
        <v>486</v>
      </c>
      <c r="L468" s="3">
        <f t="shared" si="23"/>
        <v>1261</v>
      </c>
      <c r="M468" s="8" t="str">
        <f>VLOOKUP(A468,'ESO wayshrine names'!$A$3:$B$5104,2,)</f>
        <v>Sweetwater Cascades</v>
      </c>
      <c r="N468" s="3" t="str">
        <f>VLOOKUP(F468,'ESO zone constants'!$A$5:$D$10001,4,FALSE)</f>
        <v>Blackwood</v>
      </c>
    </row>
    <row r="469" spans="1:14" x14ac:dyDescent="0.25">
      <c r="A469" s="90">
        <v>487</v>
      </c>
      <c r="B469">
        <v>44</v>
      </c>
      <c r="C469">
        <v>2119</v>
      </c>
      <c r="D469" t="s">
        <v>2686</v>
      </c>
      <c r="E469">
        <v>855</v>
      </c>
      <c r="F469">
        <v>1283</v>
      </c>
      <c r="G469" t="s">
        <v>2687</v>
      </c>
      <c r="H469">
        <v>1</v>
      </c>
      <c r="I469" t="s">
        <v>2689</v>
      </c>
      <c r="J469" s="30" t="str">
        <f t="shared" si="21"/>
        <v>[487]=1283,</v>
      </c>
      <c r="K469" s="3">
        <f t="shared" si="22"/>
        <v>487</v>
      </c>
      <c r="L469" s="3">
        <f t="shared" si="23"/>
        <v>1283</v>
      </c>
      <c r="M469" s="8" t="str">
        <f>VLOOKUP(A469,'ESO wayshrine names'!$A$3:$B$5104,2,)</f>
        <v>Fargrave Outskirts Wayshrine</v>
      </c>
      <c r="N469" s="3" t="str">
        <f>VLOOKUP(F469,'ESO zone constants'!$A$5:$D$10001,4,FALSE)</f>
        <v>The Shambles</v>
      </c>
    </row>
    <row r="470" spans="1:14" x14ac:dyDescent="0.25">
      <c r="A470" s="90">
        <v>488</v>
      </c>
      <c r="B470">
        <v>46</v>
      </c>
      <c r="C470">
        <v>2114</v>
      </c>
      <c r="D470" t="s">
        <v>3402</v>
      </c>
      <c r="E470">
        <v>884</v>
      </c>
      <c r="F470">
        <v>1318</v>
      </c>
      <c r="G470" t="s">
        <v>3295</v>
      </c>
      <c r="H470">
        <v>3</v>
      </c>
      <c r="I470" t="s">
        <v>3301</v>
      </c>
      <c r="J470" s="30" t="str">
        <f t="shared" si="21"/>
        <v>[488]=1318,</v>
      </c>
      <c r="K470" s="3">
        <f t="shared" si="22"/>
        <v>488</v>
      </c>
      <c r="L470" s="3">
        <f t="shared" si="23"/>
        <v>1318</v>
      </c>
      <c r="M470" s="8" t="str">
        <f>VLOOKUP(A470,'ESO wayshrine names'!$A$3:$B$5104,2,)</f>
        <v>Trial: Dreadsail Reef</v>
      </c>
      <c r="N470" s="3" t="str">
        <f>VLOOKUP(F470,'ESO zone constants'!$A$5:$D$10001,4,FALSE)</f>
        <v>High Isle</v>
      </c>
    </row>
    <row r="471" spans="1:14" x14ac:dyDescent="0.25">
      <c r="A471" s="90">
        <v>489</v>
      </c>
      <c r="B471">
        <v>44</v>
      </c>
      <c r="C471">
        <v>2119</v>
      </c>
      <c r="D471" t="s">
        <v>2686</v>
      </c>
      <c r="E471">
        <v>855</v>
      </c>
      <c r="F471">
        <v>1283</v>
      </c>
      <c r="G471" t="s">
        <v>2687</v>
      </c>
      <c r="H471">
        <v>1</v>
      </c>
      <c r="I471" t="s">
        <v>3154</v>
      </c>
      <c r="J471" s="30" t="str">
        <f t="shared" si="21"/>
        <v>[489]=1283,</v>
      </c>
      <c r="K471" s="3">
        <f t="shared" si="22"/>
        <v>489</v>
      </c>
      <c r="L471" s="3">
        <f t="shared" si="23"/>
        <v>1283</v>
      </c>
      <c r="M471" s="8" t="str">
        <f>VLOOKUP(A471,'ESO wayshrine names'!$A$3:$B$5104,2,)</f>
        <v>The Shambles Wayshrine</v>
      </c>
      <c r="N471" s="3" t="str">
        <f>VLOOKUP(F471,'ESO zone constants'!$A$5:$D$10001,4,FALSE)</f>
        <v>The Shambles</v>
      </c>
    </row>
    <row r="472" spans="1:14" x14ac:dyDescent="0.25">
      <c r="A472" s="90">
        <v>490</v>
      </c>
      <c r="B472">
        <v>45</v>
      </c>
      <c r="C472">
        <v>2021</v>
      </c>
      <c r="D472" t="s">
        <v>3142</v>
      </c>
      <c r="E472">
        <v>858</v>
      </c>
      <c r="F472">
        <v>1286</v>
      </c>
      <c r="G472" t="s">
        <v>3142</v>
      </c>
      <c r="H472">
        <v>1</v>
      </c>
      <c r="I472" t="s">
        <v>3155</v>
      </c>
      <c r="J472" s="30" t="str">
        <f t="shared" si="21"/>
        <v>[490]=1286,</v>
      </c>
      <c r="K472" s="3">
        <f t="shared" si="22"/>
        <v>490</v>
      </c>
      <c r="L472" s="3">
        <f t="shared" si="23"/>
        <v>1286</v>
      </c>
      <c r="M472" s="8" t="str">
        <f>VLOOKUP(A472,'ESO wayshrine names'!$A$3:$B$5104,2,)</f>
        <v>Wounded Crossing Wayshrine</v>
      </c>
      <c r="N472" s="3" t="str">
        <f>VLOOKUP(F472,'ESO zone constants'!$A$5:$D$10001,4,FALSE)</f>
        <v>The Deadlands</v>
      </c>
    </row>
    <row r="473" spans="1:14" x14ac:dyDescent="0.25">
      <c r="A473" s="90">
        <v>491</v>
      </c>
      <c r="B473">
        <v>45</v>
      </c>
      <c r="C473">
        <v>2021</v>
      </c>
      <c r="D473" t="s">
        <v>3142</v>
      </c>
      <c r="E473">
        <v>858</v>
      </c>
      <c r="F473">
        <v>1286</v>
      </c>
      <c r="G473" t="s">
        <v>3142</v>
      </c>
      <c r="H473">
        <v>1</v>
      </c>
      <c r="I473" t="s">
        <v>3156</v>
      </c>
      <c r="J473" s="30" t="str">
        <f t="shared" si="21"/>
        <v>[491]=1286,</v>
      </c>
      <c r="K473" s="3">
        <f t="shared" si="22"/>
        <v>491</v>
      </c>
      <c r="L473" s="3">
        <f t="shared" si="23"/>
        <v>1286</v>
      </c>
      <c r="M473" s="8" t="str">
        <f>VLOOKUP(A473,'ESO wayshrine names'!$A$3:$B$5104,2,)</f>
        <v>The Scourshales Wayshrine</v>
      </c>
      <c r="N473" s="3" t="str">
        <f>VLOOKUP(F473,'ESO zone constants'!$A$5:$D$10001,4,FALSE)</f>
        <v>The Deadlands</v>
      </c>
    </row>
    <row r="474" spans="1:14" x14ac:dyDescent="0.25">
      <c r="A474" s="90">
        <v>493</v>
      </c>
      <c r="B474">
        <v>44</v>
      </c>
      <c r="C474">
        <v>2119</v>
      </c>
      <c r="D474" t="s">
        <v>2686</v>
      </c>
      <c r="E474">
        <v>855</v>
      </c>
      <c r="F474">
        <v>1283</v>
      </c>
      <c r="G474" t="s">
        <v>2687</v>
      </c>
      <c r="H474">
        <v>1</v>
      </c>
      <c r="I474" t="s">
        <v>2688</v>
      </c>
      <c r="J474" s="30" t="str">
        <f t="shared" si="21"/>
        <v>[493]=1283,</v>
      </c>
      <c r="K474" s="3">
        <f t="shared" si="22"/>
        <v>493</v>
      </c>
      <c r="L474" s="3">
        <f t="shared" si="23"/>
        <v>1283</v>
      </c>
      <c r="M474" s="8" t="str">
        <f>VLOOKUP(A474,'ESO wayshrine names'!$A$3:$B$5104,2,)</f>
        <v>Fargrave Wayshrine</v>
      </c>
      <c r="N474" s="3" t="str">
        <f>VLOOKUP(F474,'ESO zone constants'!$A$5:$D$10001,4,FALSE)</f>
        <v>The Shambles</v>
      </c>
    </row>
    <row r="475" spans="1:14" x14ac:dyDescent="0.25">
      <c r="A475" s="90">
        <v>494</v>
      </c>
      <c r="B475">
        <v>45</v>
      </c>
      <c r="C475">
        <v>2021</v>
      </c>
      <c r="D475" t="s">
        <v>3142</v>
      </c>
      <c r="E475">
        <v>858</v>
      </c>
      <c r="F475">
        <v>1286</v>
      </c>
      <c r="G475" t="s">
        <v>3142</v>
      </c>
      <c r="H475">
        <v>1</v>
      </c>
      <c r="I475" t="s">
        <v>3157</v>
      </c>
      <c r="J475" s="30" t="str">
        <f t="shared" si="21"/>
        <v>[494]=1286,</v>
      </c>
      <c r="K475" s="3">
        <f t="shared" si="22"/>
        <v>494</v>
      </c>
      <c r="L475" s="3">
        <f t="shared" si="23"/>
        <v>1286</v>
      </c>
      <c r="M475" s="8" t="str">
        <f>VLOOKUP(A475,'ESO wayshrine names'!$A$3:$B$5104,2,)</f>
        <v>Raging Coast Wayshrine</v>
      </c>
      <c r="N475" s="3" t="str">
        <f>VLOOKUP(F475,'ESO zone constants'!$A$5:$D$10001,4,FALSE)</f>
        <v>The Deadlands</v>
      </c>
    </row>
    <row r="476" spans="1:14" x14ac:dyDescent="0.25">
      <c r="A476" s="90">
        <v>495</v>
      </c>
      <c r="B476">
        <v>44</v>
      </c>
      <c r="C476">
        <v>2119</v>
      </c>
      <c r="D476" t="s">
        <v>2686</v>
      </c>
      <c r="E476">
        <v>855</v>
      </c>
      <c r="F476">
        <v>1283</v>
      </c>
      <c r="G476" t="s">
        <v>2687</v>
      </c>
      <c r="H476">
        <v>7</v>
      </c>
      <c r="I476" t="s">
        <v>2690</v>
      </c>
      <c r="J476" s="30" t="str">
        <f t="shared" si="21"/>
        <v>[495]=1283,</v>
      </c>
      <c r="K476" s="3">
        <f t="shared" si="22"/>
        <v>495</v>
      </c>
      <c r="L476" s="3">
        <f t="shared" si="23"/>
        <v>1283</v>
      </c>
      <c r="M476" s="8" t="str">
        <f>VLOOKUP(A476,'ESO wayshrine names'!$A$3:$B$5104,2,)</f>
        <v>Ossa Accentium</v>
      </c>
      <c r="N476" s="3" t="str">
        <f>VLOOKUP(F476,'ESO zone constants'!$A$5:$D$10001,4,FALSE)</f>
        <v>The Shambles</v>
      </c>
    </row>
    <row r="477" spans="1:14" x14ac:dyDescent="0.25">
      <c r="A477" s="90">
        <v>496</v>
      </c>
      <c r="B477">
        <v>45</v>
      </c>
      <c r="C477">
        <v>2021</v>
      </c>
      <c r="D477" t="s">
        <v>3142</v>
      </c>
      <c r="E477">
        <v>858</v>
      </c>
      <c r="F477">
        <v>1286</v>
      </c>
      <c r="G477" t="s">
        <v>3142</v>
      </c>
      <c r="H477">
        <v>7</v>
      </c>
      <c r="I477" t="s">
        <v>3158</v>
      </c>
      <c r="J477" s="30" t="str">
        <f t="shared" si="21"/>
        <v>[496]=1286,</v>
      </c>
      <c r="K477" s="3">
        <f t="shared" si="22"/>
        <v>496</v>
      </c>
      <c r="L477" s="3">
        <f t="shared" si="23"/>
        <v>1286</v>
      </c>
      <c r="M477" s="8" t="str">
        <f>VLOOKUP(A477,'ESO wayshrine names'!$A$3:$B$5104,2,)</f>
        <v>Agony's Ascent</v>
      </c>
      <c r="N477" s="3" t="str">
        <f>VLOOKUP(F477,'ESO zone constants'!$A$5:$D$10001,4,FALSE)</f>
        <v>The Deadlands</v>
      </c>
    </row>
    <row r="478" spans="1:14" x14ac:dyDescent="0.25">
      <c r="A478" s="90">
        <v>497</v>
      </c>
      <c r="B478">
        <v>32</v>
      </c>
      <c r="C478">
        <v>1349</v>
      </c>
      <c r="D478" t="s">
        <v>2307</v>
      </c>
      <c r="E478">
        <v>617</v>
      </c>
      <c r="F478">
        <v>1011</v>
      </c>
      <c r="G478" t="s">
        <v>2307</v>
      </c>
      <c r="H478">
        <v>6</v>
      </c>
      <c r="I478" t="s">
        <v>3159</v>
      </c>
      <c r="J478" s="30" t="str">
        <f t="shared" si="21"/>
        <v>[497]=1011,</v>
      </c>
      <c r="K478" s="3">
        <f t="shared" si="22"/>
        <v>497</v>
      </c>
      <c r="L478" s="3">
        <f t="shared" si="23"/>
        <v>1011</v>
      </c>
      <c r="M478" s="8" t="str">
        <f>VLOOKUP(A478,'ESO wayshrine names'!$A$3:$B$5104,2,)</f>
        <v>Dungeon: Coral Aerie</v>
      </c>
      <c r="N478" s="3" t="str">
        <f>VLOOKUP(F478,'ESO zone constants'!$A$5:$D$10001,4,FALSE)</f>
        <v>Summerset</v>
      </c>
    </row>
    <row r="479" spans="1:14" x14ac:dyDescent="0.25">
      <c r="A479" s="90">
        <v>498</v>
      </c>
      <c r="B479">
        <v>3</v>
      </c>
      <c r="C479">
        <v>10</v>
      </c>
      <c r="D479" t="s">
        <v>2298</v>
      </c>
      <c r="E479">
        <v>5</v>
      </c>
      <c r="F479">
        <v>20</v>
      </c>
      <c r="G479" t="s">
        <v>2298</v>
      </c>
      <c r="H479">
        <v>6</v>
      </c>
      <c r="I479" t="s">
        <v>3160</v>
      </c>
      <c r="J479" s="30" t="str">
        <f t="shared" si="21"/>
        <v>[498]=20,</v>
      </c>
      <c r="K479" s="3">
        <f t="shared" si="22"/>
        <v>498</v>
      </c>
      <c r="L479" s="3">
        <f t="shared" si="23"/>
        <v>20</v>
      </c>
      <c r="M479" s="8" t="str">
        <f>VLOOKUP(A479,'ESO wayshrine names'!$A$3:$B$5104,2,)</f>
        <v>Dungeon: Shipwright's Regret</v>
      </c>
      <c r="N479" s="3" t="str">
        <f>VLOOKUP(F479,'ESO zone constants'!$A$5:$D$10001,4,FALSE)</f>
        <v>Rivenspire</v>
      </c>
    </row>
    <row r="480" spans="1:14" x14ac:dyDescent="0.25">
      <c r="A480" s="90">
        <v>499</v>
      </c>
      <c r="B480">
        <v>20</v>
      </c>
      <c r="C480">
        <v>227</v>
      </c>
      <c r="D480" t="s">
        <v>383</v>
      </c>
      <c r="E480">
        <v>306</v>
      </c>
      <c r="F480">
        <v>535</v>
      </c>
      <c r="G480" t="s">
        <v>383</v>
      </c>
      <c r="H480">
        <v>7</v>
      </c>
      <c r="I480" t="s">
        <v>3161</v>
      </c>
      <c r="J480" s="30" t="str">
        <f t="shared" si="21"/>
        <v>[499]=535,</v>
      </c>
      <c r="K480" s="3">
        <f t="shared" si="22"/>
        <v>499</v>
      </c>
      <c r="L480" s="3">
        <f t="shared" si="23"/>
        <v>535</v>
      </c>
      <c r="M480" s="8" t="str">
        <f>VLOOKUP(A480,'ESO wayshrine names'!$A$3:$B$5104,2,)</f>
        <v>Seaveil Spire</v>
      </c>
      <c r="N480" s="3" t="str">
        <f>VLOOKUP(F480,'ESO zone constants'!$A$5:$D$10001,4,FALSE)</f>
        <v>Betnikh</v>
      </c>
    </row>
    <row r="481" spans="1:14" x14ac:dyDescent="0.25">
      <c r="A481" s="90">
        <v>501</v>
      </c>
      <c r="B481">
        <v>46</v>
      </c>
      <c r="C481">
        <v>2114</v>
      </c>
      <c r="D481" t="s">
        <v>3402</v>
      </c>
      <c r="E481">
        <v>884</v>
      </c>
      <c r="F481">
        <v>1318</v>
      </c>
      <c r="G481" t="s">
        <v>3295</v>
      </c>
      <c r="H481">
        <v>1</v>
      </c>
      <c r="I481" t="s">
        <v>3304</v>
      </c>
      <c r="J481" s="30" t="str">
        <f t="shared" si="21"/>
        <v>[501]=1318,</v>
      </c>
      <c r="K481" s="3">
        <f t="shared" si="22"/>
        <v>501</v>
      </c>
      <c r="L481" s="3">
        <f t="shared" si="23"/>
        <v>1318</v>
      </c>
      <c r="M481" s="8" t="str">
        <f>VLOOKUP(A481,'ESO wayshrine names'!$A$3:$B$5104,2,)</f>
        <v>Coral Road Wayshrine</v>
      </c>
      <c r="N481" s="3" t="str">
        <f>VLOOKUP(F481,'ESO zone constants'!$A$5:$D$10001,4,FALSE)</f>
        <v>High Isle</v>
      </c>
    </row>
    <row r="482" spans="1:14" s="53" customFormat="1" x14ac:dyDescent="0.25">
      <c r="A482" s="90">
        <v>502</v>
      </c>
      <c r="B482">
        <v>46</v>
      </c>
      <c r="C482">
        <v>2114</v>
      </c>
      <c r="D482" t="s">
        <v>3402</v>
      </c>
      <c r="E482">
        <v>884</v>
      </c>
      <c r="F482">
        <v>1318</v>
      </c>
      <c r="G482" t="s">
        <v>3295</v>
      </c>
      <c r="H482">
        <v>1</v>
      </c>
      <c r="I482" t="s">
        <v>3305</v>
      </c>
      <c r="J482" s="30" t="str">
        <f t="shared" si="21"/>
        <v>[502]=1318,</v>
      </c>
      <c r="K482" s="3">
        <f t="shared" si="22"/>
        <v>502</v>
      </c>
      <c r="L482" s="3">
        <f t="shared" si="23"/>
        <v>1318</v>
      </c>
      <c r="M482" s="8" t="str">
        <f>VLOOKUP(A482,'ESO wayshrine names'!$A$3:$B$5104,2,)</f>
        <v>Tor Draioch Wayshrine</v>
      </c>
      <c r="N482" s="3" t="str">
        <f>VLOOKUP(F482,'ESO zone constants'!$A$5:$D$10001,4,FALSE)</f>
        <v>High Isle</v>
      </c>
    </row>
    <row r="483" spans="1:14" x14ac:dyDescent="0.25">
      <c r="A483" s="90">
        <v>503</v>
      </c>
      <c r="B483">
        <v>46</v>
      </c>
      <c r="C483">
        <v>2114</v>
      </c>
      <c r="D483" t="s">
        <v>3402</v>
      </c>
      <c r="E483">
        <v>884</v>
      </c>
      <c r="F483">
        <v>1318</v>
      </c>
      <c r="G483" t="s">
        <v>3295</v>
      </c>
      <c r="H483">
        <v>1</v>
      </c>
      <c r="I483" t="s">
        <v>3306</v>
      </c>
      <c r="J483" s="30" t="str">
        <f t="shared" si="21"/>
        <v>[503]=1318,</v>
      </c>
      <c r="K483" s="3">
        <f t="shared" si="22"/>
        <v>503</v>
      </c>
      <c r="L483" s="3">
        <f t="shared" si="23"/>
        <v>1318</v>
      </c>
      <c r="M483" s="8" t="str">
        <f>VLOOKUP(A483,'ESO wayshrine names'!$A$3:$B$5104,2,)</f>
        <v>Steadfast Manor Wayshrine</v>
      </c>
      <c r="N483" s="3" t="str">
        <f>VLOOKUP(F483,'ESO zone constants'!$A$5:$D$10001,4,FALSE)</f>
        <v>High Isle</v>
      </c>
    </row>
    <row r="484" spans="1:14" x14ac:dyDescent="0.25">
      <c r="A484" s="90">
        <v>504</v>
      </c>
      <c r="B484">
        <v>46</v>
      </c>
      <c r="C484">
        <v>2114</v>
      </c>
      <c r="D484" t="s">
        <v>3402</v>
      </c>
      <c r="E484">
        <v>884</v>
      </c>
      <c r="F484">
        <v>1318</v>
      </c>
      <c r="G484" t="s">
        <v>3295</v>
      </c>
      <c r="H484">
        <v>1</v>
      </c>
      <c r="I484" t="s">
        <v>3307</v>
      </c>
      <c r="J484" s="30" t="str">
        <f t="shared" si="21"/>
        <v>[504]=1318,</v>
      </c>
      <c r="K484" s="3">
        <f t="shared" si="22"/>
        <v>504</v>
      </c>
      <c r="L484" s="3">
        <f t="shared" si="23"/>
        <v>1318</v>
      </c>
      <c r="M484" s="8" t="str">
        <f>VLOOKUP(A484,'ESO wayshrine names'!$A$3:$B$5104,2,)</f>
        <v>Castle Navire Wayshrine</v>
      </c>
      <c r="N484" s="3" t="str">
        <f>VLOOKUP(F484,'ESO zone constants'!$A$5:$D$10001,4,FALSE)</f>
        <v>High Isle</v>
      </c>
    </row>
    <row r="485" spans="1:14" x14ac:dyDescent="0.25">
      <c r="A485" s="90">
        <v>505</v>
      </c>
      <c r="B485">
        <v>46</v>
      </c>
      <c r="C485">
        <v>2114</v>
      </c>
      <c r="D485" t="s">
        <v>3402</v>
      </c>
      <c r="E485">
        <v>884</v>
      </c>
      <c r="F485">
        <v>1318</v>
      </c>
      <c r="G485" t="s">
        <v>3295</v>
      </c>
      <c r="H485">
        <v>1</v>
      </c>
      <c r="I485" t="s">
        <v>3308</v>
      </c>
      <c r="J485" s="30" t="str">
        <f t="shared" si="21"/>
        <v>[505]=1318,</v>
      </c>
      <c r="K485" s="3">
        <f t="shared" si="22"/>
        <v>505</v>
      </c>
      <c r="L485" s="3">
        <f t="shared" si="23"/>
        <v>1318</v>
      </c>
      <c r="M485" s="8" t="str">
        <f>VLOOKUP(A485,'ESO wayshrine names'!$A$3:$B$5104,2,)</f>
        <v>Garick's Rest Wayshrine</v>
      </c>
      <c r="N485" s="3" t="str">
        <f>VLOOKUP(F485,'ESO zone constants'!$A$5:$D$10001,4,FALSE)</f>
        <v>High Isle</v>
      </c>
    </row>
    <row r="486" spans="1:14" x14ac:dyDescent="0.25">
      <c r="A486" s="90">
        <v>506</v>
      </c>
      <c r="B486">
        <v>46</v>
      </c>
      <c r="C486">
        <v>2114</v>
      </c>
      <c r="D486" t="s">
        <v>3402</v>
      </c>
      <c r="E486">
        <v>884</v>
      </c>
      <c r="F486">
        <v>1318</v>
      </c>
      <c r="G486" t="s">
        <v>3295</v>
      </c>
      <c r="H486">
        <v>1</v>
      </c>
      <c r="I486" t="s">
        <v>3309</v>
      </c>
      <c r="J486" s="30" t="str">
        <f t="shared" si="21"/>
        <v>[506]=1318,</v>
      </c>
      <c r="K486" s="3">
        <f t="shared" si="22"/>
        <v>506</v>
      </c>
      <c r="L486" s="3">
        <f t="shared" si="23"/>
        <v>1318</v>
      </c>
      <c r="M486" s="8" t="str">
        <f>VLOOKUP(A486,'ESO wayshrine names'!$A$3:$B$5104,2,)</f>
        <v>Stonelore Grove Wayshrine</v>
      </c>
      <c r="N486" s="3" t="str">
        <f>VLOOKUP(F486,'ESO zone constants'!$A$5:$D$10001,4,FALSE)</f>
        <v>High Isle</v>
      </c>
    </row>
    <row r="487" spans="1:14" x14ac:dyDescent="0.25">
      <c r="A487" s="90">
        <v>507</v>
      </c>
      <c r="B487">
        <v>46</v>
      </c>
      <c r="C487">
        <v>2114</v>
      </c>
      <c r="D487" t="s">
        <v>3402</v>
      </c>
      <c r="E487">
        <v>884</v>
      </c>
      <c r="F487">
        <v>1318</v>
      </c>
      <c r="G487" t="s">
        <v>3295</v>
      </c>
      <c r="H487">
        <v>1</v>
      </c>
      <c r="I487" t="s">
        <v>3310</v>
      </c>
      <c r="J487" s="30" t="str">
        <f t="shared" si="21"/>
        <v>[507]=1318,</v>
      </c>
      <c r="K487" s="3">
        <f t="shared" si="22"/>
        <v>507</v>
      </c>
      <c r="L487" s="3">
        <f t="shared" si="23"/>
        <v>1318</v>
      </c>
      <c r="M487" s="8" t="str">
        <f>VLOOKUP(A487,'ESO wayshrine names'!$A$3:$B$5104,2,)</f>
        <v>Dufort Shipyards Wayshrine</v>
      </c>
      <c r="N487" s="3" t="str">
        <f>VLOOKUP(F487,'ESO zone constants'!$A$5:$D$10001,4,FALSE)</f>
        <v>High Isle</v>
      </c>
    </row>
    <row r="488" spans="1:14" x14ac:dyDescent="0.25">
      <c r="A488" s="90">
        <v>508</v>
      </c>
      <c r="B488">
        <v>46</v>
      </c>
      <c r="C488">
        <v>2114</v>
      </c>
      <c r="D488" t="s">
        <v>3402</v>
      </c>
      <c r="E488">
        <v>884</v>
      </c>
      <c r="F488">
        <v>1318</v>
      </c>
      <c r="G488" t="s">
        <v>3295</v>
      </c>
      <c r="H488">
        <v>1</v>
      </c>
      <c r="I488" t="s">
        <v>3311</v>
      </c>
      <c r="J488" s="30" t="str">
        <f t="shared" si="21"/>
        <v>[508]=1318,</v>
      </c>
      <c r="K488" s="3">
        <f t="shared" si="22"/>
        <v>508</v>
      </c>
      <c r="L488" s="3">
        <f t="shared" si="23"/>
        <v>1318</v>
      </c>
      <c r="M488" s="8" t="str">
        <f>VLOOKUP(A488,'ESO wayshrine names'!$A$3:$B$5104,2,)</f>
        <v>Amenos Station Wayshrine</v>
      </c>
      <c r="N488" s="3" t="str">
        <f>VLOOKUP(F488,'ESO zone constants'!$A$5:$D$10001,4,FALSE)</f>
        <v>High Isle</v>
      </c>
    </row>
    <row r="489" spans="1:14" x14ac:dyDescent="0.25">
      <c r="A489" s="90">
        <v>509</v>
      </c>
      <c r="B489">
        <v>46</v>
      </c>
      <c r="C489">
        <v>2114</v>
      </c>
      <c r="D489" t="s">
        <v>3402</v>
      </c>
      <c r="E489">
        <v>884</v>
      </c>
      <c r="F489">
        <v>1318</v>
      </c>
      <c r="G489" t="s">
        <v>3295</v>
      </c>
      <c r="H489">
        <v>1</v>
      </c>
      <c r="I489" t="s">
        <v>3312</v>
      </c>
      <c r="J489" s="30" t="str">
        <f t="shared" si="21"/>
        <v>[509]=1318,</v>
      </c>
      <c r="K489" s="3">
        <f t="shared" si="22"/>
        <v>509</v>
      </c>
      <c r="L489" s="3">
        <f t="shared" si="23"/>
        <v>1318</v>
      </c>
      <c r="M489" s="8" t="str">
        <f>VLOOKUP(A489,'ESO wayshrine names'!$A$3:$B$5104,2,)</f>
        <v>Brokerock Wayshrine</v>
      </c>
      <c r="N489" s="3" t="str">
        <f>VLOOKUP(F489,'ESO zone constants'!$A$5:$D$10001,4,FALSE)</f>
        <v>High Isle</v>
      </c>
    </row>
    <row r="490" spans="1:14" x14ac:dyDescent="0.25">
      <c r="A490" s="90">
        <v>510</v>
      </c>
      <c r="B490">
        <v>46</v>
      </c>
      <c r="C490">
        <v>2114</v>
      </c>
      <c r="D490" t="s">
        <v>3402</v>
      </c>
      <c r="E490">
        <v>884</v>
      </c>
      <c r="F490">
        <v>1318</v>
      </c>
      <c r="G490" t="s">
        <v>3295</v>
      </c>
      <c r="H490">
        <v>1</v>
      </c>
      <c r="I490" t="s">
        <v>3313</v>
      </c>
      <c r="J490" s="30" t="str">
        <f t="shared" si="21"/>
        <v>[510]=1318,</v>
      </c>
      <c r="K490" s="3">
        <f t="shared" si="22"/>
        <v>510</v>
      </c>
      <c r="L490" s="3">
        <f t="shared" si="23"/>
        <v>1318</v>
      </c>
      <c r="M490" s="8" t="str">
        <f>VLOOKUP(A490,'ESO wayshrine names'!$A$3:$B$5104,2,)</f>
        <v>All Flags Wayshrine</v>
      </c>
      <c r="N490" s="3" t="str">
        <f>VLOOKUP(F490,'ESO zone constants'!$A$5:$D$10001,4,FALSE)</f>
        <v>High Isle</v>
      </c>
    </row>
    <row r="491" spans="1:14" x14ac:dyDescent="0.25">
      <c r="A491" s="90">
        <v>511</v>
      </c>
      <c r="B491">
        <v>46</v>
      </c>
      <c r="C491">
        <v>2114</v>
      </c>
      <c r="D491" t="s">
        <v>3402</v>
      </c>
      <c r="E491">
        <v>884</v>
      </c>
      <c r="F491">
        <v>1318</v>
      </c>
      <c r="G491" t="s">
        <v>3295</v>
      </c>
      <c r="H491">
        <v>1</v>
      </c>
      <c r="I491" t="s">
        <v>3314</v>
      </c>
      <c r="J491" s="30" t="str">
        <f t="shared" si="21"/>
        <v>[511]=1318,</v>
      </c>
      <c r="K491" s="3">
        <f t="shared" si="22"/>
        <v>511</v>
      </c>
      <c r="L491" s="3">
        <f t="shared" si="23"/>
        <v>1318</v>
      </c>
      <c r="M491" s="8" t="str">
        <f>VLOOKUP(A491,'ESO wayshrine names'!$A$3:$B$5104,2,)</f>
        <v>Trappers Peak Wayshrine</v>
      </c>
      <c r="N491" s="3" t="str">
        <f>VLOOKUP(F491,'ESO zone constants'!$A$5:$D$10001,4,FALSE)</f>
        <v>High Isle</v>
      </c>
    </row>
    <row r="492" spans="1:14" x14ac:dyDescent="0.25">
      <c r="A492" s="90">
        <v>512</v>
      </c>
      <c r="B492">
        <v>46</v>
      </c>
      <c r="C492">
        <v>2114</v>
      </c>
      <c r="D492" t="s">
        <v>3402</v>
      </c>
      <c r="E492">
        <v>884</v>
      </c>
      <c r="F492">
        <v>1318</v>
      </c>
      <c r="G492" t="s">
        <v>3295</v>
      </c>
      <c r="H492">
        <v>1</v>
      </c>
      <c r="I492" t="s">
        <v>3296</v>
      </c>
      <c r="J492" s="30" t="str">
        <f t="shared" si="21"/>
        <v>[512]=1318,</v>
      </c>
      <c r="K492" s="3">
        <f t="shared" si="22"/>
        <v>512</v>
      </c>
      <c r="L492" s="3">
        <f t="shared" si="23"/>
        <v>1318</v>
      </c>
      <c r="M492" s="8" t="str">
        <f>VLOOKUP(A492,'ESO wayshrine names'!$A$3:$B$5104,2,)</f>
        <v>Westbay Wayshrine</v>
      </c>
      <c r="N492" s="3" t="str">
        <f>VLOOKUP(F492,'ESO zone constants'!$A$5:$D$10001,4,FALSE)</f>
        <v>High Isle</v>
      </c>
    </row>
    <row r="493" spans="1:14" x14ac:dyDescent="0.25">
      <c r="A493" s="90">
        <v>513</v>
      </c>
      <c r="B493">
        <v>46</v>
      </c>
      <c r="C493">
        <v>2114</v>
      </c>
      <c r="D493" t="s">
        <v>3402</v>
      </c>
      <c r="E493">
        <v>884</v>
      </c>
      <c r="F493">
        <v>1318</v>
      </c>
      <c r="G493" t="s">
        <v>3295</v>
      </c>
      <c r="H493">
        <v>1</v>
      </c>
      <c r="I493" t="s">
        <v>3297</v>
      </c>
      <c r="J493" s="30" t="str">
        <f t="shared" si="21"/>
        <v>[513]=1318,</v>
      </c>
      <c r="K493" s="3">
        <f t="shared" si="22"/>
        <v>513</v>
      </c>
      <c r="L493" s="3">
        <f t="shared" si="23"/>
        <v>1318</v>
      </c>
      <c r="M493" s="8" t="str">
        <f>VLOOKUP(A493,'ESO wayshrine names'!$A$3:$B$5104,2,)</f>
        <v>Gonfalon Square Wayshrine</v>
      </c>
      <c r="N493" s="3" t="str">
        <f>VLOOKUP(F493,'ESO zone constants'!$A$5:$D$10001,4,FALSE)</f>
        <v>High Isle</v>
      </c>
    </row>
    <row r="494" spans="1:14" x14ac:dyDescent="0.25">
      <c r="A494" s="90">
        <v>517</v>
      </c>
      <c r="B494">
        <v>46</v>
      </c>
      <c r="C494">
        <v>2114</v>
      </c>
      <c r="D494" t="s">
        <v>3402</v>
      </c>
      <c r="E494">
        <v>884</v>
      </c>
      <c r="F494">
        <v>1318</v>
      </c>
      <c r="G494" t="s">
        <v>3295</v>
      </c>
      <c r="H494">
        <v>0</v>
      </c>
      <c r="I494" t="s">
        <v>3298</v>
      </c>
      <c r="J494" s="30" t="str">
        <f t="shared" si="21"/>
        <v>[517]=1318,</v>
      </c>
      <c r="K494" s="3">
        <f t="shared" si="22"/>
        <v>517</v>
      </c>
      <c r="L494" s="3">
        <f t="shared" si="23"/>
        <v>1318</v>
      </c>
      <c r="M494" s="8" t="str">
        <f>VLOOKUP(A494,'ESO wayshrine names'!$A$3:$B$5104,2,)</f>
        <v>All Flags Islet</v>
      </c>
      <c r="N494" s="3" t="str">
        <f>VLOOKUP(F494,'ESO zone constants'!$A$5:$D$10001,4,FALSE)</f>
        <v>High Isle</v>
      </c>
    </row>
    <row r="495" spans="1:14" x14ac:dyDescent="0.25">
      <c r="A495" s="90">
        <v>518</v>
      </c>
      <c r="B495">
        <v>46</v>
      </c>
      <c r="C495">
        <v>2114</v>
      </c>
      <c r="D495" t="s">
        <v>3402</v>
      </c>
      <c r="E495">
        <v>884</v>
      </c>
      <c r="F495">
        <v>1318</v>
      </c>
      <c r="G495" t="s">
        <v>3295</v>
      </c>
      <c r="H495">
        <v>1</v>
      </c>
      <c r="I495" t="s">
        <v>3299</v>
      </c>
      <c r="J495" s="30" t="str">
        <f t="shared" si="21"/>
        <v>[518]=1318,</v>
      </c>
      <c r="K495" s="3">
        <f t="shared" si="22"/>
        <v>518</v>
      </c>
      <c r="L495" s="3">
        <f t="shared" si="23"/>
        <v>1318</v>
      </c>
      <c r="M495" s="8" t="str">
        <f>VLOOKUP(A495,'ESO wayshrine names'!$A$3:$B$5104,2,)</f>
        <v>Serpents Hollow Wayshrine</v>
      </c>
      <c r="N495" s="3" t="str">
        <f>VLOOKUP(F495,'ESO zone constants'!$A$5:$D$10001,4,FALSE)</f>
        <v>High Isle</v>
      </c>
    </row>
    <row r="496" spans="1:14" x14ac:dyDescent="0.25">
      <c r="A496" s="90">
        <v>519</v>
      </c>
      <c r="B496">
        <v>46</v>
      </c>
      <c r="C496">
        <v>2114</v>
      </c>
      <c r="D496" t="s">
        <v>3402</v>
      </c>
      <c r="E496">
        <v>884</v>
      </c>
      <c r="F496">
        <v>1318</v>
      </c>
      <c r="G496" t="s">
        <v>3295</v>
      </c>
      <c r="H496">
        <v>1</v>
      </c>
      <c r="I496" t="s">
        <v>3300</v>
      </c>
      <c r="J496" s="30" t="str">
        <f t="shared" si="21"/>
        <v>[519]=1318,</v>
      </c>
      <c r="K496" s="3">
        <f t="shared" si="22"/>
        <v>519</v>
      </c>
      <c r="L496" s="3">
        <f t="shared" si="23"/>
        <v>1318</v>
      </c>
      <c r="M496" s="8" t="str">
        <f>VLOOKUP(A496,'ESO wayshrine names'!$A$3:$B$5104,2,)</f>
        <v>Flooded Coast Wayshrine</v>
      </c>
      <c r="N496" s="3" t="str">
        <f>VLOOKUP(F496,'ESO zone constants'!$A$5:$D$10001,4,FALSE)</f>
        <v>High Isle</v>
      </c>
    </row>
    <row r="497" spans="1:14" x14ac:dyDescent="0.25">
      <c r="A497" s="90">
        <v>520</v>
      </c>
      <c r="B497">
        <v>46</v>
      </c>
      <c r="C497">
        <v>2114</v>
      </c>
      <c r="D497" t="s">
        <v>3402</v>
      </c>
      <c r="E497">
        <v>884</v>
      </c>
      <c r="F497">
        <v>1318</v>
      </c>
      <c r="G497" t="s">
        <v>3295</v>
      </c>
      <c r="H497">
        <v>6</v>
      </c>
      <c r="I497" t="s">
        <v>3403</v>
      </c>
      <c r="J497" s="30" t="str">
        <f t="shared" si="21"/>
        <v>[520]=1318,</v>
      </c>
      <c r="K497" s="3">
        <f t="shared" si="22"/>
        <v>520</v>
      </c>
      <c r="L497" s="3">
        <f t="shared" si="23"/>
        <v>1318</v>
      </c>
      <c r="M497" s="8" t="str">
        <f>VLOOKUP(A497,'ESO wayshrine names'!$A$3:$B$5104,2,)</f>
        <v>Dungeon: Earthen Root Enclave</v>
      </c>
      <c r="N497" s="3" t="str">
        <f>VLOOKUP(F497,'ESO zone constants'!$A$5:$D$10001,4,FALSE)</f>
        <v>High Isle</v>
      </c>
    </row>
    <row r="498" spans="1:14" x14ac:dyDescent="0.25">
      <c r="A498" s="90">
        <v>521</v>
      </c>
      <c r="B498">
        <v>46</v>
      </c>
      <c r="C498">
        <v>2114</v>
      </c>
      <c r="D498" t="s">
        <v>3402</v>
      </c>
      <c r="E498">
        <v>884</v>
      </c>
      <c r="F498">
        <v>1318</v>
      </c>
      <c r="G498" t="s">
        <v>3295</v>
      </c>
      <c r="H498">
        <v>6</v>
      </c>
      <c r="I498" t="s">
        <v>3396</v>
      </c>
      <c r="J498" s="30" t="str">
        <f t="shared" si="21"/>
        <v>[521]=1318,</v>
      </c>
      <c r="K498" s="3">
        <f t="shared" si="22"/>
        <v>521</v>
      </c>
      <c r="L498" s="3">
        <f t="shared" si="23"/>
        <v>1318</v>
      </c>
      <c r="M498" s="8" t="str">
        <f>VLOOKUP(A498,'ESO wayshrine names'!$A$3:$B$5104,2,)</f>
        <v>Dungeon: Graven Deep</v>
      </c>
      <c r="N498" s="3" t="str">
        <f>VLOOKUP(F498,'ESO zone constants'!$A$5:$D$10001,4,FALSE)</f>
        <v>High Isle</v>
      </c>
    </row>
    <row r="499" spans="1:14" x14ac:dyDescent="0.25">
      <c r="A499" s="90">
        <v>522</v>
      </c>
      <c r="B499">
        <v>46</v>
      </c>
      <c r="C499">
        <v>2114</v>
      </c>
      <c r="D499" t="s">
        <v>3402</v>
      </c>
      <c r="E499">
        <v>884</v>
      </c>
      <c r="F499">
        <v>1318</v>
      </c>
      <c r="G499" t="s">
        <v>3295</v>
      </c>
      <c r="H499">
        <v>7</v>
      </c>
      <c r="I499" t="s">
        <v>3302</v>
      </c>
      <c r="J499" s="30" t="str">
        <f t="shared" si="21"/>
        <v>[522]=1318,</v>
      </c>
      <c r="K499" s="3">
        <f t="shared" si="22"/>
        <v>522</v>
      </c>
      <c r="L499" s="3">
        <f t="shared" si="23"/>
        <v>1318</v>
      </c>
      <c r="M499" s="8" t="str">
        <f>VLOOKUP(A499,'ESO wayshrine names'!$A$3:$B$5104,2,)</f>
        <v>Ancient Anchor Berth</v>
      </c>
      <c r="N499" s="3" t="str">
        <f>VLOOKUP(F499,'ESO zone constants'!$A$5:$D$10001,4,FALSE)</f>
        <v>High Isle</v>
      </c>
    </row>
    <row r="500" spans="1:14" x14ac:dyDescent="0.25">
      <c r="A500" s="90">
        <v>523</v>
      </c>
      <c r="B500">
        <v>46</v>
      </c>
      <c r="C500">
        <v>2114</v>
      </c>
      <c r="D500" t="s">
        <v>3402</v>
      </c>
      <c r="E500">
        <v>884</v>
      </c>
      <c r="F500">
        <v>1318</v>
      </c>
      <c r="G500" t="s">
        <v>3295</v>
      </c>
      <c r="H500">
        <v>7</v>
      </c>
      <c r="I500" t="s">
        <v>3303</v>
      </c>
      <c r="J500" s="30" t="str">
        <f t="shared" si="21"/>
        <v>[523]=1318,</v>
      </c>
      <c r="K500" s="3">
        <f t="shared" si="22"/>
        <v>523</v>
      </c>
      <c r="L500" s="3">
        <f t="shared" si="23"/>
        <v>1318</v>
      </c>
      <c r="M500" s="8" t="str">
        <f>VLOOKUP(A500,'ESO wayshrine names'!$A$3:$B$5104,2,)</f>
        <v>Highhallow Hold</v>
      </c>
      <c r="N500" s="3" t="str">
        <f>VLOOKUP(F500,'ESO zone constants'!$A$5:$D$10001,4,FALSE)</f>
        <v>High Isle</v>
      </c>
    </row>
    <row r="501" spans="1:14" x14ac:dyDescent="0.25">
      <c r="A501" s="90">
        <v>524</v>
      </c>
      <c r="B501">
        <v>48</v>
      </c>
      <c r="C501">
        <v>2212</v>
      </c>
      <c r="D501" t="s">
        <v>3468</v>
      </c>
      <c r="E501">
        <v>929</v>
      </c>
      <c r="F501">
        <v>1383</v>
      </c>
      <c r="G501" t="s">
        <v>3456</v>
      </c>
      <c r="H501">
        <v>1</v>
      </c>
      <c r="I501" t="s">
        <v>3472</v>
      </c>
      <c r="J501" s="30" t="str">
        <f t="shared" si="21"/>
        <v>[524]=1383,</v>
      </c>
      <c r="K501" s="3">
        <f t="shared" si="22"/>
        <v>524</v>
      </c>
      <c r="L501" s="3">
        <f t="shared" si="23"/>
        <v>1383</v>
      </c>
      <c r="M501" s="8" t="str">
        <f>VLOOKUP(A501,'ESO wayshrine names'!$A$3:$B$5104,2,)</f>
        <v>Vastyr Outskirts Wayshrine</v>
      </c>
      <c r="N501" s="3" t="str">
        <f>VLOOKUP(F501,'ESO zone constants'!$A$5:$D$10001,4,FALSE)</f>
        <v>Galen</v>
      </c>
    </row>
    <row r="502" spans="1:14" x14ac:dyDescent="0.25">
      <c r="A502" s="90">
        <v>525</v>
      </c>
      <c r="B502">
        <v>48</v>
      </c>
      <c r="C502">
        <v>2212</v>
      </c>
      <c r="D502" t="s">
        <v>3468</v>
      </c>
      <c r="E502">
        <v>929</v>
      </c>
      <c r="F502">
        <v>1383</v>
      </c>
      <c r="G502" t="s">
        <v>3456</v>
      </c>
      <c r="H502">
        <v>1</v>
      </c>
      <c r="I502" t="s">
        <v>3473</v>
      </c>
      <c r="J502" s="30" t="str">
        <f t="shared" si="21"/>
        <v>[525]=1383,</v>
      </c>
      <c r="K502" s="3">
        <f t="shared" si="22"/>
        <v>525</v>
      </c>
      <c r="L502" s="3">
        <f t="shared" si="23"/>
        <v>1383</v>
      </c>
      <c r="M502" s="8" t="str">
        <f>VLOOKUP(A502,'ESO wayshrine names'!$A$3:$B$5104,2,)</f>
        <v>Glimmertarn Wayshrine</v>
      </c>
      <c r="N502" s="3" t="str">
        <f>VLOOKUP(F502,'ESO zone constants'!$A$5:$D$10001,4,FALSE)</f>
        <v>Galen</v>
      </c>
    </row>
    <row r="503" spans="1:14" x14ac:dyDescent="0.25">
      <c r="A503" s="90">
        <v>526</v>
      </c>
      <c r="B503">
        <v>48</v>
      </c>
      <c r="C503">
        <v>2212</v>
      </c>
      <c r="D503" t="s">
        <v>3468</v>
      </c>
      <c r="E503">
        <v>929</v>
      </c>
      <c r="F503">
        <v>1383</v>
      </c>
      <c r="G503" t="s">
        <v>3456</v>
      </c>
      <c r="H503">
        <v>1</v>
      </c>
      <c r="I503" t="s">
        <v>3474</v>
      </c>
      <c r="J503" s="30" t="str">
        <f t="shared" si="21"/>
        <v>[526]=1383,</v>
      </c>
      <c r="K503" s="3">
        <f t="shared" si="22"/>
        <v>526</v>
      </c>
      <c r="L503" s="3">
        <f t="shared" si="23"/>
        <v>1383</v>
      </c>
      <c r="M503" s="8" t="str">
        <f>VLOOKUP(A503,'ESO wayshrine names'!$A$3:$B$5104,2,)</f>
        <v>Embervine Wayshrine</v>
      </c>
      <c r="N503" s="3" t="str">
        <f>VLOOKUP(F503,'ESO zone constants'!$A$5:$D$10001,4,FALSE)</f>
        <v>Galen</v>
      </c>
    </row>
    <row r="504" spans="1:14" x14ac:dyDescent="0.25">
      <c r="A504" s="90">
        <v>527</v>
      </c>
      <c r="B504">
        <v>48</v>
      </c>
      <c r="C504">
        <v>2212</v>
      </c>
      <c r="D504" t="s">
        <v>3468</v>
      </c>
      <c r="E504">
        <v>929</v>
      </c>
      <c r="F504">
        <v>1383</v>
      </c>
      <c r="G504" t="s">
        <v>3456</v>
      </c>
      <c r="H504">
        <v>1</v>
      </c>
      <c r="I504" t="s">
        <v>3475</v>
      </c>
      <c r="J504" s="30" t="str">
        <f t="shared" si="21"/>
        <v>[527]=1383,</v>
      </c>
      <c r="K504" s="3">
        <f t="shared" si="22"/>
        <v>527</v>
      </c>
      <c r="L504" s="3">
        <f t="shared" si="23"/>
        <v>1383</v>
      </c>
      <c r="M504" s="8" t="str">
        <f>VLOOKUP(A504,'ESO wayshrine names'!$A$3:$B$5104,2,)</f>
        <v>Llanshara Wayshrine</v>
      </c>
      <c r="N504" s="3" t="str">
        <f>VLOOKUP(F504,'ESO zone constants'!$A$5:$D$10001,4,FALSE)</f>
        <v>Galen</v>
      </c>
    </row>
    <row r="505" spans="1:14" x14ac:dyDescent="0.25">
      <c r="A505" s="90">
        <v>528</v>
      </c>
      <c r="B505">
        <v>48</v>
      </c>
      <c r="C505">
        <v>2212</v>
      </c>
      <c r="D505" t="s">
        <v>3468</v>
      </c>
      <c r="E505">
        <v>929</v>
      </c>
      <c r="F505">
        <v>1383</v>
      </c>
      <c r="G505" t="s">
        <v>3456</v>
      </c>
      <c r="H505">
        <v>1</v>
      </c>
      <c r="I505" t="s">
        <v>3469</v>
      </c>
      <c r="J505" s="30" t="str">
        <f t="shared" si="21"/>
        <v>[528]=1383,</v>
      </c>
      <c r="K505" s="3">
        <f t="shared" si="22"/>
        <v>528</v>
      </c>
      <c r="L505" s="3">
        <f t="shared" si="23"/>
        <v>1383</v>
      </c>
      <c r="M505" s="8" t="str">
        <f>VLOOKUP(A505,'ESO wayshrine names'!$A$3:$B$5104,2,)</f>
        <v>Y'ffre's Path Wayshrine</v>
      </c>
      <c r="N505" s="3" t="str">
        <f>VLOOKUP(F505,'ESO zone constants'!$A$5:$D$10001,4,FALSE)</f>
        <v>Galen</v>
      </c>
    </row>
    <row r="506" spans="1:14" x14ac:dyDescent="0.25">
      <c r="A506" s="90">
        <v>529</v>
      </c>
      <c r="B506">
        <v>48</v>
      </c>
      <c r="C506">
        <v>2212</v>
      </c>
      <c r="D506" t="s">
        <v>3468</v>
      </c>
      <c r="E506">
        <v>929</v>
      </c>
      <c r="F506">
        <v>1383</v>
      </c>
      <c r="G506" t="s">
        <v>3456</v>
      </c>
      <c r="H506">
        <v>1</v>
      </c>
      <c r="I506" t="s">
        <v>3470</v>
      </c>
      <c r="J506" s="30" t="str">
        <f t="shared" si="21"/>
        <v>[529]=1383,</v>
      </c>
      <c r="K506" s="3">
        <f t="shared" si="22"/>
        <v>529</v>
      </c>
      <c r="L506" s="3">
        <f t="shared" si="23"/>
        <v>1383</v>
      </c>
      <c r="M506" s="8" t="str">
        <f>VLOOKUP(A506,'ESO wayshrine names'!$A$3:$B$5104,2,)</f>
        <v>Vastyr Wayshrine</v>
      </c>
      <c r="N506" s="3" t="str">
        <f>VLOOKUP(F506,'ESO zone constants'!$A$5:$D$10001,4,FALSE)</f>
        <v>Galen</v>
      </c>
    </row>
    <row r="507" spans="1:14" x14ac:dyDescent="0.25">
      <c r="A507" s="90">
        <v>530</v>
      </c>
      <c r="B507">
        <v>48</v>
      </c>
      <c r="C507">
        <v>2212</v>
      </c>
      <c r="D507" t="s">
        <v>3468</v>
      </c>
      <c r="E507">
        <v>929</v>
      </c>
      <c r="F507">
        <v>1383</v>
      </c>
      <c r="G507" t="s">
        <v>3456</v>
      </c>
      <c r="H507">
        <v>1</v>
      </c>
      <c r="I507" t="s">
        <v>3471</v>
      </c>
      <c r="J507" s="30" t="str">
        <f t="shared" si="21"/>
        <v>[530]=1383,</v>
      </c>
      <c r="K507" s="3">
        <f t="shared" si="22"/>
        <v>530</v>
      </c>
      <c r="L507" s="3">
        <f t="shared" si="23"/>
        <v>1383</v>
      </c>
      <c r="M507" s="8" t="str">
        <f>VLOOKUP(A507,'ESO wayshrine names'!$A$3:$B$5104,2,)</f>
        <v>Eastern Shores Wayshrine</v>
      </c>
      <c r="N507" s="3" t="str">
        <f>VLOOKUP(F507,'ESO zone constants'!$A$5:$D$10001,4,FALSE)</f>
        <v>Galen</v>
      </c>
    </row>
    <row r="508" spans="1:14" x14ac:dyDescent="0.25">
      <c r="A508" s="90">
        <v>531</v>
      </c>
      <c r="B508">
        <v>11</v>
      </c>
      <c r="C508">
        <v>7</v>
      </c>
      <c r="D508" t="s">
        <v>2303</v>
      </c>
      <c r="E508">
        <v>9</v>
      </c>
      <c r="F508">
        <v>41</v>
      </c>
      <c r="G508" t="s">
        <v>2303</v>
      </c>
      <c r="H508">
        <v>6</v>
      </c>
      <c r="I508" t="s">
        <v>3566</v>
      </c>
      <c r="J508" s="30" t="str">
        <f t="shared" si="21"/>
        <v>[531]=41,</v>
      </c>
      <c r="K508" s="3">
        <f t="shared" si="22"/>
        <v>531</v>
      </c>
      <c r="L508" s="3">
        <f t="shared" si="23"/>
        <v>41</v>
      </c>
      <c r="M508" s="8" t="str">
        <f>VLOOKUP(A508,'ESO wayshrine names'!$A$3:$B$5104,2,)</f>
        <v>Dungeon: Bal Sunnar</v>
      </c>
      <c r="N508" s="3" t="str">
        <f>VLOOKUP(F508,'ESO zone constants'!$A$5:$D$10001,4,FALSE)</f>
        <v>Stonefalls</v>
      </c>
    </row>
    <row r="509" spans="1:14" x14ac:dyDescent="0.25">
      <c r="A509" s="90">
        <v>532</v>
      </c>
      <c r="B509">
        <v>12</v>
      </c>
      <c r="C509">
        <v>125</v>
      </c>
      <c r="D509" t="s">
        <v>2301</v>
      </c>
      <c r="E509">
        <v>16</v>
      </c>
      <c r="F509">
        <v>103</v>
      </c>
      <c r="G509" t="s">
        <v>2301</v>
      </c>
      <c r="H509">
        <v>6</v>
      </c>
      <c r="I509" t="s">
        <v>3567</v>
      </c>
      <c r="J509" s="30" t="str">
        <f t="shared" si="21"/>
        <v>[532]=103,</v>
      </c>
      <c r="K509" s="3">
        <f t="shared" si="22"/>
        <v>532</v>
      </c>
      <c r="L509" s="3">
        <f t="shared" si="23"/>
        <v>103</v>
      </c>
      <c r="M509" s="8" t="str">
        <f>VLOOKUP(A509,'ESO wayshrine names'!$A$3:$B$5104,2,)</f>
        <v>Dungeon: Scrivener's Hall</v>
      </c>
      <c r="N509" s="3" t="str">
        <f>VLOOKUP(F509,'ESO zone constants'!$A$5:$D$10001,4,FALSE)</f>
        <v>The Rift</v>
      </c>
    </row>
    <row r="510" spans="1:14" x14ac:dyDescent="0.25">
      <c r="A510" s="90">
        <v>533</v>
      </c>
      <c r="B510">
        <v>46</v>
      </c>
      <c r="C510">
        <v>2114</v>
      </c>
      <c r="D510" t="s">
        <v>3402</v>
      </c>
      <c r="E510">
        <v>884</v>
      </c>
      <c r="F510">
        <v>1318</v>
      </c>
      <c r="G510" t="s">
        <v>3295</v>
      </c>
      <c r="H510">
        <v>7</v>
      </c>
      <c r="I510" t="s">
        <v>3806</v>
      </c>
      <c r="J510" s="30" t="str">
        <f t="shared" si="21"/>
        <v>[533]=1318,</v>
      </c>
      <c r="K510" s="3">
        <f t="shared" si="22"/>
        <v>533</v>
      </c>
      <c r="L510" s="3">
        <f t="shared" si="23"/>
        <v>1318</v>
      </c>
      <c r="M510" s="8" t="str">
        <f>VLOOKUP(A510,'ESO wayshrine names'!$A$3:$B$5104,2,)</f>
        <v>Fogbreak Lighthouse</v>
      </c>
      <c r="N510" s="3" t="str">
        <f>VLOOKUP(F510,'ESO zone constants'!$A$5:$D$10001,4,FALSE)</f>
        <v>High Isle</v>
      </c>
    </row>
    <row r="511" spans="1:14" x14ac:dyDescent="0.25">
      <c r="A511" s="90">
        <v>534</v>
      </c>
      <c r="B511">
        <v>49</v>
      </c>
      <c r="C511">
        <v>2274</v>
      </c>
      <c r="D511" t="s">
        <v>3615</v>
      </c>
      <c r="E511">
        <v>958</v>
      </c>
      <c r="F511">
        <v>1414</v>
      </c>
      <c r="G511" t="s">
        <v>3615</v>
      </c>
      <c r="H511">
        <v>3</v>
      </c>
      <c r="I511" t="s">
        <v>3620</v>
      </c>
      <c r="J511" s="30" t="str">
        <f t="shared" si="21"/>
        <v>[534]=1414,</v>
      </c>
      <c r="K511" s="3">
        <f t="shared" si="22"/>
        <v>534</v>
      </c>
      <c r="L511" s="3">
        <f t="shared" si="23"/>
        <v>1414</v>
      </c>
      <c r="M511" s="8" t="str">
        <f>VLOOKUP(A511,'ESO wayshrine names'!$A$3:$B$5104,2,)</f>
        <v>Trial: Sanity's Edge</v>
      </c>
      <c r="N511" s="3" t="str">
        <f>VLOOKUP(F511,'ESO zone constants'!$A$5:$D$10001,4,FALSE)</f>
        <v>Telvanni Peninsula</v>
      </c>
    </row>
    <row r="512" spans="1:14" x14ac:dyDescent="0.25">
      <c r="A512" s="90">
        <v>535</v>
      </c>
      <c r="B512">
        <v>49</v>
      </c>
      <c r="C512">
        <v>2274</v>
      </c>
      <c r="D512" t="s">
        <v>3615</v>
      </c>
      <c r="E512">
        <v>958</v>
      </c>
      <c r="F512">
        <v>1414</v>
      </c>
      <c r="G512" t="s">
        <v>3615</v>
      </c>
      <c r="H512">
        <v>1</v>
      </c>
      <c r="I512" t="s">
        <v>3621</v>
      </c>
      <c r="J512" s="30" t="str">
        <f t="shared" si="21"/>
        <v>[535]=1414,</v>
      </c>
      <c r="K512" s="3">
        <f t="shared" si="22"/>
        <v>535</v>
      </c>
      <c r="L512" s="3">
        <f t="shared" si="23"/>
        <v>1414</v>
      </c>
      <c r="M512" s="8" t="str">
        <f>VLOOKUP(A512,'ESO wayshrine names'!$A$3:$B$5104,2,)</f>
        <v>Necrom Outskirts Wayshrine</v>
      </c>
      <c r="N512" s="3" t="str">
        <f>VLOOKUP(F512,'ESO zone constants'!$A$5:$D$10001,4,FALSE)</f>
        <v>Telvanni Peninsula</v>
      </c>
    </row>
    <row r="513" spans="1:14" x14ac:dyDescent="0.25">
      <c r="A513" s="90">
        <v>536</v>
      </c>
      <c r="B513">
        <v>49</v>
      </c>
      <c r="C513">
        <v>2274</v>
      </c>
      <c r="D513" t="s">
        <v>3615</v>
      </c>
      <c r="E513">
        <v>958</v>
      </c>
      <c r="F513">
        <v>1414</v>
      </c>
      <c r="G513" t="s">
        <v>3615</v>
      </c>
      <c r="H513">
        <v>1</v>
      </c>
      <c r="I513" t="s">
        <v>3622</v>
      </c>
      <c r="J513" s="30" t="str">
        <f t="shared" si="21"/>
        <v>[536]=1414,</v>
      </c>
      <c r="K513" s="3">
        <f t="shared" si="22"/>
        <v>536</v>
      </c>
      <c r="L513" s="3">
        <f t="shared" si="23"/>
        <v>1414</v>
      </c>
      <c r="M513" s="8" t="str">
        <f>VLOOKUP(A513,'ESO wayshrine names'!$A$3:$B$5104,2,)</f>
        <v>Necrom Wayshrine</v>
      </c>
      <c r="N513" s="3" t="str">
        <f>VLOOKUP(F513,'ESO zone constants'!$A$5:$D$10001,4,FALSE)</f>
        <v>Telvanni Peninsula</v>
      </c>
    </row>
    <row r="514" spans="1:14" x14ac:dyDescent="0.25">
      <c r="A514" s="90">
        <v>537</v>
      </c>
      <c r="B514">
        <v>49</v>
      </c>
      <c r="C514">
        <v>2274</v>
      </c>
      <c r="D514" t="s">
        <v>3615</v>
      </c>
      <c r="E514">
        <v>958</v>
      </c>
      <c r="F514">
        <v>1414</v>
      </c>
      <c r="G514" t="s">
        <v>3615</v>
      </c>
      <c r="H514">
        <v>1</v>
      </c>
      <c r="I514" t="s">
        <v>3807</v>
      </c>
      <c r="J514" s="30" t="str">
        <f t="shared" si="21"/>
        <v>[537]=1414,</v>
      </c>
      <c r="K514" s="3">
        <f t="shared" si="22"/>
        <v>537</v>
      </c>
      <c r="L514" s="3">
        <f t="shared" si="23"/>
        <v>1414</v>
      </c>
      <c r="M514" s="8" t="str">
        <f>VLOOKUP(A514,'ESO wayshrine names'!$A$3:$B$5104,2,)</f>
        <v>Fungal Lowlands Wayshrine</v>
      </c>
      <c r="N514" s="3" t="str">
        <f>VLOOKUP(F514,'ESO zone constants'!$A$5:$D$10001,4,FALSE)</f>
        <v>Telvanni Peninsula</v>
      </c>
    </row>
    <row r="515" spans="1:14" x14ac:dyDescent="0.25">
      <c r="A515" s="90">
        <v>538</v>
      </c>
      <c r="B515">
        <v>49</v>
      </c>
      <c r="C515">
        <v>2274</v>
      </c>
      <c r="D515" t="s">
        <v>3615</v>
      </c>
      <c r="E515">
        <v>958</v>
      </c>
      <c r="F515">
        <v>1414</v>
      </c>
      <c r="G515" t="s">
        <v>3615</v>
      </c>
      <c r="H515">
        <v>1</v>
      </c>
      <c r="I515" t="s">
        <v>3623</v>
      </c>
      <c r="J515" s="30" t="str">
        <f t="shared" ref="J515:J553" si="24">IF(A515&lt;&gt;"",IF(F515&lt;&gt;"",IF(OR(ISNA(A515),ISNA(F515)),"","["&amp;A515&amp;"]="&amp;F515&amp;","),""),"")</f>
        <v>[538]=1414,</v>
      </c>
      <c r="K515" s="3">
        <f t="shared" ref="K515:K537" si="25">A515</f>
        <v>538</v>
      </c>
      <c r="L515" s="3">
        <f t="shared" ref="L515:L537" si="26">F515</f>
        <v>1414</v>
      </c>
      <c r="M515" s="8" t="str">
        <f>VLOOKUP(A515,'ESO wayshrine names'!$A$3:$B$5104,2,)</f>
        <v>Ald Isra Wayshrine</v>
      </c>
      <c r="N515" s="3" t="str">
        <f>VLOOKUP(F515,'ESO zone constants'!$A$5:$D$10001,4,FALSE)</f>
        <v>Telvanni Peninsula</v>
      </c>
    </row>
    <row r="516" spans="1:14" x14ac:dyDescent="0.25">
      <c r="A516" s="90">
        <v>539</v>
      </c>
      <c r="B516">
        <v>49</v>
      </c>
      <c r="C516">
        <v>2274</v>
      </c>
      <c r="D516" t="s">
        <v>3615</v>
      </c>
      <c r="E516">
        <v>958</v>
      </c>
      <c r="F516">
        <v>1414</v>
      </c>
      <c r="G516" t="s">
        <v>3615</v>
      </c>
      <c r="H516">
        <v>1</v>
      </c>
      <c r="I516" t="s">
        <v>3624</v>
      </c>
      <c r="J516" s="30" t="str">
        <f t="shared" si="24"/>
        <v>[539]=1414,</v>
      </c>
      <c r="K516" s="3">
        <f t="shared" si="25"/>
        <v>539</v>
      </c>
      <c r="L516" s="3">
        <f t="shared" si="26"/>
        <v>1414</v>
      </c>
      <c r="M516" s="8" t="str">
        <f>VLOOKUP(A516,'ESO wayshrine names'!$A$3:$B$5104,2,)</f>
        <v>Padomaic Crest Wayshrine</v>
      </c>
      <c r="N516" s="3" t="str">
        <f>VLOOKUP(F516,'ESO zone constants'!$A$5:$D$10001,4,FALSE)</f>
        <v>Telvanni Peninsula</v>
      </c>
    </row>
    <row r="517" spans="1:14" x14ac:dyDescent="0.25">
      <c r="A517" s="90">
        <v>540</v>
      </c>
      <c r="B517">
        <v>50</v>
      </c>
      <c r="C517">
        <v>2275</v>
      </c>
      <c r="D517" t="s">
        <v>3609</v>
      </c>
      <c r="E517">
        <v>957</v>
      </c>
      <c r="F517">
        <v>1413</v>
      </c>
      <c r="G517" t="s">
        <v>3609</v>
      </c>
      <c r="H517">
        <v>1</v>
      </c>
      <c r="I517" t="s">
        <v>3625</v>
      </c>
      <c r="J517" s="30" t="str">
        <f t="shared" si="24"/>
        <v>[540]=1413,</v>
      </c>
      <c r="K517" s="3">
        <f t="shared" si="25"/>
        <v>540</v>
      </c>
      <c r="L517" s="3">
        <f t="shared" si="26"/>
        <v>1413</v>
      </c>
      <c r="M517" s="8" t="str">
        <f>VLOOKUP(A517,'ESO wayshrine names'!$A$3:$B$5104,2,)</f>
        <v>Soundless Bight Wayshrine</v>
      </c>
      <c r="N517" s="3" t="str">
        <f>VLOOKUP(F517,'ESO zone constants'!$A$5:$D$10001,4,FALSE)</f>
        <v>Apocrypha</v>
      </c>
    </row>
    <row r="518" spans="1:14" x14ac:dyDescent="0.25">
      <c r="A518" s="90">
        <v>541</v>
      </c>
      <c r="B518">
        <v>50</v>
      </c>
      <c r="C518">
        <v>2275</v>
      </c>
      <c r="D518" t="s">
        <v>3609</v>
      </c>
      <c r="E518">
        <v>957</v>
      </c>
      <c r="F518">
        <v>1413</v>
      </c>
      <c r="G518" t="s">
        <v>3609</v>
      </c>
      <c r="H518">
        <v>1</v>
      </c>
      <c r="I518" t="s">
        <v>3626</v>
      </c>
      <c r="J518" s="30" t="str">
        <f t="shared" si="24"/>
        <v>[541]=1413,</v>
      </c>
      <c r="K518" s="3">
        <f t="shared" si="25"/>
        <v>541</v>
      </c>
      <c r="L518" s="3">
        <f t="shared" si="26"/>
        <v>1413</v>
      </c>
      <c r="M518" s="8" t="str">
        <f>VLOOKUP(A518,'ESO wayshrine names'!$A$3:$B$5104,2,)</f>
        <v>Stilled Shallows Wayshrine</v>
      </c>
      <c r="N518" s="3" t="str">
        <f>VLOOKUP(F518,'ESO zone constants'!$A$5:$D$10001,4,FALSE)</f>
        <v>Apocrypha</v>
      </c>
    </row>
    <row r="519" spans="1:14" x14ac:dyDescent="0.25">
      <c r="A519" s="90">
        <v>542</v>
      </c>
      <c r="B519">
        <v>50</v>
      </c>
      <c r="C519">
        <v>2275</v>
      </c>
      <c r="D519" t="s">
        <v>3609</v>
      </c>
      <c r="E519">
        <v>957</v>
      </c>
      <c r="F519">
        <v>1413</v>
      </c>
      <c r="G519" t="s">
        <v>3609</v>
      </c>
      <c r="H519">
        <v>1</v>
      </c>
      <c r="I519" t="s">
        <v>3627</v>
      </c>
      <c r="J519" s="30" t="str">
        <f t="shared" si="24"/>
        <v>[542]=1413,</v>
      </c>
      <c r="K519" s="3">
        <f t="shared" si="25"/>
        <v>542</v>
      </c>
      <c r="L519" s="3">
        <f t="shared" si="26"/>
        <v>1413</v>
      </c>
      <c r="M519" s="8" t="str">
        <f>VLOOKUP(A519,'ESO wayshrine names'!$A$3:$B$5104,2,)</f>
        <v>Cipher's Midden Wayshrine</v>
      </c>
      <c r="N519" s="3" t="str">
        <f>VLOOKUP(F519,'ESO zone constants'!$A$5:$D$10001,4,FALSE)</f>
        <v>Apocrypha</v>
      </c>
    </row>
    <row r="520" spans="1:14" x14ac:dyDescent="0.25">
      <c r="A520" s="90">
        <v>543</v>
      </c>
      <c r="B520">
        <v>50</v>
      </c>
      <c r="C520">
        <v>2275</v>
      </c>
      <c r="D520" t="s">
        <v>3609</v>
      </c>
      <c r="E520">
        <v>957</v>
      </c>
      <c r="F520">
        <v>1413</v>
      </c>
      <c r="G520" t="s">
        <v>3609</v>
      </c>
      <c r="H520">
        <v>1</v>
      </c>
      <c r="I520" t="s">
        <v>3628</v>
      </c>
      <c r="J520" s="30" t="str">
        <f t="shared" si="24"/>
        <v>[543]=1413,</v>
      </c>
      <c r="K520" s="3">
        <f t="shared" si="25"/>
        <v>543</v>
      </c>
      <c r="L520" s="3">
        <f t="shared" si="26"/>
        <v>1413</v>
      </c>
      <c r="M520" s="8" t="str">
        <f>VLOOKUP(A520,'ESO wayshrine names'!$A$3:$B$5104,2,)</f>
        <v>Speiran Tarn Wayshrine</v>
      </c>
      <c r="N520" s="3" t="str">
        <f>VLOOKUP(F520,'ESO zone constants'!$A$5:$D$10001,4,FALSE)</f>
        <v>Apocrypha</v>
      </c>
    </row>
    <row r="521" spans="1:14" x14ac:dyDescent="0.25">
      <c r="A521" s="90">
        <v>544</v>
      </c>
      <c r="B521">
        <v>50</v>
      </c>
      <c r="C521">
        <v>2275</v>
      </c>
      <c r="D521" t="s">
        <v>3609</v>
      </c>
      <c r="E521">
        <v>957</v>
      </c>
      <c r="F521">
        <v>1413</v>
      </c>
      <c r="G521" t="s">
        <v>3609</v>
      </c>
      <c r="H521">
        <v>1</v>
      </c>
      <c r="I521" t="s">
        <v>3610</v>
      </c>
      <c r="J521" s="30" t="str">
        <f t="shared" si="24"/>
        <v>[544]=1413,</v>
      </c>
      <c r="K521" s="3">
        <f t="shared" si="25"/>
        <v>544</v>
      </c>
      <c r="L521" s="3">
        <f t="shared" si="26"/>
        <v>1413</v>
      </c>
      <c r="M521" s="8" t="str">
        <f>VLOOKUP(A521,'ESO wayshrine names'!$A$3:$B$5104,2,)</f>
        <v>Writhing Wastes Wayshrine</v>
      </c>
      <c r="N521" s="3" t="str">
        <f>VLOOKUP(F521,'ESO zone constants'!$A$5:$D$10001,4,FALSE)</f>
        <v>Apocrypha</v>
      </c>
    </row>
    <row r="522" spans="1:14" x14ac:dyDescent="0.25">
      <c r="A522" s="90">
        <v>545</v>
      </c>
      <c r="B522">
        <v>50</v>
      </c>
      <c r="C522">
        <v>2275</v>
      </c>
      <c r="D522" t="s">
        <v>3609</v>
      </c>
      <c r="E522">
        <v>957</v>
      </c>
      <c r="F522">
        <v>1413</v>
      </c>
      <c r="G522" t="s">
        <v>3609</v>
      </c>
      <c r="H522">
        <v>1</v>
      </c>
      <c r="I522" t="s">
        <v>3611</v>
      </c>
      <c r="J522" s="30" t="str">
        <f t="shared" si="24"/>
        <v>[545]=1413,</v>
      </c>
      <c r="K522" s="3">
        <f t="shared" si="25"/>
        <v>545</v>
      </c>
      <c r="L522" s="3">
        <f t="shared" si="26"/>
        <v>1413</v>
      </c>
      <c r="M522" s="8" t="str">
        <f>VLOOKUP(A522,'ESO wayshrine names'!$A$3:$B$5104,2,)</f>
        <v>Tranquil Catalog Wayshrine</v>
      </c>
      <c r="N522" s="3" t="str">
        <f>VLOOKUP(F522,'ESO zone constants'!$A$5:$D$10001,4,FALSE)</f>
        <v>Apocrypha</v>
      </c>
    </row>
    <row r="523" spans="1:14" x14ac:dyDescent="0.25">
      <c r="A523" s="90">
        <v>546</v>
      </c>
      <c r="B523">
        <v>50</v>
      </c>
      <c r="C523">
        <v>2275</v>
      </c>
      <c r="D523" t="s">
        <v>3609</v>
      </c>
      <c r="E523">
        <v>957</v>
      </c>
      <c r="F523">
        <v>1413</v>
      </c>
      <c r="G523" t="s">
        <v>3609</v>
      </c>
      <c r="H523">
        <v>1</v>
      </c>
      <c r="I523" t="s">
        <v>3612</v>
      </c>
      <c r="J523" s="30" t="str">
        <f t="shared" si="24"/>
        <v>[546]=1413,</v>
      </c>
      <c r="K523" s="3">
        <f t="shared" si="25"/>
        <v>546</v>
      </c>
      <c r="L523" s="3">
        <f t="shared" si="26"/>
        <v>1413</v>
      </c>
      <c r="M523" s="8" t="str">
        <f>VLOOKUP(A523,'ESO wayshrine names'!$A$3:$B$5104,2,)</f>
        <v>Apogee Nadir Wayshrine</v>
      </c>
      <c r="N523" s="3" t="str">
        <f>VLOOKUP(F523,'ESO zone constants'!$A$5:$D$10001,4,FALSE)</f>
        <v>Apocrypha</v>
      </c>
    </row>
    <row r="524" spans="1:14" x14ac:dyDescent="0.25">
      <c r="A524" s="90">
        <v>547</v>
      </c>
      <c r="B524">
        <v>50</v>
      </c>
      <c r="C524">
        <v>2275</v>
      </c>
      <c r="D524" t="s">
        <v>3609</v>
      </c>
      <c r="E524">
        <v>957</v>
      </c>
      <c r="F524">
        <v>1413</v>
      </c>
      <c r="G524" t="s">
        <v>3609</v>
      </c>
      <c r="H524">
        <v>1</v>
      </c>
      <c r="I524" t="s">
        <v>3613</v>
      </c>
      <c r="J524" s="30" t="str">
        <f t="shared" si="24"/>
        <v>[547]=1413,</v>
      </c>
      <c r="K524" s="3">
        <f t="shared" si="25"/>
        <v>547</v>
      </c>
      <c r="L524" s="3">
        <f t="shared" si="26"/>
        <v>1413</v>
      </c>
      <c r="M524" s="8" t="str">
        <f>VLOOKUP(A524,'ESO wayshrine names'!$A$3:$B$5104,2,)</f>
        <v>Forlorn Palisades Wayshrine</v>
      </c>
      <c r="N524" s="3" t="str">
        <f>VLOOKUP(F524,'ESO zone constants'!$A$5:$D$10001,4,FALSE)</f>
        <v>Apocrypha</v>
      </c>
    </row>
    <row r="525" spans="1:14" x14ac:dyDescent="0.25">
      <c r="A525" s="90">
        <v>548</v>
      </c>
      <c r="B525">
        <v>50</v>
      </c>
      <c r="C525">
        <v>2275</v>
      </c>
      <c r="D525" t="s">
        <v>3609</v>
      </c>
      <c r="E525">
        <v>957</v>
      </c>
      <c r="F525">
        <v>1413</v>
      </c>
      <c r="G525" t="s">
        <v>3609</v>
      </c>
      <c r="H525">
        <v>1</v>
      </c>
      <c r="I525" t="s">
        <v>3614</v>
      </c>
      <c r="J525" s="30" t="str">
        <f t="shared" si="24"/>
        <v>[548]=1413,</v>
      </c>
      <c r="K525" s="3">
        <f t="shared" si="25"/>
        <v>548</v>
      </c>
      <c r="L525" s="3">
        <f t="shared" si="26"/>
        <v>1413</v>
      </c>
      <c r="M525" s="8" t="str">
        <f>VLOOKUP(A525,'ESO wayshrine names'!$A$3:$B$5104,2,)</f>
        <v>Feral Gallery Wayshrine</v>
      </c>
      <c r="N525" s="3" t="str">
        <f>VLOOKUP(F525,'ESO zone constants'!$A$5:$D$10001,4,FALSE)</f>
        <v>Apocrypha</v>
      </c>
    </row>
    <row r="526" spans="1:14" x14ac:dyDescent="0.25">
      <c r="A526" s="90">
        <v>549</v>
      </c>
      <c r="B526">
        <v>49</v>
      </c>
      <c r="C526">
        <v>2274</v>
      </c>
      <c r="D526" t="s">
        <v>3615</v>
      </c>
      <c r="E526">
        <v>958</v>
      </c>
      <c r="F526">
        <v>1414</v>
      </c>
      <c r="G526" t="s">
        <v>3615</v>
      </c>
      <c r="H526">
        <v>1</v>
      </c>
      <c r="I526" t="s">
        <v>3616</v>
      </c>
      <c r="J526" s="30" t="str">
        <f t="shared" si="24"/>
        <v>[549]=1414,</v>
      </c>
      <c r="K526" s="3">
        <f t="shared" si="25"/>
        <v>549</v>
      </c>
      <c r="L526" s="3">
        <f t="shared" si="26"/>
        <v>1414</v>
      </c>
      <c r="M526" s="8" t="str">
        <f>VLOOKUP(A526,'ESO wayshrine names'!$A$3:$B$5104,2,)</f>
        <v>Great Arm Wayshrine</v>
      </c>
      <c r="N526" s="3" t="str">
        <f>VLOOKUP(F526,'ESO zone constants'!$A$5:$D$10001,4,FALSE)</f>
        <v>Telvanni Peninsula</v>
      </c>
    </row>
    <row r="527" spans="1:14" x14ac:dyDescent="0.25">
      <c r="A527" s="90">
        <v>550</v>
      </c>
      <c r="B527">
        <v>50</v>
      </c>
      <c r="C527">
        <v>2275</v>
      </c>
      <c r="D527" t="s">
        <v>3609</v>
      </c>
      <c r="E527">
        <v>957</v>
      </c>
      <c r="F527">
        <v>1413</v>
      </c>
      <c r="G527" t="s">
        <v>3609</v>
      </c>
      <c r="H527">
        <v>6</v>
      </c>
      <c r="I527" t="s">
        <v>3737</v>
      </c>
      <c r="J527" s="30" t="str">
        <f t="shared" si="24"/>
        <v>[550]=1413,</v>
      </c>
      <c r="K527" s="3">
        <f t="shared" si="25"/>
        <v>550</v>
      </c>
      <c r="L527" s="3">
        <f t="shared" si="26"/>
        <v>1413</v>
      </c>
      <c r="M527" s="8" t="str">
        <f>VLOOKUP(A527,'ESO wayshrine names'!$A$3:$B$5104,2,)</f>
        <v>Infinite Archive</v>
      </c>
      <c r="N527" s="3" t="str">
        <f>VLOOKUP(F527,'ESO zone constants'!$A$5:$D$10001,4,FALSE)</f>
        <v>Apocrypha</v>
      </c>
    </row>
    <row r="528" spans="1:14" x14ac:dyDescent="0.25">
      <c r="A528" s="90">
        <v>551</v>
      </c>
      <c r="B528">
        <v>48</v>
      </c>
      <c r="C528">
        <v>2212</v>
      </c>
      <c r="D528" t="s">
        <v>3468</v>
      </c>
      <c r="E528">
        <v>929</v>
      </c>
      <c r="F528">
        <v>1383</v>
      </c>
      <c r="G528" t="s">
        <v>3456</v>
      </c>
      <c r="H528">
        <v>7</v>
      </c>
      <c r="I528" t="s">
        <v>3808</v>
      </c>
      <c r="J528" s="30" t="str">
        <f t="shared" si="24"/>
        <v>[551]=1383,</v>
      </c>
      <c r="K528" s="3">
        <f t="shared" si="25"/>
        <v>551</v>
      </c>
      <c r="L528" s="3">
        <f t="shared" si="26"/>
        <v>1383</v>
      </c>
      <c r="M528" s="8" t="str">
        <f>VLOOKUP(A528,'ESO wayshrine names'!$A$3:$B$5104,2,)</f>
        <v>The Fair Winds</v>
      </c>
      <c r="N528" s="3" t="str">
        <f>VLOOKUP(F528,'ESO zone constants'!$A$5:$D$10001,4,FALSE)</f>
        <v>Galen</v>
      </c>
    </row>
    <row r="529" spans="1:14" x14ac:dyDescent="0.25">
      <c r="A529" s="90">
        <v>552</v>
      </c>
      <c r="B529">
        <v>49</v>
      </c>
      <c r="C529">
        <v>2274</v>
      </c>
      <c r="D529" t="s">
        <v>3615</v>
      </c>
      <c r="E529">
        <v>958</v>
      </c>
      <c r="F529">
        <v>1414</v>
      </c>
      <c r="G529" t="s">
        <v>3615</v>
      </c>
      <c r="H529">
        <v>7</v>
      </c>
      <c r="I529" t="s">
        <v>3617</v>
      </c>
      <c r="J529" s="30" t="str">
        <f t="shared" si="24"/>
        <v>[552]=1414,</v>
      </c>
      <c r="K529" s="3">
        <f t="shared" si="25"/>
        <v>552</v>
      </c>
      <c r="L529" s="3">
        <f t="shared" si="26"/>
        <v>1414</v>
      </c>
      <c r="M529" s="8" t="str">
        <f>VLOOKUP(A529,'ESO wayshrine names'!$A$3:$B$5104,2,)</f>
        <v>Journey's End Lodgings</v>
      </c>
      <c r="N529" s="3" t="str">
        <f>VLOOKUP(F529,'ESO zone constants'!$A$5:$D$10001,4,FALSE)</f>
        <v>Telvanni Peninsula</v>
      </c>
    </row>
    <row r="530" spans="1:14" x14ac:dyDescent="0.25">
      <c r="A530" s="90">
        <v>553</v>
      </c>
      <c r="B530">
        <v>49</v>
      </c>
      <c r="C530">
        <v>2274</v>
      </c>
      <c r="D530" t="s">
        <v>3615</v>
      </c>
      <c r="E530">
        <v>958</v>
      </c>
      <c r="F530">
        <v>1414</v>
      </c>
      <c r="G530" t="s">
        <v>3615</v>
      </c>
      <c r="H530">
        <v>7</v>
      </c>
      <c r="I530" t="s">
        <v>3618</v>
      </c>
      <c r="J530" s="30" t="str">
        <f t="shared" si="24"/>
        <v>[553]=1414,</v>
      </c>
      <c r="K530" s="3">
        <f t="shared" si="25"/>
        <v>553</v>
      </c>
      <c r="L530" s="3">
        <f t="shared" si="26"/>
        <v>1414</v>
      </c>
      <c r="M530" s="8" t="str">
        <f>VLOOKUP(A530,'ESO wayshrine names'!$A$3:$B$5104,2,)</f>
        <v>Emissary's Enclave</v>
      </c>
      <c r="N530" s="3" t="str">
        <f>VLOOKUP(F530,'ESO zone constants'!$A$5:$D$10001,4,FALSE)</f>
        <v>Telvanni Peninsula</v>
      </c>
    </row>
    <row r="531" spans="1:14" x14ac:dyDescent="0.25">
      <c r="A531" s="90">
        <v>554</v>
      </c>
      <c r="B531">
        <v>49</v>
      </c>
      <c r="C531">
        <v>2274</v>
      </c>
      <c r="D531" t="s">
        <v>3615</v>
      </c>
      <c r="E531">
        <v>958</v>
      </c>
      <c r="F531">
        <v>1414</v>
      </c>
      <c r="G531" t="s">
        <v>3615</v>
      </c>
      <c r="H531">
        <v>1</v>
      </c>
      <c r="I531" t="s">
        <v>3619</v>
      </c>
      <c r="J531" s="30" t="str">
        <f t="shared" si="24"/>
        <v>[554]=1414,</v>
      </c>
      <c r="K531" s="3">
        <f t="shared" si="25"/>
        <v>554</v>
      </c>
      <c r="L531" s="3">
        <f t="shared" si="26"/>
        <v>1414</v>
      </c>
      <c r="M531" s="8" t="str">
        <f>VLOOKUP(A531,'ESO wayshrine names'!$A$3:$B$5104,2,)</f>
        <v>Alavelis Wayshrine</v>
      </c>
      <c r="N531" s="3" t="str">
        <f>VLOOKUP(F531,'ESO zone constants'!$A$5:$D$10001,4,FALSE)</f>
        <v>Telvanni Peninsula</v>
      </c>
    </row>
    <row r="532" spans="1:14" x14ac:dyDescent="0.25">
      <c r="A532" s="90">
        <v>555</v>
      </c>
      <c r="B532">
        <v>49</v>
      </c>
      <c r="C532">
        <v>2274</v>
      </c>
      <c r="D532" t="s">
        <v>3615</v>
      </c>
      <c r="E532">
        <v>958</v>
      </c>
      <c r="F532">
        <v>1414</v>
      </c>
      <c r="G532" t="s">
        <v>3615</v>
      </c>
      <c r="H532">
        <v>7</v>
      </c>
      <c r="I532" t="s">
        <v>3760</v>
      </c>
      <c r="J532" s="30" t="str">
        <f t="shared" si="24"/>
        <v>[555]=1414,</v>
      </c>
      <c r="K532" s="3">
        <f t="shared" si="25"/>
        <v>555</v>
      </c>
      <c r="L532" s="3">
        <f t="shared" si="26"/>
        <v>1414</v>
      </c>
      <c r="M532" s="8" t="str">
        <f>VLOOKUP(A532,'ESO wayshrine names'!$A$3:$B$5104,2,)</f>
        <v>Kelesan'ruhn</v>
      </c>
      <c r="N532" s="3" t="str">
        <f>VLOOKUP(F532,'ESO zone constants'!$A$5:$D$10001,4,FALSE)</f>
        <v>Telvanni Peninsula</v>
      </c>
    </row>
    <row r="533" spans="1:14" x14ac:dyDescent="0.25">
      <c r="A533">
        <v>556</v>
      </c>
      <c r="B533">
        <v>42</v>
      </c>
      <c r="C533">
        <v>1814</v>
      </c>
      <c r="D533" t="s">
        <v>2203</v>
      </c>
      <c r="E533">
        <v>784</v>
      </c>
      <c r="F533">
        <v>1207</v>
      </c>
      <c r="G533" t="s">
        <v>2203</v>
      </c>
      <c r="H533">
        <v>6</v>
      </c>
      <c r="I533" t="s">
        <v>3903</v>
      </c>
      <c r="J533" s="30" t="str">
        <f t="shared" si="24"/>
        <v>[556]=1207,</v>
      </c>
      <c r="K533" s="3">
        <f t="shared" si="25"/>
        <v>556</v>
      </c>
      <c r="L533" s="3">
        <f t="shared" si="26"/>
        <v>1207</v>
      </c>
      <c r="M533" s="8" t="str">
        <f>VLOOKUP(A533,'ESO wayshrine names'!$A$3:$B$5104,2,)</f>
        <v>Dungeon: Oathsworn Pit</v>
      </c>
      <c r="N533" s="3" t="str">
        <f>VLOOKUP(F533,'ESO zone constants'!$A$5:$D$10001,4,FALSE)</f>
        <v>The Reach</v>
      </c>
    </row>
    <row r="534" spans="1:14" x14ac:dyDescent="0.25">
      <c r="A534" s="90">
        <v>557</v>
      </c>
      <c r="B534">
        <v>31</v>
      </c>
      <c r="C534">
        <v>1313</v>
      </c>
      <c r="D534" t="s">
        <v>2308</v>
      </c>
      <c r="E534">
        <v>590</v>
      </c>
      <c r="F534">
        <v>980</v>
      </c>
      <c r="G534" t="s">
        <v>3022</v>
      </c>
      <c r="H534">
        <v>7</v>
      </c>
      <c r="I534" t="s">
        <v>3809</v>
      </c>
      <c r="J534" s="30" t="str">
        <f t="shared" si="24"/>
        <v>[557]=980,</v>
      </c>
      <c r="K534" s="3">
        <f t="shared" si="25"/>
        <v>557</v>
      </c>
      <c r="L534" s="3">
        <f t="shared" si="26"/>
        <v>980</v>
      </c>
      <c r="M534" s="8" t="str">
        <f>VLOOKUP(A534,'ESO wayshrine names'!$A$3:$B$5104,2,)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3904</v>
      </c>
      <c r="J535" s="30" t="str">
        <f t="shared" si="24"/>
        <v>[565]=684,</v>
      </c>
      <c r="K535" s="3">
        <f t="shared" si="25"/>
        <v>565</v>
      </c>
      <c r="L535" s="3">
        <f t="shared" si="26"/>
        <v>684</v>
      </c>
      <c r="M535" s="8" t="str">
        <f>VLOOKUP(A535,'ESO wayshrine names'!$A$3:$B$5104,2,)</f>
        <v>Dungeon: Bedlam Veil</v>
      </c>
      <c r="N535" s="3" t="str">
        <f>VLOOKUP(F535,'ESO zone constants'!$A$5:$D$10001,4,FALSE)</f>
        <v>Wrothgar</v>
      </c>
    </row>
    <row r="536" spans="1:14" x14ac:dyDescent="0.25">
      <c r="A536" s="90">
        <v>566</v>
      </c>
      <c r="B536">
        <v>48</v>
      </c>
      <c r="C536">
        <v>2212</v>
      </c>
      <c r="D536" t="s">
        <v>3468</v>
      </c>
      <c r="E536">
        <v>929</v>
      </c>
      <c r="F536">
        <v>1383</v>
      </c>
      <c r="G536" t="s">
        <v>3456</v>
      </c>
      <c r="H536">
        <v>7</v>
      </c>
      <c r="I536" t="s">
        <v>3810</v>
      </c>
      <c r="J536" s="30" t="str">
        <f t="shared" si="24"/>
        <v>[566]=1383,</v>
      </c>
      <c r="K536" s="3">
        <f t="shared" si="25"/>
        <v>566</v>
      </c>
      <c r="L536" s="3">
        <f t="shared" si="26"/>
        <v>1383</v>
      </c>
      <c r="M536" s="8" t="str">
        <f>VLOOKUP(A536,'ESO wayshrine names'!$A$3:$B$5104,2,)</f>
        <v>Gladesong Arboretum</v>
      </c>
      <c r="N536" s="3" t="str">
        <f>VLOOKUP(F536,'ESO zone constants'!$A$5:$D$10001,4,FALSE)</f>
        <v>Galen</v>
      </c>
    </row>
    <row r="537" spans="1:14" x14ac:dyDescent="0.25">
      <c r="A537" s="90">
        <v>567</v>
      </c>
      <c r="B537">
        <v>50</v>
      </c>
      <c r="C537">
        <v>2275</v>
      </c>
      <c r="D537" t="s">
        <v>3609</v>
      </c>
      <c r="E537">
        <v>957</v>
      </c>
      <c r="F537">
        <v>1413</v>
      </c>
      <c r="G537" t="s">
        <v>3609</v>
      </c>
      <c r="H537">
        <v>7</v>
      </c>
      <c r="I537" t="s">
        <v>3811</v>
      </c>
      <c r="J537" s="30" t="str">
        <f t="shared" si="24"/>
        <v>[567]=1413,</v>
      </c>
      <c r="K537" s="3">
        <f t="shared" si="25"/>
        <v>567</v>
      </c>
      <c r="L537" s="3">
        <f t="shared" si="26"/>
        <v>1413</v>
      </c>
      <c r="M537" s="8" t="str">
        <f>VLOOKUP(A537,'ESO wayshrine names'!$A$3:$B$5104,2,)</f>
        <v>Tower of Unutterable Truths</v>
      </c>
      <c r="N537" s="3" t="str">
        <f>VLOOKUP(F537,'ESO zone constants'!$A$5:$D$10001,4,FALSE)</f>
        <v>Apocrypha</v>
      </c>
    </row>
    <row r="538" spans="1:14" x14ac:dyDescent="0.25">
      <c r="A538" s="53">
        <v>558</v>
      </c>
      <c r="B538" s="53">
        <v>51</v>
      </c>
      <c r="C538" s="108">
        <v>2427</v>
      </c>
      <c r="D538" s="53" t="s">
        <v>3937</v>
      </c>
      <c r="E538" s="53">
        <v>982</v>
      </c>
      <c r="F538" s="53">
        <v>1443</v>
      </c>
      <c r="G538" s="53" t="s">
        <v>3937</v>
      </c>
      <c r="H538" s="53">
        <v>1</v>
      </c>
      <c r="I538" s="53" t="s">
        <v>3991</v>
      </c>
      <c r="J538" s="30" t="str">
        <f t="shared" si="24"/>
        <v>[558]=1443,</v>
      </c>
      <c r="K538" s="3">
        <f t="shared" ref="K538:K553" si="27">A538</f>
        <v>558</v>
      </c>
      <c r="L538" s="3">
        <f t="shared" ref="L538:L553" si="28">F538</f>
        <v>1443</v>
      </c>
      <c r="M538" s="8" t="str">
        <f>VLOOKUP(A538,'ESO wayshrine names'!$A$3:$B$5104,2,)</f>
        <v>Skingrad City Wayshrine</v>
      </c>
      <c r="N538" s="3" t="str">
        <f>VLOOKUP(F538,'ESO zone constants'!$A$5:$D$10001,4,FALSE)</f>
        <v>West Weald</v>
      </c>
    </row>
    <row r="539" spans="1:14" x14ac:dyDescent="0.25">
      <c r="A539" s="53">
        <v>559</v>
      </c>
      <c r="B539" s="53">
        <v>51</v>
      </c>
      <c r="C539" s="108">
        <v>2427</v>
      </c>
      <c r="D539" s="53" t="s">
        <v>3937</v>
      </c>
      <c r="E539" s="53">
        <v>982</v>
      </c>
      <c r="F539" s="53">
        <v>1443</v>
      </c>
      <c r="G539" s="53" t="s">
        <v>3937</v>
      </c>
      <c r="H539" s="53">
        <v>1</v>
      </c>
      <c r="I539" s="53" t="s">
        <v>3990</v>
      </c>
      <c r="J539" s="30" t="str">
        <f t="shared" si="24"/>
        <v>[559]=1443,</v>
      </c>
      <c r="K539" s="3">
        <f t="shared" si="27"/>
        <v>559</v>
      </c>
      <c r="L539" s="3">
        <f t="shared" si="28"/>
        <v>1443</v>
      </c>
      <c r="M539" s="8" t="str">
        <f>VLOOKUP(A539,'ESO wayshrine names'!$A$3:$B$5104,2,)</f>
        <v>Skingrad Vineyards Wayshrine</v>
      </c>
      <c r="N539" s="3" t="str">
        <f>VLOOKUP(F539,'ESO zone constants'!$A$5:$D$10001,4,FALSE)</f>
        <v>West Weald</v>
      </c>
    </row>
    <row r="540" spans="1:14" x14ac:dyDescent="0.25">
      <c r="A540" s="53">
        <v>560</v>
      </c>
      <c r="B540" s="53">
        <v>51</v>
      </c>
      <c r="C540" s="108">
        <v>2427</v>
      </c>
      <c r="D540" s="53" t="s">
        <v>3937</v>
      </c>
      <c r="E540" s="53">
        <v>982</v>
      </c>
      <c r="F540" s="53">
        <v>1443</v>
      </c>
      <c r="G540" s="53" t="s">
        <v>3937</v>
      </c>
      <c r="H540" s="53">
        <v>1</v>
      </c>
      <c r="I540" s="53" t="s">
        <v>3985</v>
      </c>
      <c r="J540" s="30" t="str">
        <f t="shared" si="24"/>
        <v>[560]=1443,</v>
      </c>
      <c r="K540" s="3">
        <f t="shared" si="27"/>
        <v>560</v>
      </c>
      <c r="L540" s="3">
        <f t="shared" si="28"/>
        <v>1443</v>
      </c>
      <c r="M540" s="8" t="str">
        <f>VLOOKUP(A540,'ESO wayshrine names'!$A$3:$B$5104,2,)</f>
        <v>Vashabar Wayshrine</v>
      </c>
      <c r="N540" s="3" t="str">
        <f>VLOOKUP(F540,'ESO zone constants'!$A$5:$D$10001,4,FALSE)</f>
        <v>West Weald</v>
      </c>
    </row>
    <row r="541" spans="1:14" x14ac:dyDescent="0.25">
      <c r="A541" s="53">
        <v>561</v>
      </c>
      <c r="B541" s="53">
        <v>51</v>
      </c>
      <c r="C541" s="108">
        <v>2427</v>
      </c>
      <c r="D541" s="53" t="s">
        <v>3937</v>
      </c>
      <c r="E541" s="53">
        <v>982</v>
      </c>
      <c r="F541" s="53">
        <v>1443</v>
      </c>
      <c r="G541" s="53" t="s">
        <v>3937</v>
      </c>
      <c r="H541" s="53">
        <v>1</v>
      </c>
      <c r="I541" s="53" t="s">
        <v>3986</v>
      </c>
      <c r="J541" s="30" t="str">
        <f t="shared" si="24"/>
        <v>[561]=1443,</v>
      </c>
      <c r="K541" s="3">
        <f t="shared" si="27"/>
        <v>561</v>
      </c>
      <c r="L541" s="3">
        <f t="shared" si="28"/>
        <v>1443</v>
      </c>
      <c r="M541" s="8" t="str">
        <f>VLOOKUP(A541,'ESO wayshrine names'!$A$3:$B$5104,2,)</f>
        <v>Ontus Wayshrine</v>
      </c>
      <c r="N541" s="3" t="str">
        <f>VLOOKUP(F541,'ESO zone constants'!$A$5:$D$10001,4,FALSE)</f>
        <v>West Weald</v>
      </c>
    </row>
    <row r="542" spans="1:14" x14ac:dyDescent="0.25">
      <c r="A542" s="53">
        <v>562</v>
      </c>
      <c r="B542" s="53">
        <v>51</v>
      </c>
      <c r="C542" s="108">
        <v>2427</v>
      </c>
      <c r="D542" s="53" t="s">
        <v>3937</v>
      </c>
      <c r="E542" s="53">
        <v>982</v>
      </c>
      <c r="F542" s="53">
        <v>1443</v>
      </c>
      <c r="G542" s="53" t="s">
        <v>3937</v>
      </c>
      <c r="H542" s="53">
        <v>1</v>
      </c>
      <c r="I542" s="53" t="s">
        <v>3987</v>
      </c>
      <c r="J542" s="30" t="str">
        <f t="shared" si="24"/>
        <v>[562]=1443,</v>
      </c>
      <c r="K542" s="3">
        <f t="shared" si="27"/>
        <v>562</v>
      </c>
      <c r="L542" s="3">
        <f t="shared" si="28"/>
        <v>1443</v>
      </c>
      <c r="M542" s="8" t="str">
        <f>VLOOKUP(A542,'ESO wayshrine names'!$A$3:$B$5104,2,)</f>
        <v>Sutch Wayshrine</v>
      </c>
      <c r="N542" s="3" t="str">
        <f>VLOOKUP(F542,'ESO zone constants'!$A$5:$D$10001,4,FALSE)</f>
        <v>West Weald</v>
      </c>
    </row>
    <row r="543" spans="1:14" x14ac:dyDescent="0.25">
      <c r="A543" s="53">
        <v>563</v>
      </c>
      <c r="B543" s="53">
        <v>51</v>
      </c>
      <c r="C543" s="108">
        <v>2427</v>
      </c>
      <c r="D543" s="53" t="s">
        <v>3937</v>
      </c>
      <c r="E543" s="53">
        <v>982</v>
      </c>
      <c r="F543" s="53">
        <v>1443</v>
      </c>
      <c r="G543" s="53" t="s">
        <v>3937</v>
      </c>
      <c r="H543" s="53">
        <v>1</v>
      </c>
      <c r="I543" s="53" t="s">
        <v>3995</v>
      </c>
      <c r="J543" s="30" t="str">
        <f t="shared" si="24"/>
        <v>[563]=1443,</v>
      </c>
      <c r="K543" s="3">
        <f t="shared" si="27"/>
        <v>563</v>
      </c>
      <c r="L543" s="3">
        <f t="shared" si="28"/>
        <v>1443</v>
      </c>
      <c r="M543" s="8" t="str">
        <f>VLOOKUP(A543,'ESO wayshrine names'!$A$3:$B$5104,2,)</f>
        <v>North Hook Wayshrine</v>
      </c>
      <c r="N543" s="3" t="str">
        <f>VLOOKUP(F543,'ESO zone constants'!$A$5:$D$10001,4,FALSE)</f>
        <v>West Weald</v>
      </c>
    </row>
    <row r="544" spans="1:14" x14ac:dyDescent="0.25">
      <c r="A544" s="53">
        <v>564</v>
      </c>
      <c r="B544" s="53">
        <v>51</v>
      </c>
      <c r="C544" s="108">
        <v>2427</v>
      </c>
      <c r="D544" s="53" t="s">
        <v>3937</v>
      </c>
      <c r="E544" s="53">
        <v>982</v>
      </c>
      <c r="F544" s="53">
        <v>1443</v>
      </c>
      <c r="G544" s="53" t="s">
        <v>3937</v>
      </c>
      <c r="H544" s="53">
        <v>1</v>
      </c>
      <c r="I544" s="53" t="s">
        <v>3996</v>
      </c>
      <c r="J544" s="30" t="str">
        <f t="shared" si="24"/>
        <v>[564]=1443,</v>
      </c>
      <c r="K544" s="3">
        <f t="shared" si="27"/>
        <v>564</v>
      </c>
      <c r="L544" s="3">
        <f t="shared" si="28"/>
        <v>1443</v>
      </c>
      <c r="M544" s="8" t="str">
        <f>VLOOKUP(A544,'ESO wayshrine names'!$A$3:$B$5104,2,)</f>
        <v>Trader's Luck Wayshrine</v>
      </c>
      <c r="N544" s="3" t="str">
        <f>VLOOKUP(F544,'ESO zone constants'!$A$5:$D$10001,4,FALSE)</f>
        <v>West Weald</v>
      </c>
    </row>
    <row r="545" spans="1:14" x14ac:dyDescent="0.25">
      <c r="A545" s="53">
        <v>568</v>
      </c>
      <c r="B545" s="53">
        <v>51</v>
      </c>
      <c r="C545" s="108">
        <v>2427</v>
      </c>
      <c r="D545" s="53" t="s">
        <v>3937</v>
      </c>
      <c r="E545" s="53">
        <v>982</v>
      </c>
      <c r="F545" s="53">
        <v>1443</v>
      </c>
      <c r="G545" s="53" t="s">
        <v>3937</v>
      </c>
      <c r="H545" s="53">
        <v>3</v>
      </c>
      <c r="I545" s="53" t="s">
        <v>3993</v>
      </c>
      <c r="J545" s="30" t="str">
        <f t="shared" si="24"/>
        <v>[568]=1443,</v>
      </c>
      <c r="K545" s="3">
        <f t="shared" si="27"/>
        <v>568</v>
      </c>
      <c r="L545" s="3">
        <f t="shared" si="28"/>
        <v>1443</v>
      </c>
      <c r="M545" s="8" t="str">
        <f>VLOOKUP(A545,'ESO wayshrine names'!$A$3:$B$5104,2,)</f>
        <v>Trial: Lucent Citadel</v>
      </c>
      <c r="N545" s="3" t="str">
        <f>VLOOKUP(F545,'ESO zone constants'!$A$5:$D$10001,4,FALSE)</f>
        <v>West Weald</v>
      </c>
    </row>
    <row r="546" spans="1:14" x14ac:dyDescent="0.25">
      <c r="A546" s="53">
        <v>573</v>
      </c>
      <c r="B546" s="53">
        <v>51</v>
      </c>
      <c r="C546" s="108">
        <v>2427</v>
      </c>
      <c r="D546" s="53" t="s">
        <v>3937</v>
      </c>
      <c r="E546" s="53">
        <v>982</v>
      </c>
      <c r="F546" s="53">
        <v>1443</v>
      </c>
      <c r="G546" s="53" t="s">
        <v>3937</v>
      </c>
      <c r="H546" s="53">
        <v>7</v>
      </c>
      <c r="I546" s="53" t="s">
        <v>3998</v>
      </c>
      <c r="J546" s="30" t="str">
        <f t="shared" si="24"/>
        <v>[573]=1443,</v>
      </c>
      <c r="K546" s="3">
        <f t="shared" si="27"/>
        <v>573</v>
      </c>
      <c r="L546" s="3">
        <f t="shared" si="28"/>
        <v>1443</v>
      </c>
      <c r="M546" s="8" t="str">
        <f>VLOOKUP(A546,'ESO wayshrine names'!$A$3:$B$5104,2,)</f>
        <v>Merryvine Estate</v>
      </c>
      <c r="N546" s="3" t="str">
        <f>VLOOKUP(F546,'ESO zone constants'!$A$5:$D$10001,4,FALSE)</f>
        <v>West Weald</v>
      </c>
    </row>
    <row r="547" spans="1:14" x14ac:dyDescent="0.25">
      <c r="A547" s="53">
        <v>574</v>
      </c>
      <c r="B547" s="53">
        <v>51</v>
      </c>
      <c r="C547" s="108">
        <v>2427</v>
      </c>
      <c r="D547" s="53" t="s">
        <v>3937</v>
      </c>
      <c r="E547" s="53">
        <v>982</v>
      </c>
      <c r="F547" s="53">
        <v>1443</v>
      </c>
      <c r="G547" s="53" t="s">
        <v>3937</v>
      </c>
      <c r="H547" s="53">
        <v>7</v>
      </c>
      <c r="I547" s="53" t="s">
        <v>3999</v>
      </c>
      <c r="J547" s="30" t="str">
        <f t="shared" si="24"/>
        <v>[574]=1443,</v>
      </c>
      <c r="K547" s="3">
        <f t="shared" si="27"/>
        <v>574</v>
      </c>
      <c r="L547" s="3">
        <f t="shared" si="28"/>
        <v>1443</v>
      </c>
      <c r="M547" s="8" t="str">
        <f>VLOOKUP(A547,'ESO wayshrine names'!$A$3:$B$5104,2,)</f>
        <v>Rosewine Retreat</v>
      </c>
      <c r="N547" s="3" t="str">
        <f>VLOOKUP(F547,'ESO zone constants'!$A$5:$D$10001,4,FALSE)</f>
        <v>West Weald</v>
      </c>
    </row>
    <row r="548" spans="1:14" x14ac:dyDescent="0.25">
      <c r="A548" s="53">
        <v>575</v>
      </c>
      <c r="B548" s="53">
        <v>51</v>
      </c>
      <c r="C548" s="108">
        <v>2427</v>
      </c>
      <c r="D548" s="53" t="s">
        <v>3937</v>
      </c>
      <c r="E548" s="53">
        <v>982</v>
      </c>
      <c r="F548" s="53">
        <v>1443</v>
      </c>
      <c r="G548" s="53" t="s">
        <v>3937</v>
      </c>
      <c r="H548" s="53">
        <v>1</v>
      </c>
      <c r="I548" s="53" t="s">
        <v>4000</v>
      </c>
      <c r="J548" s="30" t="str">
        <f t="shared" si="24"/>
        <v>[575]=1443,</v>
      </c>
      <c r="K548" s="3">
        <f t="shared" si="27"/>
        <v>575</v>
      </c>
      <c r="L548" s="3">
        <f t="shared" si="28"/>
        <v>1443</v>
      </c>
      <c r="M548" s="8" t="str">
        <f>VLOOKUP(A548,'ESO wayshrine names'!$A$3:$B$5104,2,)</f>
        <v>Fall's Path Wayshrine</v>
      </c>
      <c r="N548" s="3" t="str">
        <f>VLOOKUP(F548,'ESO zone constants'!$A$5:$D$10001,4,FALSE)</f>
        <v>West Weald</v>
      </c>
    </row>
    <row r="549" spans="1:14" x14ac:dyDescent="0.25">
      <c r="A549" s="53">
        <v>577</v>
      </c>
      <c r="B549" s="53">
        <v>51</v>
      </c>
      <c r="C549" s="108">
        <v>2427</v>
      </c>
      <c r="D549" s="53" t="s">
        <v>3937</v>
      </c>
      <c r="E549" s="53">
        <v>982</v>
      </c>
      <c r="F549" s="53">
        <v>1443</v>
      </c>
      <c r="G549" s="53" t="s">
        <v>3937</v>
      </c>
      <c r="H549" s="53">
        <v>1</v>
      </c>
      <c r="I549" s="53" t="s">
        <v>3997</v>
      </c>
      <c r="J549" s="30" t="str">
        <f t="shared" si="24"/>
        <v>[577]=1443,</v>
      </c>
      <c r="K549" s="3">
        <f t="shared" si="27"/>
        <v>577</v>
      </c>
      <c r="L549" s="3">
        <f t="shared" si="28"/>
        <v>1443</v>
      </c>
      <c r="M549" s="8" t="str">
        <f>VLOOKUP(A549,'ESO wayshrine names'!$A$3:$B$5104,2,)</f>
        <v>Wildburn's Edge Wayshrine</v>
      </c>
      <c r="N549" s="3" t="str">
        <f>VLOOKUP(F549,'ESO zone constants'!$A$5:$D$10001,4,FALSE)</f>
        <v>West Weald</v>
      </c>
    </row>
    <row r="550" spans="1:14" x14ac:dyDescent="0.25">
      <c r="A550" s="53">
        <v>578</v>
      </c>
      <c r="B550" s="53">
        <v>51</v>
      </c>
      <c r="C550" s="108">
        <v>2427</v>
      </c>
      <c r="D550" s="53" t="s">
        <v>3937</v>
      </c>
      <c r="E550" s="53">
        <v>982</v>
      </c>
      <c r="F550" s="53">
        <v>1443</v>
      </c>
      <c r="G550" s="53" t="s">
        <v>3937</v>
      </c>
      <c r="H550" s="53">
        <v>1</v>
      </c>
      <c r="I550" s="53" t="s">
        <v>3994</v>
      </c>
      <c r="J550" s="30" t="str">
        <f t="shared" si="24"/>
        <v>[578]=1443,</v>
      </c>
      <c r="K550" s="3">
        <f t="shared" si="27"/>
        <v>578</v>
      </c>
      <c r="L550" s="3">
        <f t="shared" si="28"/>
        <v>1443</v>
      </c>
      <c r="M550" s="8" t="str">
        <f>VLOOKUP(A550,'ESO wayshrine names'!$A$3:$B$5104,2,)</f>
        <v>Ostumir Wayshrine</v>
      </c>
      <c r="N550" s="3" t="str">
        <f>VLOOKUP(F550,'ESO zone constants'!$A$5:$D$10001,4,FALSE)</f>
        <v>West Weald</v>
      </c>
    </row>
    <row r="551" spans="1:14" x14ac:dyDescent="0.25">
      <c r="A551" s="53">
        <v>579</v>
      </c>
      <c r="B551" s="53">
        <v>51</v>
      </c>
      <c r="C551" s="108">
        <v>2427</v>
      </c>
      <c r="D551" s="53" t="s">
        <v>3937</v>
      </c>
      <c r="E551" s="53">
        <v>982</v>
      </c>
      <c r="F551" s="53">
        <v>1443</v>
      </c>
      <c r="G551" s="53" t="s">
        <v>3937</v>
      </c>
      <c r="H551" s="53">
        <v>1</v>
      </c>
      <c r="I551" s="53" t="s">
        <v>3988</v>
      </c>
      <c r="J551" s="30" t="str">
        <f t="shared" si="24"/>
        <v>[579]=1443,</v>
      </c>
      <c r="K551" s="3">
        <f t="shared" si="27"/>
        <v>579</v>
      </c>
      <c r="L551" s="3">
        <f t="shared" si="28"/>
        <v>1443</v>
      </c>
      <c r="M551" s="8" t="str">
        <f>VLOOKUP(A551,'ESO wayshrine names'!$A$3:$B$5104,2,)</f>
        <v>Centurion's Watch Wayshrine</v>
      </c>
      <c r="N551" s="3" t="str">
        <f>VLOOKUP(F551,'ESO zone constants'!$A$5:$D$10001,4,FALSE)</f>
        <v>West Weald</v>
      </c>
    </row>
    <row r="552" spans="1:14" x14ac:dyDescent="0.25">
      <c r="A552" s="53">
        <v>580</v>
      </c>
      <c r="B552" s="53">
        <v>51</v>
      </c>
      <c r="C552" s="108">
        <v>2427</v>
      </c>
      <c r="D552" s="53" t="s">
        <v>3937</v>
      </c>
      <c r="E552" s="53">
        <v>982</v>
      </c>
      <c r="F552" s="53">
        <v>1443</v>
      </c>
      <c r="G552" s="53" t="s">
        <v>3937</v>
      </c>
      <c r="H552" s="53">
        <v>1</v>
      </c>
      <c r="I552" s="53" t="s">
        <v>3989</v>
      </c>
      <c r="J552" s="30" t="str">
        <f t="shared" si="24"/>
        <v>[580]=1443,</v>
      </c>
      <c r="K552" s="3">
        <f t="shared" si="27"/>
        <v>580</v>
      </c>
      <c r="L552" s="3">
        <f t="shared" si="28"/>
        <v>1443</v>
      </c>
      <c r="M552" s="8" t="str">
        <f>VLOOKUP(A552,'ESO wayshrine names'!$A$3:$B$5104,2,)</f>
        <v>Valente Vineyards Wayshrine</v>
      </c>
      <c r="N552" s="3" t="str">
        <f>VLOOKUP(F552,'ESO zone constants'!$A$5:$D$10001,4,FALSE)</f>
        <v>West Weald</v>
      </c>
    </row>
    <row r="553" spans="1:14" x14ac:dyDescent="0.25">
      <c r="A553" s="53">
        <v>583</v>
      </c>
      <c r="B553" s="53">
        <v>51</v>
      </c>
      <c r="C553" s="108">
        <v>2427</v>
      </c>
      <c r="D553" s="53" t="s">
        <v>3937</v>
      </c>
      <c r="E553" s="53">
        <v>982</v>
      </c>
      <c r="F553" s="53">
        <v>1443</v>
      </c>
      <c r="G553" s="53" t="s">
        <v>3937</v>
      </c>
      <c r="H553" s="53">
        <v>1</v>
      </c>
      <c r="I553" s="53" t="s">
        <v>3992</v>
      </c>
      <c r="J553" s="30" t="str">
        <f t="shared" si="24"/>
        <v>[583]=1443,</v>
      </c>
      <c r="K553" s="3">
        <f t="shared" si="27"/>
        <v>583</v>
      </c>
      <c r="L553" s="3">
        <f t="shared" si="28"/>
        <v>1443</v>
      </c>
      <c r="M553" s="8" t="str">
        <f>VLOOKUP(A553,'ESO wayshrine names'!$A$3:$B$5104,2,)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8"/>
  <sheetViews>
    <sheetView workbookViewId="0">
      <pane xSplit="1" ySplit="2" topLeftCell="B219" activePane="bottomRight" state="frozen"/>
      <selection pane="topRight" activeCell="B1" sqref="B1"/>
      <selection pane="bottomLeft" activeCell="A2" sqref="A2"/>
      <selection pane="bottomRight" activeCell="C2" sqref="C2"/>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4042</v>
      </c>
      <c r="C1" s="51"/>
      <c r="D1" s="51" t="s">
        <v>3648</v>
      </c>
      <c r="E1" s="51"/>
      <c r="F1" s="51"/>
      <c r="G1" s="51"/>
      <c r="H1" s="51"/>
      <c r="I1" s="51"/>
      <c r="J1" s="51"/>
      <c r="K1" s="51"/>
      <c r="L1" s="51"/>
    </row>
    <row r="2" spans="1:12" s="1" customFormat="1" x14ac:dyDescent="0.25">
      <c r="A2" s="5" t="s">
        <v>4031</v>
      </c>
      <c r="B2" s="1" t="s">
        <v>4031</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3902</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3899</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3903</v>
      </c>
    </row>
    <row r="559" spans="1:2" x14ac:dyDescent="0.25">
      <c r="A559">
        <v>557</v>
      </c>
      <c r="B559" t="s">
        <v>3761</v>
      </c>
    </row>
    <row r="560" spans="1:2" x14ac:dyDescent="0.25">
      <c r="A560">
        <v>558</v>
      </c>
      <c r="B560" t="s">
        <v>3970</v>
      </c>
    </row>
    <row r="561" spans="1:2" x14ac:dyDescent="0.25">
      <c r="A561">
        <v>559</v>
      </c>
      <c r="B561" t="s">
        <v>3971</v>
      </c>
    </row>
    <row r="562" spans="1:2" x14ac:dyDescent="0.25">
      <c r="A562">
        <v>560</v>
      </c>
      <c r="B562" t="s">
        <v>3972</v>
      </c>
    </row>
    <row r="563" spans="1:2" x14ac:dyDescent="0.25">
      <c r="A563">
        <v>561</v>
      </c>
      <c r="B563" t="s">
        <v>3973</v>
      </c>
    </row>
    <row r="564" spans="1:2" x14ac:dyDescent="0.25">
      <c r="A564">
        <v>562</v>
      </c>
      <c r="B564" t="s">
        <v>3974</v>
      </c>
    </row>
    <row r="565" spans="1:2" x14ac:dyDescent="0.25">
      <c r="A565">
        <v>563</v>
      </c>
      <c r="B565" t="s">
        <v>3975</v>
      </c>
    </row>
    <row r="566" spans="1:2" x14ac:dyDescent="0.25">
      <c r="A566">
        <v>564</v>
      </c>
      <c r="B566" t="s">
        <v>3976</v>
      </c>
    </row>
    <row r="567" spans="1:2" x14ac:dyDescent="0.25">
      <c r="A567">
        <v>565</v>
      </c>
      <c r="B567" t="s">
        <v>3904</v>
      </c>
    </row>
    <row r="568" spans="1:2" x14ac:dyDescent="0.25">
      <c r="A568">
        <v>566</v>
      </c>
      <c r="B568" t="s">
        <v>3762</v>
      </c>
    </row>
    <row r="569" spans="1:2" x14ac:dyDescent="0.25">
      <c r="A569">
        <v>567</v>
      </c>
      <c r="B569" t="s">
        <v>3763</v>
      </c>
    </row>
    <row r="570" spans="1:2" x14ac:dyDescent="0.25">
      <c r="A570">
        <v>568</v>
      </c>
      <c r="B570" t="s">
        <v>3977</v>
      </c>
    </row>
    <row r="571" spans="1:2" x14ac:dyDescent="0.25">
      <c r="A571">
        <v>569</v>
      </c>
      <c r="B571" t="s">
        <v>3898</v>
      </c>
    </row>
    <row r="572" spans="1:2" x14ac:dyDescent="0.25">
      <c r="A572">
        <v>570</v>
      </c>
      <c r="B572" t="s">
        <v>3896</v>
      </c>
    </row>
    <row r="573" spans="1:2" x14ac:dyDescent="0.25">
      <c r="A573">
        <v>571</v>
      </c>
      <c r="B573" t="s">
        <v>1799</v>
      </c>
    </row>
    <row r="574" spans="1:2" x14ac:dyDescent="0.25">
      <c r="A574">
        <v>572</v>
      </c>
      <c r="B574" t="s">
        <v>3978</v>
      </c>
    </row>
    <row r="575" spans="1:2" x14ac:dyDescent="0.25">
      <c r="A575">
        <v>573</v>
      </c>
      <c r="B575" t="s">
        <v>3940</v>
      </c>
    </row>
    <row r="576" spans="1:2" x14ac:dyDescent="0.25">
      <c r="A576">
        <v>574</v>
      </c>
      <c r="B576" t="s">
        <v>3941</v>
      </c>
    </row>
    <row r="577" spans="1:2" x14ac:dyDescent="0.25">
      <c r="A577">
        <v>575</v>
      </c>
      <c r="B577" t="s">
        <v>3979</v>
      </c>
    </row>
    <row r="578" spans="1:2" x14ac:dyDescent="0.25">
      <c r="A578">
        <v>576</v>
      </c>
      <c r="B578" t="s">
        <v>3943</v>
      </c>
    </row>
    <row r="579" spans="1:2" x14ac:dyDescent="0.25">
      <c r="A579">
        <v>577</v>
      </c>
      <c r="B579" t="s">
        <v>3980</v>
      </c>
    </row>
    <row r="580" spans="1:2" x14ac:dyDescent="0.25">
      <c r="A580">
        <v>578</v>
      </c>
      <c r="B580" t="s">
        <v>3981</v>
      </c>
    </row>
    <row r="581" spans="1:2" x14ac:dyDescent="0.25">
      <c r="A581">
        <v>579</v>
      </c>
      <c r="B581" t="s">
        <v>3982</v>
      </c>
    </row>
    <row r="582" spans="1:2" x14ac:dyDescent="0.25">
      <c r="A582">
        <v>580</v>
      </c>
      <c r="B582" t="s">
        <v>3983</v>
      </c>
    </row>
    <row r="583" spans="1:2" x14ac:dyDescent="0.25">
      <c r="A583">
        <v>581</v>
      </c>
    </row>
    <row r="584" spans="1:2" x14ac:dyDescent="0.25">
      <c r="A584">
        <v>582</v>
      </c>
    </row>
    <row r="585" spans="1:2" x14ac:dyDescent="0.25">
      <c r="A585">
        <v>583</v>
      </c>
      <c r="B585" t="s">
        <v>3984</v>
      </c>
    </row>
    <row r="586" spans="1:2" x14ac:dyDescent="0.25">
      <c r="A586">
        <v>584</v>
      </c>
      <c r="B586" t="s">
        <v>4032</v>
      </c>
    </row>
    <row r="587" spans="1:2" x14ac:dyDescent="0.25">
      <c r="A587">
        <v>585</v>
      </c>
      <c r="B587" t="s">
        <v>4033</v>
      </c>
    </row>
    <row r="588" spans="1:2" x14ac:dyDescent="0.25">
      <c r="A588">
        <v>586</v>
      </c>
      <c r="B588" t="s">
        <v>4034</v>
      </c>
    </row>
  </sheetData>
  <autoFilter ref="A2:B588" xr:uid="{00000000-0009-0000-0000-000009000000}">
    <sortState xmlns:xlrd2="http://schemas.microsoft.com/office/spreadsheetml/2017/richdata2" ref="A2:B3">
      <sortCondition ref="A2"/>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9" t="s">
        <v>3765</v>
      </c>
      <c r="B1" s="119"/>
      <c r="C1" s="119"/>
      <c r="D1" s="119"/>
      <c r="E1" s="119"/>
      <c r="F1" s="119"/>
      <c r="G1" s="119"/>
      <c r="H1" s="119"/>
      <c r="I1" s="119"/>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3812</v>
      </c>
      <c r="D3" s="94" t="e">
        <f>VLOOKUP(E3,'ESO zone constants'!$D$5:$H$10003,5,FALSE)</f>
        <v>#N/A</v>
      </c>
      <c r="E3" s="1" t="s">
        <v>4013</v>
      </c>
      <c r="F3" t="s">
        <v>4014</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4012</v>
      </c>
      <c r="E4" t="s">
        <v>3938</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constants'!$D$5:$H$10003,5,FALSE)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constants'!$D$5:$H$10003,5,FALSE)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3812</v>
      </c>
      <c r="D23" s="94">
        <f>VLOOKUP(E23,'ESO zone constants'!$D$5:$H$10003,5,FALSE)</f>
        <v>1436</v>
      </c>
      <c r="E23" s="1" t="s">
        <v>3899</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4015</v>
      </c>
      <c r="E24" t="s">
        <v>4016</v>
      </c>
      <c r="F24" t="s">
        <v>4017</v>
      </c>
      <c r="J24" s="30" t="str">
        <f t="shared" si="7"/>
        <v>{ parentCategory=109, category=117, zoneIds={1436}},--All classes</v>
      </c>
    </row>
    <row r="25" spans="1:10" x14ac:dyDescent="0.25">
      <c r="A25">
        <v>4</v>
      </c>
      <c r="B25">
        <v>4</v>
      </c>
      <c r="C25" t="str">
        <f t="shared" si="3"/>
        <v>X</v>
      </c>
      <c r="D25" s="94" t="e">
        <f>VLOOKUP(E25,'ESO zone constants'!$D$5:$H$10003,5,FALSE)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constants'!$D$5:$H$10003,5,FALSE)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constants'!$D$5:$H$10003,5,FALSE)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1797</v>
      </c>
      <c r="F77" t="s">
        <v>2339</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constants'!$D$5:$H$10003,5,FALSE)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constants'!$D$5:$H$10003,5,FALSE)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constants'!$D$5:$H$10003,5,FALSE)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constants'!$D$5:$H$10003,5,FALSE)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constants'!$D$5:$H$10003,5,FALSE)</f>
        <v>1470</v>
      </c>
      <c r="E88" s="36" t="s">
        <v>3873</v>
      </c>
      <c r="F88" s="36" t="s">
        <v>3873</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78">
        <f>VLOOKUP(E89,'ESO zone constants'!$D$5:$H$10003,5,FALSE)</f>
        <v>1471</v>
      </c>
      <c r="E89" s="36" t="s">
        <v>3874</v>
      </c>
      <c r="F89" s="36" t="s">
        <v>3874</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4" t="e">
        <f>VLOOKUP(E90,'ESO zone constants'!$D$5:$H$10003,5,FALSE)</f>
        <v>#N/A</v>
      </c>
      <c r="E90" s="1" t="s">
        <v>2372</v>
      </c>
      <c r="F90" t="s">
        <v>2293</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2345</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2351</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2348</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2346</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2344</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2350</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2349</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1696</v>
      </c>
      <c r="F99" t="s">
        <v>2347</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3337</v>
      </c>
      <c r="F100" t="s">
        <v>3317</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3672</v>
      </c>
      <c r="H101" t="str">
        <f t="shared" si="24"/>
        <v>X</v>
      </c>
      <c r="J101" s="30" t="str">
        <f t="shared" si="21"/>
        <v>{ parentCategory=7, category=108, zoneIds={1427}, isTrial=true},--Sanity's Edge</v>
      </c>
    </row>
    <row r="102" spans="1:10" x14ac:dyDescent="0.25">
      <c r="A102" s="53">
        <v>7</v>
      </c>
      <c r="B102" s="53">
        <v>125</v>
      </c>
      <c r="C102" s="53"/>
      <c r="D102" s="105" t="s">
        <v>4001</v>
      </c>
      <c r="E102" s="53" t="s">
        <v>3944</v>
      </c>
      <c r="F102" s="53" t="s">
        <v>3944</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4" t="e">
        <f>VLOOKUP(E103,'ESO zone constants'!$D$5:$H$10003,5,FALSE)</f>
        <v>#N/A</v>
      </c>
      <c r="E103" s="1" t="s">
        <v>2373</v>
      </c>
      <c r="F103" t="s">
        <v>2294</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2352</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2354</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2355</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2202</v>
      </c>
      <c r="F107" t="s">
        <v>2353</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4" t="e">
        <f>VLOOKUP(E108,'ESO zone constants'!$D$5:$H$10003,5,FALSE)</f>
        <v>#N/A</v>
      </c>
      <c r="E108" s="1" t="s">
        <v>2295</v>
      </c>
      <c r="F108" t="s">
        <v>2295</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2356</v>
      </c>
      <c r="G110" t="str">
        <f t="shared" si="23"/>
        <v/>
      </c>
      <c r="H110" t="str">
        <f t="shared" si="24"/>
        <v/>
      </c>
      <c r="I110" t="str">
        <f t="shared" si="25"/>
        <v/>
      </c>
      <c r="J110" s="30" t="str">
        <f t="shared" si="37"/>
        <v>{ parentCategory=9, category=84, zoneIds={584}},--Imperial City</v>
      </c>
    </row>
    <row r="111" spans="1:10" x14ac:dyDescent="0.25">
      <c r="A111">
        <v>9</v>
      </c>
      <c r="B111">
        <v>85</v>
      </c>
      <c r="E111" t="s">
        <v>2365</v>
      </c>
      <c r="F111" t="s">
        <v>2357</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4" t="e">
        <f>VLOOKUP(E112,'ESO zone constants'!$D$5:$H$10003,5,FALSE)</f>
        <v>#N/A</v>
      </c>
      <c r="E112" s="1" t="s">
        <v>2374</v>
      </c>
      <c r="F112" t="s">
        <v>2296</v>
      </c>
      <c r="G112" t="str">
        <f t="shared" si="23"/>
        <v/>
      </c>
      <c r="H112" t="str">
        <f t="shared" si="24"/>
        <v/>
      </c>
      <c r="I112" t="str">
        <f t="shared" si="25"/>
        <v/>
      </c>
      <c r="J112" s="30" t="str">
        <f t="shared" si="37"/>
        <v>--Miscellaneous</v>
      </c>
    </row>
    <row r="113" spans="1:10" x14ac:dyDescent="0.25">
      <c r="A113">
        <v>10</v>
      </c>
      <c r="B113">
        <v>26</v>
      </c>
      <c r="D113" s="2" t="s">
        <v>3608</v>
      </c>
      <c r="E113" t="s">
        <v>2375</v>
      </c>
      <c r="F113" t="s">
        <v>2361</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2359</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2360</v>
      </c>
      <c r="G115" t="str">
        <f t="shared" si="23"/>
        <v/>
      </c>
      <c r="H115" t="str">
        <f t="shared" si="24"/>
        <v/>
      </c>
      <c r="I115" t="str">
        <f t="shared" si="25"/>
        <v/>
      </c>
      <c r="J115" s="30" t="str">
        <f t="shared" si="37"/>
        <v>{ parentCategory=10, category=28, zoneIds={888}},--Craglorn</v>
      </c>
    </row>
    <row r="116" spans="1:10" x14ac:dyDescent="0.25">
      <c r="A116">
        <v>10</v>
      </c>
      <c r="B116">
        <v>86</v>
      </c>
      <c r="E116" t="s">
        <v>1785</v>
      </c>
      <c r="F116" t="s">
        <v>2358</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E50"/>
  <sheetViews>
    <sheetView workbookViewId="0">
      <selection activeCell="A2" sqref="A2:E50"/>
    </sheetView>
  </sheetViews>
  <sheetFormatPr baseColWidth="10" defaultRowHeight="15" x14ac:dyDescent="0.25"/>
  <cols>
    <col min="1" max="1" width="19.7109375" bestFit="1" customWidth="1"/>
    <col min="2" max="2" width="11.42578125" style="45"/>
    <col min="3" max="3" width="30.28515625" bestFit="1" customWidth="1"/>
  </cols>
  <sheetData>
    <row r="1" spans="1:5" x14ac:dyDescent="0.25">
      <c r="A1" t="s">
        <v>4037</v>
      </c>
      <c r="B1" s="45" t="s">
        <v>4038</v>
      </c>
      <c r="C1" t="s">
        <v>4039</v>
      </c>
      <c r="D1" t="s">
        <v>4040</v>
      </c>
    </row>
    <row r="2" spans="1:5" x14ac:dyDescent="0.25">
      <c r="A2">
        <v>1</v>
      </c>
      <c r="B2" s="45">
        <v>2</v>
      </c>
      <c r="C2" t="s">
        <v>103</v>
      </c>
      <c r="D2">
        <v>3</v>
      </c>
      <c r="E2" t="s">
        <v>103</v>
      </c>
    </row>
    <row r="3" spans="1:5" x14ac:dyDescent="0.25">
      <c r="A3">
        <v>7</v>
      </c>
      <c r="B3" s="45">
        <v>11</v>
      </c>
      <c r="C3" t="s">
        <v>106</v>
      </c>
      <c r="D3">
        <v>41</v>
      </c>
      <c r="E3" t="s">
        <v>106</v>
      </c>
    </row>
    <row r="4" spans="1:5" x14ac:dyDescent="0.25">
      <c r="A4">
        <v>9</v>
      </c>
      <c r="B4" s="45">
        <v>7</v>
      </c>
      <c r="C4" t="s">
        <v>264</v>
      </c>
      <c r="D4">
        <v>383</v>
      </c>
      <c r="E4" t="s">
        <v>264</v>
      </c>
    </row>
    <row r="5" spans="1:5" ht="15.75" customHeight="1" x14ac:dyDescent="0.25">
      <c r="A5">
        <v>10</v>
      </c>
      <c r="B5" s="45">
        <v>3</v>
      </c>
      <c r="C5" t="s">
        <v>105</v>
      </c>
      <c r="D5">
        <v>20</v>
      </c>
      <c r="E5" t="s">
        <v>105</v>
      </c>
    </row>
    <row r="6" spans="1:5" x14ac:dyDescent="0.25">
      <c r="A6">
        <v>12</v>
      </c>
      <c r="B6" s="45">
        <v>4</v>
      </c>
      <c r="C6" t="s">
        <v>104</v>
      </c>
      <c r="D6">
        <v>19</v>
      </c>
      <c r="E6" t="s">
        <v>104</v>
      </c>
    </row>
    <row r="7" spans="1:5" x14ac:dyDescent="0.25">
      <c r="A7">
        <v>13</v>
      </c>
      <c r="B7" s="45">
        <v>10</v>
      </c>
      <c r="C7" t="s">
        <v>107</v>
      </c>
      <c r="D7">
        <v>57</v>
      </c>
      <c r="E7" t="s">
        <v>107</v>
      </c>
    </row>
    <row r="8" spans="1:5" x14ac:dyDescent="0.25">
      <c r="A8">
        <v>16</v>
      </c>
      <c r="B8" s="45">
        <v>14</v>
      </c>
      <c r="C8" t="s">
        <v>125</v>
      </c>
      <c r="D8">
        <v>181</v>
      </c>
      <c r="E8" t="s">
        <v>125</v>
      </c>
    </row>
    <row r="9" spans="1:5" x14ac:dyDescent="0.25">
      <c r="A9">
        <v>20</v>
      </c>
      <c r="B9" s="45">
        <v>6</v>
      </c>
      <c r="C9" t="s">
        <v>109</v>
      </c>
      <c r="D9">
        <v>92</v>
      </c>
      <c r="E9" t="s">
        <v>109</v>
      </c>
    </row>
    <row r="10" spans="1:5" x14ac:dyDescent="0.25">
      <c r="A10">
        <v>22</v>
      </c>
      <c r="B10" s="45">
        <v>8</v>
      </c>
      <c r="C10" t="s">
        <v>108</v>
      </c>
      <c r="D10">
        <v>58</v>
      </c>
      <c r="E10" t="s">
        <v>108</v>
      </c>
    </row>
    <row r="11" spans="1:5" x14ac:dyDescent="0.25">
      <c r="A11">
        <v>26</v>
      </c>
      <c r="B11" s="45">
        <v>9</v>
      </c>
      <c r="C11" t="s">
        <v>114</v>
      </c>
      <c r="D11">
        <v>117</v>
      </c>
      <c r="E11" t="s">
        <v>114</v>
      </c>
    </row>
    <row r="12" spans="1:5" x14ac:dyDescent="0.25">
      <c r="A12">
        <v>30</v>
      </c>
      <c r="B12" s="45">
        <v>5</v>
      </c>
      <c r="C12" t="s">
        <v>112</v>
      </c>
      <c r="D12">
        <v>104</v>
      </c>
      <c r="E12" t="s">
        <v>112</v>
      </c>
    </row>
    <row r="13" spans="1:5" x14ac:dyDescent="0.25">
      <c r="A13">
        <v>61</v>
      </c>
      <c r="B13" s="45">
        <v>13</v>
      </c>
      <c r="C13" t="s">
        <v>110</v>
      </c>
      <c r="D13">
        <v>101</v>
      </c>
      <c r="E13" t="s">
        <v>110</v>
      </c>
    </row>
    <row r="14" spans="1:5" x14ac:dyDescent="0.25">
      <c r="A14">
        <v>74</v>
      </c>
      <c r="B14" s="45">
        <v>22</v>
      </c>
      <c r="C14" t="s">
        <v>196</v>
      </c>
      <c r="D14">
        <v>280</v>
      </c>
      <c r="E14" t="s">
        <v>196</v>
      </c>
    </row>
    <row r="15" spans="1:5" x14ac:dyDescent="0.25">
      <c r="A15">
        <v>75</v>
      </c>
      <c r="B15" s="45">
        <v>18</v>
      </c>
      <c r="C15" t="s">
        <v>197</v>
      </c>
      <c r="D15">
        <v>281</v>
      </c>
      <c r="E15" t="s">
        <v>197</v>
      </c>
    </row>
    <row r="16" spans="1:5" x14ac:dyDescent="0.25">
      <c r="A16">
        <v>108</v>
      </c>
      <c r="B16" s="45">
        <v>52</v>
      </c>
      <c r="C16" t="s">
        <v>186</v>
      </c>
      <c r="D16">
        <v>267</v>
      </c>
      <c r="E16" t="s">
        <v>186</v>
      </c>
    </row>
    <row r="17" spans="1:5" x14ac:dyDescent="0.25">
      <c r="A17">
        <v>125</v>
      </c>
      <c r="B17" s="45">
        <v>12</v>
      </c>
      <c r="C17" t="s">
        <v>111</v>
      </c>
      <c r="D17">
        <v>103</v>
      </c>
      <c r="E17" t="s">
        <v>111</v>
      </c>
    </row>
    <row r="18" spans="1:5" x14ac:dyDescent="0.25">
      <c r="A18">
        <v>143</v>
      </c>
      <c r="B18" s="45">
        <v>15</v>
      </c>
      <c r="C18" t="s">
        <v>262</v>
      </c>
      <c r="D18">
        <v>381</v>
      </c>
      <c r="E18" t="s">
        <v>262</v>
      </c>
    </row>
    <row r="19" spans="1:5" x14ac:dyDescent="0.25">
      <c r="A19">
        <v>201</v>
      </c>
      <c r="B19" s="45">
        <v>19</v>
      </c>
      <c r="C19" t="s">
        <v>382</v>
      </c>
      <c r="D19">
        <v>534</v>
      </c>
      <c r="E19" t="s">
        <v>382</v>
      </c>
    </row>
    <row r="20" spans="1:5" x14ac:dyDescent="0.25">
      <c r="A20">
        <v>227</v>
      </c>
      <c r="B20" s="45">
        <v>20</v>
      </c>
      <c r="C20" t="s">
        <v>383</v>
      </c>
      <c r="D20">
        <v>535</v>
      </c>
      <c r="E20" t="s">
        <v>383</v>
      </c>
    </row>
    <row r="21" spans="1:5" x14ac:dyDescent="0.25">
      <c r="A21">
        <v>255</v>
      </c>
      <c r="B21" s="45">
        <v>23</v>
      </c>
      <c r="C21" t="s">
        <v>239</v>
      </c>
      <c r="D21">
        <v>347</v>
      </c>
      <c r="E21" t="s">
        <v>239</v>
      </c>
    </row>
    <row r="22" spans="1:5" x14ac:dyDescent="0.25">
      <c r="A22">
        <v>256</v>
      </c>
      <c r="B22" s="45">
        <v>17</v>
      </c>
      <c r="C22" t="s">
        <v>263</v>
      </c>
      <c r="D22">
        <v>382</v>
      </c>
      <c r="E22" t="s">
        <v>263</v>
      </c>
    </row>
    <row r="23" spans="1:5" x14ac:dyDescent="0.25">
      <c r="A23">
        <v>258</v>
      </c>
      <c r="B23" s="45">
        <v>21</v>
      </c>
      <c r="C23" t="s">
        <v>384</v>
      </c>
      <c r="D23">
        <v>537</v>
      </c>
      <c r="E23" t="s">
        <v>384</v>
      </c>
    </row>
    <row r="24" spans="1:5" x14ac:dyDescent="0.25">
      <c r="A24">
        <v>300</v>
      </c>
      <c r="B24" s="45">
        <v>16</v>
      </c>
      <c r="C24" t="s">
        <v>113</v>
      </c>
      <c r="D24">
        <v>108</v>
      </c>
      <c r="E24" t="s">
        <v>113</v>
      </c>
    </row>
    <row r="25" spans="1:5" x14ac:dyDescent="0.25">
      <c r="A25">
        <v>660</v>
      </c>
      <c r="B25" s="45">
        <v>26</v>
      </c>
      <c r="C25" t="s">
        <v>39</v>
      </c>
      <c r="D25">
        <v>584</v>
      </c>
      <c r="E25" t="s">
        <v>39</v>
      </c>
    </row>
    <row r="26" spans="1:5" x14ac:dyDescent="0.25">
      <c r="A26">
        <v>667</v>
      </c>
      <c r="B26" s="45">
        <v>27</v>
      </c>
      <c r="C26" t="s">
        <v>449</v>
      </c>
      <c r="D26">
        <v>684</v>
      </c>
      <c r="E26" t="s">
        <v>449</v>
      </c>
    </row>
    <row r="27" spans="1:5" x14ac:dyDescent="0.25">
      <c r="A27">
        <v>994</v>
      </c>
      <c r="B27" s="45">
        <v>28</v>
      </c>
      <c r="C27" t="s">
        <v>506</v>
      </c>
      <c r="D27">
        <v>816</v>
      </c>
      <c r="E27" t="s">
        <v>506</v>
      </c>
    </row>
    <row r="28" spans="1:5" x14ac:dyDescent="0.25">
      <c r="A28">
        <v>1006</v>
      </c>
      <c r="B28" s="45">
        <v>29</v>
      </c>
      <c r="C28" t="s">
        <v>512</v>
      </c>
      <c r="D28">
        <v>823</v>
      </c>
      <c r="E28" t="s">
        <v>512</v>
      </c>
    </row>
    <row r="29" spans="1:5" x14ac:dyDescent="0.25">
      <c r="A29">
        <v>1060</v>
      </c>
      <c r="B29" s="45">
        <v>30</v>
      </c>
      <c r="C29" t="s">
        <v>529</v>
      </c>
      <c r="D29">
        <v>849</v>
      </c>
      <c r="E29" t="s">
        <v>529</v>
      </c>
    </row>
    <row r="30" spans="1:5" x14ac:dyDescent="0.25">
      <c r="A30">
        <v>1126</v>
      </c>
      <c r="B30" s="45">
        <v>25</v>
      </c>
      <c r="C30" t="s">
        <v>562</v>
      </c>
      <c r="D30">
        <v>888</v>
      </c>
      <c r="E30" t="s">
        <v>562</v>
      </c>
    </row>
    <row r="31" spans="1:5" x14ac:dyDescent="0.25">
      <c r="A31">
        <v>1313</v>
      </c>
      <c r="B31" s="45">
        <v>31</v>
      </c>
      <c r="C31" t="s">
        <v>78</v>
      </c>
      <c r="D31">
        <v>980</v>
      </c>
      <c r="E31" t="s">
        <v>78</v>
      </c>
    </row>
    <row r="32" spans="1:5" x14ac:dyDescent="0.25">
      <c r="A32">
        <v>1349</v>
      </c>
      <c r="B32" s="45">
        <v>32</v>
      </c>
      <c r="C32" t="s">
        <v>79</v>
      </c>
      <c r="D32">
        <v>1011</v>
      </c>
      <c r="E32" t="s">
        <v>79</v>
      </c>
    </row>
    <row r="33" spans="1:5" x14ac:dyDescent="0.25">
      <c r="A33">
        <v>1429</v>
      </c>
      <c r="B33" s="45">
        <v>33</v>
      </c>
      <c r="C33" t="s">
        <v>678</v>
      </c>
      <c r="D33">
        <v>1027</v>
      </c>
      <c r="E33" t="s">
        <v>678</v>
      </c>
    </row>
    <row r="34" spans="1:5" x14ac:dyDescent="0.25">
      <c r="A34">
        <v>1484</v>
      </c>
      <c r="B34" s="45">
        <v>34</v>
      </c>
      <c r="C34" t="s">
        <v>80</v>
      </c>
      <c r="D34">
        <v>726</v>
      </c>
      <c r="E34" t="s">
        <v>80</v>
      </c>
    </row>
    <row r="35" spans="1:5" x14ac:dyDescent="0.25">
      <c r="A35">
        <v>1552</v>
      </c>
      <c r="B35" s="45">
        <v>35</v>
      </c>
      <c r="C35" t="s">
        <v>712</v>
      </c>
      <c r="D35">
        <v>1072</v>
      </c>
      <c r="E35" t="s">
        <v>712</v>
      </c>
    </row>
    <row r="36" spans="1:5" x14ac:dyDescent="0.25">
      <c r="A36">
        <v>1555</v>
      </c>
      <c r="B36" s="45">
        <v>36</v>
      </c>
      <c r="C36" t="s">
        <v>1384</v>
      </c>
      <c r="D36">
        <v>1086</v>
      </c>
      <c r="E36" t="s">
        <v>1384</v>
      </c>
    </row>
    <row r="37" spans="1:5" x14ac:dyDescent="0.25">
      <c r="A37">
        <v>1654</v>
      </c>
      <c r="B37" s="45">
        <v>37</v>
      </c>
      <c r="C37" t="s">
        <v>1577</v>
      </c>
      <c r="D37">
        <v>1133</v>
      </c>
      <c r="E37" t="s">
        <v>1577</v>
      </c>
    </row>
    <row r="38" spans="1:5" x14ac:dyDescent="0.25">
      <c r="A38">
        <v>1719</v>
      </c>
      <c r="B38" s="45">
        <v>38</v>
      </c>
      <c r="C38" t="s">
        <v>1677</v>
      </c>
      <c r="D38">
        <v>1160</v>
      </c>
      <c r="E38" t="s">
        <v>1677</v>
      </c>
    </row>
    <row r="39" spans="1:5" x14ac:dyDescent="0.25">
      <c r="A39">
        <v>1747</v>
      </c>
      <c r="B39" s="45">
        <v>39</v>
      </c>
      <c r="C39" t="s">
        <v>1707</v>
      </c>
      <c r="D39">
        <v>1161</v>
      </c>
      <c r="E39" t="s">
        <v>1707</v>
      </c>
    </row>
    <row r="40" spans="1:5" x14ac:dyDescent="0.25">
      <c r="A40">
        <v>1814</v>
      </c>
      <c r="B40" s="45">
        <v>42</v>
      </c>
      <c r="C40" t="s">
        <v>2203</v>
      </c>
      <c r="D40">
        <v>1207</v>
      </c>
      <c r="E40" t="s">
        <v>2203</v>
      </c>
    </row>
    <row r="41" spans="1:5" x14ac:dyDescent="0.25">
      <c r="A41">
        <v>1850</v>
      </c>
      <c r="B41" s="45">
        <v>41</v>
      </c>
      <c r="C41" t="s">
        <v>2204</v>
      </c>
      <c r="D41">
        <v>1208</v>
      </c>
      <c r="E41" t="s">
        <v>2204</v>
      </c>
    </row>
    <row r="42" spans="1:5" x14ac:dyDescent="0.25">
      <c r="A42">
        <v>1887</v>
      </c>
      <c r="B42" s="45">
        <v>43</v>
      </c>
      <c r="C42" t="s">
        <v>2378</v>
      </c>
      <c r="D42">
        <v>1261</v>
      </c>
      <c r="E42" t="s">
        <v>2378</v>
      </c>
    </row>
    <row r="43" spans="1:5" x14ac:dyDescent="0.25">
      <c r="A43">
        <v>2021</v>
      </c>
      <c r="B43" s="45">
        <v>45</v>
      </c>
      <c r="C43" t="s">
        <v>2434</v>
      </c>
      <c r="D43">
        <v>1286</v>
      </c>
      <c r="E43" t="s">
        <v>2434</v>
      </c>
    </row>
    <row r="44" spans="1:5" x14ac:dyDescent="0.25">
      <c r="A44">
        <v>2035</v>
      </c>
      <c r="B44" s="45">
        <v>47</v>
      </c>
      <c r="C44" t="s">
        <v>3399</v>
      </c>
      <c r="D44">
        <v>1282</v>
      </c>
      <c r="E44" t="s">
        <v>2670</v>
      </c>
    </row>
    <row r="45" spans="1:5" x14ac:dyDescent="0.25">
      <c r="A45">
        <v>2114</v>
      </c>
      <c r="B45" s="45">
        <v>46</v>
      </c>
      <c r="C45" t="s">
        <v>3338</v>
      </c>
      <c r="D45">
        <v>1318</v>
      </c>
      <c r="E45" t="s">
        <v>3315</v>
      </c>
    </row>
    <row r="46" spans="1:5" x14ac:dyDescent="0.25">
      <c r="A46">
        <v>2119</v>
      </c>
      <c r="B46" s="45">
        <v>44</v>
      </c>
      <c r="C46" t="s">
        <v>2670</v>
      </c>
      <c r="D46">
        <v>1283</v>
      </c>
      <c r="E46" t="s">
        <v>2671</v>
      </c>
    </row>
    <row r="47" spans="1:5" x14ac:dyDescent="0.25">
      <c r="A47">
        <v>2212</v>
      </c>
      <c r="B47" s="45">
        <v>48</v>
      </c>
      <c r="C47" t="s">
        <v>3461</v>
      </c>
      <c r="D47">
        <v>1383</v>
      </c>
      <c r="E47" t="s">
        <v>3456</v>
      </c>
    </row>
    <row r="48" spans="1:5" x14ac:dyDescent="0.25">
      <c r="A48">
        <v>2274</v>
      </c>
      <c r="B48" s="45">
        <v>49</v>
      </c>
      <c r="C48" t="s">
        <v>3681</v>
      </c>
      <c r="D48">
        <v>1414</v>
      </c>
      <c r="E48" t="s">
        <v>3681</v>
      </c>
    </row>
    <row r="49" spans="1:5" x14ac:dyDescent="0.25">
      <c r="A49">
        <v>2275</v>
      </c>
      <c r="B49" s="45">
        <v>50</v>
      </c>
      <c r="C49" t="s">
        <v>3609</v>
      </c>
      <c r="D49">
        <v>1413</v>
      </c>
      <c r="E49" t="s">
        <v>3609</v>
      </c>
    </row>
    <row r="50" spans="1:5" x14ac:dyDescent="0.25">
      <c r="A50">
        <v>2427</v>
      </c>
      <c r="B50" s="45">
        <v>51</v>
      </c>
      <c r="C50" t="s">
        <v>3938</v>
      </c>
      <c r="D50">
        <v>1443</v>
      </c>
      <c r="E50" t="s">
        <v>3938</v>
      </c>
    </row>
  </sheetData>
  <autoFilter ref="A1:E1" xr:uid="{456CBA7C-1F71-417C-8016-40C00D977AEC}"/>
  <sortState xmlns:xlrd2="http://schemas.microsoft.com/office/spreadsheetml/2017/richdata2" ref="A2:E50">
    <sortCondition ref="A2:A5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8" sqref="I8"/>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2" customFormat="1" x14ac:dyDescent="0.25">
      <c r="A1" s="120" t="s">
        <v>3766</v>
      </c>
      <c r="B1" s="121"/>
      <c r="C1" s="121"/>
      <c r="D1" s="121"/>
      <c r="E1" s="121"/>
      <c r="F1" s="121"/>
      <c r="G1" s="121"/>
      <c r="H1" s="121"/>
      <c r="I1" s="121"/>
      <c r="J1" s="121"/>
      <c r="K1" s="121"/>
      <c r="L1" s="121"/>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3875</v>
      </c>
      <c r="C37" t="s">
        <v>3876</v>
      </c>
      <c r="I37" s="3" t="s">
        <v>3715</v>
      </c>
      <c r="J37">
        <v>34</v>
      </c>
      <c r="K37" t="s">
        <v>3716</v>
      </c>
      <c r="L37" s="34" t="s">
        <v>3717</v>
      </c>
    </row>
    <row r="38" spans="1:12" x14ac:dyDescent="0.25">
      <c r="A38" s="3">
        <v>34</v>
      </c>
      <c r="B38" t="s">
        <v>3919</v>
      </c>
      <c r="C38" t="s">
        <v>3920</v>
      </c>
      <c r="I38" s="3" t="s">
        <v>3721</v>
      </c>
      <c r="J38">
        <v>35</v>
      </c>
      <c r="K38" t="s">
        <v>3725</v>
      </c>
      <c r="L38" s="34" t="s">
        <v>3722</v>
      </c>
    </row>
    <row r="39" spans="1:12" x14ac:dyDescent="0.25">
      <c r="A39" s="3">
        <v>35</v>
      </c>
      <c r="B39" t="s">
        <v>4022</v>
      </c>
      <c r="C39" t="s">
        <v>4023</v>
      </c>
      <c r="I39" s="3" t="s">
        <v>3718</v>
      </c>
      <c r="J39">
        <v>36</v>
      </c>
      <c r="K39" t="s">
        <v>3719</v>
      </c>
      <c r="L39" s="34" t="s">
        <v>3720</v>
      </c>
    </row>
    <row r="40" spans="1:12" x14ac:dyDescent="0.25">
      <c r="I40" s="3" t="s">
        <v>3735</v>
      </c>
      <c r="J40">
        <v>37</v>
      </c>
      <c r="K40" t="s">
        <v>3736</v>
      </c>
      <c r="L40" s="34" t="s">
        <v>3737</v>
      </c>
    </row>
    <row r="42" spans="1:12" x14ac:dyDescent="0.25">
      <c r="B42" s="45" t="s">
        <v>1661</v>
      </c>
      <c r="C42" s="45" t="s">
        <v>2406</v>
      </c>
    </row>
    <row r="43" spans="1:12" x14ac:dyDescent="0.25">
      <c r="I43" s="49" t="s">
        <v>1574</v>
      </c>
      <c r="K43" t="s">
        <v>1791</v>
      </c>
      <c r="L43" t="s">
        <v>1676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3" t="s">
        <v>2405</v>
      </c>
      <c r="B1" s="113"/>
      <c r="C1" s="113"/>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2024-07-13T19:24:48Z</dcterms:modified>
</cp:coreProperties>
</file>