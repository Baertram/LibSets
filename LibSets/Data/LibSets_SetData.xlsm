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3C0C049B-0B2E-4AC5-B794-6EC6C89802B8}" xr6:coauthVersionLast="47" xr6:coauthVersionMax="47" xr10:uidLastSave="{00000000-0000-0000-0000-000000000000}"/>
  <bookViews>
    <workbookView xWindow="-120" yWindow="-120" windowWidth="29040" windowHeight="15720" tabRatio="861" activeTab="1" xr2:uid="{00000000-000D-0000-FFFF-FFFF00000000}"/>
  </bookViews>
  <sheets>
    <sheet name="&lt;Constants&gt;" sheetId="2" r:id="rId1"/>
    <sheet name="Sets (lua data)" sheetId="4" r:id="rId2"/>
    <sheet name="Comments" sheetId="15" r:id="rId3"/>
    <sheet name="ESO DLCs" sheetId="30" r:id="rId4"/>
    <sheet name="ESO Dungeons" sheetId="29" r:id="rId5"/>
    <sheet name="ESO DungeonFinder" sheetId="28" r:id="rId6"/>
    <sheet name="ESO publicDung." sheetId="26" r:id="rId7"/>
    <sheet name="ESO zones" sheetId="7" r:id="rId8"/>
    <sheet name="ESO maps" sheetId="9" r:id="rId9"/>
    <sheet name="ESO wayshrines" sheetId="18" r:id="rId10"/>
    <sheet name="WayshrineNames" sheetId="12" r:id="rId11"/>
    <sheet name="SetColl.MapToZoneId" sheetId="20" r:id="rId12"/>
    <sheet name="TempWorkarea" sheetId="25" r:id="rId13"/>
    <sheet name="Set procs" sheetId="19" state="hidden" r:id="rId14"/>
  </sheets>
  <definedNames>
    <definedName name="_xlnm._FilterDatabase" localSheetId="0" hidden="1">'&lt;Constants&gt;'!#REF!</definedName>
    <definedName name="_xlnm._FilterDatabase" localSheetId="2" hidden="1">Comments!$A$2:$D$2</definedName>
    <definedName name="_xlnm._FilterDatabase" localSheetId="3" hidden="1">'ESO DLCs'!$A$2:$F$719</definedName>
    <definedName name="_xlnm._FilterDatabase" localSheetId="5" hidden="1">'ESO DungeonFinder'!$A$1:$K$60</definedName>
    <definedName name="_xlnm._FilterDatabase" localSheetId="4" hidden="1">'ESO Dungeons'!$A$2:$S$74</definedName>
    <definedName name="_xlnm._FilterDatabase" localSheetId="8" hidden="1">'ESO maps'!$A$2:$F$48</definedName>
    <definedName name="_xlnm._FilterDatabase" localSheetId="6" hidden="1">'ESO publicDung.'!$A$2:$J$2</definedName>
    <definedName name="_xlnm._FilterDatabase" localSheetId="9" hidden="1">'ESO wayshrines'!$A$2:$N$582</definedName>
    <definedName name="_xlnm._FilterDatabase" localSheetId="7" hidden="1">'ESO zones'!$A$2:$L$1084</definedName>
    <definedName name="_xlnm._FilterDatabase" localSheetId="13" hidden="1">'Set procs'!$A$2:$G$503</definedName>
    <definedName name="_xlnm._FilterDatabase" localSheetId="11" hidden="1">SetColl.MapToZoneId!$A$2:$F$2</definedName>
    <definedName name="_xlnm._FilterDatabase" localSheetId="1" hidden="1">'Sets (lua data)'!$A$2:$BI$740</definedName>
    <definedName name="_xlnm._FilterDatabase" localSheetId="10" hidden="1">WayshrineNames!$A$2:$B$614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4" i="4" l="1"/>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H682" i="4"/>
  <c r="BG683" i="4"/>
  <c r="BH683" i="4"/>
  <c r="BG684" i="4"/>
  <c r="BH684" i="4"/>
  <c r="BG685" i="4"/>
  <c r="BH685" i="4"/>
  <c r="BG686" i="4"/>
  <c r="BH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G712" i="4"/>
  <c r="BH712" i="4"/>
  <c r="BG713" i="4"/>
  <c r="BH713" i="4"/>
  <c r="BG714" i="4"/>
  <c r="BH714" i="4"/>
  <c r="BG715" i="4"/>
  <c r="BH715" i="4"/>
  <c r="BG716" i="4"/>
  <c r="BH716" i="4"/>
  <c r="BG717" i="4"/>
  <c r="BH717" i="4"/>
  <c r="BG718" i="4"/>
  <c r="BH718" i="4"/>
  <c r="BG719" i="4"/>
  <c r="BH719" i="4"/>
  <c r="B312" i="30"/>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9" i="30"/>
  <c r="E718" i="30"/>
  <c r="E3" i="30"/>
  <c r="T4" i="4"/>
  <c r="BE4" i="4" s="1"/>
  <c r="T5" i="4"/>
  <c r="BE5" i="4" s="1"/>
  <c r="T6" i="4"/>
  <c r="BE6" i="4" s="1"/>
  <c r="T7" i="4"/>
  <c r="BE7" i="4" s="1"/>
  <c r="T8" i="4"/>
  <c r="BE8" i="4" s="1"/>
  <c r="T9" i="4"/>
  <c r="BE9" i="4" s="1"/>
  <c r="T10" i="4"/>
  <c r="BE10" i="4" s="1"/>
  <c r="T11" i="4"/>
  <c r="BE11" i="4" s="1"/>
  <c r="T12" i="4"/>
  <c r="BE12" i="4" s="1"/>
  <c r="T13" i="4"/>
  <c r="BE13" i="4" s="1"/>
  <c r="T14" i="4"/>
  <c r="BE14" i="4" s="1"/>
  <c r="T15" i="4"/>
  <c r="BE15" i="4" s="1"/>
  <c r="T16" i="4"/>
  <c r="BE16" i="4" s="1"/>
  <c r="T17" i="4"/>
  <c r="BE17" i="4" s="1"/>
  <c r="T18" i="4"/>
  <c r="BE18" i="4" s="1"/>
  <c r="T19" i="4"/>
  <c r="BE19" i="4" s="1"/>
  <c r="T20" i="4"/>
  <c r="BE20" i="4" s="1"/>
  <c r="T21" i="4"/>
  <c r="BE21" i="4" s="1"/>
  <c r="T22" i="4"/>
  <c r="BE22" i="4" s="1"/>
  <c r="T23" i="4"/>
  <c r="BE23" i="4" s="1"/>
  <c r="T24" i="4"/>
  <c r="BE24" i="4" s="1"/>
  <c r="T25" i="4"/>
  <c r="BE25" i="4" s="1"/>
  <c r="T26" i="4"/>
  <c r="BE26" i="4" s="1"/>
  <c r="T27" i="4"/>
  <c r="BE27" i="4" s="1"/>
  <c r="T28" i="4"/>
  <c r="BE28" i="4" s="1"/>
  <c r="T29" i="4"/>
  <c r="BE29" i="4" s="1"/>
  <c r="T30" i="4"/>
  <c r="BE30" i="4" s="1"/>
  <c r="T31" i="4"/>
  <c r="BE31" i="4" s="1"/>
  <c r="T32" i="4"/>
  <c r="BE32" i="4" s="1"/>
  <c r="T33" i="4"/>
  <c r="BE33" i="4" s="1"/>
  <c r="T34" i="4"/>
  <c r="BE34" i="4" s="1"/>
  <c r="T35" i="4"/>
  <c r="BE35" i="4" s="1"/>
  <c r="T36" i="4"/>
  <c r="BE36" i="4" s="1"/>
  <c r="T37" i="4"/>
  <c r="BE37" i="4" s="1"/>
  <c r="T38" i="4"/>
  <c r="BE38" i="4" s="1"/>
  <c r="T39" i="4"/>
  <c r="BE39" i="4" s="1"/>
  <c r="T40" i="4"/>
  <c r="BE40" i="4" s="1"/>
  <c r="T41" i="4"/>
  <c r="BE41" i="4" s="1"/>
  <c r="T42" i="4"/>
  <c r="BE42" i="4" s="1"/>
  <c r="T43" i="4"/>
  <c r="BE43" i="4" s="1"/>
  <c r="T44" i="4"/>
  <c r="BE44" i="4" s="1"/>
  <c r="T45" i="4"/>
  <c r="BE45" i="4" s="1"/>
  <c r="T46" i="4"/>
  <c r="BE46" i="4" s="1"/>
  <c r="T47" i="4"/>
  <c r="BE47" i="4" s="1"/>
  <c r="T48" i="4"/>
  <c r="BE48" i="4" s="1"/>
  <c r="T49" i="4"/>
  <c r="BE49" i="4" s="1"/>
  <c r="T50" i="4"/>
  <c r="BE50" i="4" s="1"/>
  <c r="T51" i="4"/>
  <c r="BE51" i="4" s="1"/>
  <c r="T52" i="4"/>
  <c r="BE52" i="4" s="1"/>
  <c r="T53" i="4"/>
  <c r="BE53" i="4" s="1"/>
  <c r="T54" i="4"/>
  <c r="BE54" i="4" s="1"/>
  <c r="T55" i="4"/>
  <c r="BE55" i="4" s="1"/>
  <c r="T56" i="4"/>
  <c r="BE56" i="4" s="1"/>
  <c r="T57" i="4"/>
  <c r="BE57" i="4" s="1"/>
  <c r="T58" i="4"/>
  <c r="BE58" i="4" s="1"/>
  <c r="T59" i="4"/>
  <c r="BE59" i="4" s="1"/>
  <c r="T60" i="4"/>
  <c r="BE60" i="4" s="1"/>
  <c r="T61" i="4"/>
  <c r="BE61" i="4" s="1"/>
  <c r="T62" i="4"/>
  <c r="BE62" i="4" s="1"/>
  <c r="T63" i="4"/>
  <c r="BE63" i="4" s="1"/>
  <c r="T64" i="4"/>
  <c r="BE64" i="4" s="1"/>
  <c r="T65" i="4"/>
  <c r="BE65" i="4" s="1"/>
  <c r="T66" i="4"/>
  <c r="BE66" i="4" s="1"/>
  <c r="T67" i="4"/>
  <c r="BE67" i="4" s="1"/>
  <c r="T68" i="4"/>
  <c r="BE68" i="4" s="1"/>
  <c r="T69" i="4"/>
  <c r="BE69" i="4" s="1"/>
  <c r="T70" i="4"/>
  <c r="BE70" i="4" s="1"/>
  <c r="T71" i="4"/>
  <c r="BE71" i="4" s="1"/>
  <c r="T72" i="4"/>
  <c r="BE72" i="4" s="1"/>
  <c r="T73" i="4"/>
  <c r="BE73" i="4" s="1"/>
  <c r="T74" i="4"/>
  <c r="BE74" i="4" s="1"/>
  <c r="T75" i="4"/>
  <c r="BE75" i="4" s="1"/>
  <c r="T76" i="4"/>
  <c r="BE76" i="4" s="1"/>
  <c r="T77" i="4"/>
  <c r="BE77" i="4" s="1"/>
  <c r="T78" i="4"/>
  <c r="BE78" i="4" s="1"/>
  <c r="T79" i="4"/>
  <c r="BE79" i="4" s="1"/>
  <c r="T80" i="4"/>
  <c r="BE80" i="4" s="1"/>
  <c r="T81" i="4"/>
  <c r="BE81" i="4" s="1"/>
  <c r="T82" i="4"/>
  <c r="BE82" i="4" s="1"/>
  <c r="T83" i="4"/>
  <c r="BE83" i="4" s="1"/>
  <c r="T84" i="4"/>
  <c r="BE84" i="4" s="1"/>
  <c r="T85" i="4"/>
  <c r="BE85" i="4" s="1"/>
  <c r="T86" i="4"/>
  <c r="BE86" i="4" s="1"/>
  <c r="T87" i="4"/>
  <c r="BE87" i="4" s="1"/>
  <c r="T88" i="4"/>
  <c r="BE88" i="4" s="1"/>
  <c r="T89" i="4"/>
  <c r="BE89" i="4" s="1"/>
  <c r="T90" i="4"/>
  <c r="BE90" i="4" s="1"/>
  <c r="T91" i="4"/>
  <c r="BE91" i="4" s="1"/>
  <c r="T92" i="4"/>
  <c r="BE92" i="4" s="1"/>
  <c r="T93" i="4"/>
  <c r="BE93" i="4" s="1"/>
  <c r="T94" i="4"/>
  <c r="BE94" i="4" s="1"/>
  <c r="T95" i="4"/>
  <c r="BE95" i="4" s="1"/>
  <c r="T96" i="4"/>
  <c r="BE96" i="4" s="1"/>
  <c r="T97" i="4"/>
  <c r="BE97" i="4" s="1"/>
  <c r="T98" i="4"/>
  <c r="BE98" i="4" s="1"/>
  <c r="T99" i="4"/>
  <c r="BE99" i="4" s="1"/>
  <c r="T100" i="4"/>
  <c r="BE100" i="4" s="1"/>
  <c r="T101" i="4"/>
  <c r="BE101" i="4" s="1"/>
  <c r="T102" i="4"/>
  <c r="BE102" i="4" s="1"/>
  <c r="T103" i="4"/>
  <c r="BE103" i="4" s="1"/>
  <c r="T104" i="4"/>
  <c r="BE104" i="4" s="1"/>
  <c r="T105" i="4"/>
  <c r="BE105" i="4" s="1"/>
  <c r="T106" i="4"/>
  <c r="BE106" i="4" s="1"/>
  <c r="T107" i="4"/>
  <c r="BE107" i="4" s="1"/>
  <c r="T108" i="4"/>
  <c r="BE108" i="4" s="1"/>
  <c r="T109" i="4"/>
  <c r="BE109" i="4" s="1"/>
  <c r="T110" i="4"/>
  <c r="BE110" i="4" s="1"/>
  <c r="T111" i="4"/>
  <c r="BE111" i="4" s="1"/>
  <c r="T112" i="4"/>
  <c r="BE112" i="4" s="1"/>
  <c r="T113" i="4"/>
  <c r="BE113" i="4" s="1"/>
  <c r="T114" i="4"/>
  <c r="BE114" i="4" s="1"/>
  <c r="T115" i="4"/>
  <c r="BE115" i="4" s="1"/>
  <c r="T116" i="4"/>
  <c r="BE116" i="4" s="1"/>
  <c r="T117" i="4"/>
  <c r="BE117" i="4" s="1"/>
  <c r="T118" i="4"/>
  <c r="BE118" i="4" s="1"/>
  <c r="T119" i="4"/>
  <c r="BE119" i="4" s="1"/>
  <c r="T120" i="4"/>
  <c r="BE120" i="4" s="1"/>
  <c r="T121" i="4"/>
  <c r="BE121" i="4" s="1"/>
  <c r="T122" i="4"/>
  <c r="BE122" i="4" s="1"/>
  <c r="T123" i="4"/>
  <c r="BE123" i="4" s="1"/>
  <c r="T124" i="4"/>
  <c r="BE124" i="4" s="1"/>
  <c r="T125" i="4"/>
  <c r="BE125" i="4" s="1"/>
  <c r="T126" i="4"/>
  <c r="BE126" i="4" s="1"/>
  <c r="T127" i="4"/>
  <c r="BE127" i="4" s="1"/>
  <c r="T128" i="4"/>
  <c r="BE128" i="4" s="1"/>
  <c r="T129" i="4"/>
  <c r="BE129" i="4" s="1"/>
  <c r="T130" i="4"/>
  <c r="BE130" i="4" s="1"/>
  <c r="T131" i="4"/>
  <c r="BE131" i="4" s="1"/>
  <c r="T132" i="4"/>
  <c r="BE132" i="4" s="1"/>
  <c r="T133" i="4"/>
  <c r="BE133" i="4" s="1"/>
  <c r="T134" i="4"/>
  <c r="BE134" i="4" s="1"/>
  <c r="T135" i="4"/>
  <c r="BE135" i="4" s="1"/>
  <c r="T136" i="4"/>
  <c r="BE136" i="4" s="1"/>
  <c r="T137" i="4"/>
  <c r="BE137" i="4" s="1"/>
  <c r="T138" i="4"/>
  <c r="BE138" i="4" s="1"/>
  <c r="T139" i="4"/>
  <c r="BE139" i="4" s="1"/>
  <c r="T140" i="4"/>
  <c r="BE140" i="4" s="1"/>
  <c r="T141" i="4"/>
  <c r="BE141" i="4" s="1"/>
  <c r="T142" i="4"/>
  <c r="BE142" i="4" s="1"/>
  <c r="T143" i="4"/>
  <c r="BE143" i="4" s="1"/>
  <c r="T144" i="4"/>
  <c r="BE144" i="4" s="1"/>
  <c r="T145" i="4"/>
  <c r="BE145" i="4" s="1"/>
  <c r="T146" i="4"/>
  <c r="BE146" i="4" s="1"/>
  <c r="T147" i="4"/>
  <c r="BE147" i="4" s="1"/>
  <c r="T148" i="4"/>
  <c r="BE148" i="4" s="1"/>
  <c r="T149" i="4"/>
  <c r="BE149" i="4" s="1"/>
  <c r="T150" i="4"/>
  <c r="BE150" i="4" s="1"/>
  <c r="T151" i="4"/>
  <c r="BE151" i="4" s="1"/>
  <c r="T152" i="4"/>
  <c r="BE152" i="4" s="1"/>
  <c r="T153" i="4"/>
  <c r="BE153" i="4" s="1"/>
  <c r="T154" i="4"/>
  <c r="BE154" i="4" s="1"/>
  <c r="T155" i="4"/>
  <c r="BE155" i="4" s="1"/>
  <c r="T156" i="4"/>
  <c r="BE156" i="4" s="1"/>
  <c r="T157" i="4"/>
  <c r="BE157" i="4" s="1"/>
  <c r="T158" i="4"/>
  <c r="BE158" i="4" s="1"/>
  <c r="T159" i="4"/>
  <c r="BE159" i="4" s="1"/>
  <c r="T160" i="4"/>
  <c r="BE160" i="4" s="1"/>
  <c r="T161" i="4"/>
  <c r="BE161" i="4" s="1"/>
  <c r="T162" i="4"/>
  <c r="BE162" i="4" s="1"/>
  <c r="T163" i="4"/>
  <c r="BE163" i="4" s="1"/>
  <c r="T164" i="4"/>
  <c r="BE164" i="4" s="1"/>
  <c r="T165" i="4"/>
  <c r="BE165" i="4" s="1"/>
  <c r="T166" i="4"/>
  <c r="BE166" i="4" s="1"/>
  <c r="T167" i="4"/>
  <c r="BE167" i="4" s="1"/>
  <c r="T168" i="4"/>
  <c r="BE168" i="4" s="1"/>
  <c r="T169" i="4"/>
  <c r="BE169" i="4" s="1"/>
  <c r="T170" i="4"/>
  <c r="BE170" i="4" s="1"/>
  <c r="T171" i="4"/>
  <c r="BE171" i="4" s="1"/>
  <c r="T172" i="4"/>
  <c r="BE172" i="4" s="1"/>
  <c r="T173" i="4"/>
  <c r="BE173" i="4" s="1"/>
  <c r="T174" i="4"/>
  <c r="BE174" i="4" s="1"/>
  <c r="T175" i="4"/>
  <c r="BE175" i="4" s="1"/>
  <c r="T176" i="4"/>
  <c r="T177" i="4"/>
  <c r="BE177" i="4" s="1"/>
  <c r="T178" i="4"/>
  <c r="BE178" i="4" s="1"/>
  <c r="T179" i="4"/>
  <c r="BE179" i="4" s="1"/>
  <c r="T180" i="4"/>
  <c r="BE180" i="4" s="1"/>
  <c r="T181" i="4"/>
  <c r="BE181" i="4" s="1"/>
  <c r="T182" i="4"/>
  <c r="BE182" i="4" s="1"/>
  <c r="T183" i="4"/>
  <c r="BE183" i="4" s="1"/>
  <c r="T184" i="4"/>
  <c r="BE184" i="4" s="1"/>
  <c r="T185" i="4"/>
  <c r="BE185" i="4" s="1"/>
  <c r="T186" i="4"/>
  <c r="BE186" i="4" s="1"/>
  <c r="T187" i="4"/>
  <c r="BE187" i="4" s="1"/>
  <c r="T188" i="4"/>
  <c r="BE188" i="4" s="1"/>
  <c r="T189" i="4"/>
  <c r="BE189" i="4" s="1"/>
  <c r="T190" i="4"/>
  <c r="BE190" i="4" s="1"/>
  <c r="T191" i="4"/>
  <c r="BE191" i="4" s="1"/>
  <c r="T192" i="4"/>
  <c r="BE192" i="4" s="1"/>
  <c r="T193" i="4"/>
  <c r="BE193" i="4" s="1"/>
  <c r="T194" i="4"/>
  <c r="BE194" i="4" s="1"/>
  <c r="T195" i="4"/>
  <c r="BE195" i="4" s="1"/>
  <c r="T196" i="4"/>
  <c r="BE196" i="4" s="1"/>
  <c r="T197" i="4"/>
  <c r="BE197" i="4" s="1"/>
  <c r="T198" i="4"/>
  <c r="BE198" i="4" s="1"/>
  <c r="T199" i="4"/>
  <c r="BE199" i="4" s="1"/>
  <c r="T200" i="4"/>
  <c r="BE200" i="4" s="1"/>
  <c r="T201" i="4"/>
  <c r="BE201" i="4" s="1"/>
  <c r="T202" i="4"/>
  <c r="BE202" i="4" s="1"/>
  <c r="T203" i="4"/>
  <c r="BE203" i="4" s="1"/>
  <c r="T204" i="4"/>
  <c r="BE204" i="4" s="1"/>
  <c r="T205" i="4"/>
  <c r="BE205" i="4" s="1"/>
  <c r="T206" i="4"/>
  <c r="BE206" i="4" s="1"/>
  <c r="T207" i="4"/>
  <c r="BE207" i="4" s="1"/>
  <c r="T208" i="4"/>
  <c r="BE208" i="4" s="1"/>
  <c r="T209" i="4"/>
  <c r="BE209" i="4" s="1"/>
  <c r="T210" i="4"/>
  <c r="BE210" i="4" s="1"/>
  <c r="T211" i="4"/>
  <c r="BE211" i="4" s="1"/>
  <c r="T212" i="4"/>
  <c r="BE212" i="4" s="1"/>
  <c r="T213" i="4"/>
  <c r="BE213" i="4" s="1"/>
  <c r="T214" i="4"/>
  <c r="BE214" i="4" s="1"/>
  <c r="T215" i="4"/>
  <c r="BE215" i="4" s="1"/>
  <c r="T216" i="4"/>
  <c r="BE216" i="4" s="1"/>
  <c r="T217" i="4"/>
  <c r="BE217" i="4" s="1"/>
  <c r="T218" i="4"/>
  <c r="BE218" i="4" s="1"/>
  <c r="T219" i="4"/>
  <c r="BE219" i="4" s="1"/>
  <c r="T220" i="4"/>
  <c r="T221" i="4"/>
  <c r="BE221" i="4" s="1"/>
  <c r="T222" i="4"/>
  <c r="BE222" i="4" s="1"/>
  <c r="T223" i="4"/>
  <c r="BE223" i="4" s="1"/>
  <c r="T224" i="4"/>
  <c r="BE224" i="4" s="1"/>
  <c r="T225" i="4"/>
  <c r="BE225" i="4" s="1"/>
  <c r="T226" i="4"/>
  <c r="BE226" i="4" s="1"/>
  <c r="T227" i="4"/>
  <c r="BE227" i="4" s="1"/>
  <c r="T228" i="4"/>
  <c r="BE228" i="4" s="1"/>
  <c r="T229" i="4"/>
  <c r="BE229" i="4" s="1"/>
  <c r="T230" i="4"/>
  <c r="BE230" i="4" s="1"/>
  <c r="T231" i="4"/>
  <c r="BE231" i="4" s="1"/>
  <c r="T232" i="4"/>
  <c r="BE232" i="4" s="1"/>
  <c r="T233" i="4"/>
  <c r="BE233" i="4" s="1"/>
  <c r="T234" i="4"/>
  <c r="BE234" i="4" s="1"/>
  <c r="T235" i="4"/>
  <c r="BE235" i="4" s="1"/>
  <c r="T236" i="4"/>
  <c r="BE236" i="4" s="1"/>
  <c r="T237" i="4"/>
  <c r="BE237" i="4" s="1"/>
  <c r="T238" i="4"/>
  <c r="BE238" i="4" s="1"/>
  <c r="T239" i="4"/>
  <c r="BE239" i="4" s="1"/>
  <c r="T240" i="4"/>
  <c r="BE240" i="4" s="1"/>
  <c r="T241" i="4"/>
  <c r="BE241" i="4" s="1"/>
  <c r="T242" i="4"/>
  <c r="BE242" i="4" s="1"/>
  <c r="T243" i="4"/>
  <c r="BE243" i="4" s="1"/>
  <c r="T244" i="4"/>
  <c r="BE244" i="4" s="1"/>
  <c r="T245" i="4"/>
  <c r="BE245" i="4" s="1"/>
  <c r="T246" i="4"/>
  <c r="BE246" i="4" s="1"/>
  <c r="T247" i="4"/>
  <c r="BE247" i="4" s="1"/>
  <c r="T248" i="4"/>
  <c r="BE248" i="4" s="1"/>
  <c r="T249" i="4"/>
  <c r="BE249" i="4" s="1"/>
  <c r="T250" i="4"/>
  <c r="BE250" i="4" s="1"/>
  <c r="T251" i="4"/>
  <c r="BE251" i="4" s="1"/>
  <c r="T252" i="4"/>
  <c r="BE252" i="4" s="1"/>
  <c r="T253" i="4"/>
  <c r="BE253" i="4" s="1"/>
  <c r="T254" i="4"/>
  <c r="BE254" i="4" s="1"/>
  <c r="T255" i="4"/>
  <c r="BE255" i="4" s="1"/>
  <c r="T256" i="4"/>
  <c r="BE256" i="4" s="1"/>
  <c r="T257" i="4"/>
  <c r="BE257" i="4" s="1"/>
  <c r="T258" i="4"/>
  <c r="BE258" i="4" s="1"/>
  <c r="T259" i="4"/>
  <c r="BE259" i="4" s="1"/>
  <c r="T260" i="4"/>
  <c r="BE260" i="4" s="1"/>
  <c r="T261" i="4"/>
  <c r="BE261" i="4" s="1"/>
  <c r="T262" i="4"/>
  <c r="BE262" i="4" s="1"/>
  <c r="T263" i="4"/>
  <c r="BE263" i="4" s="1"/>
  <c r="T264" i="4"/>
  <c r="BE264" i="4" s="1"/>
  <c r="T265" i="4"/>
  <c r="BE265" i="4" s="1"/>
  <c r="T266" i="4"/>
  <c r="BE266" i="4" s="1"/>
  <c r="T267" i="4"/>
  <c r="BE267" i="4" s="1"/>
  <c r="T268" i="4"/>
  <c r="BE268" i="4" s="1"/>
  <c r="T269" i="4"/>
  <c r="BE269" i="4" s="1"/>
  <c r="T270" i="4"/>
  <c r="BE270" i="4" s="1"/>
  <c r="T271" i="4"/>
  <c r="BE271" i="4" s="1"/>
  <c r="T272" i="4"/>
  <c r="BE272" i="4" s="1"/>
  <c r="T273" i="4"/>
  <c r="BE273" i="4" s="1"/>
  <c r="T274" i="4"/>
  <c r="BE274" i="4" s="1"/>
  <c r="T275" i="4"/>
  <c r="BE275" i="4" s="1"/>
  <c r="T276" i="4"/>
  <c r="BE276" i="4" s="1"/>
  <c r="T277" i="4"/>
  <c r="BE277" i="4" s="1"/>
  <c r="T278" i="4"/>
  <c r="BE278" i="4" s="1"/>
  <c r="T279" i="4"/>
  <c r="BE279" i="4" s="1"/>
  <c r="T280" i="4"/>
  <c r="BE280" i="4" s="1"/>
  <c r="T281" i="4"/>
  <c r="BE281" i="4" s="1"/>
  <c r="T282" i="4"/>
  <c r="BE282" i="4" s="1"/>
  <c r="T283" i="4"/>
  <c r="BE283" i="4" s="1"/>
  <c r="T284" i="4"/>
  <c r="BE284" i="4" s="1"/>
  <c r="T285" i="4"/>
  <c r="BE285" i="4" s="1"/>
  <c r="T286" i="4"/>
  <c r="BE286" i="4" s="1"/>
  <c r="T287" i="4"/>
  <c r="BE287" i="4" s="1"/>
  <c r="T288" i="4"/>
  <c r="BE288" i="4" s="1"/>
  <c r="T289" i="4"/>
  <c r="BE289" i="4" s="1"/>
  <c r="T290" i="4"/>
  <c r="BE290" i="4" s="1"/>
  <c r="T291" i="4"/>
  <c r="BE291" i="4" s="1"/>
  <c r="T292" i="4"/>
  <c r="BE292" i="4" s="1"/>
  <c r="T293" i="4"/>
  <c r="BE293" i="4" s="1"/>
  <c r="T294" i="4"/>
  <c r="BE294" i="4" s="1"/>
  <c r="T295" i="4"/>
  <c r="BE295" i="4" s="1"/>
  <c r="T296" i="4"/>
  <c r="BE296" i="4" s="1"/>
  <c r="T297" i="4"/>
  <c r="BE297" i="4" s="1"/>
  <c r="T298" i="4"/>
  <c r="BE298" i="4" s="1"/>
  <c r="T299" i="4"/>
  <c r="BE299" i="4" s="1"/>
  <c r="T300" i="4"/>
  <c r="BE300" i="4" s="1"/>
  <c r="T301" i="4"/>
  <c r="BE301" i="4" s="1"/>
  <c r="T302" i="4"/>
  <c r="BE302" i="4" s="1"/>
  <c r="T303" i="4"/>
  <c r="BE303" i="4" s="1"/>
  <c r="T304" i="4"/>
  <c r="BE304" i="4" s="1"/>
  <c r="T305" i="4"/>
  <c r="BE305" i="4" s="1"/>
  <c r="T306" i="4"/>
  <c r="BE306" i="4" s="1"/>
  <c r="T307" i="4"/>
  <c r="BE307" i="4" s="1"/>
  <c r="T308" i="4"/>
  <c r="BE308" i="4" s="1"/>
  <c r="T309" i="4"/>
  <c r="BE309" i="4" s="1"/>
  <c r="T310" i="4"/>
  <c r="BE310" i="4" s="1"/>
  <c r="T311" i="4"/>
  <c r="BE311" i="4" s="1"/>
  <c r="T312" i="4"/>
  <c r="BE312" i="4" s="1"/>
  <c r="T313" i="4"/>
  <c r="BE313" i="4" s="1"/>
  <c r="T314" i="4"/>
  <c r="BE314" i="4" s="1"/>
  <c r="T315" i="4"/>
  <c r="BE315" i="4" s="1"/>
  <c r="T316" i="4"/>
  <c r="BE316" i="4" s="1"/>
  <c r="T317" i="4"/>
  <c r="BE317" i="4" s="1"/>
  <c r="T318" i="4"/>
  <c r="BE318" i="4" s="1"/>
  <c r="T319" i="4"/>
  <c r="BE319" i="4" s="1"/>
  <c r="T320" i="4"/>
  <c r="BE320" i="4" s="1"/>
  <c r="T321" i="4"/>
  <c r="BE321" i="4" s="1"/>
  <c r="T322" i="4"/>
  <c r="BE322" i="4" s="1"/>
  <c r="T323" i="4"/>
  <c r="BE323" i="4" s="1"/>
  <c r="T324" i="4"/>
  <c r="BE324" i="4" s="1"/>
  <c r="T325" i="4"/>
  <c r="BE325" i="4" s="1"/>
  <c r="T326" i="4"/>
  <c r="BE326" i="4" s="1"/>
  <c r="T327" i="4"/>
  <c r="BE327" i="4" s="1"/>
  <c r="T328" i="4"/>
  <c r="BE328" i="4" s="1"/>
  <c r="T329" i="4"/>
  <c r="BE329" i="4" s="1"/>
  <c r="T330" i="4"/>
  <c r="BE330" i="4" s="1"/>
  <c r="T331" i="4"/>
  <c r="BE331" i="4" s="1"/>
  <c r="T332" i="4"/>
  <c r="BE332" i="4" s="1"/>
  <c r="T333" i="4"/>
  <c r="BE333" i="4" s="1"/>
  <c r="T334" i="4"/>
  <c r="BE334" i="4" s="1"/>
  <c r="T335" i="4"/>
  <c r="BE335" i="4" s="1"/>
  <c r="T336" i="4"/>
  <c r="BE336" i="4" s="1"/>
  <c r="T337" i="4"/>
  <c r="BE337" i="4" s="1"/>
  <c r="T338" i="4"/>
  <c r="BE338" i="4" s="1"/>
  <c r="T339" i="4"/>
  <c r="BE339" i="4" s="1"/>
  <c r="T340" i="4"/>
  <c r="BE340" i="4" s="1"/>
  <c r="T341" i="4"/>
  <c r="BE341" i="4" s="1"/>
  <c r="T342" i="4"/>
  <c r="BE342" i="4" s="1"/>
  <c r="T343" i="4"/>
  <c r="BE343" i="4" s="1"/>
  <c r="T344" i="4"/>
  <c r="BE344" i="4" s="1"/>
  <c r="T345" i="4"/>
  <c r="BE345" i="4" s="1"/>
  <c r="T346" i="4"/>
  <c r="BE346" i="4" s="1"/>
  <c r="T347" i="4"/>
  <c r="BE347" i="4" s="1"/>
  <c r="T348" i="4"/>
  <c r="BE348" i="4" s="1"/>
  <c r="T349" i="4"/>
  <c r="BE349" i="4" s="1"/>
  <c r="T350" i="4"/>
  <c r="BE350" i="4" s="1"/>
  <c r="T351" i="4"/>
  <c r="BE351" i="4" s="1"/>
  <c r="T352" i="4"/>
  <c r="BE352" i="4" s="1"/>
  <c r="T353" i="4"/>
  <c r="BE353" i="4" s="1"/>
  <c r="T354" i="4"/>
  <c r="BE354" i="4" s="1"/>
  <c r="T355" i="4"/>
  <c r="BE355" i="4" s="1"/>
  <c r="T356" i="4"/>
  <c r="BE356" i="4" s="1"/>
  <c r="T357" i="4"/>
  <c r="BE357" i="4" s="1"/>
  <c r="T358" i="4"/>
  <c r="BE358" i="4" s="1"/>
  <c r="T359" i="4"/>
  <c r="BE359" i="4" s="1"/>
  <c r="T360" i="4"/>
  <c r="BE360" i="4" s="1"/>
  <c r="T361" i="4"/>
  <c r="BE361" i="4" s="1"/>
  <c r="T362" i="4"/>
  <c r="BE362" i="4" s="1"/>
  <c r="T363" i="4"/>
  <c r="BE363" i="4" s="1"/>
  <c r="T364" i="4"/>
  <c r="BE364" i="4" s="1"/>
  <c r="T365" i="4"/>
  <c r="BE365" i="4" s="1"/>
  <c r="T366" i="4"/>
  <c r="BE366" i="4" s="1"/>
  <c r="T367" i="4"/>
  <c r="BE367" i="4" s="1"/>
  <c r="T368" i="4"/>
  <c r="BE368" i="4" s="1"/>
  <c r="T369" i="4"/>
  <c r="BE369" i="4" s="1"/>
  <c r="T370" i="4"/>
  <c r="BE370" i="4" s="1"/>
  <c r="T371" i="4"/>
  <c r="BE371" i="4" s="1"/>
  <c r="T372" i="4"/>
  <c r="BE372" i="4" s="1"/>
  <c r="T373" i="4"/>
  <c r="BE373" i="4" s="1"/>
  <c r="T374" i="4"/>
  <c r="BE374" i="4" s="1"/>
  <c r="T375" i="4"/>
  <c r="BE375" i="4" s="1"/>
  <c r="T376" i="4"/>
  <c r="BE376" i="4" s="1"/>
  <c r="T377" i="4"/>
  <c r="BE377" i="4" s="1"/>
  <c r="T378" i="4"/>
  <c r="BE378" i="4" s="1"/>
  <c r="T379" i="4"/>
  <c r="BE379" i="4" s="1"/>
  <c r="T380" i="4"/>
  <c r="BE380" i="4" s="1"/>
  <c r="T381" i="4"/>
  <c r="BE381" i="4" s="1"/>
  <c r="T382" i="4"/>
  <c r="BE382" i="4" s="1"/>
  <c r="T383" i="4"/>
  <c r="BE383" i="4" s="1"/>
  <c r="T384" i="4"/>
  <c r="BE384" i="4" s="1"/>
  <c r="T385" i="4"/>
  <c r="BE385" i="4" s="1"/>
  <c r="T386" i="4"/>
  <c r="BE386" i="4" s="1"/>
  <c r="T387" i="4"/>
  <c r="BE387" i="4" s="1"/>
  <c r="T388" i="4"/>
  <c r="BE388" i="4" s="1"/>
  <c r="T389" i="4"/>
  <c r="BE389" i="4" s="1"/>
  <c r="T390" i="4"/>
  <c r="BE390" i="4" s="1"/>
  <c r="T391" i="4"/>
  <c r="BE391" i="4" s="1"/>
  <c r="T392" i="4"/>
  <c r="BE392" i="4" s="1"/>
  <c r="T393" i="4"/>
  <c r="BE393" i="4" s="1"/>
  <c r="T394" i="4"/>
  <c r="BE394" i="4" s="1"/>
  <c r="T395" i="4"/>
  <c r="BE395" i="4" s="1"/>
  <c r="T396" i="4"/>
  <c r="BE396" i="4" s="1"/>
  <c r="T397" i="4"/>
  <c r="BE397" i="4" s="1"/>
  <c r="T398" i="4"/>
  <c r="BE398" i="4" s="1"/>
  <c r="T399" i="4"/>
  <c r="BE399" i="4" s="1"/>
  <c r="T400" i="4"/>
  <c r="BE400" i="4" s="1"/>
  <c r="T401" i="4"/>
  <c r="BE401" i="4" s="1"/>
  <c r="T402" i="4"/>
  <c r="BE402" i="4" s="1"/>
  <c r="T403" i="4"/>
  <c r="BE403" i="4" s="1"/>
  <c r="T404" i="4"/>
  <c r="BE404" i="4" s="1"/>
  <c r="T405" i="4"/>
  <c r="BE405" i="4" s="1"/>
  <c r="T406" i="4"/>
  <c r="BE406" i="4" s="1"/>
  <c r="T407" i="4"/>
  <c r="BE407" i="4" s="1"/>
  <c r="T408" i="4"/>
  <c r="BE408" i="4" s="1"/>
  <c r="T409" i="4"/>
  <c r="BE409" i="4" s="1"/>
  <c r="T410" i="4"/>
  <c r="BE410" i="4" s="1"/>
  <c r="T411" i="4"/>
  <c r="BE411" i="4" s="1"/>
  <c r="T412" i="4"/>
  <c r="BE412" i="4" s="1"/>
  <c r="T413" i="4"/>
  <c r="BE413" i="4" s="1"/>
  <c r="T414" i="4"/>
  <c r="BE414" i="4" s="1"/>
  <c r="T415" i="4"/>
  <c r="BE415" i="4" s="1"/>
  <c r="T416" i="4"/>
  <c r="BE416" i="4" s="1"/>
  <c r="T417" i="4"/>
  <c r="BE417" i="4" s="1"/>
  <c r="T418" i="4"/>
  <c r="BE418" i="4" s="1"/>
  <c r="T419" i="4"/>
  <c r="BE419" i="4" s="1"/>
  <c r="T420" i="4"/>
  <c r="BE420" i="4" s="1"/>
  <c r="T421" i="4"/>
  <c r="BE421" i="4" s="1"/>
  <c r="T422" i="4"/>
  <c r="BE422" i="4" s="1"/>
  <c r="T423" i="4"/>
  <c r="T424" i="4"/>
  <c r="T425" i="4"/>
  <c r="T426" i="4"/>
  <c r="T427" i="4"/>
  <c r="BE427" i="4" s="1"/>
  <c r="T428" i="4"/>
  <c r="BE428" i="4" s="1"/>
  <c r="T429" i="4"/>
  <c r="BE429" i="4" s="1"/>
  <c r="T430" i="4"/>
  <c r="BE430" i="4" s="1"/>
  <c r="T431" i="4"/>
  <c r="BE431" i="4" s="1"/>
  <c r="T432" i="4"/>
  <c r="BE432" i="4" s="1"/>
  <c r="T433" i="4"/>
  <c r="BE433" i="4" s="1"/>
  <c r="T434" i="4"/>
  <c r="BE434" i="4" s="1"/>
  <c r="T435" i="4"/>
  <c r="BE435" i="4" s="1"/>
  <c r="T436" i="4"/>
  <c r="BE436" i="4" s="1"/>
  <c r="T437" i="4"/>
  <c r="BE437" i="4" s="1"/>
  <c r="T438" i="4"/>
  <c r="BE438" i="4" s="1"/>
  <c r="T439" i="4"/>
  <c r="BE439" i="4" s="1"/>
  <c r="T440" i="4"/>
  <c r="T441" i="4"/>
  <c r="BE441" i="4" s="1"/>
  <c r="T442" i="4"/>
  <c r="T443" i="4"/>
  <c r="BE443" i="4" s="1"/>
  <c r="T444" i="4"/>
  <c r="T445" i="4"/>
  <c r="BE445" i="4" s="1"/>
  <c r="T446" i="4"/>
  <c r="BE446" i="4" s="1"/>
  <c r="T447" i="4"/>
  <c r="T448" i="4"/>
  <c r="T449" i="4"/>
  <c r="T450" i="4"/>
  <c r="T451" i="4"/>
  <c r="BE451" i="4" s="1"/>
  <c r="T452" i="4"/>
  <c r="BE452" i="4" s="1"/>
  <c r="T453" i="4"/>
  <c r="BE453" i="4" s="1"/>
  <c r="T454" i="4"/>
  <c r="BE454" i="4" s="1"/>
  <c r="T455" i="4"/>
  <c r="BE455" i="4" s="1"/>
  <c r="T456" i="4"/>
  <c r="BE456" i="4" s="1"/>
  <c r="T457" i="4"/>
  <c r="BE457" i="4" s="1"/>
  <c r="T458" i="4"/>
  <c r="BE458" i="4" s="1"/>
  <c r="T459" i="4"/>
  <c r="BE459" i="4" s="1"/>
  <c r="T460" i="4"/>
  <c r="BE460" i="4" s="1"/>
  <c r="T461" i="4"/>
  <c r="BE461" i="4" s="1"/>
  <c r="T462" i="4"/>
  <c r="BE462" i="4" s="1"/>
  <c r="T463" i="4"/>
  <c r="BE463" i="4" s="1"/>
  <c r="T464" i="4"/>
  <c r="BE464" i="4" s="1"/>
  <c r="T465" i="4"/>
  <c r="BE465" i="4" s="1"/>
  <c r="T466" i="4"/>
  <c r="BE466" i="4" s="1"/>
  <c r="T467" i="4"/>
  <c r="BE467" i="4" s="1"/>
  <c r="T468" i="4"/>
  <c r="BE468" i="4" s="1"/>
  <c r="T469" i="4"/>
  <c r="BE469" i="4" s="1"/>
  <c r="T470" i="4"/>
  <c r="BE470" i="4" s="1"/>
  <c r="T471" i="4"/>
  <c r="BE471" i="4" s="1"/>
  <c r="T472" i="4"/>
  <c r="BE472" i="4" s="1"/>
  <c r="T473" i="4"/>
  <c r="BE473" i="4" s="1"/>
  <c r="T474" i="4"/>
  <c r="BE474" i="4" s="1"/>
  <c r="T475" i="4"/>
  <c r="BE475" i="4" s="1"/>
  <c r="T476" i="4"/>
  <c r="BE476" i="4" s="1"/>
  <c r="T477" i="4"/>
  <c r="BE477" i="4" s="1"/>
  <c r="T478" i="4"/>
  <c r="BE478" i="4" s="1"/>
  <c r="T479" i="4"/>
  <c r="BE479" i="4" s="1"/>
  <c r="T480" i="4"/>
  <c r="BE480" i="4" s="1"/>
  <c r="T481" i="4"/>
  <c r="BE481" i="4" s="1"/>
  <c r="T482" i="4"/>
  <c r="BE482" i="4" s="1"/>
  <c r="T483" i="4"/>
  <c r="BE483" i="4" s="1"/>
  <c r="T484" i="4"/>
  <c r="BE484" i="4" s="1"/>
  <c r="T485" i="4"/>
  <c r="BE485" i="4" s="1"/>
  <c r="T486" i="4"/>
  <c r="BE486" i="4" s="1"/>
  <c r="T487" i="4"/>
  <c r="BE487" i="4" s="1"/>
  <c r="T488" i="4"/>
  <c r="BE488" i="4" s="1"/>
  <c r="T489" i="4"/>
  <c r="BE489" i="4" s="1"/>
  <c r="T490" i="4"/>
  <c r="BE490" i="4" s="1"/>
  <c r="T491" i="4"/>
  <c r="BE491" i="4" s="1"/>
  <c r="T492" i="4"/>
  <c r="BE492" i="4" s="1"/>
  <c r="T493" i="4"/>
  <c r="BE493" i="4" s="1"/>
  <c r="T494" i="4"/>
  <c r="BE494" i="4" s="1"/>
  <c r="T495" i="4"/>
  <c r="BE495" i="4" s="1"/>
  <c r="T496" i="4"/>
  <c r="BE496" i="4" s="1"/>
  <c r="T497" i="4"/>
  <c r="BE497" i="4" s="1"/>
  <c r="T498" i="4"/>
  <c r="BE498" i="4" s="1"/>
  <c r="T499" i="4"/>
  <c r="BE499" i="4" s="1"/>
  <c r="T500" i="4"/>
  <c r="BE500" i="4" s="1"/>
  <c r="T501" i="4"/>
  <c r="BE501" i="4" s="1"/>
  <c r="T502" i="4"/>
  <c r="BE502" i="4" s="1"/>
  <c r="T503" i="4"/>
  <c r="BE503" i="4" s="1"/>
  <c r="T504" i="4"/>
  <c r="BE504" i="4" s="1"/>
  <c r="T505" i="4"/>
  <c r="BE505" i="4" s="1"/>
  <c r="T506" i="4"/>
  <c r="BE506" i="4" s="1"/>
  <c r="T507" i="4"/>
  <c r="BE507" i="4" s="1"/>
  <c r="T508" i="4"/>
  <c r="BE508" i="4" s="1"/>
  <c r="T509" i="4"/>
  <c r="BE509" i="4" s="1"/>
  <c r="T510" i="4"/>
  <c r="BE510" i="4" s="1"/>
  <c r="T511" i="4"/>
  <c r="BE511" i="4" s="1"/>
  <c r="T512" i="4"/>
  <c r="BE512" i="4" s="1"/>
  <c r="T513" i="4"/>
  <c r="BE513" i="4" s="1"/>
  <c r="T514" i="4"/>
  <c r="BE514" i="4" s="1"/>
  <c r="T515" i="4"/>
  <c r="BE515" i="4" s="1"/>
  <c r="T516" i="4"/>
  <c r="BE516" i="4" s="1"/>
  <c r="T517" i="4"/>
  <c r="BE517" i="4" s="1"/>
  <c r="T518" i="4"/>
  <c r="BE518" i="4" s="1"/>
  <c r="T519" i="4"/>
  <c r="BE519" i="4" s="1"/>
  <c r="T520" i="4"/>
  <c r="BE520" i="4" s="1"/>
  <c r="T521" i="4"/>
  <c r="BE521" i="4" s="1"/>
  <c r="T522" i="4"/>
  <c r="BE522" i="4" s="1"/>
  <c r="T523" i="4"/>
  <c r="BE523" i="4" s="1"/>
  <c r="T524" i="4"/>
  <c r="BE524" i="4" s="1"/>
  <c r="T525" i="4"/>
  <c r="BE525" i="4" s="1"/>
  <c r="T526" i="4"/>
  <c r="BE526" i="4" s="1"/>
  <c r="T527" i="4"/>
  <c r="BE527" i="4" s="1"/>
  <c r="T528" i="4"/>
  <c r="BE528" i="4" s="1"/>
  <c r="T529" i="4"/>
  <c r="BE529" i="4" s="1"/>
  <c r="T530" i="4"/>
  <c r="BE530" i="4" s="1"/>
  <c r="T531" i="4"/>
  <c r="BE531" i="4" s="1"/>
  <c r="T532" i="4"/>
  <c r="BE532" i="4" s="1"/>
  <c r="T533" i="4"/>
  <c r="BE533" i="4" s="1"/>
  <c r="T534" i="4"/>
  <c r="BE534" i="4" s="1"/>
  <c r="T535" i="4"/>
  <c r="BE535" i="4" s="1"/>
  <c r="T536" i="4"/>
  <c r="BE536" i="4" s="1"/>
  <c r="T537" i="4"/>
  <c r="BE537" i="4" s="1"/>
  <c r="T538" i="4"/>
  <c r="BE538" i="4" s="1"/>
  <c r="T539" i="4"/>
  <c r="BE539" i="4" s="1"/>
  <c r="T540" i="4"/>
  <c r="BE540" i="4" s="1"/>
  <c r="T541" i="4"/>
  <c r="BE541" i="4" s="1"/>
  <c r="T542" i="4"/>
  <c r="BE542" i="4" s="1"/>
  <c r="T543" i="4"/>
  <c r="BE543" i="4" s="1"/>
  <c r="T544" i="4"/>
  <c r="BE544" i="4" s="1"/>
  <c r="T545" i="4"/>
  <c r="BE545" i="4" s="1"/>
  <c r="T546" i="4"/>
  <c r="BE546" i="4" s="1"/>
  <c r="T547" i="4"/>
  <c r="BE547" i="4" s="1"/>
  <c r="T548" i="4"/>
  <c r="BE548" i="4" s="1"/>
  <c r="T549" i="4"/>
  <c r="BE549" i="4" s="1"/>
  <c r="T550" i="4"/>
  <c r="BE550" i="4" s="1"/>
  <c r="T551" i="4"/>
  <c r="BE551" i="4" s="1"/>
  <c r="T552" i="4"/>
  <c r="BE552" i="4" s="1"/>
  <c r="T553" i="4"/>
  <c r="BE553" i="4" s="1"/>
  <c r="T554" i="4"/>
  <c r="BE554" i="4" s="1"/>
  <c r="T555" i="4"/>
  <c r="BE555" i="4" s="1"/>
  <c r="T556" i="4"/>
  <c r="BE556" i="4" s="1"/>
  <c r="T557" i="4"/>
  <c r="BE557" i="4" s="1"/>
  <c r="T558" i="4"/>
  <c r="BE558" i="4" s="1"/>
  <c r="T559" i="4"/>
  <c r="BE559" i="4" s="1"/>
  <c r="T560" i="4"/>
  <c r="BE560" i="4" s="1"/>
  <c r="T561" i="4"/>
  <c r="BE561" i="4" s="1"/>
  <c r="T562" i="4"/>
  <c r="BE562" i="4" s="1"/>
  <c r="T563" i="4"/>
  <c r="BE563" i="4" s="1"/>
  <c r="T564" i="4"/>
  <c r="BE564" i="4" s="1"/>
  <c r="T565" i="4"/>
  <c r="BE565" i="4" s="1"/>
  <c r="T566" i="4"/>
  <c r="BE566" i="4" s="1"/>
  <c r="T567" i="4"/>
  <c r="BE567" i="4" s="1"/>
  <c r="T568" i="4"/>
  <c r="BE568" i="4" s="1"/>
  <c r="T569" i="4"/>
  <c r="BE569" i="4" s="1"/>
  <c r="T570" i="4"/>
  <c r="BE570" i="4" s="1"/>
  <c r="T571" i="4"/>
  <c r="BE571" i="4" s="1"/>
  <c r="T572" i="4"/>
  <c r="BE572" i="4" s="1"/>
  <c r="T573" i="4"/>
  <c r="BE573" i="4" s="1"/>
  <c r="T574" i="4"/>
  <c r="BE574" i="4" s="1"/>
  <c r="T575" i="4"/>
  <c r="BE575" i="4" s="1"/>
  <c r="T576" i="4"/>
  <c r="BE576" i="4" s="1"/>
  <c r="T577" i="4"/>
  <c r="BE577" i="4" s="1"/>
  <c r="T578" i="4"/>
  <c r="BE578" i="4" s="1"/>
  <c r="T579" i="4"/>
  <c r="BE579" i="4" s="1"/>
  <c r="T580" i="4"/>
  <c r="BE580" i="4" s="1"/>
  <c r="T581" i="4"/>
  <c r="BE581" i="4" s="1"/>
  <c r="T582" i="4"/>
  <c r="BE582" i="4" s="1"/>
  <c r="T583" i="4"/>
  <c r="BE583" i="4" s="1"/>
  <c r="T584" i="4"/>
  <c r="BE584" i="4" s="1"/>
  <c r="T585" i="4"/>
  <c r="BE585" i="4" s="1"/>
  <c r="T586" i="4"/>
  <c r="BE586" i="4" s="1"/>
  <c r="T587" i="4"/>
  <c r="BE587" i="4" s="1"/>
  <c r="T588" i="4"/>
  <c r="BE588" i="4" s="1"/>
  <c r="T589" i="4"/>
  <c r="BE589" i="4" s="1"/>
  <c r="T590" i="4"/>
  <c r="BE590" i="4" s="1"/>
  <c r="T591" i="4"/>
  <c r="BE591" i="4" s="1"/>
  <c r="T592" i="4"/>
  <c r="BE592" i="4" s="1"/>
  <c r="T593" i="4"/>
  <c r="BE593" i="4" s="1"/>
  <c r="T594" i="4"/>
  <c r="BE594" i="4" s="1"/>
  <c r="T595" i="4"/>
  <c r="BE595" i="4" s="1"/>
  <c r="T596" i="4"/>
  <c r="BE596" i="4" s="1"/>
  <c r="T597" i="4"/>
  <c r="BE597" i="4" s="1"/>
  <c r="T598" i="4"/>
  <c r="BE598" i="4" s="1"/>
  <c r="T599" i="4"/>
  <c r="BE599" i="4" s="1"/>
  <c r="T600" i="4"/>
  <c r="BE600" i="4" s="1"/>
  <c r="T601" i="4"/>
  <c r="BE601" i="4" s="1"/>
  <c r="T602" i="4"/>
  <c r="BE602" i="4" s="1"/>
  <c r="T603" i="4"/>
  <c r="BE603" i="4" s="1"/>
  <c r="T604" i="4"/>
  <c r="BE604" i="4" s="1"/>
  <c r="T605" i="4"/>
  <c r="BE605" i="4" s="1"/>
  <c r="T606" i="4"/>
  <c r="BE606"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0" i="4"/>
  <c r="BE620" i="4" s="1"/>
  <c r="T621" i="4"/>
  <c r="BE621" i="4" s="1"/>
  <c r="T622" i="4"/>
  <c r="BE622" i="4" s="1"/>
  <c r="T623" i="4"/>
  <c r="BE623" i="4" s="1"/>
  <c r="T624" i="4"/>
  <c r="BE624" i="4" s="1"/>
  <c r="T625" i="4"/>
  <c r="BE625" i="4" s="1"/>
  <c r="T626" i="4"/>
  <c r="BE626" i="4" s="1"/>
  <c r="T627" i="4"/>
  <c r="BE627" i="4" s="1"/>
  <c r="T628" i="4"/>
  <c r="BE628" i="4" s="1"/>
  <c r="T629" i="4"/>
  <c r="BE629" i="4" s="1"/>
  <c r="T630" i="4"/>
  <c r="BE630" i="4" s="1"/>
  <c r="T631" i="4"/>
  <c r="BE631" i="4" s="1"/>
  <c r="T632" i="4"/>
  <c r="BE632" i="4" s="1"/>
  <c r="T633" i="4"/>
  <c r="BE633" i="4" s="1"/>
  <c r="T634" i="4"/>
  <c r="BE634" i="4" s="1"/>
  <c r="T635" i="4"/>
  <c r="BE635" i="4" s="1"/>
  <c r="T636" i="4"/>
  <c r="BE636" i="4" s="1"/>
  <c r="T637" i="4"/>
  <c r="BE637" i="4" s="1"/>
  <c r="T638" i="4"/>
  <c r="BE638" i="4" s="1"/>
  <c r="T639" i="4"/>
  <c r="BE639" i="4" s="1"/>
  <c r="T640" i="4"/>
  <c r="BE640" i="4" s="1"/>
  <c r="T641" i="4"/>
  <c r="BE641" i="4" s="1"/>
  <c r="T642" i="4"/>
  <c r="BE642" i="4" s="1"/>
  <c r="T643" i="4"/>
  <c r="BE643" i="4" s="1"/>
  <c r="T644" i="4"/>
  <c r="BE644" i="4" s="1"/>
  <c r="T645" i="4"/>
  <c r="BE645" i="4" s="1"/>
  <c r="T646" i="4"/>
  <c r="BE646" i="4" s="1"/>
  <c r="T647" i="4"/>
  <c r="BE647" i="4" s="1"/>
  <c r="T648" i="4"/>
  <c r="BE648" i="4" s="1"/>
  <c r="T649" i="4"/>
  <c r="BE649" i="4" s="1"/>
  <c r="T650" i="4"/>
  <c r="BE650" i="4" s="1"/>
  <c r="T651" i="4"/>
  <c r="BE651" i="4" s="1"/>
  <c r="T652" i="4"/>
  <c r="BE652" i="4" s="1"/>
  <c r="T653" i="4"/>
  <c r="BE653" i="4" s="1"/>
  <c r="T654" i="4"/>
  <c r="BE654" i="4" s="1"/>
  <c r="T655" i="4"/>
  <c r="BE655" i="4" s="1"/>
  <c r="T656" i="4"/>
  <c r="BE656" i="4" s="1"/>
  <c r="T657" i="4"/>
  <c r="BE657" i="4" s="1"/>
  <c r="T658" i="4"/>
  <c r="BE658" i="4" s="1"/>
  <c r="T659" i="4"/>
  <c r="BE659" i="4" s="1"/>
  <c r="T660" i="4"/>
  <c r="BE660" i="4" s="1"/>
  <c r="T661" i="4"/>
  <c r="BE661" i="4" s="1"/>
  <c r="T662" i="4"/>
  <c r="BE662" i="4" s="1"/>
  <c r="T663" i="4"/>
  <c r="BE663" i="4" s="1"/>
  <c r="T664" i="4"/>
  <c r="BE664" i="4" s="1"/>
  <c r="T665" i="4"/>
  <c r="BE665"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U693" i="4" s="1"/>
  <c r="T694" i="4"/>
  <c r="U694" i="4" s="1"/>
  <c r="T695" i="4"/>
  <c r="U695" i="4" s="1"/>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U707" i="4" s="1"/>
  <c r="T708" i="4"/>
  <c r="U708" i="4" s="1"/>
  <c r="T709" i="4"/>
  <c r="U709" i="4" s="1"/>
  <c r="T710" i="4"/>
  <c r="U710" i="4" s="1"/>
  <c r="T711" i="4"/>
  <c r="BE711" i="4" s="1"/>
  <c r="T712" i="4"/>
  <c r="BE712" i="4" s="1"/>
  <c r="T713" i="4"/>
  <c r="BE713" i="4" s="1"/>
  <c r="T714" i="4"/>
  <c r="BE714" i="4" s="1"/>
  <c r="T715" i="4"/>
  <c r="BE715" i="4" s="1"/>
  <c r="T716" i="4"/>
  <c r="BE716" i="4" s="1"/>
  <c r="T717" i="4"/>
  <c r="BE717" i="4" s="1"/>
  <c r="T719" i="4"/>
  <c r="BE719" i="4" s="1"/>
  <c r="T718" i="4"/>
  <c r="BE718" i="4" s="1"/>
  <c r="T3" i="4"/>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J31" i="26"/>
  <c r="I31" i="26"/>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J7" i="26"/>
  <c r="J6" i="26"/>
  <c r="J10" i="26"/>
  <c r="J12" i="26"/>
  <c r="J14" i="26"/>
  <c r="J13" i="26"/>
  <c r="J8" i="26"/>
  <c r="J9" i="26"/>
  <c r="J3" i="26"/>
  <c r="J5" i="26"/>
  <c r="J4" i="26"/>
  <c r="J15" i="26"/>
  <c r="J17" i="26"/>
  <c r="J16" i="26"/>
  <c r="J18" i="26"/>
  <c r="J20" i="26"/>
  <c r="J19" i="26"/>
  <c r="J22" i="26"/>
  <c r="J21" i="26"/>
  <c r="J23" i="26"/>
  <c r="J24" i="26"/>
  <c r="J26" i="26"/>
  <c r="J25" i="26"/>
  <c r="J27" i="26"/>
  <c r="J28" i="26"/>
  <c r="J30" i="26"/>
  <c r="J29" i="26"/>
  <c r="J33" i="26"/>
  <c r="J32" i="26"/>
  <c r="J34" i="26"/>
  <c r="J35" i="26"/>
  <c r="J37" i="26"/>
  <c r="J36" i="26"/>
  <c r="J38" i="26"/>
  <c r="J11" i="26"/>
  <c r="I38" i="26"/>
  <c r="K38" i="26" s="1"/>
  <c r="I7" i="26"/>
  <c r="I6" i="26"/>
  <c r="I10" i="26"/>
  <c r="I12" i="26"/>
  <c r="I14" i="26"/>
  <c r="I13" i="26"/>
  <c r="I8" i="26"/>
  <c r="I9" i="26"/>
  <c r="I3" i="26"/>
  <c r="I5" i="26"/>
  <c r="I4" i="26"/>
  <c r="I15" i="26"/>
  <c r="I17" i="26"/>
  <c r="I16" i="26"/>
  <c r="I18" i="26"/>
  <c r="I20" i="26"/>
  <c r="I19" i="26"/>
  <c r="I22" i="26"/>
  <c r="I21" i="26"/>
  <c r="I23" i="26"/>
  <c r="I24" i="26"/>
  <c r="I26" i="26"/>
  <c r="I25" i="26"/>
  <c r="I27" i="26"/>
  <c r="I28" i="26"/>
  <c r="I30" i="26"/>
  <c r="I29" i="26"/>
  <c r="I33" i="26"/>
  <c r="I32" i="26"/>
  <c r="I34" i="26"/>
  <c r="I35" i="26"/>
  <c r="I37" i="26"/>
  <c r="K37" i="26" s="1"/>
  <c r="I36" i="26"/>
  <c r="I11" i="26"/>
  <c r="K1071" i="7"/>
  <c r="L1071" i="7"/>
  <c r="K1072" i="7"/>
  <c r="L1072" i="7"/>
  <c r="K1073" i="7"/>
  <c r="L1073" i="7"/>
  <c r="K1074" i="7"/>
  <c r="L1074" i="7"/>
  <c r="K1075" i="7"/>
  <c r="L1075" i="7"/>
  <c r="K1076" i="7"/>
  <c r="L1076" i="7"/>
  <c r="K1077" i="7"/>
  <c r="L1077" i="7"/>
  <c r="K1078" i="7"/>
  <c r="L1078" i="7"/>
  <c r="K1079" i="7"/>
  <c r="L1079" i="7"/>
  <c r="K1080" i="7"/>
  <c r="L1080" i="7"/>
  <c r="K1081" i="7"/>
  <c r="L1081" i="7"/>
  <c r="K1082" i="7"/>
  <c r="L1082" i="7"/>
  <c r="K1083" i="7"/>
  <c r="L1083" i="7"/>
  <c r="K1084" i="7"/>
  <c r="L1084" i="7"/>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0" i="4"/>
  <c r="AA720" i="4" s="1"/>
  <c r="AK720" i="4"/>
  <c r="AP720" i="4"/>
  <c r="AU720" i="4"/>
  <c r="BE720" i="4"/>
  <c r="BF720" i="4"/>
  <c r="BG720" i="4"/>
  <c r="BH720" i="4"/>
  <c r="BI720" i="4"/>
  <c r="Z721" i="4"/>
  <c r="AA721" i="4" s="1"/>
  <c r="AK721" i="4"/>
  <c r="AP721" i="4"/>
  <c r="AU721" i="4"/>
  <c r="BE721" i="4"/>
  <c r="BF721" i="4"/>
  <c r="BG721" i="4"/>
  <c r="BH721" i="4"/>
  <c r="BI721" i="4"/>
  <c r="Z722" i="4"/>
  <c r="AA722" i="4" s="1"/>
  <c r="AK722" i="4"/>
  <c r="AP722" i="4"/>
  <c r="AU722" i="4"/>
  <c r="BE722" i="4"/>
  <c r="BF722" i="4"/>
  <c r="BG722" i="4"/>
  <c r="BH722" i="4"/>
  <c r="BI722" i="4"/>
  <c r="Z723" i="4"/>
  <c r="AA723" i="4" s="1"/>
  <c r="AK723" i="4"/>
  <c r="AP723" i="4"/>
  <c r="AU723" i="4"/>
  <c r="BE723" i="4"/>
  <c r="BF723" i="4"/>
  <c r="BG723" i="4"/>
  <c r="BH723" i="4"/>
  <c r="BI723" i="4"/>
  <c r="Z724" i="4"/>
  <c r="AA724" i="4" s="1"/>
  <c r="AK724" i="4"/>
  <c r="AP724" i="4"/>
  <c r="AU724" i="4"/>
  <c r="BE724" i="4"/>
  <c r="BF724" i="4"/>
  <c r="BG724" i="4"/>
  <c r="BH724" i="4"/>
  <c r="BI724"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BI717" i="4" s="1"/>
  <c r="AF716" i="4"/>
  <c r="AG716" i="4" s="1"/>
  <c r="Z716" i="4"/>
  <c r="AA716" i="4" s="1"/>
  <c r="R716" i="4"/>
  <c r="AF715" i="4"/>
  <c r="AG715" i="4" s="1"/>
  <c r="Z715" i="4"/>
  <c r="AA715" i="4" s="1"/>
  <c r="R715" i="4"/>
  <c r="D717" i="4"/>
  <c r="D716" i="4"/>
  <c r="D715" i="4"/>
  <c r="D714" i="4"/>
  <c r="D713" i="4"/>
  <c r="D707" i="4"/>
  <c r="D708" i="4"/>
  <c r="D709" i="4"/>
  <c r="D710" i="4"/>
  <c r="D711" i="4"/>
  <c r="D712" i="4"/>
  <c r="L1065" i="7"/>
  <c r="L1066" i="7"/>
  <c r="L1067" i="7"/>
  <c r="L1068" i="7"/>
  <c r="L1069" i="7"/>
  <c r="L1070" i="7"/>
  <c r="K1070" i="7"/>
  <c r="K1069" i="7"/>
  <c r="K1068" i="7"/>
  <c r="K1067" i="7"/>
  <c r="K1066" i="7"/>
  <c r="K1065" i="7"/>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BI715" i="4" l="1"/>
  <c r="BI696" i="4"/>
  <c r="BI716" i="4"/>
  <c r="BE708" i="4"/>
  <c r="BE695" i="4"/>
  <c r="BE707" i="4"/>
  <c r="BE710" i="4"/>
  <c r="BE694" i="4"/>
  <c r="BE709" i="4"/>
  <c r="BE693" i="4"/>
  <c r="U714" i="4"/>
  <c r="U713" i="4"/>
  <c r="U696" i="4"/>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U719" i="4"/>
  <c r="D106" i="20"/>
  <c r="D107" i="20"/>
  <c r="E6" i="29"/>
  <c r="E44" i="29"/>
  <c r="E31" i="29"/>
  <c r="U718" i="4"/>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U712" i="4"/>
  <c r="U711" i="4"/>
  <c r="Q712" i="4"/>
  <c r="Q711" i="4"/>
  <c r="Q710" i="4"/>
  <c r="Q709" i="4"/>
  <c r="Q708" i="4"/>
  <c r="Q707" i="4"/>
  <c r="Q696" i="4"/>
  <c r="Q693" i="4"/>
  <c r="R704" i="4"/>
  <c r="BI704" i="4" s="1"/>
  <c r="R703" i="4"/>
  <c r="BI703" i="4" s="1"/>
  <c r="R706" i="4"/>
  <c r="BI706" i="4" s="1"/>
  <c r="D704" i="4"/>
  <c r="D697" i="4"/>
  <c r="H108" i="20"/>
  <c r="J108"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BI663" i="4" s="1"/>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BI677" i="4" l="1"/>
  <c r="BF715" i="4"/>
  <c r="BI664" i="4"/>
  <c r="BI662" i="4"/>
  <c r="BF678" i="4"/>
  <c r="BI676" i="4"/>
  <c r="BI660" i="4"/>
  <c r="BF716" i="4"/>
  <c r="BI658" i="4"/>
  <c r="BI678" i="4"/>
  <c r="BI661" i="4"/>
  <c r="BI674" i="4"/>
  <c r="BI673" i="4"/>
  <c r="BI688" i="4"/>
  <c r="BI675" i="4"/>
  <c r="BF717" i="4"/>
  <c r="BI659" i="4"/>
  <c r="BF677" i="4"/>
  <c r="BI687" i="4"/>
  <c r="BI665" i="4"/>
  <c r="BF676" i="4"/>
  <c r="BF696" i="4"/>
  <c r="J107" i="20"/>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U717" i="4"/>
  <c r="U716" i="4"/>
  <c r="U715" i="4"/>
  <c r="U692" i="4"/>
  <c r="U669" i="4"/>
  <c r="U691" i="4"/>
  <c r="U652" i="4"/>
  <c r="U689" i="4"/>
  <c r="U688" i="4"/>
  <c r="U687" i="4"/>
  <c r="U690" i="4"/>
  <c r="U672" i="4"/>
  <c r="U668" i="4"/>
  <c r="U686" i="4"/>
  <c r="U678" i="4"/>
  <c r="U675" i="4"/>
  <c r="U683" i="4"/>
  <c r="U685" i="4"/>
  <c r="U684" i="4"/>
  <c r="U671" i="4"/>
  <c r="U667" i="4"/>
  <c r="U682" i="4"/>
  <c r="U674" i="4"/>
  <c r="U681" i="4"/>
  <c r="U656" i="4"/>
  <c r="U680" i="4"/>
  <c r="U653" i="4"/>
  <c r="U679" i="4"/>
  <c r="U670" i="4"/>
  <c r="U666" i="4"/>
  <c r="U677" i="4"/>
  <c r="F52" i="29"/>
  <c r="F56" i="29"/>
  <c r="G45" i="29"/>
  <c r="H45" i="29" s="1"/>
  <c r="G52" i="29"/>
  <c r="H52" i="29" s="1"/>
  <c r="H19" i="29"/>
  <c r="H59" i="29"/>
  <c r="H15" i="29"/>
  <c r="G56" i="29"/>
  <c r="H56" i="29" s="1"/>
  <c r="F45" i="29"/>
  <c r="G9" i="29"/>
  <c r="H9" i="29" s="1"/>
  <c r="F9" i="29"/>
  <c r="Q699" i="4"/>
  <c r="BF699" i="4" s="1"/>
  <c r="U700" i="4"/>
  <c r="U706" i="4"/>
  <c r="U705" i="4"/>
  <c r="Q705" i="4"/>
  <c r="BF705" i="4" s="1"/>
  <c r="U702" i="4"/>
  <c r="Q702" i="4"/>
  <c r="BF702" i="4" s="1"/>
  <c r="U701" i="4"/>
  <c r="Q701" i="4"/>
  <c r="BF701" i="4" s="1"/>
  <c r="U704" i="4"/>
  <c r="Q700" i="4"/>
  <c r="BF700" i="4" s="1"/>
  <c r="Q706" i="4"/>
  <c r="BF706" i="4" s="1"/>
  <c r="U703" i="4"/>
  <c r="Q703" i="4"/>
  <c r="BF703" i="4" s="1"/>
  <c r="Q704" i="4"/>
  <c r="BF704" i="4" s="1"/>
  <c r="U699" i="4"/>
  <c r="U698" i="4"/>
  <c r="AU650" i="4"/>
  <c r="D92" i="20"/>
  <c r="J92" i="20" s="1"/>
  <c r="AK650" i="4"/>
  <c r="AK653" i="4"/>
  <c r="D91" i="20"/>
  <c r="J91" i="20" s="1"/>
  <c r="U697" i="4"/>
  <c r="J4"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U676" i="4"/>
  <c r="Q663" i="4"/>
  <c r="BF663" i="4" s="1"/>
  <c r="AP651" i="4"/>
  <c r="AU651" i="4"/>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AF613" i="4"/>
  <c r="AG613" i="4" s="1"/>
  <c r="AF611" i="4"/>
  <c r="AG611"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BI628" i="4" s="1"/>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I557" i="4" l="1"/>
  <c r="BH421" i="4"/>
  <c r="BI589" i="4"/>
  <c r="BI587" i="4"/>
  <c r="BI646" i="4"/>
  <c r="BI201" i="4"/>
  <c r="BI110" i="4"/>
  <c r="BF280" i="4"/>
  <c r="BI287" i="4"/>
  <c r="BI109" i="4"/>
  <c r="BI93" i="4"/>
  <c r="BI77" i="4"/>
  <c r="BF279" i="4"/>
  <c r="BI161" i="4"/>
  <c r="BF173" i="4"/>
  <c r="BI49" i="4"/>
  <c r="BH420" i="4"/>
  <c r="BI364" i="4"/>
  <c r="BI552" i="4"/>
  <c r="BI165" i="4"/>
  <c r="BI112" i="4"/>
  <c r="BF282" i="4"/>
  <c r="BI164" i="4"/>
  <c r="BI111" i="4"/>
  <c r="BI95" i="4"/>
  <c r="BI79" i="4"/>
  <c r="BI58" i="4"/>
  <c r="BI607" i="4"/>
  <c r="BF281" i="4"/>
  <c r="BI198" i="4"/>
  <c r="BI107" i="4"/>
  <c r="BI91" i="4"/>
  <c r="BI34" i="4"/>
  <c r="BI630" i="4"/>
  <c r="BF172" i="4"/>
  <c r="BI197" i="4"/>
  <c r="BI106" i="4"/>
  <c r="BI90" i="4"/>
  <c r="BI74" i="4"/>
  <c r="BI32" i="4"/>
  <c r="BI9" i="4"/>
  <c r="BI629" i="4"/>
  <c r="BF171" i="4"/>
  <c r="BI542" i="4"/>
  <c r="BI196" i="4"/>
  <c r="BI541" i="4"/>
  <c r="BI525" i="4"/>
  <c r="BI282" i="4"/>
  <c r="BI173" i="4"/>
  <c r="BI157" i="4"/>
  <c r="BI559" i="4"/>
  <c r="BI540" i="4"/>
  <c r="BI524" i="4"/>
  <c r="BI281" i="4"/>
  <c r="BI172" i="4"/>
  <c r="BI156" i="4"/>
  <c r="BI71" i="4"/>
  <c r="BI648" i="4"/>
  <c r="BI108" i="4"/>
  <c r="BI558" i="4"/>
  <c r="BI523" i="4"/>
  <c r="BI369" i="4"/>
  <c r="BI280" i="4"/>
  <c r="BI171" i="4"/>
  <c r="BI86" i="4"/>
  <c r="BI23" i="4"/>
  <c r="BF674" i="4"/>
  <c r="BI422" i="4"/>
  <c r="BI368" i="4"/>
  <c r="BI279" i="4"/>
  <c r="BI211" i="4"/>
  <c r="BI170" i="4"/>
  <c r="BI154" i="4"/>
  <c r="BI69" i="4"/>
  <c r="BI45" i="4"/>
  <c r="BI200" i="4"/>
  <c r="BI421" i="4"/>
  <c r="BI367" i="4"/>
  <c r="BI329" i="4"/>
  <c r="BI210" i="4"/>
  <c r="BI169" i="4"/>
  <c r="BI153" i="4"/>
  <c r="BH422" i="4"/>
  <c r="BI647" i="4"/>
  <c r="BI420" i="4"/>
  <c r="BI366" i="4"/>
  <c r="BI328" i="4"/>
  <c r="BI209" i="4"/>
  <c r="BI168" i="4"/>
  <c r="BI152" i="4"/>
  <c r="BI83" i="4"/>
  <c r="BI67" i="4"/>
  <c r="BI588" i="4"/>
  <c r="BF329" i="4"/>
  <c r="BF675" i="4"/>
  <c r="BI554" i="4"/>
  <c r="BI365" i="4"/>
  <c r="BI208" i="4"/>
  <c r="BI167" i="4"/>
  <c r="BI114" i="4"/>
  <c r="BI82" i="4"/>
  <c r="BI66" i="4"/>
  <c r="BF328" i="4"/>
  <c r="BF673" i="4"/>
  <c r="BI199" i="4"/>
  <c r="BI553" i="4"/>
  <c r="BI113" i="4"/>
  <c r="BI65" i="4"/>
  <c r="BI41" i="4"/>
  <c r="BF287" i="4"/>
  <c r="S52" i="29"/>
  <c r="S45" i="29"/>
  <c r="S9" i="29"/>
  <c r="S6" i="29"/>
  <c r="S37" i="29"/>
  <c r="S7" i="29"/>
  <c r="S56" i="29"/>
  <c r="S58" i="29"/>
  <c r="S27" i="29"/>
  <c r="S30" i="29"/>
  <c r="S44" i="29"/>
  <c r="H31" i="29"/>
  <c r="J82" i="20"/>
  <c r="J39" i="20"/>
  <c r="AP652" i="4"/>
  <c r="U629" i="4"/>
  <c r="Q612" i="4"/>
  <c r="U576" i="4"/>
  <c r="U648" i="4"/>
  <c r="U647" i="4"/>
  <c r="U646" i="4"/>
  <c r="U612" i="4"/>
  <c r="J41" i="20"/>
  <c r="U577" i="4"/>
  <c r="U615" i="4"/>
  <c r="U631" i="4"/>
  <c r="U630" i="4"/>
  <c r="U628" i="4"/>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U673" i="4" l="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U550" i="4" l="1"/>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B512" i="15" l="1"/>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9" i="20"/>
  <c r="I80" i="20"/>
  <c r="H79" i="20"/>
  <c r="H80" i="20"/>
  <c r="G79" i="20"/>
  <c r="G80"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F718" i="4" l="1"/>
  <c r="AG718" i="4" s="1"/>
  <c r="Z718" i="4"/>
  <c r="AF693" i="4"/>
  <c r="AG693" i="4" s="1"/>
  <c r="AF695" i="4"/>
  <c r="AG695" i="4" s="1"/>
  <c r="Z719" i="4"/>
  <c r="BF719" i="4" s="1"/>
  <c r="Z693" i="4"/>
  <c r="BF693" i="4" s="1"/>
  <c r="Z695" i="4"/>
  <c r="R698" i="4"/>
  <c r="BI698" i="4" s="1"/>
  <c r="AF714" i="4"/>
  <c r="AG714" i="4" s="1"/>
  <c r="Z707" i="4"/>
  <c r="Z694" i="4"/>
  <c r="AA694" i="4" s="1"/>
  <c r="Z708" i="4"/>
  <c r="Z709" i="4"/>
  <c r="Z697" i="4"/>
  <c r="BF697" i="4" s="1"/>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BI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BF446" i="4" s="1"/>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BF311" i="4" s="1"/>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BF300" i="4" s="1"/>
  <c r="Z316" i="4"/>
  <c r="BF316" i="4" s="1"/>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BF318" i="4" s="1"/>
  <c r="R26" i="4"/>
  <c r="R22" i="4"/>
  <c r="U524" i="4"/>
  <c r="U521" i="4"/>
  <c r="U523" i="4"/>
  <c r="U519" i="4"/>
  <c r="J3" i="18"/>
  <c r="BF711" i="4" l="1"/>
  <c r="BF299" i="4"/>
  <c r="BF298" i="4"/>
  <c r="BF313" i="4"/>
  <c r="BF714" i="4"/>
  <c r="BI614" i="4"/>
  <c r="BI641" i="4"/>
  <c r="BI639" i="4"/>
  <c r="BI618" i="4"/>
  <c r="BI615" i="4"/>
  <c r="BI631" i="4"/>
  <c r="BI635" i="4"/>
  <c r="BI679" i="4"/>
  <c r="BI685" i="4"/>
  <c r="BI653" i="4"/>
  <c r="BF710" i="4"/>
  <c r="BI585" i="4"/>
  <c r="BF315" i="4"/>
  <c r="BF479" i="4"/>
  <c r="BI610" i="4"/>
  <c r="BI694" i="4"/>
  <c r="BI668" i="4"/>
  <c r="BF317" i="4"/>
  <c r="BF296" i="4"/>
  <c r="BI571" i="4"/>
  <c r="BI655" i="4"/>
  <c r="BI570" i="4"/>
  <c r="BI595" i="4"/>
  <c r="BI616" i="4"/>
  <c r="BI672" i="4"/>
  <c r="BI680" i="4"/>
  <c r="BF712" i="4"/>
  <c r="BF718" i="4"/>
  <c r="BI560" i="4"/>
  <c r="BI669" i="4"/>
  <c r="BI634" i="4"/>
  <c r="BI671" i="4"/>
  <c r="BI573" i="4"/>
  <c r="BI567" i="4"/>
  <c r="BI592" i="4"/>
  <c r="BI613" i="4"/>
  <c r="BI645" i="4"/>
  <c r="BI649" i="4"/>
  <c r="BI591" i="4"/>
  <c r="BI666" i="4"/>
  <c r="BI684" i="4"/>
  <c r="BF709" i="4"/>
  <c r="BI643" i="4"/>
  <c r="BI652" i="4"/>
  <c r="BF708" i="4"/>
  <c r="BI572" i="4"/>
  <c r="BI579" i="4"/>
  <c r="BI26" i="4"/>
  <c r="BF314" i="4"/>
  <c r="BF312" i="4"/>
  <c r="BI565" i="4"/>
  <c r="BI657" i="4"/>
  <c r="BI683" i="4"/>
  <c r="BF707" i="4"/>
  <c r="BI651" i="4"/>
  <c r="BF310" i="4"/>
  <c r="BI22" i="4"/>
  <c r="BF320" i="4"/>
  <c r="BI564" i="4"/>
  <c r="BI584" i="4"/>
  <c r="BI598" i="4"/>
  <c r="BF297" i="4"/>
  <c r="BI617" i="4"/>
  <c r="BI642" i="4"/>
  <c r="BI656" i="4"/>
  <c r="BF302" i="4"/>
  <c r="BF301" i="4"/>
  <c r="BI580" i="4"/>
  <c r="BI597" i="4"/>
  <c r="BI638" i="4"/>
  <c r="BI682" i="4"/>
  <c r="BF695" i="4"/>
  <c r="BI650" i="4"/>
  <c r="BI619" i="4"/>
  <c r="BF713" i="4"/>
  <c r="BF321" i="4"/>
  <c r="BF303" i="4"/>
  <c r="BI577" i="4"/>
  <c r="BI578" i="4"/>
  <c r="BI596" i="4"/>
  <c r="BI644" i="4"/>
  <c r="BI667" i="4"/>
  <c r="BI681" i="4"/>
  <c r="BI686" i="4"/>
  <c r="BI561" i="4"/>
  <c r="BI569" i="4"/>
  <c r="BI562" i="4"/>
  <c r="BI582" i="4"/>
  <c r="BI633" i="4"/>
  <c r="BI640" i="4"/>
  <c r="BI654" i="4"/>
  <c r="BI566" i="4"/>
  <c r="BF319" i="4"/>
  <c r="BI57" i="4"/>
  <c r="BI563" i="4"/>
  <c r="BI583" i="4"/>
  <c r="BI568" i="4"/>
  <c r="BI581" i="4"/>
  <c r="BI593" i="4"/>
  <c r="BI632" i="4"/>
  <c r="BI637" i="4"/>
  <c r="BI590" i="4"/>
  <c r="BI586" i="4"/>
  <c r="BI636" i="4"/>
  <c r="AA718" i="4"/>
  <c r="BI718" i="4" s="1"/>
  <c r="Q698" i="4"/>
  <c r="BF698" i="4" s="1"/>
  <c r="AA695" i="4"/>
  <c r="BI695" i="4" s="1"/>
  <c r="AA693" i="4"/>
  <c r="BI693" i="4" s="1"/>
  <c r="AA719" i="4"/>
  <c r="BI719" i="4" s="1"/>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K309" i="4" l="1"/>
  <c r="AK307" i="4"/>
  <c r="AK308" i="4"/>
  <c r="D495" i="4"/>
  <c r="D496" i="4"/>
  <c r="D497" i="4"/>
  <c r="D503" i="4"/>
  <c r="AC503" i="4"/>
  <c r="AD503" i="4"/>
  <c r="D498" i="4"/>
  <c r="D499" i="4"/>
  <c r="D500" i="4"/>
  <c r="D504" i="4"/>
  <c r="AC504" i="4"/>
  <c r="AD504" i="4"/>
  <c r="BH504" i="4" l="1"/>
  <c r="BH503" i="4"/>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J52" i="20" l="1"/>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AD472" i="4"/>
  <c r="BH472" i="4" l="1"/>
  <c r="AK619" i="4"/>
  <c r="AK617" i="4"/>
  <c r="AK618" i="4"/>
  <c r="Q601" i="4"/>
  <c r="BF601" i="4" s="1"/>
  <c r="D87" i="20"/>
  <c r="J87" i="20" s="1"/>
  <c r="Q600" i="4"/>
  <c r="BF600" i="4" s="1"/>
  <c r="Q599" i="4"/>
  <c r="BF599" i="4" s="1"/>
  <c r="Q602" i="4"/>
  <c r="BF602" i="4" s="1"/>
  <c r="AP610" i="4"/>
  <c r="D88" i="20"/>
  <c r="J88"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BF137" i="4" s="1"/>
  <c r="Q145" i="4"/>
  <c r="BF145" i="4" s="1"/>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Q335" i="4" l="1"/>
  <c r="BF335" i="4" s="1"/>
  <c r="Q576" i="4"/>
  <c r="BF576" i="4" s="1"/>
  <c r="Q333" i="4"/>
  <c r="BF333" i="4" s="1"/>
  <c r="AK522" i="4"/>
  <c r="D412" i="4"/>
  <c r="D413" i="4"/>
  <c r="D414" i="4"/>
  <c r="D418" i="4"/>
  <c r="D415" i="4"/>
  <c r="D416" i="4"/>
  <c r="D417" i="4"/>
  <c r="D419" i="4"/>
  <c r="D420" i="4"/>
  <c r="D421" i="4"/>
  <c r="D422" i="4"/>
  <c r="D406" i="4" l="1"/>
  <c r="D407" i="4"/>
  <c r="D408" i="4"/>
  <c r="D409" i="4"/>
  <c r="D410" i="4"/>
  <c r="D411" i="4"/>
  <c r="AD329" i="4" l="1"/>
  <c r="AD328" i="4"/>
  <c r="AD287" i="4"/>
  <c r="AD220" i="4"/>
  <c r="AC329" i="4"/>
  <c r="BH329" i="4" s="1"/>
  <c r="AC328" i="4"/>
  <c r="BH328" i="4" s="1"/>
  <c r="AC287" i="4"/>
  <c r="BH287" i="4" s="1"/>
  <c r="AC220" i="4"/>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6" i="20"/>
  <c r="Q622" i="4"/>
  <c r="BF622" i="4" s="1"/>
  <c r="Q627" i="4"/>
  <c r="BF627" i="4" s="1"/>
  <c r="Q621" i="4"/>
  <c r="BF621" i="4" s="1"/>
  <c r="Q626" i="4"/>
  <c r="BF626" i="4" s="1"/>
  <c r="Q625" i="4"/>
  <c r="BF625" i="4" s="1"/>
  <c r="Q624" i="4"/>
  <c r="BF624" i="4" s="1"/>
  <c r="Q623" i="4"/>
  <c r="BF623" i="4" s="1"/>
  <c r="Q620" i="4"/>
  <c r="BF620" i="4" s="1"/>
  <c r="D390" i="4" l="1"/>
  <c r="D394" i="4"/>
  <c r="U625" i="4" l="1"/>
  <c r="U622" i="4"/>
  <c r="U624" i="4"/>
  <c r="U626" i="4"/>
  <c r="U620" i="4"/>
  <c r="U627" i="4"/>
  <c r="U621" i="4"/>
  <c r="U623" i="4"/>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BF536" i="4" s="1"/>
  <c r="AP522" i="4"/>
  <c r="AK652" i="4"/>
  <c r="BF652" i="4" s="1"/>
  <c r="AP593" i="4"/>
  <c r="AU653" i="4"/>
  <c r="BF653" i="4" s="1"/>
  <c r="AP654" i="4"/>
  <c r="D97" i="20"/>
  <c r="J97" i="20" s="1"/>
  <c r="D99" i="20"/>
  <c r="J99" i="20" s="1"/>
  <c r="Q141" i="4"/>
  <c r="BF141" i="4" s="1"/>
  <c r="Q140" i="4"/>
  <c r="BF140" i="4" s="1"/>
  <c r="Q654" i="4"/>
  <c r="D65" i="20"/>
  <c r="J65" i="20" s="1"/>
  <c r="D66" i="20"/>
  <c r="J66" i="20" s="1"/>
  <c r="D100" i="20"/>
  <c r="J100" i="20" s="1"/>
  <c r="J30" i="20"/>
  <c r="Q334" i="4"/>
  <c r="BF334" i="4" s="1"/>
  <c r="D101" i="20"/>
  <c r="J101" i="20" s="1"/>
  <c r="D67" i="20"/>
  <c r="J67" i="20" s="1"/>
  <c r="D68" i="20"/>
  <c r="J68" i="20" s="1"/>
  <c r="J31" i="20"/>
  <c r="D89" i="20"/>
  <c r="J89" i="20" s="1"/>
  <c r="D90" i="20"/>
  <c r="J90" i="20" s="1"/>
  <c r="D103" i="20"/>
  <c r="J103" i="20" s="1"/>
  <c r="D23" i="20" l="1"/>
  <c r="AK654" i="4"/>
  <c r="BF654" i="4" s="1"/>
  <c r="D85" i="20"/>
  <c r="J85"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6" i="20"/>
  <c r="J86"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4" i="20"/>
  <c r="J84"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3" i="20"/>
  <c r="J11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BF565" i="4" s="1"/>
  <c r="Q563" i="4"/>
  <c r="BF563" i="4" s="1"/>
  <c r="Q564" i="4"/>
  <c r="Q560" i="4"/>
  <c r="BF560" i="4" s="1"/>
  <c r="AK611" i="4"/>
  <c r="Q545" i="4"/>
  <c r="BF545" i="4" s="1"/>
  <c r="D83" i="20"/>
  <c r="J83"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BF332" i="4" s="1"/>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BF98" i="4" s="1"/>
  <c r="AK99" i="4"/>
  <c r="AK100" i="4"/>
  <c r="BF100" i="4" s="1"/>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BF354" i="4" l="1"/>
  <c r="BF89" i="4"/>
  <c r="BF239" i="4"/>
  <c r="BF196" i="4"/>
  <c r="BF458" i="4"/>
  <c r="BF610" i="4"/>
  <c r="BF97" i="4"/>
  <c r="BF353" i="4"/>
  <c r="BF40" i="4"/>
  <c r="BF10" i="4"/>
  <c r="BF99" i="4"/>
  <c r="BF47" i="4"/>
  <c r="BF542" i="4"/>
  <c r="BF83" i="4"/>
  <c r="BF201" i="4"/>
  <c r="BF113" i="4"/>
  <c r="BF506" i="4"/>
  <c r="BF240" i="4"/>
  <c r="BF200" i="4"/>
  <c r="BF540" i="4"/>
  <c r="BF39" i="4"/>
  <c r="BF274" i="4"/>
  <c r="BF646" i="4"/>
  <c r="BF507" i="4"/>
  <c r="BF177" i="4"/>
  <c r="BF590" i="4"/>
  <c r="BF619" i="4"/>
  <c r="BF88" i="4"/>
  <c r="BF505" i="4"/>
  <c r="BF594" i="4"/>
  <c r="BF107" i="4"/>
  <c r="BF331" i="4"/>
  <c r="BF81" i="4"/>
  <c r="BF611" i="4"/>
  <c r="BF101" i="4"/>
  <c r="BF94" i="4"/>
  <c r="BF123" i="4"/>
  <c r="BF368" i="4"/>
  <c r="BF109" i="4"/>
  <c r="BF23" i="4"/>
  <c r="BF79" i="4"/>
  <c r="BF87" i="4"/>
  <c r="BF159" i="4"/>
  <c r="BF476" i="4"/>
  <c r="BF564" i="4"/>
  <c r="BF364" i="4"/>
  <c r="BF6" i="4"/>
  <c r="BF445" i="4"/>
  <c r="BF122" i="4"/>
  <c r="BF95" i="4"/>
  <c r="BF67" i="4"/>
  <c r="BF112" i="4"/>
  <c r="BF607" i="4"/>
  <c r="BF457" i="4"/>
  <c r="BF474" i="4"/>
  <c r="BF352" i="4"/>
  <c r="BF29" i="4"/>
  <c r="BF366" i="4"/>
  <c r="BF110" i="4"/>
  <c r="BF554" i="4"/>
  <c r="BF501" i="4"/>
  <c r="BF427" i="4"/>
  <c r="BF246" i="4"/>
  <c r="BF51" i="4"/>
  <c r="BF273" i="4"/>
  <c r="BF578" i="4"/>
  <c r="BF102" i="4"/>
  <c r="BF245" i="4"/>
  <c r="BF575" i="4"/>
  <c r="BF41" i="4"/>
  <c r="BF90" i="4"/>
  <c r="BF589" i="4"/>
  <c r="BF549" i="4"/>
  <c r="BF185" i="4"/>
  <c r="BF72" i="4"/>
  <c r="BF243" i="4"/>
  <c r="BF275" i="4"/>
  <c r="BF593" i="4"/>
  <c r="BF648" i="4"/>
  <c r="BF237" i="4"/>
  <c r="BF86" i="4"/>
  <c r="BF587" i="4"/>
  <c r="BF14" i="4"/>
  <c r="BF389" i="4"/>
  <c r="BF32" i="4"/>
  <c r="BF367" i="4"/>
  <c r="BF197" i="4"/>
  <c r="BF179" i="4"/>
  <c r="BF96" i="4"/>
  <c r="BF577" i="4"/>
  <c r="BF647" i="4"/>
  <c r="BF618" i="4"/>
  <c r="BF250" i="4"/>
  <c r="BF388" i="4"/>
  <c r="BF126" i="4"/>
  <c r="BF244" i="4"/>
  <c r="BF111" i="4"/>
  <c r="BF65" i="4"/>
  <c r="BF50" i="4"/>
  <c r="BF429" i="4"/>
  <c r="BF52" i="4"/>
  <c r="BF31" i="4"/>
  <c r="BF116" i="4"/>
  <c r="BF127" i="4"/>
  <c r="BF46" i="4"/>
  <c r="BF369" i="4"/>
  <c r="BF34" i="4"/>
  <c r="BF76" i="4"/>
  <c r="BF408" i="4"/>
  <c r="BF428" i="4"/>
  <c r="BF242" i="4"/>
  <c r="BF519" i="4"/>
  <c r="BF612" i="4"/>
  <c r="BF191" i="4"/>
  <c r="BF247" i="4"/>
  <c r="BF4" i="4"/>
  <c r="BF128" i="4"/>
  <c r="BF82" i="4"/>
  <c r="BF9" i="4"/>
  <c r="BF609" i="4"/>
  <c r="BF406" i="4"/>
  <c r="BF5" i="4"/>
  <c r="BF595" i="4"/>
  <c r="BF387" i="4"/>
  <c r="BF541" i="4"/>
  <c r="BF15" i="4"/>
  <c r="BF80" i="4"/>
  <c r="BF199" i="4"/>
  <c r="BF91" i="4"/>
  <c r="BF108" i="4"/>
  <c r="BF71" i="4"/>
  <c r="BF441" i="4"/>
  <c r="BF205" i="4"/>
  <c r="BF407" i="4"/>
  <c r="BF11" i="4"/>
  <c r="BF480" i="4"/>
  <c r="BF521" i="4"/>
  <c r="BF591" i="4"/>
  <c r="BF617" i="4"/>
  <c r="BF241" i="4"/>
  <c r="BF330" i="4"/>
  <c r="BF248" i="4"/>
  <c r="BF238" i="4"/>
  <c r="BF365" i="4"/>
  <c r="BF49" i="4"/>
  <c r="BF58" i="4"/>
  <c r="BF588" i="4"/>
  <c r="BF502" i="4"/>
  <c r="BF207" i="4"/>
  <c r="BF459" i="4"/>
  <c r="BF38" i="4"/>
  <c r="BF475" i="4"/>
  <c r="BF550" i="4"/>
  <c r="BF520" i="4"/>
  <c r="BF552" i="4"/>
  <c r="BF18" i="4"/>
  <c r="BF443" i="4"/>
  <c r="BF42" i="4"/>
  <c r="BF106" i="4"/>
  <c r="BF608" i="4"/>
  <c r="BF114" i="4"/>
  <c r="BF68" i="4"/>
  <c r="BF206" i="4"/>
  <c r="BF48" i="4"/>
  <c r="BF481" i="4"/>
  <c r="BF574" i="4"/>
  <c r="BF592" i="4"/>
  <c r="BF613" i="4"/>
  <c r="BF93" i="4"/>
  <c r="BF249" i="4"/>
  <c r="BF75" i="4"/>
  <c r="BF119" i="4"/>
  <c r="BF45" i="4"/>
  <c r="BF198" i="4"/>
  <c r="BF553" i="4"/>
  <c r="BF20" i="4"/>
  <c r="BF44" i="4"/>
  <c r="BF482" i="4"/>
  <c r="BF3" i="4"/>
  <c r="U662" i="4" l="1"/>
  <c r="U660" i="4"/>
  <c r="U665" i="4"/>
  <c r="U659" i="4"/>
  <c r="U658" i="4"/>
  <c r="U661" i="4"/>
  <c r="U663" i="4"/>
  <c r="U664" i="4"/>
  <c r="U641" i="4"/>
  <c r="U645" i="4"/>
  <c r="U642" i="4"/>
  <c r="U644" i="4"/>
  <c r="U643" i="4"/>
  <c r="U640" i="4"/>
  <c r="U639" i="4"/>
  <c r="U638" i="4"/>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U450" i="4" l="1"/>
  <c r="U447" i="4"/>
  <c r="U448" i="4"/>
  <c r="U444" i="4"/>
  <c r="U449" i="4"/>
  <c r="U442" i="4"/>
  <c r="U440" i="4"/>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 r="AK190" i="4"/>
  <c r="BF19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<sst xmlns="http://schemas.openxmlformats.org/spreadsheetml/2006/main" count="13330" uniqueCount="4299">
  <si>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</si>
  <si>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</si>
  <si>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</si>
  <si>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</si>
  <si>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</si>
  <si>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</si>
  <si>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</si>
  <si>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</si>
  <si>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</si>
  <si>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</si>
  <si>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</si>
  <si>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</si>
  <si>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</si>
  <si>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</si>
  <si>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</si>
  <si>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</si>
  <si>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</si>
  <si>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</si>
  <si>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</si>
  <si>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</si>
  <si>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</si>
  <si>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</si>
  <si>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</si>
  <si>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</si>
  <si>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</si>
  <si>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</si>
  <si>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</si>
  <si>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</si>
  <si>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</si>
  <si>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</si>
  <si>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</si>
  <si>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</si>
  <si>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</si>
  <si>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</si>
  <si>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</si>
  <si>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</si>
  <si>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</si>
  <si>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</si>
  <si>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</si>
  <si>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</si>
  <si>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</si>
  <si>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</si>
  <si>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</si>
  <si>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</si>
  <si>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</si>
  <si>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</si>
  <si>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</si>
  <si>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</si>
  <si>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</si>
  <si>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</si>
  <si>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</si>
  <si>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</si>
  <si>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</si>
  <si>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</si>
  <si>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</si>
  <si>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</si>
  <si>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</si>
  <si>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</si>
  <si>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</si>
  <si>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</si>
  <si>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</si>
  <si>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</si>
  <si>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</si>
  <si>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</si>
  <si>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</si>
  <si>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</si>
  <si>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</si>
  <si>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</si>
  <si>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</si>
  <si>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</si>
  <si>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</si>
  <si>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</si>
  <si>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</si>
  <si>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</si>
  <si>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</si>
  <si>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</si>
  <si>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</si>
  <si>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</si>
  <si>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</si>
  <si>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</si>
  <si>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</si>
  <si>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</si>
  <si>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</si>
  <si>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</si>
  <si>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</si>
  <si>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</si>
  <si>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</si>
  <si>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</si>
  <si>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</si>
  <si>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</si>
  <si>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</si>
  <si>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</si>
  <si>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</si>
  <si>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</si>
  <si>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</si>
  <si>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</si>
  <si>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</si>
  <si>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</si>
  <si>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</si>
  <si>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</si>
  <si>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</si>
  <si>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</si>
  <si>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</si>
  <si>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</si>
  <si>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</si>
  <si>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</si>
  <si>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</si>
  <si>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</si>
  <si>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</si>
  <si>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</si>
  <si>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</si>
  <si>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</si>
  <si>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</si>
  <si>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</si>
  <si>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</si>
  <si>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</si>
  <si>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</si>
  <si>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</si>
  <si>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</si>
  <si>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</si>
  <si>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</si>
  <si>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</si>
  <si>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</si>
  <si>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</si>
  <si>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</si>
  <si>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</si>
  <si>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</si>
  <si>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</si>
  <si>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</si>
  <si>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</si>
  <si>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</si>
  <si>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</si>
  <si>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</si>
  <si>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</si>
  <si>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</si>
  <si>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</si>
  <si>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</si>
  <si>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</si>
  <si>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</si>
  <si>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</si>
  <si>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</si>
  <si>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</si>
  <si>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</si>
  <si>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</si>
  <si>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</si>
  <si>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</si>
  <si>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</si>
  <si>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</si>
  <si>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</si>
  <si>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</si>
  <si>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</si>
  <si>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</si>
  <si>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</si>
  <si>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</si>
  <si>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</si>
  <si>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</si>
  <si>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</si>
  <si>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</si>
  <si>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</si>
  <si>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</si>
  <si>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</si>
  <si>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</si>
  <si>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</si>
  <si>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</si>
  <si>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</si>
  <si>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</si>
  <si>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</si>
  <si>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</si>
  <si>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</si>
  <si>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</si>
  <si>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</si>
  <si>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</si>
  <si>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</si>
  <si>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</si>
  <si>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</si>
  <si>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</si>
  <si>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</si>
  <si>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</si>
  <si>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</si>
  <si>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</si>
  <si>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</si>
  <si>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</si>
  <si>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</si>
  <si>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</si>
  <si>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</si>
  <si>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</si>
  <si>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</si>
  <si>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</si>
  <si>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</si>
  <si>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</si>
  <si>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</si>
  <si>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</si>
  <si>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</si>
  <si>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</si>
  <si>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</si>
  <si>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</si>
  <si>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</si>
  <si>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</si>
  <si>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</si>
  <si>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</si>
  <si>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</si>
  <si>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</si>
  <si>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</si>
  <si>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</si>
  <si>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</si>
  <si>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</si>
  <si>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</si>
  <si>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</si>
  <si>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</si>
  <si>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</si>
  <si>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</si>
  <si>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</si>
  <si>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</si>
  <si>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</si>
  <si>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</si>
  <si>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</si>
  <si>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</si>
  <si>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</si>
  <si>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</si>
  <si>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</si>
  <si>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</si>
  <si>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</si>
  <si>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</si>
  <si>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</si>
  <si>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</si>
  <si>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</si>
  <si>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</si>
  <si>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</si>
  <si>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</si>
  <si>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</si>
  <si>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</si>
  <si>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</si>
  <si>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</si>
  <si>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</si>
  <si>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</si>
  <si>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</si>
  <si>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</si>
  <si>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</si>
  <si>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</si>
  <si>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</si>
  <si>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</si>
  <si>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</si>
  <si>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</si>
  <si>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</si>
  <si>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</si>
  <si>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</si>
  <si>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</si>
  <si>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</si>
  <si>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</si>
  <si>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</si>
  <si>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</si>
  <si>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</si>
  <si>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</si>
  <si>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</si>
  <si>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</si>
  <si>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</si>
  <si>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</si>
  <si>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</si>
  <si>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</si>
  <si>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</si>
  <si>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</si>
  <si>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</si>
  <si>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</si>
  <si>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</si>
  <si>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</si>
  <si>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</si>
  <si>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</si>
  <si>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</si>
  <si>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</si>
  <si>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</si>
  <si>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</si>
  <si>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</si>
  <si>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</si>
  <si>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</si>
  <si>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</si>
  <si>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</si>
  <si>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</si>
  <si>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</si>
  <si>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</si>
  <si>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</si>
  <si>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</si>
  <si>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</si>
  <si>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</si>
  <si>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</si>
  <si>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</si>
  <si>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</si>
  <si>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</si>
  <si>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</si>
  <si>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</si>
  <si>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</si>
  <si>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</si>
  <si>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</si>
  <si>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</si>
  <si>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</si>
  <si>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</si>
  <si>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</si>
  <si>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</si>
  <si>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</si>
  <si>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</si>
  <si>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</si>
  <si>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</si>
  <si>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</si>
  <si>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</si>
  <si>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</si>
  <si>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</si>
  <si>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</si>
  <si>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</si>
  <si>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</si>
  <si>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</si>
  <si>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</si>
  <si>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</si>
  <si>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</si>
  <si>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</si>
  <si>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</si>
  <si>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</si>
  <si>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</si>
  <si>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</si>
  <si>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</si>
  <si>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</si>
  <si>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</si>
  <si>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</si>
  <si>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</si>
  <si>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</si>
  <si>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</si>
  <si>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</si>
  <si>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</si>
  <si>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</si>
  <si>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</si>
  <si>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</si>
  <si>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</si>
  <si>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</si>
  <si>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</si>
  <si>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</si>
  <si>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</si>
  <si>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</si>
  <si>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</si>
  <si>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</si>
  <si>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</si>
  <si>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</si>
  <si>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</si>
  <si>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</si>
  <si>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</si>
  <si>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</si>
  <si>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</si>
  <si>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</si>
  <si>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</si>
  <si>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</si>
  <si>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</si>
  <si>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</si>
  <si>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</si>
  <si>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</si>
  <si>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</si>
  <si>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</si>
  <si>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</si>
  <si>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</si>
  <si>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</si>
  <si>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</si>
  <si>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</si>
  <si>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</si>
  <si>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</si>
  <si>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</si>
  <si>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</si>
  <si>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</si>
  <si>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</si>
  <si>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</si>
  <si>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</si>
  <si>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</si>
  <si>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</si>
  <si>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</si>
  <si>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</si>
  <si>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</si>
  <si>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</si>
  <si>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</si>
  <si>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</si>
  <si>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</si>
  <si>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</si>
  <si>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</si>
  <si>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</si>
  <si>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</si>
  <si>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</si>
  <si>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</si>
  <si>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</si>
  <si>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</si>
  <si>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</si>
  <si>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</si>
  <si>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</si>
  <si>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</si>
  <si>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</si>
  <si>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</si>
  <si>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</si>
  <si>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</si>
  <si>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</si>
  <si>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</si>
  <si>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</si>
  <si>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</si>
  <si>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</si>
  <si>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</si>
  <si>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</si>
  <si>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</si>
  <si>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</si>
  <si>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</si>
  <si>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</si>
  <si>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</si>
  <si>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</si>
  <si>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</si>
  <si>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</si>
  <si>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</si>
  <si>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</si>
  <si>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</si>
  <si>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</si>
  <si>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</si>
  <si>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</si>
  <si>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</si>
  <si>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</si>
  <si>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</si>
  <si>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</si>
  <si>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</si>
  <si>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</si>
  <si>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</si>
  <si>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</si>
  <si>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</si>
  <si>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</si>
  <si>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</si>
  <si>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</si>
  <si>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</si>
  <si>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</si>
  <si>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</si>
  <si>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</si>
  <si>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</si>
  <si>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</si>
  <si>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</si>
  <si>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</si>
  <si>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</si>
  <si>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</si>
  <si>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</si>
  <si>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</si>
  <si>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</si>
  <si>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</si>
  <si>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</si>
  <si>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</si>
  <si>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</si>
  <si>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</si>
  <si>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</si>
  <si>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</si>
  <si>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</si>
  <si>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</si>
  <si>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</si>
  <si>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</si>
  <si>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</si>
  <si>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</si>
  <si>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</si>
  <si>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</si>
  <si>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</si>
  <si>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</si>
  <si>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</si>
  <si>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</si>
  <si>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</si>
  <si>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</si>
  <si>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</si>
  <si>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</si>
  <si>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</si>
  <si>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</si>
  <si>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</si>
  <si>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</si>
  <si>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</si>
  <si>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</si>
  <si>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</si>
  <si>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</si>
  <si>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</si>
  <si>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</si>
  <si>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</si>
  <si>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</si>
  <si>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</si>
  <si>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</si>
  <si>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</si>
  <si>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</si>
  <si>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</si>
  <si>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</si>
  <si>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</si>
  <si>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</si>
  <si>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</si>
  <si>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</si>
  <si>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</si>
  <si>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</si>
  <si>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</si>
  <si>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</si>
  <si>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</si>
  <si>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</si>
  <si>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</si>
  <si>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</si>
  <si>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</si>
  <si>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</si>
  <si>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</si>
  <si>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</si>
  <si>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</si>
  <si>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</si>
  <si>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</si>
  <si>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</si>
  <si>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</si>
  <si>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</si>
  <si>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</si>
  <si>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</si>
  <si>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</si>
  <si>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</si>
  <si>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</si>
  <si>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</si>
  <si>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</si>
  <si>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</si>
  <si>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</si>
  <si>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</si>
  <si>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</si>
  <si>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</si>
  <si>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</si>
  <si>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</si>
  <si>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</si>
  <si>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</si>
  <si>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</si>
  <si>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</si>
  <si>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</si>
  <si>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</si>
  <si>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</si>
  <si>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</si>
  <si>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</si>
  <si>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</si>
  <si>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</si>
  <si>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</si>
  <si>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</si>
  <si>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</si>
  <si>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</si>
  <si>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</si>
  <si>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</si>
  <si>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</si>
  <si>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</si>
  <si>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</si>
  <si>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</si>
  <si>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</si>
  <si>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</si>
  <si>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</si>
  <si>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</si>
  <si>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</si>
  <si>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</si>
  <si>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</si>
  <si>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</si>
  <si>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</si>
  <si>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</si>
  <si>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</si>
  <si>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</si>
  <si>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</si>
  <si>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</si>
  <si>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</si>
  <si>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</si>
  <si>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</si>
  <si>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</si>
  <si>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</si>
  <si>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</si>
  <si>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</si>
  <si>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</si>
  <si>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</si>
  <si>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</si>
  <si>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</si>
  <si>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</si>
  <si>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</si>
  <si>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</si>
  <si>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</si>
  <si>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</si>
  <si>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</si>
  <si>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</si>
  <si>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</si>
  <si>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</si>
  <si>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</si>
  <si>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</si>
  <si>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</si>
  <si>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</si>
  <si>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</si>
  <si>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</si>
  <si>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</si>
  <si>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</si>
  <si>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</si>
  <si>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</si>
  <si>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</si>
  <si>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</si>
  <si>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</si>
  <si>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</si>
  <si>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</si>
  <si>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</si>
  <si>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</si>
  <si>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</si>
  <si>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</si>
  <si>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</si>
  <si>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</si>
  <si>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</si>
  <si>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</si>
  <si>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</si>
  <si>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</si>
  <si>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</si>
  <si>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</si>
  <si>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</si>
  <si>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</si>
  <si>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</si>
  <si>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</si>
  <si>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</si>
  <si>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</si>
  <si>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</si>
  <si>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</si>
  <si>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</si>
  <si>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</si>
  <si>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</si>
  <si>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</si>
  <si>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</si>
  <si>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</si>
  <si>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</si>
  <si>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</si>
  <si>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</si>
  <si>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</si>
  <si>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</si>
  <si>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</si>
  <si>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</si>
  <si>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</si>
  <si>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</si>
  <si>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</si>
  <si>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</si>
  <si>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</si>
  <si>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</si>
  <si>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</si>
  <si>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</si>
  <si>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</si>
  <si>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</si>
  <si>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</si>
  <si>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</si>
  <si>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</si>
  <si>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</si>
  <si>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</si>
  <si>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</si>
  <si>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</si>
  <si>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</si>
  <si>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</si>
  <si>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</si>
  <si>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</si>
  <si>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</si>
  <si>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</si>
  <si>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</si>
  <si>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</si>
  <si>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</si>
  <si>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</si>
  <si>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</si>
  <si>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</si>
  <si>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</si>
  <si>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</si>
  <si>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</si>
  <si>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</si>
  <si>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</si>
  <si>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</si>
  <si>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</si>
  <si>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</si>
  <si>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</si>
  <si>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</si>
  <si>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</si>
  <si>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</si>
  <si>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</si>
  <si>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</si>
  <si>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</si>
  <si>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</si>
  <si>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</si>
  <si>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</si>
  <si>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</si>
  <si>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</si>
  <si>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</si>
  <si>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</si>
  <si>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</si>
  <si>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</si>
  <si>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</si>
  <si>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</si>
  <si>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</si>
  <si>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</si>
  <si>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</si>
  <si>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</si>
  <si>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</si>
  <si>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</si>
  <si>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</si>
  <si>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</si>
  <si>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</si>
  <si>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</si>
  <si>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</si>
  <si>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</si>
  <si>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</si>
  <si>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</si>
  <si>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</si>
  <si>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</si>
  <si>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</si>
  <si>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</si>
  <si>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</si>
  <si>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</si>
  <si>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</si>
  <si>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</si>
  <si>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</si>
  <si>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</si>
  <si>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</si>
  <si>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</si>
  <si>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</si>
  <si>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</si>
  <si>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</si>
  <si>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</si>
  <si>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</si>
  <si>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</si>
  <si>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</si>
  <si>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</si>
  <si>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</si>
  <si>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</si>
  <si>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</si>
  <si>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</si>
  <si>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</si>
  <si>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</si>
  <si>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</si>
  <si>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</si>
  <si>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</si>
  <si>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</si>
  <si>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</si>
  <si>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</si>
  <si>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</si>
  <si>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</si>
  <si>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</si>
  <si>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</si>
  <si>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</si>
  <si>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</si>
  <si>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</si>
  <si>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</si>
  <si>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</si>
  <si>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</si>
  <si>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</si>
  <si>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</si>
  <si>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</si>
  <si>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</si>
  <si>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</si>
  <si>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</si>
  <si>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</si>
  <si>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</si>
  <si>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</si>
  <si>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</si>
  <si>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</si>
  <si>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</si>
  <si>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</si>
  <si>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</si>
  <si>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</si>
  <si>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</si>
  <si>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</si>
  <si>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</si>
  <si>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</si>
  <si>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</si>
  <si>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</si>
  <si>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</si>
  <si>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</si>
  <si>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</si>
  <si>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</si>
  <si>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</si>
  <si>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</si>
  <si>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</si>
  <si>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</si>
  <si>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</si>
  <si>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</si>
  <si>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</si>
  <si>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</si>
  <si>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</si>
  <si>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</si>
  <si>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</si>
  <si>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</si>
  <si>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</si>
  <si>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</si>
  <si>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</si>
  <si>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</si>
  <si>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</si>
  <si>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</si>
  <si>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</si>
  <si>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</si>
  <si>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</si>
  <si>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</si>
  <si>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</si>
  <si>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</si>
  <si>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</si>
  <si>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</si>
  <si>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</si>
  <si>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</si>
  <si>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</si>
  <si>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</si>
  <si>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</si>
  <si>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</si>
  <si>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</si>
  <si>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</si>
  <si>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</si>
  <si>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</si>
  <si>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</si>
  <si>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</si>
  <si>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</si>
  <si>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</si>
  <si>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</si>
  <si>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</si>
  <si>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</si>
  <si>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</si>
  <si>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</si>
  <si>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</si>
  <si>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</si>
  <si>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</si>
  <si>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</si>
  <si>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</si>
  <si>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</si>
  <si>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</si>
  <si>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</si>
  <si>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</si>
  <si>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</si>
  <si>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</si>
  <si>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</si>
  <si>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</si>
  <si>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</si>
  <si>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</si>
  <si>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</si>
  <si>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</si>
  <si>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</si>
  <si>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</si>
  <si>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</si>
  <si>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</si>
  <si>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</si>
  <si>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</si>
  <si>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</si>
  <si>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</si>
  <si>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</si>
  <si>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</si>
  <si>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</si>
  <si>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</si>
  <si>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</si>
  <si>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</si>
  <si>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</si>
  <si>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</si>
  <si>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</si>
  <si>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</si>
  <si>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</si>
  <si>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</si>
  <si>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</si>
  <si>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</si>
  <si>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</si>
  <si>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</si>
  <si>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</si>
  <si>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</si>
  <si>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</si>
  <si>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</si>
  <si>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</si>
  <si>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</si>
  <si>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</si>
  <si>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</si>
  <si>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</si>
  <si>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</si>
  <si>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</si>
  <si>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</si>
  <si>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</si>
  <si>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</si>
  <si>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</si>
  <si>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</si>
  <si>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</si>
  <si>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</si>
  <si>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</si>
  <si>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</si>
  <si>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</si>
  <si>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</si>
  <si>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</si>
  <si>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</si>
  <si>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</si>
  <si>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</si>
  <si>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</si>
  <si>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</si>
  <si>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</si>
  <si>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</si>
  <si>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</si>
  <si>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</si>
  <si>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</si>
  <si>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</si>
  <si>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</si>
  <si>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</si>
  <si>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</si>
  <si>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</si>
  <si>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</si>
  <si>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</si>
  <si>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</si>
  <si>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</si>
  <si>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</si>
  <si>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</si>
  <si>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</si>
  <si>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</si>
  <si>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</si>
  <si>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</si>
  <si>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</si>
  <si>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</si>
  <si>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</si>
  <si>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</si>
  <si>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</si>
  <si>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</si>
  <si>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</si>
  <si>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</si>
  <si>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</si>
  <si>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</si>
  <si>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</si>
  <si>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</si>
  <si>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</si>
  <si>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</si>
  <si>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</si>
  <si>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</si>
  <si>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</si>
  <si>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</si>
  <si>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</si>
  <si>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</si>
  <si>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</si>
  <si>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</si>
  <si>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</si>
  <si>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</si>
  <si>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</si>
  <si>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</si>
  <si>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</si>
  <si>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</si>
  <si>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</si>
  <si>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</si>
  <si>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</si>
  <si>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</si>
  <si>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</si>
  <si>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</si>
  <si>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</si>
  <si>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</si>
  <si>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</si>
  <si>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</si>
  <si>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</si>
  <si>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</si>
  <si>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</si>
  <si>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</si>
  <si>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</si>
  <si>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</si>
  <si>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</si>
  <si>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</si>
  <si>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</si>
  <si>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</si>
  <si>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</si>
  <si>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</si>
  <si>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</si>
  <si>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</si>
  <si>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</si>
  <si>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</si>
  <si>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</si>
  <si>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</si>
  <si>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</si>
  <si>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</si>
  <si>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</si>
  <si>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</si>
  <si>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</si>
  <si>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</si>
  <si>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</si>
  <si>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</si>
  <si>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</si>
  <si>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</si>
  <si>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</si>
  <si>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</si>
  <si>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</si>
  <si>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</si>
  <si>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</si>
  <si>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</si>
  <si>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</si>
  <si>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</si>
  <si>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</si>
  <si>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</si>
  <si>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</si>
  <si>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</si>
  <si>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</si>
  <si>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</si>
  <si>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</si>
  <si>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</si>
  <si>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</si>
  <si>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</si>
  <si>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</si>
  <si>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</si>
  <si>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</si>
  <si>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</si>
  <si>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</si>
  <si>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</si>
  <si>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</si>
  <si>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</si>
  <si>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</si>
  <si>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</si>
  <si>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</si>
  <si>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</si>
  <si>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</si>
  <si>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</si>
  <si>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</si>
  <si>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</si>
  <si>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</si>
  <si>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</si>
  <si>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</si>
  <si>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</si>
  <si>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</si>
  <si>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</si>
  <si>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</si>
  <si>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</si>
  <si>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</si>
  <si>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</si>
  <si>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</si>
  <si>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</si>
  <si>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</si>
  <si>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</si>
  <si>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</si>
  <si>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</si>
  <si>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</si>
  <si>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</si>
  <si>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</si>
  <si>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</si>
  <si>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</si>
  <si>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</si>
  <si>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</si>
  <si>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</si>
  <si>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</si>
  <si>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</si>
  <si>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</si>
  <si>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</si>
  <si>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</si>
  <si>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</si>
  <si>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</si>
  <si>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</si>
  <si>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</si>
  <si>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</si>
  <si>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</si>
  <si>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</si>
  <si>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</si>
  <si>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</si>
  <si>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</si>
  <si>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</si>
  <si>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</si>
  <si>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</si>
  <si>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</si>
  <si>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</si>
  <si>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</si>
  <si>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</si>
  <si>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</si>
  <si>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</si>
  <si>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</si>
  <si>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</si>
  <si>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</si>
  <si>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</si>
  <si>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</si>
  <si>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</si>
  <si>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</si>
  <si>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</si>
  <si>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</si>
  <si>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</si>
  <si>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</si>
  <si>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</si>
  <si>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</si>
  <si>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</si>
  <si>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</si>
  <si>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</si>
  <si>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</si>
  <si>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</si>
  <si>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</si>
  <si>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</si>
  <si>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</si>
  <si>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</si>
  <si>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</si>
  <si>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</si>
  <si>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</si>
  <si>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</si>
  <si>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</si>
  <si>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</si>
  <si>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</si>
  <si>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</si>
  <si>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</si>
  <si>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</si>
  <si>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</si>
  <si>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</si>
  <si>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</si>
  <si>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</si>
  <si>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</si>
  <si>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</si>
  <si>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</si>
  <si>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</si>
  <si>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</si>
  <si>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</si>
  <si>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</si>
  <si>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</si>
  <si>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</si>
  <si>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</si>
  <si>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</si>
  <si>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</si>
  <si>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</si>
  <si>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</si>
  <si>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</si>
  <si>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</si>
  <si>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</si>
  <si>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</si>
  <si>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</si>
  <si>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</si>
  <si>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</si>
  <si>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</si>
  <si>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</si>
  <si>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</si>
  <si>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</si>
  <si>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</si>
  <si>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</si>
  <si>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</si>
  <si>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</si>
  <si>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</si>
  <si>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</si>
  <si>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</si>
  <si>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</si>
  <si>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</si>
  <si>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</si>
  <si>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</si>
  <si>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</si>
  <si>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</si>
  <si>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</si>
  <si>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</si>
  <si>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</si>
  <si>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</si>
  <si>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</si>
  <si>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</si>
  <si>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</si>
  <si>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</si>
  <si>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</si>
  <si>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</si>
  <si>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</si>
  <si>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</si>
  <si>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</si>
  <si>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</si>
  <si>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</si>
  <si>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</si>
  <si>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</si>
  <si>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</si>
  <si>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</si>
  <si>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</si>
  <si>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</si>
  <si>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</si>
  <si>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</si>
  <si>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</si>
  <si>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</si>
  <si>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</si>
  <si>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</si>
  <si>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</si>
  <si>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</si>
  <si>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</si>
  <si>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</si>
  <si>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</si>
  <si>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</si>
  <si>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</si>
  <si>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</si>
  <si>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</si>
  <si>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</si>
  <si>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</si>
  <si>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</si>
  <si>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</si>
  <si>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</si>
  <si>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</si>
  <si>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</si>
  <si>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</si>
  <si>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</si>
  <si>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</si>
  <si>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</si>
  <si>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</si>
  <si>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</si>
  <si>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</si>
  <si>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</si>
  <si>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</si>
  <si>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</si>
  <si>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</si>
  <si>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</si>
  <si>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</si>
  <si>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</si>
  <si>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</si>
  <si>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</si>
  <si>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</si>
  <si>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</si>
  <si>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</si>
  <si>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</si>
  <si>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</si>
  <si>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</si>
  <si>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</si>
  <si>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</si>
  <si>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</si>
  <si>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</si>
  <si>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</si>
  <si>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</si>
  <si>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</si>
  <si>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</si>
  <si>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</si>
  <si>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</si>
  <si>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</si>
  <si>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</si>
  <si>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</si>
  <si>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</si>
  <si>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</si>
  <si>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</si>
  <si>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</si>
  <si>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</si>
  <si>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</si>
  <si>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</si>
  <si>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</si>
  <si>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</si>
  <si>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</si>
  <si>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</si>
  <si>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</si>
  <si>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</si>
  <si>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</si>
  <si>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</si>
  <si>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</si>
  <si>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</si>
  <si>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</si>
  <si>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</si>
  <si>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</si>
  <si>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</si>
  <si>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</si>
  <si>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</si>
  <si>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</si>
  <si>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</si>
  <si>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</si>
  <si>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</si>
  <si>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</si>
  <si>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</si>
  <si>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</si>
  <si>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</si>
  <si>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</si>
  <si>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</si>
  <si>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</si>
  <si>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</si>
  <si>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</si>
  <si>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</si>
  <si>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</si>
  <si>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</si>
  <si>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</si>
  <si>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</si>
  <si>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</si>
  <si>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</si>
  <si>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</si>
  <si>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</si>
  <si>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</si>
  <si>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</si>
  <si>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</si>
  <si>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</si>
  <si>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</si>
  <si>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</si>
  <si>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</si>
  <si>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</si>
  <si>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</si>
  <si>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</si>
  <si>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</si>
  <si>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</si>
  <si>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</si>
  <si>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</si>
  <si>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</si>
  <si>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</si>
  <si>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</si>
  <si>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</si>
  <si>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</si>
  <si>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</si>
  <si>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</si>
  <si>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</si>
  <si>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</si>
  <si>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</si>
  <si>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</si>
  <si>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</si>
  <si>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</si>
  <si>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</si>
  <si>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</si>
  <si>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</si>
  <si>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</si>
  <si>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</si>
  <si>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</si>
  <si>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</si>
  <si>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</si>
  <si>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</si>
  <si>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</si>
  <si>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</si>
  <si>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</si>
  <si>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</si>
  <si>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</si>
  <si>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</si>
  <si>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</si>
  <si>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</si>
  <si>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</si>
  <si>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</si>
  <si>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</si>
  <si>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</si>
  <si>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</si>
  <si>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</si>
  <si>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</si>
  <si>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</si>
  <si>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</si>
  <si>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</si>
  <si>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</si>
  <si>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</si>
  <si>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</si>
  <si>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</si>
  <si>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</si>
  <si>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</si>
  <si>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</si>
  <si>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</si>
  <si>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</si>
  <si>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</si>
  <si>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</si>
  <si>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</si>
  <si>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</si>
  <si>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</si>
  <si>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</si>
  <si>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</si>
  <si>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</si>
  <si>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</si>
  <si>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</si>
  <si>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</si>
  <si>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</si>
  <si>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</si>
  <si>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</si>
  <si>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</si>
  <si>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</si>
  <si>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</si>
  <si>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</si>
  <si>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</si>
  <si>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</si>
  <si>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</si>
  <si>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</si>
  <si>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</si>
  <si>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</si>
  <si>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</si>
  <si>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</si>
  <si>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</si>
  <si>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</si>
  <si>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</si>
  <si>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</si>
  <si>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</si>
  <si>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</si>
  <si>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</si>
  <si>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</si>
  <si>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</si>
  <si>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</si>
  <si>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</si>
  <si>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</si>
  <si>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</si>
  <si>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</si>
  <si>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</si>
  <si>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</si>
  <si>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</si>
  <si>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</si>
  <si>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</si>
  <si>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</si>
  <si>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</si>
  <si>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</si>
  <si>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</si>
  <si>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</si>
  <si>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</si>
  <si>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</si>
  <si>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</si>
  <si>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</si>
  <si>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</si>
  <si>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</si>
  <si>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</si>
  <si>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</si>
  <si>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</si>
  <si>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</si>
  <si>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</si>
  <si>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</si>
  <si>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</si>
  <si>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</si>
  <si>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</si>
  <si>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</si>
  <si>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</si>
  <si>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</si>
  <si>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</si>
  <si>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</si>
  <si>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</si>
  <si>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</si>
  <si>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</si>
  <si>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</si>
  <si>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</si>
  <si>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</si>
  <si>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</si>
  <si>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</si>
  <si>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</si>
  <si>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</si>
  <si>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</si>
  <si>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</si>
  <si>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</si>
  <si>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</si>
  <si>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</si>
  <si>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</si>
  <si>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</si>
  <si>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</si>
  <si>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</si>
  <si>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</si>
  <si>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</si>
  <si>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</si>
  <si>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</si>
  <si>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</si>
  <si>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</si>
  <si>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</si>
  <si>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</si>
  <si>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</si>
  <si>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</si>
  <si>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</si>
  <si>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</si>
  <si>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</si>
  <si>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</si>
  <si>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</si>
  <si>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</si>
  <si>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</si>
  <si>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</si>
  <si>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</si>
  <si>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</si>
  <si>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</si>
  <si>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</si>
  <si>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</si>
  <si>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</si>
  <si>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</si>
  <si>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</si>
  <si>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</si>
  <si>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</si>
  <si>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</si>
  <si>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</si>
  <si>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</si>
  <si>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</si>
  <si>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</si>
  <si>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</si>
  <si>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</si>
  <si>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</si>
  <si>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</si>
  <si>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</si>
  <si>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</si>
  <si>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</si>
  <si>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</si>
  <si>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</si>
  <si>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</si>
  <si>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</si>
  <si>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</si>
  <si>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</si>
  <si>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</si>
  <si>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</si>
  <si>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</si>
  <si>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</si>
  <si>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</si>
  <si>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</si>
  <si>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</si>
  <si>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</si>
  <si>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</si>
  <si>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</si>
  <si>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</si>
  <si>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</si>
  <si>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</si>
  <si>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</si>
  <si>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</si>
  <si>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</si>
  <si>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</si>
  <si>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</si>
  <si>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</si>
  <si>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</si>
  <si>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</si>
  <si>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</si>
  <si>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</si>
  <si>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</si>
  <si>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</si>
  <si>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</si>
  <si>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</si>
  <si>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</si>
  <si>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</si>
  <si>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</si>
  <si>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</si>
  <si>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</si>
  <si>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</si>
  <si>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</si>
  <si>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</si>
  <si>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</si>
  <si>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</si>
  <si>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</si>
  <si>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</si>
  <si>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</si>
  <si>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</si>
  <si>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</si>
  <si>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</si>
  <si>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</si>
  <si>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</si>
  <si>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</si>
  <si>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</si>
  <si>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</si>
  <si>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</si>
  <si>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</si>
  <si>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</si>
  <si>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</si>
  <si>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</si>
  <si>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</si>
  <si>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</si>
  <si>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</si>
  <si>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</si>
  <si>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</si>
  <si>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</si>
  <si>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</si>
  <si>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</si>
  <si>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</si>
  <si>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</si>
  <si>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</si>
  <si>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</si>
  <si>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</si>
  <si>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</si>
  <si>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</si>
  <si>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</si>
  <si>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</si>
  <si>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</si>
  <si>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</si>
  <si>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</si>
  <si>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</si>
  <si>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</si>
  <si>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</si>
  <si>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</si>
  <si>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</si>
  <si>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</si>
  <si>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</si>
  <si>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</si>
  <si>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</si>
  <si>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</si>
  <si>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</si>
  <si>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</si>
  <si>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</si>
  <si>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</si>
  <si>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</si>
  <si>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</si>
  <si>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</si>
  <si>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</si>
  <si>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</si>
  <si>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</si>
  <si>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</si>
  <si>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</si>
  <si>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</si>
  <si>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</si>
  <si>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</si>
  <si>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</si>
  <si>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</si>
  <si>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</si>
  <si>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</si>
  <si>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</si>
  <si>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</si>
  <si>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</si>
  <si>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</si>
  <si>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</si>
  <si>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</si>
  <si>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</si>
  <si>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</si>
  <si>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</si>
  <si>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</si>
  <si>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</si>
  <si>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</si>
  <si>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</si>
  <si>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</si>
  <si>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</si>
  <si>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</si>
  <si>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</si>
  <si>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</si>
  <si>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</si>
  <si>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</si>
  <si>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</si>
  <si>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</si>
  <si>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</si>
  <si>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</si>
  <si>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</si>
  <si>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</si>
  <si>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</si>
  <si>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</si>
  <si>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</si>
  <si>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</si>
  <si>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</si>
  <si>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</si>
  <si>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</si>
  <si>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</si>
  <si>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</si>
  <si>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</si>
  <si>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</si>
  <si>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</si>
  <si>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</si>
  <si>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</si>
  <si>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</si>
  <si>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</si>
  <si>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</si>
  <si>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</si>
  <si>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</si>
  <si>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</si>
  <si>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</si>
  <si>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</si>
  <si>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</si>
  <si>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</si>
  <si>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</si>
  <si>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</si>
  <si>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</si>
  <si>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</si>
  <si>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</si>
  <si>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</si>
  <si>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</si>
  <si>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</si>
  <si>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</si>
  <si>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</si>
  <si>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</si>
  <si>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</si>
  <si>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</si>
  <si>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</si>
  <si>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</si>
  <si>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</si>
  <si>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</si>
  <si>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</si>
  <si>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</si>
  <si>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</si>
  <si>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</si>
  <si>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</si>
  <si>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</si>
  <si>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</si>
  <si>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</si>
  <si>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</si>
  <si>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</si>
  <si>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</si>
  <si>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</si>
  <si>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</si>
  <si>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</si>
  <si>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</si>
  <si>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</si>
  <si>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</si>
  <si>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</si>
  <si>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</si>
  <si>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</si>
  <si>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</si>
  <si>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</si>
  <si>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</si>
  <si>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</si>
  <si>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</si>
  <si>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</si>
  <si>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</si>
  <si>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</si>
  <si>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</si>
  <si>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</si>
  <si>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</si>
  <si>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</si>
  <si>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</si>
  <si>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</si>
  <si>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</si>
  <si>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</si>
  <si>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</si>
  <si>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</si>
  <si>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</si>
  <si>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</si>
  <si>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</si>
  <si>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</si>
  <si>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</si>
  <si>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</si>
  <si>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</si>
  <si>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</si>
  <si>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</si>
  <si>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</si>
  <si>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</si>
  <si>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</si>
  <si>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</si>
  <si>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</si>
  <si>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</si>
  <si>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</si>
  <si>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</si>
  <si>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</si>
  <si>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</si>
  <si>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</si>
  <si>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</si>
  <si>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</si>
  <si>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</si>
  <si>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</si>
  <si>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</si>
  <si>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</si>
  <si>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</si>
  <si>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</si>
  <si>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</si>
  <si>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</si>
  <si>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</si>
  <si>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</si>
  <si>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</si>
  <si>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</si>
  <si>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</si>
  <si>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</si>
  <si>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</si>
  <si>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</si>
  <si>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</si>
  <si>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</si>
  <si>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</si>
  <si>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</si>
  <si>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</si>
  <si>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</si>
  <si>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</si>
  <si>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</si>
  <si>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</si>
  <si>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</si>
  <si>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</si>
  <si>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</si>
  <si>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</si>
  <si>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</si>
  <si>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</si>
  <si>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</si>
  <si>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</si>
  <si>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</si>
  <si>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</si>
  <si>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</si>
  <si>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</si>
  <si>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</si>
  <si>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</si>
  <si>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</si>
  <si>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</si>
  <si>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</si>
  <si>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</si>
  <si>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</si>
  <si>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</si>
  <si>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</si>
  <si>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</si>
  <si>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</si>
  <si>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</si>
  <si>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</si>
  <si>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</si>
  <si>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</si>
  <si>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</si>
  <si>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</si>
  <si>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</si>
  <si>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</si>
  <si>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</si>
  <si>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</si>
  <si>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</si>
  <si>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</si>
  <si>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</si>
  <si>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</si>
  <si>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</si>
  <si>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</si>
  <si>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</si>
  <si>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</si>
  <si>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</si>
  <si>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</si>
  <si>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</si>
  <si>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</si>
  <si>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</si>
  <si>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</si>
  <si>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</si>
  <si>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</si>
  <si>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</si>
  <si>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</si>
  <si>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</si>
  <si>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</si>
  <si>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</si>
  <si>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</si>
  <si>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</si>
  <si>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</si>
  <si>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</si>
  <si>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</si>
  <si>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</si>
  <si>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</si>
  <si>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</si>
  <si>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</si>
  <si>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</si>
  <si>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</si>
  <si>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</si>
  <si>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</si>
  <si>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</si>
  <si>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</si>
  <si>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</si>
  <si>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</si>
  <si>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</si>
  <si>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</si>
  <si>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</si>
  <si>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</si>
  <si>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</si>
  <si>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</si>
  <si>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</si>
  <si>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</si>
  <si>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</si>
  <si>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</si>
  <si>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</si>
  <si>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</si>
  <si>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</si>
  <si>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</si>
  <si>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</si>
  <si>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</si>
  <si>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</si>
  <si>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</si>
  <si>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</si>
  <si>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</si>
  <si>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</si>
  <si>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</si>
  <si>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</si>
  <si>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</si>
  <si>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</si>
  <si>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</si>
  <si>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</si>
  <si>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</si>
  <si>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</si>
  <si>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</si>
  <si>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</si>
  <si>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</si>
  <si>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</si>
  <si>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</si>
  <si>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</si>
  <si>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</si>
  <si>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</si>
  <si>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</si>
  <si>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</si>
  <si>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</si>
  <si>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</si>
  <si>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</si>
  <si>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</si>
  <si>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</si>
  <si>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</si>
  <si>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</si>
  <si>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</si>
  <si>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</si>
  <si>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</si>
  <si>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</si>
  <si>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</si>
  <si>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</si>
  <si>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</si>
  <si>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</si>
  <si>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</si>
  <si>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</si>
  <si>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</si>
  <si>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</si>
  <si>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</si>
  <si>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</si>
  <si>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</si>
  <si>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</si>
  <si>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</si>
  <si>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</si>
  <si>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</si>
  <si>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</si>
  <si>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</si>
  <si>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</si>
  <si>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</si>
  <si>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</si>
  <si>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</si>
  <si>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</si>
  <si>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</si>
  <si>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</si>
  <si>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</si>
  <si>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</si>
  <si>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</si>
  <si>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</si>
  <si>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</si>
  <si>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</si>
  <si>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</si>
  <si>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</si>
  <si>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</si>
  <si>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</si>
  <si>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</si>
  <si>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</si>
  <si>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</si>
  <si>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</si>
  <si>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</si>
  <si>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</si>
  <si>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</si>
  <si>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</si>
  <si>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</si>
  <si>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</si>
  <si>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</si>
  <si>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</si>
  <si>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</si>
  <si>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</si>
  <si>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</si>
  <si>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</si>
  <si>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</si>
  <si>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</si>
  <si>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</si>
  <si>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</si>
  <si>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</si>
  <si>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</si>
  <si>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</si>
  <si>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</si>
  <si>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</si>
  <si>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</si>
  <si>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</si>
  <si>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</si>
  <si>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</si>
  <si>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</si>
  <si>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</si>
  <si>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</si>
  <si>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</si>
  <si>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</si>
  <si>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</si>
  <si>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</si>
  <si>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</si>
  <si>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</si>
  <si>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</si>
  <si>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</si>
  <si>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</si>
  <si>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</si>
  <si>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</si>
  <si>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</si>
  <si>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</si>
  <si>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</si>
  <si>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</si>
  <si>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</si>
  <si>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</si>
  <si>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</si>
  <si>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</si>
  <si>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</si>
  <si>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</si>
  <si>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</si>
  <si>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</si>
  <si>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</si>
  <si>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</si>
  <si>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</si>
  <si>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</si>
  <si>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</si>
  <si>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</si>
  <si>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</si>
  <si>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</si>
  <si>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</si>
  <si>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</si>
  <si>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</si>
  <si>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</si>
  <si>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</si>
  <si>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</si>
  <si>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</si>
  <si>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</si>
  <si>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</si>
  <si>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</si>
  <si>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</si>
  <si>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</si>
  <si>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</si>
  <si>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</si>
  <si>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</si>
  <si>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</si>
  <si>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</si>
  <si>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</si>
  <si>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</si>
  <si>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</si>
  <si>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</si>
  <si>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</si>
  <si>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</si>
  <si>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</si>
  <si>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</si>
  <si>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</si>
  <si>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</si>
  <si>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</si>
  <si>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</si>
  <si>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</si>
  <si>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</si>
  <si>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</si>
  <si>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</si>
  <si>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</si>
  <si>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</si>
  <si>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</si>
  <si>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</si>
  <si>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</si>
  <si>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</si>
  <si>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</si>
  <si>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</si>
  <si>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</si>
  <si>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</si>
  <si>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</si>
  <si>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</si>
  <si>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</si>
  <si>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</si>
  <si>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</si>
  <si>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</si>
  <si>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</si>
  <si>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</si>
  <si>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</si>
  <si>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</si>
  <si>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</si>
  <si>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</si>
  <si>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</si>
  <si>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</si>
  <si>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</si>
  <si>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</si>
  <si>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</si>
  <si>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</si>
  <si>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</si>
  <si>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</si>
  <si>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</si>
  <si>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</si>
  <si>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</si>
  <si>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</si>
  <si>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</si>
  <si>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</si>
  <si>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</si>
  <si>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</si>
  <si>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</si>
  <si>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</si>
  <si>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</si>
  <si>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</si>
  <si>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</si>
  <si>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</si>
  <si>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</si>
  <si>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</si>
  <si>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</si>
  <si>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</si>
  <si>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</si>
  <si>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</si>
  <si>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</si>
  <si>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</si>
  <si>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</si>
  <si>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</si>
  <si>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</si>
  <si>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</si>
  <si>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</si>
  <si>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</si>
  <si>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</si>
  <si>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</si>
  <si>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</si>
  <si>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</si>
  <si>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</si>
  <si>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</si>
  <si>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</si>
  <si>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</si>
  <si>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</si>
  <si>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</si>
  <si>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</si>
  <si>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</si>
  <si>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</si>
  <si>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</si>
  <si>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</si>
  <si>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</si>
  <si>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</si>
  <si>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</si>
  <si>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</si>
  <si>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</si>
  <si>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</si>
  <si>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</si>
  <si>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</si>
  <si>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</si>
  <si>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</si>
  <si>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</si>
  <si>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</si>
  <si>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</si>
  <si>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</si>
  <si>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</si>
  <si>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</si>
  <si>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</si>
  <si>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</si>
  <si>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</si>
  <si>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</si>
  <si>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</si>
  <si>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</si>
  <si>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</si>
  <si>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</si>
  <si>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</si>
  <si>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</si>
  <si>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</si>
  <si>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</si>
  <si>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</si>
  <si>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</si>
  <si>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</si>
  <si>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</si>
  <si>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</si>
  <si>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</si>
  <si>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</si>
  <si>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</si>
  <si>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</si>
  <si>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</si>
  <si>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</si>
  <si>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</si>
  <si>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</si>
  <si>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</si>
  <si>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</si>
  <si>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</si>
  <si>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</si>
  <si>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</si>
  <si>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</si>
  <si>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</si>
  <si>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</si>
  <si>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</si>
  <si>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</si>
  <si>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</si>
  <si>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</si>
  <si>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</si>
  <si>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</si>
  <si>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</si>
  <si>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</si>
  <si>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</si>
  <si>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</si>
  <si>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</si>
  <si>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</si>
  <si>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</si>
  <si>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</si>
  <si>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</si>
  <si>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</si>
  <si>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</si>
  <si>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</si>
  <si>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</si>
  <si>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</si>
  <si>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</si>
  <si>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</si>
  <si>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</si>
  <si>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</si>
  <si>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</si>
  <si>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</si>
  <si>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</si>
  <si>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</si>
  <si>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</si>
  <si>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</si>
  <si>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</si>
  <si>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</si>
  <si>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</si>
  <si>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</si>
  <si>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</si>
  <si>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</si>
  <si>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</si>
  <si>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</si>
  <si>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</si>
  <si>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</si>
  <si>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</si>
  <si>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</si>
  <si>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</si>
  <si>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</si>
  <si>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</si>
  <si>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</si>
  <si>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</si>
  <si>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</si>
  <si>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</si>
  <si>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</si>
  <si>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</si>
  <si>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</si>
  <si>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</si>
  <si>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</si>
  <si>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</si>
  <si>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</si>
  <si>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</si>
  <si>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</si>
  <si>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</si>
  <si>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</si>
  <si>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</si>
  <si>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</si>
  <si>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</si>
  <si>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</si>
  <si>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</si>
  <si>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</si>
  <si>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</si>
  <si>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</si>
  <si>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</si>
  <si>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</si>
  <si>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</si>
  <si>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</si>
  <si>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</si>
  <si>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</si>
  <si>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</si>
  <si>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</si>
  <si>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</si>
  <si>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</si>
  <si>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</si>
  <si>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</si>
  <si>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</si>
  <si>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</si>
  <si>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</si>
  <si>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</si>
  <si>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</si>
  <si>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</si>
  <si>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</si>
  <si>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</si>
  <si>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</si>
  <si>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</si>
  <si>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</si>
  <si>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</si>
  <si>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</si>
  <si>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</si>
  <si>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</si>
  <si>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</si>
  <si>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</si>
  <si>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</si>
  <si>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</si>
  <si>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</si>
  <si>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</si>
  <si>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</si>
  <si>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</si>
  <si>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</si>
  <si>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</si>
  <si>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</si>
  <si>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</si>
  <si>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</si>
  <si>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</si>
  <si>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</si>
  <si>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</si>
  <si>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</si>
  <si>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</si>
  <si>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</si>
  <si>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</si>
  <si>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</si>
  <si>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</si>
  <si>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</si>
  <si>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</si>
  <si>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</si>
  <si>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</si>
  <si>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</si>
  <si>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</si>
  <si>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</si>
  <si>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</si>
  <si>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</si>
  <si>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</si>
  <si>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</si>
  <si>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</si>
  <si>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</si>
  <si>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</si>
  <si>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</si>
  <si>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</si>
  <si>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</si>
  <si>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</si>
  <si>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</si>
  <si>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</si>
  <si>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</si>
  <si>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</si>
  <si>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</si>
  <si>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</si>
  <si>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</si>
  <si>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</si>
  <si>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</si>
  <si>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</si>
  <si>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</si>
  <si>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</si>
  <si>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</si>
  <si>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</si>
  <si>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</si>
  <si>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</si>
  <si>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</si>
  <si>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</si>
  <si>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</si>
  <si>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</si>
  <si>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</si>
  <si>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</si>
  <si>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</si>
  <si>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</si>
  <si>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</si>
  <si>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</si>
  <si>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</si>
  <si>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</si>
  <si>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</si>
  <si>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</si>
  <si>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</si>
  <si>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</si>
  <si>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</si>
  <si>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</si>
  <si>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</si>
  <si>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</si>
  <si>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</si>
  <si>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</si>
  <si>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</si>
  <si>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</si>
  <si>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</si>
  <si>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</si>
  <si>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</si>
  <si>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</si>
  <si>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</si>
  <si>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</si>
  <si>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</si>
  <si>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</si>
  <si>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</si>
  <si>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</si>
  <si>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</si>
  <si>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</si>
  <si>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</si>
  <si>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</si>
  <si>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</si>
  <si>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</si>
  <si>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</si>
  <si>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</si>
  <si>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</si>
  <si>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</si>
  <si>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</si>
  <si>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</si>
  <si>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</si>
  <si>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</si>
  <si>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</si>
  <si>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</si>
  <si>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</si>
  <si>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</si>
  <si>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</si>
  <si>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</si>
  <si>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</si>
  <si>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</si>
  <si>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</si>
  <si>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</si>
  <si>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</si>
  <si>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</si>
  <si>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</si>
  <si>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</si>
  <si>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</si>
  <si>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</si>
  <si>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</si>
  <si>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</si>
  <si>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</si>
  <si>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</si>
  <si>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</si>
  <si>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</si>
  <si>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</si>
  <si>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</si>
  <si>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</si>
  <si>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</si>
  <si>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</si>
  <si>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</si>
  <si>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</si>
  <si>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</si>
  <si>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</si>
  <si>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</si>
  <si>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</si>
  <si>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</si>
  <si>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</si>
  <si>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</si>
  <si>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</si>
  <si>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</si>
  <si>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</si>
  <si>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</si>
  <si>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</si>
  <si>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</si>
  <si>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</si>
  <si>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</si>
  <si>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</si>
  <si>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</si>
  <si>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</si>
  <si>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</si>
  <si>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</si>
  <si>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</si>
  <si>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</si>
  <si>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</si>
  <si>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</si>
  <si>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</si>
  <si>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</si>
  <si>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</si>
  <si>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</si>
  <si>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</si>
  <si>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</si>
  <si>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</si>
  <si>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</si>
  <si>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</si>
  <si>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</si>
  <si>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</si>
  <si>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</si>
  <si>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</si>
  <si>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</si>
  <si>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</si>
  <si>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</si>
  <si>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</si>
  <si>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</si>
  <si>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</si>
  <si>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</si>
  <si>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</si>
  <si>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</si>
  <si>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</si>
  <si>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</si>
  <si>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</si>
  <si>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</si>
  <si>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</si>
  <si>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</si>
  <si>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</si>
  <si>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</si>
  <si>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</si>
  <si>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</si>
  <si>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</si>
  <si>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</si>
  <si>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</si>
  <si>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</si>
  <si>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</si>
  <si>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</si>
  <si>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</si>
  <si>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</si>
  <si>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</si>
  <si>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</si>
  <si>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</si>
  <si>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</si>
  <si>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</si>
  <si>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</si>
  <si>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</si>
  <si>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</si>
  <si>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</si>
  <si>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</si>
  <si>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</si>
  <si>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</si>
  <si>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</si>
  <si>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</si>
  <si>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</si>
  <si>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</si>
  <si>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</si>
  <si>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</si>
  <si>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</si>
  <si>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</si>
  <si>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</si>
  <si>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</si>
  <si>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</si>
  <si>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</si>
  <si>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</si>
  <si>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</si>
  <si>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</si>
  <si>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</si>
  <si>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</si>
  <si>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</si>
  <si>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</si>
  <si>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</si>
  <si>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</si>
  <si>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</si>
  <si>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</si>
  <si>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</si>
  <si>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</si>
  <si>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</si>
  <si>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</si>
  <si>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</si>
  <si>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</si>
  <si>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</si>
  <si>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</si>
  <si>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</si>
  <si>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</si>
  <si>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</si>
  <si>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</si>
  <si>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</si>
  <si>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</si>
  <si>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</si>
  <si>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</si>
  <si>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</si>
  <si>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</si>
  <si>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</si>
  <si>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</si>
  <si>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</si>
  <si>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</si>
  <si>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</si>
  <si>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</si>
  <si>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</si>
  <si>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</si>
  <si>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</si>
  <si>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</si>
  <si>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</si>
  <si>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</si>
  <si>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</si>
  <si>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</si>
  <si>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</si>
  <si>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</si>
  <si>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</si>
  <si>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</si>
  <si>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</si>
  <si>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</si>
  <si>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</si>
  <si>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</si>
  <si>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</si>
  <si>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</si>
  <si>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</si>
  <si>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</si>
  <si>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</si>
  <si>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</si>
  <si>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</si>
  <si>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</si>
  <si>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</si>
  <si>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</si>
  <si>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</si>
  <si>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</si>
  <si>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</si>
  <si>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</si>
  <si>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</si>
  <si>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</si>
  <si>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</si>
  <si>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</si>
  <si>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</si>
  <si>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</si>
  <si>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</si>
  <si>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</si>
  <si>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</si>
  <si>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</si>
  <si>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</si>
  <si>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</si>
  <si>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</si>
  <si>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</si>
  <si>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</si>
  <si>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</si>
  <si>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</si>
  <si>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</si>
  <si>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</si>
  <si>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</si>
  <si>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</si>
  <si>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</si>
  <si>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</si>
  <si>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</si>
  <si>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</si>
  <si>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</si>
  <si>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</si>
  <si>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</si>
  <si>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</si>
  <si>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</si>
  <si>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</si>
  <si>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</si>
  <si>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</si>
  <si>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</si>
  <si>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</si>
  <si>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</si>
  <si>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</si>
  <si>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</si>
  <si>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</si>
  <si>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</si>
  <si>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</si>
  <si>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</si>
  <si>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</si>
  <si>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</si>
  <si>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</si>
  <si>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</si>
  <si>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</si>
  <si>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</si>
  <si>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</si>
  <si>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</si>
  <si>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</si>
  <si>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</si>
  <si>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</si>
  <si>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</si>
  <si>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</si>
  <si>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</si>
  <si>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</si>
  <si>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</si>
  <si>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</si>
  <si>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</si>
  <si>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</si>
  <si>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</si>
  <si>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</si>
  <si>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</si>
  <si>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</si>
  <si>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</si>
  <si>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</si>
  <si>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</si>
  <si>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</si>
  <si>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</si>
  <si>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</si>
  <si>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</si>
  <si>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</si>
  <si>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</si>
  <si>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</si>
  <si>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</si>
  <si>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</si>
  <si>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</si>
  <si>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</si>
  <si>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</si>
  <si>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</si>
  <si>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</si>
  <si>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</si>
  <si>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</si>
  <si>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</si>
  <si>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</si>
  <si>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</si>
  <si>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</si>
  <si>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</si>
  <si>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</si>
  <si>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</si>
  <si>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</si>
  <si>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</si>
  <si>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</si>
  <si>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</si>
  <si>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</si>
  <si>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</si>
  <si>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</si>
  <si>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</si>
  <si>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</si>
  <si>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</si>
  <si>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</si>
  <si>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</si>
  <si>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</si>
  <si>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</si>
  <si>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</si>
  <si>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</si>
  <si>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</si>
  <si>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</si>
  <si>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</si>
  <si>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</si>
  <si>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</si>
  <si>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</si>
  <si>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</si>
  <si>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</si>
  <si>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</si>
  <si>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</si>
  <si>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</si>
  <si>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</si>
  <si>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</si>
  <si>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</si>
  <si>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</si>
  <si>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</si>
  <si>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</si>
  <si>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</si>
  <si>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</si>
  <si>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</si>
  <si>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</si>
  <si>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</si>
  <si>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</si>
  <si>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</si>
  <si>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</si>
  <si>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</si>
  <si>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</si>
  <si>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</si>
  <si>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</si>
  <si>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</si>
  <si>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</si>
  <si>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</si>
  <si>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</si>
  <si>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</si>
  <si>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</si>
  <si>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</si>
  <si>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</si>
  <si>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</si>
  <si>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</si>
  <si>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</si>
  <si>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</si>
  <si>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</si>
  <si>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</si>
  <si>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</si>
  <si>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</si>
  <si>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</si>
  <si>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</si>
  <si>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</si>
  <si>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</si>
  <si>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</si>
  <si>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</si>
  <si>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</si>
  <si>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</si>
  <si>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</si>
  <si>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</si>
  <si>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</si>
  <si>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</si>
  <si>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</si>
  <si>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</si>
  <si>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</si>
  <si>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</si>
  <si>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</si>
  <si>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</si>
  <si>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</si>
  <si>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</si>
  <si>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</si>
  <si>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</si>
  <si>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</si>
  <si>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</si>
  <si>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</si>
  <si>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</si>
  <si>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</si>
  <si>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</si>
  <si>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</si>
  <si>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</si>
  <si>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</si>
  <si>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</si>
  <si>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</si>
  <si>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</si>
  <si>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</si>
  <si>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</si>
  <si>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</si>
  <si>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</si>
  <si>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</si>
  <si>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</si>
  <si>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</si>
  <si>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</si>
  <si>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</si>
  <si>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</si>
  <si>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</si>
  <si>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</si>
  <si>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</si>
  <si>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</si>
  <si>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</si>
  <si>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</si>
  <si>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</si>
  <si>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</si>
  <si>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</si>
  <si>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</si>
  <si>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</si>
  <si>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</si>
  <si>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</si>
  <si>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</si>
  <si>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</si>
  <si>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</si>
  <si>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</si>
  <si>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</si>
  <si>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</si>
  <si>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</si>
  <si>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</si>
  <si>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</si>
  <si>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</si>
  <si>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</si>
  <si>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</si>
  <si>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</si>
  <si>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</si>
  <si>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</si>
  <si>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</si>
  <si>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</si>
  <si>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</si>
  <si>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</si>
  <si>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</si>
  <si>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</si>
  <si>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</si>
  <si>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</si>
  <si>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</si>
  <si>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</si>
  <si>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</si>
  <si>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</si>
  <si>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</si>
  <si>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</si>
  <si>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</si>
  <si>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</si>
  <si>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</si>
  <si>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</si>
  <si>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</si>
  <si>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</si>
  <si>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</si>
  <si>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</si>
  <si>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</si>
  <si>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</si>
  <si>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</si>
  <si>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</si>
  <si>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</si>
  <si>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</si>
  <si>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</si>
  <si>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</si>
  <si>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</si>
  <si>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</si>
  <si>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</si>
  <si>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</si>
  <si>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</si>
  <si>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</si>
  <si>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</si>
  <si>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</si>
  <si>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</si>
  <si>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</si>
  <si>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</si>
  <si>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</si>
  <si>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</si>
  <si>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</si>
  <si>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</si>
  <si>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</si>
  <si>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</si>
  <si>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</si>
  <si>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</si>
  <si>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</si>
  <si>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</si>
  <si>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</si>
  <si>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</si>
  <si>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</si>
  <si>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</si>
  <si>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</si>
  <si>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</si>
  <si>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</si>
  <si>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</si>
  <si>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</si>
  <si>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</si>
  <si>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</si>
  <si>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</si>
  <si>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</si>
  <si>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</si>
  <si>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</si>
  <si>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</si>
  <si>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</si>
  <si>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</si>
  <si>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</si>
  <si>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</si>
  <si>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</si>
  <si>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</si>
  <si>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</si>
  <si>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</si>
  <si>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</si>
  <si>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</si>
  <si>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</si>
  <si>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</si>
  <si>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</si>
  <si>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</si>
  <si>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</si>
  <si>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</si>
  <si>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</si>
  <si>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</si>
  <si>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</si>
  <si>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</si>
  <si>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</si>
  <si>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</si>
  <si>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</si>
  <si>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</si>
  <si>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</si>
  <si>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</si>
  <si>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</si>
  <si>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</si>
  <si>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</si>
  <si>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</si>
  <si>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</si>
  <si>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</si>
  <si>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</si>
  <si>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</si>
  <si>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</si>
  <si>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</si>
  <si>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</si>
  <si>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</si>
  <si>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</si>
  <si>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</si>
  <si>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</si>
  <si>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</si>
  <si>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</si>
  <si>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</si>
  <si>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</si>
  <si>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</si>
  <si>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</si>
  <si>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</si>
  <si>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</si>
  <si>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</si>
  <si>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</si>
  <si>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</si>
  <si>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</si>
  <si>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</si>
  <si>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</si>
  <si>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</si>
  <si>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</si>
  <si>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</si>
  <si>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</si>
  <si>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</si>
  <si>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</si>
  <si>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</si>
  <si>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</si>
  <si>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</si>
  <si>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</si>
  <si>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</si>
  <si>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</si>
  <si>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</si>
  <si>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</si>
  <si>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</si>
  <si>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</si>
  <si>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</si>
  <si>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</si>
  <si>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</si>
  <si>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</si>
  <si>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</si>
  <si>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</si>
  <si>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</si>
  <si>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</si>
  <si>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</si>
  <si>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</si>
  <si>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</si>
  <si>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</si>
  <si>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</si>
  <si>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</si>
  <si>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</si>
  <si>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</si>
  <si>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</si>
  <si>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</si>
  <si>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</si>
  <si>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</si>
  <si>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</si>
  <si>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</si>
  <si>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</si>
  <si>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</si>
  <si>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</si>
  <si>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</si>
  <si>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</si>
  <si>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</si>
  <si>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</si>
  <si>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</si>
  <si>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</si>
  <si>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</si>
  <si>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</si>
  <si>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</si>
  <si>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</si>
  <si>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</si>
  <si>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</si>
  <si>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</si>
  <si>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</si>
  <si>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</si>
  <si>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</si>
  <si>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</si>
  <si>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</si>
  <si>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</si>
  <si>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</si>
  <si>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</si>
  <si>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</si>
  <si>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</si>
  <si>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</si>
  <si>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</si>
  <si>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</si>
  <si>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</si>
  <si>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</si>
  <si>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</si>
  <si>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</si>
  <si>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</si>
  <si>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</si>
  <si>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</si>
  <si>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</si>
  <si>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</si>
  <si>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</si>
  <si>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</si>
  <si>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</si>
  <si>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</si>
  <si>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</si>
  <si>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</si>
  <si>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</si>
  <si>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</si>
  <si>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</si>
  <si>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</si>
  <si>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</si>
  <si>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</si>
  <si>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</si>
  <si>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</si>
  <si>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</si>
  <si>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</si>
  <si>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</si>
  <si>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</si>
  <si>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</si>
  <si>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</si>
  <si>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</si>
  <si>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</si>
  <si>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</si>
  <si>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</si>
  <si>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</si>
  <si>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</si>
  <si>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</si>
  <si>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</si>
  <si>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</si>
  <si>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</si>
  <si>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</si>
  <si>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</si>
  <si>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</si>
  <si>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</si>
  <si>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</si>
  <si>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</si>
  <si>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</si>
  <si>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</si>
  <si>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</si>
  <si>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</si>
  <si>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</si>
  <si>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</si>
  <si>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</si>
  <si>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</si>
  <si>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</si>
  <si>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</si>
  <si>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</si>
  <si>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</si>
  <si>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</si>
  <si>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</si>
  <si>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</si>
  <si>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</si>
  <si>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</si>
  <si>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</si>
  <si>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</si>
  <si>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</si>
  <si>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</si>
  <si>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</si>
  <si>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</si>
  <si>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</si>
  <si>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</si>
  <si>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</si>
  <si>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</si>
  <si>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</si>
  <si>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</si>
  <si>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</si>
  <si>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</si>
  <si>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</si>
  <si>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</si>
  <si>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</si>
  <si>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</si>
  <si>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</si>
  <si>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</si>
  <si>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</si>
  <si>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</si>
  <si>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</si>
  <si>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</si>
  <si>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</si>
  <si>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</si>
  <si>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</si>
  <si>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</si>
  <si>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</si>
  <si>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</si>
  <si>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</si>
  <si>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</si>
  <si>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</si>
  <si>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</si>
  <si>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</si>
  <si>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</si>
  <si>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</si>
  <si>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</si>
  <si>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</si>
  <si>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</si>
  <si>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</si>
  <si>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</si>
  <si>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</si>
  <si>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</si>
  <si>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</si>
  <si>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</si>
  <si>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</si>
  <si>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</si>
  <si>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</si>
  <si>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</si>
  <si>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</si>
  <si>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</si>
  <si>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</si>
  <si>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</si>
  <si>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</si>
  <si>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</si>
  <si>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</si>
  <si>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</si>
  <si>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</si>
  <si>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</si>
  <si>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</si>
  <si>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</si>
  <si>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</si>
  <si>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</si>
  <si>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</si>
  <si>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</si>
  <si>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</si>
  <si>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</si>
  <si>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</si>
  <si>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</si>
  <si>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</si>
  <si>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</si>
  <si>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</si>
  <si>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</si>
  <si>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</si>
  <si>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</si>
  <si>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</si>
  <si>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</si>
  <si>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</si>
  <si>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</si>
  <si>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</si>
  <si>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</si>
  <si>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</si>
  <si>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</si>
  <si>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</si>
  <si>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</si>
  <si>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</si>
  <si>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</si>
  <si>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</si>
  <si>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</si>
  <si>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</si>
  <si>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</si>
  <si>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</si>
  <si>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</si>
  <si>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</si>
  <si>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</si>
  <si>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</si>
  <si>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</si>
  <si>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</si>
  <si>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</si>
  <si>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</si>
  <si>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</si>
  <si>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</si>
  <si>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</si>
  <si>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</si>
  <si>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</si>
  <si>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</si>
  <si>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</si>
  <si>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</si>
  <si>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</si>
  <si>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</si>
  <si>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</si>
  <si>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</si>
  <si>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</si>
  <si>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</si>
  <si>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</si>
  <si>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</si>
  <si>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</si>
  <si>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</si>
  <si>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</si>
  <si>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</si>
  <si>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</si>
  <si>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</si>
  <si>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</si>
  <si>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</si>
  <si>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</si>
  <si>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</si>
  <si>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</si>
  <si>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</si>
  <si>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</si>
  <si>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</si>
  <si>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</si>
  <si>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</si>
  <si>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</si>
  <si>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</si>
  <si>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</si>
  <si>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</si>
  <si>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</si>
  <si>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</si>
  <si>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</si>
  <si>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</si>
  <si>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</si>
  <si>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</si>
  <si>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</si>
  <si>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</si>
  <si>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</si>
  <si>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</si>
  <si>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</si>
  <si>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</si>
  <si>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</si>
  <si>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</si>
  <si>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</si>
  <si>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</si>
  <si>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</si>
  <si>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</si>
  <si>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</si>
  <si>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</si>
  <si>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</si>
  <si>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</si>
  <si>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</si>
  <si>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</si>
  <si>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</si>
  <si>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</si>
  <si>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</si>
  <si>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</si>
  <si>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</si>
  <si>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</si>
  <si>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</si>
  <si>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</si>
  <si>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</si>
  <si>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</si>
  <si>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</si>
  <si>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</si>
  <si>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</si>
  <si>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</si>
  <si>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</si>
  <si>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</si>
  <si>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</si>
  <si>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</si>
  <si>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</si>
  <si>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</si>
  <si>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</si>
  <si>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</si>
  <si>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</si>
  <si>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</si>
  <si>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</si>
  <si>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</si>
  <si>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</si>
  <si>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</si>
  <si>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</si>
  <si>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</si>
  <si>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</si>
  <si>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</si>
  <si>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</si>
  <si>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</si>
  <si>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</si>
  <si>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</si>
  <si>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</si>
  <si>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</si>
  <si>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</si>
  <si>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</si>
  <si>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</si>
  <si>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</si>
  <si>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</si>
  <si>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</si>
  <si>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</si>
  <si>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</si>
  <si>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</si>
  <si>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</si>
  <si>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</si>
  <si>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</si>
  <si>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</si>
  <si>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</si>
  <si>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</si>
  <si>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</si>
  <si>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</si>
  <si>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</si>
  <si>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</si>
  <si>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</si>
  <si>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</si>
  <si>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</si>
  <si>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</si>
  <si>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</si>
  <si>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</si>
  <si>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</si>
  <si>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</si>
  <si>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</si>
  <si>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</si>
  <si>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</si>
  <si>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</si>
  <si>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</si>
  <si>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</si>
  <si>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</si>
  <si>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</si>
  <si>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</si>
  <si>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</si>
  <si>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</si>
  <si>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</si>
  <si>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</si>
  <si>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</si>
  <si>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</si>
  <si>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</si>
  <si>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</si>
  <si>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</si>
  <si>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</si>
  <si>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</si>
  <si>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</si>
  <si>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</si>
  <si>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</si>
  <si>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</si>
  <si>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</si>
  <si>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</si>
  <si>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</si>
  <si>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</si>
  <si>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</si>
  <si>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</si>
  <si>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</si>
  <si>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</si>
  <si>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</si>
  <si>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</si>
  <si>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</si>
  <si>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</si>
  <si>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</si>
  <si>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</si>
  <si>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</si>
  <si>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</si>
  <si>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</si>
  <si>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</si>
  <si>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</si>
  <si>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</si>
  <si>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</si>
  <si>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</si>
  <si>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</si>
  <si>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</si>
  <si>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</si>
  <si>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</si>
  <si>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</si>
  <si>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</si>
  <si>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</si>
  <si>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</si>
  <si>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</si>
  <si>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</si>
  <si>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</si>
  <si>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</si>
  <si>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</si>
  <si>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</si>
  <si>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</si>
  <si>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</si>
  <si>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</si>
  <si>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</si>
  <si>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</si>
  <si>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</si>
  <si>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</si>
  <si>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</si>
  <si>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</si>
  <si>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</si>
  <si>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</si>
  <si>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</si>
  <si>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</si>
  <si>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</si>
  <si>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</si>
  <si>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</si>
  <si>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</si>
  <si>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</si>
  <si>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</si>
  <si>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</si>
  <si>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</si>
  <si>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</si>
  <si>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</si>
  <si>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</si>
  <si>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</si>
  <si>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</si>
  <si>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</si>
  <si>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</si>
  <si>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</si>
  <si>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</si>
  <si>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</si>
  <si>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</si>
  <si>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</si>
  <si>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</si>
  <si>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</si>
  <si>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</si>
  <si>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</si>
  <si>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</si>
  <si>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</si>
  <si>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</si>
  <si>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</si>
  <si>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</si>
  <si>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</si>
  <si>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</si>
  <si>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</si>
  <si>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</si>
  <si>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</si>
  <si>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</si>
  <si>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</si>
  <si>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</si>
  <si>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</si>
  <si>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</si>
  <si>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</si>
  <si>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</si>
  <si>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</si>
  <si>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</si>
  <si>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</si>
  <si>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</si>
  <si>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</si>
  <si>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</si>
  <si>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</si>
  <si>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</si>
  <si>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</si>
  <si>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</si>
  <si>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</si>
  <si>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</si>
  <si>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</si>
  <si>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</si>
  <si>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</si>
  <si>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</si>
  <si>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</si>
  <si>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</si>
  <si>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</si>
  <si>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</si>
  <si>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</si>
  <si>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</si>
  <si>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</si>
  <si>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</si>
  <si>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</si>
  <si>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</si>
  <si>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</si>
  <si>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</si>
  <si>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</si>
  <si>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</si>
  <si>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</si>
  <si>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</si>
  <si>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</si>
  <si>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</si>
  <si>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</si>
  <si>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</si>
  <si>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</si>
  <si>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</si>
  <si>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</si>
  <si>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</si>
  <si>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</si>
  <si>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</si>
  <si>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</si>
  <si>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</si>
  <si>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</si>
  <si>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</si>
  <si>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</si>
  <si>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</si>
  <si>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</si>
  <si>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</si>
  <si>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</si>
  <si>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</si>
  <si>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</si>
  <si>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</si>
  <si>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</si>
  <si>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</si>
  <si>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</si>
  <si>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</si>
  <si>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</si>
  <si>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</si>
  <si>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</si>
  <si>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</si>
  <si>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</si>
  <si>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</si>
  <si>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</si>
  <si>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</si>
  <si>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</si>
  <si>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</si>
  <si>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</si>
  <si>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</si>
  <si>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</si>
  <si>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</si>
  <si>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</si>
  <si>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</si>
  <si>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</si>
  <si>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</si>
  <si>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</si>
  <si>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</si>
  <si>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</si>
  <si>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</si>
  <si>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</si>
  <si>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</si>
  <si>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</si>
  <si>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</si>
  <si>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</si>
  <si>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</si>
  <si>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</si>
  <si>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</si>
  <si>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</si>
  <si>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</si>
  <si>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</si>
  <si>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</si>
  <si>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</si>
  <si>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</si>
  <si>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</si>
  <si>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</si>
  <si>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</si>
  <si>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</si>
  <si>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</si>
  <si>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</si>
  <si>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</si>
  <si>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</si>
  <si>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</si>
  <si>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</si>
  <si>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</si>
  <si>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</si>
  <si>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</si>
  <si>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</si>
  <si>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</si>
  <si>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</si>
  <si>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</si>
  <si>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</si>
  <si>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</si>
  <si>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</si>
  <si>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</si>
  <si>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</si>
  <si>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</si>
  <si>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</si>
  <si>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</si>
  <si>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</si>
  <si>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</si>
  <si>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</si>
  <si>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</si>
  <si>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</si>
  <si>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</si>
  <si>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</si>
  <si>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</si>
  <si>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</si>
  <si>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</si>
  <si>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</si>
  <si>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</si>
  <si>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</si>
  <si>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</si>
  <si>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</si>
  <si>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</si>
  <si>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</si>
  <si>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</si>
  <si>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</si>
  <si>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</si>
  <si>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</si>
  <si>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</si>
  <si>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</si>
  <si>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</si>
  <si>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</si>
  <si>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</si>
  <si>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</si>
  <si>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</si>
  <si>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</si>
  <si>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</si>
  <si>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</si>
  <si>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</si>
  <si>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</si>
  <si>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</si>
  <si>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</si>
  <si>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</si>
  <si>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</si>
  <si>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</si>
  <si>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</si>
  <si>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</si>
  <si>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</si>
  <si>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</si>
  <si>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</si>
  <si>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</si>
  <si>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</si>
  <si>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</si>
  <si>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</si>
  <si>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</si>
  <si>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</si>
  <si>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</si>
  <si>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</si>
  <si>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</si>
  <si>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</si>
  <si>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</si>
  <si>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</si>
  <si>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</si>
  <si>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</si>
  <si>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</si>
  <si>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</si>
  <si>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</si>
  <si>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</si>
  <si>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</si>
  <si>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</si>
  <si>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</si>
  <si>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</si>
  <si>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</si>
  <si>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</si>
  <si>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</si>
  <si>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</si>
  <si>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</si>
  <si>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</si>
  <si>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</si>
  <si>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</si>
  <si>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</si>
  <si>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</si>
  <si>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</si>
  <si>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</si>
  <si>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</si>
  <si>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</si>
  <si>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</si>
  <si>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</si>
  <si>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</si>
  <si>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</si>
  <si>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</si>
  <si>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</si>
  <si>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</si>
  <si>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</si>
  <si>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</si>
  <si>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</si>
  <si>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</si>
  <si>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</si>
  <si>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</si>
  <si>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</si>
  <si>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</si>
  <si>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</si>
  <si>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</si>
  <si>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</si>
  <si>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</si>
  <si>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</si>
  <si>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</si>
  <si>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</si>
  <si>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</si>
  <si>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</si>
  <si>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</si>
  <si>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</si>
  <si>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</si>
  <si>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</si>
  <si>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</si>
  <si>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</si>
  <si>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</si>
  <si>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</si>
  <si>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</si>
  <si>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</si>
  <si>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</si>
  <si>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</si>
  <si>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</si>
  <si>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</si>
  <si>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</si>
  <si>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</si>
  <si>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</si>
  <si>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</si>
  <si>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</si>
  <si>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</si>
  <si>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</si>
  <si>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</si>
  <si>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</si>
  <si>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</si>
  <si>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</si>
  <si>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</si>
  <si>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</si>
  <si>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</si>
  <si>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</si>
  <si>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</si>
  <si>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</si>
  <si>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</si>
  <si>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</si>
  <si>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</si>
  <si>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</si>
  <si>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</si>
  <si>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</si>
  <si>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</si>
  <si>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</si>
  <si>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</si>
  <si>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</si>
  <si>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</si>
  <si>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</si>
  <si>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</si>
  <si>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</si>
  <si>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</si>
  <si>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</si>
  <si>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</si>
  <si>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</si>
  <si>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</si>
  <si>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</si>
  <si>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</si>
  <si>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</si>
  <si>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</si>
  <si>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</si>
  <si>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</si>
  <si>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</si>
  <si>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</si>
  <si>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</si>
  <si>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</si>
  <si>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</si>
  <si>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</si>
  <si>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</si>
  <si>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</si>
  <si>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</si>
  <si>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</si>
  <si>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</si>
  <si>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</si>
  <si>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</si>
  <si>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</si>
  <si>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</si>
  <si>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</si>
  <si>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</si>
  <si>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</si>
  <si>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</si>
  <si>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</si>
  <si>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</si>
  <si>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</si>
  <si>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</si>
  <si>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</si>
  <si>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</si>
  <si>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</si>
  <si>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</si>
  <si>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</si>
  <si>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</si>
  <si>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</si>
  <si>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</si>
  <si>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</si>
  <si>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</si>
  <si>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</si>
  <si>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</si>
  <si>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</si>
  <si>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</si>
  <si>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</si>
  <si>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</si>
  <si>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</si>
  <si>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</si>
  <si>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</si>
  <si>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</si>
  <si>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</si>
  <si>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</si>
  <si>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</si>
  <si>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</si>
  <si>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</si>
  <si>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</si>
  <si>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</si>
  <si>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</si>
  <si>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</si>
  <si>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</si>
  <si>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</si>
  <si>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</si>
  <si>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</si>
  <si>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</si>
  <si>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</si>
  <si>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</si>
  <si>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</si>
  <si>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</si>
  <si>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</si>
  <si>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</si>
  <si>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</si>
  <si>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</si>
  <si>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</si>
  <si>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</si>
  <si>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</si>
  <si>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</si>
  <si>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</si>
  <si>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</si>
  <si>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</si>
  <si>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</si>
  <si>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</si>
  <si>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</si>
  <si>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</si>
  <si>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</si>
  <si>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</si>
  <si>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</si>
  <si>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</si>
  <si>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</si>
  <si>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</si>
  <si>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</si>
  <si>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</si>
  <si>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</si>
  <si>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</si>
  <si>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</si>
  <si>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</si>
  <si>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</si>
  <si>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</si>
  <si>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</si>
  <si>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</si>
  <si>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</si>
  <si>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</si>
  <si>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</si>
  <si>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</si>
  <si>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</si>
  <si>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</si>
  <si>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</si>
  <si>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</si>
  <si>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</si>
  <si>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</si>
  <si>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</si>
  <si>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</si>
  <si>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</si>
  <si>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</si>
  <si>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</si>
  <si>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</si>
  <si>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</si>
  <si>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</si>
  <si>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</si>
  <si>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</si>
  <si>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</si>
  <si>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</si>
  <si>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</si>
  <si>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</si>
  <si>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</si>
  <si>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</si>
  <si>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</si>
  <si>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</si>
  <si>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</si>
  <si>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</si>
  <si>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</si>
  <si>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</si>
  <si>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</si>
  <si>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</si>
  <si>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</si>
  <si>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</si>
  <si>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</si>
  <si>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</si>
  <si>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</si>
  <si>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</si>
  <si>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</si>
  <si>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</si>
  <si>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</si>
  <si>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</si>
  <si>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</si>
  <si>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</si>
  <si>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</si>
  <si>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</si>
  <si>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</si>
  <si>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</si>
  <si>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</si>
  <si>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</si>
  <si>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</si>
  <si>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</si>
  <si>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</si>
  <si>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</si>
  <si>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</si>
  <si>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</si>
  <si>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</si>
  <si>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</si>
  <si>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</si>
  <si>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</si>
  <si>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</si>
  <si>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</si>
  <si>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</si>
  <si>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</si>
  <si>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</si>
  <si>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</si>
  <si>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</si>
  <si>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</si>
  <si>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</si>
  <si>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</si>
  <si>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</si>
  <si>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</si>
  <si>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</si>
  <si>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</si>
  <si>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</si>
  <si>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</si>
  <si>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</si>
  <si>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</si>
  <si>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</si>
  <si>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</si>
  <si>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</si>
  <si>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</si>
  <si>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</si>
  <si>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</si>
  <si>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</si>
  <si>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</si>
  <si>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</si>
  <si>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</si>
  <si>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</si>
  <si>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</si>
  <si>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</si>
  <si>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</si>
  <si>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</si>
  <si>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</si>
  <si>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</si>
  <si>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</si>
  <si>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</si>
  <si>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</si>
  <si>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</si>
  <si>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</si>
  <si>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</si>
  <si>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</si>
  <si>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</si>
  <si>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</si>
  <si>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</si>
  <si>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</si>
  <si>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</si>
  <si>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</si>
  <si>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</si>
  <si>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</si>
  <si>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</si>
  <si>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</si>
  <si>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</si>
  <si>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</si>
  <si>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</si>
  <si>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</si>
  <si>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</si>
  <si>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</si>
  <si>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</si>
  <si>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</si>
  <si>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</si>
  <si>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</si>
  <si>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</si>
  <si>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</si>
  <si>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</si>
  <si>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</si>
  <si>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</si>
  <si>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</si>
  <si>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</si>
  <si>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</si>
  <si>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</si>
  <si>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</si>
  <si>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</si>
  <si>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</si>
  <si>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</si>
  <si>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</si>
  <si>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</si>
  <si>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</si>
  <si>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</si>
  <si>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</si>
  <si>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</si>
  <si>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</si>
  <si>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</si>
  <si>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</si>
  <si>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</si>
  <si>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</si>
  <si>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</si>
  <si>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</si>
  <si>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</si>
  <si>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</si>
  <si>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</si>
  <si>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</si>
  <si>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</si>
  <si>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</si>
  <si>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</si>
  <si>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</si>
  <si>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</si>
  <si>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</si>
  <si>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</si>
  <si>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</si>
  <si>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</si>
  <si>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</si>
  <si>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</si>
  <si>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</si>
  <si>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</si>
  <si>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</si>
  <si>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</si>
  <si>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</si>
  <si>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</si>
  <si>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</si>
  <si>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</si>
  <si>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</si>
  <si>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</si>
  <si>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</si>
  <si>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</si>
  <si>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</si>
  <si>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</si>
  <si>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</si>
  <si>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</si>
  <si>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</si>
  <si>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</si>
  <si>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</si>
  <si>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</si>
  <si>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</si>
  <si>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</si>
  <si>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</si>
  <si>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</si>
  <si>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</si>
  <si>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</si>
  <si>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</si>
  <si>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</si>
  <si>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</si>
  <si>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</si>
  <si>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</si>
  <si>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</si>
  <si>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</si>
  <si>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</si>
  <si>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</si>
  <si>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</si>
  <si>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</si>
  <si>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</si>
  <si>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</si>
  <si>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</si>
  <si>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</si>
  <si>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</si>
  <si>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</si>
  <si>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</si>
  <si>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</si>
  <si>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</si>
  <si>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</si>
  <si>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</si>
  <si>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</si>
  <si>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</si>
  <si>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</si>
  <si>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</si>
  <si>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</si>
  <si>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</si>
  <si>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</si>
  <si>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</si>
  <si>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</si>
  <si>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</si>
  <si>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</si>
  <si>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</si>
  <si>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</si>
  <si>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</si>
  <si>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</si>
  <si>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</si>
  <si>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</si>
  <si>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</si>
  <si>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</si>
  <si>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</si>
  <si>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</si>
  <si>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</si>
  <si>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</si>
  <si>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</si>
  <si>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</si>
  <si>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</si>
  <si>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</si>
  <si>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</si>
  <si>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</si>
  <si>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</si>
  <si>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</si>
  <si>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</si>
  <si>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</si>
  <si>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</si>
  <si>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</si>
  <si>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</si>
  <si>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</si>
  <si>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</si>
  <si>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</si>
  <si>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</si>
  <si>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</si>
  <si>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</si>
  <si>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</si>
  <si>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</si>
  <si>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</si>
  <si>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</si>
  <si>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</si>
  <si>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</si>
  <si>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</si>
  <si>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</si>
  <si>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</si>
  <si>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</si>
  <si>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</si>
  <si>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</si>
  <si>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</si>
  <si>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</si>
  <si>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</si>
  <si>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</si>
  <si>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</si>
  <si>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</si>
  <si>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</si>
  <si>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</si>
  <si>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</si>
  <si>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</si>
  <si>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</si>
  <si>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</si>
  <si>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</si>
  <si>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</si>
  <si>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</si>
  <si>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</si>
  <si>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</si>
  <si>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</si>
  <si>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</si>
  <si>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</si>
  <si>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</si>
  <si>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</si>
  <si>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</si>
  <si>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</si>
  <si>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</si>
  <si>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</si>
  <si>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</si>
  <si>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</si>
  <si>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</si>
  <si>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</si>
  <si>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</si>
  <si>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</si>
  <si>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</si>
  <si>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</si>
  <si>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</si>
  <si>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</si>
  <si>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</si>
  <si>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</si>
  <si>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</si>
  <si>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</si>
  <si>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</si>
  <si>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</si>
  <si>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</si>
  <si>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</si>
  <si>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</si>
  <si>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</si>
  <si>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</si>
  <si>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</si>
  <si>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</si>
  <si>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</si>
  <si>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</si>
  <si>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</si>
  <si>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</si>
  <si>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</si>
  <si>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</si>
  <si>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</si>
  <si>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</si>
  <si>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</si>
  <si>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</si>
  <si>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</si>
  <si>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</si>
  <si>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</si>
  <si>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</si>
  <si>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</si>
  <si>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</si>
  <si>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</si>
  <si>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</si>
  <si>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</si>
  <si>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</si>
  <si>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</si>
  <si>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</si>
  <si>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</si>
  <si>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</si>
  <si>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</si>
  <si>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</si>
  <si>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</si>
  <si>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</si>
  <si>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</si>
  <si>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</si>
  <si>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</si>
  <si>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</si>
  <si>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</si>
  <si>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</si>
  <si>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</si>
  <si>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</si>
  <si>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</si>
  <si>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</si>
  <si>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</si>
  <si>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</si>
  <si>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</si>
  <si>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</si>
  <si>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</si>
  <si>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</si>
  <si>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</si>
  <si>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</si>
  <si>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</si>
  <si>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</si>
  <si>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</si>
  <si>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</si>
  <si>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</si>
  <si>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</si>
  <si>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</si>
  <si>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</si>
  <si>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</si>
  <si>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</si>
  <si>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</si>
  <si>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</si>
  <si>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</si>
  <si>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</si>
  <si>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</si>
  <si>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</si>
  <si>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</si>
  <si>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</si>
  <si>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</si>
  <si>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</si>
  <si>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</si>
  <si>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</si>
  <si>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</si>
  <si>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</si>
  <si>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</si>
  <si>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</si>
  <si>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</si>
  <si>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</si>
  <si>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</si>
  <si>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</si>
  <si>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</si>
  <si>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</si>
  <si>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</si>
  <si>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</si>
  <si>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</si>
  <si>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</si>
  <si>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</si>
  <si>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</si>
  <si>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</si>
  <si>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</si>
  <si>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</si>
  <si>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</si>
  <si>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</si>
  <si>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</si>
  <si>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</si>
  <si>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</si>
  <si>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</si>
  <si>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</si>
  <si>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</si>
  <si>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</si>
  <si>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</si>
  <si>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</si>
  <si>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</si>
  <si>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</si>
  <si>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</si>
  <si>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</si>
  <si>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</si>
  <si>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</si>
  <si>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</si>
  <si>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</si>
  <si>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</si>
  <si>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</si>
  <si>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</si>
  <si>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</si>
  <si>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</si>
  <si>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</si>
  <si>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</si>
  <si>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</si>
  <si>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</si>
  <si>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</si>
  <si>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</si>
  <si>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</si>
  <si>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</si>
  <si>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</si>
  <si>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</si>
  <si>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</si>
  <si>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</si>
  <si>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</si>
  <si>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</si>
  <si>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</si>
  <si>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</si>
  <si>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</si>
  <si>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</si>
  <si>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</si>
  <si>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</si>
  <si>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</si>
  <si>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</si>
  <si>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</si>
  <si>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</si>
  <si>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</si>
  <si>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</si>
  <si>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</si>
  <si>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</si>
  <si>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</si>
  <si>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</si>
  <si>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</si>
  <si>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</si>
  <si>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</si>
  <si>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</si>
  <si>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</si>
  <si>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</si>
  <si>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</si>
  <si>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</si>
  <si>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</si>
  <si>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</si>
  <si>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</si>
  <si>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</si>
  <si>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</si>
  <si>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</si>
  <si>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</si>
  <si>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</si>
  <si>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</si>
  <si>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</si>
  <si>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</si>
  <si>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</si>
  <si>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</si>
  <si>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</si>
  <si>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</si>
  <si>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</si>
  <si>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</si>
  <si>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</si>
  <si>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</si>
  <si>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</si>
  <si>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</si>
  <si>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</si>
  <si>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</si>
  <si>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</si>
  <si>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</si>
  <si>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</si>
  <si>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</si>
  <si>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</si>
  <si>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</si>
  <si>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</si>
  <si>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</si>
  <si>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</si>
  <si>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</si>
  <si>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</si>
  <si>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</si>
  <si>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</si>
  <si>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</si>
  <si>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</si>
  <si>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</si>
  <si>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</si>
  <si>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</si>
  <si>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</si>
  <si>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</si>
  <si>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</si>
  <si>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</si>
  <si>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</si>
  <si>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</si>
  <si>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</si>
  <si>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</si>
  <si>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</si>
  <si>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</si>
  <si>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</si>
  <si>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</si>
  <si>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</si>
  <si>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</si>
  <si>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Armor Glaze - Nightmare Plateau</t>
  </si>
  <si>
    <t>Darkheart Leather Cop - Rakhat</t>
  </si>
  <si>
    <t>Double-Moon Leather Cop - All bosses</t>
  </si>
  <si>
    <t>Gloamium Ring Bearing - Aba Darre</t>
  </si>
  <si>
    <t>Duotone Engraved Band - The Weeping Woman</t>
  </si>
  <si>
    <t>Moonstone Ring Bearing - Yenadar</t>
  </si>
  <si>
    <t>Padomay Sigil - Nadirin Death-Hand</t>
  </si>
  <si>
    <t>Anu Crest - Hergor the Fallen</t>
  </si>
  <si>
    <t>Baliwog Pearl Eyelets -Headcracker</t>
  </si>
  <si>
    <t>Comically Curled Toecap - The Wine Sommelier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</si>
  <si>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</si>
  <si>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</si>
  <si>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</si>
  <si>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</si>
  <si>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</si>
  <si>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</si>
  <si>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</si>
  <si>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</si>
  <si>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</si>
  <si>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</si>
  <si>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</si>
  <si>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</si>
  <si>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</si>
  <si>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</si>
  <si>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</si>
  <si>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</si>
  <si>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</si>
  <si>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</si>
  <si>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</si>
  <si>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</si>
  <si>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</si>
  <si>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</si>
  <si>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</si>
  <si>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</si>
  <si>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</si>
  <si>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</si>
  <si>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</si>
  <si>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</si>
  <si>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</si>
  <si>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</si>
  <si>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</si>
  <si>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</si>
  <si>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</si>
  <si>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</si>
  <si>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</si>
  <si>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</si>
  <si>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</si>
  <si>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</si>
  <si>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</si>
  <si>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</si>
  <si>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</si>
  <si>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</si>
  <si>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</si>
  <si>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</si>
  <si>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</si>
  <si>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</si>
  <si>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</si>
  <si>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</si>
  <si>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</si>
  <si>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</si>
  <si>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</si>
  <si>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</si>
  <si>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</si>
  <si>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</si>
  <si>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</si>
  <si>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r>
      <t>Last updated on: 2025-09-19, PTS 101048.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</si>
  <si>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https://en.uesp.net/wiki/Online:Huntsman%27s_Warmask</t>
  </si>
  <si>
    <t>WayshrineNodeIndex</t>
  </si>
  <si>
    <t>WayshrieNodeIndex</t>
  </si>
  <si>
    <t>Last dumped: 2025-10-28, PTS 101048</t>
  </si>
  <si>
    <t>Fangs of Bitter Mercy - Vykosa the Ascendant</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</si>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</sst>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s>
  <fills count="14">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3" borderId="1" xfId="0" applyFont="1" applyFill="1" applyBorder="1"/>
    <xf numFmtId="0" fontId="16" fillId="5" borderId="0" xfId="0" applyFont="1" applyFill="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O63"/>
  <sheetViews>
    <sheetView topLeftCell="C1" zoomScale="85" zoomScaleNormal="85" workbookViewId="0">
      <pane ySplit="2" topLeftCell="A35" activePane="bottomLeft" state="frozen"/>
      <selection pane="bottomLeft" activeCell="C63" sqref="C63"/>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8" customFormat="1" x14ac:dyDescent="0.25">
      <c r="A1" s="130" t="s">
        <v>4208</v>
      </c>
      <c r="B1" s="131"/>
      <c r="C1" s="131"/>
      <c r="D1" s="131"/>
      <c r="E1" s="131"/>
      <c r="F1" s="131"/>
      <c r="G1" s="131"/>
      <c r="H1" s="131"/>
      <c r="I1" s="131"/>
      <c r="J1" s="127"/>
      <c r="K1" s="127"/>
      <c r="L1" s="127"/>
    </row>
    <row r="2" spans="1:15" ht="30" x14ac:dyDescent="0.25">
      <c r="A2" s="3" t="s">
        <v>85</v>
      </c>
      <c r="B2" s="1" t="s">
        <v>1435</v>
      </c>
      <c r="C2" s="1" t="s">
        <v>75</v>
      </c>
      <c r="D2" s="1" t="s">
        <v>4242</v>
      </c>
      <c r="F2" s="3" t="s">
        <v>1445</v>
      </c>
      <c r="G2" s="23" t="s">
        <v>1446</v>
      </c>
      <c r="H2" s="23" t="s">
        <v>1447</v>
      </c>
      <c r="I2" s="3" t="s">
        <v>1503</v>
      </c>
      <c r="J2" s="28" t="s">
        <v>1508</v>
      </c>
      <c r="K2" s="23" t="s">
        <v>1504</v>
      </c>
      <c r="L2" s="23" t="s">
        <v>1505</v>
      </c>
      <c r="M2" s="23" t="s">
        <v>2139</v>
      </c>
      <c r="N2" s="23" t="s">
        <v>2143</v>
      </c>
      <c r="O2" s="23" t="s">
        <v>2144</v>
      </c>
    </row>
    <row r="3" spans="1:15" x14ac:dyDescent="0.25">
      <c r="A3" s="3">
        <v>0</v>
      </c>
      <c r="B3" s="43" t="s">
        <v>3508</v>
      </c>
      <c r="C3" s="43" t="s">
        <v>1657</v>
      </c>
      <c r="F3" s="44" t="s">
        <v>1448</v>
      </c>
      <c r="G3" t="s">
        <v>1656</v>
      </c>
      <c r="H3">
        <v>1</v>
      </c>
      <c r="I3" s="45" t="s">
        <v>1558</v>
      </c>
      <c r="J3">
        <v>1</v>
      </c>
      <c r="K3" t="s">
        <v>1650</v>
      </c>
      <c r="L3" t="s">
        <v>1658</v>
      </c>
      <c r="M3">
        <v>1</v>
      </c>
      <c r="N3" t="s">
        <v>2142</v>
      </c>
      <c r="O3" t="s">
        <v>2153</v>
      </c>
    </row>
    <row r="4" spans="1:15" x14ac:dyDescent="0.25">
      <c r="A4" s="3">
        <v>0</v>
      </c>
      <c r="B4" t="s">
        <v>1420</v>
      </c>
      <c r="C4" s="1" t="s">
        <v>84</v>
      </c>
      <c r="D4" t="s">
        <v>4245</v>
      </c>
      <c r="F4" s="8" t="s">
        <v>1449</v>
      </c>
      <c r="G4" t="s">
        <v>1323</v>
      </c>
      <c r="H4">
        <v>1</v>
      </c>
      <c r="I4" s="3" t="s">
        <v>1651</v>
      </c>
      <c r="J4">
        <v>15</v>
      </c>
      <c r="K4" s="31" t="s">
        <v>1652</v>
      </c>
      <c r="L4" s="31" t="s">
        <v>1653</v>
      </c>
      <c r="M4">
        <v>2</v>
      </c>
      <c r="N4" t="s">
        <v>2145</v>
      </c>
      <c r="O4" t="s">
        <v>2152</v>
      </c>
    </row>
    <row r="5" spans="1:15" x14ac:dyDescent="0.25">
      <c r="A5" s="3">
        <v>1</v>
      </c>
      <c r="B5" t="s">
        <v>1421</v>
      </c>
      <c r="C5" s="2" t="s">
        <v>39</v>
      </c>
      <c r="D5" t="s">
        <v>4243</v>
      </c>
      <c r="F5" s="8" t="s">
        <v>1450</v>
      </c>
      <c r="G5" t="s">
        <v>1401</v>
      </c>
      <c r="H5">
        <v>2</v>
      </c>
      <c r="I5" s="3" t="s">
        <v>2736</v>
      </c>
      <c r="J5">
        <v>18</v>
      </c>
      <c r="K5" s="31" t="s">
        <v>2737</v>
      </c>
      <c r="L5" s="31" t="s">
        <v>2738</v>
      </c>
      <c r="M5">
        <v>4</v>
      </c>
      <c r="N5" t="s">
        <v>2154</v>
      </c>
      <c r="O5" t="s">
        <v>2155</v>
      </c>
    </row>
    <row r="6" spans="1:15" x14ac:dyDescent="0.25">
      <c r="A6" s="3">
        <v>2</v>
      </c>
      <c r="B6" t="s">
        <v>1422</v>
      </c>
      <c r="C6" t="s">
        <v>724</v>
      </c>
      <c r="D6" t="s">
        <v>4244</v>
      </c>
      <c r="F6" s="8" t="s">
        <v>1451</v>
      </c>
      <c r="G6" t="s">
        <v>1332</v>
      </c>
      <c r="H6">
        <v>3</v>
      </c>
      <c r="I6" s="3" t="s">
        <v>1530</v>
      </c>
      <c r="J6">
        <v>5</v>
      </c>
      <c r="K6" t="s">
        <v>1348</v>
      </c>
      <c r="L6" t="s">
        <v>1531</v>
      </c>
      <c r="M6">
        <v>5</v>
      </c>
      <c r="N6" t="s">
        <v>2156</v>
      </c>
      <c r="O6" t="s">
        <v>2157</v>
      </c>
    </row>
    <row r="7" spans="1:15" x14ac:dyDescent="0.25">
      <c r="A7" s="3">
        <v>3</v>
      </c>
      <c r="B7" t="s">
        <v>1423</v>
      </c>
      <c r="C7" t="s">
        <v>76</v>
      </c>
      <c r="D7" t="s">
        <v>4246</v>
      </c>
      <c r="F7" s="8" t="s">
        <v>1452</v>
      </c>
      <c r="G7" t="s">
        <v>124</v>
      </c>
      <c r="H7">
        <v>4</v>
      </c>
      <c r="I7" s="3" t="s">
        <v>1549</v>
      </c>
      <c r="J7">
        <v>11</v>
      </c>
      <c r="K7" s="31" t="s">
        <v>1550</v>
      </c>
      <c r="L7" t="s">
        <v>1559</v>
      </c>
    </row>
    <row r="8" spans="1:15" x14ac:dyDescent="0.25">
      <c r="A8" s="3">
        <v>4</v>
      </c>
      <c r="B8" t="s">
        <v>1424</v>
      </c>
      <c r="C8" t="s">
        <v>77</v>
      </c>
      <c r="D8" t="s">
        <v>4247</v>
      </c>
      <c r="F8" s="8" t="s">
        <v>1453</v>
      </c>
      <c r="G8" t="s">
        <v>1461</v>
      </c>
      <c r="H8">
        <v>5</v>
      </c>
      <c r="I8" s="3" t="s">
        <v>2498</v>
      </c>
      <c r="J8">
        <v>16</v>
      </c>
      <c r="K8" s="31" t="s">
        <v>2499</v>
      </c>
      <c r="L8" s="31" t="s">
        <v>2500</v>
      </c>
    </row>
    <row r="9" spans="1:15" x14ac:dyDescent="0.25">
      <c r="A9" s="3">
        <v>5</v>
      </c>
      <c r="B9" t="s">
        <v>1425</v>
      </c>
      <c r="C9" s="4" t="s">
        <v>38</v>
      </c>
      <c r="D9" t="s">
        <v>4248</v>
      </c>
      <c r="F9" s="8" t="s">
        <v>1454</v>
      </c>
      <c r="G9" t="s">
        <v>1339</v>
      </c>
      <c r="H9">
        <v>6</v>
      </c>
      <c r="I9" s="3" t="s">
        <v>1507</v>
      </c>
      <c r="J9">
        <v>2</v>
      </c>
      <c r="K9" t="s">
        <v>1511</v>
      </c>
      <c r="L9" t="s">
        <v>1514</v>
      </c>
      <c r="M9">
        <v>99</v>
      </c>
      <c r="N9" t="s">
        <v>2150</v>
      </c>
      <c r="O9" t="s">
        <v>2151</v>
      </c>
    </row>
    <row r="10" spans="1:15" x14ac:dyDescent="0.25">
      <c r="A10" s="3">
        <v>6</v>
      </c>
      <c r="B10" t="s">
        <v>1426</v>
      </c>
      <c r="C10" t="s">
        <v>725</v>
      </c>
      <c r="D10" t="s">
        <v>4249</v>
      </c>
      <c r="F10" s="8" t="s">
        <v>1455</v>
      </c>
      <c r="G10" t="s">
        <v>39</v>
      </c>
      <c r="H10">
        <v>7</v>
      </c>
      <c r="I10" s="3" t="s">
        <v>3675</v>
      </c>
      <c r="J10">
        <v>33</v>
      </c>
      <c r="K10" t="s">
        <v>3676</v>
      </c>
      <c r="L10" s="31" t="s">
        <v>3677</v>
      </c>
    </row>
    <row r="11" spans="1:15" x14ac:dyDescent="0.25">
      <c r="A11" s="3">
        <v>7</v>
      </c>
      <c r="B11" t="s">
        <v>1427</v>
      </c>
      <c r="C11" t="s">
        <v>36</v>
      </c>
      <c r="D11" t="s">
        <v>4250</v>
      </c>
      <c r="F11" s="8" t="s">
        <v>1456</v>
      </c>
      <c r="G11" t="s">
        <v>1340</v>
      </c>
      <c r="H11">
        <v>8</v>
      </c>
      <c r="I11" s="3" t="s">
        <v>3684</v>
      </c>
      <c r="J11">
        <v>35</v>
      </c>
      <c r="K11" t="s">
        <v>3688</v>
      </c>
      <c r="L11" s="31" t="s">
        <v>3685</v>
      </c>
    </row>
    <row r="12" spans="1:15" x14ac:dyDescent="0.25">
      <c r="A12" s="3">
        <v>8</v>
      </c>
      <c r="B12" t="s">
        <v>1428</v>
      </c>
      <c r="C12" t="s">
        <v>78</v>
      </c>
      <c r="D12" t="s">
        <v>4251</v>
      </c>
      <c r="F12" s="8" t="s">
        <v>1457</v>
      </c>
      <c r="G12" t="s">
        <v>1331</v>
      </c>
      <c r="H12">
        <v>9</v>
      </c>
      <c r="I12" s="3" t="s">
        <v>3678</v>
      </c>
      <c r="J12">
        <v>34</v>
      </c>
      <c r="K12" t="s">
        <v>3679</v>
      </c>
      <c r="L12" s="31" t="s">
        <v>3680</v>
      </c>
    </row>
    <row r="13" spans="1:15" ht="16.5" customHeight="1" x14ac:dyDescent="0.25">
      <c r="A13" s="3">
        <v>9</v>
      </c>
      <c r="B13" t="s">
        <v>1429</v>
      </c>
      <c r="C13" t="s">
        <v>37</v>
      </c>
      <c r="D13" t="s">
        <v>4252</v>
      </c>
      <c r="F13" s="8" t="s">
        <v>1459</v>
      </c>
      <c r="G13" t="s">
        <v>1462</v>
      </c>
      <c r="H13">
        <v>10</v>
      </c>
      <c r="I13" s="3" t="s">
        <v>2741</v>
      </c>
      <c r="J13">
        <v>3</v>
      </c>
      <c r="K13" t="s">
        <v>2742</v>
      </c>
      <c r="L13" t="s">
        <v>1512</v>
      </c>
    </row>
    <row r="14" spans="1:15" x14ac:dyDescent="0.25">
      <c r="A14" s="3">
        <v>10</v>
      </c>
      <c r="B14" t="s">
        <v>1430</v>
      </c>
      <c r="C14" t="s">
        <v>79</v>
      </c>
      <c r="D14" t="s">
        <v>4253</v>
      </c>
      <c r="F14" s="8" t="s">
        <v>1458</v>
      </c>
      <c r="G14" t="s">
        <v>1338</v>
      </c>
      <c r="H14">
        <v>11</v>
      </c>
      <c r="I14" s="3" t="s">
        <v>1509</v>
      </c>
      <c r="J14">
        <v>4</v>
      </c>
      <c r="K14" t="s">
        <v>1510</v>
      </c>
      <c r="L14" t="s">
        <v>1513</v>
      </c>
    </row>
    <row r="15" spans="1:15" x14ac:dyDescent="0.25">
      <c r="A15" s="3">
        <v>11</v>
      </c>
      <c r="B15" t="s">
        <v>1431</v>
      </c>
      <c r="C15" t="s">
        <v>35</v>
      </c>
      <c r="D15" t="s">
        <v>4254</v>
      </c>
      <c r="F15" s="8" t="s">
        <v>1654</v>
      </c>
      <c r="G15" t="s">
        <v>1655</v>
      </c>
      <c r="H15">
        <v>12</v>
      </c>
      <c r="I15" s="3" t="s">
        <v>3256</v>
      </c>
      <c r="J15">
        <v>29</v>
      </c>
      <c r="K15" s="31" t="s">
        <v>1332</v>
      </c>
      <c r="L15" s="31" t="s">
        <v>3257</v>
      </c>
    </row>
    <row r="16" spans="1:15" x14ac:dyDescent="0.25">
      <c r="A16" s="3">
        <v>12</v>
      </c>
      <c r="B16" t="s">
        <v>1432</v>
      </c>
      <c r="C16" t="s">
        <v>80</v>
      </c>
      <c r="D16" t="s">
        <v>4255</v>
      </c>
      <c r="F16" s="8" t="s">
        <v>2728</v>
      </c>
      <c r="G16" t="s">
        <v>2729</v>
      </c>
      <c r="H16">
        <v>13</v>
      </c>
      <c r="I16" s="3" t="s">
        <v>3681</v>
      </c>
      <c r="J16">
        <v>36</v>
      </c>
      <c r="K16" t="s">
        <v>3682</v>
      </c>
      <c r="L16" s="31" t="s">
        <v>3683</v>
      </c>
    </row>
    <row r="17" spans="1:12" x14ac:dyDescent="0.25">
      <c r="A17" s="3">
        <v>13</v>
      </c>
      <c r="B17" t="s">
        <v>1433</v>
      </c>
      <c r="C17" t="s">
        <v>40</v>
      </c>
      <c r="D17" t="s">
        <v>4256</v>
      </c>
      <c r="F17" s="8" t="s">
        <v>3666</v>
      </c>
      <c r="G17" t="s">
        <v>3667</v>
      </c>
      <c r="H17">
        <v>14</v>
      </c>
      <c r="I17" s="3" t="s">
        <v>3182</v>
      </c>
      <c r="J17">
        <v>23</v>
      </c>
      <c r="K17" s="31" t="s">
        <v>3183</v>
      </c>
      <c r="L17" s="31" t="s">
        <v>3184</v>
      </c>
    </row>
    <row r="18" spans="1:12" x14ac:dyDescent="0.25">
      <c r="A18" s="3">
        <v>14</v>
      </c>
      <c r="B18" t="s">
        <v>1434</v>
      </c>
      <c r="C18" t="s">
        <v>726</v>
      </c>
      <c r="D18" t="s">
        <v>4257</v>
      </c>
      <c r="F18" s="3" t="s">
        <v>3701</v>
      </c>
      <c r="G18" t="s">
        <v>3702</v>
      </c>
      <c r="I18" s="3" t="s">
        <v>3205</v>
      </c>
      <c r="J18">
        <v>21</v>
      </c>
      <c r="K18" t="s">
        <v>3206</v>
      </c>
      <c r="L18" s="31" t="s">
        <v>3245</v>
      </c>
    </row>
    <row r="19" spans="1:12" x14ac:dyDescent="0.25">
      <c r="A19" s="3">
        <v>15</v>
      </c>
      <c r="B19" t="s">
        <v>1485</v>
      </c>
      <c r="C19" t="s">
        <v>1466</v>
      </c>
      <c r="D19" t="s">
        <v>4258</v>
      </c>
      <c r="I19" s="3" t="s">
        <v>3179</v>
      </c>
      <c r="J19">
        <v>22</v>
      </c>
      <c r="K19" s="31" t="s">
        <v>3180</v>
      </c>
      <c r="L19" s="31" t="s">
        <v>3181</v>
      </c>
    </row>
    <row r="20" spans="1:12" x14ac:dyDescent="0.25">
      <c r="A20" s="3">
        <v>16</v>
      </c>
      <c r="B20" t="s">
        <v>1465</v>
      </c>
      <c r="C20" t="s">
        <v>1467</v>
      </c>
      <c r="D20" t="s">
        <v>4259</v>
      </c>
      <c r="F20" s="47" t="s">
        <v>1460</v>
      </c>
      <c r="G20" t="s">
        <v>3558</v>
      </c>
      <c r="I20" s="3" t="s">
        <v>3698</v>
      </c>
      <c r="J20">
        <v>37</v>
      </c>
      <c r="K20" t="s">
        <v>3699</v>
      </c>
      <c r="L20" s="31" t="s">
        <v>3700</v>
      </c>
    </row>
    <row r="21" spans="1:12" x14ac:dyDescent="0.25">
      <c r="A21" s="3">
        <v>17</v>
      </c>
      <c r="B21" t="s">
        <v>1618</v>
      </c>
      <c r="C21" t="s">
        <v>1619</v>
      </c>
      <c r="D21" t="s">
        <v>4260</v>
      </c>
      <c r="I21" s="3" t="s">
        <v>3187</v>
      </c>
      <c r="J21">
        <v>24</v>
      </c>
      <c r="K21" s="31" t="s">
        <v>3188</v>
      </c>
      <c r="L21" s="31" t="s">
        <v>3189</v>
      </c>
    </row>
    <row r="22" spans="1:12" x14ac:dyDescent="0.25">
      <c r="A22" s="3">
        <v>18</v>
      </c>
      <c r="B22" t="s">
        <v>1586</v>
      </c>
      <c r="C22" t="s">
        <v>1587</v>
      </c>
      <c r="D22" t="s">
        <v>4261</v>
      </c>
      <c r="I22" s="3" t="s">
        <v>4006</v>
      </c>
      <c r="J22">
        <v>38</v>
      </c>
      <c r="K22" t="s">
        <v>4007</v>
      </c>
      <c r="L22" s="31" t="s">
        <v>4008</v>
      </c>
    </row>
    <row r="23" spans="1:12" x14ac:dyDescent="0.25">
      <c r="A23" s="3">
        <v>19</v>
      </c>
      <c r="B23" t="s">
        <v>1771</v>
      </c>
      <c r="C23" t="s">
        <v>1772</v>
      </c>
      <c r="D23" t="s">
        <v>4262</v>
      </c>
      <c r="I23" s="3" t="s">
        <v>3253</v>
      </c>
      <c r="J23">
        <v>28</v>
      </c>
      <c r="K23" t="s">
        <v>3254</v>
      </c>
      <c r="L23" t="s">
        <v>3255</v>
      </c>
    </row>
    <row r="24" spans="1:12" x14ac:dyDescent="0.25">
      <c r="A24" s="3">
        <v>20</v>
      </c>
      <c r="B24" t="s">
        <v>2137</v>
      </c>
      <c r="C24" t="s">
        <v>2138</v>
      </c>
      <c r="D24" t="s">
        <v>4263</v>
      </c>
      <c r="I24" s="3" t="s">
        <v>3557</v>
      </c>
      <c r="J24">
        <v>31</v>
      </c>
      <c r="K24" s="31" t="s">
        <v>3559</v>
      </c>
      <c r="L24" s="31" t="s">
        <v>3560</v>
      </c>
    </row>
    <row r="25" spans="1:12" x14ac:dyDescent="0.25">
      <c r="A25" s="3">
        <v>21</v>
      </c>
      <c r="B25" t="s">
        <v>2361</v>
      </c>
      <c r="C25" t="s">
        <v>2362</v>
      </c>
      <c r="D25" t="s">
        <v>4264</v>
      </c>
      <c r="I25" s="3" t="s">
        <v>3686</v>
      </c>
      <c r="J25">
        <v>32</v>
      </c>
      <c r="K25" t="s">
        <v>3687</v>
      </c>
      <c r="L25" t="s">
        <v>3674</v>
      </c>
    </row>
    <row r="26" spans="1:12" x14ac:dyDescent="0.25">
      <c r="A26" s="3">
        <v>22</v>
      </c>
      <c r="B26" t="s">
        <v>2359</v>
      </c>
      <c r="C26" t="s">
        <v>2360</v>
      </c>
      <c r="D26" t="s">
        <v>4265</v>
      </c>
      <c r="I26" s="3" t="s">
        <v>1554</v>
      </c>
      <c r="J26">
        <v>13</v>
      </c>
      <c r="K26" s="31" t="s">
        <v>1555</v>
      </c>
      <c r="L26" t="s">
        <v>1556</v>
      </c>
    </row>
    <row r="27" spans="1:12" x14ac:dyDescent="0.25">
      <c r="A27" s="3">
        <v>23</v>
      </c>
      <c r="B27" t="s">
        <v>2501</v>
      </c>
      <c r="C27" t="s">
        <v>2502</v>
      </c>
      <c r="D27" t="s">
        <v>4266</v>
      </c>
      <c r="I27" s="3" t="s">
        <v>1588</v>
      </c>
      <c r="J27">
        <v>14</v>
      </c>
      <c r="K27" s="31" t="s">
        <v>1589</v>
      </c>
      <c r="L27" t="s">
        <v>1590</v>
      </c>
    </row>
    <row r="28" spans="1:12" x14ac:dyDescent="0.25">
      <c r="A28" s="3">
        <v>24</v>
      </c>
      <c r="B28" t="s">
        <v>2629</v>
      </c>
      <c r="C28" t="s">
        <v>2416</v>
      </c>
      <c r="D28" t="s">
        <v>4267</v>
      </c>
      <c r="I28" s="3" t="s">
        <v>1551</v>
      </c>
      <c r="J28">
        <v>12</v>
      </c>
      <c r="K28" s="31" t="s">
        <v>1552</v>
      </c>
      <c r="L28" t="s">
        <v>1553</v>
      </c>
    </row>
    <row r="29" spans="1:12" x14ac:dyDescent="0.25">
      <c r="A29" s="3">
        <v>25</v>
      </c>
      <c r="B29" t="s">
        <v>2683</v>
      </c>
      <c r="C29" t="s">
        <v>2684</v>
      </c>
      <c r="D29" t="s">
        <v>4268</v>
      </c>
      <c r="I29" s="3" t="s">
        <v>1515</v>
      </c>
      <c r="J29">
        <v>1</v>
      </c>
      <c r="K29" t="s">
        <v>1516</v>
      </c>
      <c r="L29" t="s">
        <v>1517</v>
      </c>
    </row>
    <row r="30" spans="1:12" x14ac:dyDescent="0.25">
      <c r="A30" s="3">
        <v>26</v>
      </c>
      <c r="B30" t="s">
        <v>3296</v>
      </c>
      <c r="C30" t="s">
        <v>3295</v>
      </c>
      <c r="D30" t="s">
        <v>4269</v>
      </c>
      <c r="I30" s="3" t="s">
        <v>3237</v>
      </c>
      <c r="J30">
        <v>27</v>
      </c>
      <c r="K30" s="31" t="s">
        <v>3238</v>
      </c>
      <c r="L30" s="31" t="s">
        <v>3239</v>
      </c>
    </row>
    <row r="31" spans="1:12" x14ac:dyDescent="0.25">
      <c r="A31" s="3">
        <v>27</v>
      </c>
      <c r="B31" t="s">
        <v>3352</v>
      </c>
      <c r="C31" t="s">
        <v>3353</v>
      </c>
      <c r="D31" s="129" t="s">
        <v>4270</v>
      </c>
      <c r="I31" s="3" t="s">
        <v>1518</v>
      </c>
      <c r="J31">
        <v>6</v>
      </c>
      <c r="K31" t="s">
        <v>2730</v>
      </c>
      <c r="L31" t="s">
        <v>2731</v>
      </c>
    </row>
    <row r="32" spans="1:12" x14ac:dyDescent="0.25">
      <c r="A32" s="3">
        <v>28</v>
      </c>
      <c r="B32" t="s">
        <v>3387</v>
      </c>
      <c r="C32" t="s">
        <v>3388</v>
      </c>
      <c r="D32" t="s">
        <v>4271</v>
      </c>
      <c r="I32" s="3" t="s">
        <v>1534</v>
      </c>
      <c r="J32">
        <v>7</v>
      </c>
      <c r="K32" s="31" t="s">
        <v>1540</v>
      </c>
      <c r="L32" s="31" t="s">
        <v>1543</v>
      </c>
    </row>
    <row r="33" spans="1:12" x14ac:dyDescent="0.25">
      <c r="A33" s="3">
        <v>29</v>
      </c>
      <c r="B33" t="s">
        <v>3525</v>
      </c>
      <c r="C33" t="s">
        <v>3526</v>
      </c>
      <c r="D33" t="s">
        <v>4272</v>
      </c>
      <c r="I33" s="3" t="s">
        <v>1536</v>
      </c>
      <c r="J33">
        <v>9</v>
      </c>
      <c r="K33" s="31" t="s">
        <v>1539</v>
      </c>
      <c r="L33" t="s">
        <v>1542</v>
      </c>
    </row>
    <row r="34" spans="1:12" ht="105" x14ac:dyDescent="0.25">
      <c r="A34" s="3">
        <v>30</v>
      </c>
      <c r="B34" t="s">
        <v>3608</v>
      </c>
      <c r="C34" t="s">
        <v>3609</v>
      </c>
      <c r="D34" t="s">
        <v>4273</v>
      </c>
      <c r="I34" s="3" t="s">
        <v>1537</v>
      </c>
      <c r="J34">
        <v>10</v>
      </c>
      <c r="K34" s="32" t="s">
        <v>1544</v>
      </c>
      <c r="L34" s="20" t="s">
        <v>1545</v>
      </c>
    </row>
    <row r="35" spans="1:12" x14ac:dyDescent="0.25">
      <c r="A35" s="3">
        <v>31</v>
      </c>
      <c r="B35" t="s">
        <v>3672</v>
      </c>
      <c r="C35" t="s">
        <v>3668</v>
      </c>
      <c r="I35" s="3" t="s">
        <v>3460</v>
      </c>
      <c r="J35">
        <v>30</v>
      </c>
      <c r="K35" t="s">
        <v>3461</v>
      </c>
      <c r="L35" s="31" t="s">
        <v>3462</v>
      </c>
    </row>
    <row r="36" spans="1:12" x14ac:dyDescent="0.25">
      <c r="A36" s="3">
        <v>32</v>
      </c>
      <c r="B36" t="s">
        <v>3696</v>
      </c>
      <c r="C36" t="s">
        <v>3697</v>
      </c>
      <c r="I36" s="3" t="s">
        <v>3193</v>
      </c>
      <c r="J36">
        <v>25</v>
      </c>
      <c r="K36" s="31" t="s">
        <v>3194</v>
      </c>
      <c r="L36" s="31" t="s">
        <v>3195</v>
      </c>
    </row>
    <row r="37" spans="1:12" x14ac:dyDescent="0.25">
      <c r="A37" s="3">
        <v>33</v>
      </c>
      <c r="B37" t="s">
        <v>3836</v>
      </c>
      <c r="C37" t="s">
        <v>3837</v>
      </c>
      <c r="D37" t="s">
        <v>4274</v>
      </c>
      <c r="I37" s="3" t="s">
        <v>3169</v>
      </c>
      <c r="J37">
        <v>20</v>
      </c>
      <c r="K37" s="31" t="s">
        <v>3171</v>
      </c>
      <c r="L37" s="31" t="s">
        <v>3170</v>
      </c>
    </row>
    <row r="38" spans="1:12" x14ac:dyDescent="0.25">
      <c r="A38" s="3">
        <v>34</v>
      </c>
      <c r="B38" t="s">
        <v>3879</v>
      </c>
      <c r="C38" t="s">
        <v>3880</v>
      </c>
      <c r="D38" t="s">
        <v>4275</v>
      </c>
      <c r="I38" s="3" t="s">
        <v>1535</v>
      </c>
      <c r="J38">
        <v>8</v>
      </c>
      <c r="K38" s="31" t="s">
        <v>1538</v>
      </c>
      <c r="L38" t="s">
        <v>1541</v>
      </c>
    </row>
    <row r="39" spans="1:12" x14ac:dyDescent="0.25">
      <c r="A39" s="3">
        <v>35</v>
      </c>
      <c r="B39" t="s">
        <v>3980</v>
      </c>
      <c r="C39" t="s">
        <v>3981</v>
      </c>
      <c r="I39" s="3" t="s">
        <v>3165</v>
      </c>
      <c r="J39">
        <v>19</v>
      </c>
      <c r="K39" s="31" t="s">
        <v>3164</v>
      </c>
      <c r="L39" s="31" t="s">
        <v>3166</v>
      </c>
    </row>
    <row r="40" spans="1:12" x14ac:dyDescent="0.25">
      <c r="A40" s="3">
        <v>36</v>
      </c>
      <c r="B40" t="s">
        <v>4004</v>
      </c>
      <c r="C40" t="s">
        <v>4005</v>
      </c>
      <c r="I40" s="3" t="s">
        <v>2732</v>
      </c>
      <c r="J40">
        <v>17</v>
      </c>
      <c r="K40" s="31" t="s">
        <v>2733</v>
      </c>
      <c r="L40" s="31" t="s">
        <v>2734</v>
      </c>
    </row>
    <row r="41" spans="1:12" x14ac:dyDescent="0.25">
      <c r="A41" s="3">
        <v>37</v>
      </c>
      <c r="B41" t="s">
        <v>4024</v>
      </c>
      <c r="C41" t="s">
        <v>4025</v>
      </c>
      <c r="D41" t="s">
        <v>4276</v>
      </c>
      <c r="I41" s="3" t="s">
        <v>3234</v>
      </c>
      <c r="J41">
        <v>26</v>
      </c>
      <c r="K41" t="s">
        <v>3235</v>
      </c>
      <c r="L41" s="31" t="s">
        <v>3236</v>
      </c>
    </row>
    <row r="42" spans="1:12" x14ac:dyDescent="0.25">
      <c r="A42" s="3">
        <v>38</v>
      </c>
      <c r="B42" t="s">
        <v>4059</v>
      </c>
      <c r="C42" t="s">
        <v>4060</v>
      </c>
      <c r="D42" t="s">
        <v>4277</v>
      </c>
    </row>
    <row r="43" spans="1:12" x14ac:dyDescent="0.25">
      <c r="A43" s="3">
        <v>39</v>
      </c>
      <c r="B43" t="s">
        <v>4106</v>
      </c>
      <c r="C43" t="s">
        <v>4107</v>
      </c>
      <c r="D43" t="s">
        <v>4278</v>
      </c>
      <c r="I43" s="46" t="s">
        <v>1557</v>
      </c>
      <c r="K43" t="s">
        <v>1773</v>
      </c>
      <c r="L43" t="s">
        <v>1659</v>
      </c>
    </row>
    <row r="44" spans="1:12" x14ac:dyDescent="0.25">
      <c r="A44" s="3">
        <v>40</v>
      </c>
      <c r="B44" t="s">
        <v>4173</v>
      </c>
      <c r="C44" t="s">
        <v>4174</v>
      </c>
      <c r="D44" t="s">
        <v>4279</v>
      </c>
      <c r="I44" s="46"/>
    </row>
    <row r="45" spans="1:12" x14ac:dyDescent="0.25">
      <c r="I45" s="46"/>
    </row>
    <row r="46" spans="1:12" x14ac:dyDescent="0.25">
      <c r="B46" s="42" t="s">
        <v>1644</v>
      </c>
      <c r="C46" s="42" t="s">
        <v>2388</v>
      </c>
    </row>
    <row r="54" spans="1:7" x14ac:dyDescent="0.25">
      <c r="A54" s="7" t="s">
        <v>3501</v>
      </c>
      <c r="B54" s="1" t="s">
        <v>3506</v>
      </c>
      <c r="C54" s="1" t="s">
        <v>3507</v>
      </c>
      <c r="F54" s="3" t="s">
        <v>86</v>
      </c>
      <c r="G54" s="1" t="s">
        <v>87</v>
      </c>
    </row>
    <row r="55" spans="1:7" x14ac:dyDescent="0.25">
      <c r="A55" s="7">
        <v>0</v>
      </c>
      <c r="B55" s="42" t="s">
        <v>3510</v>
      </c>
      <c r="C55" s="1" t="s">
        <v>3511</v>
      </c>
      <c r="F55" s="8">
        <v>1</v>
      </c>
      <c r="G55" t="s">
        <v>90</v>
      </c>
    </row>
    <row r="56" spans="1:7" x14ac:dyDescent="0.25">
      <c r="A56" s="3">
        <v>0</v>
      </c>
      <c r="B56" s="82" t="s">
        <v>3502</v>
      </c>
      <c r="C56" t="s">
        <v>3513</v>
      </c>
      <c r="F56" s="8">
        <v>2</v>
      </c>
      <c r="G56" t="s">
        <v>89</v>
      </c>
    </row>
    <row r="57" spans="1:7" x14ac:dyDescent="0.25">
      <c r="A57" s="3">
        <v>1</v>
      </c>
      <c r="B57" s="82" t="s">
        <v>3503</v>
      </c>
      <c r="C57" t="s">
        <v>3514</v>
      </c>
      <c r="F57" s="8">
        <v>3</v>
      </c>
      <c r="G57" t="s">
        <v>88</v>
      </c>
    </row>
    <row r="58" spans="1:7" x14ac:dyDescent="0.25">
      <c r="A58" s="3">
        <v>2</v>
      </c>
      <c r="B58" s="82" t="s">
        <v>3504</v>
      </c>
      <c r="C58" t="s">
        <v>3515</v>
      </c>
    </row>
    <row r="59" spans="1:7" x14ac:dyDescent="0.25">
      <c r="A59" s="3">
        <v>3</v>
      </c>
      <c r="B59" s="82" t="s">
        <v>3505</v>
      </c>
      <c r="C59" t="s">
        <v>3516</v>
      </c>
    </row>
    <row r="60" spans="1:7" x14ac:dyDescent="0.25">
      <c r="A60" s="3">
        <v>4</v>
      </c>
      <c r="B60" s="82" t="s">
        <v>3670</v>
      </c>
      <c r="C60" t="s">
        <v>3671</v>
      </c>
    </row>
    <row r="61" spans="1:7" x14ac:dyDescent="0.25">
      <c r="A61" s="3">
        <v>5</v>
      </c>
      <c r="B61" s="82" t="s">
        <v>4199</v>
      </c>
      <c r="C61" t="s">
        <v>4200</v>
      </c>
    </row>
    <row r="62" spans="1:7" x14ac:dyDescent="0.25">
      <c r="B62" s="82"/>
    </row>
    <row r="63" spans="1:7" x14ac:dyDescent="0.25">
      <c r="B63" s="42" t="s">
        <v>3509</v>
      </c>
      <c r="C63" s="1" t="s">
        <v>3512</v>
      </c>
    </row>
  </sheetData>
  <mergeCells count="1">
    <mergeCell ref="A1:I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H696" activePane="bottomRight" state="frozen"/>
      <selection pane="topRight" activeCell="H1" sqref="H1"/>
      <selection pane="bottomLeft" activeCell="A3" sqref="A3"/>
      <selection pane="bottomRight" activeCell="B719" sqref="B719"/>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00.7109375" style="18" customWidth="1"/>
    <col min="61" max="61" width="150.7109375" style="18" customWidth="1"/>
  </cols>
  <sheetData>
    <row r="1" spans="1:61" s="33" customFormat="1" x14ac:dyDescent="0.25">
      <c r="A1" s="132"/>
      <c r="B1" s="132"/>
      <c r="C1" s="132"/>
      <c r="D1" s="54" t="s">
        <v>4218</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1766</v>
      </c>
      <c r="J2" s="10" t="s">
        <v>1360</v>
      </c>
      <c r="K2" s="10" t="s">
        <v>1419</v>
      </c>
      <c r="L2" s="10" t="s">
        <v>1358</v>
      </c>
      <c r="M2" s="10" t="s">
        <v>1359</v>
      </c>
      <c r="N2" s="10" t="s">
        <v>1357</v>
      </c>
      <c r="O2" s="57" t="s">
        <v>1765</v>
      </c>
      <c r="P2" s="57" t="s">
        <v>3246</v>
      </c>
      <c r="Q2" s="12" t="s">
        <v>1319</v>
      </c>
      <c r="R2" s="20" t="s">
        <v>1362</v>
      </c>
      <c r="S2" s="57" t="s">
        <v>4297</v>
      </c>
      <c r="T2" s="19" t="s">
        <v>4296</v>
      </c>
      <c r="U2" s="3" t="s">
        <v>75</v>
      </c>
      <c r="V2" s="29" t="s">
        <v>1502</v>
      </c>
      <c r="W2" s="12" t="s">
        <v>1490</v>
      </c>
      <c r="X2" s="12" t="s">
        <v>1491</v>
      </c>
      <c r="Y2" s="57" t="s">
        <v>2682</v>
      </c>
      <c r="Z2" s="12" t="s">
        <v>1320</v>
      </c>
      <c r="AA2" s="20" t="s">
        <v>1363</v>
      </c>
      <c r="AB2" s="29" t="s">
        <v>1506</v>
      </c>
      <c r="AC2" s="12" t="s">
        <v>1492</v>
      </c>
      <c r="AD2" s="12" t="s">
        <v>1493</v>
      </c>
      <c r="AE2" s="12" t="s">
        <v>3244</v>
      </c>
      <c r="AF2" s="12" t="s">
        <v>1321</v>
      </c>
      <c r="AG2" s="20" t="s">
        <v>1364</v>
      </c>
      <c r="AH2" s="30" t="s">
        <v>2736</v>
      </c>
      <c r="AI2" s="12" t="s">
        <v>1494</v>
      </c>
      <c r="AJ2" s="12" t="s">
        <v>1495</v>
      </c>
      <c r="AK2" s="12" t="s">
        <v>1402</v>
      </c>
      <c r="AL2" s="20" t="s">
        <v>1403</v>
      </c>
      <c r="AM2" s="29" t="s">
        <v>1546</v>
      </c>
      <c r="AN2" s="12" t="s">
        <v>1496</v>
      </c>
      <c r="AO2" s="12" t="s">
        <v>1497</v>
      </c>
      <c r="AP2" s="12" t="s">
        <v>1404</v>
      </c>
      <c r="AQ2" s="20" t="s">
        <v>1405</v>
      </c>
      <c r="AR2" s="29" t="s">
        <v>1547</v>
      </c>
      <c r="AS2" s="12" t="s">
        <v>1498</v>
      </c>
      <c r="AT2" s="12" t="s">
        <v>1499</v>
      </c>
      <c r="AU2" s="12" t="s">
        <v>1415</v>
      </c>
      <c r="AV2" s="20" t="s">
        <v>1416</v>
      </c>
      <c r="AW2" s="29" t="s">
        <v>1548</v>
      </c>
      <c r="AX2" s="12" t="s">
        <v>1500</v>
      </c>
      <c r="AY2" s="12" t="s">
        <v>1501</v>
      </c>
      <c r="AZ2" s="70" t="s">
        <v>2628</v>
      </c>
      <c r="BA2" s="70" t="s">
        <v>3240</v>
      </c>
      <c r="BB2" s="70" t="s">
        <v>3241</v>
      </c>
      <c r="BC2" s="70" t="s">
        <v>3722</v>
      </c>
      <c r="BD2" s="70" t="s">
        <v>3868</v>
      </c>
      <c r="BE2" s="17" t="s">
        <v>3249</v>
      </c>
      <c r="BF2" s="17" t="s">
        <v>3250</v>
      </c>
      <c r="BG2" s="17" t="s">
        <v>3251</v>
      </c>
      <c r="BH2" s="17" t="s">
        <v>3247</v>
      </c>
      <c r="BI2" s="17" t="s">
        <v>3248</v>
      </c>
    </row>
    <row r="3" spans="1:61" x14ac:dyDescent="0.25">
      <c r="A3" s="11">
        <v>19</v>
      </c>
      <c r="B3" t="s">
        <v>727</v>
      </c>
      <c r="C3" t="s">
        <v>728</v>
      </c>
      <c r="D3" s="3">
        <f t="shared" ref="D3:D66" si="0">A3</f>
        <v>19</v>
      </c>
      <c r="G3" s="8" t="s">
        <v>1454</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DLCs'!$A$3:$D$99999,4,FALSE))</f>
        <v>DLC_BASE_GAME</v>
      </c>
      <c r="U3" s="3" t="str">
        <f>IF(T3&lt;&gt;"",VLOOKUP(T3,'&lt;Constants&gt;'!$B$4:$C$1020,2,FALSE),"")</f>
        <v>Included in base game</v>
      </c>
      <c r="V3" s="83" t="s">
        <v>3253</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2626</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1457</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DLCs'!$A$3:$D$99999,4,FALSE))</f>
        <v>DLC_BASE_GAME</v>
      </c>
      <c r="U4" s="3" t="str">
        <f>IF(T4&lt;&gt;"",VLOOKUP(T4,'&lt;Constants&gt;'!$B$4:$C$1020,2,FALSE),"")</f>
        <v>Included in base game</v>
      </c>
      <c r="V4" s="83" t="s">
        <v>1534</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1535</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1536</v>
      </c>
      <c r="AI4" s="38"/>
      <c r="AJ4" s="38"/>
      <c r="AK4" s="3">
        <f>IF(AND(G4&lt;&gt;"LIBSETS_SETTYPE_BATTLEGROUND",G4&lt;&gt;"LIBSETS_SETTYPE_SPECIAL"),IF(AL4&lt;&gt;"",VLOOKUP(AL4,'ESO zones'!$D$5:$H$4958,5,FALSE),""),"")</f>
        <v>103</v>
      </c>
      <c r="AL4" t="s">
        <v>110</v>
      </c>
      <c r="AM4" s="39" t="s">
        <v>1537</v>
      </c>
      <c r="AN4" s="38"/>
      <c r="AO4" s="38"/>
      <c r="AP4" s="3">
        <f>IF(AND(G4&lt;&gt;"LIBSETS_SETTYPE_BATTLEGROUND",G4&lt;&gt;"LIBSETS_SETTYPE_SPECIAL"),IF(AQ4&lt;&gt;"",VLOOKUP(AQ4,'ESO zones'!$D$5:$H$4958,5,FALSE),""),"")</f>
        <v>103</v>
      </c>
      <c r="AQ4" t="s">
        <v>110</v>
      </c>
      <c r="AR4" s="118" t="s">
        <v>3193</v>
      </c>
      <c r="AS4" s="38"/>
      <c r="AT4" s="38"/>
      <c r="AU4" s="3" t="str">
        <f>IF(AND(G4&lt;&gt;"LIBSETS_SETTYPE_BATTLEGROUND",G4&lt;&gt;"LIBSETS_SETTYPE_SPECIAL"),IF(AV4&lt;&gt;"",VLOOKUP(AV4,'ESO zones'!$D$5:$H$4958,5,FALSE),""),"")</f>
        <v/>
      </c>
      <c r="AW4" s="39"/>
      <c r="AX4" s="38"/>
      <c r="AY4" s="38"/>
      <c r="AZ4" s="72" t="s">
        <v>2626</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1457</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DLCs'!$A$3:$D$99999,4,FALSE))</f>
        <v>DLC_BASE_GAME</v>
      </c>
      <c r="U5" s="3" t="str">
        <f>IF(T5&lt;&gt;"",VLOOKUP(T5,'&lt;Constants&gt;'!$B$4:$C$1020,2,FALSE),"")</f>
        <v>Included in base game</v>
      </c>
      <c r="V5" s="83" t="s">
        <v>1534</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1535</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1536</v>
      </c>
      <c r="AI5" s="38"/>
      <c r="AJ5" s="38"/>
      <c r="AK5" s="3">
        <f>IF(AND(G5&lt;&gt;"LIBSETS_SETTYPE_BATTLEGROUND",G5&lt;&gt;"LIBSETS_SETTYPE_SPECIAL"),IF(AL5&lt;&gt;"",VLOOKUP(AL5,'ESO zones'!$D$5:$H$4958,5,FALSE),""),"")</f>
        <v>101</v>
      </c>
      <c r="AL5" t="s">
        <v>109</v>
      </c>
      <c r="AM5" s="39" t="s">
        <v>1537</v>
      </c>
      <c r="AN5" s="38"/>
      <c r="AO5" s="38"/>
      <c r="AP5" s="3">
        <f>IF(AND(G5&lt;&gt;"LIBSETS_SETTYPE_BATTLEGROUND",G5&lt;&gt;"LIBSETS_SETTYPE_SPECIAL"),IF(AQ5&lt;&gt;"",VLOOKUP(AQ5,'ESO zones'!$D$5:$H$4958,5,FALSE),""),"")</f>
        <v>101</v>
      </c>
      <c r="AQ5" t="s">
        <v>109</v>
      </c>
      <c r="AR5" s="118" t="s">
        <v>3193</v>
      </c>
      <c r="AS5" s="38"/>
      <c r="AT5" s="38"/>
      <c r="AU5" s="3" t="str">
        <f>IF(AND(G5&lt;&gt;"LIBSETS_SETTYPE_BATTLEGROUND",G5&lt;&gt;"LIBSETS_SETTYPE_SPECIAL"),IF(AV5&lt;&gt;"",VLOOKUP(AV5,'ESO zones'!$D$5:$H$4958,5,FALSE),""),"")</f>
        <v/>
      </c>
      <c r="AW5" s="39"/>
      <c r="AX5" s="38"/>
      <c r="AY5" s="38"/>
      <c r="AZ5" s="72" t="s">
        <v>2627</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2506</v>
      </c>
      <c r="D6" s="3">
        <f t="shared" si="0"/>
        <v>22</v>
      </c>
      <c r="G6" s="8" t="s">
        <v>1457</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DLCs'!$A$3:$D$99999,4,FALSE))</f>
        <v>DLC_BASE_GAME</v>
      </c>
      <c r="U6" s="3" t="str">
        <f>IF(T6&lt;&gt;"",VLOOKUP(T6,'&lt;Constants&gt;'!$B$4:$C$1020,2,FALSE),"")</f>
        <v>Included in base game</v>
      </c>
      <c r="V6" s="83" t="s">
        <v>1534</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1535</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1536</v>
      </c>
      <c r="AI6" s="38"/>
      <c r="AJ6" s="38"/>
      <c r="AK6" s="3">
        <f>IF(AND(G6&lt;&gt;"LIBSETS_SETTYPE_BATTLEGROUND",G6&lt;&gt;"LIBSETS_SETTYPE_SPECIAL"),IF(AL6&lt;&gt;"",VLOOKUP(AL6,'ESO zones'!$D$5:$H$4958,5,FALSE),""),"")</f>
        <v>19</v>
      </c>
      <c r="AL6" t="s">
        <v>103</v>
      </c>
      <c r="AM6" s="39" t="s">
        <v>1537</v>
      </c>
      <c r="AN6" s="38"/>
      <c r="AO6" s="38"/>
      <c r="AP6" s="3">
        <f>IF(AND(G6&lt;&gt;"LIBSETS_SETTYPE_BATTLEGROUND",G6&lt;&gt;"LIBSETS_SETTYPE_SPECIAL"),IF(AQ6&lt;&gt;"",VLOOKUP(AQ6,'ESO zones'!$D$5:$H$4958,5,FALSE),""),"")</f>
        <v>19</v>
      </c>
      <c r="AQ6" t="s">
        <v>103</v>
      </c>
      <c r="AR6" s="118" t="s">
        <v>3193</v>
      </c>
      <c r="AS6" s="38"/>
      <c r="AT6" s="38"/>
      <c r="AU6" s="3" t="str">
        <f>IF(AND(G6&lt;&gt;"LIBSETS_SETTYPE_BATTLEGROUND",G6&lt;&gt;"LIBSETS_SETTYPE_SPECIAL"),IF(AV6&lt;&gt;"",VLOOKUP(AV6,'ESO zones'!$D$5:$H$4958,5,FALSE),""),"")</f>
        <v/>
      </c>
      <c r="AW6" s="39"/>
      <c r="AX6" s="38"/>
      <c r="AY6" s="38"/>
      <c r="AZ6" s="72" t="s">
        <v>2626</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2507</v>
      </c>
      <c r="D7" s="3">
        <f t="shared" si="0"/>
        <v>23</v>
      </c>
      <c r="E7" s="37"/>
      <c r="G7" s="8" t="s">
        <v>1449</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DLCs'!$A$3:$D$99999,4,FALSE))</f>
        <v>DLC_BASE_GAME</v>
      </c>
      <c r="U7" s="3" t="str">
        <f>IF(T7&lt;&gt;"",VLOOKUP(T7,'&lt;Constants&gt;'!$B$4:$C$1020,2,FALSE),"")</f>
        <v>Included in base game</v>
      </c>
      <c r="V7" s="83" t="s">
        <v>1530</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1530</v>
      </c>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2627</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2508</v>
      </c>
      <c r="D8" s="3">
        <f t="shared" si="0"/>
        <v>24</v>
      </c>
      <c r="G8" s="8" t="s">
        <v>1449</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DLCs'!$A$3:$D$99999,4,FALSE))</f>
        <v>DLC_BASE_GAME</v>
      </c>
      <c r="U8" s="3" t="str">
        <f>IF(T8&lt;&gt;"",VLOOKUP(T8,'&lt;Constants&gt;'!$B$4:$C$1020,2,FALSE),"")</f>
        <v>Included in base game</v>
      </c>
      <c r="V8" s="83" t="s">
        <v>1530</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1530</v>
      </c>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2626</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1452</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DLCs'!$A$3:$D$99999,4,FALSE))</f>
        <v>DLC_BASE_GAME</v>
      </c>
      <c r="U9" s="3" t="str">
        <f>IF(T9&lt;&gt;"",VLOOKUP(T9,'&lt;Constants&gt;'!$B$4:$C$1020,2,FALSE),"")</f>
        <v>Included in base game</v>
      </c>
      <c r="V9" s="83" t="s">
        <v>2741</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3681</v>
      </c>
      <c r="AE9" s="125">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2736</v>
      </c>
      <c r="AK9" s="3">
        <f>IF(AND(G9&lt;&gt;"LIBSETS_SETTYPE_BATTLEGROUND",G9&lt;&gt;"LIBSETS_SETTYPE_SPECIAL"),IF(AL9&lt;&gt;"",VLOOKUP(AL9,'ESO zones'!$D$5:$H$4958,5,FALSE),""),"")</f>
        <v>181</v>
      </c>
      <c r="AL9" t="s">
        <v>124</v>
      </c>
      <c r="AM9" s="30" t="s">
        <v>3684</v>
      </c>
      <c r="AP9" s="3">
        <f>IF(AND(G9&lt;&gt;"LIBSETS_SETTYPE_BATTLEGROUND",G9&lt;&gt;"LIBSETS_SETTYPE_SPECIAL"),IF(AQ9&lt;&gt;"",VLOOKUP(AQ9,'ESO zones'!$D$5:$H$4958,5,FALSE),""),"")</f>
        <v>181</v>
      </c>
      <c r="AQ9" t="s">
        <v>124</v>
      </c>
      <c r="AR9" s="30" t="s">
        <v>1534</v>
      </c>
      <c r="AU9" s="3">
        <f>IF(AND(G9&lt;&gt;"LIBSETS_SETTYPE_BATTLEGROUND",G9&lt;&gt;"LIBSETS_SETTYPE_SPECIAL"),IF(AV9&lt;&gt;"",VLOOKUP(AV9,'ESO zones'!$D$5:$H$4958,5,FALSE),""),"")</f>
        <v>181</v>
      </c>
      <c r="AV9" t="s">
        <v>124</v>
      </c>
      <c r="AW9" s="30" t="s">
        <v>3205</v>
      </c>
      <c r="AZ9" s="72" t="s">
        <v>2626</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2509</v>
      </c>
      <c r="D10" s="3">
        <f t="shared" si="0"/>
        <v>26</v>
      </c>
      <c r="E10" s="37"/>
      <c r="G10" s="8" t="s">
        <v>1457</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DLCs'!$A$3:$D$99999,4,FALSE))</f>
        <v>DLC_BASE_GAME</v>
      </c>
      <c r="U10" s="3" t="str">
        <f>IF(T10&lt;&gt;"",VLOOKUP(T10,'&lt;Constants&gt;'!$B$4:$C$1020,2,FALSE),"")</f>
        <v>Included in base game</v>
      </c>
      <c r="V10" s="83" t="s">
        <v>1534</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1535</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1536</v>
      </c>
      <c r="AI10" s="38"/>
      <c r="AJ10" s="38"/>
      <c r="AK10" s="3">
        <f>IF(AND(G10&lt;&gt;"LIBSETS_SETTYPE_BATTLEGROUND",G10&lt;&gt;"LIBSETS_SETTYPE_SPECIAL"),IF(AL10&lt;&gt;"",VLOOKUP(AL10,'ESO zones'!$D$5:$H$4958,5,FALSE),""),"")</f>
        <v>347</v>
      </c>
      <c r="AL10" t="s">
        <v>238</v>
      </c>
      <c r="AM10" s="30" t="s">
        <v>1537</v>
      </c>
      <c r="AN10" s="38"/>
      <c r="AO10" s="38"/>
      <c r="AP10" s="3">
        <f>IF(AND(G10&lt;&gt;"LIBSETS_SETTYPE_BATTLEGROUND",G10&lt;&gt;"LIBSETS_SETTYPE_SPECIAL"),IF(AQ10&lt;&gt;"",VLOOKUP(AQ10,'ESO zones'!$D$5:$H$4958,5,FALSE),""),"")</f>
        <v>347</v>
      </c>
      <c r="AQ10" t="s">
        <v>238</v>
      </c>
      <c r="AR10" s="118" t="s">
        <v>3193</v>
      </c>
      <c r="AS10" s="38"/>
      <c r="AT10" s="38"/>
      <c r="AU10" s="3" t="str">
        <f>IF(AND(G10&lt;&gt;"LIBSETS_SETTYPE_BATTLEGROUND",G10&lt;&gt;"LIBSETS_SETTYPE_SPECIAL"),IF(AV10&lt;&gt;"",VLOOKUP(AV10,'ESO zones'!$D$5:$H$4958,5,FALSE),""),"")</f>
        <v/>
      </c>
      <c r="AX10" s="38"/>
      <c r="AY10" s="38"/>
      <c r="AZ10" s="72" t="s">
        <v>2626</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2510</v>
      </c>
      <c r="D11" s="3">
        <f t="shared" si="0"/>
        <v>27</v>
      </c>
      <c r="E11" s="37"/>
      <c r="G11" s="8" t="s">
        <v>1457</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DLCs'!$A$3:$D$99999,4,FALSE))</f>
        <v>DLC_BASE_GAME</v>
      </c>
      <c r="U11" s="3" t="str">
        <f>IF(T11&lt;&gt;"",VLOOKUP(T11,'&lt;Constants&gt;'!$B$4:$C$1020,2,FALSE),"")</f>
        <v>Included in base game</v>
      </c>
      <c r="V11" s="83" t="s">
        <v>1534</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1535</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1536</v>
      </c>
      <c r="AI11" s="38"/>
      <c r="AJ11" s="38"/>
      <c r="AK11" s="3">
        <f>IF(AND(G11&lt;&gt;"LIBSETS_SETTYPE_BATTLEGROUND",G11&lt;&gt;"LIBSETS_SETTYPE_SPECIAL"),IF(AL11&lt;&gt;"",VLOOKUP(AL11,'ESO zones'!$D$5:$H$4958,5,FALSE),""),"")</f>
        <v>101</v>
      </c>
      <c r="AL11" t="s">
        <v>109</v>
      </c>
      <c r="AM11" s="30" t="s">
        <v>1537</v>
      </c>
      <c r="AN11" s="38"/>
      <c r="AO11" s="38"/>
      <c r="AP11" s="3">
        <f>IF(AND(G11&lt;&gt;"LIBSETS_SETTYPE_BATTLEGROUND",G11&lt;&gt;"LIBSETS_SETTYPE_SPECIAL"),IF(AQ11&lt;&gt;"",VLOOKUP(AQ11,'ESO zones'!$D$5:$H$4958,5,FALSE),""),"")</f>
        <v>101</v>
      </c>
      <c r="AQ11" t="s">
        <v>109</v>
      </c>
      <c r="AR11" s="118" t="s">
        <v>3193</v>
      </c>
      <c r="AS11" s="38"/>
      <c r="AT11" s="38"/>
      <c r="AU11" s="3" t="str">
        <f>IF(AND(G11&lt;&gt;"LIBSETS_SETTYPE_BATTLEGROUND",G11&lt;&gt;"LIBSETS_SETTYPE_SPECIAL"),IF(AV11&lt;&gt;"",VLOOKUP(AV11,'ESO zones'!$D$5:$H$4958,5,FALSE),""),"")</f>
        <v/>
      </c>
      <c r="AX11" s="38"/>
      <c r="AY11" s="38"/>
      <c r="AZ11" s="72" t="s">
        <v>2626</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1454</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DLCs'!$A$3:$D$99999,4,FALSE))</f>
        <v>DLC_BASE_GAME</v>
      </c>
      <c r="U12" s="3" t="str">
        <f>IF(T12&lt;&gt;"",VLOOKUP(T12,'&lt;Constants&gt;'!$B$4:$C$1020,2,FALSE),"")</f>
        <v>Included in base game</v>
      </c>
      <c r="V12" s="83" t="s">
        <v>3253</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3253</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2626</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2511</v>
      </c>
      <c r="D13" s="3">
        <f t="shared" si="0"/>
        <v>29</v>
      </c>
      <c r="G13" s="8" t="s">
        <v>1454</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DLCs'!$A$3:$D$99999,4,FALSE))</f>
        <v>DLC_BASE_GAME</v>
      </c>
      <c r="U13" s="3" t="str">
        <f>IF(T13&lt;&gt;"",VLOOKUP(T13,'&lt;Constants&gt;'!$B$4:$C$1020,2,FALSE),"")</f>
        <v>Included in base game</v>
      </c>
      <c r="V13" s="83" t="s">
        <v>3253</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3253</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2627</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2512</v>
      </c>
      <c r="D14" s="3">
        <f t="shared" si="0"/>
        <v>30</v>
      </c>
      <c r="E14" s="37"/>
      <c r="F14"/>
      <c r="G14" s="8" t="s">
        <v>1457</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DLCs'!$A$3:$D$99999,4,FALSE))</f>
        <v>DLC_BASE_GAME</v>
      </c>
      <c r="U14" s="3" t="str">
        <f>IF(T14&lt;&gt;"",VLOOKUP(T14,'&lt;Constants&gt;'!$B$4:$C$1020,2,FALSE),"")</f>
        <v>Included in base game</v>
      </c>
      <c r="V14" s="83" t="s">
        <v>1534</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1535</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1536</v>
      </c>
      <c r="AI14" s="38"/>
      <c r="AJ14" s="38"/>
      <c r="AK14" s="3">
        <f>IF(AND(G14&lt;&gt;"LIBSETS_SETTYPE_BATTLEGROUND",G14&lt;&gt;"LIBSETS_SETTYPE_SPECIAL"),IF(AL14&lt;&gt;"",VLOOKUP(AL14,'ESO zones'!$D$5:$H$4958,5,FALSE),""),"")</f>
        <v>58</v>
      </c>
      <c r="AL14" t="s">
        <v>107</v>
      </c>
      <c r="AM14" s="30" t="s">
        <v>1537</v>
      </c>
      <c r="AN14" s="38"/>
      <c r="AO14" s="38"/>
      <c r="AP14" s="3">
        <f>IF(AND(G14&lt;&gt;"LIBSETS_SETTYPE_BATTLEGROUND",G14&lt;&gt;"LIBSETS_SETTYPE_SPECIAL"),IF(AQ14&lt;&gt;"",VLOOKUP(AQ14,'ESO zones'!$D$5:$H$4958,5,FALSE),""),"")</f>
        <v>57</v>
      </c>
      <c r="AQ14" t="s">
        <v>106</v>
      </c>
      <c r="AR14" s="118" t="s">
        <v>3193</v>
      </c>
      <c r="AS14" s="38"/>
      <c r="AT14" s="38"/>
      <c r="AU14" s="3" t="str">
        <f>IF(AND(G14&lt;&gt;"LIBSETS_SETTYPE_BATTLEGROUND",G14&lt;&gt;"LIBSETS_SETTYPE_SPECIAL"),IF(AV14&lt;&gt;"",VLOOKUP(AV14,'ESO zones'!$D$5:$H$4958,5,FALSE),""),"")</f>
        <v/>
      </c>
      <c r="AV14"/>
      <c r="AW14" s="30"/>
      <c r="AX14" s="38"/>
      <c r="AY14" s="38"/>
      <c r="AZ14" s="72" t="s">
        <v>2626</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1457</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DLCs'!$A$3:$D$99999,4,FALSE))</f>
        <v>DLC_BASE_GAME</v>
      </c>
      <c r="U15" s="3" t="str">
        <f>IF(T15&lt;&gt;"",VLOOKUP(T15,'&lt;Constants&gt;'!$B$4:$C$1020,2,FALSE),"")</f>
        <v>Included in base game</v>
      </c>
      <c r="V15" s="83" t="s">
        <v>1534</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1535</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1536</v>
      </c>
      <c r="AI15" s="38"/>
      <c r="AJ15" s="38"/>
      <c r="AK15" s="3">
        <f>IF(AND(G15&lt;&gt;"LIBSETS_SETTYPE_BATTLEGROUND",G15&lt;&gt;"LIBSETS_SETTYPE_SPECIAL"),IF(AL15&lt;&gt;"",VLOOKUP(AL15,'ESO zones'!$D$5:$H$4958,5,FALSE),""),"")</f>
        <v>41</v>
      </c>
      <c r="AL15" t="s">
        <v>105</v>
      </c>
      <c r="AM15" s="30" t="s">
        <v>1537</v>
      </c>
      <c r="AN15" s="38"/>
      <c r="AO15" s="38"/>
      <c r="AP15" s="3">
        <f>IF(AND(G15&lt;&gt;"LIBSETS_SETTYPE_BATTLEGROUND",G15&lt;&gt;"LIBSETS_SETTYPE_SPECIAL"),IF(AQ15&lt;&gt;"",VLOOKUP(AQ15,'ESO zones'!$D$5:$H$4958,5,FALSE),""),"")</f>
        <v>381</v>
      </c>
      <c r="AQ15" t="s">
        <v>261</v>
      </c>
      <c r="AR15" s="118" t="s">
        <v>3193</v>
      </c>
      <c r="AS15" s="38"/>
      <c r="AT15" s="38"/>
      <c r="AU15" s="3" t="str">
        <f>IF(AND(G15&lt;&gt;"LIBSETS_SETTYPE_BATTLEGROUND",G15&lt;&gt;"LIBSETS_SETTYPE_SPECIAL"),IF(AV15&lt;&gt;"",VLOOKUP(AV15,'ESO zones'!$D$5:$H$4958,5,FALSE),""),"")</f>
        <v/>
      </c>
      <c r="AX15" s="38"/>
      <c r="AY15" s="38"/>
      <c r="AZ15" s="72" t="s">
        <v>2627</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2513</v>
      </c>
      <c r="D16" s="3">
        <f t="shared" si="0"/>
        <v>32</v>
      </c>
      <c r="G16" s="8" t="s">
        <v>1449</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DLCs'!$A$3:$D$99999,4,FALSE))</f>
        <v>DLC_BASE_GAME</v>
      </c>
      <c r="U16" s="3" t="str">
        <f>IF(T16&lt;&gt;"",VLOOKUP(T16,'&lt;Constants&gt;'!$B$4:$C$1020,2,FALSE),"")</f>
        <v>Included in base game</v>
      </c>
      <c r="V16" s="83" t="s">
        <v>1530</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1530</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2626</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2514</v>
      </c>
      <c r="D17" s="3">
        <f t="shared" si="0"/>
        <v>33</v>
      </c>
      <c r="G17" s="8" t="s">
        <v>1454</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DLCs'!$A$3:$D$99999,4,FALSE))</f>
        <v>DLC_BASE_GAME</v>
      </c>
      <c r="U17" s="3" t="str">
        <f>IF(T17&lt;&gt;"",VLOOKUP(T17,'&lt;Constants&gt;'!$B$4:$C$1020,2,FALSE),"")</f>
        <v>Included in base game</v>
      </c>
      <c r="V17" s="83" t="s">
        <v>3253</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3253</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2626</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2515</v>
      </c>
      <c r="D18" s="3">
        <f t="shared" si="0"/>
        <v>34</v>
      </c>
      <c r="E18" s="37"/>
      <c r="G18" s="8" t="s">
        <v>1457</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DLCs'!$A$3:$D$99999,4,FALSE))</f>
        <v>DLC_BASE_GAME</v>
      </c>
      <c r="U18" s="3" t="str">
        <f>IF(T18&lt;&gt;"",VLOOKUP(T18,'&lt;Constants&gt;'!$B$4:$C$1020,2,FALSE),"")</f>
        <v>Included in base game</v>
      </c>
      <c r="V18" s="83" t="s">
        <v>1534</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1535</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1536</v>
      </c>
      <c r="AI18" s="38"/>
      <c r="AJ18" s="38"/>
      <c r="AK18" s="3">
        <f>IF(AND(G18&lt;&gt;"LIBSETS_SETTYPE_BATTLEGROUND",G18&lt;&gt;"LIBSETS_SETTYPE_SPECIAL"),IF(AL18&lt;&gt;"",VLOOKUP(AL18,'ESO zones'!$D$5:$H$4958,5,FALSE),""),"")</f>
        <v>57</v>
      </c>
      <c r="AL18" t="s">
        <v>106</v>
      </c>
      <c r="AM18" s="30" t="s">
        <v>1537</v>
      </c>
      <c r="AN18" s="38"/>
      <c r="AO18" s="38"/>
      <c r="AP18" s="3">
        <f>IF(AND(G18&lt;&gt;"LIBSETS_SETTYPE_BATTLEGROUND",G18&lt;&gt;"LIBSETS_SETTYPE_SPECIAL"),IF(AQ18&lt;&gt;"",VLOOKUP(AQ18,'ESO zones'!$D$5:$H$4958,5,FALSE),""),"")</f>
        <v>101</v>
      </c>
      <c r="AQ18" t="s">
        <v>109</v>
      </c>
      <c r="AR18" s="118" t="s">
        <v>3193</v>
      </c>
      <c r="AS18" s="38"/>
      <c r="AT18" s="38"/>
      <c r="AU18" s="3" t="str">
        <f>IF(AND(G18&lt;&gt;"LIBSETS_SETTYPE_BATTLEGROUND",G18&lt;&gt;"LIBSETS_SETTYPE_SPECIAL"),IF(AV18&lt;&gt;"",VLOOKUP(AV18,'ESO zones'!$D$5:$H$4958,5,FALSE),""),"")</f>
        <v/>
      </c>
      <c r="AX18" s="38"/>
      <c r="AY18" s="38"/>
      <c r="AZ18" s="72" t="s">
        <v>2627</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1454</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DLCs'!$A$3:$D$99999,4,FALSE))</f>
        <v>DLC_BASE_GAME</v>
      </c>
      <c r="U19" s="3" t="str">
        <f>IF(T19&lt;&gt;"",VLOOKUP(T19,'&lt;Constants&gt;'!$B$4:$C$1020,2,FALSE),"")</f>
        <v>Included in base game</v>
      </c>
      <c r="V19" s="83" t="s">
        <v>3253</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3253</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2626</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1457</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DLCs'!$A$3:$D$99999,4,FALSE))</f>
        <v>DLC_BASE_GAME</v>
      </c>
      <c r="U20" s="3" t="str">
        <f>IF(T20&lt;&gt;"",VLOOKUP(T20,'&lt;Constants&gt;'!$B$4:$C$1020,2,FALSE),"")</f>
        <v>Included in base game</v>
      </c>
      <c r="V20" s="83" t="s">
        <v>1534</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1535</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1536</v>
      </c>
      <c r="AI20" s="38"/>
      <c r="AJ20" s="38"/>
      <c r="AK20" s="3">
        <f>IF(AND(G20&lt;&gt;"LIBSETS_SETTYPE_BATTLEGROUND",G20&lt;&gt;"LIBSETS_SETTYPE_SPECIAL"),IF(AL20&lt;&gt;"",VLOOKUP(AL20,'ESO zones'!$D$5:$H$4958,5,FALSE),""),"")</f>
        <v>381</v>
      </c>
      <c r="AL20" t="s">
        <v>261</v>
      </c>
      <c r="AM20" s="30" t="s">
        <v>1537</v>
      </c>
      <c r="AN20" s="38"/>
      <c r="AO20" s="38"/>
      <c r="AP20" s="3">
        <f>IF(AND(G20&lt;&gt;"LIBSETS_SETTYPE_BATTLEGROUND",G20&lt;&gt;"LIBSETS_SETTYPE_SPECIAL"),IF(AQ20&lt;&gt;"",VLOOKUP(AQ20,'ESO zones'!$D$5:$H$4958,5,FALSE),""),"")</f>
        <v>347</v>
      </c>
      <c r="AQ20" t="s">
        <v>238</v>
      </c>
      <c r="AR20" s="118" t="s">
        <v>3193</v>
      </c>
      <c r="AS20" s="38"/>
      <c r="AT20" s="38"/>
      <c r="AU20" s="3" t="str">
        <f>IF(AND(G20&lt;&gt;"LIBSETS_SETTYPE_BATTLEGROUND",G20&lt;&gt;"LIBSETS_SETTYPE_SPECIAL"),IF(AV20&lt;&gt;"",VLOOKUP(AV20,'ESO zones'!$D$5:$H$4958,5,FALSE),""),"")</f>
        <v/>
      </c>
      <c r="AX20" s="38"/>
      <c r="AY20" s="38"/>
      <c r="AZ20" s="72" t="s">
        <v>2626</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2743</v>
      </c>
      <c r="C21" t="s">
        <v>2516</v>
      </c>
      <c r="D21" s="3">
        <f t="shared" si="0"/>
        <v>37</v>
      </c>
      <c r="G21" s="8" t="s">
        <v>1451</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DLCs'!$A$3:$D$99999,4,FALSE))</f>
        <v>DLC_BASE_GAME</v>
      </c>
      <c r="U21" s="3" t="str">
        <f>IF(T21&lt;&gt;"",VLOOKUP(T21,'&lt;Constants&gt;'!$B$4:$C$1020,2,FALSE),"")</f>
        <v>Included in base game</v>
      </c>
      <c r="V21" s="30" t="s">
        <v>3256</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3256</v>
      </c>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3256</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2626</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2744</v>
      </c>
      <c r="C22" t="s">
        <v>2517</v>
      </c>
      <c r="D22" s="3">
        <f t="shared" si="0"/>
        <v>38</v>
      </c>
      <c r="G22" s="8" t="s">
        <v>1451</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DLCs'!$A$3:$D$99999,4,FALSE))</f>
        <v>DLC_BASE_GAME</v>
      </c>
      <c r="U22" s="3" t="str">
        <f>IF(T22&lt;&gt;"",VLOOKUP(T22,'&lt;Constants&gt;'!$B$4:$C$1020,2,FALSE),"")</f>
        <v>Included in base game</v>
      </c>
      <c r="V22" s="30" t="s">
        <v>3256</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3256</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3256</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2627</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1452</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DLCs'!$A$3:$D$99999,4,FALSE))</f>
        <v>DLC_BASE_GAME</v>
      </c>
      <c r="U23" s="3" t="str">
        <f>IF(T23&lt;&gt;"",VLOOKUP(T23,'&lt;Constants&gt;'!$B$4:$C$1020,2,FALSE),"")</f>
        <v>Included in base game</v>
      </c>
      <c r="V23" s="30" t="s">
        <v>1509</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3681</v>
      </c>
      <c r="AE23" s="125">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2736</v>
      </c>
      <c r="AK23" s="3">
        <f>IF(AND(G23&lt;&gt;"LIBSETS_SETTYPE_BATTLEGROUND",G23&lt;&gt;"LIBSETS_SETTYPE_SPECIAL"),IF(AL23&lt;&gt;"",VLOOKUP(AL23,'ESO zones'!$D$5:$H$4958,5,FALSE),""),"")</f>
        <v>181</v>
      </c>
      <c r="AL23" t="s">
        <v>124</v>
      </c>
      <c r="AM23" s="30" t="s">
        <v>3684</v>
      </c>
      <c r="AP23" s="3">
        <f>IF(AND(G23&lt;&gt;"LIBSETS_SETTYPE_BATTLEGROUND",G23&lt;&gt;"LIBSETS_SETTYPE_SPECIAL"),IF(AQ23&lt;&gt;"",VLOOKUP(AQ23,'ESO zones'!$D$5:$H$4958,5,FALSE),""),"")</f>
        <v>41</v>
      </c>
      <c r="AQ23" t="s">
        <v>105</v>
      </c>
      <c r="AR23" s="30" t="s">
        <v>1534</v>
      </c>
      <c r="AU23" s="3">
        <f>IF(AND(G23&lt;&gt;"LIBSETS_SETTYPE_BATTLEGROUND",G23&lt;&gt;"LIBSETS_SETTYPE_SPECIAL"),IF(AV23&lt;&gt;"",VLOOKUP(AV23,'ESO zones'!$D$5:$H$4958,5,FALSE),""),"")</f>
        <v>181</v>
      </c>
      <c r="AV23" t="s">
        <v>124</v>
      </c>
      <c r="AW23" s="30" t="s">
        <v>3205</v>
      </c>
      <c r="AZ23" s="72" t="s">
        <v>2626</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2745</v>
      </c>
      <c r="C24" t="s">
        <v>2518</v>
      </c>
      <c r="D24" s="3">
        <f t="shared" si="0"/>
        <v>40</v>
      </c>
      <c r="G24" s="8" t="s">
        <v>1451</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DLCs'!$A$3:$D$99999,4,FALSE))</f>
        <v>DLC_BASE_GAME</v>
      </c>
      <c r="U24" s="3" t="str">
        <f>IF(T24&lt;&gt;"",VLOOKUP(T24,'&lt;Constants&gt;'!$B$4:$C$1020,2,FALSE),"")</f>
        <v>Included in base game</v>
      </c>
      <c r="V24" s="30" t="s">
        <v>3256</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3256</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3256</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2626</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2746</v>
      </c>
      <c r="C25" t="s">
        <v>2519</v>
      </c>
      <c r="D25" s="3">
        <f t="shared" si="0"/>
        <v>41</v>
      </c>
      <c r="G25" s="8" t="s">
        <v>1451</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DLCs'!$A$3:$D$99999,4,FALSE))</f>
        <v>DLC_BASE_GAME</v>
      </c>
      <c r="U25" s="3" t="str">
        <f>IF(T25&lt;&gt;"",VLOOKUP(T25,'&lt;Constants&gt;'!$B$4:$C$1020,2,FALSE),"")</f>
        <v>Included in base game</v>
      </c>
      <c r="V25" s="30" t="s">
        <v>3256</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3256</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3256</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2626</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2747</v>
      </c>
      <c r="C26" t="s">
        <v>755</v>
      </c>
      <c r="D26" s="3">
        <f t="shared" si="0"/>
        <v>43</v>
      </c>
      <c r="E26" s="37"/>
      <c r="G26" s="8" t="s">
        <v>1451</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DLCs'!$A$3:$D$99999,4,FALSE))</f>
        <v>DLC_BASE_GAME</v>
      </c>
      <c r="U26" s="3" t="str">
        <f>IF(T26&lt;&gt;"",VLOOKUP(T26,'&lt;Constants&gt;'!$B$4:$C$1020,2,FALSE),"")</f>
        <v>Included in base game</v>
      </c>
      <c r="V26" s="30" t="s">
        <v>3256</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3256</v>
      </c>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3256</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2627</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2748</v>
      </c>
      <c r="C27" t="s">
        <v>2520</v>
      </c>
      <c r="D27" s="3">
        <f t="shared" si="0"/>
        <v>44</v>
      </c>
      <c r="G27" s="8" t="s">
        <v>1451</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DLCs'!$A$3:$D$99999,4,FALSE))</f>
        <v>DLC_BASE_GAME</v>
      </c>
      <c r="U27" s="3" t="str">
        <f>IF(T27&lt;&gt;"",VLOOKUP(T27,'&lt;Constants&gt;'!$B$4:$C$1020,2,FALSE),"")</f>
        <v>Included in base game</v>
      </c>
      <c r="V27" s="30" t="s">
        <v>3256</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3256</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3256</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2626</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2521</v>
      </c>
      <c r="D28" s="3">
        <f t="shared" si="0"/>
        <v>46</v>
      </c>
      <c r="E28" s="37"/>
      <c r="G28" s="8" t="s">
        <v>1454</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DLCs'!$A$3:$D$99999,4,FALSE))</f>
        <v>DLC_BASE_GAME</v>
      </c>
      <c r="U28" s="3" t="str">
        <f>IF(T28&lt;&gt;"",VLOOKUP(T28,'&lt;Constants&gt;'!$B$4:$C$1020,2,FALSE),"")</f>
        <v>Included in base game</v>
      </c>
      <c r="V28" s="30" t="s">
        <v>3253</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2626</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1457</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DLCs'!$A$3:$D$99999,4,FALSE))</f>
        <v>DLC_BASE_GAME</v>
      </c>
      <c r="U29" s="3" t="str">
        <f>IF(T29&lt;&gt;"",VLOOKUP(T29,'&lt;Constants&gt;'!$B$4:$C$1020,2,FALSE),"")</f>
        <v>Included in base game</v>
      </c>
      <c r="V29" s="30" t="s">
        <v>1534</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1535</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1536</v>
      </c>
      <c r="AI29" s="38"/>
      <c r="AJ29" s="38"/>
      <c r="AK29" s="3">
        <f>IF(AND(G29&lt;&gt;"LIBSETS_SETTYPE_BATTLEGROUND",G29&lt;&gt;"LIBSETS_SETTYPE_SPECIAL"),IF(AL29&lt;&gt;"",VLOOKUP(AL29,'ESO zones'!$D$5:$H$4958,5,FALSE),""),"")</f>
        <v>104</v>
      </c>
      <c r="AL29" t="s">
        <v>111</v>
      </c>
      <c r="AM29" s="30" t="s">
        <v>1537</v>
      </c>
      <c r="AN29" s="38"/>
      <c r="AO29" s="38"/>
      <c r="AP29" s="3">
        <f>IF(AND(G29&lt;&gt;"LIBSETS_SETTYPE_BATTLEGROUND",G29&lt;&gt;"LIBSETS_SETTYPE_SPECIAL"),IF(AQ29&lt;&gt;"",VLOOKUP(AQ29,'ESO zones'!$D$5:$H$4958,5,FALSE),""),"")</f>
        <v>383</v>
      </c>
      <c r="AQ29" t="s">
        <v>263</v>
      </c>
      <c r="AR29" s="118" t="s">
        <v>3193</v>
      </c>
      <c r="AS29" s="38"/>
      <c r="AT29" s="38"/>
      <c r="AU29" s="3" t="str">
        <f>IF(AND(G29&lt;&gt;"LIBSETS_SETTYPE_BATTLEGROUND",G29&lt;&gt;"LIBSETS_SETTYPE_SPECIAL"),IF(AV29&lt;&gt;"",VLOOKUP(AV29,'ESO zones'!$D$5:$H$4958,5,FALSE),""),"")</f>
        <v/>
      </c>
      <c r="AX29" s="38"/>
      <c r="AY29" s="38"/>
      <c r="AZ29" s="72" t="s">
        <v>2626</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2522</v>
      </c>
      <c r="D30" s="3">
        <f t="shared" si="0"/>
        <v>48</v>
      </c>
      <c r="G30" s="8" t="s">
        <v>1451</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DLCs'!$A$3:$D$99999,4,FALSE))</f>
        <v>DLC_BASE_GAME</v>
      </c>
      <c r="U30" s="3" t="str">
        <f>IF(T30&lt;&gt;"",VLOOKUP(T30,'&lt;Constants&gt;'!$B$4:$C$1020,2,FALSE),"")</f>
        <v>Included in base game</v>
      </c>
      <c r="V30" s="30" t="s">
        <v>3256</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3256</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3256</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2626</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1457</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DLCs'!$A$3:$D$99999,4,FALSE))</f>
        <v>DLC_BASE_GAME</v>
      </c>
      <c r="U31" s="3" t="str">
        <f>IF(T31&lt;&gt;"",VLOOKUP(T31,'&lt;Constants&gt;'!$B$4:$C$1020,2,FALSE),"")</f>
        <v>Included in base game</v>
      </c>
      <c r="V31" s="30" t="s">
        <v>1534</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1535</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1536</v>
      </c>
      <c r="AI31" s="38"/>
      <c r="AJ31" s="38"/>
      <c r="AK31" s="3">
        <f>IF(AND(G31&lt;&gt;"LIBSETS_SETTYPE_BATTLEGROUND",G31&lt;&gt;"LIBSETS_SETTYPE_SPECIAL"),IF(AL31&lt;&gt;"",VLOOKUP(AL31,'ESO zones'!$D$5:$H$4958,5,FALSE),""),"")</f>
        <v>41</v>
      </c>
      <c r="AL31" t="s">
        <v>105</v>
      </c>
      <c r="AM31" s="30" t="s">
        <v>1537</v>
      </c>
      <c r="AN31" s="38"/>
      <c r="AO31" s="38"/>
      <c r="AP31" s="3">
        <f>IF(AND(G31&lt;&gt;"LIBSETS_SETTYPE_BATTLEGROUND",G31&lt;&gt;"LIBSETS_SETTYPE_SPECIAL"),IF(AQ31&lt;&gt;"",VLOOKUP(AQ31,'ESO zones'!$D$5:$H$4958,5,FALSE),""),"")</f>
        <v>101</v>
      </c>
      <c r="AQ31" t="s">
        <v>109</v>
      </c>
      <c r="AR31" s="118" t="s">
        <v>3193</v>
      </c>
      <c r="AS31" s="38"/>
      <c r="AT31" s="38"/>
      <c r="AU31" s="3" t="str">
        <f>IF(AND(G31&lt;&gt;"LIBSETS_SETTYPE_BATTLEGROUND",G31&lt;&gt;"LIBSETS_SETTYPE_SPECIAL"),IF(AV31&lt;&gt;"",VLOOKUP(AV31,'ESO zones'!$D$5:$H$4958,5,FALSE),""),"")</f>
        <v/>
      </c>
      <c r="AX31" s="38"/>
      <c r="AY31" s="38"/>
      <c r="AZ31" s="72" t="s">
        <v>2626</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1452</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DLCs'!$A$3:$D$99999,4,FALSE))</f>
        <v>DLC_BASE_GAME</v>
      </c>
      <c r="U32" s="3" t="str">
        <f>IF(T32&lt;&gt;"",VLOOKUP(T32,'&lt;Constants&gt;'!$B$4:$C$1020,2,FALSE),"")</f>
        <v>Included in base game</v>
      </c>
      <c r="V32" s="30" t="s">
        <v>1507</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3681</v>
      </c>
      <c r="AC32" s="38"/>
      <c r="AD32" s="38"/>
      <c r="AE32" s="125">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2736</v>
      </c>
      <c r="AK32" s="3">
        <f>IF(AND(G32&lt;&gt;"LIBSETS_SETTYPE_BATTLEGROUND",G32&lt;&gt;"LIBSETS_SETTYPE_SPECIAL"),IF(AL32&lt;&gt;"",VLOOKUP(AL32,'ESO zones'!$D$5:$H$4958,5,FALSE),""),"")</f>
        <v>181</v>
      </c>
      <c r="AL32" t="s">
        <v>124</v>
      </c>
      <c r="AM32" s="30" t="s">
        <v>3684</v>
      </c>
      <c r="AP32" s="3">
        <f>IF(AND(G32&lt;&gt;"LIBSETS_SETTYPE_BATTLEGROUND",G32&lt;&gt;"LIBSETS_SETTYPE_SPECIAL"),IF(AQ32&lt;&gt;"",VLOOKUP(AQ32,'ESO zones'!$D$5:$H$4958,5,FALSE),""),"")</f>
        <v>58</v>
      </c>
      <c r="AQ32" t="s">
        <v>107</v>
      </c>
      <c r="AR32" s="30" t="s">
        <v>1534</v>
      </c>
      <c r="AU32" s="3">
        <f>IF(AND(G32&lt;&gt;"LIBSETS_SETTYPE_BATTLEGROUND",G32&lt;&gt;"LIBSETS_SETTYPE_SPECIAL"),IF(AV32&lt;&gt;"",VLOOKUP(AV32,'ESO zones'!$D$5:$H$4958,5,FALSE),""),"")</f>
        <v>181</v>
      </c>
      <c r="AV32" t="s">
        <v>124</v>
      </c>
      <c r="AW32" s="30" t="s">
        <v>3205</v>
      </c>
      <c r="AZ32" s="72" t="s">
        <v>2626</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2523</v>
      </c>
      <c r="D33" s="3">
        <f t="shared" si="0"/>
        <v>51</v>
      </c>
      <c r="G33" s="8" t="s">
        <v>1451</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DLCs'!$A$3:$D$99999,4,FALSE))</f>
        <v>DLC_BASE_GAME</v>
      </c>
      <c r="U33" s="3" t="str">
        <f>IF(T33&lt;&gt;"",VLOOKUP(T33,'&lt;Constants&gt;'!$B$4:$C$1020,2,FALSE),"")</f>
        <v>Included in base game</v>
      </c>
      <c r="V33" s="30" t="s">
        <v>3256</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3256</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3256</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2626</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1452</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DLCs'!$A$3:$D$99999,4,FALSE))</f>
        <v>DLC_BASE_GAME</v>
      </c>
      <c r="U34" s="3" t="str">
        <f>IF(T34&lt;&gt;"",VLOOKUP(T34,'&lt;Constants&gt;'!$B$4:$C$1020,2,FALSE),"")</f>
        <v>Included in base game</v>
      </c>
      <c r="V34" s="30" t="s">
        <v>1509</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3681</v>
      </c>
      <c r="AE34" s="125">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2736</v>
      </c>
      <c r="AK34" s="3">
        <f>IF(AND(G34&lt;&gt;"LIBSETS_SETTYPE_BATTLEGROUND",G34&lt;&gt;"LIBSETS_SETTYPE_SPECIAL"),IF(AL34&lt;&gt;"",VLOOKUP(AL34,'ESO zones'!$D$5:$H$4958,5,FALSE),""),"")</f>
        <v>181</v>
      </c>
      <c r="AL34" t="s">
        <v>124</v>
      </c>
      <c r="AM34" s="30" t="s">
        <v>3684</v>
      </c>
      <c r="AP34" s="3">
        <f>IF(AND(G34&lt;&gt;"LIBSETS_SETTYPE_BATTLEGROUND",G34&lt;&gt;"LIBSETS_SETTYPE_SPECIAL"),IF(AQ34&lt;&gt;"",VLOOKUP(AQ34,'ESO zones'!$D$5:$H$4958,5,FALSE),""),"")</f>
        <v>57</v>
      </c>
      <c r="AQ34" t="s">
        <v>106</v>
      </c>
      <c r="AR34" s="30" t="s">
        <v>1534</v>
      </c>
      <c r="AU34" s="3">
        <f>IF(AND(G34&lt;&gt;"LIBSETS_SETTYPE_BATTLEGROUND",G34&lt;&gt;"LIBSETS_SETTYPE_SPECIAL"),IF(AV34&lt;&gt;"",VLOOKUP(AV34,'ESO zones'!$D$5:$H$4958,5,FALSE),""),"")</f>
        <v>181</v>
      </c>
      <c r="AV34" t="s">
        <v>124</v>
      </c>
      <c r="AW34" s="30" t="s">
        <v>3205</v>
      </c>
      <c r="AZ34" s="72" t="s">
        <v>2626</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1454</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DLCs'!$A$3:$D$99999,4,FALSE))</f>
        <v>DLC_BASE_GAME</v>
      </c>
      <c r="U35" s="3" t="str">
        <f>IF(T35&lt;&gt;"",VLOOKUP(T35,'&lt;Constants&gt;'!$B$4:$C$1020,2,FALSE),"")</f>
        <v>Included in base game</v>
      </c>
      <c r="V35" s="30" t="s">
        <v>3253</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2626</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1451</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DLCs'!$A$3:$D$99999,4,FALSE))</f>
        <v>DLC_BASE_GAME</v>
      </c>
      <c r="U36" s="3" t="str">
        <f>IF(T36&lt;&gt;"",VLOOKUP(T36,'&lt;Constants&gt;'!$B$4:$C$1020,2,FALSE),"")</f>
        <v>Included in base game</v>
      </c>
      <c r="V36" s="30" t="s">
        <v>3256</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3256</v>
      </c>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3256</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2626</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1454</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DLCs'!$A$3:$D$99999,4,FALSE))</f>
        <v>DLC_BASE_GAME</v>
      </c>
      <c r="U37" s="3" t="str">
        <f>IF(T37&lt;&gt;"",VLOOKUP(T37,'&lt;Constants&gt;'!$B$4:$C$1020,2,FALSE),"")</f>
        <v>Included in base game</v>
      </c>
      <c r="V37" s="30" t="s">
        <v>3253</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3253</v>
      </c>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2626</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2524</v>
      </c>
      <c r="D38" s="3">
        <f t="shared" si="0"/>
        <v>56</v>
      </c>
      <c r="E38" s="53"/>
      <c r="G38" s="8" t="s">
        <v>1457</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DLCs'!$A$3:$D$99999,4,FALSE))</f>
        <v>DLC_BASE_GAME</v>
      </c>
      <c r="U38" s="3" t="str">
        <f>IF(T38&lt;&gt;"",VLOOKUP(T38,'&lt;Constants&gt;'!$B$4:$C$1020,2,FALSE),"")</f>
        <v>Included in base game</v>
      </c>
      <c r="V38" s="30" t="s">
        <v>1534</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1535</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1536</v>
      </c>
      <c r="AI38" s="38"/>
      <c r="AJ38" s="38"/>
      <c r="AK38" s="3">
        <f>IF(AND(G38&lt;&gt;"LIBSETS_SETTYPE_BATTLEGROUND",G38&lt;&gt;"LIBSETS_SETTYPE_SPECIAL"),IF(AL38&lt;&gt;"",VLOOKUP(AL38,'ESO zones'!$D$5:$H$4958,5,FALSE),""),"")</f>
        <v>101</v>
      </c>
      <c r="AL38" t="s">
        <v>109</v>
      </c>
      <c r="AM38" s="30" t="s">
        <v>1537</v>
      </c>
      <c r="AN38" s="38"/>
      <c r="AO38" s="38"/>
      <c r="AP38" s="3">
        <f>IF(AND(G38&lt;&gt;"LIBSETS_SETTYPE_BATTLEGROUND",G38&lt;&gt;"LIBSETS_SETTYPE_SPECIAL"),IF(AQ38&lt;&gt;"",VLOOKUP(AQ38,'ESO zones'!$D$5:$H$4958,5,FALSE),""),"")</f>
        <v>101</v>
      </c>
      <c r="AQ38" t="s">
        <v>109</v>
      </c>
      <c r="AR38" s="118" t="s">
        <v>3193</v>
      </c>
      <c r="AS38" s="38"/>
      <c r="AT38" s="38"/>
      <c r="AU38" s="3" t="str">
        <f>IF(AND(G38&lt;&gt;"LIBSETS_SETTYPE_BATTLEGROUND",G38&lt;&gt;"LIBSETS_SETTYPE_SPECIAL"),IF(AV38&lt;&gt;"",VLOOKUP(AV38,'ESO zones'!$D$5:$H$4958,5,FALSE),""),"")</f>
        <v/>
      </c>
      <c r="AX38" s="38"/>
      <c r="AY38" s="38"/>
      <c r="AZ38" s="72" t="s">
        <v>2626</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2525</v>
      </c>
      <c r="D39" s="3">
        <f t="shared" si="0"/>
        <v>57</v>
      </c>
      <c r="E39" s="53"/>
      <c r="G39" s="8" t="s">
        <v>1457</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DLCs'!$A$3:$D$99999,4,FALSE))</f>
        <v>DLC_BASE_GAME</v>
      </c>
      <c r="U39" s="3" t="str">
        <f>IF(T39&lt;&gt;"",VLOOKUP(T39,'&lt;Constants&gt;'!$B$4:$C$1020,2,FALSE),"")</f>
        <v>Included in base game</v>
      </c>
      <c r="V39" s="30" t="s">
        <v>1534</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1535</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1536</v>
      </c>
      <c r="AI39" s="38"/>
      <c r="AJ39" s="38"/>
      <c r="AK39" s="3">
        <f>IF(AND(G39&lt;&gt;"LIBSETS_SETTYPE_BATTLEGROUND",G39&lt;&gt;"LIBSETS_SETTYPE_SPECIAL"),IF(AL39&lt;&gt;"",VLOOKUP(AL39,'ESO zones'!$D$5:$H$4958,5,FALSE),""),"")</f>
        <v>383</v>
      </c>
      <c r="AL39" t="s">
        <v>263</v>
      </c>
      <c r="AM39" s="30" t="s">
        <v>1537</v>
      </c>
      <c r="AN39" s="38"/>
      <c r="AO39" s="38"/>
      <c r="AP39" s="3">
        <f>IF(AND(G39&lt;&gt;"LIBSETS_SETTYPE_BATTLEGROUND",G39&lt;&gt;"LIBSETS_SETTYPE_SPECIAL"),IF(AQ39&lt;&gt;"",VLOOKUP(AQ39,'ESO zones'!$D$5:$H$4958,5,FALSE),""),"")</f>
        <v>383</v>
      </c>
      <c r="AQ39" t="s">
        <v>263</v>
      </c>
      <c r="AR39" s="118" t="s">
        <v>3193</v>
      </c>
      <c r="AS39" s="38"/>
      <c r="AT39" s="38"/>
      <c r="AU39" s="3" t="str">
        <f>IF(AND(G39&lt;&gt;"LIBSETS_SETTYPE_BATTLEGROUND",G39&lt;&gt;"LIBSETS_SETTYPE_SPECIAL"),IF(AV39&lt;&gt;"",VLOOKUP(AV39,'ESO zones'!$D$5:$H$4958,5,FALSE),""),"")</f>
        <v/>
      </c>
      <c r="AX39" s="38"/>
      <c r="AY39" s="38"/>
      <c r="AZ39" s="72" t="s">
        <v>2626</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1457</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DLCs'!$A$3:$D$99999,4,FALSE))</f>
        <v>DLC_BASE_GAME</v>
      </c>
      <c r="U40" s="3" t="str">
        <f>IF(T40&lt;&gt;"",VLOOKUP(T40,'&lt;Constants&gt;'!$B$4:$C$1020,2,FALSE),"")</f>
        <v>Included in base game</v>
      </c>
      <c r="V40" s="30" t="s">
        <v>1534</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1535</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1536</v>
      </c>
      <c r="AI40" s="38"/>
      <c r="AJ40" s="38"/>
      <c r="AK40" s="3">
        <f>IF(AND(G40&lt;&gt;"LIBSETS_SETTYPE_BATTLEGROUND",G40&lt;&gt;"LIBSETS_SETTYPE_SPECIAL"),IF(AL40&lt;&gt;"",VLOOKUP(AL40,'ESO zones'!$D$5:$H$4958,5,FALSE),""),"")</f>
        <v>3</v>
      </c>
      <c r="AL40" t="s">
        <v>102</v>
      </c>
      <c r="AM40" s="30" t="s">
        <v>1537</v>
      </c>
      <c r="AN40" s="38"/>
      <c r="AO40" s="38"/>
      <c r="AP40" s="3">
        <f>IF(AND(G40&lt;&gt;"LIBSETS_SETTYPE_BATTLEGROUND",G40&lt;&gt;"LIBSETS_SETTYPE_SPECIAL"),IF(AQ40&lt;&gt;"",VLOOKUP(AQ40,'ESO zones'!$D$5:$H$4958,5,FALSE),""),"")</f>
        <v>3</v>
      </c>
      <c r="AQ40" t="s">
        <v>102</v>
      </c>
      <c r="AR40" s="118" t="s">
        <v>3193</v>
      </c>
      <c r="AS40" s="38"/>
      <c r="AT40" s="38"/>
      <c r="AU40" s="3" t="str">
        <f>IF(AND(G40&lt;&gt;"LIBSETS_SETTYPE_BATTLEGROUND",G40&lt;&gt;"LIBSETS_SETTYPE_SPECIAL"),IF(AV40&lt;&gt;"",VLOOKUP(AV40,'ESO zones'!$D$5:$H$4958,5,FALSE),""),"")</f>
        <v/>
      </c>
      <c r="AX40" s="38"/>
      <c r="AY40" s="38"/>
      <c r="AZ40" s="72" t="s">
        <v>2626</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2526</v>
      </c>
      <c r="D41" s="3">
        <f t="shared" si="0"/>
        <v>59</v>
      </c>
      <c r="E41" s="53"/>
      <c r="G41" s="8" t="s">
        <v>1452</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DLCs'!$A$3:$D$99999,4,FALSE))</f>
        <v>DLC_BASE_GAME</v>
      </c>
      <c r="U41" s="3" t="str">
        <f>IF(T41&lt;&gt;"",VLOOKUP(T41,'&lt;Constants&gt;'!$B$4:$C$1020,2,FALSE),"")</f>
        <v>Included in base game</v>
      </c>
      <c r="V41" s="30" t="s">
        <v>1507</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3681</v>
      </c>
      <c r="AC41" s="38"/>
      <c r="AD41" s="38"/>
      <c r="AE41" s="125">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2736</v>
      </c>
      <c r="AK41" s="3">
        <f>IF(AND(G41&lt;&gt;"LIBSETS_SETTYPE_BATTLEGROUND",G41&lt;&gt;"LIBSETS_SETTYPE_SPECIAL"),IF(AL41&lt;&gt;"",VLOOKUP(AL41,'ESO zones'!$D$5:$H$4958,5,FALSE),""),"")</f>
        <v>181</v>
      </c>
      <c r="AL41" t="s">
        <v>124</v>
      </c>
      <c r="AM41" s="30" t="s">
        <v>3684</v>
      </c>
      <c r="AP41" s="3">
        <f>IF(AND(G41&lt;&gt;"LIBSETS_SETTYPE_BATTLEGROUND",G41&lt;&gt;"LIBSETS_SETTYPE_SPECIAL"),IF(AQ41&lt;&gt;"",VLOOKUP(AQ41,'ESO zones'!$D$5:$H$4958,5,FALSE),""),"")</f>
        <v>181</v>
      </c>
      <c r="AQ41" t="s">
        <v>124</v>
      </c>
      <c r="AR41" s="30" t="s">
        <v>1534</v>
      </c>
      <c r="AU41" s="3">
        <f>IF(AND(G41&lt;&gt;"LIBSETS_SETTYPE_BATTLEGROUND",G41&lt;&gt;"LIBSETS_SETTYPE_SPECIAL"),IF(AV41&lt;&gt;"",VLOOKUP(AV41,'ESO zones'!$D$5:$H$4958,5,FALSE),""),"")</f>
        <v>181</v>
      </c>
      <c r="AV41" t="s">
        <v>124</v>
      </c>
      <c r="AW41" s="30" t="s">
        <v>3205</v>
      </c>
      <c r="AZ41" s="72" t="s">
        <v>2626</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1457</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DLCs'!$A$3:$D$99999,4,FALSE))</f>
        <v>DLC_BASE_GAME</v>
      </c>
      <c r="U42" s="3" t="str">
        <f>IF(T42&lt;&gt;"",VLOOKUP(T42,'&lt;Constants&gt;'!$B$4:$C$1020,2,FALSE),"")</f>
        <v>Included in base game</v>
      </c>
      <c r="V42" s="30" t="s">
        <v>1534</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1535</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1536</v>
      </c>
      <c r="AI42" s="38"/>
      <c r="AJ42" s="38"/>
      <c r="AK42" s="3">
        <f>IF(AND(G42&lt;&gt;"LIBSETS_SETTYPE_BATTLEGROUND",G42&lt;&gt;"LIBSETS_SETTYPE_SPECIAL"),IF(AL42&lt;&gt;"",VLOOKUP(AL42,'ESO zones'!$D$5:$H$4958,5,FALSE),""),"")</f>
        <v>20</v>
      </c>
      <c r="AL42" t="s">
        <v>104</v>
      </c>
      <c r="AM42" s="30" t="s">
        <v>1537</v>
      </c>
      <c r="AN42" s="38"/>
      <c r="AO42" s="38"/>
      <c r="AP42" s="3">
        <f>IF(AND(G42&lt;&gt;"LIBSETS_SETTYPE_BATTLEGROUND",G42&lt;&gt;"LIBSETS_SETTYPE_SPECIAL"),IF(AQ42&lt;&gt;"",VLOOKUP(AQ42,'ESO zones'!$D$5:$H$4958,5,FALSE),""),"")</f>
        <v>20</v>
      </c>
      <c r="AQ42" t="s">
        <v>104</v>
      </c>
      <c r="AR42" s="118" t="s">
        <v>3193</v>
      </c>
      <c r="AS42" s="38"/>
      <c r="AT42" s="38"/>
      <c r="AU42" s="3" t="str">
        <f>IF(AND(G42&lt;&gt;"LIBSETS_SETTYPE_BATTLEGROUND",G42&lt;&gt;"LIBSETS_SETTYPE_SPECIAL"),IF(AV42&lt;&gt;"",VLOOKUP(AV42,'ESO zones'!$D$5:$H$4958,5,FALSE),""),"")</f>
        <v/>
      </c>
      <c r="AX42" s="38"/>
      <c r="AY42" s="38"/>
      <c r="AZ42" s="72" t="s">
        <v>2627</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1454</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DLCs'!$A$3:$D$99999,4,FALSE))</f>
        <v>DLC_BASE_GAME</v>
      </c>
      <c r="U43" s="3" t="str">
        <f>IF(T43&lt;&gt;"",VLOOKUP(T43,'&lt;Constants&gt;'!$B$4:$C$1020,2,FALSE),"")</f>
        <v>Included in base game</v>
      </c>
      <c r="V43" s="30" t="s">
        <v>3253</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3253</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2626</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2527</v>
      </c>
      <c r="D44" s="3">
        <f t="shared" si="0"/>
        <v>62</v>
      </c>
      <c r="E44" s="53"/>
      <c r="G44" s="8" t="s">
        <v>1457</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DLCs'!$A$3:$D$99999,4,FALSE))</f>
        <v>DLC_BASE_GAME</v>
      </c>
      <c r="U44" s="3" t="str">
        <f>IF(T44&lt;&gt;"",VLOOKUP(T44,'&lt;Constants&gt;'!$B$4:$C$1020,2,FALSE),"")</f>
        <v>Included in base game</v>
      </c>
      <c r="V44" s="30" t="s">
        <v>1534</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1535</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1536</v>
      </c>
      <c r="AI44" s="38"/>
      <c r="AJ44" s="38"/>
      <c r="AK44" s="3">
        <f>IF(AND(G44&lt;&gt;"LIBSETS_SETTYPE_BATTLEGROUND",G44&lt;&gt;"LIBSETS_SETTYPE_SPECIAL"),IF(AL44&lt;&gt;"",VLOOKUP(AL44,'ESO zones'!$D$5:$H$4958,5,FALSE),""),"")</f>
        <v>117</v>
      </c>
      <c r="AL44" t="s">
        <v>113</v>
      </c>
      <c r="AM44" s="30" t="s">
        <v>1537</v>
      </c>
      <c r="AN44" s="38"/>
      <c r="AO44" s="38"/>
      <c r="AP44" s="3">
        <f>IF(AND(G44&lt;&gt;"LIBSETS_SETTYPE_BATTLEGROUND",G44&lt;&gt;"LIBSETS_SETTYPE_SPECIAL"),IF(AQ44&lt;&gt;"",VLOOKUP(AQ44,'ESO zones'!$D$5:$H$4958,5,FALSE),""),"")</f>
        <v>117</v>
      </c>
      <c r="AQ44" t="s">
        <v>113</v>
      </c>
      <c r="AR44" s="118" t="s">
        <v>3193</v>
      </c>
      <c r="AS44" s="38"/>
      <c r="AT44" s="38"/>
      <c r="AU44" s="3" t="str">
        <f>IF(AND(G44&lt;&gt;"LIBSETS_SETTYPE_BATTLEGROUND",G44&lt;&gt;"LIBSETS_SETTYPE_SPECIAL"),IF(AV44&lt;&gt;"",VLOOKUP(AV44,'ESO zones'!$D$5:$H$4958,5,FALSE),""),"")</f>
        <v/>
      </c>
      <c r="AX44" s="38"/>
      <c r="AY44" s="38"/>
      <c r="AZ44" s="72" t="s">
        <v>2626</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1452</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DLCs'!$A$3:$D$99999,4,FALSE))</f>
        <v>DLC_BASE_GAME</v>
      </c>
      <c r="U45" s="3" t="str">
        <f>IF(T45&lt;&gt;"",VLOOKUP(T45,'&lt;Constants&gt;'!$B$4:$C$1020,2,FALSE),"")</f>
        <v>Included in base game</v>
      </c>
      <c r="V45" s="30" t="s">
        <v>1509</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3681</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2736</v>
      </c>
      <c r="AK45" s="3">
        <f>IF(AND(G45&lt;&gt;"LIBSETS_SETTYPE_BATTLEGROUND",G45&lt;&gt;"LIBSETS_SETTYPE_SPECIAL"),IF(AL45&lt;&gt;"",VLOOKUP(AL45,'ESO zones'!$D$5:$H$4958,5,FALSE),""),"")</f>
        <v>181</v>
      </c>
      <c r="AL45" t="s">
        <v>124</v>
      </c>
      <c r="AM45" s="30" t="s">
        <v>3684</v>
      </c>
      <c r="AP45" s="3">
        <f>IF(AND(G45&lt;&gt;"LIBSETS_SETTYPE_BATTLEGROUND",G45&lt;&gt;"LIBSETS_SETTYPE_SPECIAL"),IF(AQ45&lt;&gt;"",VLOOKUP(AQ45,'ESO zones'!$D$5:$H$4958,5,FALSE),""),"")</f>
        <v>181</v>
      </c>
      <c r="AQ45" t="s">
        <v>124</v>
      </c>
      <c r="AR45" s="30" t="s">
        <v>1534</v>
      </c>
      <c r="AU45" s="3">
        <f>IF(AND(G45&lt;&gt;"LIBSETS_SETTYPE_BATTLEGROUND",G45&lt;&gt;"LIBSETS_SETTYPE_SPECIAL"),IF(AV45&lt;&gt;"",VLOOKUP(AV45,'ESO zones'!$D$5:$H$4958,5,FALSE),""),"")</f>
        <v>181</v>
      </c>
      <c r="AV45" t="s">
        <v>124</v>
      </c>
      <c r="AW45" s="30" t="s">
        <v>3205</v>
      </c>
      <c r="AZ45" s="72" t="s">
        <v>2626</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2528</v>
      </c>
      <c r="D46" s="3">
        <f t="shared" si="0"/>
        <v>64</v>
      </c>
      <c r="E46" s="53"/>
      <c r="G46" s="8" t="s">
        <v>1457</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DLCs'!$A$3:$D$99999,4,FALSE))</f>
        <v>DLC_BASE_GAME</v>
      </c>
      <c r="U46" s="3" t="str">
        <f>IF(T46&lt;&gt;"",VLOOKUP(T46,'&lt;Constants&gt;'!$B$4:$C$1020,2,FALSE),"")</f>
        <v>Included in base game</v>
      </c>
      <c r="V46" s="30" t="s">
        <v>1534</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1535</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1536</v>
      </c>
      <c r="AI46" s="38"/>
      <c r="AJ46" s="38"/>
      <c r="AK46" s="3">
        <f>IF(AND(G46&lt;&gt;"LIBSETS_SETTYPE_BATTLEGROUND",G46&lt;&gt;"LIBSETS_SETTYPE_SPECIAL"),IF(AL46&lt;&gt;"",VLOOKUP(AL46,'ESO zones'!$D$5:$H$4958,5,FALSE),""),"")</f>
        <v>108</v>
      </c>
      <c r="AL46" t="s">
        <v>112</v>
      </c>
      <c r="AM46" s="30" t="s">
        <v>1537</v>
      </c>
      <c r="AN46" s="38"/>
      <c r="AO46" s="38"/>
      <c r="AP46" s="3">
        <f>IF(AND(G46&lt;&gt;"LIBSETS_SETTYPE_BATTLEGROUND",G46&lt;&gt;"LIBSETS_SETTYPE_SPECIAL"),IF(AQ46&lt;&gt;"",VLOOKUP(AQ46,'ESO zones'!$D$5:$H$4958,5,FALSE),""),"")</f>
        <v>108</v>
      </c>
      <c r="AQ46" t="s">
        <v>112</v>
      </c>
      <c r="AR46" s="118" t="s">
        <v>3193</v>
      </c>
      <c r="AS46" s="38"/>
      <c r="AT46" s="38"/>
      <c r="AU46" s="3" t="str">
        <f>IF(AND(G46&lt;&gt;"LIBSETS_SETTYPE_BATTLEGROUND",G46&lt;&gt;"LIBSETS_SETTYPE_SPECIAL"),IF(AV46&lt;&gt;"",VLOOKUP(AV46,'ESO zones'!$D$5:$H$4958,5,FALSE),""),"")</f>
        <v/>
      </c>
      <c r="AX46" s="38"/>
      <c r="AY46" s="38"/>
      <c r="AZ46" s="72" t="s">
        <v>2626</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2529</v>
      </c>
      <c r="D47" s="3">
        <f t="shared" si="0"/>
        <v>65</v>
      </c>
      <c r="E47" s="53"/>
      <c r="G47" s="8" t="s">
        <v>1457</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DLCs'!$A$3:$D$99999,4,FALSE))</f>
        <v>DLC_BASE_GAME</v>
      </c>
      <c r="U47" s="3" t="str">
        <f>IF(T47&lt;&gt;"",VLOOKUP(T47,'&lt;Constants&gt;'!$B$4:$C$1020,2,FALSE),"")</f>
        <v>Included in base game</v>
      </c>
      <c r="V47" s="30" t="s">
        <v>1534</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1535</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1536</v>
      </c>
      <c r="AI47" s="38"/>
      <c r="AJ47" s="38"/>
      <c r="AK47" s="3">
        <f>IF(AND(G47&lt;&gt;"LIBSETS_SETTYPE_BATTLEGROUND",G47&lt;&gt;"LIBSETS_SETTYPE_SPECIAL"),IF(AL47&lt;&gt;"",VLOOKUP(AL47,'ESO zones'!$D$5:$H$4958,5,FALSE),""),"")</f>
        <v>3</v>
      </c>
      <c r="AL47" t="s">
        <v>102</v>
      </c>
      <c r="AM47" s="30" t="s">
        <v>1537</v>
      </c>
      <c r="AN47" s="38"/>
      <c r="AO47" s="38"/>
      <c r="AP47" s="3">
        <f>IF(AND(G47&lt;&gt;"LIBSETS_SETTYPE_BATTLEGROUND",G47&lt;&gt;"LIBSETS_SETTYPE_SPECIAL"),IF(AQ47&lt;&gt;"",VLOOKUP(AQ47,'ESO zones'!$D$5:$H$4958,5,FALSE),""),"")</f>
        <v>3</v>
      </c>
      <c r="AQ47" t="s">
        <v>102</v>
      </c>
      <c r="AR47" s="118" t="s">
        <v>3193</v>
      </c>
      <c r="AS47" s="38"/>
      <c r="AT47" s="38"/>
      <c r="AU47" s="3" t="str">
        <f>IF(AND(G47&lt;&gt;"LIBSETS_SETTYPE_BATTLEGROUND",G47&lt;&gt;"LIBSETS_SETTYPE_SPECIAL"),IF(AV47&lt;&gt;"",VLOOKUP(AV47,'ESO zones'!$D$5:$H$4958,5,FALSE),""),"")</f>
        <v/>
      </c>
      <c r="AX47" s="38"/>
      <c r="AY47" s="38"/>
      <c r="AZ47" s="72" t="s">
        <v>2626</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1457</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DLCs'!$A$3:$D$99999,4,FALSE))</f>
        <v>DLC_BASE_GAME</v>
      </c>
      <c r="U48" s="3" t="str">
        <f>IF(T48&lt;&gt;"",VLOOKUP(T48,'&lt;Constants&gt;'!$B$4:$C$1020,2,FALSE),"")</f>
        <v>Included in base game</v>
      </c>
      <c r="V48" s="30" t="s">
        <v>1534</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1535</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1536</v>
      </c>
      <c r="AI48" s="38"/>
      <c r="AJ48" s="38"/>
      <c r="AK48" s="3">
        <f>IF(AND(G48&lt;&gt;"LIBSETS_SETTYPE_BATTLEGROUND",G48&lt;&gt;"LIBSETS_SETTYPE_SPECIAL"),IF(AL48&lt;&gt;"",VLOOKUP(AL48,'ESO zones'!$D$5:$H$4958,5,FALSE),""),"")</f>
        <v>117</v>
      </c>
      <c r="AL48" t="s">
        <v>113</v>
      </c>
      <c r="AM48" s="30" t="s">
        <v>1537</v>
      </c>
      <c r="AN48" s="38"/>
      <c r="AO48" s="38"/>
      <c r="AP48" s="3">
        <f>IF(AND(G48&lt;&gt;"LIBSETS_SETTYPE_BATTLEGROUND",G48&lt;&gt;"LIBSETS_SETTYPE_SPECIAL"),IF(AQ48&lt;&gt;"",VLOOKUP(AQ48,'ESO zones'!$D$5:$H$4958,5,FALSE),""),"")</f>
        <v>117</v>
      </c>
      <c r="AQ48" t="s">
        <v>113</v>
      </c>
      <c r="AR48" s="118" t="s">
        <v>3193</v>
      </c>
      <c r="AS48" s="38"/>
      <c r="AT48" s="38"/>
      <c r="AU48" s="3" t="str">
        <f>IF(AND(G48&lt;&gt;"LIBSETS_SETTYPE_BATTLEGROUND",G48&lt;&gt;"LIBSETS_SETTYPE_SPECIAL"),IF(AV48&lt;&gt;"",VLOOKUP(AV48,'ESO zones'!$D$5:$H$4958,5,FALSE),""),"")</f>
        <v/>
      </c>
      <c r="AX48" s="38"/>
      <c r="AY48" s="38"/>
      <c r="AZ48" s="72" t="s">
        <v>2626</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1452</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DLCs'!$A$3:$D$99999,4,FALSE))</f>
        <v>DLC_BASE_GAME</v>
      </c>
      <c r="U49" s="3" t="str">
        <f>IF(T49&lt;&gt;"",VLOOKUP(T49,'&lt;Constants&gt;'!$B$4:$C$1020,2,FALSE),"")</f>
        <v>Included in base game</v>
      </c>
      <c r="V49" s="30" t="s">
        <v>1507</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3681</v>
      </c>
      <c r="AC49" s="38"/>
      <c r="AD49" s="38"/>
      <c r="AE49" s="125">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2736</v>
      </c>
      <c r="AK49" s="3">
        <f>IF(AND(G49&lt;&gt;"LIBSETS_SETTYPE_BATTLEGROUND",G49&lt;&gt;"LIBSETS_SETTYPE_SPECIAL"),IF(AL49&lt;&gt;"",VLOOKUP(AL49,'ESO zones'!$D$5:$H$4958,5,FALSE),""),"")</f>
        <v>181</v>
      </c>
      <c r="AL49" t="s">
        <v>124</v>
      </c>
      <c r="AM49" s="30" t="s">
        <v>3684</v>
      </c>
      <c r="AP49" s="3">
        <f>IF(AND(G49&lt;&gt;"LIBSETS_SETTYPE_BATTLEGROUND",G49&lt;&gt;"LIBSETS_SETTYPE_SPECIAL"),IF(AQ49&lt;&gt;"",VLOOKUP(AQ49,'ESO zones'!$D$5:$H$4958,5,FALSE),""),"")</f>
        <v>181</v>
      </c>
      <c r="AQ49" t="s">
        <v>124</v>
      </c>
      <c r="AR49" s="30" t="s">
        <v>1534</v>
      </c>
      <c r="AU49" s="3">
        <f>IF(AND(G49&lt;&gt;"LIBSETS_SETTYPE_BATTLEGROUND",G49&lt;&gt;"LIBSETS_SETTYPE_SPECIAL"),IF(AV49&lt;&gt;"",VLOOKUP(AV49,'ESO zones'!$D$5:$H$4958,5,FALSE),""),"")</f>
        <v>181</v>
      </c>
      <c r="AV49" t="s">
        <v>124</v>
      </c>
      <c r="AW49" s="30" t="s">
        <v>3205</v>
      </c>
      <c r="AZ49" s="72" t="s">
        <v>2626</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1457</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DLCs'!$A$3:$D$99999,4,FALSE))</f>
        <v>DLC_BASE_GAME</v>
      </c>
      <c r="U50" s="3" t="str">
        <f>IF(T50&lt;&gt;"",VLOOKUP(T50,'&lt;Constants&gt;'!$B$4:$C$1020,2,FALSE),"")</f>
        <v>Included in base game</v>
      </c>
      <c r="V50" s="30" t="s">
        <v>1534</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1535</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1536</v>
      </c>
      <c r="AI50" s="38"/>
      <c r="AJ50" s="38"/>
      <c r="AK50" s="3">
        <f>IF(AND(G50&lt;&gt;"LIBSETS_SETTYPE_BATTLEGROUND",G50&lt;&gt;"LIBSETS_SETTYPE_SPECIAL"),IF(AL50&lt;&gt;"",VLOOKUP(AL50,'ESO zones'!$D$5:$H$4958,5,FALSE),""),"")</f>
        <v>347</v>
      </c>
      <c r="AL50" t="s">
        <v>238</v>
      </c>
      <c r="AM50" s="30" t="s">
        <v>1537</v>
      </c>
      <c r="AN50" s="38"/>
      <c r="AO50" s="38"/>
      <c r="AP50" s="3">
        <f>IF(AND(G50&lt;&gt;"LIBSETS_SETTYPE_BATTLEGROUND",G50&lt;&gt;"LIBSETS_SETTYPE_SPECIAL"),IF(AQ50&lt;&gt;"",VLOOKUP(AQ50,'ESO zones'!$D$5:$H$4958,5,FALSE),""),"")</f>
        <v>347</v>
      </c>
      <c r="AQ50" t="s">
        <v>238</v>
      </c>
      <c r="AR50" s="118" t="s">
        <v>3193</v>
      </c>
      <c r="AS50" s="38"/>
      <c r="AT50" s="38"/>
      <c r="AU50" s="3" t="str">
        <f>IF(AND(G50&lt;&gt;"LIBSETS_SETTYPE_BATTLEGROUND",G50&lt;&gt;"LIBSETS_SETTYPE_SPECIAL"),IF(AV50&lt;&gt;"",VLOOKUP(AV50,'ESO zones'!$D$5:$H$4958,5,FALSE),""),"")</f>
        <v/>
      </c>
      <c r="AX50" s="38"/>
      <c r="AY50" s="38"/>
      <c r="AZ50" s="72" t="s">
        <v>2626</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2530</v>
      </c>
      <c r="D51" s="3">
        <f t="shared" si="0"/>
        <v>69</v>
      </c>
      <c r="E51" s="53"/>
      <c r="G51" s="8" t="s">
        <v>1457</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DLCs'!$A$3:$D$99999,4,FALSE))</f>
        <v>DLC_BASE_GAME</v>
      </c>
      <c r="U51" s="3" t="str">
        <f>IF(T51&lt;&gt;"",VLOOKUP(T51,'&lt;Constants&gt;'!$B$4:$C$1020,2,FALSE),"")</f>
        <v>Included in base game</v>
      </c>
      <c r="V51" s="30" t="s">
        <v>1534</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1535</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1536</v>
      </c>
      <c r="AI51" s="38"/>
      <c r="AJ51" s="38"/>
      <c r="AK51" s="3">
        <f>IF(AND(G51&lt;&gt;"LIBSETS_SETTYPE_BATTLEGROUND",G51&lt;&gt;"LIBSETS_SETTYPE_SPECIAL"),IF(AL51&lt;&gt;"",VLOOKUP(AL51,'ESO zones'!$D$5:$H$4958,5,FALSE),""),"")</f>
        <v>383</v>
      </c>
      <c r="AL51" t="s">
        <v>263</v>
      </c>
      <c r="AM51" s="30" t="s">
        <v>1537</v>
      </c>
      <c r="AN51" s="38"/>
      <c r="AO51" s="38"/>
      <c r="AP51" s="3">
        <f>IF(AND(G51&lt;&gt;"LIBSETS_SETTYPE_BATTLEGROUND",G51&lt;&gt;"LIBSETS_SETTYPE_SPECIAL"),IF(AQ51&lt;&gt;"",VLOOKUP(AQ51,'ESO zones'!$D$5:$H$4958,5,FALSE),""),"")</f>
        <v>383</v>
      </c>
      <c r="AQ51" t="s">
        <v>263</v>
      </c>
      <c r="AR51" s="118" t="s">
        <v>3193</v>
      </c>
      <c r="AS51" s="38"/>
      <c r="AT51" s="38"/>
      <c r="AU51" s="3" t="str">
        <f>IF(AND(G51&lt;&gt;"LIBSETS_SETTYPE_BATTLEGROUND",G51&lt;&gt;"LIBSETS_SETTYPE_SPECIAL"),IF(AV51&lt;&gt;"",VLOOKUP(AV51,'ESO zones'!$D$5:$H$4958,5,FALSE),""),"")</f>
        <v/>
      </c>
      <c r="AX51" s="38"/>
      <c r="AY51" s="38"/>
      <c r="AZ51" s="72" t="s">
        <v>2627</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1457</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DLCs'!$A$3:$D$99999,4,FALSE))</f>
        <v>DLC_BASE_GAME</v>
      </c>
      <c r="U52" s="3" t="str">
        <f>IF(T52&lt;&gt;"",VLOOKUP(T52,'&lt;Constants&gt;'!$B$4:$C$1020,2,FALSE),"")</f>
        <v>Included in base game</v>
      </c>
      <c r="V52" s="30" t="s">
        <v>1534</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1535</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1536</v>
      </c>
      <c r="AI52" s="38"/>
      <c r="AJ52" s="38"/>
      <c r="AK52" s="3">
        <f>IF(AND(G52&lt;&gt;"LIBSETS_SETTYPE_BATTLEGROUND",G52&lt;&gt;"LIBSETS_SETTYPE_SPECIAL"),IF(AL52&lt;&gt;"",VLOOKUP(AL52,'ESO zones'!$D$5:$H$4958,5,FALSE),""),"")</f>
        <v>92</v>
      </c>
      <c r="AL52" t="s">
        <v>108</v>
      </c>
      <c r="AM52" s="30" t="s">
        <v>1537</v>
      </c>
      <c r="AN52" s="38"/>
      <c r="AO52" s="38"/>
      <c r="AP52" s="3">
        <f>IF(AND(G52&lt;&gt;"LIBSETS_SETTYPE_BATTLEGROUND",G52&lt;&gt;"LIBSETS_SETTYPE_SPECIAL"),IF(AQ52&lt;&gt;"",VLOOKUP(AQ52,'ESO zones'!$D$5:$H$4958,5,FALSE),""),"")</f>
        <v>92</v>
      </c>
      <c r="AQ52" t="s">
        <v>108</v>
      </c>
      <c r="AR52" s="118" t="s">
        <v>3193</v>
      </c>
      <c r="AS52" s="38"/>
      <c r="AT52" s="38"/>
      <c r="AU52" s="3" t="str">
        <f>IF(AND(G52&lt;&gt;"LIBSETS_SETTYPE_BATTLEGROUND",G52&lt;&gt;"LIBSETS_SETTYPE_SPECIAL"),IF(AV52&lt;&gt;"",VLOOKUP(AV52,'ESO zones'!$D$5:$H$4958,5,FALSE),""),"")</f>
        <v/>
      </c>
      <c r="AX52" s="38"/>
      <c r="AY52" s="38"/>
      <c r="AZ52" s="72" t="s">
        <v>2626</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2531</v>
      </c>
      <c r="D53" s="3">
        <f t="shared" si="0"/>
        <v>71</v>
      </c>
      <c r="E53" s="53"/>
      <c r="G53" s="8" t="s">
        <v>1454</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DLCs'!$A$3:$D$99999,4,FALSE))</f>
        <v>DLC_BASE_GAME</v>
      </c>
      <c r="U53" s="3" t="str">
        <f>IF(T53&lt;&gt;"",VLOOKUP(T53,'&lt;Constants&gt;'!$B$4:$C$1020,2,FALSE),"")</f>
        <v>Included in base game</v>
      </c>
      <c r="V53" s="30" t="s">
        <v>3253</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2626</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2532</v>
      </c>
      <c r="D54" s="3">
        <f t="shared" si="0"/>
        <v>72</v>
      </c>
      <c r="E54" s="53"/>
      <c r="G54" s="8" t="s">
        <v>1454</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DLCs'!$A$3:$D$99999,4,FALSE))</f>
        <v>DLC_BASE_GAME</v>
      </c>
      <c r="U54" s="3" t="str">
        <f>IF(T54&lt;&gt;"",VLOOKUP(T54,'&lt;Constants&gt;'!$B$4:$C$1020,2,FALSE),"")</f>
        <v>Included in base game</v>
      </c>
      <c r="V54" s="30" t="s">
        <v>3253</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2626</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2533</v>
      </c>
      <c r="D55" s="3">
        <f t="shared" si="0"/>
        <v>73</v>
      </c>
      <c r="E55" s="53"/>
      <c r="G55" s="8" t="s">
        <v>1451</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DLCs'!$A$3:$D$99999,4,FALSE))</f>
        <v>DLC_BASE_GAME</v>
      </c>
      <c r="U55" s="3" t="str">
        <f>IF(T55&lt;&gt;"",VLOOKUP(T55,'&lt;Constants&gt;'!$B$4:$C$1020,2,FALSE),"")</f>
        <v>Included in base game</v>
      </c>
      <c r="V55" s="30" t="s">
        <v>3256</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3256</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2626</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2534</v>
      </c>
      <c r="D56" s="3">
        <f t="shared" si="0"/>
        <v>74</v>
      </c>
      <c r="E56" s="53"/>
      <c r="G56" s="8" t="s">
        <v>1451</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DLCs'!$A$3:$D$99999,4,FALSE))</f>
        <v>DLC_BASE_GAME</v>
      </c>
      <c r="U56" s="3" t="str">
        <f>IF(T56&lt;&gt;"",VLOOKUP(T56,'&lt;Constants&gt;'!$B$4:$C$1020,2,FALSE),"")</f>
        <v>Included in base game</v>
      </c>
      <c r="V56" s="30" t="s">
        <v>3256</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3256</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2626</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2535</v>
      </c>
      <c r="D57" s="3">
        <f t="shared" si="0"/>
        <v>75</v>
      </c>
      <c r="E57" s="53"/>
      <c r="G57" s="8" t="s">
        <v>1451</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DLCs'!$A$3:$D$99999,4,FALSE))</f>
        <v>DLC_BASE_GAME</v>
      </c>
      <c r="U57" s="3" t="str">
        <f>IF(T57&lt;&gt;"",VLOOKUP(T57,'&lt;Constants&gt;'!$B$4:$C$1020,2,FALSE),"")</f>
        <v>Included in base game</v>
      </c>
      <c r="V57" s="30" t="s">
        <v>3256</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3256</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3256</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2627</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1452</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DLCs'!$A$3:$D$99999,4,FALSE))</f>
        <v>DLC_BASE_GAME</v>
      </c>
      <c r="U58" s="3" t="str">
        <f>IF(T58&lt;&gt;"",VLOOKUP(T58,'&lt;Constants&gt;'!$B$4:$C$1020,2,FALSE),"")</f>
        <v>Included in base game</v>
      </c>
      <c r="V58" s="30" t="s">
        <v>2741</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3681</v>
      </c>
      <c r="AE58" s="125">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2736</v>
      </c>
      <c r="AK58" s="3">
        <f>IF(AND(G58&lt;&gt;"LIBSETS_SETTYPE_BATTLEGROUND",G58&lt;&gt;"LIBSETS_SETTYPE_SPECIAL"),IF(AL58&lt;&gt;"",VLOOKUP(AL58,'ESO zones'!$D$5:$H$4958,5,FALSE),""),"")</f>
        <v>181</v>
      </c>
      <c r="AL58" t="s">
        <v>124</v>
      </c>
      <c r="AM58" s="30" t="s">
        <v>3684</v>
      </c>
      <c r="AP58" s="3">
        <f>IF(AND(G58&lt;&gt;"LIBSETS_SETTYPE_BATTLEGROUND",G58&lt;&gt;"LIBSETS_SETTYPE_SPECIAL"),IF(AQ58&lt;&gt;"",VLOOKUP(AQ58,'ESO zones'!$D$5:$H$4958,5,FALSE),""),"")</f>
        <v>181</v>
      </c>
      <c r="AQ58" t="s">
        <v>124</v>
      </c>
      <c r="AR58" s="30" t="s">
        <v>1534</v>
      </c>
      <c r="AU58" s="3">
        <f>IF(AND(G58&lt;&gt;"LIBSETS_SETTYPE_BATTLEGROUND",G58&lt;&gt;"LIBSETS_SETTYPE_SPECIAL"),IF(AV58&lt;&gt;"",VLOOKUP(AV58,'ESO zones'!$D$5:$H$4958,5,FALSE),""),"")</f>
        <v>181</v>
      </c>
      <c r="AV58" t="s">
        <v>124</v>
      </c>
      <c r="AW58" s="30" t="s">
        <v>3205</v>
      </c>
      <c r="AZ58" s="72" t="s">
        <v>2627</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1454</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DLCs'!$A$3:$D$99999,4,FALSE))</f>
        <v>DLC_BASE_GAME</v>
      </c>
      <c r="U59" s="3" t="str">
        <f>IF(T59&lt;&gt;"",VLOOKUP(T59,'&lt;Constants&gt;'!$B$4:$C$1020,2,FALSE),"")</f>
        <v>Included in base game</v>
      </c>
      <c r="V59" s="30" t="s">
        <v>3253</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2626</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1451</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DLCs'!$A$3:$D$99999,4,FALSE))</f>
        <v>DLC_BASE_GAME</v>
      </c>
      <c r="U60" s="3" t="str">
        <f>IF(T60&lt;&gt;"",VLOOKUP(T60,'&lt;Constants&gt;'!$B$4:$C$1020,2,FALSE),"")</f>
        <v>Included in base game</v>
      </c>
      <c r="V60" s="30" t="s">
        <v>3256</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3256</v>
      </c>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3256</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2626</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2536</v>
      </c>
      <c r="D61" s="3">
        <f t="shared" si="0"/>
        <v>79</v>
      </c>
      <c r="E61" s="53"/>
      <c r="G61" s="8" t="s">
        <v>1451</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DLCs'!$A$3:$D$99999,4,FALSE))</f>
        <v>DLC_BASE_GAME</v>
      </c>
      <c r="U61" s="3" t="str">
        <f>IF(T61&lt;&gt;"",VLOOKUP(T61,'&lt;Constants&gt;'!$B$4:$C$1020,2,FALSE),"")</f>
        <v>Included in base game</v>
      </c>
      <c r="V61" s="30" t="s">
        <v>3256</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3256</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3256</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2627</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2537</v>
      </c>
      <c r="D62" s="3">
        <f t="shared" si="0"/>
        <v>80</v>
      </c>
      <c r="E62" s="53"/>
      <c r="G62" s="8" t="s">
        <v>1451</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DLCs'!$A$3:$D$99999,4,FALSE))</f>
        <v>DLC_BASE_GAME</v>
      </c>
      <c r="U62" s="3" t="str">
        <f>IF(T62&lt;&gt;"",VLOOKUP(T62,'&lt;Constants&gt;'!$B$4:$C$1020,2,FALSE),"")</f>
        <v>Included in base game</v>
      </c>
      <c r="V62" s="30" t="s">
        <v>3256</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3256</v>
      </c>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3256</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2626</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1451</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DLCs'!$A$3:$D$99999,4,FALSE))</f>
        <v>DLC_BASE_GAME</v>
      </c>
      <c r="U63" s="3" t="str">
        <f>IF(T63&lt;&gt;"",VLOOKUP(T63,'&lt;Constants&gt;'!$B$4:$C$1020,2,FALSE),"")</f>
        <v>Included in base game</v>
      </c>
      <c r="V63" s="30" t="s">
        <v>3256</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3256</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3256</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2626</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2538</v>
      </c>
      <c r="D64" s="3">
        <f t="shared" si="0"/>
        <v>82</v>
      </c>
      <c r="G64" s="8" t="s">
        <v>1451</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DLCs'!$A$3:$D$99999,4,FALSE))</f>
        <v>DLC_BASE_GAME</v>
      </c>
      <c r="U64" s="3" t="str">
        <f>IF(T64&lt;&gt;"",VLOOKUP(T64,'&lt;Constants&gt;'!$B$4:$C$1020,2,FALSE),"")</f>
        <v>Included in base game</v>
      </c>
      <c r="V64" s="30" t="s">
        <v>3256</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3256</v>
      </c>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3256</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2626</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1452</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DLCs'!$A$3:$D$99999,4,FALSE))</f>
        <v>DLC_BASE_GAME</v>
      </c>
      <c r="U65" s="3" t="str">
        <f>IF(T65&lt;&gt;"",VLOOKUP(T65,'&lt;Constants&gt;'!$B$4:$C$1020,2,FALSE),"")</f>
        <v>Included in base game</v>
      </c>
      <c r="V65" s="30" t="s">
        <v>1509</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3681</v>
      </c>
      <c r="AE65" s="125">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2736</v>
      </c>
      <c r="AK65" s="3">
        <f>IF(AND(G65&lt;&gt;"LIBSETS_SETTYPE_BATTLEGROUND",G65&lt;&gt;"LIBSETS_SETTYPE_SPECIAL"),IF(AL65&lt;&gt;"",VLOOKUP(AL65,'ESO zones'!$D$5:$H$4958,5,FALSE),""),"")</f>
        <v>181</v>
      </c>
      <c r="AL65" t="s">
        <v>124</v>
      </c>
      <c r="AM65" s="30" t="s">
        <v>3684</v>
      </c>
      <c r="AP65" s="3">
        <f>IF(AND(G65&lt;&gt;"LIBSETS_SETTYPE_BATTLEGROUND",G65&lt;&gt;"LIBSETS_SETTYPE_SPECIAL"),IF(AQ65&lt;&gt;"",VLOOKUP(AQ65,'ESO zones'!$D$5:$H$4958,5,FALSE),""),"")</f>
        <v>181</v>
      </c>
      <c r="AQ65" t="s">
        <v>124</v>
      </c>
      <c r="AR65" s="30" t="s">
        <v>1534</v>
      </c>
      <c r="AU65" s="3">
        <f>IF(AND(G65&lt;&gt;"LIBSETS_SETTYPE_BATTLEGROUND",G65&lt;&gt;"LIBSETS_SETTYPE_SPECIAL"),IF(AV65&lt;&gt;"",VLOOKUP(AV65,'ESO zones'!$D$5:$H$4958,5,FALSE),""),"")</f>
        <v>181</v>
      </c>
      <c r="AV65" t="s">
        <v>124</v>
      </c>
      <c r="AW65" s="30" t="s">
        <v>3205</v>
      </c>
      <c r="AZ65" s="72" t="s">
        <v>2627</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2539</v>
      </c>
      <c r="D66" s="3">
        <f t="shared" si="0"/>
        <v>84</v>
      </c>
      <c r="G66" s="8" t="s">
        <v>1451</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DLCs'!$A$3:$D$99999,4,FALSE))</f>
        <v>DLC_BASE_GAME</v>
      </c>
      <c r="U66" s="3" t="str">
        <f>IF(T66&lt;&gt;"",VLOOKUP(T66,'&lt;Constants&gt;'!$B$4:$C$1020,2,FALSE),"")</f>
        <v>Included in base game</v>
      </c>
      <c r="V66" s="30" t="s">
        <v>3256</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3256</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2627</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2540</v>
      </c>
      <c r="D67" s="3">
        <f t="shared" ref="D67:D130" si="6">A67</f>
        <v>85</v>
      </c>
      <c r="G67" s="8" t="s">
        <v>1452</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DLCs'!$A$3:$D$99999,4,FALSE))</f>
        <v>DLC_BASE_GAME</v>
      </c>
      <c r="U67" s="3" t="str">
        <f>IF(T67&lt;&gt;"",VLOOKUP(T67,'&lt;Constants&gt;'!$B$4:$C$1020,2,FALSE),"")</f>
        <v>Included in base game</v>
      </c>
      <c r="V67" s="30" t="s">
        <v>2741</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3681</v>
      </c>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2736</v>
      </c>
      <c r="AK67" s="3">
        <f>IF(AND(G67&lt;&gt;"LIBSETS_SETTYPE_BATTLEGROUND",G67&lt;&gt;"LIBSETS_SETTYPE_SPECIAL"),IF(AL67&lt;&gt;"",VLOOKUP(AL67,'ESO zones'!$D$5:$H$4958,5,FALSE),""),"")</f>
        <v>181</v>
      </c>
      <c r="AL67" t="s">
        <v>124</v>
      </c>
      <c r="AM67" s="30" t="s">
        <v>3684</v>
      </c>
      <c r="AP67" s="3">
        <f>IF(AND(G67&lt;&gt;"LIBSETS_SETTYPE_BATTLEGROUND",G67&lt;&gt;"LIBSETS_SETTYPE_SPECIAL"),IF(AQ67&lt;&gt;"",VLOOKUP(AQ67,'ESO zones'!$D$5:$H$4958,5,FALSE),""),"")</f>
        <v>181</v>
      </c>
      <c r="AQ67" t="s">
        <v>124</v>
      </c>
      <c r="AR67" s="30" t="s">
        <v>1534</v>
      </c>
      <c r="AU67" s="3">
        <f>IF(AND(G67&lt;&gt;"LIBSETS_SETTYPE_BATTLEGROUND",G67&lt;&gt;"LIBSETS_SETTYPE_SPECIAL"),IF(AV67&lt;&gt;"",VLOOKUP(AV67,'ESO zones'!$D$5:$H$4958,5,FALSE),""),"")</f>
        <v>181</v>
      </c>
      <c r="AV67" t="s">
        <v>124</v>
      </c>
      <c r="AW67" s="30" t="s">
        <v>3205</v>
      </c>
      <c r="AZ67" s="72" t="s">
        <v>2626</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2541</v>
      </c>
      <c r="D68" s="3">
        <f t="shared" si="6"/>
        <v>86</v>
      </c>
      <c r="G68" s="8" t="s">
        <v>1457</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DLCs'!$A$3:$D$99999,4,FALSE))</f>
        <v>DLC_BASE_GAME</v>
      </c>
      <c r="U68" s="3" t="str">
        <f>IF(T68&lt;&gt;"",VLOOKUP(T68,'&lt;Constants&gt;'!$B$4:$C$1020,2,FALSE),"")</f>
        <v>Included in base game</v>
      </c>
      <c r="V68" s="30" t="s">
        <v>1534</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1535</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1536</v>
      </c>
      <c r="AI68" s="38"/>
      <c r="AJ68" s="38"/>
      <c r="AK68" s="3">
        <f>IF(AND(G68&lt;&gt;"LIBSETS_SETTYPE_BATTLEGROUND",G68&lt;&gt;"LIBSETS_SETTYPE_SPECIAL"),IF(AL68&lt;&gt;"",VLOOKUP(AL68,'ESO zones'!$D$5:$H$4958,5,FALSE),""),"")</f>
        <v>381</v>
      </c>
      <c r="AL68" t="s">
        <v>261</v>
      </c>
      <c r="AM68" s="30" t="s">
        <v>1537</v>
      </c>
      <c r="AN68" s="38"/>
      <c r="AO68" s="38"/>
      <c r="AP68" s="3">
        <f>IF(AND(G68&lt;&gt;"LIBSETS_SETTYPE_BATTLEGROUND",G68&lt;&gt;"LIBSETS_SETTYPE_SPECIAL"),IF(AQ68&lt;&gt;"",VLOOKUP(AQ68,'ESO zones'!$D$5:$H$4958,5,FALSE),""),"")</f>
        <v>381</v>
      </c>
      <c r="AQ68" t="s">
        <v>261</v>
      </c>
      <c r="AR68" s="118" t="s">
        <v>3193</v>
      </c>
      <c r="AS68" s="38"/>
      <c r="AT68" s="38"/>
      <c r="AU68" s="3" t="str">
        <f>IF(AND(G68&lt;&gt;"LIBSETS_SETTYPE_BATTLEGROUND",G68&lt;&gt;"LIBSETS_SETTYPE_SPECIAL"),IF(AV68&lt;&gt;"",VLOOKUP(AV68,'ESO zones'!$D$5:$H$4958,5,FALSE),""),"")</f>
        <v/>
      </c>
      <c r="AX68" s="38"/>
      <c r="AY68" s="38"/>
      <c r="AZ68" s="72" t="s">
        <v>2626</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1451</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DLCs'!$A$3:$D$99999,4,FALSE))</f>
        <v>DLC_BASE_GAME</v>
      </c>
      <c r="U69" s="3" t="str">
        <f>IF(T69&lt;&gt;"",VLOOKUP(T69,'&lt;Constants&gt;'!$B$4:$C$1020,2,FALSE),"")</f>
        <v>Included in base game</v>
      </c>
      <c r="V69" s="30" t="s">
        <v>3256</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3256</v>
      </c>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2627</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1449</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DLCs'!$A$3:$D$99999,4,FALSE))</f>
        <v>DLC_BASE_GAME</v>
      </c>
      <c r="U70" s="3" t="str">
        <f>IF(T70&lt;&gt;"",VLOOKUP(T70,'&lt;Constants&gt;'!$B$4:$C$1020,2,FALSE),"")</f>
        <v>Included in base game</v>
      </c>
      <c r="V70" s="30" t="s">
        <v>1530</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1530</v>
      </c>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2627</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1452</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DLCs'!$A$3:$D$99999,4,FALSE))</f>
        <v>DLC_BASE_GAME</v>
      </c>
      <c r="U71" s="3" t="str">
        <f>IF(T71&lt;&gt;"",VLOOKUP(T71,'&lt;Constants&gt;'!$B$4:$C$1020,2,FALSE),"")</f>
        <v>Included in base game</v>
      </c>
      <c r="V71" s="30" t="s">
        <v>1507</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3681</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2736</v>
      </c>
      <c r="AK71" s="3">
        <f>IF(AND(G71&lt;&gt;"LIBSETS_SETTYPE_BATTLEGROUND",G71&lt;&gt;"LIBSETS_SETTYPE_SPECIAL"),IF(AL71&lt;&gt;"",VLOOKUP(AL71,'ESO zones'!$D$5:$H$4958,5,FALSE),""),"")</f>
        <v>181</v>
      </c>
      <c r="AL71" t="s">
        <v>124</v>
      </c>
      <c r="AM71" s="30" t="s">
        <v>3684</v>
      </c>
      <c r="AP71" s="3">
        <f>IF(AND(G71&lt;&gt;"LIBSETS_SETTYPE_BATTLEGROUND",G71&lt;&gt;"LIBSETS_SETTYPE_SPECIAL"),IF(AQ71&lt;&gt;"",VLOOKUP(AQ71,'ESO zones'!$D$5:$H$4958,5,FALSE),""),"")</f>
        <v>181</v>
      </c>
      <c r="AQ71" t="s">
        <v>124</v>
      </c>
      <c r="AR71" s="30" t="s">
        <v>1534</v>
      </c>
      <c r="AU71" s="3">
        <f>IF(AND(G71&lt;&gt;"LIBSETS_SETTYPE_BATTLEGROUND",G71&lt;&gt;"LIBSETS_SETTYPE_SPECIAL"),IF(AV71&lt;&gt;"",VLOOKUP(AV71,'ESO zones'!$D$5:$H$4958,5,FALSE),""),"")</f>
        <v>181</v>
      </c>
      <c r="AV71" t="s">
        <v>124</v>
      </c>
      <c r="AW71" s="30" t="s">
        <v>3205</v>
      </c>
      <c r="AZ71" s="72" t="s">
        <v>2626</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2542</v>
      </c>
      <c r="D72" s="3">
        <f t="shared" si="6"/>
        <v>90</v>
      </c>
      <c r="G72" s="8" t="s">
        <v>1457</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DLCs'!$A$3:$D$99999,4,FALSE))</f>
        <v>DLC_BASE_GAME</v>
      </c>
      <c r="U72" s="3" t="str">
        <f>IF(T72&lt;&gt;"",VLOOKUP(T72,'&lt;Constants&gt;'!$B$4:$C$1020,2,FALSE),"")</f>
        <v>Included in base game</v>
      </c>
      <c r="V72" s="30" t="s">
        <v>1534</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1535</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1536</v>
      </c>
      <c r="AI72" s="38"/>
      <c r="AJ72" s="38"/>
      <c r="AK72" s="3">
        <f>IF(AND(G72&lt;&gt;"LIBSETS_SETTYPE_BATTLEGROUND",G72&lt;&gt;"LIBSETS_SETTYPE_SPECIAL"),IF(AL72&lt;&gt;"",VLOOKUP(AL72,'ESO zones'!$D$5:$H$4958,5,FALSE),""),"")</f>
        <v>382</v>
      </c>
      <c r="AL72" t="s">
        <v>262</v>
      </c>
      <c r="AM72" s="30" t="s">
        <v>1537</v>
      </c>
      <c r="AN72" s="38"/>
      <c r="AO72" s="38"/>
      <c r="AP72" s="3">
        <f>IF(AND(G72&lt;&gt;"LIBSETS_SETTYPE_BATTLEGROUND",G72&lt;&gt;"LIBSETS_SETTYPE_SPECIAL"),IF(AQ72&lt;&gt;"",VLOOKUP(AQ72,'ESO zones'!$D$5:$H$4958,5,FALSE),""),"")</f>
        <v>382</v>
      </c>
      <c r="AQ72" t="s">
        <v>262</v>
      </c>
      <c r="AR72" s="118" t="s">
        <v>3193</v>
      </c>
      <c r="AS72" s="38"/>
      <c r="AT72" s="38"/>
      <c r="AU72" s="3" t="str">
        <f>IF(AND(G72&lt;&gt;"LIBSETS_SETTYPE_BATTLEGROUND",G72&lt;&gt;"LIBSETS_SETTYPE_SPECIAL"),IF(AV72&lt;&gt;"",VLOOKUP(AV72,'ESO zones'!$D$5:$H$4958,5,FALSE),""),"")</f>
        <v/>
      </c>
      <c r="AX72" s="38"/>
      <c r="AY72" s="38"/>
      <c r="AZ72" s="72" t="s">
        <v>2626</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2543</v>
      </c>
      <c r="D73" s="3">
        <f t="shared" si="6"/>
        <v>91</v>
      </c>
      <c r="G73" s="8" t="s">
        <v>1454</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DLCs'!$A$3:$D$99999,4,FALSE))</f>
        <v>DLC_BASE_GAME</v>
      </c>
      <c r="U73" s="3" t="str">
        <f>IF(T73&lt;&gt;"",VLOOKUP(T73,'&lt;Constants&gt;'!$B$4:$C$1020,2,FALSE),"")</f>
        <v>Included in base game</v>
      </c>
      <c r="V73" s="30" t="s">
        <v>3253</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2626</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2544</v>
      </c>
      <c r="D74" s="3">
        <f t="shared" si="6"/>
        <v>92</v>
      </c>
      <c r="G74" s="8" t="s">
        <v>1451</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DLCs'!$A$3:$D$99999,4,FALSE))</f>
        <v>DLC_BASE_GAME</v>
      </c>
      <c r="U74" s="3" t="str">
        <f>IF(T74&lt;&gt;"",VLOOKUP(T74,'&lt;Constants&gt;'!$B$4:$C$1020,2,FALSE),"")</f>
        <v>Included in base game</v>
      </c>
      <c r="V74" s="30" t="s">
        <v>3256</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3256</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2626</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2545</v>
      </c>
      <c r="D75" s="3">
        <f t="shared" si="6"/>
        <v>93</v>
      </c>
      <c r="G75" s="8" t="s">
        <v>1457</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DLCs'!$A$3:$D$99999,4,FALSE))</f>
        <v>DLC_BASE_GAME</v>
      </c>
      <c r="U75" s="3" t="str">
        <f>IF(T75&lt;&gt;"",VLOOKUP(T75,'&lt;Constants&gt;'!$B$4:$C$1020,2,FALSE),"")</f>
        <v>Included in base game</v>
      </c>
      <c r="V75" s="30" t="s">
        <v>1534</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1535</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1536</v>
      </c>
      <c r="AI75" s="38"/>
      <c r="AJ75" s="38"/>
      <c r="AK75" s="3">
        <f>IF(AND(G75&lt;&gt;"LIBSETS_SETTYPE_BATTLEGROUND",G75&lt;&gt;"LIBSETS_SETTYPE_SPECIAL"),IF(AL75&lt;&gt;"",VLOOKUP(AL75,'ESO zones'!$D$5:$H$4958,5,FALSE),""),"")</f>
        <v>19</v>
      </c>
      <c r="AL75" t="s">
        <v>103</v>
      </c>
      <c r="AM75" s="30" t="s">
        <v>1537</v>
      </c>
      <c r="AN75" s="38"/>
      <c r="AO75" s="38"/>
      <c r="AP75" s="3">
        <f>IF(AND(G75&lt;&gt;"LIBSETS_SETTYPE_BATTLEGROUND",G75&lt;&gt;"LIBSETS_SETTYPE_SPECIAL"),IF(AQ75&lt;&gt;"",VLOOKUP(AQ75,'ESO zones'!$D$5:$H$4958,5,FALSE),""),"")</f>
        <v>19</v>
      </c>
      <c r="AQ75" t="s">
        <v>103</v>
      </c>
      <c r="AR75" s="118" t="s">
        <v>3193</v>
      </c>
      <c r="AS75" s="38"/>
      <c r="AT75" s="38"/>
      <c r="AU75" s="3" t="str">
        <f>IF(AND(G75&lt;&gt;"LIBSETS_SETTYPE_BATTLEGROUND",G75&lt;&gt;"LIBSETS_SETTYPE_SPECIAL"),IF(AV75&lt;&gt;"",VLOOKUP(AV75,'ESO zones'!$D$5:$H$4958,5,FALSE),""),"")</f>
        <v/>
      </c>
      <c r="AX75" s="38"/>
      <c r="AY75" s="38"/>
      <c r="AZ75" s="72" t="s">
        <v>2626</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2546</v>
      </c>
      <c r="D76" s="3">
        <f t="shared" si="6"/>
        <v>94</v>
      </c>
      <c r="E76" s="37"/>
      <c r="G76" s="8" t="s">
        <v>1457</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DLCs'!$A$3:$D$99999,4,FALSE))</f>
        <v>DLC_BASE_GAME</v>
      </c>
      <c r="U76" s="3" t="str">
        <f>IF(T76&lt;&gt;"",VLOOKUP(T76,'&lt;Constants&gt;'!$B$4:$C$1020,2,FALSE),"")</f>
        <v>Included in base game</v>
      </c>
      <c r="V76" s="30" t="s">
        <v>1534</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1535</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1536</v>
      </c>
      <c r="AI76" s="38"/>
      <c r="AJ76" s="38"/>
      <c r="AK76" s="3">
        <f>IF(AND(G76&lt;&gt;"LIBSETS_SETTYPE_BATTLEGROUND",G76&lt;&gt;"LIBSETS_SETTYPE_SPECIAL"),IF(AL76&lt;&gt;"",VLOOKUP(AL76,'ESO zones'!$D$5:$H$4958,5,FALSE),""),"")</f>
        <v>347</v>
      </c>
      <c r="AL76" t="s">
        <v>238</v>
      </c>
      <c r="AM76" s="30" t="s">
        <v>1537</v>
      </c>
      <c r="AN76" s="38"/>
      <c r="AO76" s="38"/>
      <c r="AP76" s="3">
        <f>IF(AND(G76&lt;&gt;"LIBSETS_SETTYPE_BATTLEGROUND",G76&lt;&gt;"LIBSETS_SETTYPE_SPECIAL"),IF(AQ76&lt;&gt;"",VLOOKUP(AQ76,'ESO zones'!$D$5:$H$4958,5,FALSE),""),"")</f>
        <v>347</v>
      </c>
      <c r="AQ76" t="s">
        <v>238</v>
      </c>
      <c r="AR76" s="118" t="s">
        <v>3193</v>
      </c>
      <c r="AS76" s="38"/>
      <c r="AT76" s="38"/>
      <c r="AU76" s="3" t="str">
        <f>IF(AND(G76&lt;&gt;"LIBSETS_SETTYPE_BATTLEGROUND",G76&lt;&gt;"LIBSETS_SETTYPE_SPECIAL"),IF(AV76&lt;&gt;"",VLOOKUP(AV76,'ESO zones'!$D$5:$H$4958,5,FALSE),""),"")</f>
        <v/>
      </c>
      <c r="AX76" s="38"/>
      <c r="AY76" s="38"/>
      <c r="AZ76" s="72" t="s">
        <v>2626</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2547</v>
      </c>
      <c r="D77" s="3">
        <f t="shared" si="6"/>
        <v>95</v>
      </c>
      <c r="G77" s="8" t="s">
        <v>1451</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DLCs'!$A$3:$D$99999,4,FALSE))</f>
        <v>DLC_BASE_GAME</v>
      </c>
      <c r="U77" s="3" t="str">
        <f>IF(T77&lt;&gt;"",VLOOKUP(T77,'&lt;Constants&gt;'!$B$4:$C$1020,2,FALSE),"")</f>
        <v>Included in base game</v>
      </c>
      <c r="V77" s="30" t="s">
        <v>3256</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3256</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2626</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1454</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DLCs'!$A$3:$D$99999,4,FALSE))</f>
        <v>DLC_BASE_GAME</v>
      </c>
      <c r="U78" s="3" t="str">
        <f>IF(T78&lt;&gt;"",VLOOKUP(T78,'&lt;Constants&gt;'!$B$4:$C$1020,2,FALSE),"")</f>
        <v>Included in base game</v>
      </c>
      <c r="V78" s="30" t="s">
        <v>3253</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3253</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2626</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1452</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DLCs'!$A$3:$D$99999,4,FALSE))</f>
        <v>DLC_BASE_GAME</v>
      </c>
      <c r="U79" s="3" t="str">
        <f>IF(T79&lt;&gt;"",VLOOKUP(T79,'&lt;Constants&gt;'!$B$4:$C$1020,2,FALSE),"")</f>
        <v>Included in base game</v>
      </c>
      <c r="V79" s="30" t="s">
        <v>2741</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3681</v>
      </c>
      <c r="AC79" s="38"/>
      <c r="AD79" s="38"/>
      <c r="AE79" s="125">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2736</v>
      </c>
      <c r="AK79" s="3">
        <f>IF(AND(G79&lt;&gt;"LIBSETS_SETTYPE_BATTLEGROUND",G79&lt;&gt;"LIBSETS_SETTYPE_SPECIAL"),IF(AL79&lt;&gt;"",VLOOKUP(AL79,'ESO zones'!$D$5:$H$4958,5,FALSE),""),"")</f>
        <v>181</v>
      </c>
      <c r="AL79" t="s">
        <v>124</v>
      </c>
      <c r="AM79" s="30" t="s">
        <v>3684</v>
      </c>
      <c r="AP79" s="3">
        <f>IF(AND(G79&lt;&gt;"LIBSETS_SETTYPE_BATTLEGROUND",G79&lt;&gt;"LIBSETS_SETTYPE_SPECIAL"),IF(AQ79&lt;&gt;"",VLOOKUP(AQ79,'ESO zones'!$D$5:$H$4958,5,FALSE),""),"")</f>
        <v>181</v>
      </c>
      <c r="AQ79" t="s">
        <v>124</v>
      </c>
      <c r="AR79" s="30" t="s">
        <v>1534</v>
      </c>
      <c r="AU79" s="3">
        <f>IF(AND(G79&lt;&gt;"LIBSETS_SETTYPE_BATTLEGROUND",G79&lt;&gt;"LIBSETS_SETTYPE_SPECIAL"),IF(AV79&lt;&gt;"",VLOOKUP(AV79,'ESO zones'!$D$5:$H$4958,5,FALSE),""),"")</f>
        <v>181</v>
      </c>
      <c r="AV79" t="s">
        <v>124</v>
      </c>
      <c r="AW79" s="30" t="s">
        <v>3205</v>
      </c>
      <c r="AZ79" s="72" t="s">
        <v>2626</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1457</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DLCs'!$A$3:$D$99999,4,FALSE))</f>
        <v>DLC_BASE_GAME</v>
      </c>
      <c r="U80" s="3" t="str">
        <f>IF(T80&lt;&gt;"",VLOOKUP(T80,'&lt;Constants&gt;'!$B$4:$C$1020,2,FALSE),"")</f>
        <v>Included in base game</v>
      </c>
      <c r="V80" s="30" t="s">
        <v>1534</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1535</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1536</v>
      </c>
      <c r="AI80" s="38"/>
      <c r="AJ80" s="38"/>
      <c r="AK80" s="3">
        <f>IF(AND(G80&lt;&gt;"LIBSETS_SETTYPE_BATTLEGROUND",G80&lt;&gt;"LIBSETS_SETTYPE_SPECIAL"),IF(AL80&lt;&gt;"",VLOOKUP(AL80,'ESO zones'!$D$5:$H$4958,5,FALSE),""),"")</f>
        <v>20</v>
      </c>
      <c r="AL80" t="s">
        <v>104</v>
      </c>
      <c r="AM80" s="30" t="s">
        <v>1537</v>
      </c>
      <c r="AN80" s="38"/>
      <c r="AO80" s="38"/>
      <c r="AP80" s="3">
        <f>IF(AND(G80&lt;&gt;"LIBSETS_SETTYPE_BATTLEGROUND",G80&lt;&gt;"LIBSETS_SETTYPE_SPECIAL"),IF(AQ80&lt;&gt;"",VLOOKUP(AQ80,'ESO zones'!$D$5:$H$4958,5,FALSE),""),"")</f>
        <v>20</v>
      </c>
      <c r="AQ80" t="s">
        <v>104</v>
      </c>
      <c r="AR80" s="118" t="s">
        <v>3193</v>
      </c>
      <c r="AS80" s="38"/>
      <c r="AT80" s="38"/>
      <c r="AU80" s="3" t="str">
        <f>IF(AND(G80&lt;&gt;"LIBSETS_SETTYPE_BATTLEGROUND",G80&lt;&gt;"LIBSETS_SETTYPE_SPECIAL"),IF(AV80&lt;&gt;"",VLOOKUP(AV80,'ESO zones'!$D$5:$H$4958,5,FALSE),""),"")</f>
        <v/>
      </c>
      <c r="AX80" s="38"/>
      <c r="AY80" s="38"/>
      <c r="AZ80" s="72" t="s">
        <v>2626</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1457</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DLCs'!$A$3:$D$99999,4,FALSE))</f>
        <v>DLC_BASE_GAME</v>
      </c>
      <c r="U81" s="3" t="str">
        <f>IF(T81&lt;&gt;"",VLOOKUP(T81,'&lt;Constants&gt;'!$B$4:$C$1020,2,FALSE),"")</f>
        <v>Included in base game</v>
      </c>
      <c r="V81" s="30" t="s">
        <v>1534</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1535</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1536</v>
      </c>
      <c r="AI81" s="38"/>
      <c r="AJ81" s="38"/>
      <c r="AK81" s="3">
        <f>IF(AND(G81&lt;&gt;"LIBSETS_SETTYPE_BATTLEGROUND",G81&lt;&gt;"LIBSETS_SETTYPE_SPECIAL"),IF(AL81&lt;&gt;"",VLOOKUP(AL81,'ESO zones'!$D$5:$H$4958,5,FALSE),""),"")</f>
        <v>58</v>
      </c>
      <c r="AL81" t="s">
        <v>107</v>
      </c>
      <c r="AM81" s="30" t="s">
        <v>1537</v>
      </c>
      <c r="AN81" s="38"/>
      <c r="AO81" s="38"/>
      <c r="AP81" s="3">
        <f>IF(AND(G81&lt;&gt;"LIBSETS_SETTYPE_BATTLEGROUND",G81&lt;&gt;"LIBSETS_SETTYPE_SPECIAL"),IF(AQ81&lt;&gt;"",VLOOKUP(AQ81,'ESO zones'!$D$5:$H$4958,5,FALSE),""),"")</f>
        <v>58</v>
      </c>
      <c r="AQ81" t="s">
        <v>107</v>
      </c>
      <c r="AR81" s="118" t="s">
        <v>3193</v>
      </c>
      <c r="AS81" s="38"/>
      <c r="AT81" s="38"/>
      <c r="AU81" s="3" t="str">
        <f>IF(AND(G81&lt;&gt;"LIBSETS_SETTYPE_BATTLEGROUND",G81&lt;&gt;"LIBSETS_SETTYPE_SPECIAL"),IF(AV81&lt;&gt;"",VLOOKUP(AV81,'ESO zones'!$D$5:$H$4958,5,FALSE),""),"")</f>
        <v/>
      </c>
      <c r="AX81" s="38"/>
      <c r="AY81" s="38"/>
      <c r="AZ81" s="72" t="s">
        <v>2627</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2548</v>
      </c>
      <c r="D82" s="3">
        <f t="shared" si="6"/>
        <v>100</v>
      </c>
      <c r="G82" s="8" t="s">
        <v>1452</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DLCs'!$A$3:$D$99999,4,FALSE))</f>
        <v>DLC_BASE_GAME</v>
      </c>
      <c r="U82" s="3" t="str">
        <f>IF(T82&lt;&gt;"",VLOOKUP(T82,'&lt;Constants&gt;'!$B$4:$C$1020,2,FALSE),"")</f>
        <v>Included in base game</v>
      </c>
      <c r="V82" s="30" t="s">
        <v>1507</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3681</v>
      </c>
      <c r="AC82" s="38"/>
      <c r="AD82" s="38"/>
      <c r="AE82" s="125">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2736</v>
      </c>
      <c r="AI82" s="38"/>
      <c r="AJ82" s="38"/>
      <c r="AK82" s="3">
        <f>IF(AND(G82&lt;&gt;"LIBSETS_SETTYPE_BATTLEGROUND",G82&lt;&gt;"LIBSETS_SETTYPE_SPECIAL"),IF(AL82&lt;&gt;"",VLOOKUP(AL82,'ESO zones'!$D$5:$H$4958,5,FALSE),""),"")</f>
        <v>181</v>
      </c>
      <c r="AL82" t="s">
        <v>124</v>
      </c>
      <c r="AM82" s="30" t="s">
        <v>3684</v>
      </c>
      <c r="AN82" s="38"/>
      <c r="AO82" s="38"/>
      <c r="AP82" s="3">
        <f>IF(AND(G82&lt;&gt;"LIBSETS_SETTYPE_BATTLEGROUND",G82&lt;&gt;"LIBSETS_SETTYPE_SPECIAL"),IF(AQ82&lt;&gt;"",VLOOKUP(AQ82,'ESO zones'!$D$5:$H$4958,5,FALSE),""),"")</f>
        <v>181</v>
      </c>
      <c r="AQ82" t="s">
        <v>124</v>
      </c>
      <c r="AR82" s="30" t="s">
        <v>1534</v>
      </c>
      <c r="AS82" s="38"/>
      <c r="AT82" s="38"/>
      <c r="AU82" s="3">
        <f>IF(AND(G82&lt;&gt;"LIBSETS_SETTYPE_BATTLEGROUND",G82&lt;&gt;"LIBSETS_SETTYPE_SPECIAL"),IF(AV82&lt;&gt;"",VLOOKUP(AV82,'ESO zones'!$D$5:$H$4958,5,FALSE),""),"")</f>
        <v>181</v>
      </c>
      <c r="AV82" t="s">
        <v>124</v>
      </c>
      <c r="AW82" s="30" t="s">
        <v>3205</v>
      </c>
      <c r="AX82" s="38"/>
      <c r="AY82" s="38"/>
      <c r="AZ82" s="72" t="s">
        <v>2627</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2740</v>
      </c>
      <c r="C83" t="s">
        <v>838</v>
      </c>
      <c r="D83" s="3">
        <f t="shared" si="6"/>
        <v>101</v>
      </c>
      <c r="E83" s="37"/>
      <c r="G83" s="8" t="s">
        <v>1452</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DLCs'!$A$3:$D$99999,4,FALSE))</f>
        <v>DLC_BASE_GAME</v>
      </c>
      <c r="U83" s="3" t="str">
        <f>IF(T83&lt;&gt;"",VLOOKUP(T83,'&lt;Constants&gt;'!$B$4:$C$1020,2,FALSE),"")</f>
        <v>Included in base game</v>
      </c>
      <c r="V83" s="30" t="s">
        <v>1509</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3681</v>
      </c>
      <c r="AE83" s="125">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2736</v>
      </c>
      <c r="AK83" s="3">
        <f>IF(AND(G83&lt;&gt;"LIBSETS_SETTYPE_BATTLEGROUND",G83&lt;&gt;"LIBSETS_SETTYPE_SPECIAL"),IF(AL83&lt;&gt;"",VLOOKUP(AL83,'ESO zones'!$D$5:$H$4958,5,FALSE),""),"")</f>
        <v>181</v>
      </c>
      <c r="AL83" t="s">
        <v>124</v>
      </c>
      <c r="AM83" s="30" t="s">
        <v>3684</v>
      </c>
      <c r="AP83" s="3">
        <f>IF(AND(G83&lt;&gt;"LIBSETS_SETTYPE_BATTLEGROUND",G83&lt;&gt;"LIBSETS_SETTYPE_SPECIAL"),IF(AQ83&lt;&gt;"",VLOOKUP(AQ83,'ESO zones'!$D$5:$H$4958,5,FALSE),""),"")</f>
        <v>181</v>
      </c>
      <c r="AQ83" t="s">
        <v>124</v>
      </c>
      <c r="AR83" s="30" t="s">
        <v>1534</v>
      </c>
      <c r="AU83" s="3">
        <f>IF(AND(G83&lt;&gt;"LIBSETS_SETTYPE_BATTLEGROUND",G83&lt;&gt;"LIBSETS_SETTYPE_SPECIAL"),IF(AV83&lt;&gt;"",VLOOKUP(AV83,'ESO zones'!$D$5:$H$4958,5,FALSE),""),"")</f>
        <v>181</v>
      </c>
      <c r="AV83" t="s">
        <v>124</v>
      </c>
      <c r="AW83" s="30" t="s">
        <v>3205</v>
      </c>
      <c r="AZ83" s="72" t="s">
        <v>2626</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2549</v>
      </c>
      <c r="D84" s="3">
        <f t="shared" si="6"/>
        <v>102</v>
      </c>
      <c r="G84" s="8" t="s">
        <v>1454</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DLCs'!$A$3:$D$99999,4,FALSE))</f>
        <v>DLC_BASE_GAME</v>
      </c>
      <c r="U84" s="3" t="str">
        <f>IF(T84&lt;&gt;"",VLOOKUP(T84,'&lt;Constants&gt;'!$B$4:$C$1020,2,FALSE),"")</f>
        <v>Included in base game</v>
      </c>
      <c r="V84" s="30" t="s">
        <v>3253</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2627</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1454</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DLCs'!$A$3:$D$99999,4,FALSE))</f>
        <v>DLC_BASE_GAME</v>
      </c>
      <c r="U85" s="3" t="str">
        <f>IF(T85&lt;&gt;"",VLOOKUP(T85,'&lt;Constants&gt;'!$B$4:$C$1020,2,FALSE),"")</f>
        <v>Included in base game</v>
      </c>
      <c r="V85" s="30" t="s">
        <v>3253</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2626</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1452</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DLCs'!$A$3:$D$99999,4,FALSE))</f>
        <v>DLC_BASE_GAME</v>
      </c>
      <c r="U86" s="3" t="str">
        <f>IF(T86&lt;&gt;"",VLOOKUP(T86,'&lt;Constants&gt;'!$B$4:$C$1020,2,FALSE),"")</f>
        <v>Included in base game</v>
      </c>
      <c r="V86" s="30" t="s">
        <v>2741</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3681</v>
      </c>
      <c r="AE86" s="125">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2736</v>
      </c>
      <c r="AK86" s="3">
        <f>IF(AND(G86&lt;&gt;"LIBSETS_SETTYPE_BATTLEGROUND",G86&lt;&gt;"LIBSETS_SETTYPE_SPECIAL"),IF(AL86&lt;&gt;"",VLOOKUP(AL86,'ESO zones'!$D$5:$H$4958,5,FALSE),""),"")</f>
        <v>181</v>
      </c>
      <c r="AL86" t="s">
        <v>124</v>
      </c>
      <c r="AM86" s="30" t="s">
        <v>3684</v>
      </c>
      <c r="AP86" s="3">
        <f>IF(AND(G86&lt;&gt;"LIBSETS_SETTYPE_BATTLEGROUND",G86&lt;&gt;"LIBSETS_SETTYPE_SPECIAL"),IF(AQ86&lt;&gt;"",VLOOKUP(AQ86,'ESO zones'!$D$5:$H$4958,5,FALSE),""),"")</f>
        <v>181</v>
      </c>
      <c r="AQ86" t="s">
        <v>124</v>
      </c>
      <c r="AR86" s="30" t="s">
        <v>1534</v>
      </c>
      <c r="AU86" s="3">
        <f>IF(AND(G86&lt;&gt;"LIBSETS_SETTYPE_BATTLEGROUND",G86&lt;&gt;"LIBSETS_SETTYPE_SPECIAL"),IF(AV86&lt;&gt;"",VLOOKUP(AV86,'ESO zones'!$D$5:$H$4958,5,FALSE),""),"")</f>
        <v>181</v>
      </c>
      <c r="AV86" t="s">
        <v>124</v>
      </c>
      <c r="AW86" s="30" t="s">
        <v>3205</v>
      </c>
      <c r="AZ86" s="72" t="s">
        <v>2626</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1457</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DLCs'!$A$3:$D$99999,4,FALSE))</f>
        <v>DLC_BASE_GAME</v>
      </c>
      <c r="U87" s="3" t="str">
        <f>IF(T87&lt;&gt;"",VLOOKUP(T87,'&lt;Constants&gt;'!$B$4:$C$1020,2,FALSE),"")</f>
        <v>Included in base game</v>
      </c>
      <c r="V87" s="30" t="s">
        <v>1534</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1535</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1536</v>
      </c>
      <c r="AI87" s="38"/>
      <c r="AJ87" s="38"/>
      <c r="AK87" s="3">
        <f>IF(AND(G87&lt;&gt;"LIBSETS_SETTYPE_BATTLEGROUND",G87&lt;&gt;"LIBSETS_SETTYPE_SPECIAL"),IF(AL87&lt;&gt;"",VLOOKUP(AL87,'ESO zones'!$D$5:$H$4958,5,FALSE),""),"")</f>
        <v>381</v>
      </c>
      <c r="AL87" t="s">
        <v>261</v>
      </c>
      <c r="AM87" s="30" t="s">
        <v>1537</v>
      </c>
      <c r="AN87" s="38"/>
      <c r="AO87" s="38"/>
      <c r="AP87" s="3">
        <f>IF(AND(G87&lt;&gt;"LIBSETS_SETTYPE_BATTLEGROUND",G87&lt;&gt;"LIBSETS_SETTYPE_SPECIAL"),IF(AQ87&lt;&gt;"",VLOOKUP(AQ87,'ESO zones'!$D$5:$H$4958,5,FALSE),""),"")</f>
        <v>381</v>
      </c>
      <c r="AQ87" t="s">
        <v>261</v>
      </c>
      <c r="AR87" s="118" t="s">
        <v>3193</v>
      </c>
      <c r="AS87" s="38"/>
      <c r="AT87" s="38"/>
      <c r="AU87" s="3" t="str">
        <f>IF(AND(G87&lt;&gt;"LIBSETS_SETTYPE_BATTLEGROUND",G87&lt;&gt;"LIBSETS_SETTYPE_SPECIAL"),IF(AV87&lt;&gt;"",VLOOKUP(AV87,'ESO zones'!$D$5:$H$4958,5,FALSE),""),"")</f>
        <v/>
      </c>
      <c r="AX87" s="38"/>
      <c r="AY87" s="38"/>
      <c r="AZ87" s="72" t="s">
        <v>2626</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2550</v>
      </c>
      <c r="D88" s="3">
        <f t="shared" si="6"/>
        <v>106</v>
      </c>
      <c r="G88" s="8" t="s">
        <v>1457</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DLCs'!$A$3:$D$99999,4,FALSE))</f>
        <v>DLC_BASE_GAME</v>
      </c>
      <c r="U88" s="3" t="str">
        <f>IF(T88&lt;&gt;"",VLOOKUP(T88,'&lt;Constants&gt;'!$B$4:$C$1020,2,FALSE),"")</f>
        <v>Included in base game</v>
      </c>
      <c r="V88" s="30" t="s">
        <v>1534</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1535</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1536</v>
      </c>
      <c r="AI88" s="38"/>
      <c r="AJ88" s="38"/>
      <c r="AK88" s="3">
        <f>IF(AND(G88&lt;&gt;"LIBSETS_SETTYPE_BATTLEGROUND",G88&lt;&gt;"LIBSETS_SETTYPE_SPECIAL"),IF(AL88&lt;&gt;"",VLOOKUP(AL88,'ESO zones'!$D$5:$H$4958,5,FALSE),""),"")</f>
        <v>108</v>
      </c>
      <c r="AL88" t="s">
        <v>112</v>
      </c>
      <c r="AM88" s="30" t="s">
        <v>1537</v>
      </c>
      <c r="AN88" s="38"/>
      <c r="AO88" s="38"/>
      <c r="AP88" s="3">
        <f>IF(AND(G88&lt;&gt;"LIBSETS_SETTYPE_BATTLEGROUND",G88&lt;&gt;"LIBSETS_SETTYPE_SPECIAL"),IF(AQ88&lt;&gt;"",VLOOKUP(AQ88,'ESO zones'!$D$5:$H$4958,5,FALSE),""),"")</f>
        <v>108</v>
      </c>
      <c r="AQ88" t="s">
        <v>112</v>
      </c>
      <c r="AR88" s="118" t="s">
        <v>3193</v>
      </c>
      <c r="AS88" s="38"/>
      <c r="AT88" s="38"/>
      <c r="AU88" s="3" t="str">
        <f>IF(AND(G88&lt;&gt;"LIBSETS_SETTYPE_BATTLEGROUND",G88&lt;&gt;"LIBSETS_SETTYPE_SPECIAL"),IF(AV88&lt;&gt;"",VLOOKUP(AV88,'ESO zones'!$D$5:$H$4958,5,FALSE),""),"")</f>
        <v/>
      </c>
      <c r="AX88" s="38"/>
      <c r="AY88" s="38"/>
      <c r="AZ88" s="72" t="s">
        <v>2626</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2551</v>
      </c>
      <c r="D89" s="3">
        <f t="shared" si="6"/>
        <v>107</v>
      </c>
      <c r="G89" s="8" t="s">
        <v>1457</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DLCs'!$A$3:$D$99999,4,FALSE))</f>
        <v>DLC_BASE_GAME</v>
      </c>
      <c r="U89" s="3" t="str">
        <f>IF(T89&lt;&gt;"",VLOOKUP(T89,'&lt;Constants&gt;'!$B$4:$C$1020,2,FALSE),"")</f>
        <v>Included in base game</v>
      </c>
      <c r="V89" s="30" t="s">
        <v>1534</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1535</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1536</v>
      </c>
      <c r="AI89" s="38"/>
      <c r="AJ89" s="38"/>
      <c r="AK89" s="3">
        <f>IF(AND(G89&lt;&gt;"LIBSETS_SETTYPE_BATTLEGROUND",G89&lt;&gt;"LIBSETS_SETTYPE_SPECIAL"),IF(AL89&lt;&gt;"",VLOOKUP(AL89,'ESO zones'!$D$5:$H$4958,5,FALSE),""),"")</f>
        <v>3</v>
      </c>
      <c r="AL89" t="s">
        <v>102</v>
      </c>
      <c r="AM89" s="30" t="s">
        <v>1537</v>
      </c>
      <c r="AN89" s="38"/>
      <c r="AO89" s="38"/>
      <c r="AP89" s="3">
        <f>IF(AND(G89&lt;&gt;"LIBSETS_SETTYPE_BATTLEGROUND",G89&lt;&gt;"LIBSETS_SETTYPE_SPECIAL"),IF(AQ89&lt;&gt;"",VLOOKUP(AQ89,'ESO zones'!$D$5:$H$4958,5,FALSE),""),"")</f>
        <v>3</v>
      </c>
      <c r="AQ89" t="s">
        <v>102</v>
      </c>
      <c r="AR89" s="118" t="s">
        <v>3193</v>
      </c>
      <c r="AS89" s="38"/>
      <c r="AT89" s="38"/>
      <c r="AU89" s="3" t="str">
        <f>IF(AND(G89&lt;&gt;"LIBSETS_SETTYPE_BATTLEGROUND",G89&lt;&gt;"LIBSETS_SETTYPE_SPECIAL"),IF(AV89&lt;&gt;"",VLOOKUP(AV89,'ESO zones'!$D$5:$H$4958,5,FALSE),""),"")</f>
        <v/>
      </c>
      <c r="AX89" s="38"/>
      <c r="AY89" s="38"/>
      <c r="AZ89" s="72" t="s">
        <v>2626</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1452</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DLCs'!$A$3:$D$99999,4,FALSE))</f>
        <v>DLC_BASE_GAME</v>
      </c>
      <c r="U90" s="3" t="str">
        <f>IF(T90&lt;&gt;"",VLOOKUP(T90,'&lt;Constants&gt;'!$B$4:$C$1020,2,FALSE),"")</f>
        <v>Included in base game</v>
      </c>
      <c r="V90" s="30" t="s">
        <v>1509</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3681</v>
      </c>
      <c r="AE90" s="125">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2736</v>
      </c>
      <c r="AK90" s="3">
        <f>IF(AND(G90&lt;&gt;"LIBSETS_SETTYPE_BATTLEGROUND",G90&lt;&gt;"LIBSETS_SETTYPE_SPECIAL"),IF(AL90&lt;&gt;"",VLOOKUP(AL90,'ESO zones'!$D$5:$H$4958,5,FALSE),""),"")</f>
        <v>181</v>
      </c>
      <c r="AL90" t="s">
        <v>124</v>
      </c>
      <c r="AM90" s="30" t="s">
        <v>3684</v>
      </c>
      <c r="AP90" s="3">
        <f>IF(AND(G90&lt;&gt;"LIBSETS_SETTYPE_BATTLEGROUND",G90&lt;&gt;"LIBSETS_SETTYPE_SPECIAL"),IF(AQ90&lt;&gt;"",VLOOKUP(AQ90,'ESO zones'!$D$5:$H$4958,5,FALSE),""),"")</f>
        <v>181</v>
      </c>
      <c r="AQ90" t="s">
        <v>124</v>
      </c>
      <c r="AR90" s="30" t="s">
        <v>1534</v>
      </c>
      <c r="AU90" s="3">
        <f>IF(AND(G90&lt;&gt;"LIBSETS_SETTYPE_BATTLEGROUND",G90&lt;&gt;"LIBSETS_SETTYPE_SPECIAL"),IF(AV90&lt;&gt;"",VLOOKUP(AV90,'ESO zones'!$D$5:$H$4958,5,FALSE),""),"")</f>
        <v>181</v>
      </c>
      <c r="AV90" t="s">
        <v>124</v>
      </c>
      <c r="AW90" s="30" t="s">
        <v>3205</v>
      </c>
      <c r="AZ90" s="72" t="s">
        <v>2626</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1452</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DLCs'!$A$3:$D$99999,4,FALSE))</f>
        <v>DLC_BASE_GAME</v>
      </c>
      <c r="U91" s="3" t="str">
        <f>IF(T91&lt;&gt;"",VLOOKUP(T91,'&lt;Constants&gt;'!$B$4:$C$1020,2,FALSE),"")</f>
        <v>Included in base game</v>
      </c>
      <c r="V91" s="30" t="s">
        <v>2741</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3681</v>
      </c>
      <c r="AC91" s="38"/>
      <c r="AD91" s="38"/>
      <c r="AE91" s="125">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2736</v>
      </c>
      <c r="AI91" s="3"/>
      <c r="AJ91" s="3"/>
      <c r="AK91" s="3">
        <f>IF(AND(G91&lt;&gt;"LIBSETS_SETTYPE_BATTLEGROUND",G91&lt;&gt;"LIBSETS_SETTYPE_SPECIAL"),IF(AL91&lt;&gt;"",VLOOKUP(AL91,'ESO zones'!$D$5:$H$4958,5,FALSE),""),"")</f>
        <v>181</v>
      </c>
      <c r="AL91" t="s">
        <v>124</v>
      </c>
      <c r="AM91" s="30" t="s">
        <v>3684</v>
      </c>
      <c r="AN91" s="3"/>
      <c r="AO91" s="3"/>
      <c r="AP91" s="3">
        <f>IF(AND(G91&lt;&gt;"LIBSETS_SETTYPE_BATTLEGROUND",G91&lt;&gt;"LIBSETS_SETTYPE_SPECIAL"),IF(AQ91&lt;&gt;"",VLOOKUP(AQ91,'ESO zones'!$D$5:$H$4958,5,FALSE),""),"")</f>
        <v>181</v>
      </c>
      <c r="AQ91" t="s">
        <v>124</v>
      </c>
      <c r="AR91" s="30" t="s">
        <v>1534</v>
      </c>
      <c r="AS91" s="3"/>
      <c r="AT91" s="3"/>
      <c r="AU91" s="3">
        <f>IF(AND(G91&lt;&gt;"LIBSETS_SETTYPE_BATTLEGROUND",G91&lt;&gt;"LIBSETS_SETTYPE_SPECIAL"),IF(AV91&lt;&gt;"",VLOOKUP(AV91,'ESO zones'!$D$5:$H$4958,5,FALSE),""),"")</f>
        <v>181</v>
      </c>
      <c r="AV91" t="s">
        <v>124</v>
      </c>
      <c r="AW91" s="30" t="s">
        <v>3205</v>
      </c>
      <c r="AX91" s="3"/>
      <c r="AY91" s="3"/>
      <c r="AZ91" s="72" t="s">
        <v>2626</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1454</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DLCs'!$A$3:$D$99999,4,FALSE))</f>
        <v>DLC_BASE_GAME</v>
      </c>
      <c r="U92" s="3" t="str">
        <f>IF(T92&lt;&gt;"",VLOOKUP(T92,'&lt;Constants&gt;'!$B$4:$C$1020,2,FALSE),"")</f>
        <v>Included in base game</v>
      </c>
      <c r="V92" s="30" t="s">
        <v>3253</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3253</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2626</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1452</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DLCs'!$A$3:$D$99999,4,FALSE))</f>
        <v>DLC_BASE_GAME</v>
      </c>
      <c r="U93" s="3" t="str">
        <f>IF(T93&lt;&gt;"",VLOOKUP(T93,'&lt;Constants&gt;'!$B$4:$C$1020,2,FALSE),"")</f>
        <v>Included in base game</v>
      </c>
      <c r="V93" s="30" t="s">
        <v>1507</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3681</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2736</v>
      </c>
      <c r="AI93" s="38"/>
      <c r="AJ93" s="38"/>
      <c r="AK93" s="3">
        <f>IF(AND(G93&lt;&gt;"LIBSETS_SETTYPE_BATTLEGROUND",G93&lt;&gt;"LIBSETS_SETTYPE_SPECIAL"),IF(AL93&lt;&gt;"",VLOOKUP(AL93,'ESO zones'!$D$5:$H$4958,5,FALSE),""),"")</f>
        <v>181</v>
      </c>
      <c r="AL93" t="s">
        <v>124</v>
      </c>
      <c r="AM93" s="30" t="s">
        <v>3684</v>
      </c>
      <c r="AN93" s="38"/>
      <c r="AO93" s="38"/>
      <c r="AP93" s="3">
        <f>IF(AND(G93&lt;&gt;"LIBSETS_SETTYPE_BATTLEGROUND",G93&lt;&gt;"LIBSETS_SETTYPE_SPECIAL"),IF(AQ93&lt;&gt;"",VLOOKUP(AQ93,'ESO zones'!$D$5:$H$4958,5,FALSE),""),"")</f>
        <v>181</v>
      </c>
      <c r="AQ93" t="s">
        <v>124</v>
      </c>
      <c r="AR93" s="30" t="s">
        <v>1534</v>
      </c>
      <c r="AS93" s="38"/>
      <c r="AT93" s="38"/>
      <c r="AU93" s="3">
        <f>IF(AND(G93&lt;&gt;"LIBSETS_SETTYPE_BATTLEGROUND",G93&lt;&gt;"LIBSETS_SETTYPE_SPECIAL"),IF(AV93&lt;&gt;"",VLOOKUP(AV93,'ESO zones'!$D$5:$H$4958,5,FALSE),""),"")</f>
        <v>181</v>
      </c>
      <c r="AV93" t="s">
        <v>124</v>
      </c>
      <c r="AW93" s="30" t="s">
        <v>3205</v>
      </c>
      <c r="AX93" s="38"/>
      <c r="AY93" s="38"/>
      <c r="AZ93" s="72" t="s">
        <v>2626</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1457</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DLCs'!$A$3:$D$99999,4,FALSE))</f>
        <v>DLC_BASE_GAME</v>
      </c>
      <c r="U94" s="3" t="str">
        <f>IF(T94&lt;&gt;"",VLOOKUP(T94,'&lt;Constants&gt;'!$B$4:$C$1020,2,FALSE),"")</f>
        <v>Included in base game</v>
      </c>
      <c r="V94" s="30" t="s">
        <v>1534</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1535</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1536</v>
      </c>
      <c r="AI94" s="38"/>
      <c r="AJ94" s="38"/>
      <c r="AK94" s="3">
        <f>IF(AND(G94&lt;&gt;"LIBSETS_SETTYPE_BATTLEGROUND",G94&lt;&gt;"LIBSETS_SETTYPE_SPECIAL"),IF(AL94&lt;&gt;"",VLOOKUP(AL94,'ESO zones'!$D$5:$H$4958,5,FALSE),""),"")</f>
        <v>19</v>
      </c>
      <c r="AL94" t="s">
        <v>103</v>
      </c>
      <c r="AM94" s="30" t="s">
        <v>1537</v>
      </c>
      <c r="AN94" s="38"/>
      <c r="AO94" s="38"/>
      <c r="AP94" s="3">
        <f>IF(AND(G94&lt;&gt;"LIBSETS_SETTYPE_BATTLEGROUND",G94&lt;&gt;"LIBSETS_SETTYPE_SPECIAL"),IF(AQ94&lt;&gt;"",VLOOKUP(AQ94,'ESO zones'!$D$5:$H$4958,5,FALSE),""),"")</f>
        <v>19</v>
      </c>
      <c r="AQ94" t="s">
        <v>103</v>
      </c>
      <c r="AR94" s="118" t="s">
        <v>3193</v>
      </c>
      <c r="AS94" s="38"/>
      <c r="AT94" s="38"/>
      <c r="AU94" s="3" t="str">
        <f>IF(AND(G94&lt;&gt;"LIBSETS_SETTYPE_BATTLEGROUND",G94&lt;&gt;"LIBSETS_SETTYPE_SPECIAL"),IF(AV94&lt;&gt;"",VLOOKUP(AV94,'ESO zones'!$D$5:$H$4958,5,FALSE),""),"")</f>
        <v/>
      </c>
      <c r="AX94" s="38"/>
      <c r="AY94" s="38"/>
      <c r="AZ94" s="72" t="s">
        <v>2627</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1452</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DLCs'!$A$3:$D$99999,4,FALSE))</f>
        <v>DLC_BASE_GAME</v>
      </c>
      <c r="U95" s="3" t="str">
        <f>IF(T95&lt;&gt;"",VLOOKUP(T95,'&lt;Constants&gt;'!$B$4:$C$1020,2,FALSE),"")</f>
        <v>Included in base game</v>
      </c>
      <c r="V95" s="30" t="s">
        <v>1509</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3681</v>
      </c>
      <c r="AE95" s="125">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2736</v>
      </c>
      <c r="AK95" s="3">
        <f>IF(AND(G95&lt;&gt;"LIBSETS_SETTYPE_BATTLEGROUND",G95&lt;&gt;"LIBSETS_SETTYPE_SPECIAL"),IF(AL95&lt;&gt;"",VLOOKUP(AL95,'ESO zones'!$D$5:$H$4958,5,FALSE),""),"")</f>
        <v>181</v>
      </c>
      <c r="AL95" t="s">
        <v>124</v>
      </c>
      <c r="AM95" s="30" t="s">
        <v>3684</v>
      </c>
      <c r="AN95" s="38"/>
      <c r="AO95" s="38"/>
      <c r="AP95" s="3">
        <f>IF(AND(G95&lt;&gt;"LIBSETS_SETTYPE_BATTLEGROUND",G95&lt;&gt;"LIBSETS_SETTYPE_SPECIAL"),IF(AQ95&lt;&gt;"",VLOOKUP(AQ95,'ESO zones'!$D$5:$H$4958,5,FALSE),""),"")</f>
        <v>181</v>
      </c>
      <c r="AQ95" t="s">
        <v>124</v>
      </c>
      <c r="AR95" s="30" t="s">
        <v>1534</v>
      </c>
      <c r="AU95" s="3">
        <f>IF(AND(G95&lt;&gt;"LIBSETS_SETTYPE_BATTLEGROUND",G95&lt;&gt;"LIBSETS_SETTYPE_SPECIAL"),IF(AV95&lt;&gt;"",VLOOKUP(AV95,'ESO zones'!$D$5:$H$4958,5,FALSE),""),"")</f>
        <v>181</v>
      </c>
      <c r="AV95" t="s">
        <v>124</v>
      </c>
      <c r="AW95" s="30" t="s">
        <v>3205</v>
      </c>
      <c r="AZ95" s="72" t="s">
        <v>2626</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1457</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DLCs'!$A$3:$D$99999,4,FALSE))</f>
        <v>DLC_BASE_GAME</v>
      </c>
      <c r="U96" s="3" t="str">
        <f>IF(T96&lt;&gt;"",VLOOKUP(T96,'&lt;Constants&gt;'!$B$4:$C$1020,2,FALSE),"")</f>
        <v>Included in base game</v>
      </c>
      <c r="V96" s="30" t="s">
        <v>1534</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1535</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1536</v>
      </c>
      <c r="AI96" s="38"/>
      <c r="AJ96" s="38"/>
      <c r="AK96" s="3">
        <f>IF(AND(G96&lt;&gt;"LIBSETS_SETTYPE_BATTLEGROUND",G96&lt;&gt;"LIBSETS_SETTYPE_SPECIAL"),IF(AL96&lt;&gt;"",VLOOKUP(AL96,'ESO zones'!$D$5:$H$4958,5,FALSE),""),"")</f>
        <v>382</v>
      </c>
      <c r="AL96" t="s">
        <v>262</v>
      </c>
      <c r="AM96" s="30" t="s">
        <v>1537</v>
      </c>
      <c r="AN96" s="38"/>
      <c r="AO96" s="38"/>
      <c r="AP96" s="3">
        <f>IF(AND(G96&lt;&gt;"LIBSETS_SETTYPE_BATTLEGROUND",G96&lt;&gt;"LIBSETS_SETTYPE_SPECIAL"),IF(AQ96&lt;&gt;"",VLOOKUP(AQ96,'ESO zones'!$D$5:$H$4958,5,FALSE),""),"")</f>
        <v>382</v>
      </c>
      <c r="AQ96" t="s">
        <v>262</v>
      </c>
      <c r="AR96" s="118" t="s">
        <v>3193</v>
      </c>
      <c r="AS96" s="38"/>
      <c r="AT96" s="38"/>
      <c r="AU96" s="3" t="str">
        <f>IF(AND(G96&lt;&gt;"LIBSETS_SETTYPE_BATTLEGROUND",G96&lt;&gt;"LIBSETS_SETTYPE_SPECIAL"),IF(AV96&lt;&gt;"",VLOOKUP(AV96,'ESO zones'!$D$5:$H$4958,5,FALSE),""),"")</f>
        <v/>
      </c>
      <c r="AX96" s="38"/>
      <c r="AY96" s="38"/>
      <c r="AZ96" s="72" t="s">
        <v>2626</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1454</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DLCs'!$A$3:$D$99999,4,FALSE))</f>
        <v>DLC_BASE_GAME</v>
      </c>
      <c r="U97" s="3" t="str">
        <f>IF(T97&lt;&gt;"",VLOOKUP(T97,'&lt;Constants&gt;'!$B$4:$C$1020,2,FALSE),"")</f>
        <v>Included in base game</v>
      </c>
      <c r="V97" s="30" t="s">
        <v>3253</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3253</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3253</v>
      </c>
      <c r="AI97" s="38"/>
      <c r="AJ97" s="38"/>
      <c r="AK97" s="3">
        <f>IF(AND(G97&lt;&gt;"LIBSETS_SETTYPE_BATTLEGROUND",G97&lt;&gt;"LIBSETS_SETTYPE_SPECIAL"),IF(AL97&lt;&gt;"",VLOOKUP(AL97,'ESO zones'!$D$5:$H$4958,5,FALSE),""),"")</f>
        <v>63</v>
      </c>
      <c r="AL97" t="s">
        <v>61</v>
      </c>
      <c r="AM97" s="30" t="s">
        <v>3253</v>
      </c>
      <c r="AN97" s="38"/>
      <c r="AO97" s="38"/>
      <c r="AP97" s="3">
        <f>IF(AND(G97&lt;&gt;"LIBSETS_SETTYPE_BATTLEGROUND",G97&lt;&gt;"LIBSETS_SETTYPE_SPECIAL"),IF(AQ97&lt;&gt;"",VLOOKUP(AQ97,'ESO zones'!$D$5:$H$4958,5,FALSE),""),"")</f>
        <v>283</v>
      </c>
      <c r="AQ97" t="s">
        <v>51</v>
      </c>
      <c r="AR97" s="30" t="s">
        <v>3253</v>
      </c>
      <c r="AS97" s="38"/>
      <c r="AT97" s="38"/>
      <c r="AU97" s="3" t="str">
        <f>IF(AND(G97&lt;&gt;"LIBSETS_SETTYPE_BATTLEGROUND",G97&lt;&gt;"LIBSETS_SETTYPE_SPECIAL"),IF(AV97&lt;&gt;"",VLOOKUP(AV97,'ESO zones'!$D$5:$H$4958,5,FALSE),""),"")</f>
        <v/>
      </c>
      <c r="AX97" s="38"/>
      <c r="AY97" s="38"/>
      <c r="AZ97" s="72" t="s">
        <v>2626</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1454</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DLCs'!$A$3:$D$99999,4,FALSE))</f>
        <v>DLC_BASE_GAME</v>
      </c>
      <c r="U98" s="3" t="str">
        <f>IF(T98&lt;&gt;"",VLOOKUP(T98,'&lt;Constants&gt;'!$B$4:$C$1020,2,FALSE),"")</f>
        <v>Included in base game</v>
      </c>
      <c r="V98" s="30" t="s">
        <v>3253</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3253</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3253</v>
      </c>
      <c r="AI98" s="38"/>
      <c r="AJ98" s="38"/>
      <c r="AK98" s="3">
        <f>IF(AND(G98&lt;&gt;"LIBSETS_SETTYPE_BATTLEGROUND",G98&lt;&gt;"LIBSETS_SETTYPE_SPECIAL"),IF(AL98&lt;&gt;"",VLOOKUP(AL98,'ESO zones'!$D$5:$H$4958,5,FALSE),""),"")</f>
        <v>63</v>
      </c>
      <c r="AL98" t="s">
        <v>61</v>
      </c>
      <c r="AM98" s="30" t="s">
        <v>3253</v>
      </c>
      <c r="AN98" s="38"/>
      <c r="AO98" s="38"/>
      <c r="AP98" s="3">
        <f>IF(AND(G98&lt;&gt;"LIBSETS_SETTYPE_BATTLEGROUND",G98&lt;&gt;"LIBSETS_SETTYPE_SPECIAL"),IF(AQ98&lt;&gt;"",VLOOKUP(AQ98,'ESO zones'!$D$5:$H$4958,5,FALSE),""),"")</f>
        <v>283</v>
      </c>
      <c r="AQ98" t="s">
        <v>51</v>
      </c>
      <c r="AR98" s="30" t="s">
        <v>3253</v>
      </c>
      <c r="AS98" s="38"/>
      <c r="AT98" s="38"/>
      <c r="AU98" s="3" t="str">
        <f>IF(AND(G98&lt;&gt;"LIBSETS_SETTYPE_BATTLEGROUND",G98&lt;&gt;"LIBSETS_SETTYPE_SPECIAL"),IF(AV98&lt;&gt;"",VLOOKUP(AV98,'ESO zones'!$D$5:$H$4958,5,FALSE),""),"")</f>
        <v/>
      </c>
      <c r="AX98" s="38"/>
      <c r="AY98" s="38"/>
      <c r="AZ98" s="72" t="s">
        <v>2627</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1454</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DLCs'!$A$3:$D$99999,4,FALSE))</f>
        <v>DLC_BASE_GAME</v>
      </c>
      <c r="U99" s="3" t="str">
        <f>IF(T99&lt;&gt;"",VLOOKUP(T99,'&lt;Constants&gt;'!$B$4:$C$1020,2,FALSE),"")</f>
        <v>Included in base game</v>
      </c>
      <c r="V99" s="30" t="s">
        <v>3253</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3253</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3253</v>
      </c>
      <c r="AI99" s="38"/>
      <c r="AJ99" s="38"/>
      <c r="AK99" s="3">
        <f>IF(AND(G99&lt;&gt;"LIBSETS_SETTYPE_BATTLEGROUND",G99&lt;&gt;"LIBSETS_SETTYPE_SPECIAL"),IF(AL99&lt;&gt;"",VLOOKUP(AL99,'ESO zones'!$D$5:$H$4958,5,FALSE),""),"")</f>
        <v>63</v>
      </c>
      <c r="AL99" t="s">
        <v>61</v>
      </c>
      <c r="AM99" s="30" t="s">
        <v>3253</v>
      </c>
      <c r="AN99" s="38"/>
      <c r="AO99" s="38"/>
      <c r="AP99" s="3">
        <f>IF(AND(G99&lt;&gt;"LIBSETS_SETTYPE_BATTLEGROUND",G99&lt;&gt;"LIBSETS_SETTYPE_SPECIAL"),IF(AQ99&lt;&gt;"",VLOOKUP(AQ99,'ESO zones'!$D$5:$H$4958,5,FALSE),""),"")</f>
        <v>283</v>
      </c>
      <c r="AQ99" t="s">
        <v>51</v>
      </c>
      <c r="AR99" s="30" t="s">
        <v>3253</v>
      </c>
      <c r="AS99" s="38"/>
      <c r="AT99" s="38"/>
      <c r="AU99" s="3" t="str">
        <f>IF(AND(G99&lt;&gt;"LIBSETS_SETTYPE_BATTLEGROUND",G99&lt;&gt;"LIBSETS_SETTYPE_SPECIAL"),IF(AV99&lt;&gt;"",VLOOKUP(AV99,'ESO zones'!$D$5:$H$4958,5,FALSE),""),"")</f>
        <v/>
      </c>
      <c r="AX99" s="38"/>
      <c r="AY99" s="38"/>
      <c r="AZ99" s="72" t="s">
        <v>2626</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1454</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DLCs'!$A$3:$D$99999,4,FALSE))</f>
        <v>DLC_BASE_GAME</v>
      </c>
      <c r="U100" s="3" t="str">
        <f>IF(T100&lt;&gt;"",VLOOKUP(T100,'&lt;Constants&gt;'!$B$4:$C$1020,2,FALSE),"")</f>
        <v>Included in base game</v>
      </c>
      <c r="V100" s="30" t="s">
        <v>3253</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3253</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3253</v>
      </c>
      <c r="AI100" s="38"/>
      <c r="AJ100" s="38"/>
      <c r="AK100" s="3">
        <f>IF(AND(G100&lt;&gt;"LIBSETS_SETTYPE_BATTLEGROUND",G100&lt;&gt;"LIBSETS_SETTYPE_SPECIAL"),IF(AL100&lt;&gt;"",VLOOKUP(AL100,'ESO zones'!$D$5:$H$4958,5,FALSE),""),"")</f>
        <v>63</v>
      </c>
      <c r="AL100" t="s">
        <v>61</v>
      </c>
      <c r="AM100" s="30" t="s">
        <v>3253</v>
      </c>
      <c r="AN100" s="38"/>
      <c r="AO100" s="38"/>
      <c r="AP100" s="3">
        <f>IF(AND(G100&lt;&gt;"LIBSETS_SETTYPE_BATTLEGROUND",G100&lt;&gt;"LIBSETS_SETTYPE_SPECIAL"),IF(AQ100&lt;&gt;"",VLOOKUP(AQ100,'ESO zones'!$D$5:$H$4958,5,FALSE),""),"")</f>
        <v>283</v>
      </c>
      <c r="AQ100" t="s">
        <v>51</v>
      </c>
      <c r="AR100" s="30" t="s">
        <v>3253</v>
      </c>
      <c r="AS100" s="38"/>
      <c r="AT100" s="38"/>
      <c r="AU100" s="3" t="str">
        <f>IF(AND(G100&lt;&gt;"LIBSETS_SETTYPE_BATTLEGROUND",G100&lt;&gt;"LIBSETS_SETTYPE_SPECIAL"),IF(AV100&lt;&gt;"",VLOOKUP(AV100,'ESO zones'!$D$5:$H$4958,5,FALSE),""),"")</f>
        <v/>
      </c>
      <c r="AX100" s="38"/>
      <c r="AY100" s="38"/>
      <c r="AZ100" s="72" t="s">
        <v>2626</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1454</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DLCs'!$A$3:$D$99999,4,FALSE))</f>
        <v>DLC_BASE_GAME</v>
      </c>
      <c r="U101" s="3" t="str">
        <f>IF(T101&lt;&gt;"",VLOOKUP(T101,'&lt;Constants&gt;'!$B$4:$C$1020,2,FALSE),"")</f>
        <v>Included in base game</v>
      </c>
      <c r="V101" s="30" t="s">
        <v>3253</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3253</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3253</v>
      </c>
      <c r="AI101" s="38"/>
      <c r="AJ101" s="38"/>
      <c r="AK101" s="3">
        <f>IF(AND(G101&lt;&gt;"LIBSETS_SETTYPE_BATTLEGROUND",G101&lt;&gt;"LIBSETS_SETTYPE_SPECIAL"),IF(AL101&lt;&gt;"",VLOOKUP(AL101,'ESO zones'!$D$5:$H$4958,5,FALSE),""),"")</f>
        <v>63</v>
      </c>
      <c r="AL101" t="s">
        <v>61</v>
      </c>
      <c r="AM101" s="30" t="s">
        <v>3253</v>
      </c>
      <c r="AN101" s="38"/>
      <c r="AO101" s="38"/>
      <c r="AP101" s="3">
        <f>IF(AND(G101&lt;&gt;"LIBSETS_SETTYPE_BATTLEGROUND",G101&lt;&gt;"LIBSETS_SETTYPE_SPECIAL"),IF(AQ101&lt;&gt;"",VLOOKUP(AQ101,'ESO zones'!$D$5:$H$4958,5,FALSE),""),"")</f>
        <v>283</v>
      </c>
      <c r="AQ101" t="s">
        <v>51</v>
      </c>
      <c r="AR101" s="30" t="s">
        <v>3253</v>
      </c>
      <c r="AS101" s="38"/>
      <c r="AT101" s="38"/>
      <c r="AU101" s="3" t="str">
        <f>IF(AND(G101&lt;&gt;"LIBSETS_SETTYPE_BATTLEGROUND",G101&lt;&gt;"LIBSETS_SETTYPE_SPECIAL"),IF(AV101&lt;&gt;"",VLOOKUP(AV101,'ESO zones'!$D$5:$H$4958,5,FALSE),""),"")</f>
        <v/>
      </c>
      <c r="AX101" s="38"/>
      <c r="AY101" s="38"/>
      <c r="AZ101" s="72" t="s">
        <v>2626</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1454</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DLCs'!$A$3:$D$99999,4,FALSE))</f>
        <v>DLC_BASE_GAME</v>
      </c>
      <c r="U102" s="3" t="str">
        <f>IF(T102&lt;&gt;"",VLOOKUP(T102,'&lt;Constants&gt;'!$B$4:$C$1020,2,FALSE),"")</f>
        <v>Included in base game</v>
      </c>
      <c r="V102" s="30" t="s">
        <v>3253</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3253</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3253</v>
      </c>
      <c r="AI102" s="38"/>
      <c r="AJ102" s="38"/>
      <c r="AK102" s="3">
        <f>IF(AND(G102&lt;&gt;"LIBSETS_SETTYPE_BATTLEGROUND",G102&lt;&gt;"LIBSETS_SETTYPE_SPECIAL"),IF(AL102&lt;&gt;"",VLOOKUP(AL102,'ESO zones'!$D$5:$H$4958,5,FALSE),""),"")</f>
        <v>63</v>
      </c>
      <c r="AL102" t="s">
        <v>61</v>
      </c>
      <c r="AM102" s="30" t="s">
        <v>3253</v>
      </c>
      <c r="AN102" s="38"/>
      <c r="AO102" s="38"/>
      <c r="AP102" s="3">
        <f>IF(AND(G102&lt;&gt;"LIBSETS_SETTYPE_BATTLEGROUND",G102&lt;&gt;"LIBSETS_SETTYPE_SPECIAL"),IF(AQ102&lt;&gt;"",VLOOKUP(AQ102,'ESO zones'!$D$5:$H$4958,5,FALSE),""),"")</f>
        <v>283</v>
      </c>
      <c r="AQ102" t="s">
        <v>51</v>
      </c>
      <c r="AR102" s="30" t="s">
        <v>3253</v>
      </c>
      <c r="AS102" s="38"/>
      <c r="AT102" s="38"/>
      <c r="AU102" s="3" t="str">
        <f>IF(AND(G102&lt;&gt;"LIBSETS_SETTYPE_BATTLEGROUND",G102&lt;&gt;"LIBSETS_SETTYPE_SPECIAL"),IF(AV102&lt;&gt;"",VLOOKUP(AV102,'ESO zones'!$D$5:$H$4958,5,FALSE),""),"")</f>
        <v/>
      </c>
      <c r="AX102" s="38"/>
      <c r="AY102" s="38"/>
      <c r="AZ102" s="72" t="s">
        <v>2626</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1454</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DLCs'!$A$3:$D$99999,4,FALSE))</f>
        <v>DLC_BASE_GAME</v>
      </c>
      <c r="U103" s="3" t="str">
        <f>IF(T103&lt;&gt;"",VLOOKUP(T103,'&lt;Constants&gt;'!$B$4:$C$1020,2,FALSE),"")</f>
        <v>Included in base game</v>
      </c>
      <c r="V103" s="30" t="s">
        <v>3253</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3253</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2626</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2552</v>
      </c>
      <c r="D104" s="3">
        <f t="shared" si="6"/>
        <v>123</v>
      </c>
      <c r="G104" s="8" t="s">
        <v>1454</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DLCs'!$A$3:$D$99999,4,FALSE))</f>
        <v>DLC_BASE_GAME</v>
      </c>
      <c r="U104" s="3" t="str">
        <f>IF(T104&lt;&gt;"",VLOOKUP(T104,'&lt;Constants&gt;'!$B$4:$C$1020,2,FALSE),"")</f>
        <v>Included in base game</v>
      </c>
      <c r="V104" s="30" t="s">
        <v>3253</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2626</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2553</v>
      </c>
      <c r="D105" s="3">
        <f t="shared" si="6"/>
        <v>124</v>
      </c>
      <c r="G105" s="8" t="s">
        <v>1454</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DLCs'!$A$3:$D$99999,4,FALSE))</f>
        <v>DLC_BASE_GAME</v>
      </c>
      <c r="U105" s="3" t="str">
        <f>IF(T105&lt;&gt;"",VLOOKUP(T105,'&lt;Constants&gt;'!$B$4:$C$1020,2,FALSE),"")</f>
        <v>Included in base game</v>
      </c>
      <c r="V105" s="30" t="s">
        <v>3253</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2626</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1452</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DLCs'!$A$3:$D$99999,4,FALSE))</f>
        <v>DLC_BASE_GAME</v>
      </c>
      <c r="U106" s="3" t="str">
        <f>IF(T106&lt;&gt;"",VLOOKUP(T106,'&lt;Constants&gt;'!$B$4:$C$1020,2,FALSE),"")</f>
        <v>Included in base game</v>
      </c>
      <c r="V106" s="30" t="s">
        <v>2741</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3681</v>
      </c>
      <c r="AC106" s="38"/>
      <c r="AD106" s="38"/>
      <c r="AE106" s="125">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2736</v>
      </c>
      <c r="AK106" s="3">
        <f>IF(AND(G106&lt;&gt;"LIBSETS_SETTYPE_BATTLEGROUND",G106&lt;&gt;"LIBSETS_SETTYPE_SPECIAL"),IF(AL106&lt;&gt;"",VLOOKUP(AL106,'ESO zones'!$D$5:$H$4958,5,FALSE),""),"")</f>
        <v>181</v>
      </c>
      <c r="AL106" t="s">
        <v>124</v>
      </c>
      <c r="AM106" s="30" t="s">
        <v>3684</v>
      </c>
      <c r="AP106" s="3">
        <f>IF(AND(G106&lt;&gt;"LIBSETS_SETTYPE_BATTLEGROUND",G106&lt;&gt;"LIBSETS_SETTYPE_SPECIAL"),IF(AQ106&lt;&gt;"",VLOOKUP(AQ106,'ESO zones'!$D$5:$H$4958,5,FALSE),""),"")</f>
        <v>181</v>
      </c>
      <c r="AQ106" t="s">
        <v>124</v>
      </c>
      <c r="AR106" s="30" t="s">
        <v>1534</v>
      </c>
      <c r="AU106" s="3">
        <f>IF(AND(G106&lt;&gt;"LIBSETS_SETTYPE_BATTLEGROUND",G106&lt;&gt;"LIBSETS_SETTYPE_SPECIAL"),IF(AV106&lt;&gt;"",VLOOKUP(AV106,'ESO zones'!$D$5:$H$4958,5,FALSE),""),"")</f>
        <v>181</v>
      </c>
      <c r="AV106" t="s">
        <v>124</v>
      </c>
      <c r="AW106" s="30" t="s">
        <v>3205</v>
      </c>
      <c r="AZ106" s="72" t="s">
        <v>2627</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2739</v>
      </c>
      <c r="C107" t="s">
        <v>879</v>
      </c>
      <c r="D107" s="3">
        <f t="shared" si="6"/>
        <v>126</v>
      </c>
      <c r="E107" s="37"/>
      <c r="G107" s="8" t="s">
        <v>1452</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DLCs'!$A$3:$D$99999,4,FALSE))</f>
        <v>DLC_BASE_GAME</v>
      </c>
      <c r="U107" s="3" t="str">
        <f>IF(T107&lt;&gt;"",VLOOKUP(T107,'&lt;Constants&gt;'!$B$4:$C$1020,2,FALSE),"")</f>
        <v>Included in base game</v>
      </c>
      <c r="V107" s="30" t="s">
        <v>2741</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3681</v>
      </c>
      <c r="AC107" s="38"/>
      <c r="AD107" s="38"/>
      <c r="AE107" s="125">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2736</v>
      </c>
      <c r="AI107" s="38"/>
      <c r="AJ107" s="38"/>
      <c r="AK107" s="3">
        <f>IF(AND(G107&lt;&gt;"LIBSETS_SETTYPE_BATTLEGROUND",G107&lt;&gt;"LIBSETS_SETTYPE_SPECIAL"),IF(AL107&lt;&gt;"",VLOOKUP(AL107,'ESO zones'!$D$5:$H$4958,5,FALSE),""),"")</f>
        <v>181</v>
      </c>
      <c r="AL107" t="s">
        <v>124</v>
      </c>
      <c r="AM107" s="30" t="s">
        <v>3684</v>
      </c>
      <c r="AN107" s="38"/>
      <c r="AO107" s="38"/>
      <c r="AP107" s="3">
        <f>IF(AND(G107&lt;&gt;"LIBSETS_SETTYPE_BATTLEGROUND",G107&lt;&gt;"LIBSETS_SETTYPE_SPECIAL"),IF(AQ107&lt;&gt;"",VLOOKUP(AQ107,'ESO zones'!$D$5:$H$4958,5,FALSE),""),"")</f>
        <v>181</v>
      </c>
      <c r="AQ107" t="s">
        <v>124</v>
      </c>
      <c r="AR107" s="30" t="s">
        <v>1534</v>
      </c>
      <c r="AS107" s="38"/>
      <c r="AT107" s="38"/>
      <c r="AU107" s="3">
        <f>IF(AND(G107&lt;&gt;"LIBSETS_SETTYPE_BATTLEGROUND",G107&lt;&gt;"LIBSETS_SETTYPE_SPECIAL"),IF(AV107&lt;&gt;"",VLOOKUP(AV107,'ESO zones'!$D$5:$H$4958,5,FALSE),""),"")</f>
        <v>181</v>
      </c>
      <c r="AV107" t="s">
        <v>124</v>
      </c>
      <c r="AW107" s="30" t="s">
        <v>3205</v>
      </c>
      <c r="AX107" s="38"/>
      <c r="AY107" s="38"/>
      <c r="AZ107" s="72" t="s">
        <v>2627</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1452</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DLCs'!$A$3:$D$99999,4,FALSE))</f>
        <v>DLC_BASE_GAME</v>
      </c>
      <c r="U108" s="3" t="str">
        <f>IF(T108&lt;&gt;"",VLOOKUP(T108,'&lt;Constants&gt;'!$B$4:$C$1020,2,FALSE),"")</f>
        <v>Included in base game</v>
      </c>
      <c r="V108" s="30" t="s">
        <v>1507</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3681</v>
      </c>
      <c r="AE108" s="125">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2736</v>
      </c>
      <c r="AK108" s="3">
        <f>IF(AND(G108&lt;&gt;"LIBSETS_SETTYPE_BATTLEGROUND",G108&lt;&gt;"LIBSETS_SETTYPE_SPECIAL"),IF(AL108&lt;&gt;"",VLOOKUP(AL108,'ESO zones'!$D$5:$H$4958,5,FALSE),""),"")</f>
        <v>181</v>
      </c>
      <c r="AL108" t="s">
        <v>124</v>
      </c>
      <c r="AM108" s="30" t="s">
        <v>3684</v>
      </c>
      <c r="AP108" s="3">
        <f>IF(AND(G108&lt;&gt;"LIBSETS_SETTYPE_BATTLEGROUND",G108&lt;&gt;"LIBSETS_SETTYPE_SPECIAL"),IF(AQ108&lt;&gt;"",VLOOKUP(AQ108,'ESO zones'!$D$5:$H$4958,5,FALSE),""),"")</f>
        <v>181</v>
      </c>
      <c r="AQ108" t="s">
        <v>124</v>
      </c>
      <c r="AR108" s="30" t="s">
        <v>1534</v>
      </c>
      <c r="AU108" s="3">
        <f>IF(AND(G108&lt;&gt;"LIBSETS_SETTYPE_BATTLEGROUND",G108&lt;&gt;"LIBSETS_SETTYPE_SPECIAL"),IF(AV108&lt;&gt;"",VLOOKUP(AV108,'ESO zones'!$D$5:$H$4958,5,FALSE),""),"")</f>
        <v>181</v>
      </c>
      <c r="AV108" t="s">
        <v>124</v>
      </c>
      <c r="AW108" s="30" t="s">
        <v>3205</v>
      </c>
      <c r="AZ108" s="72" t="s">
        <v>2627</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1452</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DLCs'!$A$3:$D$99999,4,FALSE))</f>
        <v>DLC_BASE_GAME</v>
      </c>
      <c r="U109" s="3" t="str">
        <f>IF(T109&lt;&gt;"",VLOOKUP(T109,'&lt;Constants&gt;'!$B$4:$C$1020,2,FALSE),"")</f>
        <v>Included in base game</v>
      </c>
      <c r="V109" s="30" t="s">
        <v>1509</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3681</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2736</v>
      </c>
      <c r="AK109" s="3">
        <f>IF(AND(G109&lt;&gt;"LIBSETS_SETTYPE_BATTLEGROUND",G109&lt;&gt;"LIBSETS_SETTYPE_SPECIAL"),IF(AL109&lt;&gt;"",VLOOKUP(AL109,'ESO zones'!$D$5:$H$4958,5,FALSE),""),"")</f>
        <v>181</v>
      </c>
      <c r="AL109" t="s">
        <v>124</v>
      </c>
      <c r="AM109" s="30" t="s">
        <v>3684</v>
      </c>
      <c r="AP109" s="3">
        <f>IF(AND(G109&lt;&gt;"LIBSETS_SETTYPE_BATTLEGROUND",G109&lt;&gt;"LIBSETS_SETTYPE_SPECIAL"),IF(AQ109&lt;&gt;"",VLOOKUP(AQ109,'ESO zones'!$D$5:$H$4958,5,FALSE),""),"")</f>
        <v>181</v>
      </c>
      <c r="AQ109" t="s">
        <v>124</v>
      </c>
      <c r="AR109" s="30" t="s">
        <v>1534</v>
      </c>
      <c r="AU109" s="3">
        <f>IF(AND(G109&lt;&gt;"LIBSETS_SETTYPE_BATTLEGROUND",G109&lt;&gt;"LIBSETS_SETTYPE_SPECIAL"),IF(AV109&lt;&gt;"",VLOOKUP(AV109,'ESO zones'!$D$5:$H$4958,5,FALSE),""),"")</f>
        <v>181</v>
      </c>
      <c r="AV109" t="s">
        <v>124</v>
      </c>
      <c r="AW109" s="30" t="s">
        <v>3205</v>
      </c>
      <c r="AZ109" s="72" t="s">
        <v>2627</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1452</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DLCs'!$A$3:$D$99999,4,FALSE))</f>
        <v>DLC_BASE_GAME</v>
      </c>
      <c r="U110" s="3" t="str">
        <f>IF(T110&lt;&gt;"",VLOOKUP(T110,'&lt;Constants&gt;'!$B$4:$C$1020,2,FALSE),"")</f>
        <v>Included in base game</v>
      </c>
      <c r="V110" s="30" t="s">
        <v>1507</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3681</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2736</v>
      </c>
      <c r="AI110" s="38"/>
      <c r="AJ110" s="38"/>
      <c r="AK110" s="3">
        <f>IF(AND(G110&lt;&gt;"LIBSETS_SETTYPE_BATTLEGROUND",G110&lt;&gt;"LIBSETS_SETTYPE_SPECIAL"),IF(AL110&lt;&gt;"",VLOOKUP(AL110,'ESO zones'!$D$5:$H$4958,5,FALSE),""),"")</f>
        <v>181</v>
      </c>
      <c r="AL110" t="s">
        <v>124</v>
      </c>
      <c r="AM110" s="30" t="s">
        <v>3684</v>
      </c>
      <c r="AN110" s="38"/>
      <c r="AO110" s="38"/>
      <c r="AP110" s="3">
        <f>IF(AND(G110&lt;&gt;"LIBSETS_SETTYPE_BATTLEGROUND",G110&lt;&gt;"LIBSETS_SETTYPE_SPECIAL"),IF(AQ110&lt;&gt;"",VLOOKUP(AQ110,'ESO zones'!$D$5:$H$4958,5,FALSE),""),"")</f>
        <v>181</v>
      </c>
      <c r="AQ110" t="s">
        <v>124</v>
      </c>
      <c r="AR110" s="30" t="s">
        <v>1534</v>
      </c>
      <c r="AS110" s="38"/>
      <c r="AT110" s="38"/>
      <c r="AU110" s="3">
        <f>IF(AND(G110&lt;&gt;"LIBSETS_SETTYPE_BATTLEGROUND",G110&lt;&gt;"LIBSETS_SETTYPE_SPECIAL"),IF(AV110&lt;&gt;"",VLOOKUP(AV110,'ESO zones'!$D$5:$H$4958,5,FALSE),""),"")</f>
        <v>181</v>
      </c>
      <c r="AV110" t="s">
        <v>124</v>
      </c>
      <c r="AW110" s="30" t="s">
        <v>3205</v>
      </c>
      <c r="AX110" s="38"/>
      <c r="AY110" s="38"/>
      <c r="AZ110" s="72" t="s">
        <v>2626</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1452</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DLCs'!$A$3:$D$99999,4,FALSE))</f>
        <v>DLC_BASE_GAME</v>
      </c>
      <c r="U111" s="3" t="str">
        <f>IF(T111&lt;&gt;"",VLOOKUP(T111,'&lt;Constants&gt;'!$B$4:$C$1020,2,FALSE),"")</f>
        <v>Included in base game</v>
      </c>
      <c r="V111" s="30" t="s">
        <v>1507</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3681</v>
      </c>
      <c r="AE111" s="125">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2736</v>
      </c>
      <c r="AK111" s="3">
        <f>IF(AND(G111&lt;&gt;"LIBSETS_SETTYPE_BATTLEGROUND",G111&lt;&gt;"LIBSETS_SETTYPE_SPECIAL"),IF(AL111&lt;&gt;"",VLOOKUP(AL111,'ESO zones'!$D$5:$H$4958,5,FALSE),""),"")</f>
        <v>181</v>
      </c>
      <c r="AL111" t="s">
        <v>124</v>
      </c>
      <c r="AM111" s="30" t="s">
        <v>3684</v>
      </c>
      <c r="AP111" s="3">
        <f>IF(AND(G111&lt;&gt;"LIBSETS_SETTYPE_BATTLEGROUND",G111&lt;&gt;"LIBSETS_SETTYPE_SPECIAL"),IF(AQ111&lt;&gt;"",VLOOKUP(AQ111,'ESO zones'!$D$5:$H$4958,5,FALSE),""),"")</f>
        <v>181</v>
      </c>
      <c r="AQ111" t="s">
        <v>124</v>
      </c>
      <c r="AR111" s="30" t="s">
        <v>1534</v>
      </c>
      <c r="AU111" s="3">
        <f>IF(AND(G111&lt;&gt;"LIBSETS_SETTYPE_BATTLEGROUND",G111&lt;&gt;"LIBSETS_SETTYPE_SPECIAL"),IF(AV111&lt;&gt;"",VLOOKUP(AV111,'ESO zones'!$D$5:$H$4958,5,FALSE),""),"")</f>
        <v>181</v>
      </c>
      <c r="AV111" t="s">
        <v>124</v>
      </c>
      <c r="AW111" s="30" t="s">
        <v>3205</v>
      </c>
      <c r="AZ111" s="72" t="s">
        <v>2627</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1452</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DLCs'!$A$3:$D$99999,4,FALSE))</f>
        <v>DLC_BASE_GAME</v>
      </c>
      <c r="U112" s="3" t="str">
        <f>IF(T112&lt;&gt;"",VLOOKUP(T112,'&lt;Constants&gt;'!$B$4:$C$1020,2,FALSE),"")</f>
        <v>Included in base game</v>
      </c>
      <c r="V112" s="30" t="s">
        <v>1509</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3681</v>
      </c>
      <c r="AE112" s="125">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2736</v>
      </c>
      <c r="AK112" s="3">
        <f>IF(AND(G112&lt;&gt;"LIBSETS_SETTYPE_BATTLEGROUND",G112&lt;&gt;"LIBSETS_SETTYPE_SPECIAL"),IF(AL112&lt;&gt;"",VLOOKUP(AL112,'ESO zones'!$D$5:$H$4958,5,FALSE),""),"")</f>
        <v>181</v>
      </c>
      <c r="AL112" t="s">
        <v>124</v>
      </c>
      <c r="AM112" s="30" t="s">
        <v>3684</v>
      </c>
      <c r="AP112" s="3">
        <f>IF(AND(G112&lt;&gt;"LIBSETS_SETTYPE_BATTLEGROUND",G112&lt;&gt;"LIBSETS_SETTYPE_SPECIAL"),IF(AQ112&lt;&gt;"",VLOOKUP(AQ112,'ESO zones'!$D$5:$H$4958,5,FALSE),""),"")</f>
        <v>181</v>
      </c>
      <c r="AQ112" t="s">
        <v>124</v>
      </c>
      <c r="AR112" s="30" t="s">
        <v>1534</v>
      </c>
      <c r="AU112" s="3">
        <f>IF(AND(G112&lt;&gt;"LIBSETS_SETTYPE_BATTLEGROUND",G112&lt;&gt;"LIBSETS_SETTYPE_SPECIAL"),IF(AV112&lt;&gt;"",VLOOKUP(AV112,'ESO zones'!$D$5:$H$4958,5,FALSE),""),"")</f>
        <v>181</v>
      </c>
      <c r="AV112" t="s">
        <v>124</v>
      </c>
      <c r="AW112" s="30" t="s">
        <v>3205</v>
      </c>
      <c r="AZ112" s="72" t="s">
        <v>2627</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1452</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DLCs'!$A$3:$D$99999,4,FALSE))</f>
        <v>DLC_BASE_GAME</v>
      </c>
      <c r="U113" s="3" t="str">
        <f>IF(T113&lt;&gt;"",VLOOKUP(T113,'&lt;Constants&gt;'!$B$4:$C$1020,2,FALSE),"")</f>
        <v>Included in base game</v>
      </c>
      <c r="V113" s="30" t="s">
        <v>1507</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3681</v>
      </c>
      <c r="AC113" s="38"/>
      <c r="AD113" s="38"/>
      <c r="AE113" s="125">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2736</v>
      </c>
      <c r="AK113" s="3">
        <f>IF(AND(G113&lt;&gt;"LIBSETS_SETTYPE_BATTLEGROUND",G113&lt;&gt;"LIBSETS_SETTYPE_SPECIAL"),IF(AL113&lt;&gt;"",VLOOKUP(AL113,'ESO zones'!$D$5:$H$4958,5,FALSE),""),"")</f>
        <v>181</v>
      </c>
      <c r="AL113" t="s">
        <v>124</v>
      </c>
      <c r="AM113" s="30" t="s">
        <v>3684</v>
      </c>
      <c r="AP113" s="3">
        <f>IF(AND(G113&lt;&gt;"LIBSETS_SETTYPE_BATTLEGROUND",G113&lt;&gt;"LIBSETS_SETTYPE_SPECIAL"),IF(AQ113&lt;&gt;"",VLOOKUP(AQ113,'ESO zones'!$D$5:$H$4958,5,FALSE),""),"")</f>
        <v>181</v>
      </c>
      <c r="AQ113" t="s">
        <v>124</v>
      </c>
      <c r="AR113" s="30" t="s">
        <v>1534</v>
      </c>
      <c r="AU113" s="3">
        <f>IF(AND(G113&lt;&gt;"LIBSETS_SETTYPE_BATTLEGROUND",G113&lt;&gt;"LIBSETS_SETTYPE_SPECIAL"),IF(AV113&lt;&gt;"",VLOOKUP(AV113,'ESO zones'!$D$5:$H$4958,5,FALSE),""),"")</f>
        <v>181</v>
      </c>
      <c r="AV113" t="s">
        <v>124</v>
      </c>
      <c r="AW113" s="30" t="s">
        <v>3205</v>
      </c>
      <c r="AZ113" s="72" t="s">
        <v>2627</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1452</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DLCs'!$A$3:$D$99999,4,FALSE))</f>
        <v>DLC_BASE_GAME</v>
      </c>
      <c r="U114" s="3" t="str">
        <f>IF(T114&lt;&gt;"",VLOOKUP(T114,'&lt;Constants&gt;'!$B$4:$C$1020,2,FALSE),"")</f>
        <v>Included in base game</v>
      </c>
      <c r="V114" s="30" t="s">
        <v>2741</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3681</v>
      </c>
      <c r="AE114" s="125">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2736</v>
      </c>
      <c r="AK114" s="3">
        <f>IF(AND(G114&lt;&gt;"LIBSETS_SETTYPE_BATTLEGROUND",G114&lt;&gt;"LIBSETS_SETTYPE_SPECIAL"),IF(AL114&lt;&gt;"",VLOOKUP(AL114,'ESO zones'!$D$5:$H$4958,5,FALSE),""),"")</f>
        <v>181</v>
      </c>
      <c r="AL114" t="s">
        <v>124</v>
      </c>
      <c r="AM114" s="30" t="s">
        <v>3684</v>
      </c>
      <c r="AP114" s="3">
        <f>IF(AND(G114&lt;&gt;"LIBSETS_SETTYPE_BATTLEGROUND",G114&lt;&gt;"LIBSETS_SETTYPE_SPECIAL"),IF(AQ114&lt;&gt;"",VLOOKUP(AQ114,'ESO zones'!$D$5:$H$4958,5,FALSE),""),"")</f>
        <v>181</v>
      </c>
      <c r="AQ114" t="s">
        <v>124</v>
      </c>
      <c r="AR114" s="30" t="s">
        <v>1534</v>
      </c>
      <c r="AU114" s="3">
        <f>IF(AND(G114&lt;&gt;"LIBSETS_SETTYPE_BATTLEGROUND",G114&lt;&gt;"LIBSETS_SETTYPE_SPECIAL"),IF(AV114&lt;&gt;"",VLOOKUP(AV114,'ESO zones'!$D$5:$H$4958,5,FALSE),""),"")</f>
        <v>181</v>
      </c>
      <c r="AV114" t="s">
        <v>124</v>
      </c>
      <c r="AW114" s="30" t="s">
        <v>3205</v>
      </c>
      <c r="AZ114" s="72" t="s">
        <v>2627</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1454</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DLCs'!$A$3:$D$99999,4,FALSE))</f>
        <v>DLC_BASE_GAME</v>
      </c>
      <c r="U115" s="3" t="str">
        <f>IF(T115&lt;&gt;"",VLOOKUP(T115,'&lt;Constants&gt;'!$B$4:$C$1020,2,FALSE),"")</f>
        <v>Included in base game</v>
      </c>
      <c r="V115" s="30" t="s">
        <v>3253</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3253</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2626</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2554</v>
      </c>
      <c r="D116" s="3">
        <f t="shared" si="6"/>
        <v>135</v>
      </c>
      <c r="E116"/>
      <c r="F116"/>
      <c r="G116" s="8" t="s">
        <v>1457</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DLCs'!$A$3:$D$99999,4,FALSE))</f>
        <v>DLC_BASE_GAME</v>
      </c>
      <c r="U116" s="3" t="str">
        <f>IF(T116&lt;&gt;"",VLOOKUP(T116,'&lt;Constants&gt;'!$B$4:$C$1020,2,FALSE),"")</f>
        <v>Included in base game</v>
      </c>
      <c r="V116" s="30" t="s">
        <v>1534</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1535</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1536</v>
      </c>
      <c r="AI116" s="38"/>
      <c r="AJ116" s="38"/>
      <c r="AK116" s="3">
        <f>IF(AND(G116&lt;&gt;"LIBSETS_SETTYPE_BATTLEGROUND",G116&lt;&gt;"LIBSETS_SETTYPE_SPECIAL"),IF(AL116&lt;&gt;"",VLOOKUP(AL116,'ESO zones'!$D$5:$H$4958,5,FALSE),""),"")</f>
        <v>103</v>
      </c>
      <c r="AL116" t="s">
        <v>110</v>
      </c>
      <c r="AM116" s="30" t="s">
        <v>1537</v>
      </c>
      <c r="AN116" s="38"/>
      <c r="AO116" s="38"/>
      <c r="AP116" s="3">
        <f>IF(AND(G116&lt;&gt;"LIBSETS_SETTYPE_BATTLEGROUND",G116&lt;&gt;"LIBSETS_SETTYPE_SPECIAL"),IF(AQ116&lt;&gt;"",VLOOKUP(AQ116,'ESO zones'!$D$5:$H$4958,5,FALSE),""),"")</f>
        <v>103</v>
      </c>
      <c r="AQ116" t="s">
        <v>110</v>
      </c>
      <c r="AR116" s="118" t="s">
        <v>3193</v>
      </c>
      <c r="AS116" s="38"/>
      <c r="AT116" s="38"/>
      <c r="AU116" s="3" t="str">
        <f>IF(AND(G116&lt;&gt;"LIBSETS_SETTYPE_BATTLEGROUND",G116&lt;&gt;"LIBSETS_SETTYPE_SPECIAL"),IF(AV116&lt;&gt;"",VLOOKUP(AV116,'ESO zones'!$D$5:$H$4958,5,FALSE),""),"")</f>
        <v/>
      </c>
      <c r="AV116"/>
      <c r="AW116" s="30"/>
      <c r="AX116" s="38"/>
      <c r="AY116" s="38"/>
      <c r="AZ116" s="72" t="s">
        <v>2626</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1458</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DLCs'!$A$3:$D$99999,4,FALSE))</f>
        <v>DLC_BASE_GAME</v>
      </c>
      <c r="U117" s="3" t="str">
        <f>IF(T117&lt;&gt;"",VLOOKUP(T117,'&lt;Constants&gt;'!$B$4:$C$1020,2,FALSE),"")</f>
        <v>Included in base game</v>
      </c>
      <c r="V117" s="30" t="s">
        <v>3234</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3234</v>
      </c>
      <c r="AC117" s="38"/>
      <c r="AD117" s="38"/>
      <c r="AE117" s="125">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3234</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2626</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1458</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DLCs'!$A$3:$D$99999,4,FALSE))</f>
        <v>DLC_BASE_GAME</v>
      </c>
      <c r="U118" s="3" t="str">
        <f>IF(T118&lt;&gt;"",VLOOKUP(T118,'&lt;Constants&gt;'!$B$4:$C$1020,2,FALSE),"")</f>
        <v>Included in base game</v>
      </c>
      <c r="V118" s="30" t="s">
        <v>3234</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3234</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3234</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2626</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1458</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DLCs'!$A$3:$D$99999,4,FALSE))</f>
        <v>DLC_BASE_GAME</v>
      </c>
      <c r="U119" s="3" t="str">
        <f>IF(T119&lt;&gt;"",VLOOKUP(T119,'&lt;Constants&gt;'!$B$4:$C$1020,2,FALSE),"")</f>
        <v>Included in base game</v>
      </c>
      <c r="V119" s="30" t="s">
        <v>3234</v>
      </c>
      <c r="W119" s="124" t="s">
        <v>3689</v>
      </c>
      <c r="X119" s="124" t="s">
        <v>3690</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3234</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3234</v>
      </c>
      <c r="AI119" s="35"/>
      <c r="AJ119" s="35"/>
      <c r="AK119" s="3" t="str">
        <f>IF(AND(G119&lt;&gt;"LIBSETS_SETTYPE_BATTLEGROUND",G119&lt;&gt;"LIBSETS_SETTYPE_SPECIAL"),IF(AL119&lt;&gt;"",VLOOKUP(AL119,'ESO zones'!$D$5:$H$4958,5,FALSE),""),"")</f>
        <v/>
      </c>
      <c r="AN119" s="124"/>
      <c r="AO119" s="124"/>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2626</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1458</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DLCs'!$A$3:$D$99999,4,FALSE))</f>
        <v>DLC_BASE_GAME</v>
      </c>
      <c r="U120" s="3" t="str">
        <f>IF(T120&lt;&gt;"",VLOOKUP(T120,'&lt;Constants&gt;'!$B$4:$C$1020,2,FALSE),"")</f>
        <v>Included in base game</v>
      </c>
      <c r="V120" s="30" t="s">
        <v>3234</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3234</v>
      </c>
      <c r="AC120" s="38"/>
      <c r="AD120" s="38"/>
      <c r="AE120" s="125">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3234</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2626</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1458</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DLCs'!$A$3:$D$99999,4,FALSE))</f>
        <v>DLC_BASE_GAME</v>
      </c>
      <c r="U121" s="3" t="str">
        <f>IF(T121&lt;&gt;"",VLOOKUP(T121,'&lt;Constants&gt;'!$B$4:$C$1020,2,FALSE),"")</f>
        <v>Included in base game</v>
      </c>
      <c r="V121" s="30" t="s">
        <v>3234</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3234</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3234</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2626</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1458</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DLCs'!$A$3:$D$99999,4,FALSE))</f>
        <v>DLC_BASE_GAME</v>
      </c>
      <c r="U122" s="3" t="str">
        <f>IF(T122&lt;&gt;"",VLOOKUP(T122,'&lt;Constants&gt;'!$B$4:$C$1020,2,FALSE),"")</f>
        <v>Included in base game</v>
      </c>
      <c r="V122" s="30" t="s">
        <v>3234</v>
      </c>
      <c r="W122" s="124" t="s">
        <v>3689</v>
      </c>
      <c r="X122" s="124" t="s">
        <v>3690</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3234</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3234</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2626</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1458</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DLCs'!$A$3:$D$99999,4,FALSE))</f>
        <v>DLC_BASE_GAME</v>
      </c>
      <c r="U123" s="3" t="str">
        <f>IF(T123&lt;&gt;"",VLOOKUP(T123,'&lt;Constants&gt;'!$B$4:$C$1020,2,FALSE),"")</f>
        <v>Included in base game</v>
      </c>
      <c r="V123" s="30" t="s">
        <v>3234</v>
      </c>
      <c r="W123" s="124" t="s">
        <v>3689</v>
      </c>
      <c r="X123" s="124" t="s">
        <v>3690</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3234</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3234</v>
      </c>
      <c r="AI123" s="35"/>
      <c r="AJ123" s="35"/>
      <c r="AK123" s="3" t="str">
        <f>IF(AND(G123&lt;&gt;"LIBSETS_SETTYPE_BATTLEGROUND",G123&lt;&gt;"LIBSETS_SETTYPE_SPECIAL"),IF(AL123&lt;&gt;"",VLOOKUP(AL123,'ESO zones'!$D$5:$H$4958,5,FALSE),""),"")</f>
        <v/>
      </c>
      <c r="AN123" s="124"/>
      <c r="AO123" s="124"/>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2626</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1458</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DLCs'!$A$3:$D$99999,4,FALSE))</f>
        <v>DLC_BASE_GAME</v>
      </c>
      <c r="U124" s="3" t="str">
        <f>IF(T124&lt;&gt;"",VLOOKUP(T124,'&lt;Constants&gt;'!$B$4:$C$1020,2,FALSE),"")</f>
        <v>Included in base game</v>
      </c>
      <c r="V124" s="30" t="s">
        <v>3234</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3234</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3234</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2626</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1458</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DLCs'!$A$3:$D$99999,4,FALSE))</f>
        <v>DLC_BASE_GAME</v>
      </c>
      <c r="U125" s="3" t="str">
        <f>IF(T125&lt;&gt;"",VLOOKUP(T125,'&lt;Constants&gt;'!$B$4:$C$1020,2,FALSE),"")</f>
        <v>Included in base game</v>
      </c>
      <c r="V125" s="30" t="s">
        <v>3234</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3234</v>
      </c>
      <c r="AC125" s="38"/>
      <c r="AD125" s="38"/>
      <c r="AE125" s="125">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3234</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2626</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1457</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DLCs'!$A$3:$D$99999,4,FALSE))</f>
        <v>DLC_BASE_GAME</v>
      </c>
      <c r="U126" s="3" t="str">
        <f>IF(T126&lt;&gt;"",VLOOKUP(T126,'&lt;Constants&gt;'!$B$4:$C$1020,2,FALSE),"")</f>
        <v>Included in base game</v>
      </c>
      <c r="V126" s="30" t="s">
        <v>1534</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1535</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1537</v>
      </c>
      <c r="AI126" s="38"/>
      <c r="AJ126" s="38"/>
      <c r="AK126" s="3">
        <f>IF(AND(G126&lt;&gt;"LIBSETS_SETTYPE_BATTLEGROUND",G126&lt;&gt;"LIBSETS_SETTYPE_SPECIAL"),IF(AL126&lt;&gt;"",VLOOKUP(AL126,'ESO zones'!$D$5:$H$4958,5,FALSE),""),"")</f>
        <v>888</v>
      </c>
      <c r="AL126" t="s">
        <v>561</v>
      </c>
      <c r="AM126" s="39" t="s">
        <v>3193</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2626</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1457</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DLCs'!$A$3:$D$99999,4,FALSE))</f>
        <v>DLC_BASE_GAME</v>
      </c>
      <c r="U127" s="3" t="str">
        <f>IF(T127&lt;&gt;"",VLOOKUP(T127,'&lt;Constants&gt;'!$B$4:$C$1020,2,FALSE),"")</f>
        <v>Included in base game</v>
      </c>
      <c r="V127" s="30" t="s">
        <v>1534</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1535</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1537</v>
      </c>
      <c r="AI127" s="38"/>
      <c r="AJ127" s="38"/>
      <c r="AK127" s="3">
        <f>IF(AND(G127&lt;&gt;"LIBSETS_SETTYPE_BATTLEGROUND",G127&lt;&gt;"LIBSETS_SETTYPE_SPECIAL"),IF(AL127&lt;&gt;"",VLOOKUP(AL127,'ESO zones'!$D$5:$H$4958,5,FALSE),""),"")</f>
        <v>888</v>
      </c>
      <c r="AL127" t="s">
        <v>561</v>
      </c>
      <c r="AM127" s="39" t="s">
        <v>3193</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2627</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1457</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DLCs'!$A$3:$D$99999,4,FALSE))</f>
        <v>DLC_BASE_GAME</v>
      </c>
      <c r="U128" s="3" t="str">
        <f>IF(T128&lt;&gt;"",VLOOKUP(T128,'&lt;Constants&gt;'!$B$4:$C$1020,2,FALSE),"")</f>
        <v>Included in base game</v>
      </c>
      <c r="V128" s="30" t="s">
        <v>1534</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1535</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1537</v>
      </c>
      <c r="AI128" s="38"/>
      <c r="AJ128" s="38"/>
      <c r="AK128" s="3">
        <f>IF(AND(G128&lt;&gt;"LIBSETS_SETTYPE_BATTLEGROUND",G128&lt;&gt;"LIBSETS_SETTYPE_SPECIAL"),IF(AL128&lt;&gt;"",VLOOKUP(AL128,'ESO zones'!$D$5:$H$4958,5,FALSE),""),"")</f>
        <v>888</v>
      </c>
      <c r="AL128" t="s">
        <v>561</v>
      </c>
      <c r="AM128" s="39" t="s">
        <v>3193</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2626</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1451</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DLCs'!$A$3:$D$99999,4,FALSE))</f>
        <v>DLC_BASE_GAME</v>
      </c>
      <c r="U129" s="3" t="str">
        <f>IF(T129&lt;&gt;"",VLOOKUP(T129,'&lt;Constants&gt;'!$B$4:$C$1020,2,FALSE),"")</f>
        <v>Included in base game</v>
      </c>
      <c r="V129" s="30" t="s">
        <v>3256</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3256</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2627</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1454</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DLCs'!$A$3:$D$99999,4,FALSE))</f>
        <v>DLC_BASE_GAME</v>
      </c>
      <c r="U130" s="3" t="str">
        <f>IF(T130&lt;&gt;"",VLOOKUP(T130,'&lt;Constants&gt;'!$B$4:$C$1020,2,FALSE),"")</f>
        <v>Included in base game</v>
      </c>
      <c r="V130" s="30" t="s">
        <v>3253</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3253</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2626</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1454</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DLCs'!$A$3:$D$99999,4,FALSE))</f>
        <v>DLC_BASE_GAME</v>
      </c>
      <c r="U131" s="3" t="str">
        <f>IF(T131&lt;&gt;"",VLOOKUP(T131,'&lt;Constants&gt;'!$B$4:$C$1020,2,FALSE),"")</f>
        <v>Included in base game</v>
      </c>
      <c r="V131" s="30" t="s">
        <v>3253</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2626</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1454</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DLCs'!$A$3:$D$99999,4,FALSE))</f>
        <v>DLC_BASE_GAME</v>
      </c>
      <c r="U132" s="3" t="str">
        <f>IF(T132&lt;&gt;"",VLOOKUP(T132,'&lt;Constants&gt;'!$B$4:$C$1020,2,FALSE),"")</f>
        <v>Included in base game</v>
      </c>
      <c r="V132" s="30" t="s">
        <v>3253</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2626</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1454</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DLCs'!$A$3:$D$99999,4,FALSE))</f>
        <v>DLC_BASE_GAME</v>
      </c>
      <c r="U133" s="3" t="str">
        <f>IF(T133&lt;&gt;"",VLOOKUP(T133,'&lt;Constants&gt;'!$B$4:$C$1020,2,FALSE),"")</f>
        <v>Included in base game</v>
      </c>
      <c r="V133" s="30" t="s">
        <v>3253</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3253</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2626</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1454</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DLCs'!$A$3:$D$99999,4,FALSE))</f>
        <v>DLC_BASE_GAME</v>
      </c>
      <c r="U134" s="3" t="str">
        <f>IF(T134&lt;&gt;"",VLOOKUP(T134,'&lt;Constants&gt;'!$B$4:$C$1020,2,FALSE),"")</f>
        <v>Included in base game</v>
      </c>
      <c r="V134" s="30" t="s">
        <v>3253</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3253</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2626</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1454</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DLCs'!$A$3:$D$99999,4,FALSE))</f>
        <v>DLC_BASE_GAME</v>
      </c>
      <c r="U135" s="3" t="str">
        <f>IF(T135&lt;&gt;"",VLOOKUP(T135,'&lt;Constants&gt;'!$B$4:$C$1020,2,FALSE),"")</f>
        <v>Included in base game</v>
      </c>
      <c r="V135" s="30" t="s">
        <v>3253</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3253</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2626</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1451</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DLCs'!$A$3:$D$99999,4,FALSE))</f>
        <v>DLC_BASE_GAME</v>
      </c>
      <c r="U136" s="3" t="str">
        <f>IF(T136&lt;&gt;"",VLOOKUP(T136,'&lt;Constants&gt;'!$B$4:$C$1020,2,FALSE),"")</f>
        <v>Included in base game</v>
      </c>
      <c r="V136" s="30" t="s">
        <v>3256</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3256</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2626</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1456</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DLCs'!$A$3:$D$99999,4,FALSE))</f>
        <v>DLC_BASE_GAME</v>
      </c>
      <c r="U137" s="3" t="str">
        <f>IF(T137&lt;&gt;"",VLOOKUP(T137,'&lt;Constants&gt;'!$B$4:$C$1020,2,FALSE),"")</f>
        <v>Included in base game</v>
      </c>
      <c r="V137" s="30" t="s">
        <v>1518</v>
      </c>
      <c r="W137" s="3" t="s">
        <v>1604</v>
      </c>
      <c r="X137" s="3" t="s">
        <v>1604</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5"/>
      <c r="AD137" s="38"/>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2626</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1456</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DLCs'!$A$3:$D$99999,4,FALSE))</f>
        <v>DLC_BASE_GAME</v>
      </c>
      <c r="U138" s="3" t="str">
        <f>IF(T138&lt;&gt;"",VLOOKUP(T138,'&lt;Constants&gt;'!$B$4:$C$1020,2,FALSE),"")</f>
        <v>Included in base game</v>
      </c>
      <c r="V138" s="30" t="s">
        <v>1518</v>
      </c>
      <c r="W138" s="3" t="s">
        <v>1341</v>
      </c>
      <c r="X138" s="3" t="s">
        <v>1608</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5"/>
      <c r="AD138" s="38"/>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2626</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1456</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DLCs'!$A$3:$D$99999,4,FALSE))</f>
        <v>DLC_IMPERIAL_CITY</v>
      </c>
      <c r="U139" s="3" t="str">
        <f>IF(T139&lt;&gt;"",VLOOKUP(T139,'&lt;Constants&gt;'!$B$4:$C$1020,2,FALSE),"")</f>
        <v>Imperial City</v>
      </c>
      <c r="V139" s="30" t="s">
        <v>1518</v>
      </c>
      <c r="W139" s="3" t="s">
        <v>1519</v>
      </c>
      <c r="X139" s="3" t="s">
        <v>1594</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5"/>
      <c r="AD139" s="38"/>
      <c r="AE139" s="125"/>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2626</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1456</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DLCs'!$A$3:$D$99999,4,FALSE))</f>
        <v>DLC_BASE_GAME</v>
      </c>
      <c r="U140" s="3" t="str">
        <f>IF(T140&lt;&gt;"",VLOOKUP(T140,'&lt;Constants&gt;'!$B$4:$C$1020,2,FALSE),"")</f>
        <v>Included in base game</v>
      </c>
      <c r="V140" s="30" t="s">
        <v>1518</v>
      </c>
      <c r="W140" s="3" t="s">
        <v>1616</v>
      </c>
      <c r="X140" s="3" t="s">
        <v>1617</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5"/>
      <c r="AD140" s="38"/>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2626</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1456</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DLCs'!$A$3:$D$99999,4,FALSE))</f>
        <v>DLC_BASE_GAME</v>
      </c>
      <c r="U141" s="3" t="str">
        <f>IF(T141&lt;&gt;"",VLOOKUP(T141,'&lt;Constants&gt;'!$B$4:$C$1020,2,FALSE),"")</f>
        <v>Included in base game</v>
      </c>
      <c r="V141" s="30" t="s">
        <v>1518</v>
      </c>
      <c r="W141" s="3" t="s">
        <v>1343</v>
      </c>
      <c r="X141" s="3" t="s">
        <v>1599</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5"/>
      <c r="AD141" s="38"/>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2626</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1456</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DLCs'!$A$3:$D$99999,4,FALSE))</f>
        <v>DLC_BASE_GAME</v>
      </c>
      <c r="U142" s="3" t="str">
        <f>IF(T142&lt;&gt;"",VLOOKUP(T142,'&lt;Constants&gt;'!$B$4:$C$1020,2,FALSE),"")</f>
        <v>Included in base game</v>
      </c>
      <c r="V142" s="30" t="s">
        <v>1518</v>
      </c>
      <c r="W142" s="3" t="s">
        <v>1520</v>
      </c>
      <c r="X142" s="3" t="s">
        <v>1600</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5"/>
      <c r="AD142" s="38"/>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2626</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1533</v>
      </c>
      <c r="D143" s="3">
        <f t="shared" si="12"/>
        <v>168</v>
      </c>
      <c r="G143" s="8" t="s">
        <v>1456</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DLCs'!$A$3:$D$99999,4,FALSE))</f>
        <v>DLC_BASE_GAME</v>
      </c>
      <c r="U143" s="3" t="str">
        <f>IF(T143&lt;&gt;"",VLOOKUP(T143,'&lt;Constants&gt;'!$B$4:$C$1020,2,FALSE),"")</f>
        <v>Included in base game</v>
      </c>
      <c r="V143" s="30" t="s">
        <v>1518</v>
      </c>
      <c r="W143" s="3" t="s">
        <v>1533</v>
      </c>
      <c r="X143" s="3" t="s">
        <v>1533</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5"/>
      <c r="AD143" s="38"/>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2626</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1456</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DLCs'!$A$3:$D$99999,4,FALSE))</f>
        <v>DLC_BASE_GAME</v>
      </c>
      <c r="U144" s="3" t="str">
        <f>IF(T144&lt;&gt;"",VLOOKUP(T144,'&lt;Constants&gt;'!$B$4:$C$1020,2,FALSE),"")</f>
        <v>Included in base game</v>
      </c>
      <c r="V144" s="30" t="s">
        <v>1518</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5"/>
      <c r="AD144" s="38"/>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2626</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1456</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DLCs'!$A$3:$D$99999,4,FALSE))</f>
        <v>DLC_BASE_GAME</v>
      </c>
      <c r="U145" s="3" t="str">
        <f>IF(T145&lt;&gt;"",VLOOKUP(T145,'&lt;Constants&gt;'!$B$4:$C$1020,2,FALSE),"")</f>
        <v>Included in base game</v>
      </c>
      <c r="V145" s="30" t="s">
        <v>1518</v>
      </c>
      <c r="W145" s="3" t="s">
        <v>1344</v>
      </c>
      <c r="X145" s="3" t="s">
        <v>1610</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5"/>
      <c r="AD145" s="38"/>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2626</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1458</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DLCs'!$A$3:$D$99999,4,FALSE))</f>
        <v>DLC_BASE_GAME</v>
      </c>
      <c r="U146" s="3" t="str">
        <f>IF(T146&lt;&gt;"",VLOOKUP(T146,'&lt;Constants&gt;'!$B$4:$C$1020,2,FALSE),"")</f>
        <v>Included in base game</v>
      </c>
      <c r="V146" s="30" t="s">
        <v>3234</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3234</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3234</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2626</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1458</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DLCs'!$A$3:$D$99999,4,FALSE))</f>
        <v>DLC_BASE_GAME</v>
      </c>
      <c r="U147" s="3" t="str">
        <f>IF(T147&lt;&gt;"",VLOOKUP(T147,'&lt;Constants&gt;'!$B$4:$C$1020,2,FALSE),"")</f>
        <v>Included in base game</v>
      </c>
      <c r="V147" s="30" t="s">
        <v>3234</v>
      </c>
      <c r="W147" s="124" t="s">
        <v>3689</v>
      </c>
      <c r="X147" s="124" t="s">
        <v>3690</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3234</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3234</v>
      </c>
      <c r="AI147" s="35"/>
      <c r="AJ147" s="35"/>
      <c r="AK147" s="3" t="str">
        <f>IF(AND(G147&lt;&gt;"LIBSETS_SETTYPE_BATTLEGROUND",G147&lt;&gt;"LIBSETS_SETTYPE_SPECIAL"),IF(AL147&lt;&gt;"",VLOOKUP(AL147,'ESO zones'!$D$5:$H$4958,5,FALSE),""),"")</f>
        <v/>
      </c>
      <c r="AN147" s="124"/>
      <c r="AO147" s="124"/>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2626</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1458</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DLCs'!$A$3:$D$99999,4,FALSE))</f>
        <v>DLC_BASE_GAME</v>
      </c>
      <c r="U148" s="3" t="str">
        <f>IF(T148&lt;&gt;"",VLOOKUP(T148,'&lt;Constants&gt;'!$B$4:$C$1020,2,FALSE),"")</f>
        <v>Included in base game</v>
      </c>
      <c r="V148" s="30" t="s">
        <v>3234</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3234</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3234</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2626</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2555</v>
      </c>
      <c r="D149" s="3">
        <f t="shared" si="12"/>
        <v>176</v>
      </c>
      <c r="G149" s="8" t="s">
        <v>1451</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DLCs'!$A$3:$D$99999,4,FALSE))</f>
        <v>DLC_IMPERIAL_CITY</v>
      </c>
      <c r="U149" s="3" t="str">
        <f>IF(T149&lt;&gt;"",VLOOKUP(T149,'&lt;Constants&gt;'!$B$4:$C$1020,2,FALSE),"")</f>
        <v>Imperial City</v>
      </c>
      <c r="V149" s="30" t="s">
        <v>3256</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2626</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1451</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DLCs'!$A$3:$D$99999,4,FALSE))</f>
        <v>DLC_IMPERIAL_CITY</v>
      </c>
      <c r="U150" s="3" t="str">
        <f>IF(T150&lt;&gt;"",VLOOKUP(T150,'&lt;Constants&gt;'!$B$4:$C$1020,2,FALSE),"")</f>
        <v>Imperial City</v>
      </c>
      <c r="V150" s="30" t="s">
        <v>3256</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2626</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1451</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DLCs'!$A$3:$D$99999,4,FALSE))</f>
        <v>DLC_IMPERIAL_CITY</v>
      </c>
      <c r="U151" s="3" t="str">
        <f>IF(T151&lt;&gt;"",VLOOKUP(T151,'&lt;Constants&gt;'!$B$4:$C$1020,2,FALSE),"")</f>
        <v>Imperial City</v>
      </c>
      <c r="V151" s="30" t="s">
        <v>3256</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2626</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1455</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DLCs'!$A$3:$D$99999,4,FALSE))</f>
        <v>DLC_IMPERIAL_CITY</v>
      </c>
      <c r="U152" s="3" t="str">
        <f>IF(T152&lt;&gt;"",VLOOKUP(T152,'&lt;Constants&gt;'!$B$4:$C$1020,2,FALSE),"")</f>
        <v>Imperial City</v>
      </c>
      <c r="V152" s="30" t="s">
        <v>2732</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3686</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2627</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1455</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DLCs'!$A$3:$D$99999,4,FALSE))</f>
        <v>DLC_IMPERIAL_CITY</v>
      </c>
      <c r="U153" s="3" t="str">
        <f>IF(T153&lt;&gt;"",VLOOKUP(T153,'&lt;Constants&gt;'!$B$4:$C$1020,2,FALSE),"")</f>
        <v>Imperial City</v>
      </c>
      <c r="V153" s="30" t="s">
        <v>2732</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3686</v>
      </c>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2626</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1455</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DLCs'!$A$3:$D$99999,4,FALSE))</f>
        <v>DLC_IMPERIAL_CITY</v>
      </c>
      <c r="U154" s="3" t="str">
        <f>IF(T154&lt;&gt;"",VLOOKUP(T154,'&lt;Constants&gt;'!$B$4:$C$1020,2,FALSE),"")</f>
        <v>Imperial City</v>
      </c>
      <c r="V154" s="30" t="s">
        <v>2732</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3686</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2626</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1456</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DLCs'!$A$3:$D$99999,4,FALSE))</f>
        <v>DLC_IMPERIAL_CITY</v>
      </c>
      <c r="U155" s="3" t="str">
        <f>IF(T155&lt;&gt;"",VLOOKUP(T155,'&lt;Constants&gt;'!$B$4:$C$1020,2,FALSE),"")</f>
        <v>Imperial City</v>
      </c>
      <c r="V155" s="30" t="s">
        <v>1518</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5"/>
      <c r="AD155" s="35"/>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2626</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1454</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DLCs'!$A$3:$D$99999,4,FALSE))</f>
        <v>DLC_IMPERIAL_CITY</v>
      </c>
      <c r="U156" s="3" t="str">
        <f>IF(T156&lt;&gt;"",VLOOKUP(T156,'&lt;Constants&gt;'!$B$4:$C$1020,2,FALSE),"")</f>
        <v>Imperial City</v>
      </c>
      <c r="V156" s="30" t="s">
        <v>3253</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1554</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2626</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1454</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DLCs'!$A$3:$D$99999,4,FALSE))</f>
        <v>DLC_IMPERIAL_CITY</v>
      </c>
      <c r="U157" s="3" t="str">
        <f>IF(T157&lt;&gt;"",VLOOKUP(T157,'&lt;Constants&gt;'!$B$4:$C$1020,2,FALSE),"")</f>
        <v>Imperial City</v>
      </c>
      <c r="V157" s="30" t="s">
        <v>3253</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1554</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2626</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1454</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DLCs'!$A$3:$D$99999,4,FALSE))</f>
        <v>DLC_BASE_GAME</v>
      </c>
      <c r="U158" s="3" t="str">
        <f>IF(T158&lt;&gt;"",VLOOKUP(T158,'&lt;Constants&gt;'!$B$4:$C$1020,2,FALSE),"")</f>
        <v>Included in base game</v>
      </c>
      <c r="V158" s="30" t="s">
        <v>3253</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2626</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1457</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DLCs'!$A$3:$D$99999,4,FALSE))</f>
        <v>DLC_BASE_GAME</v>
      </c>
      <c r="U159" s="3" t="str">
        <f>IF(T159&lt;&gt;"",VLOOKUP(T159,'&lt;Constants&gt;'!$B$4:$C$1020,2,FALSE),"")</f>
        <v>Included in base game</v>
      </c>
      <c r="V159" s="30" t="s">
        <v>1534</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1535</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1536</v>
      </c>
      <c r="AI159" s="38"/>
      <c r="AJ159" s="38"/>
      <c r="AK159" s="3">
        <f>IF(AND(G159&lt;&gt;"LIBSETS_SETTYPE_BATTLEGROUND",G159&lt;&gt;"LIBSETS_SETTYPE_SPECIAL"),IF(AL159&lt;&gt;"",VLOOKUP(AL159,'ESO zones'!$D$5:$H$4958,5,FALSE),""),"")</f>
        <v>117</v>
      </c>
      <c r="AL159" t="s">
        <v>113</v>
      </c>
      <c r="AM159" s="30" t="s">
        <v>1537</v>
      </c>
      <c r="AN159" s="38"/>
      <c r="AO159" s="38"/>
      <c r="AP159" s="3">
        <f>IF(AND(G159&lt;&gt;"LIBSETS_SETTYPE_BATTLEGROUND",G159&lt;&gt;"LIBSETS_SETTYPE_SPECIAL"),IF(AQ159&lt;&gt;"",VLOOKUP(AQ159,'ESO zones'!$D$5:$H$4958,5,FALSE),""),"")</f>
        <v>117</v>
      </c>
      <c r="AQ159" t="s">
        <v>113</v>
      </c>
      <c r="AR159" s="118" t="s">
        <v>3193</v>
      </c>
      <c r="AS159" s="38"/>
      <c r="AT159" s="38"/>
      <c r="AU159" s="3" t="str">
        <f>IF(AND(G159&lt;&gt;"LIBSETS_SETTYPE_BATTLEGROUND",G159&lt;&gt;"LIBSETS_SETTYPE_SPECIAL"),IF(AV159&lt;&gt;"",VLOOKUP(AV159,'ESO zones'!$D$5:$H$4958,5,FALSE),""),"")</f>
        <v/>
      </c>
      <c r="AX159" s="38"/>
      <c r="AY159" s="38"/>
      <c r="AZ159" s="72" t="s">
        <v>2627</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1454</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DLCs'!$A$3:$D$99999,4,FALSE))</f>
        <v>DLC_BASE_GAME</v>
      </c>
      <c r="U160" s="3" t="str">
        <f>IF(T160&lt;&gt;"",VLOOKUP(T160,'&lt;Constants&gt;'!$B$4:$C$1020,2,FALSE),"")</f>
        <v>Included in base game</v>
      </c>
      <c r="V160" s="30" t="s">
        <v>3253</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2626</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1454</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DLCs'!$A$3:$D$99999,4,FALSE))</f>
        <v>DLC_IMPERIAL_CITY</v>
      </c>
      <c r="U161" s="3" t="str">
        <f>IF(T161&lt;&gt;"",VLOOKUP(T161,'&lt;Constants&gt;'!$B$4:$C$1020,2,FALSE),"")</f>
        <v>Imperial City</v>
      </c>
      <c r="V161" s="30" t="s">
        <v>3253</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1554</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2626</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1454</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DLCs'!$A$3:$D$99999,4,FALSE))</f>
        <v>DLC_BASE_GAME</v>
      </c>
      <c r="U162" s="3" t="str">
        <f>IF(T162&lt;&gt;"",VLOOKUP(T162,'&lt;Constants&gt;'!$B$4:$C$1020,2,FALSE),"")</f>
        <v>Included in base game</v>
      </c>
      <c r="V162" s="30" t="s">
        <v>3253</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2626</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1454</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DLCs'!$A$3:$D$99999,4,FALSE))</f>
        <v>DLC_BASE_GAME</v>
      </c>
      <c r="U163" s="3" t="str">
        <f>IF(T163&lt;&gt;"",VLOOKUP(T163,'&lt;Constants&gt;'!$B$4:$C$1020,2,FALSE),"")</f>
        <v>Included in base game</v>
      </c>
      <c r="V163" s="30" t="s">
        <v>3253</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3253</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2626</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1454</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DLCs'!$A$3:$D$99999,4,FALSE))</f>
        <v>DLC_IMPERIAL_CITY</v>
      </c>
      <c r="U164" s="3" t="str">
        <f>IF(T164&lt;&gt;"",VLOOKUP(T164,'&lt;Constants&gt;'!$B$4:$C$1020,2,FALSE),"")</f>
        <v>Imperial City</v>
      </c>
      <c r="V164" s="30" t="s">
        <v>3253</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1554</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2626</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1454</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DLCs'!$A$3:$D$99999,4,FALSE))</f>
        <v>DLC_IMPERIAL_CITY</v>
      </c>
      <c r="U165" s="3" t="str">
        <f>IF(T165&lt;&gt;"",VLOOKUP(T165,'&lt;Constants&gt;'!$B$4:$C$1020,2,FALSE),"")</f>
        <v>Imperial City</v>
      </c>
      <c r="V165" s="30" t="s">
        <v>3253</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1554</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2626</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1454</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DLCs'!$A$3:$D$99999,4,FALSE))</f>
        <v>DLC_BASE_GAME</v>
      </c>
      <c r="U166" s="3" t="str">
        <f>IF(T166&lt;&gt;"",VLOOKUP(T166,'&lt;Constants&gt;'!$B$4:$C$1020,2,FALSE),"")</f>
        <v>Included in base game</v>
      </c>
      <c r="V166" s="30" t="s">
        <v>3253</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3253</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2626</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1454</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DLCs'!$A$3:$D$99999,4,FALSE))</f>
        <v>DLC_IMPERIAL_CITY</v>
      </c>
      <c r="U167" s="3" t="str">
        <f>IF(T167&lt;&gt;"",VLOOKUP(T167,'&lt;Constants&gt;'!$B$4:$C$1020,2,FALSE),"")</f>
        <v>Imperial City</v>
      </c>
      <c r="V167" s="30" t="s">
        <v>3253</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1554</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2626</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1455</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DLCs'!$A$3:$D$99999,4,FALSE))</f>
        <v>DLC_IMPERIAL_CITY</v>
      </c>
      <c r="U168" s="3" t="str">
        <f>IF(T168&lt;&gt;"",VLOOKUP(T168,'&lt;Constants&gt;'!$B$4:$C$1020,2,FALSE),"")</f>
        <v>Imperial City</v>
      </c>
      <c r="V168" s="30" t="s">
        <v>2732</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3686</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2627</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1455</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DLCs'!$A$3:$D$99999,4,FALSE))</f>
        <v>DLC_IMPERIAL_CITY</v>
      </c>
      <c r="U169" s="3" t="str">
        <f>IF(T169&lt;&gt;"",VLOOKUP(T169,'&lt;Constants&gt;'!$B$4:$C$1020,2,FALSE),"")</f>
        <v>Imperial City</v>
      </c>
      <c r="V169" s="30" t="s">
        <v>2732</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3686</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2626</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1455</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DLCs'!$A$3:$D$99999,4,FALSE))</f>
        <v>DLC_IMPERIAL_CITY</v>
      </c>
      <c r="U170" s="3" t="str">
        <f>IF(T170&lt;&gt;"",VLOOKUP(T170,'&lt;Constants&gt;'!$B$4:$C$1020,2,FALSE),"")</f>
        <v>Imperial City</v>
      </c>
      <c r="V170" s="30" t="s">
        <v>2732</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3686</v>
      </c>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2626</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1453</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DLCs'!$A$3:$D$99999,4,FALSE))</f>
        <v>DLC_IMPERIAL_CITY</v>
      </c>
      <c r="U171" s="3" t="str">
        <f>IF(T171&lt;&gt;"",VLOOKUP(T171,'&lt;Constants&gt;'!$B$4:$C$1020,2,FALSE),"")</f>
        <v>Imperial City</v>
      </c>
      <c r="V171" s="30" t="s">
        <v>1554</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1551</v>
      </c>
      <c r="AC171" s="3" t="s">
        <v>3258</v>
      </c>
      <c r="AD171" s="3" t="s">
        <v>3259</v>
      </c>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2627</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 dropMechanicDropLocationNames={['en']={'','By mail','','','','',},['de']={'','Durch Nachricht','','','','',},}</v>
      </c>
      <c r="BI171" s="18" t="str">
        <f t="shared" si="17"/>
        <v>}, --Endurance / Beständigkeit   [Imperial City]</v>
      </c>
    </row>
    <row r="172" spans="1:61" x14ac:dyDescent="0.25">
      <c r="A172" s="11">
        <v>205</v>
      </c>
      <c r="B172" t="s">
        <v>993</v>
      </c>
      <c r="C172" t="s">
        <v>994</v>
      </c>
      <c r="D172" s="3">
        <f t="shared" si="12"/>
        <v>205</v>
      </c>
      <c r="G172" s="8" t="s">
        <v>1453</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DLCs'!$A$3:$D$99999,4,FALSE))</f>
        <v>DLC_IMPERIAL_CITY</v>
      </c>
      <c r="U172" s="3" t="str">
        <f>IF(T172&lt;&gt;"",VLOOKUP(T172,'&lt;Constants&gt;'!$B$4:$C$1020,2,FALSE),"")</f>
        <v>Imperial City</v>
      </c>
      <c r="V172" s="30" t="s">
        <v>1554</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1551</v>
      </c>
      <c r="AC172" s="38" t="s">
        <v>3258</v>
      </c>
      <c r="AD172" s="38" t="s">
        <v>3259</v>
      </c>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2627</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 dropMechanicDropLocationNames={['en']={'','By mail','','','','',},['de']={'','Durch Nachricht','','','','',},}</v>
      </c>
      <c r="BI172" s="18" t="str">
        <f t="shared" si="17"/>
        <v>}, --Willpower / Willenskraft   [Imperial City]</v>
      </c>
    </row>
    <row r="173" spans="1:61" x14ac:dyDescent="0.25">
      <c r="A173" s="11">
        <v>206</v>
      </c>
      <c r="B173" t="s">
        <v>995</v>
      </c>
      <c r="C173" t="s">
        <v>996</v>
      </c>
      <c r="D173" s="3">
        <f t="shared" si="12"/>
        <v>206</v>
      </c>
      <c r="G173" s="8" t="s">
        <v>1453</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DLCs'!$A$3:$D$99999,4,FALSE))</f>
        <v>DLC_IMPERIAL_CITY</v>
      </c>
      <c r="U173" s="3" t="str">
        <f>IF(T173&lt;&gt;"",VLOOKUP(T173,'&lt;Constants&gt;'!$B$4:$C$1020,2,FALSE),"")</f>
        <v>Imperial City</v>
      </c>
      <c r="V173" s="30" t="s">
        <v>1554</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1551</v>
      </c>
      <c r="AC173" s="3" t="s">
        <v>3258</v>
      </c>
      <c r="AD173" s="3" t="s">
        <v>3259</v>
      </c>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2627</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 dropMechanicDropLocationNames={['en']={'','By mail','','','','',},['de']={'','Durch Nachricht','','','','',},}</v>
      </c>
      <c r="BI173" s="18" t="str">
        <f t="shared" si="17"/>
        <v>}, --Agility / Agilität   [Imperial City]</v>
      </c>
    </row>
    <row r="174" spans="1:61" x14ac:dyDescent="0.25">
      <c r="A174" s="5">
        <v>207</v>
      </c>
      <c r="B174" t="s">
        <v>997</v>
      </c>
      <c r="C174" t="s">
        <v>998</v>
      </c>
      <c r="D174" s="3">
        <f t="shared" si="12"/>
        <v>207</v>
      </c>
      <c r="G174" s="8" t="s">
        <v>1451</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DLCs'!$A$3:$D$99999,4,FALSE))</f>
        <v>DLC_ORSINIUM</v>
      </c>
      <c r="U174" s="3" t="str">
        <f>IF(T174&lt;&gt;"",VLOOKUP(T174,'&lt;Constants&gt;'!$B$4:$C$1020,2,FALSE),"")</f>
        <v>Orsinium</v>
      </c>
      <c r="V174" s="30" t="s">
        <v>3256</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3256</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2627</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1451</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DLCs'!$A$3:$D$99999,4,FALSE))</f>
        <v>DLC_ORSINIUM</v>
      </c>
      <c r="U175" s="3" t="str">
        <f>IF(T175&lt;&gt;"",VLOOKUP(T175,'&lt;Constants&gt;'!$B$4:$C$1020,2,FALSE),"")</f>
        <v>Orsinium</v>
      </c>
      <c r="V175" s="30" t="s">
        <v>3256</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3256</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2627</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1451</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DLCs'!$A$3:$D$99999,4,FALSE))</f>
        <v>0</v>
      </c>
      <c r="U176" s="3" t="e">
        <f>IF(T176&lt;&gt;"",VLOOKUP(T176,'&lt;Constants&gt;'!$B$4:$C$1020,2,FALSE),"")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2626</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1457</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DLCs'!$A$3:$D$99999,4,FALSE))</f>
        <v>DLC_ORSINIUM</v>
      </c>
      <c r="U177" s="3" t="str">
        <f>IF(T177&lt;&gt;"",VLOOKUP(T177,'&lt;Constants&gt;'!$B$4:$C$1020,2,FALSE),"")</f>
        <v>Orsinium</v>
      </c>
      <c r="V177" s="30" t="s">
        <v>1534</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1535</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1536</v>
      </c>
      <c r="AI177" s="38"/>
      <c r="AJ177" s="38"/>
      <c r="AK177" s="3">
        <f>IF(AND(G177&lt;&gt;"LIBSETS_SETTYPE_BATTLEGROUND",G177&lt;&gt;"LIBSETS_SETTYPE_SPECIAL"),IF(AL177&lt;&gt;"",VLOOKUP(AL177,'ESO zones'!$D$5:$H$4958,5,FALSE),""),"")</f>
        <v>684</v>
      </c>
      <c r="AL177" t="s">
        <v>448</v>
      </c>
      <c r="AM177" s="30" t="s">
        <v>1537</v>
      </c>
      <c r="AN177" s="38"/>
      <c r="AO177" s="38"/>
      <c r="AP177" s="3">
        <f>IF(AND(G177&lt;&gt;"LIBSETS_SETTYPE_BATTLEGROUND",G177&lt;&gt;"LIBSETS_SETTYPE_SPECIAL"),IF(AQ177&lt;&gt;"",VLOOKUP(AQ177,'ESO zones'!$D$5:$H$4958,5,FALSE),""),"")</f>
        <v>684</v>
      </c>
      <c r="AQ177" t="s">
        <v>448</v>
      </c>
      <c r="AR177" s="118" t="s">
        <v>3193</v>
      </c>
      <c r="AS177" s="38"/>
      <c r="AT177" s="38"/>
      <c r="AU177" s="3" t="str">
        <f>IF(AND(G177&lt;&gt;"LIBSETS_SETTYPE_BATTLEGROUND",G177&lt;&gt;"LIBSETS_SETTYPE_SPECIAL"),IF(AV177&lt;&gt;"",VLOOKUP(AV177,'ESO zones'!$D$5:$H$4958,5,FALSE),""),"")</f>
        <v/>
      </c>
      <c r="AX177" s="38"/>
      <c r="AY177" s="38"/>
      <c r="AZ177" s="72" t="s">
        <v>2627</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1449</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DLCs'!$A$3:$D$99999,4,FALSE))</f>
        <v>DLC_ORSINIUM</v>
      </c>
      <c r="U178" s="3" t="str">
        <f>IF(T178&lt;&gt;"",VLOOKUP(T178,'&lt;Constants&gt;'!$B$4:$C$1020,2,FALSE),"")</f>
        <v>Orsinium</v>
      </c>
      <c r="V178" s="30" t="s">
        <v>1530</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1530</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2627</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1457</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DLCs'!$A$3:$D$99999,4,FALSE))</f>
        <v>DLC_ORSINIUM</v>
      </c>
      <c r="U179" s="3" t="str">
        <f>IF(T179&lt;&gt;"",VLOOKUP(T179,'&lt;Constants&gt;'!$B$4:$C$1020,2,FALSE),"")</f>
        <v>Orsinium</v>
      </c>
      <c r="V179" s="30" t="s">
        <v>1534</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1535</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1536</v>
      </c>
      <c r="AI179" s="38"/>
      <c r="AJ179" s="38"/>
      <c r="AK179" s="3">
        <f>IF(AND(G179&lt;&gt;"LIBSETS_SETTYPE_BATTLEGROUND",G179&lt;&gt;"LIBSETS_SETTYPE_SPECIAL"),IF(AL179&lt;&gt;"",VLOOKUP(AL179,'ESO zones'!$D$5:$H$4958,5,FALSE),""),"")</f>
        <v>684</v>
      </c>
      <c r="AL179" t="s">
        <v>448</v>
      </c>
      <c r="AM179" s="30" t="s">
        <v>1537</v>
      </c>
      <c r="AN179" s="38"/>
      <c r="AO179" s="38"/>
      <c r="AP179" s="3">
        <f>IF(AND(G179&lt;&gt;"LIBSETS_SETTYPE_BATTLEGROUND",G179&lt;&gt;"LIBSETS_SETTYPE_SPECIAL"),IF(AQ179&lt;&gt;"",VLOOKUP(AQ179,'ESO zones'!$D$5:$H$4958,5,FALSE),""),"")</f>
        <v>684</v>
      </c>
      <c r="AQ179" t="s">
        <v>448</v>
      </c>
      <c r="AR179" s="118" t="s">
        <v>3193</v>
      </c>
      <c r="AS179" s="38"/>
      <c r="AT179" s="38"/>
      <c r="AU179" s="3" t="str">
        <f>IF(AND(G179&lt;&gt;"LIBSETS_SETTYPE_BATTLEGROUND",G179&lt;&gt;"LIBSETS_SETTYPE_SPECIAL"),IF(AV179&lt;&gt;"",VLOOKUP(AV179,'ESO zones'!$D$5:$H$4958,5,FALSE),""),"")</f>
        <v/>
      </c>
      <c r="AX179" s="38"/>
      <c r="AY179" s="38"/>
      <c r="AZ179" s="72" t="s">
        <v>2626</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1449</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DLCs'!$A$3:$D$99999,4,FALSE))</f>
        <v>DLC_ORSINIUM</v>
      </c>
      <c r="U180" s="3" t="str">
        <f>IF(T180&lt;&gt;"",VLOOKUP(T180,'&lt;Constants&gt;'!$B$4:$C$1020,2,FALSE),"")</f>
        <v>Orsinium</v>
      </c>
      <c r="V180" s="30" t="s">
        <v>1530</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1530</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2626</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1449</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DLCs'!$A$3:$D$99999,4,FALSE))</f>
        <v>DLC_ORSINIUM</v>
      </c>
      <c r="U181" s="3" t="str">
        <f>IF(T181&lt;&gt;"",VLOOKUP(T181,'&lt;Constants&gt;'!$B$4:$C$1020,2,FALSE),"")</f>
        <v>Orsinium</v>
      </c>
      <c r="V181" s="30" t="s">
        <v>1530</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1530</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2626</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1449</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DLCs'!$A$3:$D$99999,4,FALSE))</f>
        <v>DLC_ORSINIUM</v>
      </c>
      <c r="U182" s="3" t="str">
        <f>IF(T182&lt;&gt;"",VLOOKUP(T182,'&lt;Constants&gt;'!$B$4:$C$1020,2,FALSE),"")</f>
        <v>Orsinium</v>
      </c>
      <c r="V182" s="30" t="s">
        <v>1530</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1530</v>
      </c>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2626</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1449</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DLCs'!$A$3:$D$99999,4,FALSE))</f>
        <v>DLC_ORSINIUM</v>
      </c>
      <c r="U183" s="3" t="str">
        <f>IF(T183&lt;&gt;"",VLOOKUP(T183,'&lt;Constants&gt;'!$B$4:$C$1020,2,FALSE),"")</f>
        <v>Orsinium</v>
      </c>
      <c r="V183" s="30" t="s">
        <v>1530</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1530</v>
      </c>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2626</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1449</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DLCs'!$A$3:$D$99999,4,FALSE))</f>
        <v>DLC_ORSINIUM</v>
      </c>
      <c r="U184" s="3" t="str">
        <f>IF(T184&lt;&gt;"",VLOOKUP(T184,'&lt;Constants&gt;'!$B$4:$C$1020,2,FALSE),"")</f>
        <v>Orsinium</v>
      </c>
      <c r="V184" s="30" t="s">
        <v>1530</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1530</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2626</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2556</v>
      </c>
      <c r="D185" s="3">
        <f t="shared" si="12"/>
        <v>218</v>
      </c>
      <c r="G185" s="8" t="s">
        <v>1457</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DLCs'!$A$3:$D$99999,4,FALSE))</f>
        <v>DLC_ORSINIUM</v>
      </c>
      <c r="U185" s="3" t="str">
        <f>IF(T185&lt;&gt;"",VLOOKUP(T185,'&lt;Constants&gt;'!$B$4:$C$1020,2,FALSE),"")</f>
        <v>Orsinium</v>
      </c>
      <c r="V185" s="30" t="s">
        <v>1534</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1535</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1536</v>
      </c>
      <c r="AI185" s="38"/>
      <c r="AJ185" s="38"/>
      <c r="AK185" s="3">
        <f>IF(AND(G185&lt;&gt;"LIBSETS_SETTYPE_BATTLEGROUND",G185&lt;&gt;"LIBSETS_SETTYPE_SPECIAL"),IF(AL185&lt;&gt;"",VLOOKUP(AL185,'ESO zones'!$D$5:$H$4958,5,FALSE),""),"")</f>
        <v>684</v>
      </c>
      <c r="AL185" t="s">
        <v>448</v>
      </c>
      <c r="AM185" s="30" t="s">
        <v>1537</v>
      </c>
      <c r="AN185" s="38"/>
      <c r="AO185" s="38"/>
      <c r="AP185" s="3">
        <f>IF(AND(G185&lt;&gt;"LIBSETS_SETTYPE_BATTLEGROUND",G185&lt;&gt;"LIBSETS_SETTYPE_SPECIAL"),IF(AQ185&lt;&gt;"",VLOOKUP(AQ185,'ESO zones'!$D$5:$H$4958,5,FALSE),""),"")</f>
        <v>684</v>
      </c>
      <c r="AQ185" t="s">
        <v>448</v>
      </c>
      <c r="AR185" s="118" t="s">
        <v>3193</v>
      </c>
      <c r="AS185" s="38"/>
      <c r="AT185" s="38"/>
      <c r="AU185" s="3" t="str">
        <f>IF(AND(G185&lt;&gt;"LIBSETS_SETTYPE_BATTLEGROUND",G185&lt;&gt;"LIBSETS_SETTYPE_SPECIAL"),IF(AV185&lt;&gt;"",VLOOKUP(AV185,'ESO zones'!$D$5:$H$4958,5,FALSE),""),"")</f>
        <v/>
      </c>
      <c r="AX185" s="38"/>
      <c r="AY185" s="38"/>
      <c r="AZ185" s="72" t="s">
        <v>2626</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1451</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DLCs'!$A$3:$D$99999,4,FALSE))</f>
        <v>DLC_ORSINIUM</v>
      </c>
      <c r="U186" s="3" t="str">
        <f>IF(T186&lt;&gt;"",VLOOKUP(T186,'&lt;Constants&gt;'!$B$4:$C$1020,2,FALSE),"")</f>
        <v>Orsinium</v>
      </c>
      <c r="V186" s="30" t="s">
        <v>3256</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3256</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2626</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2557</v>
      </c>
      <c r="D187" s="3">
        <f t="shared" si="12"/>
        <v>224</v>
      </c>
      <c r="G187" s="8" t="s">
        <v>1451</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DLCs'!$A$3:$D$99999,4,FALSE))</f>
        <v>DLC_THIEVES_GUILD</v>
      </c>
      <c r="U187" s="3" t="str">
        <f>IF(T187&lt;&gt;"",VLOOKUP(T187,'&lt;Constants&gt;'!$B$4:$C$1020,2,FALSE),"")</f>
        <v>Thieves Guild</v>
      </c>
      <c r="V187" s="30" t="s">
        <v>3256</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3256</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2626</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1451</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DLCs'!$A$3:$D$99999,4,FALSE))</f>
        <v>DLC_THIEVES_GUILD</v>
      </c>
      <c r="U188" s="3" t="str">
        <f>IF(T188&lt;&gt;"",VLOOKUP(T188,'&lt;Constants&gt;'!$B$4:$C$1020,2,FALSE),"")</f>
        <v>Thieves Guild</v>
      </c>
      <c r="V188" s="30" t="s">
        <v>3256</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3256</v>
      </c>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2626</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1451</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DLCs'!$A$3:$D$99999,4,FALSE))</f>
        <v>DLC_THIEVES_GUILD</v>
      </c>
      <c r="U189" s="3" t="str">
        <f>IF(T189&lt;&gt;"",VLOOKUP(T189,'&lt;Constants&gt;'!$B$4:$C$1020,2,FALSE),"")</f>
        <v>Thieves Guild</v>
      </c>
      <c r="V189" s="30" t="s">
        <v>3256</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3256</v>
      </c>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2626</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2558</v>
      </c>
      <c r="D190" s="3">
        <f t="shared" si="12"/>
        <v>227</v>
      </c>
      <c r="E190" s="37"/>
      <c r="G190" s="8" t="s">
        <v>1457</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DLCs'!$A$3:$D$99999,4,FALSE))</f>
        <v>DLC_THIEVES_GUILD</v>
      </c>
      <c r="U190" s="3" t="str">
        <f>IF(T190&lt;&gt;"",VLOOKUP(T190,'&lt;Constants&gt;'!$B$4:$C$1020,2,FALSE),"")</f>
        <v>Thieves Guild</v>
      </c>
      <c r="V190" s="30" t="s">
        <v>1534</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1535</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1537</v>
      </c>
      <c r="AI190" s="38"/>
      <c r="AJ190" s="38"/>
      <c r="AK190" s="3">
        <f>IF(AND(G190&lt;&gt;"LIBSETS_SETTYPE_BATTLEGROUND",G190&lt;&gt;"LIBSETS_SETTYPE_SPECIAL"),IF(AL190&lt;&gt;"",VLOOKUP(AL190,'ESO zones'!$D$5:$H$4958,5,FALSE),""),"")</f>
        <v>816</v>
      </c>
      <c r="AL190" t="s">
        <v>505</v>
      </c>
      <c r="AM190" s="39" t="s">
        <v>3193</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2627</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2559</v>
      </c>
      <c r="D191" s="3">
        <f t="shared" si="12"/>
        <v>228</v>
      </c>
      <c r="G191" s="8" t="s">
        <v>1457</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DLCs'!$A$3:$D$99999,4,FALSE))</f>
        <v>DLC_THIEVES_GUILD</v>
      </c>
      <c r="U191" s="3" t="str">
        <f>IF(T191&lt;&gt;"",VLOOKUP(T191,'&lt;Constants&gt;'!$B$4:$C$1020,2,FALSE),"")</f>
        <v>Thieves Guild</v>
      </c>
      <c r="V191" s="30" t="s">
        <v>1534</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1535</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1537</v>
      </c>
      <c r="AI191" s="38"/>
      <c r="AJ191" s="38"/>
      <c r="AK191" s="3">
        <f>IF(AND(G191&lt;&gt;"LIBSETS_SETTYPE_BATTLEGROUND",G191&lt;&gt;"LIBSETS_SETTYPE_SPECIAL"),IF(AL191&lt;&gt;"",VLOOKUP(AL191,'ESO zones'!$D$5:$H$4958,5,FALSE),""),"")</f>
        <v>816</v>
      </c>
      <c r="AL191" t="s">
        <v>505</v>
      </c>
      <c r="AM191" s="39" t="s">
        <v>3193</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2627</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1458</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DLCs'!$A$3:$D$99999,4,FALSE))</f>
        <v>DLC_THIEVES_GUILD</v>
      </c>
      <c r="U192" s="3" t="str">
        <f>IF(T192&lt;&gt;"",VLOOKUP(T192,'&lt;Constants&gt;'!$B$4:$C$1020,2,FALSE),"")</f>
        <v>Thieves Guild</v>
      </c>
      <c r="V192" s="30" t="s">
        <v>3234</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3234</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3234</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2626</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1458</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DLCs'!$A$3:$D$99999,4,FALSE))</f>
        <v>DLC_THIEVES_GUILD</v>
      </c>
      <c r="U193" s="3" t="str">
        <f>IF(T193&lt;&gt;"",VLOOKUP(T193,'&lt;Constants&gt;'!$B$4:$C$1020,2,FALSE),"")</f>
        <v>Thieves Guild</v>
      </c>
      <c r="V193" s="30" t="s">
        <v>3234</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3234</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3234</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2626</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1458</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DLCs'!$A$3:$D$99999,4,FALSE))</f>
        <v>DLC_THIEVES_GUILD</v>
      </c>
      <c r="U194" s="3" t="str">
        <f>IF(T194&lt;&gt;"",VLOOKUP(T194,'&lt;Constants&gt;'!$B$4:$C$1020,2,FALSE),"")</f>
        <v>Thieves Guild</v>
      </c>
      <c r="V194" s="30" t="s">
        <v>3234</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3234</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3234</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2626</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1458</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DLCs'!$A$3:$D$99999,4,FALSE))</f>
        <v>DLC_THIEVES_GUILD</v>
      </c>
      <c r="U195" s="3" t="str">
        <f>IF(T195&lt;&gt;"",VLOOKUP(T195,'&lt;Constants&gt;'!$B$4:$C$1020,2,FALSE),"")</f>
        <v>Thieves Guild</v>
      </c>
      <c r="V195" s="30" t="s">
        <v>3234</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3234</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3234</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2626</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2560</v>
      </c>
      <c r="D196" s="3">
        <f t="shared" si="18"/>
        <v>234</v>
      </c>
      <c r="G196" s="8" t="s">
        <v>1452</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DLCs'!$A$3:$D$99999,4,FALSE))</f>
        <v>DLC_BASE_GAME</v>
      </c>
      <c r="U196" s="3" t="str">
        <f>IF(T196&lt;&gt;"",VLOOKUP(T196,'&lt;Constants&gt;'!$B$4:$C$1020,2,FALSE),"")</f>
        <v>Included in base game</v>
      </c>
      <c r="V196" s="30" t="s">
        <v>1515</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3681</v>
      </c>
      <c r="AE196" s="125">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2736</v>
      </c>
      <c r="AK196" s="3">
        <f>IF(AND(G196&lt;&gt;"LIBSETS_SETTYPE_BATTLEGROUND",G196&lt;&gt;"LIBSETS_SETTYPE_SPECIAL"),IF(AL196&lt;&gt;"",VLOOKUP(AL196,'ESO zones'!$D$5:$H$4958,5,FALSE),""),"")</f>
        <v>181</v>
      </c>
      <c r="AL196" t="s">
        <v>124</v>
      </c>
      <c r="AM196" s="30" t="s">
        <v>3684</v>
      </c>
      <c r="AP196" s="3">
        <f>IF(AND(G196&lt;&gt;"LIBSETS_SETTYPE_BATTLEGROUND",G196&lt;&gt;"LIBSETS_SETTYPE_SPECIAL"),IF(AQ196&lt;&gt;"",VLOOKUP(AQ196,'ESO zones'!$D$5:$H$4958,5,FALSE),""),"")</f>
        <v>181</v>
      </c>
      <c r="AQ196" t="s">
        <v>124</v>
      </c>
      <c r="AR196" s="30" t="s">
        <v>1534</v>
      </c>
      <c r="AU196" s="3">
        <f>IF(AND(G196&lt;&gt;"LIBSETS_SETTYPE_BATTLEGROUND",G196&lt;&gt;"LIBSETS_SETTYPE_SPECIAL"),IF(AV196&lt;&gt;"",VLOOKUP(AV196,'ESO zones'!$D$5:$H$4958,5,FALSE),""),"")</f>
        <v>181</v>
      </c>
      <c r="AV196" t="s">
        <v>124</v>
      </c>
      <c r="AW196" s="30" t="s">
        <v>3205</v>
      </c>
      <c r="AZ196" s="72" t="s">
        <v>2627</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1452</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DLCs'!$A$3:$D$99999,4,FALSE))</f>
        <v>DLC_BASE_GAME</v>
      </c>
      <c r="U197" s="3" t="str">
        <f>IF(T197&lt;&gt;"",VLOOKUP(T197,'&lt;Constants&gt;'!$B$4:$C$1020,2,FALSE),"")</f>
        <v>Included in base game</v>
      </c>
      <c r="V197" s="30" t="s">
        <v>1515</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3681</v>
      </c>
      <c r="AE197" s="125">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2736</v>
      </c>
      <c r="AK197" s="3">
        <f>IF(AND(G197&lt;&gt;"LIBSETS_SETTYPE_BATTLEGROUND",G197&lt;&gt;"LIBSETS_SETTYPE_SPECIAL"),IF(AL197&lt;&gt;"",VLOOKUP(AL197,'ESO zones'!$D$5:$H$4958,5,FALSE),""),"")</f>
        <v>181</v>
      </c>
      <c r="AL197" t="s">
        <v>124</v>
      </c>
      <c r="AM197" s="30" t="s">
        <v>3684</v>
      </c>
      <c r="AP197" s="3">
        <f>IF(AND(G197&lt;&gt;"LIBSETS_SETTYPE_BATTLEGROUND",G197&lt;&gt;"LIBSETS_SETTYPE_SPECIAL"),IF(AQ197&lt;&gt;"",VLOOKUP(AQ197,'ESO zones'!$D$5:$H$4958,5,FALSE),""),"")</f>
        <v>181</v>
      </c>
      <c r="AQ197" t="s">
        <v>124</v>
      </c>
      <c r="AR197" s="30" t="s">
        <v>1534</v>
      </c>
      <c r="AU197" s="3">
        <f>IF(AND(G197&lt;&gt;"LIBSETS_SETTYPE_BATTLEGROUND",G197&lt;&gt;"LIBSETS_SETTYPE_SPECIAL"),IF(AV197&lt;&gt;"",VLOOKUP(AV197,'ESO zones'!$D$5:$H$4958,5,FALSE),""),"")</f>
        <v>181</v>
      </c>
      <c r="AV197" t="s">
        <v>124</v>
      </c>
      <c r="AW197" s="30" t="s">
        <v>3205</v>
      </c>
      <c r="AZ197" s="72" t="s">
        <v>2626</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1452</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DLCs'!$A$3:$D$99999,4,FALSE))</f>
        <v>DLC_BASE_GAME</v>
      </c>
      <c r="U198" s="3" t="str">
        <f>IF(T198&lt;&gt;"",VLOOKUP(T198,'&lt;Constants&gt;'!$B$4:$C$1020,2,FALSE),"")</f>
        <v>Included in base game</v>
      </c>
      <c r="V198" s="30" t="s">
        <v>2736</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3681</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2736</v>
      </c>
      <c r="AI198" s="38"/>
      <c r="AJ198" s="38"/>
      <c r="AK198" s="3">
        <f>IF(AND(G198&lt;&gt;"LIBSETS_SETTYPE_BATTLEGROUND",G198&lt;&gt;"LIBSETS_SETTYPE_SPECIAL"),IF(AL198&lt;&gt;"",VLOOKUP(AL198,'ESO zones'!$D$5:$H$4958,5,FALSE),""),"")</f>
        <v>181</v>
      </c>
      <c r="AL198" t="s">
        <v>124</v>
      </c>
      <c r="AM198" s="30" t="s">
        <v>3684</v>
      </c>
      <c r="AN198" s="38"/>
      <c r="AO198" s="38"/>
      <c r="AP198" s="3">
        <f>IF(AND(G198&lt;&gt;"LIBSETS_SETTYPE_BATTLEGROUND",G198&lt;&gt;"LIBSETS_SETTYPE_SPECIAL"),IF(AQ198&lt;&gt;"",VLOOKUP(AQ198,'ESO zones'!$D$5:$H$4958,5,FALSE),""),"")</f>
        <v>181</v>
      </c>
      <c r="AQ198" t="s">
        <v>124</v>
      </c>
      <c r="AR198" s="30" t="s">
        <v>1534</v>
      </c>
      <c r="AS198" s="38"/>
      <c r="AT198" s="38"/>
      <c r="AU198" s="3">
        <f>IF(AND(G198&lt;&gt;"LIBSETS_SETTYPE_BATTLEGROUND",G198&lt;&gt;"LIBSETS_SETTYPE_SPECIAL"),IF(AV198&lt;&gt;"",VLOOKUP(AV198,'ESO zones'!$D$5:$H$4958,5,FALSE),""),"")</f>
        <v>181</v>
      </c>
      <c r="AV198" t="s">
        <v>124</v>
      </c>
      <c r="AW198" s="30" t="s">
        <v>3205</v>
      </c>
      <c r="AX198" s="38"/>
      <c r="AY198" s="38"/>
      <c r="AZ198" s="72" t="s">
        <v>2626</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2561</v>
      </c>
      <c r="D199" s="3">
        <f t="shared" si="18"/>
        <v>237</v>
      </c>
      <c r="G199" s="8" t="s">
        <v>1452</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DLCs'!$A$3:$D$99999,4,FALSE))</f>
        <v>DLC_BASE_GAME</v>
      </c>
      <c r="U199" s="3" t="str">
        <f>IF(T199&lt;&gt;"",VLOOKUP(T199,'&lt;Constants&gt;'!$B$4:$C$1020,2,FALSE),"")</f>
        <v>Included in base game</v>
      </c>
      <c r="V199" s="30" t="s">
        <v>1515</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3681</v>
      </c>
      <c r="AC199" s="38"/>
      <c r="AD199" s="38"/>
      <c r="AE199" s="125">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2736</v>
      </c>
      <c r="AK199" s="3">
        <f>IF(AND(G199&lt;&gt;"LIBSETS_SETTYPE_BATTLEGROUND",G199&lt;&gt;"LIBSETS_SETTYPE_SPECIAL"),IF(AL199&lt;&gt;"",VLOOKUP(AL199,'ESO zones'!$D$5:$H$4958,5,FALSE),""),"")</f>
        <v>181</v>
      </c>
      <c r="AL199" t="s">
        <v>124</v>
      </c>
      <c r="AM199" s="30" t="s">
        <v>3684</v>
      </c>
      <c r="AP199" s="3">
        <f>IF(AND(G199&lt;&gt;"LIBSETS_SETTYPE_BATTLEGROUND",G199&lt;&gt;"LIBSETS_SETTYPE_SPECIAL"),IF(AQ199&lt;&gt;"",VLOOKUP(AQ199,'ESO zones'!$D$5:$H$4958,5,FALSE),""),"")</f>
        <v>181</v>
      </c>
      <c r="AQ199" t="s">
        <v>124</v>
      </c>
      <c r="AR199" s="30" t="s">
        <v>1534</v>
      </c>
      <c r="AU199" s="3">
        <f>IF(AND(G199&lt;&gt;"LIBSETS_SETTYPE_BATTLEGROUND",G199&lt;&gt;"LIBSETS_SETTYPE_SPECIAL"),IF(AV199&lt;&gt;"",VLOOKUP(AV199,'ESO zones'!$D$5:$H$4958,5,FALSE),""),"")</f>
        <v>181</v>
      </c>
      <c r="AV199" t="s">
        <v>124</v>
      </c>
      <c r="AW199" s="30" t="s">
        <v>3205</v>
      </c>
      <c r="AZ199" s="72" t="s">
        <v>2627</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2562</v>
      </c>
      <c r="D200" s="3">
        <f t="shared" si="18"/>
        <v>238</v>
      </c>
      <c r="G200" s="8" t="s">
        <v>1452</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DLCs'!$A$3:$D$99999,4,FALSE))</f>
        <v>DLC_BASE_GAME</v>
      </c>
      <c r="U200" s="3" t="str">
        <f>IF(T200&lt;&gt;"",VLOOKUP(T200,'&lt;Constants&gt;'!$B$4:$C$1020,2,FALSE),"")</f>
        <v>Included in base game</v>
      </c>
      <c r="V200" s="30" t="s">
        <v>1515</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3681</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2736</v>
      </c>
      <c r="AK200" s="3">
        <f>IF(AND(G200&lt;&gt;"LIBSETS_SETTYPE_BATTLEGROUND",G200&lt;&gt;"LIBSETS_SETTYPE_SPECIAL"),IF(AL200&lt;&gt;"",VLOOKUP(AL200,'ESO zones'!$D$5:$H$4958,5,FALSE),""),"")</f>
        <v>181</v>
      </c>
      <c r="AL200" t="s">
        <v>124</v>
      </c>
      <c r="AM200" s="30" t="s">
        <v>3684</v>
      </c>
      <c r="AP200" s="3">
        <f>IF(AND(G200&lt;&gt;"LIBSETS_SETTYPE_BATTLEGROUND",G200&lt;&gt;"LIBSETS_SETTYPE_SPECIAL"),IF(AQ200&lt;&gt;"",VLOOKUP(AQ200,'ESO zones'!$D$5:$H$4958,5,FALSE),""),"")</f>
        <v>181</v>
      </c>
      <c r="AQ200" t="s">
        <v>124</v>
      </c>
      <c r="AR200" s="30" t="s">
        <v>1534</v>
      </c>
      <c r="AU200" s="3">
        <f>IF(AND(G200&lt;&gt;"LIBSETS_SETTYPE_BATTLEGROUND",G200&lt;&gt;"LIBSETS_SETTYPE_SPECIAL"),IF(AV200&lt;&gt;"",VLOOKUP(AV200,'ESO zones'!$D$5:$H$4958,5,FALSE),""),"")</f>
        <v>181</v>
      </c>
      <c r="AV200" t="s">
        <v>124</v>
      </c>
      <c r="AW200" s="30" t="s">
        <v>3205</v>
      </c>
      <c r="AZ200" s="72" t="s">
        <v>2626</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2563</v>
      </c>
      <c r="D201" s="3">
        <f t="shared" si="18"/>
        <v>239</v>
      </c>
      <c r="G201" s="8" t="s">
        <v>1452</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DLCs'!$A$3:$D$99999,4,FALSE))</f>
        <v>DLC_BASE_GAME</v>
      </c>
      <c r="U201" s="3" t="str">
        <f>IF(T201&lt;&gt;"",VLOOKUP(T201,'&lt;Constants&gt;'!$B$4:$C$1020,2,FALSE),"")</f>
        <v>Included in base game</v>
      </c>
      <c r="V201" s="30" t="s">
        <v>1515</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3681</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2736</v>
      </c>
      <c r="AI201" s="38"/>
      <c r="AJ201" s="38"/>
      <c r="AK201" s="3">
        <f>IF(AND(G201&lt;&gt;"LIBSETS_SETTYPE_BATTLEGROUND",G201&lt;&gt;"LIBSETS_SETTYPE_SPECIAL"),IF(AL201&lt;&gt;"",VLOOKUP(AL201,'ESO zones'!$D$5:$H$4958,5,FALSE),""),"")</f>
        <v>181</v>
      </c>
      <c r="AL201" t="s">
        <v>124</v>
      </c>
      <c r="AM201" s="30" t="s">
        <v>3684</v>
      </c>
      <c r="AN201" s="38"/>
      <c r="AO201" s="38"/>
      <c r="AP201" s="3">
        <f>IF(AND(G201&lt;&gt;"LIBSETS_SETTYPE_BATTLEGROUND",G201&lt;&gt;"LIBSETS_SETTYPE_SPECIAL"),IF(AQ201&lt;&gt;"",VLOOKUP(AQ201,'ESO zones'!$D$5:$H$4958,5,FALSE),""),"")</f>
        <v>181</v>
      </c>
      <c r="AQ201" t="s">
        <v>124</v>
      </c>
      <c r="AR201" s="30" t="s">
        <v>1534</v>
      </c>
      <c r="AS201" s="38"/>
      <c r="AT201" s="38"/>
      <c r="AU201" s="3">
        <f>IF(AND(G201&lt;&gt;"LIBSETS_SETTYPE_BATTLEGROUND",G201&lt;&gt;"LIBSETS_SETTYPE_SPECIAL"),IF(AV201&lt;&gt;"",VLOOKUP(AV201,'ESO zones'!$D$5:$H$4958,5,FALSE),""),"")</f>
        <v>181</v>
      </c>
      <c r="AV201" t="s">
        <v>124</v>
      </c>
      <c r="AW201" s="30" t="s">
        <v>3205</v>
      </c>
      <c r="AX201" s="38"/>
      <c r="AY201" s="38"/>
      <c r="AZ201" s="72" t="s">
        <v>2626</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1451</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DLCs'!$A$3:$D$99999,4,FALSE))</f>
        <v>DLC_DARK_BROTHERHOOD</v>
      </c>
      <c r="U202" s="3" t="str">
        <f>IF(T202&lt;&gt;"",VLOOKUP(T202,'&lt;Constants&gt;'!$B$4:$C$1020,2,FALSE),"")</f>
        <v>Dark Brotherhood</v>
      </c>
      <c r="V202" s="30" t="s">
        <v>3256</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3256</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2627</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2564</v>
      </c>
      <c r="D203" s="3">
        <f t="shared" si="18"/>
        <v>241</v>
      </c>
      <c r="G203" s="8" t="s">
        <v>1451</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DLCs'!$A$3:$D$99999,4,FALSE))</f>
        <v>DLC_DARK_BROTHERHOOD</v>
      </c>
      <c r="U203" s="3" t="str">
        <f>IF(T203&lt;&gt;"",VLOOKUP(T203,'&lt;Constants&gt;'!$B$4:$C$1020,2,FALSE),"")</f>
        <v>Dark Brotherhood</v>
      </c>
      <c r="V203" s="30" t="s">
        <v>3256</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3256</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2626</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4294</v>
      </c>
      <c r="D204" s="3">
        <f t="shared" si="18"/>
        <v>242</v>
      </c>
      <c r="G204" s="8" t="s">
        <v>1451</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DLCs'!$A$3:$D$99999,4,FALSE))</f>
        <v>DLC_DARK_BROTHERHOOD</v>
      </c>
      <c r="U204" s="3" t="str">
        <f>IF(T204&lt;&gt;"",VLOOKUP(T204,'&lt;Constants&gt;'!$B$4:$C$1020,2,FALSE),"")</f>
        <v>Dark Brotherhood</v>
      </c>
      <c r="V204" s="30" t="s">
        <v>3256</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3256</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2626</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1457</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DLCs'!$A$3:$D$99999,4,FALSE))</f>
        <v>DLC_DARK_BROTHERHOOD</v>
      </c>
      <c r="U205" s="3" t="str">
        <f>IF(T205&lt;&gt;"",VLOOKUP(T205,'&lt;Constants&gt;'!$B$4:$C$1020,2,FALSE),"")</f>
        <v>Dark Brotherhood</v>
      </c>
      <c r="V205" s="30" t="s">
        <v>1534</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1535</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1537</v>
      </c>
      <c r="AI205" s="38"/>
      <c r="AJ205" s="38"/>
      <c r="AK205" s="3">
        <f>IF(AND(G205&lt;&gt;"LIBSETS_SETTYPE_BATTLEGROUND",G205&lt;&gt;"LIBSETS_SETTYPE_SPECIAL"),IF(AL205&lt;&gt;"",VLOOKUP(AL205,'ESO zones'!$D$5:$H$4958,5,FALSE),""),"")</f>
        <v>823</v>
      </c>
      <c r="AL205" t="s">
        <v>511</v>
      </c>
      <c r="AM205" s="39" t="s">
        <v>3193</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2626</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1457</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DLCs'!$A$3:$D$99999,4,FALSE))</f>
        <v>DLC_DARK_BROTHERHOOD</v>
      </c>
      <c r="U206" s="3" t="str">
        <f>IF(T206&lt;&gt;"",VLOOKUP(T206,'&lt;Constants&gt;'!$B$4:$C$1020,2,FALSE),"")</f>
        <v>Dark Brotherhood</v>
      </c>
      <c r="V206" s="30" t="s">
        <v>1534</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1535</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1537</v>
      </c>
      <c r="AI206" s="38"/>
      <c r="AJ206" s="38"/>
      <c r="AK206" s="3">
        <f>IF(AND(G206&lt;&gt;"LIBSETS_SETTYPE_BATTLEGROUND",G206&lt;&gt;"LIBSETS_SETTYPE_SPECIAL"),IF(AL206&lt;&gt;"",VLOOKUP(AL206,'ESO zones'!$D$5:$H$4958,5,FALSE),""),"")</f>
        <v>823</v>
      </c>
      <c r="AL206" t="s">
        <v>511</v>
      </c>
      <c r="AM206" s="39" t="s">
        <v>3193</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2627</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2565</v>
      </c>
      <c r="D207" s="3">
        <f t="shared" si="18"/>
        <v>245</v>
      </c>
      <c r="G207" s="8" t="s">
        <v>1457</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DLCs'!$A$3:$D$99999,4,FALSE))</f>
        <v>DLC_DARK_BROTHERHOOD</v>
      </c>
      <c r="U207" s="3" t="str">
        <f>IF(T207&lt;&gt;"",VLOOKUP(T207,'&lt;Constants&gt;'!$B$4:$C$1020,2,FALSE),"")</f>
        <v>Dark Brotherhood</v>
      </c>
      <c r="V207" s="30" t="s">
        <v>1534</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1535</v>
      </c>
      <c r="AC207" s="36"/>
      <c r="AD207" s="36"/>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1537</v>
      </c>
      <c r="AI207" s="36"/>
      <c r="AJ207" s="36"/>
      <c r="AK207" s="3">
        <f>IF(AND(G207&lt;&gt;"LIBSETS_SETTYPE_BATTLEGROUND",G207&lt;&gt;"LIBSETS_SETTYPE_SPECIAL"),IF(AL207&lt;&gt;"",VLOOKUP(AL207,'ESO zones'!$D$5:$H$4958,5,FALSE),""),"")</f>
        <v>823</v>
      </c>
      <c r="AL207" t="s">
        <v>511</v>
      </c>
      <c r="AM207" s="39" t="s">
        <v>3193</v>
      </c>
      <c r="AP207" s="3">
        <f>IF(AND(G207&lt;&gt;"LIBSETS_SETTYPE_BATTLEGROUND",G207&lt;&gt;"LIBSETS_SETTYPE_SPECIAL"),IF(AQ207&lt;&gt;"",VLOOKUP(AQ207,'ESO zones'!$D$5:$H$4958,5,FALSE),""),"")</f>
        <v>823</v>
      </c>
      <c r="AQ207" t="s">
        <v>511</v>
      </c>
      <c r="AR207" s="3" t="s">
        <v>3182</v>
      </c>
      <c r="AS207" s="36" t="s">
        <v>3691</v>
      </c>
      <c r="AT207" s="36" t="s">
        <v>3692</v>
      </c>
      <c r="AU207" s="3" t="str">
        <f>IF(AND(G207&lt;&gt;"LIBSETS_SETTYPE_BATTLEGROUND",G207&lt;&gt;"LIBSETS_SETTYPE_SPECIAL"),IF(AV207&lt;&gt;"",VLOOKUP(AV207,'ESO zones'!$D$5:$H$4958,5,FALSE),""),"")</f>
        <v/>
      </c>
      <c r="AX207" s="36"/>
      <c r="AY207" s="36"/>
      <c r="AZ207" s="72" t="s">
        <v>2626</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2566</v>
      </c>
      <c r="D208" s="3">
        <f t="shared" si="18"/>
        <v>246</v>
      </c>
      <c r="G208" s="8" t="s">
        <v>1455</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DLCs'!$A$3:$D$99999,4,FALSE))</f>
        <v>DLC_IMPERIAL_CITY</v>
      </c>
      <c r="U208" s="3" t="str">
        <f>IF(T208&lt;&gt;"",VLOOKUP(T208,'&lt;Constants&gt;'!$B$4:$C$1020,2,FALSE),"")</f>
        <v>Imperial City</v>
      </c>
      <c r="V208" s="30" t="s">
        <v>2732</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3686</v>
      </c>
      <c r="AC208" s="36"/>
      <c r="AD208" s="36"/>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2626</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1455</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DLCs'!$A$3:$D$99999,4,FALSE))</f>
        <v>DLC_IMPERIAL_CITY</v>
      </c>
      <c r="U209" s="3" t="str">
        <f>IF(T209&lt;&gt;"",VLOOKUP(T209,'&lt;Constants&gt;'!$B$4:$C$1020,2,FALSE),"")</f>
        <v>Imperial City</v>
      </c>
      <c r="V209" s="30" t="s">
        <v>2732</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3686</v>
      </c>
      <c r="AC209" s="36"/>
      <c r="AD209" s="36"/>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2626</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1455</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DLCs'!$A$3:$D$99999,4,FALSE))</f>
        <v>DLC_IMPERIAL_CITY</v>
      </c>
      <c r="U210" s="3" t="str">
        <f>IF(T210&lt;&gt;"",VLOOKUP(T210,'&lt;Constants&gt;'!$B$4:$C$1020,2,FALSE),"")</f>
        <v>Imperial City</v>
      </c>
      <c r="V210" s="30" t="s">
        <v>2732</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3686</v>
      </c>
      <c r="AC210" s="36"/>
      <c r="AD210" s="36"/>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2626</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1455</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DLCs'!$A$3:$D$99999,4,FALSE))</f>
        <v>DLC_IMPERIAL_CITY</v>
      </c>
      <c r="U211" s="3" t="str">
        <f>IF(T211&lt;&gt;"",VLOOKUP(T211,'&lt;Constants&gt;'!$B$4:$C$1020,2,FALSE),"")</f>
        <v>Imperial City</v>
      </c>
      <c r="V211" s="30" t="s">
        <v>2732</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3686</v>
      </c>
      <c r="AC211" s="36"/>
      <c r="AD211" s="36"/>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2626</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1456</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DLCs'!$A$3:$D$99999,4,FALSE))</f>
        <v>DLC_SHADOWS_OF_THE_HIST</v>
      </c>
      <c r="U212" s="3" t="str">
        <f>IF(T212&lt;&gt;"",VLOOKUP(T212,'&lt;Constants&gt;'!$B$4:$C$1020,2,FALSE),"")</f>
        <v>Shadows of the Hist</v>
      </c>
      <c r="V212" s="30" t="s">
        <v>1518</v>
      </c>
      <c r="W212" s="3" t="s">
        <v>1345</v>
      </c>
      <c r="X212" s="3" t="s">
        <v>1605</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7"/>
      <c r="AD212" s="37"/>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2626</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1456</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DLCs'!$A$3:$D$99999,4,FALSE))</f>
        <v>DLC_SHADOWS_OF_THE_HIST</v>
      </c>
      <c r="U213" s="3" t="str">
        <f>IF(T213&lt;&gt;"",VLOOKUP(T213,'&lt;Constants&gt;'!$B$4:$C$1020,2,FALSE),"")</f>
        <v>Shadows of the Hist</v>
      </c>
      <c r="V213" s="30" t="s">
        <v>1518</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7"/>
      <c r="AD213" s="37"/>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2626</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1454</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DLCs'!$A$3:$D$99999,4,FALSE))</f>
        <v>DLC_SHADOWS_OF_THE_HIST</v>
      </c>
      <c r="U214" s="3" t="str">
        <f>IF(T214&lt;&gt;"",VLOOKUP(T214,'&lt;Constants&gt;'!$B$4:$C$1020,2,FALSE),"")</f>
        <v>Shadows of the Hist</v>
      </c>
      <c r="V214" s="30" t="s">
        <v>3253</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6"/>
      <c r="AD214" s="36"/>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2627</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2567</v>
      </c>
      <c r="D215" s="3">
        <f t="shared" si="18"/>
        <v>259</v>
      </c>
      <c r="G215" s="8" t="s">
        <v>1454</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DLCs'!$A$3:$D$99999,4,FALSE))</f>
        <v>DLC_SHADOWS_OF_THE_HIST</v>
      </c>
      <c r="U215" s="3" t="str">
        <f>IF(T215&lt;&gt;"",VLOOKUP(T215,'&lt;Constants&gt;'!$B$4:$C$1020,2,FALSE),"")</f>
        <v>Shadows of the Hist</v>
      </c>
      <c r="V215" s="30" t="s">
        <v>3253</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6"/>
      <c r="AD215" s="36"/>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2626</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1454</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DLCs'!$A$3:$D$99999,4,FALSE))</f>
        <v>DLC_SHADOWS_OF_THE_HIST</v>
      </c>
      <c r="U216" s="3" t="str">
        <f>IF(T216&lt;&gt;"",VLOOKUP(T216,'&lt;Constants&gt;'!$B$4:$C$1020,2,FALSE),"")</f>
        <v>Shadows of the Hist</v>
      </c>
      <c r="V216" s="30" t="s">
        <v>3253</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6"/>
      <c r="AD216" s="36"/>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2626</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1454</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DLCs'!$A$3:$D$99999,4,FALSE))</f>
        <v>DLC_SHADOWS_OF_THE_HIST</v>
      </c>
      <c r="U217" s="3" t="str">
        <f>IF(T217&lt;&gt;"",VLOOKUP(T217,'&lt;Constants&gt;'!$B$4:$C$1020,2,FALSE),"")</f>
        <v>Shadows of the Hist</v>
      </c>
      <c r="V217" s="30" t="s">
        <v>3253</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6"/>
      <c r="AD217" s="36"/>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2626</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1454</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DLCs'!$A$3:$D$99999,4,FALSE))</f>
        <v>DLC_SHADOWS_OF_THE_HIST</v>
      </c>
      <c r="U218" s="3" t="str">
        <f>IF(T218&lt;&gt;"",VLOOKUP(T218,'&lt;Constants&gt;'!$B$4:$C$1020,2,FALSE),"")</f>
        <v>Shadows of the Hist</v>
      </c>
      <c r="V218" s="30" t="s">
        <v>3253</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6"/>
      <c r="AD218" s="36"/>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2626</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1454</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DLCs'!$A$3:$D$99999,4,FALSE))</f>
        <v>DLC_SHADOWS_OF_THE_HIST</v>
      </c>
      <c r="U219" s="3" t="str">
        <f>IF(T219&lt;&gt;"",VLOOKUP(T219,'&lt;Constants&gt;'!$B$4:$C$1020,2,FALSE),"")</f>
        <v>Shadows of the Hist</v>
      </c>
      <c r="V219" s="30" t="s">
        <v>3253</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2626</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1456</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DLCs'!$A$3:$D$99999,4,FALSE))</f>
        <v>0</v>
      </c>
      <c r="U220" s="3" t="e">
        <f>IF(T220&lt;&gt;"",VLOOKUP(T220,'&lt;Constants&gt;'!$B$4:$C$1020,2,FALSE),"")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6" t="str">
        <f>IF(AB220&lt;&gt;"",IF(AB220&lt;&gt;"LIBSETS_DROP_MECHANIC_MONSTER_NAME",VLOOKUP(AB220,'&lt;Constants&gt;'!$I$4:$L$1020,3,FALSE),""),"")</f>
        <v/>
      </c>
      <c r="AD220" s="36" t="str">
        <f>IF(AB220&lt;&gt;"",IF(AB220&lt;&gt;"LIBSETS_DROP_MECHANIC_MONSTER_NAME",VLOOKUP(AB220,'&lt;Constants&gt;'!$I$4:$L$1020,4,FALSE),""),"")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2626</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1456</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DLCs'!$A$3:$D$99999,4,FALSE))</f>
        <v>DLC_BASE_GAME</v>
      </c>
      <c r="U221" s="3" t="str">
        <f>IF(T221&lt;&gt;"",VLOOKUP(T221,'&lt;Constants&gt;'!$B$4:$C$1020,2,FALSE),"")</f>
        <v>Included in base game</v>
      </c>
      <c r="V221" s="30" t="s">
        <v>1518</v>
      </c>
      <c r="W221" s="3" t="s">
        <v>1344</v>
      </c>
      <c r="X221" s="3" t="s">
        <v>1610</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7"/>
      <c r="AD221" s="37"/>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2626</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2568</v>
      </c>
      <c r="D222" s="3">
        <f t="shared" si="18"/>
        <v>266</v>
      </c>
      <c r="G222" s="8" t="s">
        <v>1456</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DLCs'!$A$3:$D$99999,4,FALSE))</f>
        <v>DLC_BASE_GAME</v>
      </c>
      <c r="U222" s="3" t="str">
        <f>IF(T222&lt;&gt;"",VLOOKUP(T222,'&lt;Constants&gt;'!$B$4:$C$1020,2,FALSE),"")</f>
        <v>Included in base game</v>
      </c>
      <c r="V222" s="30" t="s">
        <v>1518</v>
      </c>
      <c r="W222" s="3" t="s">
        <v>1532</v>
      </c>
      <c r="X222" s="3" t="s">
        <v>1603</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7"/>
      <c r="AD222" s="37"/>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2626</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1456</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DLCs'!$A$3:$D$99999,4,FALSE))</f>
        <v>DLC_BASE_GAME</v>
      </c>
      <c r="U223" s="3" t="str">
        <f>IF(T223&lt;&gt;"",VLOOKUP(T223,'&lt;Constants&gt;'!$B$4:$C$1020,2,FALSE),"")</f>
        <v>Included in base game</v>
      </c>
      <c r="V223" s="30" t="s">
        <v>1518</v>
      </c>
      <c r="W223" s="3" t="s">
        <v>1521</v>
      </c>
      <c r="X223" s="3" t="s">
        <v>1607</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7"/>
      <c r="AD223" s="37"/>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2626</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1456</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DLCs'!$A$3:$D$99999,4,FALSE))</f>
        <v>DLC_BASE_GAME</v>
      </c>
      <c r="U224" s="3" t="str">
        <f>IF(T224&lt;&gt;"",VLOOKUP(T224,'&lt;Constants&gt;'!$B$4:$C$1020,2,FALSE),"")</f>
        <v>Included in base game</v>
      </c>
      <c r="V224" s="30" t="s">
        <v>1518</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7"/>
      <c r="AD224" s="37"/>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2626</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1456</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DLCs'!$A$3:$D$99999,4,FALSE))</f>
        <v>DLC_BASE_GAME</v>
      </c>
      <c r="U225" s="3" t="str">
        <f>IF(T225&lt;&gt;"",VLOOKUP(T225,'&lt;Constants&gt;'!$B$4:$C$1020,2,FALSE),"")</f>
        <v>Included in base game</v>
      </c>
      <c r="V225" s="30" t="s">
        <v>1518</v>
      </c>
      <c r="W225" s="3" t="s">
        <v>1522</v>
      </c>
      <c r="X225" s="3" t="s">
        <v>1613</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7"/>
      <c r="AD225" s="37"/>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2626</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1456</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DLCs'!$A$3:$D$99999,4,FALSE))</f>
        <v>DLC_BASE_GAME</v>
      </c>
      <c r="U226" s="3" t="str">
        <f>IF(T226&lt;&gt;"",VLOOKUP(T226,'&lt;Constants&gt;'!$B$4:$C$1020,2,FALSE),"")</f>
        <v>Included in base game</v>
      </c>
      <c r="V226" s="30" t="s">
        <v>1518</v>
      </c>
      <c r="W226" s="3" t="s">
        <v>1616</v>
      </c>
      <c r="X226" s="3" t="s">
        <v>1617</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7"/>
      <c r="AD226" s="37"/>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2626</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1456</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DLCs'!$A$3:$D$99999,4,FALSE))</f>
        <v>DLC_BASE_GAME</v>
      </c>
      <c r="U227" s="3" t="str">
        <f>IF(T227&lt;&gt;"",VLOOKUP(T227,'&lt;Constants&gt;'!$B$4:$C$1020,2,FALSE),"")</f>
        <v>Included in base game</v>
      </c>
      <c r="V227" s="30" t="s">
        <v>1518</v>
      </c>
      <c r="W227" s="3" t="s">
        <v>1523</v>
      </c>
      <c r="X227" s="3" t="s">
        <v>1597</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7"/>
      <c r="AD227" s="37"/>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2626</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1456</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DLCs'!$A$3:$D$99999,4,FALSE))</f>
        <v>DLC_BASE_GAME</v>
      </c>
      <c r="U228" s="3" t="str">
        <f>IF(T228&lt;&gt;"",VLOOKUP(T228,'&lt;Constants&gt;'!$B$4:$C$1020,2,FALSE),"")</f>
        <v>Included in base game</v>
      </c>
      <c r="V228" s="30" t="s">
        <v>1518</v>
      </c>
      <c r="W228" s="3" t="s">
        <v>1524</v>
      </c>
      <c r="X228" s="3" t="s">
        <v>1609</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7"/>
      <c r="AD228" s="37"/>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2626</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1456</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DLCs'!$A$3:$D$99999,4,FALSE))</f>
        <v>DLC_BASE_GAME</v>
      </c>
      <c r="U229" s="3" t="str">
        <f>IF(T229&lt;&gt;"",VLOOKUP(T229,'&lt;Constants&gt;'!$B$4:$C$1020,2,FALSE),"")</f>
        <v>Included in base game</v>
      </c>
      <c r="V229" s="30" t="s">
        <v>1518</v>
      </c>
      <c r="W229" s="3" t="s">
        <v>3979</v>
      </c>
      <c r="X229" s="3" t="s">
        <v>3976</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7"/>
      <c r="AD229" s="37"/>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2626</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1456</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DLCs'!$A$3:$D$99999,4,FALSE))</f>
        <v>DLC_BASE_GAME</v>
      </c>
      <c r="U230" s="3" t="str">
        <f>IF(T230&lt;&gt;"",VLOOKUP(T230,'&lt;Constants&gt;'!$B$4:$C$1020,2,FALSE),"")</f>
        <v>Included in base game</v>
      </c>
      <c r="V230" s="30" t="s">
        <v>1518</v>
      </c>
      <c r="W230" s="3" t="s">
        <v>1525</v>
      </c>
      <c r="X230" s="3" t="s">
        <v>1598</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7"/>
      <c r="AD230" s="37"/>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2626</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1456</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DLCs'!$A$3:$D$99999,4,FALSE))</f>
        <v>DLC_BASE_GAME</v>
      </c>
      <c r="U231" s="3" t="str">
        <f>IF(T231&lt;&gt;"",VLOOKUP(T231,'&lt;Constants&gt;'!$B$4:$C$1020,2,FALSE),"")</f>
        <v>Included in base game</v>
      </c>
      <c r="V231" s="30" t="s">
        <v>1518</v>
      </c>
      <c r="W231" s="38" t="s">
        <v>1526</v>
      </c>
      <c r="X231" s="38" t="s">
        <v>1615</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7"/>
      <c r="AD231" s="37"/>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2626</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1456</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DLCs'!$A$3:$D$99999,4,FALSE))</f>
        <v>DLC_BASE_GAME</v>
      </c>
      <c r="U232" s="3" t="str">
        <f>IF(T232&lt;&gt;"",VLOOKUP(T232,'&lt;Constants&gt;'!$B$4:$C$1020,2,FALSE),"")</f>
        <v>Included in base game</v>
      </c>
      <c r="V232" s="30" t="s">
        <v>1518</v>
      </c>
      <c r="W232" s="3" t="s">
        <v>1347</v>
      </c>
      <c r="X232" s="3" t="s">
        <v>1593</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7"/>
      <c r="AD232" s="37"/>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2626</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1456</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DLCs'!$A$3:$D$99999,4,FALSE))</f>
        <v>DLC_BASE_GAME</v>
      </c>
      <c r="U233" s="3" t="str">
        <f>IF(T233&lt;&gt;"",VLOOKUP(T233,'&lt;Constants&gt;'!$B$4:$C$1020,2,FALSE),"")</f>
        <v>Included in base game</v>
      </c>
      <c r="V233" s="30" t="s">
        <v>1518</v>
      </c>
      <c r="W233" s="3" t="s">
        <v>1346</v>
      </c>
      <c r="X233" s="3" t="s">
        <v>1606</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7"/>
      <c r="AD233" s="37"/>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2626</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1456</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DLCs'!$A$3:$D$99999,4,FALSE))</f>
        <v>DLC_BASE_GAME</v>
      </c>
      <c r="U234" s="3" t="str">
        <f>IF(T234&lt;&gt;"",VLOOKUP(T234,'&lt;Constants&gt;'!$B$4:$C$1020,2,FALSE),"")</f>
        <v>Included in base game</v>
      </c>
      <c r="V234" s="30" t="s">
        <v>1518</v>
      </c>
      <c r="W234" s="3" t="s">
        <v>1595</v>
      </c>
      <c r="X234" s="3" t="s">
        <v>1596</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7"/>
      <c r="AD234" s="37"/>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2626</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1456</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DLCs'!$A$3:$D$99999,4,FALSE))</f>
        <v>DLC_BASE_GAME</v>
      </c>
      <c r="U235" s="3" t="str">
        <f>IF(T235&lt;&gt;"",VLOOKUP(T235,'&lt;Constants&gt;'!$B$4:$C$1020,2,FALSE),"")</f>
        <v>Included in base game</v>
      </c>
      <c r="V235" s="30" t="s">
        <v>1518</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7"/>
      <c r="AD235" s="37"/>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2626</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1456</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DLCs'!$A$3:$D$99999,4,FALSE))</f>
        <v>DLC_BASE_GAME</v>
      </c>
      <c r="U236" s="3" t="str">
        <f>IF(T236&lt;&gt;"",VLOOKUP(T236,'&lt;Constants&gt;'!$B$4:$C$1020,2,FALSE),"")</f>
        <v>Included in base game</v>
      </c>
      <c r="V236" s="30" t="s">
        <v>1518</v>
      </c>
      <c r="W236" s="3" t="s">
        <v>1527</v>
      </c>
      <c r="X236" s="3" t="s">
        <v>1602</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7"/>
      <c r="AD236" s="37"/>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2626</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1457</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DLCs'!$A$3:$D$99999,4,FALSE))</f>
        <v>DLC_BASE_GAME</v>
      </c>
      <c r="U237" s="3" t="str">
        <f>IF(T237&lt;&gt;"",VLOOKUP(T237,'&lt;Constants&gt;'!$B$4:$C$1020,2,FALSE),"")</f>
        <v>Included in base game</v>
      </c>
      <c r="V237" s="30" t="s">
        <v>1534</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1535</v>
      </c>
      <c r="AC237" s="36"/>
      <c r="AD237" s="36"/>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1537</v>
      </c>
      <c r="AI237" s="36"/>
      <c r="AJ237" s="36"/>
      <c r="AK237" s="3">
        <f>IF(AND(G237&lt;&gt;"LIBSETS_SETTYPE_BATTLEGROUND",G237&lt;&gt;"LIBSETS_SETTYPE_SPECIAL"),IF(AL237&lt;&gt;"",VLOOKUP(AL237,'ESO zones'!$D$5:$H$4958,5,FALSE),""),"")</f>
        <v>280</v>
      </c>
      <c r="AL237" s="4" t="s">
        <v>195</v>
      </c>
      <c r="AM237" s="30" t="s">
        <v>1537</v>
      </c>
      <c r="AN237" s="36"/>
      <c r="AO237" s="36"/>
      <c r="AP237" s="3">
        <f>IF(AND(G237&lt;&gt;"LIBSETS_SETTYPE_BATTLEGROUND",G237&lt;&gt;"LIBSETS_SETTYPE_SPECIAL"),IF(AQ237&lt;&gt;"",VLOOKUP(AQ237,'ESO zones'!$D$5:$H$4958,5,FALSE),""),"")</f>
        <v>281</v>
      </c>
      <c r="AQ237" t="s">
        <v>196</v>
      </c>
      <c r="AR237" s="30" t="s">
        <v>1537</v>
      </c>
      <c r="AS237" s="36"/>
      <c r="AT237" s="36"/>
      <c r="AU237" s="3">
        <f>IF(AND(G237&lt;&gt;"LIBSETS_SETTYPE_BATTLEGROUND",G237&lt;&gt;"LIBSETS_SETTYPE_SPECIAL"),IF(AV237&lt;&gt;"",VLOOKUP(AV237,'ESO zones'!$D$5:$H$4958,5,FALSE),""),"")</f>
        <v>281</v>
      </c>
      <c r="AV237" s="4" t="s">
        <v>196</v>
      </c>
      <c r="AW237" s="118" t="s">
        <v>3193</v>
      </c>
      <c r="AX237" s="36"/>
      <c r="AY237" s="36"/>
      <c r="AZ237" s="72" t="s">
        <v>2627</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1457</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DLCs'!$A$3:$D$99999,4,FALSE))</f>
        <v>DLC_BASE_GAME</v>
      </c>
      <c r="U238" s="3" t="str">
        <f>IF(T238&lt;&gt;"",VLOOKUP(T238,'&lt;Constants&gt;'!$B$4:$C$1020,2,FALSE),"")</f>
        <v>Included in base game</v>
      </c>
      <c r="V238" s="30" t="s">
        <v>1534</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1535</v>
      </c>
      <c r="AC238" s="36"/>
      <c r="AD238" s="36"/>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1536</v>
      </c>
      <c r="AI238" s="36"/>
      <c r="AJ238" s="36"/>
      <c r="AK238" s="3">
        <f>IF(AND(G238&lt;&gt;"LIBSETS_SETTYPE_BATTLEGROUND",G238&lt;&gt;"LIBSETS_SETTYPE_SPECIAL"),IF(AL238&lt;&gt;"",VLOOKUP(AL238,'ESO zones'!$D$5:$H$4958,5,FALSE),""),"")</f>
        <v>20</v>
      </c>
      <c r="AL238" t="s">
        <v>104</v>
      </c>
      <c r="AM238" s="30" t="s">
        <v>1537</v>
      </c>
      <c r="AN238" s="36"/>
      <c r="AO238" s="36"/>
      <c r="AP238" s="3">
        <f>IF(AND(G238&lt;&gt;"LIBSETS_SETTYPE_BATTLEGROUND",G238&lt;&gt;"LIBSETS_SETTYPE_SPECIAL"),IF(AQ238&lt;&gt;"",VLOOKUP(AQ238,'ESO zones'!$D$5:$H$4958,5,FALSE),""),"")</f>
        <v>20</v>
      </c>
      <c r="AQ238" t="s">
        <v>104</v>
      </c>
      <c r="AR238" s="118" t="s">
        <v>3193</v>
      </c>
      <c r="AS238" s="36"/>
      <c r="AT238" s="36"/>
      <c r="AU238" s="3" t="str">
        <f>IF(AND(G238&lt;&gt;"LIBSETS_SETTYPE_BATTLEGROUND",G238&lt;&gt;"LIBSETS_SETTYPE_SPECIAL"),IF(AV238&lt;&gt;"",VLOOKUP(AV238,'ESO zones'!$D$5:$H$4958,5,FALSE),""),"")</f>
        <v/>
      </c>
      <c r="AX238" s="36"/>
      <c r="AY238" s="36"/>
      <c r="AZ238" s="72" t="s">
        <v>2626</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1457</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DLCs'!$A$3:$D$99999,4,FALSE))</f>
        <v>DLC_BASE_GAME</v>
      </c>
      <c r="U239" s="3" t="str">
        <f>IF(T239&lt;&gt;"",VLOOKUP(T239,'&lt;Constants&gt;'!$B$4:$C$1020,2,FALSE),"")</f>
        <v>Included in base game</v>
      </c>
      <c r="V239" s="30" t="s">
        <v>1534</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1535</v>
      </c>
      <c r="AC239" s="36"/>
      <c r="AD239" s="36"/>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1536</v>
      </c>
      <c r="AI239" s="36"/>
      <c r="AJ239" s="36"/>
      <c r="AK239" s="3">
        <f>IF(AND(G239&lt;&gt;"LIBSETS_SETTYPE_BATTLEGROUND",G239&lt;&gt;"LIBSETS_SETTYPE_SPECIAL"),IF(AL239&lt;&gt;"",VLOOKUP(AL239,'ESO zones'!$D$5:$H$4958,5,FALSE),""),"")</f>
        <v>104</v>
      </c>
      <c r="AL239" t="s">
        <v>111</v>
      </c>
      <c r="AM239" s="30" t="s">
        <v>1537</v>
      </c>
      <c r="AN239" s="36"/>
      <c r="AO239" s="36"/>
      <c r="AP239" s="3">
        <f>IF(AND(G239&lt;&gt;"LIBSETS_SETTYPE_BATTLEGROUND",G239&lt;&gt;"LIBSETS_SETTYPE_SPECIAL"),IF(AQ239&lt;&gt;"",VLOOKUP(AQ239,'ESO zones'!$D$5:$H$4958,5,FALSE),""),"")</f>
        <v>104</v>
      </c>
      <c r="AQ239" t="s">
        <v>111</v>
      </c>
      <c r="AR239" s="118" t="s">
        <v>3193</v>
      </c>
      <c r="AS239" s="36"/>
      <c r="AT239" s="36"/>
      <c r="AU239" s="3" t="str">
        <f>IF(AND(G239&lt;&gt;"LIBSETS_SETTYPE_BATTLEGROUND",G239&lt;&gt;"LIBSETS_SETTYPE_SPECIAL"),IF(AV239&lt;&gt;"",VLOOKUP(AV239,'ESO zones'!$D$5:$H$4958,5,FALSE),""),"")</f>
        <v/>
      </c>
      <c r="AX239" s="36"/>
      <c r="AY239" s="36"/>
      <c r="AZ239" s="72" t="s">
        <v>2627</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1457</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DLCs'!$A$3:$D$99999,4,FALSE))</f>
        <v>DLC_BASE_GAME</v>
      </c>
      <c r="U240" s="3" t="str">
        <f>IF(T240&lt;&gt;"",VLOOKUP(T240,'&lt;Constants&gt;'!$B$4:$C$1020,2,FALSE),"")</f>
        <v>Included in base game</v>
      </c>
      <c r="V240" s="30" t="s">
        <v>1534</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1535</v>
      </c>
      <c r="AC240" s="36"/>
      <c r="AD240" s="36"/>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1536</v>
      </c>
      <c r="AI240" s="36"/>
      <c r="AJ240" s="36"/>
      <c r="AK240" s="3">
        <f>IF(AND(G240&lt;&gt;"LIBSETS_SETTYPE_BATTLEGROUND",G240&lt;&gt;"LIBSETS_SETTYPE_SPECIAL"),IF(AL240&lt;&gt;"",VLOOKUP(AL240,'ESO zones'!$D$5:$H$4958,5,FALSE),""),"")</f>
        <v>104</v>
      </c>
      <c r="AL240" t="s">
        <v>111</v>
      </c>
      <c r="AM240" s="30" t="s">
        <v>1537</v>
      </c>
      <c r="AN240" s="36"/>
      <c r="AO240" s="36"/>
      <c r="AP240" s="3">
        <f>IF(AND(G240&lt;&gt;"LIBSETS_SETTYPE_BATTLEGROUND",G240&lt;&gt;"LIBSETS_SETTYPE_SPECIAL"),IF(AQ240&lt;&gt;"",VLOOKUP(AQ240,'ESO zones'!$D$5:$H$4958,5,FALSE),""),"")</f>
        <v>104</v>
      </c>
      <c r="AQ240" t="s">
        <v>111</v>
      </c>
      <c r="AR240" s="118" t="s">
        <v>3193</v>
      </c>
      <c r="AS240" s="36"/>
      <c r="AT240" s="36"/>
      <c r="AU240" s="3" t="str">
        <f>IF(AND(G240&lt;&gt;"LIBSETS_SETTYPE_BATTLEGROUND",G240&lt;&gt;"LIBSETS_SETTYPE_SPECIAL"),IF(AV240&lt;&gt;"",VLOOKUP(AV240,'ESO zones'!$D$5:$H$4958,5,FALSE),""),"")</f>
        <v/>
      </c>
      <c r="AX240" s="36"/>
      <c r="AY240" s="36"/>
      <c r="AZ240" s="72" t="s">
        <v>2626</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1457</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DLCs'!$A$3:$D$99999,4,FALSE))</f>
        <v>DLC_BASE_GAME</v>
      </c>
      <c r="U241" s="3" t="str">
        <f>IF(T241&lt;&gt;"",VLOOKUP(T241,'&lt;Constants&gt;'!$B$4:$C$1020,2,FALSE),"")</f>
        <v>Included in base game</v>
      </c>
      <c r="V241" s="30" t="s">
        <v>1534</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1535</v>
      </c>
      <c r="AC241" s="36"/>
      <c r="AD241" s="36"/>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1536</v>
      </c>
      <c r="AI241" s="36"/>
      <c r="AJ241" s="36"/>
      <c r="AK241" s="3">
        <f>IF(AND(G241&lt;&gt;"LIBSETS_SETTYPE_BATTLEGROUND",G241&lt;&gt;"LIBSETS_SETTYPE_SPECIAL"),IF(AL241&lt;&gt;"",VLOOKUP(AL241,'ESO zones'!$D$5:$H$4958,5,FALSE),""),"")</f>
        <v>92</v>
      </c>
      <c r="AL241" t="s">
        <v>108</v>
      </c>
      <c r="AM241" s="30" t="s">
        <v>1537</v>
      </c>
      <c r="AN241" s="36"/>
      <c r="AO241" s="36"/>
      <c r="AP241" s="3">
        <f>IF(AND(G241&lt;&gt;"LIBSETS_SETTYPE_BATTLEGROUND",G241&lt;&gt;"LIBSETS_SETTYPE_SPECIAL"),IF(AQ241&lt;&gt;"",VLOOKUP(AQ241,'ESO zones'!$D$5:$H$4958,5,FALSE),""),"")</f>
        <v>92</v>
      </c>
      <c r="AQ241" t="s">
        <v>108</v>
      </c>
      <c r="AR241" s="118" t="s">
        <v>3193</v>
      </c>
      <c r="AS241" s="36"/>
      <c r="AT241" s="36"/>
      <c r="AU241" s="3" t="str">
        <f>IF(AND(G241&lt;&gt;"LIBSETS_SETTYPE_BATTLEGROUND",G241&lt;&gt;"LIBSETS_SETTYPE_SPECIAL"),IF(AV241&lt;&gt;"",VLOOKUP(AV241,'ESO zones'!$D$5:$H$4958,5,FALSE),""),"")</f>
        <v/>
      </c>
      <c r="AX241" s="36"/>
      <c r="AY241" s="36"/>
      <c r="AZ241" s="72" t="s">
        <v>2626</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2505</v>
      </c>
      <c r="D242" s="3">
        <f t="shared" si="18"/>
        <v>286</v>
      </c>
      <c r="E242" s="37"/>
      <c r="G242" s="8" t="s">
        <v>1457</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DLCs'!$A$3:$D$99999,4,FALSE))</f>
        <v>DLC_BASE_GAME</v>
      </c>
      <c r="U242" s="3" t="str">
        <f>IF(T242&lt;&gt;"",VLOOKUP(T242,'&lt;Constants&gt;'!$B$4:$C$1020,2,FALSE),"")</f>
        <v>Included in base game</v>
      </c>
      <c r="V242" s="30" t="s">
        <v>1534</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1535</v>
      </c>
      <c r="AC242" s="36"/>
      <c r="AD242" s="36"/>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1536</v>
      </c>
      <c r="AI242" s="36"/>
      <c r="AJ242" s="36"/>
      <c r="AK242" s="3">
        <f>IF(AND(G242&lt;&gt;"LIBSETS_SETTYPE_BATTLEGROUND",G242&lt;&gt;"LIBSETS_SETTYPE_SPECIAL"),IF(AL242&lt;&gt;"",VLOOKUP(AL242,'ESO zones'!$D$5:$H$4958,5,FALSE),""),"")</f>
        <v>92</v>
      </c>
      <c r="AL242" t="s">
        <v>108</v>
      </c>
      <c r="AM242" s="30" t="s">
        <v>1537</v>
      </c>
      <c r="AN242" s="36"/>
      <c r="AO242" s="36"/>
      <c r="AP242" s="3">
        <f>IF(AND(G242&lt;&gt;"LIBSETS_SETTYPE_BATTLEGROUND",G242&lt;&gt;"LIBSETS_SETTYPE_SPECIAL"),IF(AQ242&lt;&gt;"",VLOOKUP(AQ242,'ESO zones'!$D$5:$H$4958,5,FALSE),""),"")</f>
        <v>92</v>
      </c>
      <c r="AQ242" t="s">
        <v>108</v>
      </c>
      <c r="AR242" s="118" t="s">
        <v>3193</v>
      </c>
      <c r="AS242" s="36"/>
      <c r="AT242" s="36"/>
      <c r="AU242" s="3" t="str">
        <f>IF(AND(G242&lt;&gt;"LIBSETS_SETTYPE_BATTLEGROUND",G242&lt;&gt;"LIBSETS_SETTYPE_SPECIAL"),IF(AV242&lt;&gt;"",VLOOKUP(AV242,'ESO zones'!$D$5:$H$4958,5,FALSE),""),"")</f>
        <v/>
      </c>
      <c r="AX242" s="36"/>
      <c r="AY242" s="36"/>
      <c r="AZ242" s="72" t="s">
        <v>2627</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1457</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DLCs'!$A$3:$D$99999,4,FALSE))</f>
        <v>DLC_BASE_GAME</v>
      </c>
      <c r="U243" s="3" t="str">
        <f>IF(T243&lt;&gt;"",VLOOKUP(T243,'&lt;Constants&gt;'!$B$4:$C$1020,2,FALSE),"")</f>
        <v>Included in base game</v>
      </c>
      <c r="V243" s="30" t="s">
        <v>1534</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1535</v>
      </c>
      <c r="AC243" s="36"/>
      <c r="AD243" s="36"/>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1536</v>
      </c>
      <c r="AI243" s="36"/>
      <c r="AJ243" s="36"/>
      <c r="AK243" s="3">
        <f>IF(AND(G243&lt;&gt;"LIBSETS_SETTYPE_BATTLEGROUND",G243&lt;&gt;"LIBSETS_SETTYPE_SPECIAL"),IF(AL243&lt;&gt;"",VLOOKUP(AL243,'ESO zones'!$D$5:$H$4958,5,FALSE),""),"")</f>
        <v>383</v>
      </c>
      <c r="AL243" t="s">
        <v>263</v>
      </c>
      <c r="AM243" s="30" t="s">
        <v>1537</v>
      </c>
      <c r="AN243" s="36"/>
      <c r="AO243" s="36"/>
      <c r="AP243" s="3">
        <f>IF(AND(G243&lt;&gt;"LIBSETS_SETTYPE_BATTLEGROUND",G243&lt;&gt;"LIBSETS_SETTYPE_SPECIAL"),IF(AQ243&lt;&gt;"",VLOOKUP(AQ243,'ESO zones'!$D$5:$H$4958,5,FALSE),""),"")</f>
        <v>383</v>
      </c>
      <c r="AQ243" t="s">
        <v>263</v>
      </c>
      <c r="AR243" s="118" t="s">
        <v>3193</v>
      </c>
      <c r="AS243" s="36"/>
      <c r="AT243" s="36"/>
      <c r="AU243" s="3" t="str">
        <f>IF(AND(G243&lt;&gt;"LIBSETS_SETTYPE_BATTLEGROUND",G243&lt;&gt;"LIBSETS_SETTYPE_SPECIAL"),IF(AV243&lt;&gt;"",VLOOKUP(AV243,'ESO zones'!$D$5:$H$4958,5,FALSE),""),"")</f>
        <v/>
      </c>
      <c r="AX243" s="36"/>
      <c r="AY243" s="36"/>
      <c r="AZ243" s="72" t="s">
        <v>2626</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2569</v>
      </c>
      <c r="D244" s="3">
        <f t="shared" si="18"/>
        <v>288</v>
      </c>
      <c r="E244" s="37"/>
      <c r="F244"/>
      <c r="G244" s="8" t="s">
        <v>1457</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DLCs'!$A$3:$D$99999,4,FALSE))</f>
        <v>DLC_BASE_GAME</v>
      </c>
      <c r="U244" s="3" t="str">
        <f>IF(T244&lt;&gt;"",VLOOKUP(T244,'&lt;Constants&gt;'!$B$4:$C$1020,2,FALSE),"")</f>
        <v>Included in base game</v>
      </c>
      <c r="V244" s="30" t="s">
        <v>1534</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1535</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1536</v>
      </c>
      <c r="AI244" s="38"/>
      <c r="AJ244" s="38"/>
      <c r="AK244" s="3">
        <f>IF(AND(G244&lt;&gt;"LIBSETS_SETTYPE_BATTLEGROUND",G244&lt;&gt;"LIBSETS_SETTYPE_SPECIAL"),IF(AL244&lt;&gt;"",VLOOKUP(AL244,'ESO zones'!$D$5:$H$4958,5,FALSE),""),"")</f>
        <v>108</v>
      </c>
      <c r="AL244" t="s">
        <v>112</v>
      </c>
      <c r="AM244" s="30" t="s">
        <v>1537</v>
      </c>
      <c r="AN244" s="38"/>
      <c r="AO244" s="38"/>
      <c r="AP244" s="3">
        <f>IF(AND(G244&lt;&gt;"LIBSETS_SETTYPE_BATTLEGROUND",G244&lt;&gt;"LIBSETS_SETTYPE_SPECIAL"),IF(AQ244&lt;&gt;"",VLOOKUP(AQ244,'ESO zones'!$D$5:$H$4958,5,FALSE),""),"")</f>
        <v>108</v>
      </c>
      <c r="AQ244" t="s">
        <v>112</v>
      </c>
      <c r="AR244" s="118" t="s">
        <v>3193</v>
      </c>
      <c r="AS244" s="38"/>
      <c r="AT244" s="38"/>
      <c r="AU244" s="3" t="str">
        <f>IF(AND(G244&lt;&gt;"LIBSETS_SETTYPE_BATTLEGROUND",G244&lt;&gt;"LIBSETS_SETTYPE_SPECIAL"),IF(AV244&lt;&gt;"",VLOOKUP(AV244,'ESO zones'!$D$5:$H$4958,5,FALSE),""),"")</f>
        <v/>
      </c>
      <c r="AV244"/>
      <c r="AW244" s="30"/>
      <c r="AX244" s="38"/>
      <c r="AY244" s="38"/>
      <c r="AZ244" s="72" t="s">
        <v>2627</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2504</v>
      </c>
      <c r="D245" s="3">
        <f t="shared" si="18"/>
        <v>289</v>
      </c>
      <c r="G245" s="8" t="s">
        <v>1457</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DLCs'!$A$3:$D$99999,4,FALSE))</f>
        <v>DLC_BASE_GAME</v>
      </c>
      <c r="U245" s="3" t="str">
        <f>IF(T245&lt;&gt;"",VLOOKUP(T245,'&lt;Constants&gt;'!$B$4:$C$1020,2,FALSE),"")</f>
        <v>Included in base game</v>
      </c>
      <c r="V245" s="30" t="s">
        <v>1534</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1535</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1536</v>
      </c>
      <c r="AI245" s="38"/>
      <c r="AJ245" s="38"/>
      <c r="AK245" s="3">
        <f>IF(AND(G245&lt;&gt;"LIBSETS_SETTYPE_BATTLEGROUND",G245&lt;&gt;"LIBSETS_SETTYPE_SPECIAL"),IF(AL245&lt;&gt;"",VLOOKUP(AL245,'ESO zones'!$D$5:$H$4958,5,FALSE),""),"")</f>
        <v>58</v>
      </c>
      <c r="AL245" t="s">
        <v>107</v>
      </c>
      <c r="AM245" s="30" t="s">
        <v>1537</v>
      </c>
      <c r="AN245" s="38"/>
      <c r="AO245" s="38"/>
      <c r="AP245" s="3">
        <f>IF(AND(G245&lt;&gt;"LIBSETS_SETTYPE_BATTLEGROUND",G245&lt;&gt;"LIBSETS_SETTYPE_SPECIAL"),IF(AQ245&lt;&gt;"",VLOOKUP(AQ245,'ESO zones'!$D$5:$H$4958,5,FALSE),""),"")</f>
        <v>58</v>
      </c>
      <c r="AQ245" t="s">
        <v>107</v>
      </c>
      <c r="AR245" s="118" t="s">
        <v>3193</v>
      </c>
      <c r="AS245" s="38"/>
      <c r="AT245" s="38"/>
      <c r="AU245" s="3" t="str">
        <f>IF(AND(G245&lt;&gt;"LIBSETS_SETTYPE_BATTLEGROUND",G245&lt;&gt;"LIBSETS_SETTYPE_SPECIAL"),IF(AV245&lt;&gt;"",VLOOKUP(AV245,'ESO zones'!$D$5:$H$4958,5,FALSE),""),"")</f>
        <v/>
      </c>
      <c r="AX245" s="38"/>
      <c r="AY245" s="38"/>
      <c r="AZ245" s="72" t="s">
        <v>2627</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1457</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DLCs'!$A$3:$D$99999,4,FALSE))</f>
        <v>DLC_BASE_GAME</v>
      </c>
      <c r="U246" s="3" t="str">
        <f>IF(T246&lt;&gt;"",VLOOKUP(T246,'&lt;Constants&gt;'!$B$4:$C$1020,2,FALSE),"")</f>
        <v>Included in base game</v>
      </c>
      <c r="V246" s="30" t="s">
        <v>1534</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1535</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1536</v>
      </c>
      <c r="AI246" s="38"/>
      <c r="AJ246" s="38"/>
      <c r="AK246" s="3">
        <f>IF(AND(G246&lt;&gt;"LIBSETS_SETTYPE_BATTLEGROUND",G246&lt;&gt;"LIBSETS_SETTYPE_SPECIAL"),IF(AL246&lt;&gt;"",VLOOKUP(AL246,'ESO zones'!$D$5:$H$4958,5,FALSE),""),"")</f>
        <v>382</v>
      </c>
      <c r="AL246" t="s">
        <v>262</v>
      </c>
      <c r="AM246" s="30" t="s">
        <v>1537</v>
      </c>
      <c r="AN246" s="38"/>
      <c r="AO246" s="38"/>
      <c r="AP246" s="3">
        <f>IF(AND(G246&lt;&gt;"LIBSETS_SETTYPE_BATTLEGROUND",G246&lt;&gt;"LIBSETS_SETTYPE_SPECIAL"),IF(AQ246&lt;&gt;"",VLOOKUP(AQ246,'ESO zones'!$D$5:$H$4958,5,FALSE),""),"")</f>
        <v>382</v>
      </c>
      <c r="AQ246" t="s">
        <v>262</v>
      </c>
      <c r="AR246" s="118" t="s">
        <v>3193</v>
      </c>
      <c r="AS246" s="38"/>
      <c r="AT246" s="38"/>
      <c r="AU246" s="3" t="str">
        <f>IF(AND(G246&lt;&gt;"LIBSETS_SETTYPE_BATTLEGROUND",G246&lt;&gt;"LIBSETS_SETTYPE_SPECIAL"),IF(AV246&lt;&gt;"",VLOOKUP(AV246,'ESO zones'!$D$5:$H$4958,5,FALSE),""),"")</f>
        <v/>
      </c>
      <c r="AX246" s="38"/>
      <c r="AY246" s="38"/>
      <c r="AZ246" s="72" t="s">
        <v>2626</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1457</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DLCs'!$A$3:$D$99999,4,FALSE))</f>
        <v>DLC_BASE_GAME</v>
      </c>
      <c r="U247" s="3" t="str">
        <f>IF(T247&lt;&gt;"",VLOOKUP(T247,'&lt;Constants&gt;'!$B$4:$C$1020,2,FALSE),"")</f>
        <v>Included in base game</v>
      </c>
      <c r="V247" s="30" t="s">
        <v>1534</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1535</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1536</v>
      </c>
      <c r="AI247" s="38"/>
      <c r="AJ247" s="38"/>
      <c r="AK247" s="3">
        <f>IF(AND(G247&lt;&gt;"LIBSETS_SETTYPE_BATTLEGROUND",G247&lt;&gt;"LIBSETS_SETTYPE_SPECIAL"),IF(AL247&lt;&gt;"",VLOOKUP(AL247,'ESO zones'!$D$5:$H$4958,5,FALSE),""),"")</f>
        <v>41</v>
      </c>
      <c r="AL247" t="s">
        <v>105</v>
      </c>
      <c r="AM247" s="30" t="s">
        <v>1537</v>
      </c>
      <c r="AN247" s="38"/>
      <c r="AO247" s="38"/>
      <c r="AP247" s="3">
        <f>IF(AND(G247&lt;&gt;"LIBSETS_SETTYPE_BATTLEGROUND",G247&lt;&gt;"LIBSETS_SETTYPE_SPECIAL"),IF(AQ247&lt;&gt;"",VLOOKUP(AQ247,'ESO zones'!$D$5:$H$4958,5,FALSE),""),"")</f>
        <v>41</v>
      </c>
      <c r="AQ247" t="s">
        <v>105</v>
      </c>
      <c r="AR247" s="118" t="s">
        <v>3193</v>
      </c>
      <c r="AS247" s="38"/>
      <c r="AT247" s="38"/>
      <c r="AU247" s="3" t="str">
        <f>IF(AND(G247&lt;&gt;"LIBSETS_SETTYPE_BATTLEGROUND",G247&lt;&gt;"LIBSETS_SETTYPE_SPECIAL"),IF(AV247&lt;&gt;"",VLOOKUP(AV247,'ESO zones'!$D$5:$H$4958,5,FALSE),""),"")</f>
        <v/>
      </c>
      <c r="AX247" s="38"/>
      <c r="AY247" s="38"/>
      <c r="AZ247" s="72" t="s">
        <v>2626</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2570</v>
      </c>
      <c r="D248" s="3">
        <f t="shared" si="18"/>
        <v>292</v>
      </c>
      <c r="G248" s="8" t="s">
        <v>1457</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DLCs'!$A$3:$D$99999,4,FALSE))</f>
        <v>DLC_BASE_GAME</v>
      </c>
      <c r="U248" s="3" t="str">
        <f>IF(T248&lt;&gt;"",VLOOKUP(T248,'&lt;Constants&gt;'!$B$4:$C$1020,2,FALSE),"")</f>
        <v>Included in base game</v>
      </c>
      <c r="V248" s="30" t="s">
        <v>1534</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1535</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1536</v>
      </c>
      <c r="AI248" s="38"/>
      <c r="AJ248" s="38"/>
      <c r="AK248" s="3">
        <f>IF(AND(G248&lt;&gt;"LIBSETS_SETTYPE_BATTLEGROUND",G248&lt;&gt;"LIBSETS_SETTYPE_SPECIAL"),IF(AL248&lt;&gt;"",VLOOKUP(AL248,'ESO zones'!$D$5:$H$4958,5,FALSE),""),"")</f>
        <v>57</v>
      </c>
      <c r="AL248" t="s">
        <v>106</v>
      </c>
      <c r="AM248" s="30" t="s">
        <v>1537</v>
      </c>
      <c r="AN248" s="38"/>
      <c r="AO248" s="38"/>
      <c r="AP248" s="3">
        <f>IF(AND(G248&lt;&gt;"LIBSETS_SETTYPE_BATTLEGROUND",G248&lt;&gt;"LIBSETS_SETTYPE_SPECIAL"),IF(AQ248&lt;&gt;"",VLOOKUP(AQ248,'ESO zones'!$D$5:$H$4958,5,FALSE),""),"")</f>
        <v>57</v>
      </c>
      <c r="AQ248" t="s">
        <v>106</v>
      </c>
      <c r="AR248" s="118" t="s">
        <v>3193</v>
      </c>
      <c r="AS248" s="38"/>
      <c r="AT248" s="38"/>
      <c r="AU248" s="3" t="str">
        <f>IF(AND(G248&lt;&gt;"LIBSETS_SETTYPE_BATTLEGROUND",G248&lt;&gt;"LIBSETS_SETTYPE_SPECIAL"),IF(AV248&lt;&gt;"",VLOOKUP(AV248,'ESO zones'!$D$5:$H$4958,5,FALSE),""),"")</f>
        <v/>
      </c>
      <c r="AX248" s="38"/>
      <c r="AY248" s="38"/>
      <c r="AZ248" s="72" t="s">
        <v>2626</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1457</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DLCs'!$A$3:$D$99999,4,FALSE))</f>
        <v>DLC_BASE_GAME</v>
      </c>
      <c r="U249" s="3" t="str">
        <f>IF(T249&lt;&gt;"",VLOOKUP(T249,'&lt;Constants&gt;'!$B$4:$C$1020,2,FALSE),"")</f>
        <v>Included in base game</v>
      </c>
      <c r="V249" s="30" t="s">
        <v>1534</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1535</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1536</v>
      </c>
      <c r="AI249" s="38"/>
      <c r="AJ249" s="38"/>
      <c r="AK249" s="3">
        <f>IF(AND(G249&lt;&gt;"LIBSETS_SETTYPE_BATTLEGROUND",G249&lt;&gt;"LIBSETS_SETTYPE_SPECIAL"),IF(AL249&lt;&gt;"",VLOOKUP(AL249,'ESO zones'!$D$5:$H$4958,5,FALSE),""),"")</f>
        <v>57</v>
      </c>
      <c r="AL249" t="s">
        <v>106</v>
      </c>
      <c r="AM249" s="30" t="s">
        <v>1537</v>
      </c>
      <c r="AN249" s="38"/>
      <c r="AO249" s="38"/>
      <c r="AP249" s="3">
        <f>IF(AND(G249&lt;&gt;"LIBSETS_SETTYPE_BATTLEGROUND",G249&lt;&gt;"LIBSETS_SETTYPE_SPECIAL"),IF(AQ249&lt;&gt;"",VLOOKUP(AQ249,'ESO zones'!$D$5:$H$4958,5,FALSE),""),"")</f>
        <v>57</v>
      </c>
      <c r="AQ249" t="s">
        <v>106</v>
      </c>
      <c r="AR249" s="118" t="s">
        <v>3193</v>
      </c>
      <c r="AS249" s="38"/>
      <c r="AT249" s="38"/>
      <c r="AU249" s="3" t="str">
        <f>IF(AND(G249&lt;&gt;"LIBSETS_SETTYPE_BATTLEGROUND",G249&lt;&gt;"LIBSETS_SETTYPE_SPECIAL"),IF(AV249&lt;&gt;"",VLOOKUP(AV249,'ESO zones'!$D$5:$H$4958,5,FALSE),""),"")</f>
        <v/>
      </c>
      <c r="AX249" s="38"/>
      <c r="AY249" s="38"/>
      <c r="AZ249" s="72" t="s">
        <v>2627</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2571</v>
      </c>
      <c r="D250" s="3">
        <f t="shared" si="18"/>
        <v>294</v>
      </c>
      <c r="G250" s="8" t="s">
        <v>1457</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DLCs'!$A$3:$D$99999,4,FALSE))</f>
        <v>DLC_BASE_GAME</v>
      </c>
      <c r="U250" s="3" t="str">
        <f>IF(T250&lt;&gt;"",VLOOKUP(T250,'&lt;Constants&gt;'!$B$4:$C$1020,2,FALSE),"")</f>
        <v>Included in base game</v>
      </c>
      <c r="V250" s="30" t="s">
        <v>1534</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1535</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1536</v>
      </c>
      <c r="AI250" s="38"/>
      <c r="AJ250" s="38"/>
      <c r="AK250" s="3">
        <f>IF(AND(G250&lt;&gt;"LIBSETS_SETTYPE_BATTLEGROUND",G250&lt;&gt;"LIBSETS_SETTYPE_SPECIAL"),IF(AL250&lt;&gt;"",VLOOKUP(AL250,'ESO zones'!$D$5:$H$4958,5,FALSE),""),"")</f>
        <v>103</v>
      </c>
      <c r="AL250" t="s">
        <v>110</v>
      </c>
      <c r="AM250" s="30" t="s">
        <v>1537</v>
      </c>
      <c r="AN250" s="38"/>
      <c r="AO250" s="38"/>
      <c r="AP250" s="3">
        <f>IF(AND(G250&lt;&gt;"LIBSETS_SETTYPE_BATTLEGROUND",G250&lt;&gt;"LIBSETS_SETTYPE_SPECIAL"),IF(AQ250&lt;&gt;"",VLOOKUP(AQ250,'ESO zones'!$D$5:$H$4958,5,FALSE),""),"")</f>
        <v>103</v>
      </c>
      <c r="AQ250" t="s">
        <v>110</v>
      </c>
      <c r="AR250" s="118" t="s">
        <v>3193</v>
      </c>
      <c r="AS250" s="38"/>
      <c r="AT250" s="38"/>
      <c r="AU250" s="3" t="str">
        <f>IF(AND(G250&lt;&gt;"LIBSETS_SETTYPE_BATTLEGROUND",G250&lt;&gt;"LIBSETS_SETTYPE_SPECIAL"),IF(AV250&lt;&gt;"",VLOOKUP(AV250,'ESO zones'!$D$5:$H$4958,5,FALSE),""),"")</f>
        <v/>
      </c>
      <c r="AX250" s="38"/>
      <c r="AY250" s="38"/>
      <c r="AZ250" s="72" t="s">
        <v>2627</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1454</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DLCs'!$A$3:$D$99999,4,FALSE))</f>
        <v>DLC_BASE_GAME</v>
      </c>
      <c r="U251" s="3" t="str">
        <f>IF(T251&lt;&gt;"",VLOOKUP(T251,'&lt;Constants&gt;'!$B$4:$C$1020,2,FALSE),"")</f>
        <v>Included in base game</v>
      </c>
      <c r="V251" s="30" t="s">
        <v>3253</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3253</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2626</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1454</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DLCs'!$A$3:$D$99999,4,FALSE))</f>
        <v>DLC_BASE_GAME</v>
      </c>
      <c r="U252" s="3" t="str">
        <f>IF(T252&lt;&gt;"",VLOOKUP(T252,'&lt;Constants&gt;'!$B$4:$C$1020,2,FALSE),"")</f>
        <v>Included in base game</v>
      </c>
      <c r="V252" s="30" t="s">
        <v>3253</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3253</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2626</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1454</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DLCs'!$A$3:$D$99999,4,FALSE))</f>
        <v>DLC_BASE_GAME</v>
      </c>
      <c r="U253" s="3" t="str">
        <f>IF(T253&lt;&gt;"",VLOOKUP(T253,'&lt;Constants&gt;'!$B$4:$C$1020,2,FALSE),"")</f>
        <v>Included in base game</v>
      </c>
      <c r="V253" s="30" t="s">
        <v>3253</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3253</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2627</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1454</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DLCs'!$A$3:$D$99999,4,FALSE))</f>
        <v>DLC_BASE_GAME</v>
      </c>
      <c r="U254" s="3" t="str">
        <f>IF(T254&lt;&gt;"",VLOOKUP(T254,'&lt;Constants&gt;'!$B$4:$C$1020,2,FALSE),"")</f>
        <v>Included in base game</v>
      </c>
      <c r="V254" s="30" t="s">
        <v>3253</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3253</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2627</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1454</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DLCs'!$A$3:$D$99999,4,FALSE))</f>
        <v>DLC_BASE_GAME</v>
      </c>
      <c r="U255" s="3" t="str">
        <f>IF(T255&lt;&gt;"",VLOOKUP(T255,'&lt;Constants&gt;'!$B$4:$C$1020,2,FALSE),"")</f>
        <v>Included in base game</v>
      </c>
      <c r="V255" s="30" t="s">
        <v>3253</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3253</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2626</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2572</v>
      </c>
      <c r="D256" s="3">
        <f t="shared" si="18"/>
        <v>300</v>
      </c>
      <c r="G256" s="8" t="s">
        <v>1454</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DLCs'!$A$3:$D$99999,4,FALSE))</f>
        <v>DLC_BASE_GAME</v>
      </c>
      <c r="U256" s="3" t="str">
        <f>IF(T256&lt;&gt;"",VLOOKUP(T256,'&lt;Constants&gt;'!$B$4:$C$1020,2,FALSE),"")</f>
        <v>Included in base game</v>
      </c>
      <c r="V256" s="30" t="s">
        <v>3253</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3253</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2627</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1454</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DLCs'!$A$3:$D$99999,4,FALSE))</f>
        <v>DLC_BASE_GAME</v>
      </c>
      <c r="U257" s="3" t="str">
        <f>IF(T257&lt;&gt;"",VLOOKUP(T257,'&lt;Constants&gt;'!$B$4:$C$1020,2,FALSE),"")</f>
        <v>Included in base game</v>
      </c>
      <c r="V257" s="30" t="s">
        <v>3253</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3253</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2627</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1454</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DLCs'!$A$3:$D$99999,4,FALSE))</f>
        <v>DLC_BASE_GAME</v>
      </c>
      <c r="U258" s="3" t="str">
        <f>IF(T258&lt;&gt;"",VLOOKUP(T258,'&lt;Constants&gt;'!$B$4:$C$1020,2,FALSE),"")</f>
        <v>Included in base game</v>
      </c>
      <c r="V258" s="30" t="s">
        <v>3253</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3253</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2627</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2573</v>
      </c>
      <c r="D259" s="3">
        <f t="shared" ref="D259:D322" si="24">A259</f>
        <v>303</v>
      </c>
      <c r="G259" s="8" t="s">
        <v>1454</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DLCs'!$A$3:$D$99999,4,FALSE))</f>
        <v>DLC_BASE_GAME</v>
      </c>
      <c r="U259" s="3" t="str">
        <f>IF(T259&lt;&gt;"",VLOOKUP(T259,'&lt;Constants&gt;'!$B$4:$C$1020,2,FALSE),"")</f>
        <v>Included in base game</v>
      </c>
      <c r="V259" s="30" t="s">
        <v>3253</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2626</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1454</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DLCs'!$A$3:$D$99999,4,FALSE))</f>
        <v>DLC_BASE_GAME</v>
      </c>
      <c r="U260" s="3" t="str">
        <f>IF(T260&lt;&gt;"",VLOOKUP(T260,'&lt;Constants&gt;'!$B$4:$C$1020,2,FALSE),"")</f>
        <v>Included in base game</v>
      </c>
      <c r="V260" s="30" t="s">
        <v>3253</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2626</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1454</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DLCs'!$A$3:$D$99999,4,FALSE))</f>
        <v>DLC_BASE_GAME</v>
      </c>
      <c r="U261" s="3" t="str">
        <f>IF(T261&lt;&gt;"",VLOOKUP(T261,'&lt;Constants&gt;'!$B$4:$C$1020,2,FALSE),"")</f>
        <v>Included in base game</v>
      </c>
      <c r="V261" s="30" t="s">
        <v>3253</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2626</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1454</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DLCs'!$A$3:$D$99999,4,FALSE))</f>
        <v>DLC_BASE_GAME</v>
      </c>
      <c r="U262" s="3" t="str">
        <f>IF(T262&lt;&gt;"",VLOOKUP(T262,'&lt;Constants&gt;'!$B$4:$C$1020,2,FALSE),"")</f>
        <v>Included in base game</v>
      </c>
      <c r="V262" s="30" t="s">
        <v>3253</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2627</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2574</v>
      </c>
      <c r="D263" s="3">
        <f t="shared" si="24"/>
        <v>308</v>
      </c>
      <c r="E263" s="37"/>
      <c r="G263" s="8" t="s">
        <v>1454</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DLCs'!$A$3:$D$99999,4,FALSE))</f>
        <v>DLC_BASE_GAME</v>
      </c>
      <c r="U263" s="3" t="str">
        <f>IF(T263&lt;&gt;"",VLOOKUP(T263,'&lt;Constants&gt;'!$B$4:$C$1020,2,FALSE),"")</f>
        <v>Included in base game</v>
      </c>
      <c r="V263" s="30" t="s">
        <v>3253</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2626</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2575</v>
      </c>
      <c r="D264" s="3">
        <f t="shared" si="24"/>
        <v>309</v>
      </c>
      <c r="E264" s="37"/>
      <c r="G264" s="8" t="s">
        <v>1454</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DLCs'!$A$3:$D$99999,4,FALSE))</f>
        <v>DLC_BASE_GAME</v>
      </c>
      <c r="U264" s="3" t="str">
        <f>IF(T264&lt;&gt;"",VLOOKUP(T264,'&lt;Constants&gt;'!$B$4:$C$1020,2,FALSE),"")</f>
        <v>Included in base game</v>
      </c>
      <c r="V264" s="30" t="s">
        <v>3253</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2626</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1454</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DLCs'!$A$3:$D$99999,4,FALSE))</f>
        <v>DLC_BASE_GAME</v>
      </c>
      <c r="U265" s="3" t="str">
        <f>IF(T265&lt;&gt;"",VLOOKUP(T265,'&lt;Constants&gt;'!$B$4:$C$1020,2,FALSE),"")</f>
        <v>Included in base game</v>
      </c>
      <c r="V265" s="30" t="s">
        <v>3253</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2627</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1454</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DLCs'!$A$3:$D$99999,4,FALSE))</f>
        <v>DLC_BASE_GAME</v>
      </c>
      <c r="U266" s="3" t="str">
        <f>IF(T266&lt;&gt;"",VLOOKUP(T266,'&lt;Constants&gt;'!$B$4:$C$1020,2,FALSE),"")</f>
        <v>Included in base game</v>
      </c>
      <c r="V266" s="30" t="s">
        <v>3253</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2626</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1449</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DLCs'!$A$3:$D$99999,4,FALSE))</f>
        <v>DLC_BASE_GAME</v>
      </c>
      <c r="U267" s="3" t="str">
        <f>IF(T267&lt;&gt;"",VLOOKUP(T267,'&lt;Constants&gt;'!$B$4:$C$1020,2,FALSE),"")</f>
        <v>Included in base game</v>
      </c>
      <c r="V267" s="30" t="s">
        <v>1530</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1530</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2626</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1449</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DLCs'!$A$3:$D$99999,4,FALSE))</f>
        <v>DLC_BASE_GAME</v>
      </c>
      <c r="U268" s="3" t="str">
        <f>IF(T268&lt;&gt;"",VLOOKUP(T268,'&lt;Constants&gt;'!$B$4:$C$1020,2,FALSE),"")</f>
        <v>Included in base game</v>
      </c>
      <c r="V268" s="30" t="s">
        <v>1530</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1530</v>
      </c>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2626</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1449</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DLCs'!$A$3:$D$99999,4,FALSE))</f>
        <v>DLC_BASE_GAME</v>
      </c>
      <c r="U269" s="3" t="str">
        <f>IF(T269&lt;&gt;"",VLOOKUP(T269,'&lt;Constants&gt;'!$B$4:$C$1020,2,FALSE),"")</f>
        <v>Included in base game</v>
      </c>
      <c r="V269" s="30" t="s">
        <v>1530</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1530</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2626</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1449</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DLCs'!$A$3:$D$99999,4,FALSE))</f>
        <v>DLC_BASE_GAME</v>
      </c>
      <c r="U270" s="3" t="str">
        <f>IF(T270&lt;&gt;"",VLOOKUP(T270,'&lt;Constants&gt;'!$B$4:$C$1020,2,FALSE),"")</f>
        <v>Included in base game</v>
      </c>
      <c r="V270" s="30" t="s">
        <v>1530</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1530</v>
      </c>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1449</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DLCs'!$A$3:$D$99999,4,FALSE))</f>
        <v>DLC_BASE_GAME</v>
      </c>
      <c r="U271" s="3" t="str">
        <f>IF(T271&lt;&gt;"",VLOOKUP(T271,'&lt;Constants&gt;'!$B$4:$C$1020,2,FALSE),"")</f>
        <v>Included in base game</v>
      </c>
      <c r="V271" s="30" t="s">
        <v>1530</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1530</v>
      </c>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2626</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1449</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DLCs'!$A$3:$D$99999,4,FALSE))</f>
        <v>DLC_BASE_GAME</v>
      </c>
      <c r="U272" s="3" t="str">
        <f>IF(T272&lt;&gt;"",VLOOKUP(T272,'&lt;Constants&gt;'!$B$4:$C$1020,2,FALSE),"")</f>
        <v>Included in base game</v>
      </c>
      <c r="V272" s="30" t="s">
        <v>1530</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1530</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2626</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1457</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DLCs'!$A$3:$D$99999,4,FALSE))</f>
        <v>DLC_MORROWIND</v>
      </c>
      <c r="U273" s="3" t="str">
        <f>IF(T273&lt;&gt;"",VLOOKUP(T273,'&lt;Constants&gt;'!$B$4:$C$1020,2,FALSE),"")</f>
        <v>Morrowind</v>
      </c>
      <c r="V273" s="30" t="s">
        <v>1534</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1535</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1536</v>
      </c>
      <c r="AI273" s="38"/>
      <c r="AJ273" s="38"/>
      <c r="AK273" s="3">
        <f>IF(AND(G273&lt;&gt;"LIBSETS_SETTYPE_BATTLEGROUND",G273&lt;&gt;"LIBSETS_SETTYPE_SPECIAL"),IF(AL273&lt;&gt;"",VLOOKUP(AL273,'ESO zones'!$D$5:$H$4958,5,FALSE),""),"")</f>
        <v>849</v>
      </c>
      <c r="AL273" t="s">
        <v>528</v>
      </c>
      <c r="AM273" s="30" t="s">
        <v>1537</v>
      </c>
      <c r="AN273" s="38"/>
      <c r="AO273" s="38"/>
      <c r="AP273" s="3">
        <f>IF(AND(G273&lt;&gt;"LIBSETS_SETTYPE_BATTLEGROUND",G273&lt;&gt;"LIBSETS_SETTYPE_SPECIAL"),IF(AQ273&lt;&gt;"",VLOOKUP(AQ273,'ESO zones'!$D$5:$H$4958,5,FALSE),""),"")</f>
        <v>918</v>
      </c>
      <c r="AQ273" t="s">
        <v>588</v>
      </c>
      <c r="AR273" s="118" t="s">
        <v>1536</v>
      </c>
      <c r="AS273" s="38"/>
      <c r="AT273" s="38"/>
      <c r="AU273" s="3">
        <f>IF(AND(G273&lt;&gt;"LIBSETS_SETTYPE_BATTLEGROUND",G273&lt;&gt;"LIBSETS_SETTYPE_SPECIAL"),IF(AV273&lt;&gt;"",VLOOKUP(AV273,'ESO zones'!$D$5:$H$4958,5,FALSE),""),"")</f>
        <v>849</v>
      </c>
      <c r="AV273" t="s">
        <v>528</v>
      </c>
      <c r="AW273" s="39" t="s">
        <v>3193</v>
      </c>
      <c r="AX273" s="38"/>
      <c r="AY273" s="38"/>
      <c r="AZ273" s="72" t="s">
        <v>2627</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1457</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DLCs'!$A$3:$D$99999,4,FALSE))</f>
        <v>DLC_MORROWIND</v>
      </c>
      <c r="U274" s="3" t="str">
        <f>IF(T274&lt;&gt;"",VLOOKUP(T274,'&lt;Constants&gt;'!$B$4:$C$1020,2,FALSE),"")</f>
        <v>Morrowind</v>
      </c>
      <c r="V274" s="30" t="s">
        <v>1534</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1535</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1536</v>
      </c>
      <c r="AI274" s="38"/>
      <c r="AJ274" s="38"/>
      <c r="AK274" s="3">
        <f>IF(AND(G274&lt;&gt;"LIBSETS_SETTYPE_BATTLEGROUND",G274&lt;&gt;"LIBSETS_SETTYPE_SPECIAL"),IF(AL274&lt;&gt;"",VLOOKUP(AL274,'ESO zones'!$D$5:$H$4958,5,FALSE),""),"")</f>
        <v>849</v>
      </c>
      <c r="AL274" t="s">
        <v>528</v>
      </c>
      <c r="AM274" s="30" t="s">
        <v>1537</v>
      </c>
      <c r="AN274" s="38"/>
      <c r="AO274" s="38"/>
      <c r="AP274" s="3">
        <f>IF(AND(G274&lt;&gt;"LIBSETS_SETTYPE_BATTLEGROUND",G274&lt;&gt;"LIBSETS_SETTYPE_SPECIAL"),IF(AQ274&lt;&gt;"",VLOOKUP(AQ274,'ESO zones'!$D$5:$H$4958,5,FALSE),""),"")</f>
        <v>918</v>
      </c>
      <c r="AQ274" t="s">
        <v>588</v>
      </c>
      <c r="AR274" s="118" t="s">
        <v>1536</v>
      </c>
      <c r="AS274" s="38"/>
      <c r="AT274" s="38"/>
      <c r="AU274" s="3">
        <f>IF(AND(G274&lt;&gt;"LIBSETS_SETTYPE_BATTLEGROUND",G274&lt;&gt;"LIBSETS_SETTYPE_SPECIAL"),IF(AV274&lt;&gt;"",VLOOKUP(AV274,'ESO zones'!$D$5:$H$4958,5,FALSE),""),"")</f>
        <v>849</v>
      </c>
      <c r="AV274" t="s">
        <v>528</v>
      </c>
      <c r="AW274" s="39" t="s">
        <v>3193</v>
      </c>
      <c r="AX274" s="38"/>
      <c r="AY274" s="38"/>
      <c r="AZ274" s="72" t="s">
        <v>2626</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1457</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DLCs'!$A$3:$D$99999,4,FALSE))</f>
        <v>DLC_MORROWIND</v>
      </c>
      <c r="U275" s="3" t="str">
        <f>IF(T275&lt;&gt;"",VLOOKUP(T275,'&lt;Constants&gt;'!$B$4:$C$1020,2,FALSE),"")</f>
        <v>Morrowind</v>
      </c>
      <c r="V275" s="30" t="s">
        <v>1534</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1535</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1536</v>
      </c>
      <c r="AI275" s="38"/>
      <c r="AJ275" s="38"/>
      <c r="AK275" s="3">
        <f>IF(AND(G275&lt;&gt;"LIBSETS_SETTYPE_BATTLEGROUND",G275&lt;&gt;"LIBSETS_SETTYPE_SPECIAL"),IF(AL275&lt;&gt;"",VLOOKUP(AL275,'ESO zones'!$D$5:$H$4958,5,FALSE),""),"")</f>
        <v>849</v>
      </c>
      <c r="AL275" t="s">
        <v>528</v>
      </c>
      <c r="AM275" s="30" t="s">
        <v>1537</v>
      </c>
      <c r="AN275" s="38"/>
      <c r="AO275" s="38"/>
      <c r="AP275" s="3">
        <f>IF(AND(G275&lt;&gt;"LIBSETS_SETTYPE_BATTLEGROUND",G275&lt;&gt;"LIBSETS_SETTYPE_SPECIAL"),IF(AQ275&lt;&gt;"",VLOOKUP(AQ275,'ESO zones'!$D$5:$H$4958,5,FALSE),""),"")</f>
        <v>918</v>
      </c>
      <c r="AQ275" t="s">
        <v>588</v>
      </c>
      <c r="AR275" s="118" t="s">
        <v>1536</v>
      </c>
      <c r="AS275" s="38"/>
      <c r="AT275" s="38"/>
      <c r="AU275" s="3">
        <f>IF(AND(G275&lt;&gt;"LIBSETS_SETTYPE_BATTLEGROUND",G275&lt;&gt;"LIBSETS_SETTYPE_SPECIAL"),IF(AV275&lt;&gt;"",VLOOKUP(AV275,'ESO zones'!$D$5:$H$4958,5,FALSE),""),"")</f>
        <v>849</v>
      </c>
      <c r="AV275" t="s">
        <v>528</v>
      </c>
      <c r="AW275" s="39" t="s">
        <v>3193</v>
      </c>
      <c r="AX275" s="38"/>
      <c r="AY275" s="38"/>
      <c r="AZ275" s="72" t="s">
        <v>2626</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2576</v>
      </c>
      <c r="D276" s="3">
        <f t="shared" si="24"/>
        <v>323</v>
      </c>
      <c r="E276" s="37"/>
      <c r="G276" s="8" t="s">
        <v>1451</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DLCs'!$A$3:$D$99999,4,FALSE))</f>
        <v>DLC_MORROWIND</v>
      </c>
      <c r="U276" s="3" t="str">
        <f>IF(T276&lt;&gt;"",VLOOKUP(T276,'&lt;Constants&gt;'!$B$4:$C$1020,2,FALSE),"")</f>
        <v>Morrowind</v>
      </c>
      <c r="V276" s="30" t="s">
        <v>3256</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3256</v>
      </c>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2627</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1451</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DLCs'!$A$3:$D$99999,4,FALSE))</f>
        <v>DLC_MORROWIND</v>
      </c>
      <c r="U277" s="3" t="str">
        <f>IF(T277&lt;&gt;"",VLOOKUP(T277,'&lt;Constants&gt;'!$B$4:$C$1020,2,FALSE),"")</f>
        <v>Morrowind</v>
      </c>
      <c r="V277" s="30" t="s">
        <v>3256</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3256</v>
      </c>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2626</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1451</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DLCs'!$A$3:$D$99999,4,FALSE))</f>
        <v>DLC_MORROWIND</v>
      </c>
      <c r="U278" s="3" t="str">
        <f>IF(T278&lt;&gt;"",VLOOKUP(T278,'&lt;Constants&gt;'!$B$4:$C$1020,2,FALSE),"")</f>
        <v>Morrowind</v>
      </c>
      <c r="V278" s="30" t="s">
        <v>3256</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3256</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2627</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2577</v>
      </c>
      <c r="D279" s="3">
        <f t="shared" si="24"/>
        <v>326</v>
      </c>
      <c r="G279" s="8" t="s">
        <v>1450</v>
      </c>
      <c r="I279" t="s">
        <v>91</v>
      </c>
      <c r="J279" t="s">
        <v>91</v>
      </c>
      <c r="K279">
        <v>-1</v>
      </c>
      <c r="L279">
        <v>-1</v>
      </c>
      <c r="M279">
        <v>-1</v>
      </c>
      <c r="O279" s="58" t="s">
        <v>1488</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DLCs'!$A$3:$D$99999,4,FALSE))</f>
        <v>DLC_BASE_GAME</v>
      </c>
      <c r="U279" s="3" t="str">
        <f>IF(T279&lt;&gt;"",VLOOKUP(T279,'&lt;Constants&gt;'!$B$4:$C$1020,2,FALSE),"")</f>
        <v>Included in base game</v>
      </c>
      <c r="V279" s="30" t="s">
        <v>1549</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2626</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2578</v>
      </c>
      <c r="D280" s="3">
        <f t="shared" si="24"/>
        <v>327</v>
      </c>
      <c r="G280" s="8" t="s">
        <v>1450</v>
      </c>
      <c r="I280" t="s">
        <v>91</v>
      </c>
      <c r="J280" t="s">
        <v>91</v>
      </c>
      <c r="K280">
        <v>-1</v>
      </c>
      <c r="L280">
        <v>-1</v>
      </c>
      <c r="M280">
        <v>-1</v>
      </c>
      <c r="O280" s="58" t="s">
        <v>1488</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DLCs'!$A$3:$D$99999,4,FALSE))</f>
        <v>DLC_BASE_GAME</v>
      </c>
      <c r="U280" s="3" t="str">
        <f>IF(T280&lt;&gt;"",VLOOKUP(T280,'&lt;Constants&gt;'!$B$4:$C$1020,2,FALSE),"")</f>
        <v>Included in base game</v>
      </c>
      <c r="V280" s="30" t="s">
        <v>1549</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2626</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1450</v>
      </c>
      <c r="I281" t="s">
        <v>91</v>
      </c>
      <c r="J281" t="s">
        <v>91</v>
      </c>
      <c r="K281">
        <v>-1</v>
      </c>
      <c r="L281">
        <v>-1</v>
      </c>
      <c r="M281">
        <v>-1</v>
      </c>
      <c r="O281" s="58" t="s">
        <v>1488</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DLCs'!$A$3:$D$99999,4,FALSE))</f>
        <v>DLC_BASE_GAME</v>
      </c>
      <c r="U281" s="3" t="str">
        <f>IF(T281&lt;&gt;"",VLOOKUP(T281,'&lt;Constants&gt;'!$B$4:$C$1020,2,FALSE),"")</f>
        <v>Included in base game</v>
      </c>
      <c r="V281" s="30" t="s">
        <v>1549</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2626</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2579</v>
      </c>
      <c r="D282" s="3">
        <f t="shared" si="24"/>
        <v>329</v>
      </c>
      <c r="G282" s="8" t="s">
        <v>1450</v>
      </c>
      <c r="I282" t="s">
        <v>91</v>
      </c>
      <c r="J282" t="s">
        <v>91</v>
      </c>
      <c r="K282">
        <v>-1</v>
      </c>
      <c r="L282">
        <v>-1</v>
      </c>
      <c r="M282">
        <v>-1</v>
      </c>
      <c r="O282" s="58" t="s">
        <v>1488</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DLCs'!$A$3:$D$99999,4,FALSE))</f>
        <v>DLC_BASE_GAME</v>
      </c>
      <c r="U282" s="3" t="str">
        <f>IF(T282&lt;&gt;"",VLOOKUP(T282,'&lt;Constants&gt;'!$B$4:$C$1020,2,FALSE),"")</f>
        <v>Included in base game</v>
      </c>
      <c r="V282" s="30" t="s">
        <v>1549</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2626</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1458</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DLCs'!$A$3:$D$99999,4,FALSE))</f>
        <v>DLC_MORROWIND</v>
      </c>
      <c r="U283" s="3" t="str">
        <f>IF(T283&lt;&gt;"",VLOOKUP(T283,'&lt;Constants&gt;'!$B$4:$C$1020,2,FALSE),"")</f>
        <v>Morrowind</v>
      </c>
      <c r="V283" s="30" t="s">
        <v>3234</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3234</v>
      </c>
      <c r="AC283" s="38"/>
      <c r="AD283" s="38"/>
      <c r="AE283" s="125">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3234</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2626</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1458</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DLCs'!$A$3:$D$99999,4,FALSE))</f>
        <v>DLC_MORROWIND</v>
      </c>
      <c r="U284" s="3" t="str">
        <f>IF(T284&lt;&gt;"",VLOOKUP(T284,'&lt;Constants&gt;'!$B$4:$C$1020,2,FALSE),"")</f>
        <v>Morrowind</v>
      </c>
      <c r="V284" s="30" t="s">
        <v>3234</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3234</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3234</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2626</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1458</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DLCs'!$A$3:$D$99999,4,FALSE))</f>
        <v>DLC_MORROWIND</v>
      </c>
      <c r="U285" s="3" t="str">
        <f>IF(T285&lt;&gt;"",VLOOKUP(T285,'&lt;Constants&gt;'!$B$4:$C$1020,2,FALSE),"")</f>
        <v>Morrowind</v>
      </c>
      <c r="V285" s="30" t="s">
        <v>3234</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3234</v>
      </c>
      <c r="AC285" s="38"/>
      <c r="AD285" s="38"/>
      <c r="AE285" s="125">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3234</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2626</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2580</v>
      </c>
      <c r="D286" s="3">
        <f t="shared" si="24"/>
        <v>333</v>
      </c>
      <c r="G286" s="8" t="s">
        <v>1458</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DLCs'!$A$3:$D$99999,4,FALSE))</f>
        <v>DLC_MORROWIND</v>
      </c>
      <c r="U286" s="3" t="str">
        <f>IF(T286&lt;&gt;"",VLOOKUP(T286,'&lt;Constants&gt;'!$B$4:$C$1020,2,FALSE),"")</f>
        <v>Morrowind</v>
      </c>
      <c r="V286" s="30" t="s">
        <v>3234</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3234</v>
      </c>
      <c r="AC286" s="38"/>
      <c r="AD286" s="38"/>
      <c r="AE286" s="125">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3234</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2626</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1450</v>
      </c>
      <c r="I287" t="s">
        <v>91</v>
      </c>
      <c r="J287" t="s">
        <v>91</v>
      </c>
      <c r="K287">
        <v>-1</v>
      </c>
      <c r="L287">
        <v>-1</v>
      </c>
      <c r="M287">
        <v>-1</v>
      </c>
      <c r="O287" s="58" t="s">
        <v>1488</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DLCs'!$A$3:$D$99999,4,FALSE))</f>
        <v>DLC_MORROWIND</v>
      </c>
      <c r="U287" s="3" t="str">
        <f>IF(T287&lt;&gt;"",VLOOKUP(T287,'&lt;Constants&gt;'!$B$4:$C$1020,2,FALSE),"")</f>
        <v>Morrowind</v>
      </c>
      <c r="V287" s="30" t="s">
        <v>1549</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 t="str">
        <f>IF(AB287&lt;&gt;"",IF(AB287&lt;&gt;"LIBSETS_DROP_MECHANIC_MONSTER_NAME",VLOOKUP(AB287,'&lt;Constants&gt;'!$I$4:$L$1020,3,FALSE),""),"")</f>
        <v/>
      </c>
      <c r="AD287" s="3" t="str">
        <f>IF(AB287&lt;&gt;"",IF(AB287&lt;&gt;"LIBSETS_DROP_MECHANIC_MONSTER_NAME",VLOOKUP(AB287,'&lt;Constants&gt;'!$I$4:$L$1020,4,FALSE),""),"")</f>
        <v/>
      </c>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2627</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2581</v>
      </c>
      <c r="D288" s="3">
        <f t="shared" si="24"/>
        <v>335</v>
      </c>
      <c r="G288" s="8" t="s">
        <v>1454</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DLCs'!$A$3:$D$99999,4,FALSE))</f>
        <v>DLC_HORNS_OF_THE_REACH</v>
      </c>
      <c r="U288" s="3" t="str">
        <f>IF(T288&lt;&gt;"",VLOOKUP(T288,'&lt;Constants&gt;'!$B$4:$C$1020,2,FALSE),"")</f>
        <v>Horns of the Reach</v>
      </c>
      <c r="V288" s="30" t="s">
        <v>3253</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2626</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1454</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DLCs'!$A$3:$D$99999,4,FALSE))</f>
        <v>DLC_HORNS_OF_THE_REACH</v>
      </c>
      <c r="U289" s="3" t="str">
        <f>IF(T289&lt;&gt;"",VLOOKUP(T289,'&lt;Constants&gt;'!$B$4:$C$1020,2,FALSE),"")</f>
        <v>Horns of the Reach</v>
      </c>
      <c r="V289" s="30" t="s">
        <v>3253</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2626</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1454</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DLCs'!$A$3:$D$99999,4,FALSE))</f>
        <v>DLC_HORNS_OF_THE_REACH</v>
      </c>
      <c r="U290" s="3" t="str">
        <f>IF(T290&lt;&gt;"",VLOOKUP(T290,'&lt;Constants&gt;'!$B$4:$C$1020,2,FALSE),"")</f>
        <v>Horns of the Reach</v>
      </c>
      <c r="V290" s="30" t="s">
        <v>3253</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2626</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1454</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DLCs'!$A$3:$D$99999,4,FALSE))</f>
        <v>DLC_HORNS_OF_THE_REACH</v>
      </c>
      <c r="U291" s="3" t="str">
        <f>IF(T291&lt;&gt;"",VLOOKUP(T291,'&lt;Constants&gt;'!$B$4:$C$1020,2,FALSE),"")</f>
        <v>Horns of the Reach</v>
      </c>
      <c r="V291" s="30" t="s">
        <v>3253</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2626</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1454</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DLCs'!$A$3:$D$99999,4,FALSE))</f>
        <v>DLC_HORNS_OF_THE_REACH</v>
      </c>
      <c r="U292" s="3" t="str">
        <f>IF(T292&lt;&gt;"",VLOOKUP(T292,'&lt;Constants&gt;'!$B$4:$C$1020,2,FALSE),"")</f>
        <v>Horns of the Reach</v>
      </c>
      <c r="V292" s="30" t="s">
        <v>3253</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2627</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2582</v>
      </c>
      <c r="D293" s="3">
        <f t="shared" si="24"/>
        <v>340</v>
      </c>
      <c r="E293" s="37"/>
      <c r="G293" s="8" t="s">
        <v>1454</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DLCs'!$A$3:$D$99999,4,FALSE))</f>
        <v>DLC_HORNS_OF_THE_REACH</v>
      </c>
      <c r="U293" s="3" t="str">
        <f>IF(T293&lt;&gt;"",VLOOKUP(T293,'&lt;Constants&gt;'!$B$4:$C$1020,2,FALSE),"")</f>
        <v>Horns of the Reach</v>
      </c>
      <c r="V293" s="30" t="s">
        <v>3253</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2626</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1456</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DLCs'!$A$3:$D$99999,4,FALSE))</f>
        <v>DLC_HORNS_OF_THE_REACH</v>
      </c>
      <c r="U294" s="3" t="str">
        <f>IF(T294&lt;&gt;"",VLOOKUP(T294,'&lt;Constants&gt;'!$B$4:$C$1020,2,FALSE),"")</f>
        <v>Horns of the Reach</v>
      </c>
      <c r="V294" s="30" t="s">
        <v>1518</v>
      </c>
      <c r="W294" s="3" t="s">
        <v>1528</v>
      </c>
      <c r="X294" s="3" t="s">
        <v>1611</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5"/>
      <c r="AD294" s="35"/>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2626</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1456</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DLCs'!$A$3:$D$99999,4,FALSE))</f>
        <v>DLC_HORNS_OF_THE_REACH</v>
      </c>
      <c r="U295" s="3" t="str">
        <f>IF(T295&lt;&gt;"",VLOOKUP(T295,'&lt;Constants&gt;'!$B$4:$C$1020,2,FALSE),"")</f>
        <v>Horns of the Reach</v>
      </c>
      <c r="V295" s="30" t="s">
        <v>1518</v>
      </c>
      <c r="W295" s="3" t="s">
        <v>1342</v>
      </c>
      <c r="X295" s="3" t="s">
        <v>1601</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5"/>
      <c r="AD295" s="35"/>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2626</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2583</v>
      </c>
      <c r="D296" s="3">
        <f t="shared" si="24"/>
        <v>343</v>
      </c>
      <c r="E296" s="37"/>
      <c r="G296" s="8" t="s">
        <v>1454</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DLCs'!$A$3:$D$99999,4,FALSE))</f>
        <v>DLC_DRAGON_BONES</v>
      </c>
      <c r="U296" s="3" t="str">
        <f>IF(T296&lt;&gt;"",VLOOKUP(T296,'&lt;Constants&gt;'!$B$4:$C$1020,2,FALSE),"")</f>
        <v>Dragon Bones</v>
      </c>
      <c r="V296" s="30" t="s">
        <v>3253</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2626</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1454</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DLCs'!$A$3:$D$99999,4,FALSE))</f>
        <v>DLC_DRAGON_BONES</v>
      </c>
      <c r="U297" s="3" t="str">
        <f>IF(T297&lt;&gt;"",VLOOKUP(T297,'&lt;Constants&gt;'!$B$4:$C$1020,2,FALSE),"")</f>
        <v>Dragon Bones</v>
      </c>
      <c r="V297" s="30" t="s">
        <v>3253</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2626</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2584</v>
      </c>
      <c r="D298" s="3">
        <f t="shared" si="24"/>
        <v>345</v>
      </c>
      <c r="G298" s="8" t="s">
        <v>1454</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DLCs'!$A$3:$D$99999,4,FALSE))</f>
        <v>DLC_DRAGON_BONES</v>
      </c>
      <c r="U298" s="3" t="str">
        <f>IF(T298&lt;&gt;"",VLOOKUP(T298,'&lt;Constants&gt;'!$B$4:$C$1020,2,FALSE),"")</f>
        <v>Dragon Bones</v>
      </c>
      <c r="V298" s="30" t="s">
        <v>3253</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2626</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2585</v>
      </c>
      <c r="D299" s="3">
        <f t="shared" si="24"/>
        <v>346</v>
      </c>
      <c r="G299" s="8" t="s">
        <v>1454</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DLCs'!$A$3:$D$99999,4,FALSE))</f>
        <v>DLC_DRAGON_BONES</v>
      </c>
      <c r="U299" s="3" t="str">
        <f>IF(T299&lt;&gt;"",VLOOKUP(T299,'&lt;Constants&gt;'!$B$4:$C$1020,2,FALSE),"")</f>
        <v>Dragon Bones</v>
      </c>
      <c r="V299" s="30" t="s">
        <v>3253</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2627</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1454</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DLCs'!$A$3:$D$99999,4,FALSE))</f>
        <v>DLC_DRAGON_BONES</v>
      </c>
      <c r="U300" s="3" t="str">
        <f>IF(T300&lt;&gt;"",VLOOKUP(T300,'&lt;Constants&gt;'!$B$4:$C$1020,2,FALSE),"")</f>
        <v>Dragon Bones</v>
      </c>
      <c r="V300" s="30" t="s">
        <v>3253</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2626</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1454</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DLCs'!$A$3:$D$99999,4,FALSE))</f>
        <v>DLC_DRAGON_BONES</v>
      </c>
      <c r="U301" s="3" t="str">
        <f>IF(T301&lt;&gt;"",VLOOKUP(T301,'&lt;Constants&gt;'!$B$4:$C$1020,2,FALSE),"")</f>
        <v>Dragon Bones</v>
      </c>
      <c r="V301" s="30" t="s">
        <v>3253</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2626</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1456</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DLCs'!$A$3:$D$99999,4,FALSE))</f>
        <v>DLC_DRAGON_BONES</v>
      </c>
      <c r="U302" s="3" t="str">
        <f>IF(T302&lt;&gt;"",VLOOKUP(T302,'&lt;Constants&gt;'!$B$4:$C$1020,2,FALSE),"")</f>
        <v>Dragon Bones</v>
      </c>
      <c r="V302" s="30" t="s">
        <v>1518</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5"/>
      <c r="AD302" s="35"/>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2626</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1456</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DLCs'!$A$3:$D$99999,4,FALSE))</f>
        <v>DLC_DRAGON_BONES</v>
      </c>
      <c r="U303" s="3" t="str">
        <f>IF(T303&lt;&gt;"",VLOOKUP(T303,'&lt;Constants&gt;'!$B$4:$C$1020,2,FALSE),"")</f>
        <v>Dragon Bones</v>
      </c>
      <c r="V303" s="30" t="s">
        <v>1518</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5"/>
      <c r="AD303" s="35"/>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2626</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1451</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DLCs'!$A$3:$D$99999,4,FALSE))</f>
        <v>DLC_CLOCKWORK_CITY</v>
      </c>
      <c r="U304" s="3" t="str">
        <f>IF(T304&lt;&gt;"",VLOOKUP(T304,'&lt;Constants&gt;'!$B$4:$C$1020,2,FALSE),"")</f>
        <v>Clockwork City</v>
      </c>
      <c r="V304" s="30" t="s">
        <v>3256</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3256</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2627</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1451</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DLCs'!$A$3:$D$99999,4,FALSE))</f>
        <v>DLC_CLOCKWORK_CITY</v>
      </c>
      <c r="U305" s="3" t="str">
        <f>IF(T305&lt;&gt;"",VLOOKUP(T305,'&lt;Constants&gt;'!$B$4:$C$1020,2,FALSE),"")</f>
        <v>Clockwork City</v>
      </c>
      <c r="V305" s="30" t="s">
        <v>3256</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3256</v>
      </c>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2627</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1451</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DLCs'!$A$3:$D$99999,4,FALSE))</f>
        <v>DLC_CLOCKWORK_CITY</v>
      </c>
      <c r="U306" s="3" t="str">
        <f>IF(T306&lt;&gt;"",VLOOKUP(T306,'&lt;Constants&gt;'!$B$4:$C$1020,2,FALSE),"")</f>
        <v>Clockwork City</v>
      </c>
      <c r="V306" s="30" t="s">
        <v>3256</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3256</v>
      </c>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2626</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1457</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DLCs'!$A$3:$D$99999,4,FALSE))</f>
        <v>DLC_CLOCKWORK_CITY</v>
      </c>
      <c r="U307" s="3" t="str">
        <f>IF(T307&lt;&gt;"",VLOOKUP(T307,'&lt;Constants&gt;'!$B$4:$C$1020,2,FALSE),"")</f>
        <v>Clockwork City</v>
      </c>
      <c r="V307" s="30" t="s">
        <v>1534</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1535</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1537</v>
      </c>
      <c r="AI307" s="38"/>
      <c r="AJ307" s="38"/>
      <c r="AK307" s="3">
        <f>IF(AND(G307&lt;&gt;"LIBSETS_SETTYPE_BATTLEGROUND",G307&lt;&gt;"LIBSETS_SETTYPE_SPECIAL"),IF(AL307&lt;&gt;"",VLOOKUP(AL307,'ESO zones'!$D$5:$H$4958,5,FALSE),""),"")</f>
        <v>980</v>
      </c>
      <c r="AL307" t="s">
        <v>78</v>
      </c>
      <c r="AM307" s="39" t="s">
        <v>3193</v>
      </c>
      <c r="AN307" s="38"/>
      <c r="AO307" s="38"/>
      <c r="AP307" s="3" t="str">
        <f>IF(AND(G307&lt;&gt;"LIBSETS_SETTYPE_BATTLEGROUND",G307&lt;&gt;"LIBSETS_SETTYPE_SPECIAL"),IF(AQ307&lt;&gt;"",VLOOKUP(AQ307,'ESO zones'!$D$5:$H$4958,5,FALSE),""),"")</f>
        <v/>
      </c>
      <c r="AR307" s="118"/>
      <c r="AS307" s="38"/>
      <c r="AT307" s="38"/>
      <c r="AU307" s="3" t="str">
        <f>IF(AND(G307&lt;&gt;"LIBSETS_SETTYPE_BATTLEGROUND",G307&lt;&gt;"LIBSETS_SETTYPE_SPECIAL"),IF(AV307&lt;&gt;"",VLOOKUP(AV307,'ESO zones'!$D$5:$H$4958,5,FALSE),""),"")</f>
        <v/>
      </c>
      <c r="AX307" s="38"/>
      <c r="AY307" s="38"/>
      <c r="AZ307" s="72" t="s">
        <v>2626</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1457</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DLCs'!$A$3:$D$99999,4,FALSE))</f>
        <v>DLC_CLOCKWORK_CITY</v>
      </c>
      <c r="U308" s="3" t="str">
        <f>IF(T308&lt;&gt;"",VLOOKUP(T308,'&lt;Constants&gt;'!$B$4:$C$1020,2,FALSE),"")</f>
        <v>Clockwork City</v>
      </c>
      <c r="V308" s="30" t="s">
        <v>1534</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1535</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1537</v>
      </c>
      <c r="AI308" s="38"/>
      <c r="AJ308" s="38"/>
      <c r="AK308" s="3">
        <f>IF(AND(G308&lt;&gt;"LIBSETS_SETTYPE_BATTLEGROUND",G308&lt;&gt;"LIBSETS_SETTYPE_SPECIAL"),IF(AL308&lt;&gt;"",VLOOKUP(AL308,'ESO zones'!$D$5:$H$4958,5,FALSE),""),"")</f>
        <v>980</v>
      </c>
      <c r="AL308" t="s">
        <v>78</v>
      </c>
      <c r="AM308" s="39" t="s">
        <v>3193</v>
      </c>
      <c r="AN308" s="38"/>
      <c r="AO308" s="38"/>
      <c r="AP308" s="3" t="str">
        <f>IF(AND(G308&lt;&gt;"LIBSETS_SETTYPE_BATTLEGROUND",G308&lt;&gt;"LIBSETS_SETTYPE_SPECIAL"),IF(AQ308&lt;&gt;"",VLOOKUP(AQ308,'ESO zones'!$D$5:$H$4958,5,FALSE),""),"")</f>
        <v/>
      </c>
      <c r="AR308" s="118"/>
      <c r="AS308" s="38"/>
      <c r="AT308" s="38"/>
      <c r="AU308" s="3" t="str">
        <f>IF(AND(G308&lt;&gt;"LIBSETS_SETTYPE_BATTLEGROUND",G308&lt;&gt;"LIBSETS_SETTYPE_SPECIAL"),IF(AV308&lt;&gt;"",VLOOKUP(AV308,'ESO zones'!$D$5:$H$4958,5,FALSE),""),"")</f>
        <v/>
      </c>
      <c r="AX308" s="38"/>
      <c r="AY308" s="38"/>
      <c r="AZ308" s="72" t="s">
        <v>2626</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1457</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DLCs'!$A$3:$D$99999,4,FALSE))</f>
        <v>DLC_CLOCKWORK_CITY</v>
      </c>
      <c r="U309" s="3" t="str">
        <f>IF(T309&lt;&gt;"",VLOOKUP(T309,'&lt;Constants&gt;'!$B$4:$C$1020,2,FALSE),"")</f>
        <v>Clockwork City</v>
      </c>
      <c r="V309" s="30" t="s">
        <v>1534</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1535</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1537</v>
      </c>
      <c r="AI309" s="38"/>
      <c r="AJ309" s="38"/>
      <c r="AK309" s="3">
        <f>IF(AND(G309&lt;&gt;"LIBSETS_SETTYPE_BATTLEGROUND",G309&lt;&gt;"LIBSETS_SETTYPE_SPECIAL"),IF(AL309&lt;&gt;"",VLOOKUP(AL309,'ESO zones'!$D$5:$H$4958,5,FALSE),""),"")</f>
        <v>980</v>
      </c>
      <c r="AL309" t="s">
        <v>78</v>
      </c>
      <c r="AM309" s="39" t="s">
        <v>3193</v>
      </c>
      <c r="AN309" s="38"/>
      <c r="AO309" s="38"/>
      <c r="AP309" s="3" t="str">
        <f>IF(AND(G309&lt;&gt;"LIBSETS_SETTYPE_BATTLEGROUND",G309&lt;&gt;"LIBSETS_SETTYPE_SPECIAL"),IF(AQ309&lt;&gt;"",VLOOKUP(AQ309,'ESO zones'!$D$5:$H$4958,5,FALSE),""),"")</f>
        <v/>
      </c>
      <c r="AR309" s="118"/>
      <c r="AS309" s="38"/>
      <c r="AT309" s="38"/>
      <c r="AU309" s="3" t="str">
        <f>IF(AND(G309&lt;&gt;"LIBSETS_SETTYPE_BATTLEGROUND",G309&lt;&gt;"LIBSETS_SETTYPE_SPECIAL"),IF(AV309&lt;&gt;"",VLOOKUP(AV309,'ESO zones'!$D$5:$H$4958,5,FALSE),""),"")</f>
        <v/>
      </c>
      <c r="AX309" s="38"/>
      <c r="AY309" s="38"/>
      <c r="AZ309" s="72" t="s">
        <v>2626</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4293</v>
      </c>
      <c r="C310" t="s">
        <v>4282</v>
      </c>
      <c r="D310" s="3">
        <f t="shared" si="24"/>
        <v>357</v>
      </c>
      <c r="G310" s="8" t="s">
        <v>1458</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DLCs'!$A$3:$D$99999,4,FALSE))</f>
        <v>DLC_CLOCKWORK_CITY</v>
      </c>
      <c r="U310" s="3" t="str">
        <f>IF(T310&lt;&gt;"",VLOOKUP(T310,'&lt;Constants&gt;'!$B$4:$C$1020,2,FALSE),"")</f>
        <v>Clockwork City</v>
      </c>
      <c r="V310" s="30" t="s">
        <v>3234</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3234</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3234</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2626</v>
      </c>
      <c r="BA310" s="72"/>
      <c r="BB310" s="72"/>
      <c r="BC310" s="72"/>
      <c r="BD310" s="72" t="s">
        <v>3773</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4292</v>
      </c>
      <c r="C311" t="s">
        <v>4287</v>
      </c>
      <c r="D311" s="3">
        <f t="shared" si="24"/>
        <v>358</v>
      </c>
      <c r="G311" s="8" t="s">
        <v>1458</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DLCs'!$A$3:$D$99999,4,FALSE))</f>
        <v>DLC_CLOCKWORK_CITY</v>
      </c>
      <c r="U311" s="3" t="str">
        <f>IF(T311&lt;&gt;"",VLOOKUP(T311,'&lt;Constants&gt;'!$B$4:$C$1020,2,FALSE),"")</f>
        <v>Clockwork City</v>
      </c>
      <c r="V311" s="30" t="s">
        <v>3234</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3234</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3234</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2626</v>
      </c>
      <c r="BA311" s="72"/>
      <c r="BB311" s="72"/>
      <c r="BC311" s="72"/>
      <c r="BD311" s="72" t="s">
        <v>3773</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4291</v>
      </c>
      <c r="C312" t="s">
        <v>4286</v>
      </c>
      <c r="D312" s="3">
        <f t="shared" si="24"/>
        <v>359</v>
      </c>
      <c r="E312" s="37"/>
      <c r="G312" s="8" t="s">
        <v>1458</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DLCs'!$A$3:$D$99999,4,FALSE))</f>
        <v>DLC_CLOCKWORK_CITY</v>
      </c>
      <c r="U312" s="3" t="str">
        <f>IF(T312&lt;&gt;"",VLOOKUP(T312,'&lt;Constants&gt;'!$B$4:$C$1020,2,FALSE),"")</f>
        <v>Clockwork City</v>
      </c>
      <c r="V312" s="30" t="s">
        <v>3234</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3234</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3234</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2626</v>
      </c>
      <c r="BA312" s="72"/>
      <c r="BB312" s="72"/>
      <c r="BC312" s="72"/>
      <c r="BD312" s="72" t="s">
        <v>3773</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4290</v>
      </c>
      <c r="C313" t="s">
        <v>4285</v>
      </c>
      <c r="D313" s="3">
        <f t="shared" si="24"/>
        <v>360</v>
      </c>
      <c r="G313" s="8" t="s">
        <v>1458</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DLCs'!$A$3:$D$99999,4,FALSE))</f>
        <v>DLC_CLOCKWORK_CITY</v>
      </c>
      <c r="U313" s="3" t="str">
        <f>IF(T313&lt;&gt;"",VLOOKUP(T313,'&lt;Constants&gt;'!$B$4:$C$1020,2,FALSE),"")</f>
        <v>Clockwork City</v>
      </c>
      <c r="V313" s="30" t="s">
        <v>3234</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3234</v>
      </c>
      <c r="AC313" s="38"/>
      <c r="AD313" s="38"/>
      <c r="AE313" s="125">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3234</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2626</v>
      </c>
      <c r="BA313" s="72"/>
      <c r="BB313" s="72"/>
      <c r="BC313" s="72"/>
      <c r="BD313" s="72" t="s">
        <v>3773</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4289</v>
      </c>
      <c r="C314" t="s">
        <v>4284</v>
      </c>
      <c r="D314" s="3">
        <f t="shared" si="24"/>
        <v>361</v>
      </c>
      <c r="G314" s="8" t="s">
        <v>1458</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DLCs'!$A$3:$D$99999,4,FALSE))</f>
        <v>DLC_CLOCKWORK_CITY</v>
      </c>
      <c r="U314" s="3" t="str">
        <f>IF(T314&lt;&gt;"",VLOOKUP(T314,'&lt;Constants&gt;'!$B$4:$C$1020,2,FALSE),"")</f>
        <v>Clockwork City</v>
      </c>
      <c r="V314" s="30" t="s">
        <v>3234</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3234</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3234</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2626</v>
      </c>
      <c r="BA314" s="72"/>
      <c r="BB314" s="72"/>
      <c r="BC314" s="72"/>
      <c r="BD314" s="72" t="s">
        <v>3773</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4288</v>
      </c>
      <c r="C315" t="s">
        <v>4283</v>
      </c>
      <c r="D315" s="3">
        <f t="shared" si="24"/>
        <v>362</v>
      </c>
      <c r="G315" s="8" t="s">
        <v>1458</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DLCs'!$A$3:$D$99999,4,FALSE))</f>
        <v>DLC_CLOCKWORK_CITY</v>
      </c>
      <c r="U315" s="3" t="str">
        <f>IF(T315&lt;&gt;"",VLOOKUP(T315,'&lt;Constants&gt;'!$B$4:$C$1020,2,FALSE),"")</f>
        <v>Clockwork City</v>
      </c>
      <c r="V315" s="30" t="s">
        <v>3234</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3234</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3234</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2626</v>
      </c>
      <c r="BA315" s="72"/>
      <c r="BB315" s="72"/>
      <c r="BC315" s="72"/>
      <c r="BD315" s="72" t="s">
        <v>3773</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1458</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DLCs'!$A$3:$D$99999,4,FALSE))</f>
        <v>DLC_CLOCKWORK_CITY</v>
      </c>
      <c r="U316" s="3" t="str">
        <f>IF(T316&lt;&gt;"",VLOOKUP(T316,'&lt;Constants&gt;'!$B$4:$C$1020,2,FALSE),"")</f>
        <v>Clockwork City</v>
      </c>
      <c r="V316" s="30" t="s">
        <v>3234</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3234</v>
      </c>
      <c r="AC316" s="38"/>
      <c r="AD316" s="38"/>
      <c r="AE316" s="125">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3234</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2626</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1458</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DLCs'!$A$3:$D$99999,4,FALSE))</f>
        <v>DLC_CLOCKWORK_CITY</v>
      </c>
      <c r="U317" s="3" t="str">
        <f>IF(T317&lt;&gt;"",VLOOKUP(T317,'&lt;Constants&gt;'!$B$4:$C$1020,2,FALSE),"")</f>
        <v>Clockwork City</v>
      </c>
      <c r="V317" s="30" t="s">
        <v>3234</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3234</v>
      </c>
      <c r="AC317" s="38"/>
      <c r="AD317" s="38"/>
      <c r="AE317" s="125">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3234</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2626</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1458</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DLCs'!$A$3:$D$99999,4,FALSE))</f>
        <v>DLC_CLOCKWORK_CITY</v>
      </c>
      <c r="U318" s="3" t="str">
        <f>IF(T318&lt;&gt;"",VLOOKUP(T318,'&lt;Constants&gt;'!$B$4:$C$1020,2,FALSE),"")</f>
        <v>Clockwork City</v>
      </c>
      <c r="V318" s="30" t="s">
        <v>3234</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3234</v>
      </c>
      <c r="AC318" s="38"/>
      <c r="AD318" s="38"/>
      <c r="AE318" s="125">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3234</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2626</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1458</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DLCs'!$A$3:$D$99999,4,FALSE))</f>
        <v>DLC_CLOCKWORK_CITY</v>
      </c>
      <c r="U319" s="3" t="str">
        <f>IF(T319&lt;&gt;"",VLOOKUP(T319,'&lt;Constants&gt;'!$B$4:$C$1020,2,FALSE),"")</f>
        <v>Clockwork City</v>
      </c>
      <c r="V319" s="30" t="s">
        <v>3234</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3234</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3234</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2626</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1458</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DLCs'!$A$3:$D$99999,4,FALSE))</f>
        <v>DLC_CLOCKWORK_CITY</v>
      </c>
      <c r="U320" s="3" t="str">
        <f>IF(T320&lt;&gt;"",VLOOKUP(T320,'&lt;Constants&gt;'!$B$4:$C$1020,2,FALSE),"")</f>
        <v>Clockwork City</v>
      </c>
      <c r="V320" s="30" t="s">
        <v>3234</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3234</v>
      </c>
      <c r="AC320" s="38"/>
      <c r="AD320" s="38"/>
      <c r="AE320" s="125">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3234</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2626</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1458</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DLCs'!$A$3:$D$99999,4,FALSE))</f>
        <v>DLC_CLOCKWORK_CITY</v>
      </c>
      <c r="U321" s="3" t="str">
        <f>IF(T321&lt;&gt;"",VLOOKUP(T321,'&lt;Constants&gt;'!$B$4:$C$1020,2,FALSE),"")</f>
        <v>Clockwork City</v>
      </c>
      <c r="V321" s="30" t="s">
        <v>3234</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3234</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3234</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2626</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1449</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DLCs'!$A$3:$D$99999,4,FALSE))</f>
        <v>DLC_ORSINIUM</v>
      </c>
      <c r="U322" s="3" t="str">
        <f>IF(T322&lt;&gt;"",VLOOKUP(T322,'&lt;Constants&gt;'!$B$4:$C$1020,2,FALSE),"")</f>
        <v>Orsinium</v>
      </c>
      <c r="V322" s="30" t="s">
        <v>1530</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1530</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2626</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1449</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DLCs'!$A$3:$D$99999,4,FALSE))</f>
        <v>DLC_ORSINIUM</v>
      </c>
      <c r="U323" s="3" t="str">
        <f>IF(T323&lt;&gt;"",VLOOKUP(T323,'&lt;Constants&gt;'!$B$4:$C$1020,2,FALSE),"")</f>
        <v>Orsinium</v>
      </c>
      <c r="V323" s="30" t="s">
        <v>1530</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1530</v>
      </c>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2626</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1449</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DLCs'!$A$3:$D$99999,4,FALSE))</f>
        <v>DLC_ORSINIUM</v>
      </c>
      <c r="U324" s="3" t="str">
        <f>IF(T324&lt;&gt;"",VLOOKUP(T324,'&lt;Constants&gt;'!$B$4:$C$1020,2,FALSE),"")</f>
        <v>Orsinium</v>
      </c>
      <c r="V324" s="30" t="s">
        <v>1530</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1530</v>
      </c>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2626</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1449</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DLCs'!$A$3:$D$99999,4,FALSE))</f>
        <v>DLC_ORSINIUM</v>
      </c>
      <c r="U325" s="3" t="str">
        <f>IF(T325&lt;&gt;"",VLOOKUP(T325,'&lt;Constants&gt;'!$B$4:$C$1020,2,FALSE),"")</f>
        <v>Orsinium</v>
      </c>
      <c r="V325" s="30" t="s">
        <v>1530</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1530</v>
      </c>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2626</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1449</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DLCs'!$A$3:$D$99999,4,FALSE))</f>
        <v>DLC_ORSINIUM</v>
      </c>
      <c r="U326" s="3" t="str">
        <f>IF(T326&lt;&gt;"",VLOOKUP(T326,'&lt;Constants&gt;'!$B$4:$C$1020,2,FALSE),"")</f>
        <v>Orsinium</v>
      </c>
      <c r="V326" s="30" t="s">
        <v>1530</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1530</v>
      </c>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2627</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1449</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DLCs'!$A$3:$D$99999,4,FALSE))</f>
        <v>DLC_ORSINIUM</v>
      </c>
      <c r="U327" s="3" t="str">
        <f>IF(T327&lt;&gt;"",VLOOKUP(T327,'&lt;Constants&gt;'!$B$4:$C$1020,2,FALSE),"")</f>
        <v>Orsinium</v>
      </c>
      <c r="V327" s="30" t="s">
        <v>1530</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1530</v>
      </c>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2626</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2586</v>
      </c>
      <c r="D328" s="3">
        <f t="shared" si="30"/>
        <v>380</v>
      </c>
      <c r="E328" t="s">
        <v>1442</v>
      </c>
      <c r="F328" t="s">
        <v>1400</v>
      </c>
      <c r="G328" s="8" t="s">
        <v>1459</v>
      </c>
      <c r="I328" t="s">
        <v>91</v>
      </c>
      <c r="J328" t="s">
        <v>91</v>
      </c>
      <c r="K328">
        <v>-1</v>
      </c>
      <c r="L328">
        <v>-1</v>
      </c>
      <c r="M328">
        <v>-1</v>
      </c>
      <c r="O328" s="58" t="s">
        <v>1489</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DLCs'!$A$3:$D$99999,4,FALSE))</f>
        <v>DLC_BASE_GAME</v>
      </c>
      <c r="U328" s="3" t="str">
        <f>IF(T328&lt;&gt;"",VLOOKUP(T328,'&lt;Constants&gt;'!$B$4:$C$1020,2,FALSE),"")</f>
        <v>Included in base game</v>
      </c>
      <c r="V328" s="30" t="s">
        <v>1588</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t="str">
        <f>IF(AB328&lt;&gt;"",IF(AB328&lt;&gt;"LIBSETS_DROP_MECHANIC_MONSTER_NAME",VLOOKUP(AB328,'&lt;Constants&gt;'!$I$4:$L$1020,3,FALSE),""),"")</f>
        <v/>
      </c>
      <c r="AD328" s="38" t="str">
        <f>IF(AB328&lt;&gt;"",IF(AB328&lt;&gt;"LIBSETS_DROP_MECHANIC_MONSTER_NAME",VLOOKUP(AB328,'&lt;Constants&gt;'!$I$4:$L$1020,4,FALSE),""),"")</f>
        <v/>
      </c>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2626</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1459</v>
      </c>
      <c r="I329" t="s">
        <v>91</v>
      </c>
      <c r="J329" t="s">
        <v>91</v>
      </c>
      <c r="K329">
        <v>-1</v>
      </c>
      <c r="L329">
        <v>-1</v>
      </c>
      <c r="M329">
        <v>-1</v>
      </c>
      <c r="O329" s="58" t="s">
        <v>1489</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DLCs'!$A$3:$D$99999,4,FALSE))</f>
        <v>DLC_BASE_GAME</v>
      </c>
      <c r="U329" s="3" t="str">
        <f>IF(T329&lt;&gt;"",VLOOKUP(T329,'&lt;Constants&gt;'!$B$4:$C$1020,2,FALSE),"")</f>
        <v>Included in base game</v>
      </c>
      <c r="V329" s="30" t="s">
        <v>1588</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t="str">
        <f>IF(AB329&lt;&gt;"",IF(AB329&lt;&gt;"LIBSETS_DROP_MECHANIC_MONSTER_NAME",VLOOKUP(AB329,'&lt;Constants&gt;'!$I$4:$L$1020,3,FALSE),""),"")</f>
        <v/>
      </c>
      <c r="AD329" s="38" t="str">
        <f>IF(AB329&lt;&gt;"",IF(AB329&lt;&gt;"LIBSETS_DROP_MECHANIC_MONSTER_NAME",VLOOKUP(AB329,'&lt;Constants&gt;'!$I$4:$L$1020,4,FALSE),""),"")</f>
        <v/>
      </c>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2626</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1457</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DLCs'!$A$3:$D$99999,4,FALSE))</f>
        <v>DLC_SUMMERSET</v>
      </c>
      <c r="U330" s="3" t="str">
        <f>IF(T330&lt;&gt;"",VLOOKUP(T330,'&lt;Constants&gt;'!$B$4:$C$1020,2,FALSE),"")</f>
        <v>Summerset</v>
      </c>
      <c r="V330" s="30" t="s">
        <v>1534</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1535</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1536</v>
      </c>
      <c r="AI330" s="38"/>
      <c r="AJ330" s="38"/>
      <c r="AK330" s="3">
        <f>IF(AND(G330&lt;&gt;"LIBSETS_SETTYPE_BATTLEGROUND",G330&lt;&gt;"LIBSETS_SETTYPE_SPECIAL"),IF(AL330&lt;&gt;"",VLOOKUP(AL330,'ESO zones'!$D$5:$H$4958,5,FALSE),""),"")</f>
        <v>1011</v>
      </c>
      <c r="AL330" t="s">
        <v>79</v>
      </c>
      <c r="AM330" s="30" t="s">
        <v>1537</v>
      </c>
      <c r="AN330" s="38"/>
      <c r="AO330" s="38"/>
      <c r="AP330" s="3">
        <f>IF(AND(G330&lt;&gt;"LIBSETS_SETTYPE_BATTLEGROUND",G330&lt;&gt;"LIBSETS_SETTYPE_SPECIAL"),IF(AQ330&lt;&gt;"",VLOOKUP(AQ330,'ESO zones'!$D$5:$H$4958,5,FALSE),""),"")</f>
        <v>1021</v>
      </c>
      <c r="AQ330" t="s">
        <v>671</v>
      </c>
      <c r="AR330" s="118" t="s">
        <v>1536</v>
      </c>
      <c r="AS330" s="38"/>
      <c r="AT330" s="38"/>
      <c r="AU330" s="3">
        <f>IF(AND(G330&lt;&gt;"LIBSETS_SETTYPE_BATTLEGROUND",G330&lt;&gt;"LIBSETS_SETTYPE_SPECIAL"),IF(AV330&lt;&gt;"",VLOOKUP(AV330,'ESO zones'!$D$5:$H$4958,5,FALSE),""),"")</f>
        <v>1027</v>
      </c>
      <c r="AV330" t="s">
        <v>677</v>
      </c>
      <c r="AW330" s="30" t="s">
        <v>1534</v>
      </c>
      <c r="AX330" s="38"/>
      <c r="AY330" s="38"/>
      <c r="AZ330" s="72" t="s">
        <v>2626</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2587</v>
      </c>
      <c r="D331" s="3">
        <f t="shared" si="30"/>
        <v>383</v>
      </c>
      <c r="G331" s="8" t="s">
        <v>1457</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DLCs'!$A$3:$D$99999,4,FALSE))</f>
        <v>DLC_SUMMERSET</v>
      </c>
      <c r="U331" s="3" t="str">
        <f>IF(T331&lt;&gt;"",VLOOKUP(T331,'&lt;Constants&gt;'!$B$4:$C$1020,2,FALSE),"")</f>
        <v>Summerset</v>
      </c>
      <c r="V331" s="30" t="s">
        <v>1534</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1535</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1536</v>
      </c>
      <c r="AI331" s="38"/>
      <c r="AJ331" s="38"/>
      <c r="AK331" s="3">
        <f>IF(AND(G331&lt;&gt;"LIBSETS_SETTYPE_BATTLEGROUND",G331&lt;&gt;"LIBSETS_SETTYPE_SPECIAL"),IF(AL331&lt;&gt;"",VLOOKUP(AL331,'ESO zones'!$D$5:$H$4958,5,FALSE),""),"")</f>
        <v>1011</v>
      </c>
      <c r="AL331" t="s">
        <v>79</v>
      </c>
      <c r="AM331" s="30" t="s">
        <v>1537</v>
      </c>
      <c r="AN331" s="38"/>
      <c r="AO331" s="38"/>
      <c r="AP331" s="3">
        <f>IF(AND(G331&lt;&gt;"LIBSETS_SETTYPE_BATTLEGROUND",G331&lt;&gt;"LIBSETS_SETTYPE_SPECIAL"),IF(AQ331&lt;&gt;"",VLOOKUP(AQ331,'ESO zones'!$D$5:$H$4958,5,FALSE),""),"")</f>
        <v>1021</v>
      </c>
      <c r="AQ331" t="s">
        <v>671</v>
      </c>
      <c r="AR331" s="118" t="s">
        <v>1536</v>
      </c>
      <c r="AS331" s="38"/>
      <c r="AT331" s="38"/>
      <c r="AU331" s="3">
        <f>IF(AND(G331&lt;&gt;"LIBSETS_SETTYPE_BATTLEGROUND",G331&lt;&gt;"LIBSETS_SETTYPE_SPECIAL"),IF(AV331&lt;&gt;"",VLOOKUP(AV331,'ESO zones'!$D$5:$H$4958,5,FALSE),""),"")</f>
        <v>1027</v>
      </c>
      <c r="AV331" t="s">
        <v>677</v>
      </c>
      <c r="AW331" s="30" t="s">
        <v>1534</v>
      </c>
      <c r="AX331" s="38"/>
      <c r="AY331" s="38"/>
      <c r="AZ331" s="72" t="s">
        <v>2626</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1457</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DLCs'!$A$3:$D$99999,4,FALSE))</f>
        <v>DLC_SUMMERSET</v>
      </c>
      <c r="U332" s="3" t="str">
        <f>IF(T332&lt;&gt;"",VLOOKUP(T332,'&lt;Constants&gt;'!$B$4:$C$1020,2,FALSE),"")</f>
        <v>Summerset</v>
      </c>
      <c r="V332" s="30" t="s">
        <v>1534</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1535</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1536</v>
      </c>
      <c r="AI332" s="38"/>
      <c r="AJ332" s="38"/>
      <c r="AK332" s="3">
        <f>IF(AND(G332&lt;&gt;"LIBSETS_SETTYPE_BATTLEGROUND",G332&lt;&gt;"LIBSETS_SETTYPE_SPECIAL"),IF(AL332&lt;&gt;"",VLOOKUP(AL332,'ESO zones'!$D$5:$H$4958,5,FALSE),""),"")</f>
        <v>1011</v>
      </c>
      <c r="AL332" t="s">
        <v>79</v>
      </c>
      <c r="AM332" s="30" t="s">
        <v>1537</v>
      </c>
      <c r="AN332" s="38"/>
      <c r="AO332" s="38"/>
      <c r="AP332" s="3">
        <f>IF(AND(G332&lt;&gt;"LIBSETS_SETTYPE_BATTLEGROUND",G332&lt;&gt;"LIBSETS_SETTYPE_SPECIAL"),IF(AQ332&lt;&gt;"",VLOOKUP(AQ332,'ESO zones'!$D$5:$H$4958,5,FALSE),""),"")</f>
        <v>1021</v>
      </c>
      <c r="AQ332" t="s">
        <v>671</v>
      </c>
      <c r="AR332" s="118" t="s">
        <v>1536</v>
      </c>
      <c r="AS332" s="38"/>
      <c r="AT332" s="38"/>
      <c r="AU332" s="3">
        <f>IF(AND(G332&lt;&gt;"LIBSETS_SETTYPE_BATTLEGROUND",G332&lt;&gt;"LIBSETS_SETTYPE_SPECIAL"),IF(AV332&lt;&gt;"",VLOOKUP(AV332,'ESO zones'!$D$5:$H$4958,5,FALSE),""),"")</f>
        <v>1027</v>
      </c>
      <c r="AV332" t="s">
        <v>677</v>
      </c>
      <c r="AW332" s="30" t="s">
        <v>1534</v>
      </c>
      <c r="AX332" s="38"/>
      <c r="AY332" s="38"/>
      <c r="AZ332" s="72" t="s">
        <v>2626</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1451</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DLCs'!$A$3:$D$99999,4,FALSE))</f>
        <v>DLC_SUMMERSET</v>
      </c>
      <c r="U333" s="3" t="str">
        <f>IF(T333&lt;&gt;"",VLOOKUP(T333,'&lt;Constants&gt;'!$B$4:$C$1020,2,FALSE),"")</f>
        <v>Summerset</v>
      </c>
      <c r="V333" s="30" t="s">
        <v>3256</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3256</v>
      </c>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3256</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2626</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2588</v>
      </c>
      <c r="D334" s="3">
        <f t="shared" si="30"/>
        <v>386</v>
      </c>
      <c r="G334" s="8" t="s">
        <v>1451</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DLCs'!$A$3:$D$99999,4,FALSE))</f>
        <v>DLC_SUMMERSET</v>
      </c>
      <c r="U334" s="3" t="str">
        <f>IF(T334&lt;&gt;"",VLOOKUP(T334,'&lt;Constants&gt;'!$B$4:$C$1020,2,FALSE),"")</f>
        <v>Summerset</v>
      </c>
      <c r="V334" s="30" t="s">
        <v>3256</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3256</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3256</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2626</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2589</v>
      </c>
      <c r="D335" s="3">
        <f t="shared" si="30"/>
        <v>387</v>
      </c>
      <c r="G335" s="8" t="s">
        <v>1451</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DLCs'!$A$3:$D$99999,4,FALSE))</f>
        <v>DLC_SUMMERSET</v>
      </c>
      <c r="U335" s="3" t="str">
        <f>IF(T335&lt;&gt;"",VLOOKUP(T335,'&lt;Constants&gt;'!$B$4:$C$1020,2,FALSE),"")</f>
        <v>Summerset</v>
      </c>
      <c r="V335" s="30" t="s">
        <v>3256</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3256</v>
      </c>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3256</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2626</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1458</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DLCs'!$A$3:$D$99999,4,FALSE))</f>
        <v>DLC_SUMMERSET</v>
      </c>
      <c r="U336" s="3" t="str">
        <f>IF(T336&lt;&gt;"",VLOOKUP(T336,'&lt;Constants&gt;'!$B$4:$C$1020,2,FALSE),"")</f>
        <v>Summerset</v>
      </c>
      <c r="V336" s="30" t="s">
        <v>3234</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3234</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3234</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2626</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1458</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DLCs'!$A$3:$D$99999,4,FALSE))</f>
        <v>DLC_SUMMERSET</v>
      </c>
      <c r="U337" s="3" t="str">
        <f>IF(T337&lt;&gt;"",VLOOKUP(T337,'&lt;Constants&gt;'!$B$4:$C$1020,2,FALSE),"")</f>
        <v>Summerset</v>
      </c>
      <c r="V337" s="30" t="s">
        <v>3234</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3234</v>
      </c>
      <c r="AC337" s="38"/>
      <c r="AD337" s="38"/>
      <c r="AE337" s="126">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3234</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2626</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1458</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DLCs'!$A$3:$D$99999,4,FALSE))</f>
        <v>DLC_SUMMERSET</v>
      </c>
      <c r="U338" s="3" t="str">
        <f>IF(T338&lt;&gt;"",VLOOKUP(T338,'&lt;Constants&gt;'!$B$4:$C$1020,2,FALSE),"")</f>
        <v>Summerset</v>
      </c>
      <c r="V338" s="30" t="s">
        <v>3234</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3234</v>
      </c>
      <c r="AC338" s="38"/>
      <c r="AD338" s="38"/>
      <c r="AE338" s="126">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3234</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2626</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1458</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DLCs'!$A$3:$D$99999,4,FALSE))</f>
        <v>DLC_SUMMERSET</v>
      </c>
      <c r="U339" s="3" t="str">
        <f>IF(T339&lt;&gt;"",VLOOKUP(T339,'&lt;Constants&gt;'!$B$4:$C$1020,2,FALSE),"")</f>
        <v>Summerset</v>
      </c>
      <c r="V339" s="30" t="s">
        <v>3234</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3234</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3234</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2626</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1458</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DLCs'!$A$3:$D$99999,4,FALSE))</f>
        <v>DLC_SUMMERSET</v>
      </c>
      <c r="U340" s="3" t="str">
        <f>IF(T340&lt;&gt;"",VLOOKUP(T340,'&lt;Constants&gt;'!$B$4:$C$1020,2,FALSE),"")</f>
        <v>Summerset</v>
      </c>
      <c r="V340" s="30" t="s">
        <v>3234</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3234</v>
      </c>
      <c r="AC340" s="38"/>
      <c r="AD340" s="38"/>
      <c r="AE340" s="126">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3234</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2626</v>
      </c>
      <c r="BA340" s="72"/>
      <c r="BB340" s="72"/>
      <c r="BC340" s="72"/>
      <c r="BD340" s="72" t="s">
        <v>3773</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1458</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DLCs'!$A$3:$D$99999,4,FALSE))</f>
        <v>DLC_SUMMERSET</v>
      </c>
      <c r="U341" s="3" t="str">
        <f>IF(T341&lt;&gt;"",VLOOKUP(T341,'&lt;Constants&gt;'!$B$4:$C$1020,2,FALSE),"")</f>
        <v>Summerset</v>
      </c>
      <c r="V341" s="30" t="s">
        <v>3234</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3234</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3234</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2626</v>
      </c>
      <c r="BA341" s="72"/>
      <c r="BB341" s="72"/>
      <c r="BC341" s="72"/>
      <c r="BD341" s="72" t="s">
        <v>3773</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1458</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DLCs'!$A$3:$D$99999,4,FALSE))</f>
        <v>DLC_SUMMERSET</v>
      </c>
      <c r="U342" s="3" t="str">
        <f>IF(T342&lt;&gt;"",VLOOKUP(T342,'&lt;Constants&gt;'!$B$4:$C$1020,2,FALSE),"")</f>
        <v>Summerset</v>
      </c>
      <c r="V342" s="30" t="s">
        <v>3234</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3234</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3234</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2626</v>
      </c>
      <c r="BA342" s="72"/>
      <c r="BB342" s="72"/>
      <c r="BC342" s="72"/>
      <c r="BD342" s="72" t="s">
        <v>3773</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1458</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DLCs'!$A$3:$D$99999,4,FALSE))</f>
        <v>DLC_SUMMERSET</v>
      </c>
      <c r="U343" s="3" t="str">
        <f>IF(T343&lt;&gt;"",VLOOKUP(T343,'&lt;Constants&gt;'!$B$4:$C$1020,2,FALSE),"")</f>
        <v>Summerset</v>
      </c>
      <c r="V343" s="30" t="s">
        <v>3234</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3234</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3234</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2626</v>
      </c>
      <c r="BA343" s="72"/>
      <c r="BB343" s="72"/>
      <c r="BC343" s="72"/>
      <c r="BD343" s="72" t="s">
        <v>3773</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1456</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DLCs'!$A$3:$D$99999,4,FALSE))</f>
        <v>DLC_WOLFHUNTER</v>
      </c>
      <c r="U344" s="3" t="str">
        <f>IF(T344&lt;&gt;"",VLOOKUP(T344,'&lt;Constants&gt;'!$B$4:$C$1020,2,FALSE),"")</f>
        <v>Wolfhunter</v>
      </c>
      <c r="V344" s="30" t="s">
        <v>1518</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5"/>
      <c r="AD344" s="35"/>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2626</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1456</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DLCs'!$A$3:$D$99999,4,FALSE))</f>
        <v>DLC_WOLFHUNTER</v>
      </c>
      <c r="U345" s="3" t="str">
        <f>IF(T345&lt;&gt;"",VLOOKUP(T345,'&lt;Constants&gt;'!$B$4:$C$1020,2,FALSE),"")</f>
        <v>Wolfhunter</v>
      </c>
      <c r="V345" s="30" t="s">
        <v>1518</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5"/>
      <c r="AD345" s="35"/>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2626</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2590</v>
      </c>
      <c r="D346" s="3">
        <f t="shared" si="30"/>
        <v>399</v>
      </c>
      <c r="G346" s="8" t="s">
        <v>1454</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DLCs'!$A$3:$D$99999,4,FALSE))</f>
        <v>DLC_WOLFHUNTER</v>
      </c>
      <c r="U346" s="3" t="str">
        <f>IF(T346&lt;&gt;"",VLOOKUP(T346,'&lt;Constants&gt;'!$B$4:$C$1020,2,FALSE),"")</f>
        <v>Wolfhunter</v>
      </c>
      <c r="V346" s="30" t="s">
        <v>3253</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2626</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1454</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DLCs'!$A$3:$D$99999,4,FALSE))</f>
        <v>DLC_WOLFHUNTER</v>
      </c>
      <c r="U347" s="3" t="str">
        <f>IF(T347&lt;&gt;"",VLOOKUP(T347,'&lt;Constants&gt;'!$B$4:$C$1020,2,FALSE),"")</f>
        <v>Wolfhunter</v>
      </c>
      <c r="V347" s="30" t="s">
        <v>3253</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2626</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1454</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DLCs'!$A$3:$D$99999,4,FALSE))</f>
        <v>DLC_WOLFHUNTER</v>
      </c>
      <c r="U348" s="3" t="str">
        <f>IF(T348&lt;&gt;"",VLOOKUP(T348,'&lt;Constants&gt;'!$B$4:$C$1020,2,FALSE),"")</f>
        <v>Wolfhunter</v>
      </c>
      <c r="V348" s="30" t="s">
        <v>3253</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2626</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1454</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DLCs'!$A$3:$D$99999,4,FALSE))</f>
        <v>DLC_WOLFHUNTER</v>
      </c>
      <c r="U349" s="3" t="str">
        <f>IF(T349&lt;&gt;"",VLOOKUP(T349,'&lt;Constants&gt;'!$B$4:$C$1020,2,FALSE),"")</f>
        <v>Wolfhunter</v>
      </c>
      <c r="V349" s="30" t="s">
        <v>3253</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2626</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1454</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DLCs'!$A$3:$D$99999,4,FALSE))</f>
        <v>DLC_WOLFHUNTER</v>
      </c>
      <c r="U350" s="3" t="str">
        <f>IF(T350&lt;&gt;"",VLOOKUP(T350,'&lt;Constants&gt;'!$B$4:$C$1020,2,FALSE),"")</f>
        <v>Wolfhunter</v>
      </c>
      <c r="V350" s="30" t="s">
        <v>3253</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2626</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2591</v>
      </c>
      <c r="D351" s="3">
        <f t="shared" si="30"/>
        <v>404</v>
      </c>
      <c r="G351" s="8" t="s">
        <v>1454</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DLCs'!$A$3:$D$99999,4,FALSE))</f>
        <v>DLC_WOLFHUNTER</v>
      </c>
      <c r="U351" s="3" t="str">
        <f>IF(T351&lt;&gt;"",VLOOKUP(T351,'&lt;Constants&gt;'!$B$4:$C$1020,2,FALSE),"")</f>
        <v>Wolfhunter</v>
      </c>
      <c r="V351" s="30" t="s">
        <v>3253</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2626</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2592</v>
      </c>
      <c r="D352" s="3">
        <f t="shared" si="30"/>
        <v>405</v>
      </c>
      <c r="E352" s="37"/>
      <c r="G352" s="8" t="s">
        <v>1457</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DLCs'!$A$3:$D$99999,4,FALSE))</f>
        <v>DLC_MURKMIRE</v>
      </c>
      <c r="U352" s="3" t="str">
        <f>IF(T352&lt;&gt;"",VLOOKUP(T352,'&lt;Constants&gt;'!$B$4:$C$1020,2,FALSE),"")</f>
        <v>Murkmire</v>
      </c>
      <c r="V352" s="30" t="s">
        <v>1534</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1535</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1537</v>
      </c>
      <c r="AI352" s="38"/>
      <c r="AJ352" s="38"/>
      <c r="AK352" s="3">
        <f>IF(AND(G352&lt;&gt;"LIBSETS_SETTYPE_BATTLEGROUND",G352&lt;&gt;"LIBSETS_SETTYPE_SPECIAL"),IF(AL352&lt;&gt;"",VLOOKUP(AL352,'ESO zones'!$D$5:$H$4958,5,FALSE),""),"")</f>
        <v>726</v>
      </c>
      <c r="AL352" t="s">
        <v>80</v>
      </c>
      <c r="AM352" s="39" t="s">
        <v>3193</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2626</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2593</v>
      </c>
      <c r="D353" s="3">
        <f t="shared" si="30"/>
        <v>406</v>
      </c>
      <c r="G353" s="8" t="s">
        <v>1457</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DLCs'!$A$3:$D$99999,4,FALSE))</f>
        <v>DLC_MURKMIRE</v>
      </c>
      <c r="U353" s="3" t="str">
        <f>IF(T353&lt;&gt;"",VLOOKUP(T353,'&lt;Constants&gt;'!$B$4:$C$1020,2,FALSE),"")</f>
        <v>Murkmire</v>
      </c>
      <c r="V353" s="30" t="s">
        <v>1534</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1535</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1537</v>
      </c>
      <c r="AI353" s="38"/>
      <c r="AJ353" s="38"/>
      <c r="AK353" s="3">
        <f>IF(AND(G353&lt;&gt;"LIBSETS_SETTYPE_BATTLEGROUND",G353&lt;&gt;"LIBSETS_SETTYPE_SPECIAL"),IF(AL353&lt;&gt;"",VLOOKUP(AL353,'ESO zones'!$D$5:$H$4958,5,FALSE),""),"")</f>
        <v>726</v>
      </c>
      <c r="AL353" t="s">
        <v>80</v>
      </c>
      <c r="AM353" s="39" t="s">
        <v>3193</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2626</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1457</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DLCs'!$A$3:$D$99999,4,FALSE))</f>
        <v>DLC_MURKMIRE</v>
      </c>
      <c r="U354" s="3" t="str">
        <f>IF(T354&lt;&gt;"",VLOOKUP(T354,'&lt;Constants&gt;'!$B$4:$C$1020,2,FALSE),"")</f>
        <v>Murkmire</v>
      </c>
      <c r="V354" s="30" t="s">
        <v>1534</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1535</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1537</v>
      </c>
      <c r="AI354" s="38"/>
      <c r="AJ354" s="38"/>
      <c r="AK354" s="3">
        <f>IF(AND(G354&lt;&gt;"LIBSETS_SETTYPE_BATTLEGROUND",G354&lt;&gt;"LIBSETS_SETTYPE_SPECIAL"),IF(AL354&lt;&gt;"",VLOOKUP(AL354,'ESO zones'!$D$5:$H$4958,5,FALSE),""),"")</f>
        <v>726</v>
      </c>
      <c r="AL354" t="s">
        <v>80</v>
      </c>
      <c r="AM354" s="39" t="s">
        <v>3193</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2626</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1451</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DLCs'!$A$3:$D$99999,4,FALSE))</f>
        <v>DLC_MURKMIRE</v>
      </c>
      <c r="U355" s="3" t="str">
        <f>IF(T355&lt;&gt;"",VLOOKUP(T355,'&lt;Constants&gt;'!$B$4:$C$1020,2,FALSE),"")</f>
        <v>Murkmire</v>
      </c>
      <c r="V355" s="30" t="s">
        <v>3256</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3256</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2626</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1451</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DLCs'!$A$3:$D$99999,4,FALSE))</f>
        <v>DLC_MURKMIRE</v>
      </c>
      <c r="U356" s="3" t="str">
        <f>IF(T356&lt;&gt;"",VLOOKUP(T356,'&lt;Constants&gt;'!$B$4:$C$1020,2,FALSE),"")</f>
        <v>Murkmire</v>
      </c>
      <c r="V356" s="30" t="s">
        <v>3256</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3256</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2626</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1451</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DLCs'!$A$3:$D$99999,4,FALSE))</f>
        <v>DLC_MURKMIRE</v>
      </c>
      <c r="U357" s="3" t="str">
        <f>IF(T357&lt;&gt;"",VLOOKUP(T357,'&lt;Constants&gt;'!$B$4:$C$1020,2,FALSE),"")</f>
        <v>Murkmire</v>
      </c>
      <c r="V357" s="30" t="s">
        <v>3256</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3256</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2626</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1449</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DLCs'!$A$3:$D$99999,4,FALSE))</f>
        <v>DLC_MURKMIRE</v>
      </c>
      <c r="U358" s="3" t="str">
        <f>IF(T358&lt;&gt;"",VLOOKUP(T358,'&lt;Constants&gt;'!$B$4:$C$1020,2,FALSE),"")</f>
        <v>Murkmire</v>
      </c>
      <c r="V358" s="30" t="s">
        <v>1530</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1530</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2626</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1449</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DLCs'!$A$3:$D$99999,4,FALSE))</f>
        <v>DLC_MURKMIRE</v>
      </c>
      <c r="U359" s="3" t="str">
        <f>IF(T359&lt;&gt;"",VLOOKUP(T359,'&lt;Constants&gt;'!$B$4:$C$1020,2,FALSE),"")</f>
        <v>Murkmire</v>
      </c>
      <c r="V359" s="30" t="s">
        <v>1530</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1530</v>
      </c>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2626</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1449</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DLCs'!$A$3:$D$99999,4,FALSE))</f>
        <v>DLC_MURKMIRE</v>
      </c>
      <c r="U360" s="3" t="str">
        <f>IF(T360&lt;&gt;"",VLOOKUP(T360,'&lt;Constants&gt;'!$B$4:$C$1020,2,FALSE),"")</f>
        <v>Murkmire</v>
      </c>
      <c r="V360" s="30" t="s">
        <v>1530</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1530</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2626</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1449</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DLCs'!$A$3:$D$99999,4,FALSE))</f>
        <v>DLC_MURKMIRE</v>
      </c>
      <c r="U361" s="3" t="str">
        <f>IF(T361&lt;&gt;"",VLOOKUP(T361,'&lt;Constants&gt;'!$B$4:$C$1020,2,FALSE),"")</f>
        <v>Murkmire</v>
      </c>
      <c r="V361" s="30" t="s">
        <v>1530</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1530</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2626</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1449</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DLCs'!$A$3:$D$99999,4,FALSE))</f>
        <v>DLC_MURKMIRE</v>
      </c>
      <c r="U362" s="3" t="str">
        <f>IF(T362&lt;&gt;"",VLOOKUP(T362,'&lt;Constants&gt;'!$B$4:$C$1020,2,FALSE),"")</f>
        <v>Murkmire</v>
      </c>
      <c r="V362" s="30" t="s">
        <v>1530</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1530</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2626</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2594</v>
      </c>
      <c r="D363" s="3">
        <f t="shared" si="30"/>
        <v>416</v>
      </c>
      <c r="G363" s="8" t="s">
        <v>1449</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DLCs'!$A$3:$D$99999,4,FALSE))</f>
        <v>DLC_MURKMIRE</v>
      </c>
      <c r="U363" s="3" t="str">
        <f>IF(T363&lt;&gt;"",VLOOKUP(T363,'&lt;Constants&gt;'!$B$4:$C$1020,2,FALSE),"")</f>
        <v>Murkmire</v>
      </c>
      <c r="V363" s="30" t="s">
        <v>1530</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1530</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2626</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1452</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DLCs'!$A$3:$D$99999,4,FALSE))</f>
        <v>DLC_BASE_GAME</v>
      </c>
      <c r="U364" s="3" t="str">
        <f>IF(T364&lt;&gt;"",VLOOKUP(T364,'&lt;Constants&gt;'!$B$4:$C$1020,2,FALSE),"")</f>
        <v>Included in base game</v>
      </c>
      <c r="V364" s="30" t="s">
        <v>1515</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3681</v>
      </c>
      <c r="AC364" s="38"/>
      <c r="AD364" s="38"/>
      <c r="AE364" s="125">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2736</v>
      </c>
      <c r="AK364" s="3">
        <f>IF(AND(G364&lt;&gt;"LIBSETS_SETTYPE_BATTLEGROUND",G364&lt;&gt;"LIBSETS_SETTYPE_SPECIAL"),IF(AL364&lt;&gt;"",VLOOKUP(AL364,'ESO zones'!$D$5:$H$4958,5,FALSE),""),"")</f>
        <v>181</v>
      </c>
      <c r="AL364" t="s">
        <v>124</v>
      </c>
      <c r="AM364" s="30" t="s">
        <v>3684</v>
      </c>
      <c r="AP364" s="3">
        <f>IF(AND(G364&lt;&gt;"LIBSETS_SETTYPE_BATTLEGROUND",G364&lt;&gt;"LIBSETS_SETTYPE_SPECIAL"),IF(AQ364&lt;&gt;"",VLOOKUP(AQ364,'ESO zones'!$D$5:$H$4958,5,FALSE),""),"")</f>
        <v>181</v>
      </c>
      <c r="AQ364" t="s">
        <v>124</v>
      </c>
      <c r="AR364" s="30" t="s">
        <v>1534</v>
      </c>
      <c r="AU364" s="3">
        <f>IF(AND(G364&lt;&gt;"LIBSETS_SETTYPE_BATTLEGROUND",G364&lt;&gt;"LIBSETS_SETTYPE_SPECIAL"),IF(AV364&lt;&gt;"",VLOOKUP(AV364,'ESO zones'!$D$5:$H$4958,5,FALSE),""),"")</f>
        <v>181</v>
      </c>
      <c r="AV364" t="s">
        <v>124</v>
      </c>
      <c r="AW364" s="30" t="s">
        <v>3205</v>
      </c>
      <c r="AZ364" s="72" t="s">
        <v>2626</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1452</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DLCs'!$A$3:$D$99999,4,FALSE))</f>
        <v>DLC_BASE_GAME</v>
      </c>
      <c r="U365" s="3" t="str">
        <f>IF(T365&lt;&gt;"",VLOOKUP(T365,'&lt;Constants&gt;'!$B$4:$C$1020,2,FALSE),"")</f>
        <v>Included in base game</v>
      </c>
      <c r="V365" s="30" t="s">
        <v>1515</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3681</v>
      </c>
      <c r="AC365" s="38"/>
      <c r="AD365" s="38"/>
      <c r="AE365" s="125">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2736</v>
      </c>
      <c r="AI365" s="38"/>
      <c r="AJ365" s="38"/>
      <c r="AK365" s="3">
        <f>IF(AND(G365&lt;&gt;"LIBSETS_SETTYPE_BATTLEGROUND",G365&lt;&gt;"LIBSETS_SETTYPE_SPECIAL"),IF(AL365&lt;&gt;"",VLOOKUP(AL365,'ESO zones'!$D$5:$H$4958,5,FALSE),""),"")</f>
        <v>181</v>
      </c>
      <c r="AL365" t="s">
        <v>124</v>
      </c>
      <c r="AM365" s="30" t="s">
        <v>3684</v>
      </c>
      <c r="AN365" s="38"/>
      <c r="AO365" s="38"/>
      <c r="AP365" s="3">
        <f>IF(AND(G365&lt;&gt;"LIBSETS_SETTYPE_BATTLEGROUND",G365&lt;&gt;"LIBSETS_SETTYPE_SPECIAL"),IF(AQ365&lt;&gt;"",VLOOKUP(AQ365,'ESO zones'!$D$5:$H$4958,5,FALSE),""),"")</f>
        <v>181</v>
      </c>
      <c r="AQ365" t="s">
        <v>124</v>
      </c>
      <c r="AR365" s="30" t="s">
        <v>1534</v>
      </c>
      <c r="AS365" s="38"/>
      <c r="AT365" s="38"/>
      <c r="AU365" s="3">
        <f>IF(AND(G365&lt;&gt;"LIBSETS_SETTYPE_BATTLEGROUND",G365&lt;&gt;"LIBSETS_SETTYPE_SPECIAL"),IF(AV365&lt;&gt;"",VLOOKUP(AV365,'ESO zones'!$D$5:$H$4958,5,FALSE),""),"")</f>
        <v>181</v>
      </c>
      <c r="AV365" t="s">
        <v>124</v>
      </c>
      <c r="AW365" s="30" t="s">
        <v>3205</v>
      </c>
      <c r="AX365" s="38"/>
      <c r="AY365" s="38"/>
      <c r="AZ365" s="72" t="s">
        <v>2626</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1452</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DLCs'!$A$3:$D$99999,4,FALSE))</f>
        <v>DLC_BASE_GAME</v>
      </c>
      <c r="U366" s="3" t="str">
        <f>IF(T366&lt;&gt;"",VLOOKUP(T366,'&lt;Constants&gt;'!$B$4:$C$1020,2,FALSE),"")</f>
        <v>Included in base game</v>
      </c>
      <c r="V366" s="30" t="s">
        <v>1515</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3681</v>
      </c>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2736</v>
      </c>
      <c r="AK366" s="3">
        <f>IF(AND(G366&lt;&gt;"LIBSETS_SETTYPE_BATTLEGROUND",G366&lt;&gt;"LIBSETS_SETTYPE_SPECIAL"),IF(AL366&lt;&gt;"",VLOOKUP(AL366,'ESO zones'!$D$5:$H$4958,5,FALSE),""),"")</f>
        <v>181</v>
      </c>
      <c r="AL366" t="s">
        <v>124</v>
      </c>
      <c r="AM366" s="30" t="s">
        <v>3684</v>
      </c>
      <c r="AP366" s="3">
        <f>IF(AND(G366&lt;&gt;"LIBSETS_SETTYPE_BATTLEGROUND",G366&lt;&gt;"LIBSETS_SETTYPE_SPECIAL"),IF(AQ366&lt;&gt;"",VLOOKUP(AQ366,'ESO zones'!$D$5:$H$4958,5,FALSE),""),"")</f>
        <v>181</v>
      </c>
      <c r="AQ366" t="s">
        <v>124</v>
      </c>
      <c r="AR366" s="30" t="s">
        <v>1534</v>
      </c>
      <c r="AU366" s="3">
        <f>IF(AND(G366&lt;&gt;"LIBSETS_SETTYPE_BATTLEGROUND",G366&lt;&gt;"LIBSETS_SETTYPE_SPECIAL"),IF(AV366&lt;&gt;"",VLOOKUP(AV366,'ESO zones'!$D$5:$H$4958,5,FALSE),""),"")</f>
        <v>181</v>
      </c>
      <c r="AV366" t="s">
        <v>124</v>
      </c>
      <c r="AW366" s="30" t="s">
        <v>3205</v>
      </c>
      <c r="AZ366" s="72" t="s">
        <v>2627</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1452</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DLCs'!$A$3:$D$99999,4,FALSE))</f>
        <v>DLC_BASE_GAME</v>
      </c>
      <c r="U367" s="3" t="str">
        <f>IF(T367&lt;&gt;"",VLOOKUP(T367,'&lt;Constants&gt;'!$B$4:$C$1020,2,FALSE),"")</f>
        <v>Included in base game</v>
      </c>
      <c r="V367" s="30" t="s">
        <v>1515</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3681</v>
      </c>
      <c r="AC367" s="38"/>
      <c r="AD367" s="38"/>
      <c r="AE367" s="125">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2736</v>
      </c>
      <c r="AK367" s="3">
        <f>IF(AND(G367&lt;&gt;"LIBSETS_SETTYPE_BATTLEGROUND",G367&lt;&gt;"LIBSETS_SETTYPE_SPECIAL"),IF(AL367&lt;&gt;"",VLOOKUP(AL367,'ESO zones'!$D$5:$H$4958,5,FALSE),""),"")</f>
        <v>181</v>
      </c>
      <c r="AL367" t="s">
        <v>124</v>
      </c>
      <c r="AM367" s="30" t="s">
        <v>3684</v>
      </c>
      <c r="AP367" s="3">
        <f>IF(AND(G367&lt;&gt;"LIBSETS_SETTYPE_BATTLEGROUND",G367&lt;&gt;"LIBSETS_SETTYPE_SPECIAL"),IF(AQ367&lt;&gt;"",VLOOKUP(AQ367,'ESO zones'!$D$5:$H$4958,5,FALSE),""),"")</f>
        <v>181</v>
      </c>
      <c r="AQ367" t="s">
        <v>124</v>
      </c>
      <c r="AR367" s="30" t="s">
        <v>1534</v>
      </c>
      <c r="AU367" s="3">
        <f>IF(AND(G367&lt;&gt;"LIBSETS_SETTYPE_BATTLEGROUND",G367&lt;&gt;"LIBSETS_SETTYPE_SPECIAL"),IF(AV367&lt;&gt;"",VLOOKUP(AV367,'ESO zones'!$D$5:$H$4958,5,FALSE),""),"")</f>
        <v>181</v>
      </c>
      <c r="AV367" t="s">
        <v>124</v>
      </c>
      <c r="AW367" s="30" t="s">
        <v>3205</v>
      </c>
      <c r="AZ367" s="72" t="s">
        <v>2626</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1452</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DLCs'!$A$3:$D$99999,4,FALSE))</f>
        <v>DLC_BASE_GAME</v>
      </c>
      <c r="U368" s="3" t="str">
        <f>IF(T368&lt;&gt;"",VLOOKUP(T368,'&lt;Constants&gt;'!$B$4:$C$1020,2,FALSE),"")</f>
        <v>Included in base game</v>
      </c>
      <c r="V368" s="30" t="s">
        <v>1515</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3681</v>
      </c>
      <c r="AC368" s="38"/>
      <c r="AD368" s="38"/>
      <c r="AE368" s="125">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2736</v>
      </c>
      <c r="AK368" s="3">
        <f>IF(AND(G368&lt;&gt;"LIBSETS_SETTYPE_BATTLEGROUND",G368&lt;&gt;"LIBSETS_SETTYPE_SPECIAL"),IF(AL368&lt;&gt;"",VLOOKUP(AL368,'ESO zones'!$D$5:$H$4958,5,FALSE),""),"")</f>
        <v>181</v>
      </c>
      <c r="AL368" t="s">
        <v>124</v>
      </c>
      <c r="AM368" s="30" t="s">
        <v>3684</v>
      </c>
      <c r="AP368" s="3">
        <f>IF(AND(G368&lt;&gt;"LIBSETS_SETTYPE_BATTLEGROUND",G368&lt;&gt;"LIBSETS_SETTYPE_SPECIAL"),IF(AQ368&lt;&gt;"",VLOOKUP(AQ368,'ESO zones'!$D$5:$H$4958,5,FALSE),""),"")</f>
        <v>181</v>
      </c>
      <c r="AQ368" t="s">
        <v>124</v>
      </c>
      <c r="AR368" s="30" t="s">
        <v>1534</v>
      </c>
      <c r="AU368" s="3">
        <f>IF(AND(G368&lt;&gt;"LIBSETS_SETTYPE_BATTLEGROUND",G368&lt;&gt;"LIBSETS_SETTYPE_SPECIAL"),IF(AV368&lt;&gt;"",VLOOKUP(AV368,'ESO zones'!$D$5:$H$4958,5,FALSE),""),"")</f>
        <v>181</v>
      </c>
      <c r="AV368" t="s">
        <v>124</v>
      </c>
      <c r="AW368" s="30" t="s">
        <v>3205</v>
      </c>
      <c r="AZ368" s="72" t="s">
        <v>2626</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1452</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DLCs'!$A$3:$D$99999,4,FALSE))</f>
        <v>DLC_BASE_GAME</v>
      </c>
      <c r="U369" s="3" t="str">
        <f>IF(T369&lt;&gt;"",VLOOKUP(T369,'&lt;Constants&gt;'!$B$4:$C$1020,2,FALSE),"")</f>
        <v>Included in base game</v>
      </c>
      <c r="V369" s="30" t="s">
        <v>1515</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3681</v>
      </c>
      <c r="AE369" s="125">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2736</v>
      </c>
      <c r="AK369" s="3">
        <f>IF(AND(G369&lt;&gt;"LIBSETS_SETTYPE_BATTLEGROUND",G369&lt;&gt;"LIBSETS_SETTYPE_SPECIAL"),IF(AL369&lt;&gt;"",VLOOKUP(AL369,'ESO zones'!$D$5:$H$4958,5,FALSE),""),"")</f>
        <v>181</v>
      </c>
      <c r="AL369" t="s">
        <v>124</v>
      </c>
      <c r="AM369" s="30" t="s">
        <v>3684</v>
      </c>
      <c r="AP369" s="3">
        <f>IF(AND(G369&lt;&gt;"LIBSETS_SETTYPE_BATTLEGROUND",G369&lt;&gt;"LIBSETS_SETTYPE_SPECIAL"),IF(AQ369&lt;&gt;"",VLOOKUP(AQ369,'ESO zones'!$D$5:$H$4958,5,FALSE),""),"")</f>
        <v>181</v>
      </c>
      <c r="AQ369" t="s">
        <v>124</v>
      </c>
      <c r="AR369" s="30" t="s">
        <v>1534</v>
      </c>
      <c r="AU369" s="3">
        <f>IF(AND(G369&lt;&gt;"LIBSETS_SETTYPE_BATTLEGROUND",G369&lt;&gt;"LIBSETS_SETTYPE_SPECIAL"),IF(AV369&lt;&gt;"",VLOOKUP(AV369,'ESO zones'!$D$5:$H$4958,5,FALSE),""),"")</f>
        <v>181</v>
      </c>
      <c r="AV369" t="s">
        <v>124</v>
      </c>
      <c r="AW369" s="30" t="s">
        <v>3205</v>
      </c>
      <c r="AZ369" s="72" t="s">
        <v>2626</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1449</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DLCs'!$A$3:$D$99999,4,FALSE))</f>
        <v>DLC_MURKMIRE</v>
      </c>
      <c r="U370" s="3" t="str">
        <f>IF(T370&lt;&gt;"",VLOOKUP(T370,'&lt;Constants&gt;'!$B$4:$C$1020,2,FALSE),"")</f>
        <v>Murkmire</v>
      </c>
      <c r="V370" s="30" t="s">
        <v>1530</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1530</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2626</v>
      </c>
      <c r="BA370" s="72"/>
      <c r="BB370" s="72"/>
      <c r="BC370" s="72"/>
      <c r="BD370" s="72" t="s">
        <v>3773</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1449</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DLCs'!$A$3:$D$99999,4,FALSE))</f>
        <v>DLC_MURKMIRE</v>
      </c>
      <c r="U371" s="3" t="str">
        <f>IF(T371&lt;&gt;"",VLOOKUP(T371,'&lt;Constants&gt;'!$B$4:$C$1020,2,FALSE),"")</f>
        <v>Murkmire</v>
      </c>
      <c r="V371" s="30" t="s">
        <v>1530</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1530</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2626</v>
      </c>
      <c r="BA371" s="72"/>
      <c r="BB371" s="72"/>
      <c r="BC371" s="72"/>
      <c r="BD371" s="72" t="s">
        <v>3773</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1449</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DLCs'!$A$3:$D$99999,4,FALSE))</f>
        <v>DLC_MURKMIRE</v>
      </c>
      <c r="U372" s="3" t="str">
        <f>IF(T372&lt;&gt;"",VLOOKUP(T372,'&lt;Constants&gt;'!$B$4:$C$1020,2,FALSE),"")</f>
        <v>Murkmire</v>
      </c>
      <c r="V372" s="30" t="s">
        <v>1530</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1530</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2626</v>
      </c>
      <c r="BA372" s="72"/>
      <c r="BB372" s="72"/>
      <c r="BC372" s="72"/>
      <c r="BD372" s="72" t="s">
        <v>3773</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1449</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DLCs'!$A$3:$D$99999,4,FALSE))</f>
        <v>DLC_MURKMIRE</v>
      </c>
      <c r="U373" s="3" t="str">
        <f>IF(T373&lt;&gt;"",VLOOKUP(T373,'&lt;Constants&gt;'!$B$4:$C$1020,2,FALSE),"")</f>
        <v>Murkmire</v>
      </c>
      <c r="V373" s="30" t="s">
        <v>1530</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1530</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2626</v>
      </c>
      <c r="BA373" s="72"/>
      <c r="BB373" s="72"/>
      <c r="BC373" s="72"/>
      <c r="BD373" s="72" t="s">
        <v>3773</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1449</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DLCs'!$A$3:$D$99999,4,FALSE))</f>
        <v>DLC_MURKMIRE</v>
      </c>
      <c r="U374" s="3" t="str">
        <f>IF(T374&lt;&gt;"",VLOOKUP(T374,'&lt;Constants&gt;'!$B$4:$C$1020,2,FALSE),"")</f>
        <v>Murkmire</v>
      </c>
      <c r="V374" s="30" t="s">
        <v>1530</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1530</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2626</v>
      </c>
      <c r="BA374" s="72"/>
      <c r="BB374" s="72"/>
      <c r="BC374" s="72"/>
      <c r="BD374" s="72" t="s">
        <v>3773</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2595</v>
      </c>
      <c r="D375" s="3">
        <f t="shared" si="30"/>
        <v>428</v>
      </c>
      <c r="G375" s="8" t="s">
        <v>1449</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DLCs'!$A$3:$D$99999,4,FALSE))</f>
        <v>DLC_MURKMIRE</v>
      </c>
      <c r="U375" s="3" t="str">
        <f>IF(T375&lt;&gt;"",VLOOKUP(T375,'&lt;Constants&gt;'!$B$4:$C$1020,2,FALSE),"")</f>
        <v>Murkmire</v>
      </c>
      <c r="V375" s="30" t="s">
        <v>1530</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1530</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2626</v>
      </c>
      <c r="BA375" s="72"/>
      <c r="BB375" s="72"/>
      <c r="BC375" s="72"/>
      <c r="BD375" s="72" t="s">
        <v>3773</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1454</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DLCs'!$A$3:$D$99999,4,FALSE))</f>
        <v>DLC_WRATHSTONE</v>
      </c>
      <c r="U376" s="3" t="str">
        <f>IF(T376&lt;&gt;"",VLOOKUP(T376,'&lt;Constants&gt;'!$B$4:$C$1020,2,FALSE),"")</f>
        <v>Wrathstone</v>
      </c>
      <c r="V376" s="30" t="s">
        <v>3253</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6"/>
      <c r="AD376" s="36"/>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2626</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2596</v>
      </c>
      <c r="D377" s="3">
        <f t="shared" si="30"/>
        <v>430</v>
      </c>
      <c r="G377" s="8" t="s">
        <v>1454</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DLCs'!$A$3:$D$99999,4,FALSE))</f>
        <v>DLC_WRATHSTONE</v>
      </c>
      <c r="U377" s="3" t="str">
        <f>IF(T377&lt;&gt;"",VLOOKUP(T377,'&lt;Constants&gt;'!$B$4:$C$1020,2,FALSE),"")</f>
        <v>Wrathstone</v>
      </c>
      <c r="V377" s="30" t="s">
        <v>3253</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6"/>
      <c r="AD377" s="36"/>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2626</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1454</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DLCs'!$A$3:$D$99999,4,FALSE))</f>
        <v>DLC_WRATHSTONE</v>
      </c>
      <c r="U378" s="3" t="str">
        <f>IF(T378&lt;&gt;"",VLOOKUP(T378,'&lt;Constants&gt;'!$B$4:$C$1020,2,FALSE),"")</f>
        <v>Wrathstone</v>
      </c>
      <c r="V378" s="30" t="s">
        <v>3253</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6"/>
      <c r="AD378" s="36"/>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2626</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1456</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DLCs'!$A$3:$D$99999,4,FALSE))</f>
        <v>DLC_WRATHSTONE</v>
      </c>
      <c r="U379" s="3" t="str">
        <f>IF(T379&lt;&gt;"",VLOOKUP(T379,'&lt;Constants&gt;'!$B$4:$C$1020,2,FALSE),"")</f>
        <v>Wrathstone</v>
      </c>
      <c r="V379" s="30" t="s">
        <v>1518</v>
      </c>
      <c r="W379" s="3" t="s">
        <v>1529</v>
      </c>
      <c r="X379" s="3" t="s">
        <v>1614</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7"/>
      <c r="AD379" s="37"/>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2626</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1454</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DLCs'!$A$3:$D$99999,4,FALSE))</f>
        <v>DLC_WRATHSTONE</v>
      </c>
      <c r="U380" s="3" t="str">
        <f>IF(T380&lt;&gt;"",VLOOKUP(T380,'&lt;Constants&gt;'!$B$4:$C$1020,2,FALSE),"")</f>
        <v>Wrathstone</v>
      </c>
      <c r="V380" s="30" t="s">
        <v>3253</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6"/>
      <c r="AD380" s="36"/>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2626</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1454</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DLCs'!$A$3:$D$99999,4,FALSE))</f>
        <v>DLC_WRATHSTONE</v>
      </c>
      <c r="U381" s="3" t="str">
        <f>IF(T381&lt;&gt;"",VLOOKUP(T381,'&lt;Constants&gt;'!$B$4:$C$1020,2,FALSE),"")</f>
        <v>Wrathstone</v>
      </c>
      <c r="V381" s="30" t="s">
        <v>3253</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6"/>
      <c r="AD381" s="36"/>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2626</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2597</v>
      </c>
      <c r="D382" s="3">
        <f t="shared" si="30"/>
        <v>435</v>
      </c>
      <c r="E382" s="37"/>
      <c r="G382" s="8" t="s">
        <v>1454</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DLCs'!$A$3:$D$99999,4,FALSE))</f>
        <v>DLC_WRATHSTONE</v>
      </c>
      <c r="U382" s="3" t="str">
        <f>IF(T382&lt;&gt;"",VLOOKUP(T382,'&lt;Constants&gt;'!$B$4:$C$1020,2,FALSE),"")</f>
        <v>Wrathstone</v>
      </c>
      <c r="V382" s="30" t="s">
        <v>3253</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6"/>
      <c r="AD382" s="36"/>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2626</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1456</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DLCs'!$A$3:$D$99999,4,FALSE))</f>
        <v>DLC_WRATHSTONE</v>
      </c>
      <c r="U383" s="3" t="str">
        <f>IF(T383&lt;&gt;"",VLOOKUP(T383,'&lt;Constants&gt;'!$B$4:$C$1020,2,FALSE),"")</f>
        <v>Wrathstone</v>
      </c>
      <c r="V383" s="30" t="s">
        <v>1518</v>
      </c>
      <c r="W383" s="3" t="s">
        <v>28</v>
      </c>
      <c r="X383" s="3" t="s">
        <v>1612</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7"/>
      <c r="AD383" s="37"/>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2626</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2598</v>
      </c>
      <c r="D384" s="3">
        <f t="shared" si="30"/>
        <v>437</v>
      </c>
      <c r="E384" s="37"/>
      <c r="G384" s="8" t="s">
        <v>1451</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DLCs'!$A$3:$D$99999,4,FALSE))</f>
        <v>DLC_ELSWEYR</v>
      </c>
      <c r="U384" s="3" t="str">
        <f>IF(T384&lt;&gt;"",VLOOKUP(T384,'&lt;Constants&gt;'!$B$4:$C$1020,2,FALSE),"")</f>
        <v>Elsweyr</v>
      </c>
      <c r="V384" s="30" t="s">
        <v>3256</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3256</v>
      </c>
      <c r="AC384" s="36"/>
      <c r="AD384" s="36"/>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2626</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2599</v>
      </c>
      <c r="D385" s="3">
        <f t="shared" si="30"/>
        <v>438</v>
      </c>
      <c r="G385" s="8" t="s">
        <v>1451</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DLCs'!$A$3:$D$99999,4,FALSE))</f>
        <v>DLC_DARK_BROTHERHOOD</v>
      </c>
      <c r="U385" s="3" t="str">
        <f>IF(T385&lt;&gt;"",VLOOKUP(T385,'&lt;Constants&gt;'!$B$4:$C$1020,2,FALSE),"")</f>
        <v>Dark Brotherhood</v>
      </c>
      <c r="V385" s="30" t="s">
        <v>3256</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3256</v>
      </c>
      <c r="AC385" s="36"/>
      <c r="AD385" s="36"/>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2626</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2600</v>
      </c>
      <c r="D386" s="3">
        <f t="shared" si="30"/>
        <v>439</v>
      </c>
      <c r="G386" s="8" t="s">
        <v>1451</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DLCs'!$A$3:$D$99999,4,FALSE))</f>
        <v>DLC_ELSWEYR</v>
      </c>
      <c r="U386" s="3" t="str">
        <f>IF(T386&lt;&gt;"",VLOOKUP(T386,'&lt;Constants&gt;'!$B$4:$C$1020,2,FALSE),"")</f>
        <v>Elsweyr</v>
      </c>
      <c r="V386" s="30" t="s">
        <v>3256</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3256</v>
      </c>
      <c r="AC386" s="36"/>
      <c r="AD386" s="36"/>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2626</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1457</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DLCs'!$A$3:$D$99999,4,FALSE))</f>
        <v>DLC_ELSWEYR</v>
      </c>
      <c r="U387" s="3" t="str">
        <f>IF(T387&lt;&gt;"",VLOOKUP(T387,'&lt;Constants&gt;'!$B$4:$C$1020,2,FALSE),"")</f>
        <v>Elsweyr</v>
      </c>
      <c r="V387" s="30" t="s">
        <v>1534</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1535</v>
      </c>
      <c r="AC387" s="36"/>
      <c r="AD387" s="36"/>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1536</v>
      </c>
      <c r="AI387" s="36"/>
      <c r="AJ387" s="36"/>
      <c r="AK387" s="3">
        <f>IF(AND(G387&lt;&gt;"LIBSETS_SETTYPE_BATTLEGROUND",G387&lt;&gt;"LIBSETS_SETTYPE_SPECIAL"),IF(AL387&lt;&gt;"",VLOOKUP(AL387,'ESO zones'!$D$5:$H$4958,5,FALSE),""),"")</f>
        <v>1086</v>
      </c>
      <c r="AL387" t="s">
        <v>1369</v>
      </c>
      <c r="AM387" s="30" t="s">
        <v>1537</v>
      </c>
      <c r="AN387" s="36"/>
      <c r="AO387" s="36"/>
      <c r="AP387" s="3">
        <f>IF(AND(G387&lt;&gt;"LIBSETS_SETTYPE_BATTLEGROUND",G387&lt;&gt;"LIBSETS_SETTYPE_SPECIAL"),IF(AQ387&lt;&gt;"",VLOOKUP(AQ387,'ESO zones'!$D$5:$H$4958,5,FALSE),""),"")</f>
        <v>1089</v>
      </c>
      <c r="AQ387" t="s">
        <v>1370</v>
      </c>
      <c r="AR387" s="39" t="s">
        <v>1536</v>
      </c>
      <c r="AS387" s="36"/>
      <c r="AT387" s="36"/>
      <c r="AU387" s="3">
        <f>IF(AND(G387&lt;&gt;"LIBSETS_SETTYPE_BATTLEGROUND",G387&lt;&gt;"LIBSETS_SETTYPE_SPECIAL"),IF(AV387&lt;&gt;"",VLOOKUP(AV387,'ESO zones'!$D$5:$H$4958,5,FALSE),""),"")</f>
        <v>1086</v>
      </c>
      <c r="AV387" t="s">
        <v>1369</v>
      </c>
      <c r="AW387" s="39" t="s">
        <v>3193</v>
      </c>
      <c r="AX387" s="36"/>
      <c r="AY387" s="38"/>
      <c r="AZ387" s="72" t="s">
        <v>2627</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1457</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DLCs'!$A$3:$D$99999,4,FALSE))</f>
        <v>DLC_ELSWEYR</v>
      </c>
      <c r="U388" s="3" t="str">
        <f>IF(T388&lt;&gt;"",VLOOKUP(T388,'&lt;Constants&gt;'!$B$4:$C$1020,2,FALSE),"")</f>
        <v>Elsweyr</v>
      </c>
      <c r="V388" s="30" t="s">
        <v>1534</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1535</v>
      </c>
      <c r="AC388" s="36"/>
      <c r="AD388" s="36"/>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1536</v>
      </c>
      <c r="AI388" s="36"/>
      <c r="AJ388" s="36"/>
      <c r="AK388" s="3">
        <f>IF(AND(G388&lt;&gt;"LIBSETS_SETTYPE_BATTLEGROUND",G388&lt;&gt;"LIBSETS_SETTYPE_SPECIAL"),IF(AL388&lt;&gt;"",VLOOKUP(AL388,'ESO zones'!$D$5:$H$4958,5,FALSE),""),"")</f>
        <v>1086</v>
      </c>
      <c r="AL388" t="s">
        <v>1369</v>
      </c>
      <c r="AM388" s="30" t="s">
        <v>1537</v>
      </c>
      <c r="AN388" s="36"/>
      <c r="AO388" s="36"/>
      <c r="AP388" s="3">
        <f>IF(AND(G388&lt;&gt;"LIBSETS_SETTYPE_BATTLEGROUND",G388&lt;&gt;"LIBSETS_SETTYPE_SPECIAL"),IF(AQ388&lt;&gt;"",VLOOKUP(AQ388,'ESO zones'!$D$5:$H$4958,5,FALSE),""),"")</f>
        <v>1089</v>
      </c>
      <c r="AQ388" t="s">
        <v>1370</v>
      </c>
      <c r="AR388" s="39" t="s">
        <v>1536</v>
      </c>
      <c r="AS388" s="36"/>
      <c r="AT388" s="36"/>
      <c r="AU388" s="3">
        <f>IF(AND(G388&lt;&gt;"LIBSETS_SETTYPE_BATTLEGROUND",G388&lt;&gt;"LIBSETS_SETTYPE_SPECIAL"),IF(AV388&lt;&gt;"",VLOOKUP(AV388,'ESO zones'!$D$5:$H$4958,5,FALSE),""),"")</f>
        <v>1086</v>
      </c>
      <c r="AV388" t="s">
        <v>1369</v>
      </c>
      <c r="AW388" s="39" t="s">
        <v>3193</v>
      </c>
      <c r="AX388" s="36"/>
      <c r="AY388" s="38"/>
      <c r="AZ388" s="72" t="s">
        <v>2627</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1457</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DLCs'!$A$3:$D$99999,4,FALSE))</f>
        <v>DLC_ELSWEYR</v>
      </c>
      <c r="U389" s="3" t="str">
        <f>IF(T389&lt;&gt;"",VLOOKUP(T389,'&lt;Constants&gt;'!$B$4:$C$1020,2,FALSE),"")</f>
        <v>Elsweyr</v>
      </c>
      <c r="V389" s="30" t="s">
        <v>1534</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1535</v>
      </c>
      <c r="AC389" s="36"/>
      <c r="AD389" s="36"/>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1536</v>
      </c>
      <c r="AI389" s="36"/>
      <c r="AJ389" s="36"/>
      <c r="AK389" s="3">
        <f>IF(AND(G389&lt;&gt;"LIBSETS_SETTYPE_BATTLEGROUND",G389&lt;&gt;"LIBSETS_SETTYPE_SPECIAL"),IF(AL389&lt;&gt;"",VLOOKUP(AL389,'ESO zones'!$D$5:$H$4958,5,FALSE),""),"")</f>
        <v>1086</v>
      </c>
      <c r="AL389" t="s">
        <v>1369</v>
      </c>
      <c r="AM389" s="30" t="s">
        <v>1537</v>
      </c>
      <c r="AN389" s="36"/>
      <c r="AO389" s="36"/>
      <c r="AP389" s="3">
        <f>IF(AND(G389&lt;&gt;"LIBSETS_SETTYPE_BATTLEGROUND",G389&lt;&gt;"LIBSETS_SETTYPE_SPECIAL"),IF(AQ389&lt;&gt;"",VLOOKUP(AQ389,'ESO zones'!$D$5:$H$4958,5,FALSE),""),"")</f>
        <v>1089</v>
      </c>
      <c r="AQ389" t="s">
        <v>1370</v>
      </c>
      <c r="AR389" s="39" t="s">
        <v>1536</v>
      </c>
      <c r="AS389" s="36"/>
      <c r="AT389" s="36"/>
      <c r="AU389" s="3">
        <f>IF(AND(G389&lt;&gt;"LIBSETS_SETTYPE_BATTLEGROUND",G389&lt;&gt;"LIBSETS_SETTYPE_SPECIAL"),IF(AV389&lt;&gt;"",VLOOKUP(AV389,'ESO zones'!$D$5:$H$4958,5,FALSE),""),"")</f>
        <v>1086</v>
      </c>
      <c r="AV389" t="s">
        <v>1369</v>
      </c>
      <c r="AW389" s="39" t="s">
        <v>3193</v>
      </c>
      <c r="AX389" s="36"/>
      <c r="AY389" s="38"/>
      <c r="AZ389" s="72" t="s">
        <v>2626</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1458</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DLCs'!$A$3:$D$99999,4,FALSE))</f>
        <v>DLC_ELSWEYR</v>
      </c>
      <c r="U390" s="3" t="str">
        <f>IF(T390&lt;&gt;"",VLOOKUP(T390,'&lt;Constants&gt;'!$B$4:$C$1020,2,FALSE),"")</f>
        <v>Elsweyr</v>
      </c>
      <c r="V390" s="30" t="s">
        <v>3234</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3234</v>
      </c>
      <c r="AC390" s="38"/>
      <c r="AD390" s="38"/>
      <c r="AE390" s="125">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3234</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2626</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2601</v>
      </c>
      <c r="D391" s="3">
        <f t="shared" si="36"/>
        <v>444</v>
      </c>
      <c r="G391" s="8" t="s">
        <v>1458</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DLCs'!$A$3:$D$99999,4,FALSE))</f>
        <v>DLC_ELSWEYR</v>
      </c>
      <c r="U391" s="3" t="str">
        <f>IF(T391&lt;&gt;"",VLOOKUP(T391,'&lt;Constants&gt;'!$B$4:$C$1020,2,FALSE),"")</f>
        <v>Elsweyr</v>
      </c>
      <c r="V391" s="30" t="s">
        <v>3234</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3234</v>
      </c>
      <c r="AC391" s="38"/>
      <c r="AD391" s="38"/>
      <c r="AE391" s="125">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3234</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2626</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1458</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DLCs'!$A$3:$D$99999,4,FALSE))</f>
        <v>DLC_ELSWEYR</v>
      </c>
      <c r="U392" s="3" t="str">
        <f>IF(T392&lt;&gt;"",VLOOKUP(T392,'&lt;Constants&gt;'!$B$4:$C$1020,2,FALSE),"")</f>
        <v>Elsweyr</v>
      </c>
      <c r="V392" s="30" t="s">
        <v>3234</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3234</v>
      </c>
      <c r="AC392" s="38"/>
      <c r="AD392" s="38"/>
      <c r="AE392" s="125">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3234</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2626</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1458</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DLCs'!$A$3:$D$99999,4,FALSE))</f>
        <v>DLC_ELSWEYR</v>
      </c>
      <c r="U393" s="3" t="str">
        <f>IF(T393&lt;&gt;"",VLOOKUP(T393,'&lt;Constants&gt;'!$B$4:$C$1020,2,FALSE),"")</f>
        <v>Elsweyr</v>
      </c>
      <c r="V393" s="30" t="s">
        <v>3234</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3234</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3234</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2626</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2735</v>
      </c>
      <c r="D394" s="3">
        <f t="shared" si="36"/>
        <v>448</v>
      </c>
      <c r="G394" s="8" t="s">
        <v>1458</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DLCs'!$A$3:$D$99999,4,FALSE))</f>
        <v>DLC_ELSWEYR</v>
      </c>
      <c r="U394" s="3" t="str">
        <f>IF(T394&lt;&gt;"",VLOOKUP(T394,'&lt;Constants&gt;'!$B$4:$C$1020,2,FALSE),"")</f>
        <v>Elsweyr</v>
      </c>
      <c r="V394" s="30" t="s">
        <v>3234</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3234</v>
      </c>
      <c r="AC394" s="38"/>
      <c r="AD394" s="38"/>
      <c r="AE394" s="125">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3234</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2626</v>
      </c>
      <c r="BA394" s="72"/>
      <c r="BB394" s="72"/>
      <c r="BC394" s="72"/>
      <c r="BD394" s="72" t="s">
        <v>3773</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2602</v>
      </c>
      <c r="D395" s="3">
        <f t="shared" si="36"/>
        <v>449</v>
      </c>
      <c r="G395" s="8" t="s">
        <v>1458</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DLCs'!$A$3:$D$99999,4,FALSE))</f>
        <v>DLC_ELSWEYR</v>
      </c>
      <c r="U395" s="3" t="str">
        <f>IF(T395&lt;&gt;"",VLOOKUP(T395,'&lt;Constants&gt;'!$B$4:$C$1020,2,FALSE),"")</f>
        <v>Elsweyr</v>
      </c>
      <c r="V395" s="30" t="s">
        <v>3234</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3234</v>
      </c>
      <c r="AC395" s="38"/>
      <c r="AD395" s="38"/>
      <c r="AE395" s="125">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3234</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2626</v>
      </c>
      <c r="BA395" s="72"/>
      <c r="BB395" s="72"/>
      <c r="BC395" s="72"/>
      <c r="BD395" s="72" t="s">
        <v>3773</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1458</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DLCs'!$A$3:$D$99999,4,FALSE))</f>
        <v>DLC_ELSWEYR</v>
      </c>
      <c r="U396" s="3" t="str">
        <f>IF(T396&lt;&gt;"",VLOOKUP(T396,'&lt;Constants&gt;'!$B$4:$C$1020,2,FALSE),"")</f>
        <v>Elsweyr</v>
      </c>
      <c r="V396" s="30" t="s">
        <v>3234</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3234</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3234</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2626</v>
      </c>
      <c r="BA396" s="72"/>
      <c r="BB396" s="72"/>
      <c r="BC396" s="72"/>
      <c r="BD396" s="72" t="s">
        <v>3773</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1458</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DLCs'!$A$3:$D$99999,4,FALSE))</f>
        <v>DLC_ELSWEYR</v>
      </c>
      <c r="U397" s="3" t="str">
        <f>IF(T397&lt;&gt;"",VLOOKUP(T397,'&lt;Constants&gt;'!$B$4:$C$1020,2,FALSE),"")</f>
        <v>Elsweyr</v>
      </c>
      <c r="V397" s="30" t="s">
        <v>3234</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3234</v>
      </c>
      <c r="AC397" s="38"/>
      <c r="AD397" s="38"/>
      <c r="AE397" s="125">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3234</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2626</v>
      </c>
      <c r="BA397" s="72"/>
      <c r="BB397" s="72"/>
      <c r="BC397" s="72"/>
      <c r="BD397" s="72" t="s">
        <v>3773</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1476</v>
      </c>
      <c r="C398" t="s">
        <v>1475</v>
      </c>
      <c r="D398" s="3">
        <f t="shared" si="36"/>
        <v>452</v>
      </c>
      <c r="G398" s="3" t="s">
        <v>1454</v>
      </c>
      <c r="I398" t="s">
        <v>91</v>
      </c>
      <c r="J398" t="s">
        <v>91</v>
      </c>
      <c r="K398">
        <v>391</v>
      </c>
      <c r="L398">
        <v>391</v>
      </c>
      <c r="M398">
        <v>391</v>
      </c>
      <c r="O398" s="58" t="s">
        <v>1463</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DLCs'!$A$3:$D$99999,4,FALSE))</f>
        <v>DLC_SCALEBREAKER</v>
      </c>
      <c r="U398" s="3" t="str">
        <f>IF(T398&lt;&gt;"",VLOOKUP(T398,'&lt;Constants&gt;'!$B$4:$C$1020,2,FALSE),"")</f>
        <v>Scalebraker</v>
      </c>
      <c r="V398" s="30" t="s">
        <v>3253</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6"/>
      <c r="AD398" s="36"/>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2626</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1477</v>
      </c>
      <c r="C399" t="s">
        <v>2603</v>
      </c>
      <c r="D399" s="3">
        <f t="shared" si="36"/>
        <v>453</v>
      </c>
      <c r="G399" s="3" t="s">
        <v>1454</v>
      </c>
      <c r="I399" t="s">
        <v>91</v>
      </c>
      <c r="J399" t="s">
        <v>91</v>
      </c>
      <c r="K399">
        <v>391</v>
      </c>
      <c r="L399">
        <v>391</v>
      </c>
      <c r="M399">
        <v>391</v>
      </c>
      <c r="O399" s="58" t="s">
        <v>1463</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DLCs'!$A$3:$D$99999,4,FALSE))</f>
        <v>DLC_SCALEBREAKER</v>
      </c>
      <c r="U399" s="3" t="str">
        <f>IF(T399&lt;&gt;"",VLOOKUP(T399,'&lt;Constants&gt;'!$B$4:$C$1020,2,FALSE),"")</f>
        <v>Scalebraker</v>
      </c>
      <c r="V399" s="30" t="s">
        <v>3253</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6"/>
      <c r="AD399" s="36"/>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2626</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1478</v>
      </c>
      <c r="C400" t="s">
        <v>2604</v>
      </c>
      <c r="D400" s="3">
        <f t="shared" si="36"/>
        <v>454</v>
      </c>
      <c r="G400" s="3" t="s">
        <v>1454</v>
      </c>
      <c r="I400" t="s">
        <v>91</v>
      </c>
      <c r="J400" t="s">
        <v>91</v>
      </c>
      <c r="K400">
        <v>391</v>
      </c>
      <c r="L400">
        <v>391</v>
      </c>
      <c r="M400">
        <v>391</v>
      </c>
      <c r="O400" s="58" t="s">
        <v>1463</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DLCs'!$A$3:$D$99999,4,FALSE))</f>
        <v>DLC_SCALEBREAKER</v>
      </c>
      <c r="U400" s="3" t="str">
        <f>IF(T400&lt;&gt;"",VLOOKUP(T400,'&lt;Constants&gt;'!$B$4:$C$1020,2,FALSE),"")</f>
        <v>Scalebraker</v>
      </c>
      <c r="V400" s="30" t="s">
        <v>3253</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6"/>
      <c r="AD400" s="36"/>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2626</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1479</v>
      </c>
      <c r="C401" t="s">
        <v>2605</v>
      </c>
      <c r="D401" s="3">
        <f t="shared" si="36"/>
        <v>455</v>
      </c>
      <c r="G401" s="3" t="s">
        <v>1454</v>
      </c>
      <c r="I401" t="s">
        <v>91</v>
      </c>
      <c r="J401" t="s">
        <v>91</v>
      </c>
      <c r="K401">
        <v>398</v>
      </c>
      <c r="L401">
        <v>398</v>
      </c>
      <c r="M401">
        <v>398</v>
      </c>
      <c r="O401" s="58" t="s">
        <v>1464</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DLCs'!$A$3:$D$99999,4,FALSE))</f>
        <v>DLC_SCALEBREAKER</v>
      </c>
      <c r="U401" s="3" t="str">
        <f>IF(T401&lt;&gt;"",VLOOKUP(T401,'&lt;Constants&gt;'!$B$4:$C$1020,2,FALSE),"")</f>
        <v>Scalebraker</v>
      </c>
      <c r="V401" s="30" t="s">
        <v>3253</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6"/>
      <c r="AD401" s="36"/>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2626</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1481</v>
      </c>
      <c r="C402" t="s">
        <v>1480</v>
      </c>
      <c r="D402" s="3">
        <f t="shared" si="36"/>
        <v>456</v>
      </c>
      <c r="E402" s="37"/>
      <c r="G402" s="3" t="s">
        <v>1454</v>
      </c>
      <c r="I402" t="s">
        <v>91</v>
      </c>
      <c r="J402" t="s">
        <v>91</v>
      </c>
      <c r="K402">
        <v>398</v>
      </c>
      <c r="L402">
        <v>398</v>
      </c>
      <c r="M402">
        <v>398</v>
      </c>
      <c r="O402" s="58" t="s">
        <v>1464</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DLCs'!$A$3:$D$99999,4,FALSE))</f>
        <v>DLC_SCALEBREAKER</v>
      </c>
      <c r="U402" s="3" t="str">
        <f>IF(T402&lt;&gt;"",VLOOKUP(T402,'&lt;Constants&gt;'!$B$4:$C$1020,2,FALSE),"")</f>
        <v>Scalebraker</v>
      </c>
      <c r="V402" s="30" t="s">
        <v>3253</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6"/>
      <c r="AD402" s="36"/>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2626</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1482</v>
      </c>
      <c r="C403" t="s">
        <v>2606</v>
      </c>
      <c r="D403" s="3">
        <f t="shared" si="36"/>
        <v>457</v>
      </c>
      <c r="G403" s="3" t="s">
        <v>1454</v>
      </c>
      <c r="I403" t="s">
        <v>91</v>
      </c>
      <c r="J403" t="s">
        <v>91</v>
      </c>
      <c r="K403">
        <v>398</v>
      </c>
      <c r="L403">
        <v>398</v>
      </c>
      <c r="M403">
        <v>398</v>
      </c>
      <c r="O403" s="58" t="s">
        <v>1464</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DLCs'!$A$3:$D$99999,4,FALSE))</f>
        <v>DLC_SCALEBREAKER</v>
      </c>
      <c r="U403" s="3" t="str">
        <f>IF(T403&lt;&gt;"",VLOOKUP(T403,'&lt;Constants&gt;'!$B$4:$C$1020,2,FALSE),"")</f>
        <v>Scalebraker</v>
      </c>
      <c r="V403" s="30" t="s">
        <v>3253</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6"/>
      <c r="AD403" s="36"/>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2626</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1483</v>
      </c>
      <c r="C404" t="s">
        <v>1483</v>
      </c>
      <c r="D404" s="3">
        <f t="shared" si="36"/>
        <v>458</v>
      </c>
      <c r="G404" s="3" t="s">
        <v>1456</v>
      </c>
      <c r="H404" s="80">
        <v>3</v>
      </c>
      <c r="I404" t="s">
        <v>1443</v>
      </c>
      <c r="J404" t="s">
        <v>91</v>
      </c>
      <c r="K404">
        <v>391</v>
      </c>
      <c r="L404">
        <v>391</v>
      </c>
      <c r="M404">
        <v>391</v>
      </c>
      <c r="O404" s="58" t="s">
        <v>1463</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DLCs'!$A$3:$D$99999,4,FALSE))</f>
        <v>DLC_SCALEBREAKER</v>
      </c>
      <c r="U404" s="3" t="str">
        <f>IF(T404&lt;&gt;"",VLOOKUP(T404,'&lt;Constants&gt;'!$B$4:$C$1020,2,FALSE),"")</f>
        <v>Scalebraker</v>
      </c>
      <c r="V404" s="30" t="s">
        <v>1518</v>
      </c>
      <c r="W404" s="3" t="s">
        <v>1483</v>
      </c>
      <c r="X404" s="3" t="s">
        <v>1483</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7"/>
      <c r="AD404" s="37"/>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2626</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1484</v>
      </c>
      <c r="C405" t="s">
        <v>1484</v>
      </c>
      <c r="D405" s="3">
        <f t="shared" si="36"/>
        <v>459</v>
      </c>
      <c r="G405" s="3" t="s">
        <v>1456</v>
      </c>
      <c r="H405" s="80">
        <v>3</v>
      </c>
      <c r="I405" t="s">
        <v>1443</v>
      </c>
      <c r="J405" t="s">
        <v>91</v>
      </c>
      <c r="K405">
        <v>398</v>
      </c>
      <c r="L405">
        <v>398</v>
      </c>
      <c r="M405">
        <v>398</v>
      </c>
      <c r="O405" s="58" t="s">
        <v>1464</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DLCs'!$A$3:$D$99999,4,FALSE))</f>
        <v>DLC_SCALEBREAKER</v>
      </c>
      <c r="U405" s="3" t="str">
        <f>IF(T405&lt;&gt;"",VLOOKUP(T405,'&lt;Constants&gt;'!$B$4:$C$1020,2,FALSE),"")</f>
        <v>Scalebraker</v>
      </c>
      <c r="V405" s="30" t="s">
        <v>1518</v>
      </c>
      <c r="W405" s="3" t="s">
        <v>1484</v>
      </c>
      <c r="X405" s="3" t="s">
        <v>1484</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7"/>
      <c r="AD405" s="37"/>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2626</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1575</v>
      </c>
      <c r="C406" t="s">
        <v>1576</v>
      </c>
      <c r="D406" s="3">
        <f t="shared" si="36"/>
        <v>465</v>
      </c>
      <c r="G406" s="8" t="s">
        <v>1457</v>
      </c>
      <c r="I406" t="s">
        <v>91</v>
      </c>
      <c r="J406" t="s">
        <v>91</v>
      </c>
      <c r="K406">
        <v>402</v>
      </c>
      <c r="L406">
        <v>402</v>
      </c>
      <c r="M406">
        <v>402</v>
      </c>
      <c r="O406" s="58" t="s">
        <v>1560</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DLCs'!$A$3:$D$99999,4,FALSE))</f>
        <v>DLC_DRAGONHOLD</v>
      </c>
      <c r="U406" s="3" t="str">
        <f>IF(T406&lt;&gt;"",VLOOKUP(T406,'&lt;Constants&gt;'!$B$4:$C$1020,2,FALSE),"")</f>
        <v>Dragonhold</v>
      </c>
      <c r="V406" s="30" t="s">
        <v>1534</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1535</v>
      </c>
      <c r="AC406" s="36"/>
      <c r="AD406" s="36"/>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1537</v>
      </c>
      <c r="AI406" s="36"/>
      <c r="AJ406" s="36"/>
      <c r="AK406" s="3">
        <f>IF(AND(G406&lt;&gt;"LIBSETS_SETTYPE_BATTLEGROUND",G406&lt;&gt;"LIBSETS_SETTYPE_SPECIAL"),IF(AL406&lt;&gt;"",VLOOKUP(AL406,'ESO zones'!$D$5:$H$4958,5,FALSE),""),"")</f>
        <v>1133</v>
      </c>
      <c r="AL406" t="s">
        <v>1560</v>
      </c>
      <c r="AM406" s="39" t="s">
        <v>3193</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2626</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1585</v>
      </c>
      <c r="C407" t="s">
        <v>2607</v>
      </c>
      <c r="D407" s="3">
        <f t="shared" si="36"/>
        <v>466</v>
      </c>
      <c r="G407" s="8" t="s">
        <v>1457</v>
      </c>
      <c r="I407" t="s">
        <v>91</v>
      </c>
      <c r="J407" t="s">
        <v>91</v>
      </c>
      <c r="K407">
        <v>402</v>
      </c>
      <c r="L407">
        <v>402</v>
      </c>
      <c r="M407">
        <v>402</v>
      </c>
      <c r="O407" s="58" t="s">
        <v>1560</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DLCs'!$A$3:$D$99999,4,FALSE))</f>
        <v>DLC_DRAGONHOLD</v>
      </c>
      <c r="U407" s="3" t="str">
        <f>IF(T407&lt;&gt;"",VLOOKUP(T407,'&lt;Constants&gt;'!$B$4:$C$1020,2,FALSE),"")</f>
        <v>Dragonhold</v>
      </c>
      <c r="V407" s="30" t="s">
        <v>1534</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1535</v>
      </c>
      <c r="AC407" s="36"/>
      <c r="AD407" s="36"/>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1537</v>
      </c>
      <c r="AI407" s="36"/>
      <c r="AJ407" s="36"/>
      <c r="AK407" s="3">
        <f>IF(AND(G407&lt;&gt;"LIBSETS_SETTYPE_BATTLEGROUND",G407&lt;&gt;"LIBSETS_SETTYPE_SPECIAL"),IF(AL407&lt;&gt;"",VLOOKUP(AL407,'ESO zones'!$D$5:$H$4958,5,FALSE),""),"")</f>
        <v>1133</v>
      </c>
      <c r="AL407" t="s">
        <v>1560</v>
      </c>
      <c r="AM407" s="39" t="s">
        <v>3193</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2626</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1584</v>
      </c>
      <c r="C408" t="s">
        <v>1577</v>
      </c>
      <c r="D408" s="3">
        <f t="shared" si="36"/>
        <v>467</v>
      </c>
      <c r="G408" s="8" t="s">
        <v>1457</v>
      </c>
      <c r="I408" t="s">
        <v>91</v>
      </c>
      <c r="J408" t="s">
        <v>91</v>
      </c>
      <c r="K408">
        <v>402</v>
      </c>
      <c r="L408">
        <v>402</v>
      </c>
      <c r="M408">
        <v>402</v>
      </c>
      <c r="O408" s="58" t="s">
        <v>1560</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DLCs'!$A$3:$D$99999,4,FALSE))</f>
        <v>DLC_DRAGONHOLD</v>
      </c>
      <c r="U408" s="3" t="str">
        <f>IF(T408&lt;&gt;"",VLOOKUP(T408,'&lt;Constants&gt;'!$B$4:$C$1020,2,FALSE),"")</f>
        <v>Dragonhold</v>
      </c>
      <c r="V408" s="30" t="s">
        <v>1534</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1535</v>
      </c>
      <c r="AC408" s="36"/>
      <c r="AD408" s="36"/>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1537</v>
      </c>
      <c r="AI408" s="36"/>
      <c r="AJ408" s="36"/>
      <c r="AK408" s="3">
        <f>IF(AND(G408&lt;&gt;"LIBSETS_SETTYPE_BATTLEGROUND",G408&lt;&gt;"LIBSETS_SETTYPE_SPECIAL"),IF(AL408&lt;&gt;"",VLOOKUP(AL408,'ESO zones'!$D$5:$H$4958,5,FALSE),""),"")</f>
        <v>1133</v>
      </c>
      <c r="AL408" t="s">
        <v>1560</v>
      </c>
      <c r="AM408" s="39" t="s">
        <v>3193</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2626</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1583</v>
      </c>
      <c r="C409" t="s">
        <v>1578</v>
      </c>
      <c r="D409" s="3">
        <f t="shared" si="36"/>
        <v>468</v>
      </c>
      <c r="E409" s="37"/>
      <c r="G409" s="8" t="s">
        <v>1451</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DLCs'!$A$3:$D$99999,4,FALSE))</f>
        <v>DLC_DRAGONHOLD</v>
      </c>
      <c r="U409" s="3" t="str">
        <f>IF(T409&lt;&gt;"",VLOOKUP(T409,'&lt;Constants&gt;'!$B$4:$C$1020,2,FALSE),"")</f>
        <v>Dragonhold</v>
      </c>
      <c r="V409" s="30" t="s">
        <v>3256</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3256</v>
      </c>
      <c r="AC409" s="36"/>
      <c r="AD409" s="36"/>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2626</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1582</v>
      </c>
      <c r="C410" t="s">
        <v>1579</v>
      </c>
      <c r="D410" s="3">
        <f t="shared" si="36"/>
        <v>469</v>
      </c>
      <c r="G410" s="8" t="s">
        <v>1451</v>
      </c>
      <c r="I410" t="s">
        <v>91</v>
      </c>
      <c r="J410" t="s">
        <v>91</v>
      </c>
      <c r="K410">
        <v>407</v>
      </c>
      <c r="L410">
        <v>407</v>
      </c>
      <c r="M410">
        <v>407</v>
      </c>
      <c r="N410">
        <v>6</v>
      </c>
      <c r="O410" s="58" t="s">
        <v>1560</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DLCs'!$A$3:$D$99999,4,FALSE))</f>
        <v>DLC_DRAGONHOLD</v>
      </c>
      <c r="U410" s="3" t="str">
        <f>IF(T410&lt;&gt;"",VLOOKUP(T410,'&lt;Constants&gt;'!$B$4:$C$1020,2,FALSE),"")</f>
        <v>Dragonhold</v>
      </c>
      <c r="V410" s="30" t="s">
        <v>3256</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3256</v>
      </c>
      <c r="AC410" s="36"/>
      <c r="AD410" s="36"/>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2626</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1581</v>
      </c>
      <c r="C411" t="s">
        <v>1580</v>
      </c>
      <c r="D411" s="3">
        <f t="shared" si="36"/>
        <v>470</v>
      </c>
      <c r="G411" s="8" t="s">
        <v>1451</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DLCs'!$A$3:$D$99999,4,FALSE))</f>
        <v>DLC_DRAGONHOLD</v>
      </c>
      <c r="U411" s="3" t="str">
        <f>IF(T411&lt;&gt;"",VLOOKUP(T411,'&lt;Constants&gt;'!$B$4:$C$1020,2,FALSE),"")</f>
        <v>Dragonhold</v>
      </c>
      <c r="V411" s="30" t="s">
        <v>3256</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3256</v>
      </c>
      <c r="AC411" s="36"/>
      <c r="AD411" s="36"/>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3256</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2626</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1635</v>
      </c>
      <c r="C412" t="s">
        <v>1634</v>
      </c>
      <c r="D412" s="3">
        <f t="shared" si="36"/>
        <v>471</v>
      </c>
      <c r="G412" s="3" t="s">
        <v>1454</v>
      </c>
      <c r="I412" t="s">
        <v>91</v>
      </c>
      <c r="J412" t="s">
        <v>91</v>
      </c>
      <c r="K412">
        <v>424</v>
      </c>
      <c r="L412">
        <v>424</v>
      </c>
      <c r="M412">
        <v>424</v>
      </c>
      <c r="O412" s="58" t="s">
        <v>1621</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DLCs'!$A$3:$D$99999,4,FALSE))</f>
        <v>DLC_HARROWSTORM</v>
      </c>
      <c r="U412" s="3" t="str">
        <f>IF(T412&lt;&gt;"",VLOOKUP(T412,'&lt;Constants&gt;'!$B$4:$C$1020,2,FALSE),"")</f>
        <v>Harrowstorm</v>
      </c>
      <c r="V412" s="30" t="s">
        <v>3253</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7"/>
      <c r="AD412" s="37"/>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2626</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1636</v>
      </c>
      <c r="C413" t="s">
        <v>1622</v>
      </c>
      <c r="D413" s="3">
        <f t="shared" si="36"/>
        <v>472</v>
      </c>
      <c r="G413" s="3" t="s">
        <v>1454</v>
      </c>
      <c r="I413" t="s">
        <v>91</v>
      </c>
      <c r="J413" t="s">
        <v>91</v>
      </c>
      <c r="K413">
        <v>424</v>
      </c>
      <c r="L413">
        <v>424</v>
      </c>
      <c r="M413">
        <v>424</v>
      </c>
      <c r="O413" s="58" t="s">
        <v>1621</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DLCs'!$A$3:$D$99999,4,FALSE))</f>
        <v>DLC_HARROWSTORM</v>
      </c>
      <c r="U413" s="3" t="str">
        <f>IF(T413&lt;&gt;"",VLOOKUP(T413,'&lt;Constants&gt;'!$B$4:$C$1020,2,FALSE),"")</f>
        <v>Harrowstorm</v>
      </c>
      <c r="V413" s="30" t="s">
        <v>3253</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7"/>
      <c r="AD413" s="37"/>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2626</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1637</v>
      </c>
      <c r="C414" t="s">
        <v>2726</v>
      </c>
      <c r="D414" s="3">
        <f t="shared" si="36"/>
        <v>473</v>
      </c>
      <c r="E414" s="37"/>
      <c r="G414" s="3" t="s">
        <v>1454</v>
      </c>
      <c r="I414" t="s">
        <v>91</v>
      </c>
      <c r="J414" t="s">
        <v>91</v>
      </c>
      <c r="K414">
        <v>424</v>
      </c>
      <c r="L414">
        <v>424</v>
      </c>
      <c r="M414">
        <v>424</v>
      </c>
      <c r="O414" s="58" t="s">
        <v>1621</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DLCs'!$A$3:$D$99999,4,FALSE))</f>
        <v>DLC_HARROWSTORM</v>
      </c>
      <c r="U414" s="3" t="str">
        <f>IF(T414&lt;&gt;"",VLOOKUP(T414,'&lt;Constants&gt;'!$B$4:$C$1020,2,FALSE),"")</f>
        <v>Harrowstorm</v>
      </c>
      <c r="V414" s="30" t="s">
        <v>3253</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7"/>
      <c r="AD414" s="37"/>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2626</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1638</v>
      </c>
      <c r="C415" t="s">
        <v>2725</v>
      </c>
      <c r="D415" s="3">
        <f t="shared" si="36"/>
        <v>474</v>
      </c>
      <c r="G415" s="3" t="s">
        <v>1454</v>
      </c>
      <c r="I415" t="s">
        <v>91</v>
      </c>
      <c r="J415" t="s">
        <v>91</v>
      </c>
      <c r="K415">
        <v>425</v>
      </c>
      <c r="L415">
        <v>425</v>
      </c>
      <c r="M415">
        <v>425</v>
      </c>
      <c r="O415" s="58" t="s">
        <v>1620</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DLCs'!$A$3:$D$99999,4,FALSE))</f>
        <v>DLC_HARROWSTORM</v>
      </c>
      <c r="U415" s="3" t="str">
        <f>IF(T415&lt;&gt;"",VLOOKUP(T415,'&lt;Constants&gt;'!$B$4:$C$1020,2,FALSE),"")</f>
        <v>Harrowstorm</v>
      </c>
      <c r="V415" s="30" t="s">
        <v>3253</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7"/>
      <c r="AD415" s="37"/>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2626</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1639</v>
      </c>
      <c r="C416" t="s">
        <v>1624</v>
      </c>
      <c r="D416" s="3">
        <f t="shared" si="36"/>
        <v>475</v>
      </c>
      <c r="G416" s="3" t="s">
        <v>1454</v>
      </c>
      <c r="I416" t="s">
        <v>91</v>
      </c>
      <c r="J416" t="s">
        <v>91</v>
      </c>
      <c r="K416">
        <v>425</v>
      </c>
      <c r="L416">
        <v>425</v>
      </c>
      <c r="M416">
        <v>425</v>
      </c>
      <c r="O416" s="58" t="s">
        <v>1620</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DLCs'!$A$3:$D$99999,4,FALSE))</f>
        <v>DLC_HARROWSTORM</v>
      </c>
      <c r="U416" s="3" t="str">
        <f>IF(T416&lt;&gt;"",VLOOKUP(T416,'&lt;Constants&gt;'!$B$4:$C$1020,2,FALSE),"")</f>
        <v>Harrowstorm</v>
      </c>
      <c r="V416" s="30" t="s">
        <v>3253</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7"/>
      <c r="AD416" s="37"/>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2626</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1640</v>
      </c>
      <c r="C417" t="s">
        <v>1625</v>
      </c>
      <c r="D417" s="3">
        <f t="shared" si="36"/>
        <v>476</v>
      </c>
      <c r="G417" s="3" t="s">
        <v>1454</v>
      </c>
      <c r="I417" t="s">
        <v>91</v>
      </c>
      <c r="J417" t="s">
        <v>91</v>
      </c>
      <c r="K417">
        <v>425</v>
      </c>
      <c r="L417">
        <v>425</v>
      </c>
      <c r="M417">
        <v>425</v>
      </c>
      <c r="O417" s="58" t="s">
        <v>1620</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DLCs'!$A$3:$D$99999,4,FALSE))</f>
        <v>DLC_HARROWSTORM</v>
      </c>
      <c r="U417" s="3" t="str">
        <f>IF(T417&lt;&gt;"",VLOOKUP(T417,'&lt;Constants&gt;'!$B$4:$C$1020,2,FALSE),"")</f>
        <v>Harrowstorm</v>
      </c>
      <c r="V417" s="30" t="s">
        <v>3253</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7"/>
      <c r="AD417" s="37"/>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2626</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1629</v>
      </c>
      <c r="C418" t="s">
        <v>1623</v>
      </c>
      <c r="D418" s="3">
        <f t="shared" si="36"/>
        <v>478</v>
      </c>
      <c r="G418" s="3" t="s">
        <v>1456</v>
      </c>
      <c r="H418" s="80">
        <v>3</v>
      </c>
      <c r="I418" t="s">
        <v>1443</v>
      </c>
      <c r="J418" t="s">
        <v>91</v>
      </c>
      <c r="K418">
        <v>424</v>
      </c>
      <c r="L418">
        <v>424</v>
      </c>
      <c r="M418">
        <v>424</v>
      </c>
      <c r="O418" s="58" t="s">
        <v>1621</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DLCs'!$A$3:$D$99999,4,FALSE))</f>
        <v>DLC_HARROWSTORM</v>
      </c>
      <c r="U418" s="3" t="str">
        <f>IF(T418&lt;&gt;"",VLOOKUP(T418,'&lt;Constants&gt;'!$B$4:$C$1020,2,FALSE),"")</f>
        <v>Harrowstorm</v>
      </c>
      <c r="V418" s="30" t="s">
        <v>1518</v>
      </c>
      <c r="W418" s="3" t="s">
        <v>1623</v>
      </c>
      <c r="X418" s="3" t="s">
        <v>1629</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7"/>
      <c r="AD418" s="37"/>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2626</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3872</v>
      </c>
      <c r="C419" t="s">
        <v>3873</v>
      </c>
      <c r="D419" s="3">
        <f t="shared" si="36"/>
        <v>479</v>
      </c>
      <c r="G419" s="3" t="s">
        <v>1456</v>
      </c>
      <c r="H419" s="80">
        <v>3</v>
      </c>
      <c r="I419" t="s">
        <v>1443</v>
      </c>
      <c r="J419" t="s">
        <v>91</v>
      </c>
      <c r="K419">
        <v>425</v>
      </c>
      <c r="L419">
        <v>425</v>
      </c>
      <c r="M419">
        <v>425</v>
      </c>
      <c r="O419" s="58" t="s">
        <v>1620</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DLCs'!$A$3:$D$99999,4,FALSE))</f>
        <v>DLC_HARROWSTORM</v>
      </c>
      <c r="U419" s="3" t="str">
        <f>IF(T419&lt;&gt;"",VLOOKUP(T419,'&lt;Constants&gt;'!$B$4:$C$1020,2,FALSE),"")</f>
        <v>Harrowstorm</v>
      </c>
      <c r="V419" s="30" t="s">
        <v>1518</v>
      </c>
      <c r="W419" s="3" t="s">
        <v>3873</v>
      </c>
      <c r="X419" s="3" t="s">
        <v>3872</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7"/>
      <c r="AD419" s="37"/>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2626</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1641</v>
      </c>
      <c r="C420" t="s">
        <v>1626</v>
      </c>
      <c r="D420" s="3">
        <f t="shared" si="36"/>
        <v>480</v>
      </c>
      <c r="E420" s="37"/>
      <c r="G420" s="3" t="s">
        <v>1451</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DLCs'!$A$3:$D$99999,4,FALSE))</f>
        <v>DLC_BASE_GAME</v>
      </c>
      <c r="U420" s="3" t="str">
        <f>IF(T420&lt;&gt;"",VLOOKUP(T420,'&lt;Constants&gt;'!$B$4:$C$1020,2,FALSE),"")</f>
        <v>Included in base game</v>
      </c>
      <c r="V420" s="30" t="s">
        <v>3256</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1509</v>
      </c>
      <c r="AC420" s="36" t="str">
        <f>IF(AB420&lt;&gt;"",IF(AB420&lt;&gt;"LIBSETS_DROP_MECHANIC_MONSTER_NAME",VLOOKUP(AB420,'&lt;Constants&gt;'!$I$4:$L$1020,3,FALSE),""),"")</f>
        <v>City Vlastarus (quartermaster)</v>
      </c>
      <c r="AD420" s="36" t="str">
        <f>IF(AB420&lt;&gt;"",IF(AB420&lt;&gt;"LIBSETS_DROP_MECHANIC_MONSTER_NAME",VLOOKUP(AB420,'&lt;Constants&gt;'!$I$4:$L$1020,4,FALSE),""),"")</f>
        <v>Stadt Vlastarus (Quartiermeister)</v>
      </c>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2626</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 dropMechanicDropLocationNames={['en']={'','City Vlastarus (quartermaster)','','','','',},['de']={'','Stadt Vlastarus (Quartiermeister)','','','','',},}</v>
      </c>
      <c r="BI420" s="18" t="str">
        <f t="shared" si="41"/>
        <v>}, --Critical Riposte / Kritischer Konter   [Cyrodiil, Cyrodiil]</v>
      </c>
    </row>
    <row r="421" spans="1:61" x14ac:dyDescent="0.25">
      <c r="A421" s="5">
        <v>481</v>
      </c>
      <c r="B421" t="s">
        <v>1642</v>
      </c>
      <c r="C421" t="s">
        <v>1627</v>
      </c>
      <c r="D421" s="3">
        <f t="shared" si="36"/>
        <v>481</v>
      </c>
      <c r="G421" s="3" t="s">
        <v>1451</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DLCs'!$A$3:$D$99999,4,FALSE))</f>
        <v>DLC_BASE_GAME</v>
      </c>
      <c r="U421" s="3" t="str">
        <f>IF(T421&lt;&gt;"",VLOOKUP(T421,'&lt;Constants&gt;'!$B$4:$C$1020,2,FALSE),"")</f>
        <v>Included in base game</v>
      </c>
      <c r="V421" s="30" t="s">
        <v>3256</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1507</v>
      </c>
      <c r="AC421" s="36" t="str">
        <f>IF(AB421&lt;&gt;"",IF(AB421&lt;&gt;"LIBSETS_DROP_MECHANIC_MONSTER_NAME",VLOOKUP(AB421,'&lt;Constants&gt;'!$I$4:$L$1020,3,FALSE),""),"")</f>
        <v>City Bruma (quartermaster)</v>
      </c>
      <c r="AD421" s="36" t="str">
        <f>IF(AB421&lt;&gt;"",IF(AB421&lt;&gt;"LIBSETS_DROP_MECHANIC_MONSTER_NAME",VLOOKUP(AB421,'&lt;Constants&gt;'!$I$4:$L$1020,4,FALSE),""),"")</f>
        <v>Stadt Bruma (Quartiermeister)</v>
      </c>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2626</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 dropMechanicDropLocationNames={['en']={'','City Bruma (quartermaster)','','','','',},['de']={'','Stadt Bruma (Quartiermeister)','','','','',},}</v>
      </c>
      <c r="BI421" s="18" t="str">
        <f t="shared" si="41"/>
        <v>}, --Unchained Aggressor / Entfesselter Aggressor   [Cyrodiil, Cyrodiil]</v>
      </c>
    </row>
    <row r="422" spans="1:61" x14ac:dyDescent="0.25">
      <c r="A422" s="5">
        <v>482</v>
      </c>
      <c r="B422" t="s">
        <v>1643</v>
      </c>
      <c r="C422" t="s">
        <v>1628</v>
      </c>
      <c r="D422" s="3">
        <f t="shared" si="36"/>
        <v>482</v>
      </c>
      <c r="E422" s="37"/>
      <c r="G422" s="3" t="s">
        <v>1451</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DLCs'!$A$3:$D$99999,4,FALSE))</f>
        <v>DLC_BASE_GAME</v>
      </c>
      <c r="U422" s="3" t="str">
        <f>IF(T422&lt;&gt;"",VLOOKUP(T422,'&lt;Constants&gt;'!$B$4:$C$1020,2,FALSE),"")</f>
        <v>Included in base game</v>
      </c>
      <c r="V422" s="30" t="s">
        <v>3256</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2741</v>
      </c>
      <c r="AC422" s="36" t="str">
        <f>IF(AB422&lt;&gt;"",IF(AB422&lt;&gt;"LIBSETS_DROP_MECHANIC_MONSTER_NAME",VLOOKUP(AB422,'&lt;Constants&gt;'!$I$4:$L$1020,3,FALSE),""),"")</f>
        <v>City Cropsford (quartermaster)</v>
      </c>
      <c r="AD422" s="36" t="str">
        <f>IF(AB422&lt;&gt;"",IF(AB422&lt;&gt;"LIBSETS_DROP_MECHANIC_MONSTER_NAME",VLOOKUP(AB422,'&lt;Constants&gt;'!$I$4:$L$1020,4,FALSE),""),"")</f>
        <v>Stadt Erntefurt (Quartiermeister)</v>
      </c>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2626</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 dropMechanicDropLocationNames={['en']={'','City Cropsford (quartermaster)','','','','',},['de']={'','Stadt Erntefurt (Quartiermeister)','','','','',},}</v>
      </c>
      <c r="BI422" s="18" t="str">
        <f t="shared" si="41"/>
        <v>}, --Dauntless Combatant / Furchtloser Kombattant   [Cyrodiil, Cyrodiil]</v>
      </c>
    </row>
    <row r="423" spans="1:61" x14ac:dyDescent="0.25">
      <c r="A423" s="5">
        <v>483</v>
      </c>
      <c r="B423" t="s">
        <v>1699</v>
      </c>
      <c r="C423" t="s">
        <v>1699</v>
      </c>
      <c r="D423" s="3">
        <f t="shared" si="36"/>
        <v>483</v>
      </c>
      <c r="E423" s="52" t="s">
        <v>1761</v>
      </c>
      <c r="F423" s="27" t="s">
        <v>1441</v>
      </c>
      <c r="G423" s="8" t="s">
        <v>1459</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DLCs'!$A$3:$D$99999,4,FALSE))</f>
        <v>0</v>
      </c>
      <c r="U423" s="3" t="e">
        <f>IF(T423&lt;&gt;"",VLOOKUP(T423,'&lt;Constants&gt;'!$B$4:$C$1020,2,FALSE),"")</f>
        <v>#N/A</v>
      </c>
      <c r="V423" s="30" t="s">
        <v>1770</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6" t="str">
        <f>IF(AB423&lt;&gt;"",IF(AB423&lt;&gt;"LIBSETS_DROP_MECHANIC_MONSTER_NAME",VLOOKUP(AB423,'&lt;Constants&gt;'!$I$4:$L$1020,3,FALSE),""),"")</f>
        <v/>
      </c>
      <c r="AD423" s="36" t="str">
        <f>IF(AB423&lt;&gt;"",IF(AB423&lt;&gt;"LIBSETS_DROP_MECHANIC_MONSTER_NAME",VLOOKUP(AB423,'&lt;Constants&gt;'!$I$4:$L$1020,4,FALSE),""),"")</f>
        <v/>
      </c>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2626</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1700</v>
      </c>
      <c r="C424" t="s">
        <v>1700</v>
      </c>
      <c r="D424" s="3">
        <f t="shared" si="36"/>
        <v>484</v>
      </c>
      <c r="E424" s="52" t="s">
        <v>1761</v>
      </c>
      <c r="F424" s="27" t="s">
        <v>1441</v>
      </c>
      <c r="G424" s="8" t="s">
        <v>1459</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DLCs'!$A$3:$D$99999,4,FALSE))</f>
        <v>0</v>
      </c>
      <c r="U424" s="3" t="e">
        <f>IF(T424&lt;&gt;"",VLOOKUP(T424,'&lt;Constants&gt;'!$B$4:$C$1020,2,FALSE),"")</f>
        <v>#N/A</v>
      </c>
      <c r="V424" s="30" t="s">
        <v>1770</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t="str">
        <f>IF(AB424&lt;&gt;"",IF(AB424&lt;&gt;"LIBSETS_DROP_MECHANIC_MONSTER_NAME",VLOOKUP(AB424,'&lt;Constants&gt;'!$I$4:$L$1020,3,FALSE),""),"")</f>
        <v/>
      </c>
      <c r="AD424" s="38" t="str">
        <f>IF(AB424&lt;&gt;"",IF(AB424&lt;&gt;"LIBSETS_DROP_MECHANIC_MONSTER_NAME",VLOOKUP(AB424,'&lt;Constants&gt;'!$I$4:$L$1020,4,FALSE),""),"")</f>
        <v/>
      </c>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2626</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1701</v>
      </c>
      <c r="C425" t="s">
        <v>1701</v>
      </c>
      <c r="D425" s="3">
        <f t="shared" si="36"/>
        <v>485</v>
      </c>
      <c r="E425" s="52" t="s">
        <v>1761</v>
      </c>
      <c r="F425" s="27" t="s">
        <v>1441</v>
      </c>
      <c r="G425" s="8" t="s">
        <v>1459</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DLCs'!$A$3:$D$99999,4,FALSE))</f>
        <v>0</v>
      </c>
      <c r="U425" s="3" t="e">
        <f>IF(T425&lt;&gt;"",VLOOKUP(T425,'&lt;Constants&gt;'!$B$4:$C$1020,2,FALSE),"")</f>
        <v>#N/A</v>
      </c>
      <c r="V425" s="30" t="s">
        <v>1770</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t="str">
        <f>IF(AB425&lt;&gt;"",IF(AB425&lt;&gt;"LIBSETS_DROP_MECHANIC_MONSTER_NAME",VLOOKUP(AB425,'&lt;Constants&gt;'!$I$4:$L$1020,3,FALSE),""),"")</f>
        <v/>
      </c>
      <c r="AD425" s="38" t="str">
        <f>IF(AB425&lt;&gt;"",IF(AB425&lt;&gt;"LIBSETS_DROP_MECHANIC_MONSTER_NAME",VLOOKUP(AB425,'&lt;Constants&gt;'!$I$4:$L$1020,4,FALSE),""),"")</f>
        <v/>
      </c>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2626</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1702</v>
      </c>
      <c r="C426" t="s">
        <v>1702</v>
      </c>
      <c r="D426" s="3">
        <f t="shared" si="36"/>
        <v>486</v>
      </c>
      <c r="E426" s="52" t="s">
        <v>1761</v>
      </c>
      <c r="F426" s="27" t="s">
        <v>1441</v>
      </c>
      <c r="G426" s="8" t="s">
        <v>1459</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DLCs'!$A$3:$D$99999,4,FALSE))</f>
        <v>0</v>
      </c>
      <c r="U426" s="3" t="e">
        <f>IF(T426&lt;&gt;"",VLOOKUP(T426,'&lt;Constants&gt;'!$B$4:$C$1020,2,FALSE),"")</f>
        <v>#N/A</v>
      </c>
      <c r="V426" s="30" t="s">
        <v>1770</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t="str">
        <f>IF(AB426&lt;&gt;"",IF(AB426&lt;&gt;"LIBSETS_DROP_MECHANIC_MONSTER_NAME",VLOOKUP(AB426,'&lt;Constants&gt;'!$I$4:$L$1020,3,FALSE),""),"")</f>
        <v/>
      </c>
      <c r="AD426" s="38" t="str">
        <f>IF(AB426&lt;&gt;"",IF(AB426&lt;&gt;"LIBSETS_DROP_MECHANIC_MONSTER_NAME",VLOOKUP(AB426,'&lt;Constants&gt;'!$I$4:$L$1020,4,FALSE),""),"")</f>
        <v/>
      </c>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2626</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1703</v>
      </c>
      <c r="C427" t="s">
        <v>2608</v>
      </c>
      <c r="D427" s="3">
        <f t="shared" si="36"/>
        <v>487</v>
      </c>
      <c r="G427" s="8" t="s">
        <v>1457</v>
      </c>
      <c r="I427" t="s">
        <v>91</v>
      </c>
      <c r="J427" t="s">
        <v>91</v>
      </c>
      <c r="K427">
        <v>418</v>
      </c>
      <c r="L427">
        <v>419</v>
      </c>
      <c r="M427">
        <v>421</v>
      </c>
      <c r="O427" s="58" t="s">
        <v>1660</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DLCs'!$A$3:$D$99999,4,FALSE))</f>
        <v>DLC_GREYMOOR</v>
      </c>
      <c r="U427" s="3" t="str">
        <f>IF(T427&lt;&gt;"",VLOOKUP(T427,'&lt;Constants&gt;'!$B$4:$C$1020,2,FALSE),"")</f>
        <v>Greymoor</v>
      </c>
      <c r="V427" s="30" t="s">
        <v>1534</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1535</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1536</v>
      </c>
      <c r="AI427" s="38"/>
      <c r="AJ427" s="38"/>
      <c r="AK427" s="3">
        <f>IF(AND(G427&lt;&gt;"LIBSETS_SETTYPE_BATTLEGROUND",G427&lt;&gt;"LIBSETS_SETTYPE_SPECIAL"),IF(AL427&lt;&gt;"",VLOOKUP(AL427,'ESO zones'!$D$5:$H$4958,5,FALSE),""),"")</f>
        <v>1160</v>
      </c>
      <c r="AL427" t="s">
        <v>1660</v>
      </c>
      <c r="AM427" s="30" t="s">
        <v>1537</v>
      </c>
      <c r="AN427" s="38"/>
      <c r="AO427" s="38"/>
      <c r="AP427" s="3">
        <f>IF(AND(G427&lt;&gt;"LIBSETS_SETTYPE_BATTLEGROUND",G427&lt;&gt;"LIBSETS_SETTYPE_SPECIAL"),IF(AQ427&lt;&gt;"",VLOOKUP(AQ427,'ESO zones'!$D$5:$H$4958,5,FALSE),""),"")</f>
        <v>1160</v>
      </c>
      <c r="AQ427" t="s">
        <v>1660</v>
      </c>
      <c r="AR427" s="39" t="s">
        <v>3193</v>
      </c>
      <c r="AS427" s="38"/>
      <c r="AT427" s="38"/>
      <c r="AU427" s="3" t="str">
        <f>IF(AND(G427&lt;&gt;"LIBSETS_SETTYPE_BATTLEGROUND",G427&lt;&gt;"LIBSETS_SETTYPE_SPECIAL"),IF(AV427&lt;&gt;"",VLOOKUP(AV427,'ESO zones'!$D$5:$H$4958,5,FALSE),""),"")</f>
        <v/>
      </c>
      <c r="AX427" s="38"/>
      <c r="AY427" s="38"/>
      <c r="AZ427" s="72" t="s">
        <v>2626</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1704</v>
      </c>
      <c r="C428" t="s">
        <v>1705</v>
      </c>
      <c r="D428" s="3">
        <f t="shared" si="36"/>
        <v>488</v>
      </c>
      <c r="G428" s="8" t="s">
        <v>1457</v>
      </c>
      <c r="I428" t="s">
        <v>91</v>
      </c>
      <c r="J428" t="s">
        <v>91</v>
      </c>
      <c r="K428">
        <v>418</v>
      </c>
      <c r="L428">
        <v>419</v>
      </c>
      <c r="M428">
        <v>421</v>
      </c>
      <c r="O428" s="58" t="s">
        <v>1660</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DLCs'!$A$3:$D$99999,4,FALSE))</f>
        <v>DLC_GREYMOOR</v>
      </c>
      <c r="U428" s="3" t="str">
        <f>IF(T428&lt;&gt;"",VLOOKUP(T428,'&lt;Constants&gt;'!$B$4:$C$1020,2,FALSE),"")</f>
        <v>Greymoor</v>
      </c>
      <c r="V428" s="30" t="s">
        <v>1534</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1535</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1536</v>
      </c>
      <c r="AI428" s="38"/>
      <c r="AJ428" s="38"/>
      <c r="AK428" s="3">
        <f>IF(AND(G428&lt;&gt;"LIBSETS_SETTYPE_BATTLEGROUND",G428&lt;&gt;"LIBSETS_SETTYPE_SPECIAL"),IF(AL428&lt;&gt;"",VLOOKUP(AL428,'ESO zones'!$D$5:$H$4958,5,FALSE),""),"")</f>
        <v>1160</v>
      </c>
      <c r="AL428" t="s">
        <v>1660</v>
      </c>
      <c r="AM428" s="30" t="s">
        <v>1537</v>
      </c>
      <c r="AN428" s="38"/>
      <c r="AO428" s="38"/>
      <c r="AP428" s="3">
        <f>IF(AND(G428&lt;&gt;"LIBSETS_SETTYPE_BATTLEGROUND",G428&lt;&gt;"LIBSETS_SETTYPE_SPECIAL"),IF(AQ428&lt;&gt;"",VLOOKUP(AQ428,'ESO zones'!$D$5:$H$4958,5,FALSE),""),"")</f>
        <v>1160</v>
      </c>
      <c r="AQ428" t="s">
        <v>1660</v>
      </c>
      <c r="AR428" s="39" t="s">
        <v>3193</v>
      </c>
      <c r="AS428" s="38"/>
      <c r="AT428" s="38"/>
      <c r="AU428" s="3" t="str">
        <f>IF(AND(G428&lt;&gt;"LIBSETS_SETTYPE_BATTLEGROUND",G428&lt;&gt;"LIBSETS_SETTYPE_SPECIAL"),IF(AV428&lt;&gt;"",VLOOKUP(AV428,'ESO zones'!$D$5:$H$4958,5,FALSE),""),"")</f>
        <v/>
      </c>
      <c r="AX428" s="38"/>
      <c r="AY428" s="38"/>
      <c r="AZ428" s="72" t="s">
        <v>2626</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1706</v>
      </c>
      <c r="C429" t="s">
        <v>1707</v>
      </c>
      <c r="D429" s="3">
        <f t="shared" si="36"/>
        <v>489</v>
      </c>
      <c r="G429" s="8" t="s">
        <v>1457</v>
      </c>
      <c r="I429" t="s">
        <v>91</v>
      </c>
      <c r="J429" t="s">
        <v>91</v>
      </c>
      <c r="K429">
        <v>418</v>
      </c>
      <c r="L429">
        <v>419</v>
      </c>
      <c r="M429">
        <v>421</v>
      </c>
      <c r="O429" s="58" t="s">
        <v>1660</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DLCs'!$A$3:$D$99999,4,FALSE))</f>
        <v>DLC_GREYMOOR</v>
      </c>
      <c r="U429" s="3" t="str">
        <f>IF(T429&lt;&gt;"",VLOOKUP(T429,'&lt;Constants&gt;'!$B$4:$C$1020,2,FALSE),"")</f>
        <v>Greymoor</v>
      </c>
      <c r="V429" s="30" t="s">
        <v>1534</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1535</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1536</v>
      </c>
      <c r="AI429" s="38"/>
      <c r="AJ429" s="38"/>
      <c r="AK429" s="3">
        <f>IF(AND(G429&lt;&gt;"LIBSETS_SETTYPE_BATTLEGROUND",G429&lt;&gt;"LIBSETS_SETTYPE_SPECIAL"),IF(AL429&lt;&gt;"",VLOOKUP(AL429,'ESO zones'!$D$5:$H$4958,5,FALSE),""),"")</f>
        <v>1160</v>
      </c>
      <c r="AL429" t="s">
        <v>1660</v>
      </c>
      <c r="AM429" s="30" t="s">
        <v>1537</v>
      </c>
      <c r="AN429" s="38"/>
      <c r="AO429" s="38"/>
      <c r="AP429" s="3">
        <f>IF(AND(G429&lt;&gt;"LIBSETS_SETTYPE_BATTLEGROUND",G429&lt;&gt;"LIBSETS_SETTYPE_SPECIAL"),IF(AQ429&lt;&gt;"",VLOOKUP(AQ429,'ESO zones'!$D$5:$H$4958,5,FALSE),""),"")</f>
        <v>1160</v>
      </c>
      <c r="AQ429" t="s">
        <v>1660</v>
      </c>
      <c r="AR429" s="39" t="s">
        <v>3193</v>
      </c>
      <c r="AS429" s="38"/>
      <c r="AT429" s="38"/>
      <c r="AU429" s="3" t="str">
        <f>IF(AND(G429&lt;&gt;"LIBSETS_SETTYPE_BATTLEGROUND",G429&lt;&gt;"LIBSETS_SETTYPE_SPECIAL"),IF(AV429&lt;&gt;"",VLOOKUP(AV429,'ESO zones'!$D$5:$H$4958,5,FALSE),""),"")</f>
        <v/>
      </c>
      <c r="AX429" s="38"/>
      <c r="AY429" s="38"/>
      <c r="AZ429" s="72" t="s">
        <v>2626</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1708</v>
      </c>
      <c r="C430" t="s">
        <v>2609</v>
      </c>
      <c r="D430" s="3">
        <f t="shared" si="36"/>
        <v>490</v>
      </c>
      <c r="G430" s="8" t="s">
        <v>1451</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DLCs'!$A$3:$D$99999,4,FALSE))</f>
        <v>DLC_GREYMOOR</v>
      </c>
      <c r="U430" s="3" t="str">
        <f>IF(T430&lt;&gt;"",VLOOKUP(T430,'&lt;Constants&gt;'!$B$4:$C$1020,2,FALSE),"")</f>
        <v>Greymoor</v>
      </c>
      <c r="V430" s="30" t="s">
        <v>3256</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3256</v>
      </c>
      <c r="AC430" s="36"/>
      <c r="AD430" s="36"/>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3256</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2626</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1709</v>
      </c>
      <c r="C431" t="s">
        <v>2610</v>
      </c>
      <c r="D431" s="3">
        <f t="shared" si="36"/>
        <v>491</v>
      </c>
      <c r="G431" s="8" t="s">
        <v>1451</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DLCs'!$A$3:$D$99999,4,FALSE))</f>
        <v>DLC_GREYMOOR</v>
      </c>
      <c r="U431" s="3" t="str">
        <f>IF(T431&lt;&gt;"",VLOOKUP(T431,'&lt;Constants&gt;'!$B$4:$C$1020,2,FALSE),"")</f>
        <v>Greymoor</v>
      </c>
      <c r="V431" s="30" t="s">
        <v>3256</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3256</v>
      </c>
      <c r="AC431" s="36"/>
      <c r="AD431" s="36"/>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3256</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2626</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1710</v>
      </c>
      <c r="C432" t="s">
        <v>2611</v>
      </c>
      <c r="D432" s="3">
        <f t="shared" si="36"/>
        <v>492</v>
      </c>
      <c r="G432" s="8" t="s">
        <v>1458</v>
      </c>
      <c r="I432" t="s">
        <v>91</v>
      </c>
      <c r="J432" t="s">
        <v>91</v>
      </c>
      <c r="K432">
        <v>434</v>
      </c>
      <c r="L432">
        <v>434</v>
      </c>
      <c r="M432">
        <v>434</v>
      </c>
      <c r="O432" s="58" t="s">
        <v>1679</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DLCs'!$A$3:$D$99999,4,FALSE))</f>
        <v>DLC_GREYMOOR</v>
      </c>
      <c r="U432" s="3" t="str">
        <f>IF(T432&lt;&gt;"",VLOOKUP(T432,'&lt;Constants&gt;'!$B$4:$C$1020,2,FALSE),"")</f>
        <v>Greymoor</v>
      </c>
      <c r="V432" s="30" t="s">
        <v>3234</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3234</v>
      </c>
      <c r="AC432" s="38"/>
      <c r="AD432" s="38"/>
      <c r="AE432" s="125">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3234</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2626</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1711</v>
      </c>
      <c r="C433" t="s">
        <v>2612</v>
      </c>
      <c r="D433" s="3">
        <f t="shared" si="36"/>
        <v>493</v>
      </c>
      <c r="G433" s="8" t="s">
        <v>1458</v>
      </c>
      <c r="I433" t="s">
        <v>92</v>
      </c>
      <c r="J433" t="s">
        <v>91</v>
      </c>
      <c r="K433">
        <v>434</v>
      </c>
      <c r="L433">
        <v>434</v>
      </c>
      <c r="M433">
        <v>434</v>
      </c>
      <c r="O433" s="58" t="s">
        <v>1679</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DLCs'!$A$3:$D$99999,4,FALSE))</f>
        <v>DLC_GREYMOOR</v>
      </c>
      <c r="U433" s="3" t="str">
        <f>IF(T433&lt;&gt;"",VLOOKUP(T433,'&lt;Constants&gt;'!$B$4:$C$1020,2,FALSE),"")</f>
        <v>Greymoor</v>
      </c>
      <c r="V433" s="30" t="s">
        <v>3234</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3234</v>
      </c>
      <c r="AC433" s="38"/>
      <c r="AD433" s="38"/>
      <c r="AE433" s="125">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3234</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2626</v>
      </c>
      <c r="BA433" s="72"/>
      <c r="BB433" s="72"/>
      <c r="BC433" s="72"/>
      <c r="BD433" s="72" t="s">
        <v>3773</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1712</v>
      </c>
      <c r="C434" t="s">
        <v>2613</v>
      </c>
      <c r="D434" s="3">
        <f t="shared" si="36"/>
        <v>494</v>
      </c>
      <c r="G434" s="8" t="s">
        <v>1458</v>
      </c>
      <c r="I434" t="s">
        <v>91</v>
      </c>
      <c r="J434" t="s">
        <v>91</v>
      </c>
      <c r="K434">
        <v>434</v>
      </c>
      <c r="L434">
        <v>434</v>
      </c>
      <c r="M434">
        <v>434</v>
      </c>
      <c r="O434" s="58" t="s">
        <v>1679</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DLCs'!$A$3:$D$99999,4,FALSE))</f>
        <v>DLC_GREYMOOR</v>
      </c>
      <c r="U434" s="3" t="str">
        <f>IF(T434&lt;&gt;"",VLOOKUP(T434,'&lt;Constants&gt;'!$B$4:$C$1020,2,FALSE),"")</f>
        <v>Greymoor</v>
      </c>
      <c r="V434" s="30" t="s">
        <v>3234</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3234</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3234</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2626</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1713</v>
      </c>
      <c r="C435" t="s">
        <v>2614</v>
      </c>
      <c r="D435" s="3">
        <f t="shared" si="36"/>
        <v>495</v>
      </c>
      <c r="G435" s="8" t="s">
        <v>1458</v>
      </c>
      <c r="I435" t="s">
        <v>92</v>
      </c>
      <c r="J435" t="s">
        <v>91</v>
      </c>
      <c r="K435">
        <v>434</v>
      </c>
      <c r="L435">
        <v>434</v>
      </c>
      <c r="M435">
        <v>434</v>
      </c>
      <c r="O435" s="58" t="s">
        <v>1679</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DLCs'!$A$3:$D$99999,4,FALSE))</f>
        <v>DLC_GREYMOOR</v>
      </c>
      <c r="U435" s="3" t="str">
        <f>IF(T435&lt;&gt;"",VLOOKUP(T435,'&lt;Constants&gt;'!$B$4:$C$1020,2,FALSE),"")</f>
        <v>Greymoor</v>
      </c>
      <c r="V435" s="30" t="s">
        <v>3234</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3234</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3234</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2626</v>
      </c>
      <c r="BA435" s="72"/>
      <c r="BB435" s="72"/>
      <c r="BC435" s="72"/>
      <c r="BD435" s="72" t="s">
        <v>3773</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1714</v>
      </c>
      <c r="C436" t="s">
        <v>1715</v>
      </c>
      <c r="D436" s="3">
        <f t="shared" si="36"/>
        <v>496</v>
      </c>
      <c r="G436" s="8" t="s">
        <v>1458</v>
      </c>
      <c r="I436" t="s">
        <v>91</v>
      </c>
      <c r="J436" t="s">
        <v>91</v>
      </c>
      <c r="K436">
        <v>434</v>
      </c>
      <c r="L436">
        <v>434</v>
      </c>
      <c r="M436">
        <v>434</v>
      </c>
      <c r="O436" s="58" t="s">
        <v>1679</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DLCs'!$A$3:$D$99999,4,FALSE))</f>
        <v>DLC_GREYMOOR</v>
      </c>
      <c r="U436" s="3" t="str">
        <f>IF(T436&lt;&gt;"",VLOOKUP(T436,'&lt;Constants&gt;'!$B$4:$C$1020,2,FALSE),"")</f>
        <v>Greymoor</v>
      </c>
      <c r="V436" s="30" t="s">
        <v>3234</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3234</v>
      </c>
      <c r="AC436" s="38"/>
      <c r="AD436" s="38"/>
      <c r="AE436" s="125">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3234</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2626</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1716</v>
      </c>
      <c r="C437" t="s">
        <v>1717</v>
      </c>
      <c r="D437" s="3">
        <f t="shared" si="36"/>
        <v>497</v>
      </c>
      <c r="G437" s="8" t="s">
        <v>1458</v>
      </c>
      <c r="I437" t="s">
        <v>92</v>
      </c>
      <c r="J437" t="s">
        <v>91</v>
      </c>
      <c r="K437">
        <v>434</v>
      </c>
      <c r="L437">
        <v>434</v>
      </c>
      <c r="M437">
        <v>434</v>
      </c>
      <c r="O437" s="58" t="s">
        <v>1679</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DLCs'!$A$3:$D$99999,4,FALSE))</f>
        <v>DLC_GREYMOOR</v>
      </c>
      <c r="U437" s="3" t="str">
        <f>IF(T437&lt;&gt;"",VLOOKUP(T437,'&lt;Constants&gt;'!$B$4:$C$1020,2,FALSE),"")</f>
        <v>Greymoor</v>
      </c>
      <c r="V437" s="30" t="s">
        <v>3234</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3234</v>
      </c>
      <c r="AC437" s="38"/>
      <c r="AD437" s="38"/>
      <c r="AE437" s="125">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3234</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2626</v>
      </c>
      <c r="BA437" s="72"/>
      <c r="BB437" s="72"/>
      <c r="BC437" s="72"/>
      <c r="BD437" s="72" t="s">
        <v>3773</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1718</v>
      </c>
      <c r="C438" t="s">
        <v>2615</v>
      </c>
      <c r="D438" s="3">
        <f t="shared" si="36"/>
        <v>498</v>
      </c>
      <c r="G438" s="8" t="s">
        <v>1458</v>
      </c>
      <c r="I438" t="s">
        <v>91</v>
      </c>
      <c r="J438" t="s">
        <v>91</v>
      </c>
      <c r="K438">
        <v>434</v>
      </c>
      <c r="L438">
        <v>434</v>
      </c>
      <c r="M438">
        <v>434</v>
      </c>
      <c r="O438" s="58" t="s">
        <v>1679</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DLCs'!$A$3:$D$99999,4,FALSE))</f>
        <v>DLC_GREYMOOR</v>
      </c>
      <c r="U438" s="3" t="str">
        <f>IF(T438&lt;&gt;"",VLOOKUP(T438,'&lt;Constants&gt;'!$B$4:$C$1020,2,FALSE),"")</f>
        <v>Greymoor</v>
      </c>
      <c r="V438" s="30" t="s">
        <v>3234</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3234</v>
      </c>
      <c r="AC438" s="38"/>
      <c r="AD438" s="38"/>
      <c r="AE438" s="125">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3234</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2626</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1719</v>
      </c>
      <c r="C439" t="s">
        <v>2616</v>
      </c>
      <c r="D439" s="3">
        <f t="shared" si="36"/>
        <v>499</v>
      </c>
      <c r="G439" s="8" t="s">
        <v>1458</v>
      </c>
      <c r="I439" t="s">
        <v>92</v>
      </c>
      <c r="J439" t="s">
        <v>91</v>
      </c>
      <c r="K439">
        <v>434</v>
      </c>
      <c r="L439">
        <v>434</v>
      </c>
      <c r="M439">
        <v>434</v>
      </c>
      <c r="O439" s="58" t="s">
        <v>1679</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DLCs'!$A$3:$D$99999,4,FALSE))</f>
        <v>DLC_GREYMOOR</v>
      </c>
      <c r="U439" s="3" t="str">
        <f>IF(T439&lt;&gt;"",VLOOKUP(T439,'&lt;Constants&gt;'!$B$4:$C$1020,2,FALSE),"")</f>
        <v>Greymoor</v>
      </c>
      <c r="V439" s="30" t="s">
        <v>3234</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3234</v>
      </c>
      <c r="AC439" s="38"/>
      <c r="AD439" s="38"/>
      <c r="AE439" s="125">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3234</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2626</v>
      </c>
      <c r="BA439" s="72"/>
      <c r="BB439" s="72"/>
      <c r="BC439" s="72"/>
      <c r="BD439" s="72" t="s">
        <v>3773</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1720</v>
      </c>
      <c r="C440" t="s">
        <v>2617</v>
      </c>
      <c r="D440" s="3">
        <f t="shared" si="36"/>
        <v>500</v>
      </c>
      <c r="E440" s="37" t="s">
        <v>1762</v>
      </c>
      <c r="F440" s="27" t="s">
        <v>1441</v>
      </c>
      <c r="G440" s="8"/>
      <c r="O440" s="58" t="s">
        <v>1660</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DLCs'!$A$3:$D$99999,4,FALSE))</f>
        <v>DLC_GREYMOOR</v>
      </c>
      <c r="U440" s="3" t="str">
        <f>IF(T440&lt;&gt;"",VLOOKUP(T440,'&lt;Constants&gt;'!$B$4:$C$1020,2,FALSE),"")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t="str">
        <f>IF(AB440&lt;&gt;"",IF(AB440&lt;&gt;"LIBSETS_DROP_MECHANIC_MONSTER_NAME",VLOOKUP(AB440,'&lt;Constants&gt;'!$I$4:$L$1020,3,FALSE),""),"")</f>
        <v/>
      </c>
      <c r="AD440" s="38" t="str">
        <f>IF(AB440&lt;&gt;"",IF(AB440&lt;&gt;"LIBSETS_DROP_MECHANIC_MONSTER_NAME",VLOOKUP(AB440,'&lt;Constants&gt;'!$I$4:$L$1020,4,FALSE),""),"")</f>
        <v/>
      </c>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2626</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1722</v>
      </c>
      <c r="C441" t="s">
        <v>1721</v>
      </c>
      <c r="D441" s="3">
        <f t="shared" si="36"/>
        <v>501</v>
      </c>
      <c r="G441" s="8" t="s">
        <v>1654</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DLCs'!$A$3:$D$99999,4,FALSE))</f>
        <v>DLC_GREYMOOR</v>
      </c>
      <c r="U441" s="3" t="str">
        <f>IF(T441&lt;&gt;"",VLOOKUP(T441,'&lt;Constants&gt;'!$B$4:$C$1020,2,FALSE),"")</f>
        <v>Greymoor</v>
      </c>
      <c r="V441" s="30" t="s">
        <v>1535</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3187</v>
      </c>
      <c r="AC441" s="38" t="s">
        <v>3213</v>
      </c>
      <c r="AD441" s="38" t="s">
        <v>3214</v>
      </c>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3187</v>
      </c>
      <c r="AI441" s="38" t="s">
        <v>3215</v>
      </c>
      <c r="AJ441" s="38" t="s">
        <v>3216</v>
      </c>
      <c r="AK441" s="3">
        <f>IF(AND(G441&lt;&gt;"LIBSETS_SETTYPE_BATTLEGROUND",G441&lt;&gt;"LIBSETS_SETTYPE_SPECIAL"),IF(AL441&lt;&gt;"",VLOOKUP(AL441,'ESO zones'!$D$5:$H$4958,5,FALSE),""),"")</f>
        <v>1020</v>
      </c>
      <c r="AL441" t="s">
        <v>670</v>
      </c>
      <c r="AM441" s="30" t="s">
        <v>1535</v>
      </c>
      <c r="AN441" s="38"/>
      <c r="AO441" s="38"/>
      <c r="AP441" s="3">
        <f>IF(AND(G441&lt;&gt;"LIBSETS_SETTYPE_BATTLEGROUND",G441&lt;&gt;"LIBSETS_SETTYPE_SPECIAL"),IF(AQ441&lt;&gt;"",VLOOKUP(AQ441,'ESO zones'!$D$5:$H$4958,5,FALSE),""),"")</f>
        <v>1027</v>
      </c>
      <c r="AQ441" t="s">
        <v>677</v>
      </c>
      <c r="AR441" s="30" t="s">
        <v>3193</v>
      </c>
      <c r="AS441" s="38" t="s">
        <v>3977</v>
      </c>
      <c r="AT441" s="38" t="s">
        <v>3217</v>
      </c>
      <c r="AU441" s="3" t="str">
        <f>IF(AND(G441&lt;&gt;"LIBSETS_SETTYPE_BATTLEGROUND",G441&lt;&gt;"LIBSETS_SETTYPE_SPECIAL"),IF(AV441&lt;&gt;"",VLOOKUP(AV441,'ESO zones'!$D$5:$H$4958,5,FALSE),""),"")</f>
        <v/>
      </c>
      <c r="AV441" s="35"/>
      <c r="AX441" s="38"/>
      <c r="AY441" s="38"/>
      <c r="AZ441" s="72" t="s">
        <v>2626</v>
      </c>
      <c r="BA441" s="85" t="s">
        <v>3154</v>
      </c>
      <c r="BB441" s="85" t="s">
        <v>3154</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1723</v>
      </c>
      <c r="C442" t="s">
        <v>1723</v>
      </c>
      <c r="D442" s="3">
        <f t="shared" si="36"/>
        <v>502</v>
      </c>
      <c r="E442" t="s">
        <v>1763</v>
      </c>
      <c r="F442" s="27" t="s">
        <v>1441</v>
      </c>
      <c r="G442" s="8"/>
      <c r="O442" s="58" t="s">
        <v>1660</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DLCs'!$A$3:$D$99999,4,FALSE))</f>
        <v>DLC_GREYMOOR</v>
      </c>
      <c r="U442" s="3" t="str">
        <f>IF(T442&lt;&gt;"",VLOOKUP(T442,'&lt;Constants&gt;'!$B$4:$C$1020,2,FALSE),"")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t="str">
        <f>IF(AB442&lt;&gt;"",IF(AB442&lt;&gt;"LIBSETS_DROP_MECHANIC_MONSTER_NAME",VLOOKUP(AB442,'&lt;Constants&gt;'!$I$4:$L$1020,3,FALSE),""),"")</f>
        <v/>
      </c>
      <c r="AD442" s="38" t="str">
        <f>IF(AB442&lt;&gt;"",IF(AB442&lt;&gt;"LIBSETS_DROP_MECHANIC_MONSTER_NAME",VLOOKUP(AB442,'&lt;Constants&gt;'!$I$4:$L$1020,4,FALSE),""),"")</f>
        <v/>
      </c>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2626</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1724</v>
      </c>
      <c r="C443" t="s">
        <v>1725</v>
      </c>
      <c r="D443" s="3">
        <f t="shared" si="36"/>
        <v>503</v>
      </c>
      <c r="G443" s="8" t="s">
        <v>1654</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DLCs'!$A$3:$D$99999,4,FALSE))</f>
        <v>DLC_GREYMOOR</v>
      </c>
      <c r="U443" s="3" t="str">
        <f>IF(T443&lt;&gt;"",VLOOKUP(T443,'&lt;Constants&gt;'!$B$4:$C$1020,2,FALSE),"")</f>
        <v>Greymoor</v>
      </c>
      <c r="V443" s="30" t="s">
        <v>1536</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1534</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1535</v>
      </c>
      <c r="AI443" s="38"/>
      <c r="AJ443" s="38"/>
      <c r="AK443" s="3">
        <f>IF(AND(G443&lt;&gt;"LIBSETS_SETTYPE_BATTLEGROUND",G443&lt;&gt;"LIBSETS_SETTYPE_SPECIAL"),IF(AL443&lt;&gt;"",VLOOKUP(AL443,'ESO zones'!$D$5:$H$4958,5,FALSE),""),"")</f>
        <v>931</v>
      </c>
      <c r="AL443" t="s">
        <v>56</v>
      </c>
      <c r="AM443" s="30" t="s">
        <v>3253</v>
      </c>
      <c r="AN443" s="38" t="s">
        <v>1522</v>
      </c>
      <c r="AO443" s="38" t="s">
        <v>1613</v>
      </c>
      <c r="AP443" s="3">
        <f>IF(AND(G443&lt;&gt;"LIBSETS_SETTYPE_BATTLEGROUND",G443&lt;&gt;"LIBSETS_SETTYPE_SPECIAL"),IF(AQ443&lt;&gt;"",VLOOKUP(AQ443,'ESO zones'!$D$5:$H$4958,5,FALSE),""),"")</f>
        <v>108</v>
      </c>
      <c r="AQ443" t="s">
        <v>112</v>
      </c>
      <c r="AR443" s="30" t="s">
        <v>1535</v>
      </c>
      <c r="AS443" s="38"/>
      <c r="AT443" s="38"/>
      <c r="AU443" s="3">
        <f>IF(AND(G443&lt;&gt;"LIBSETS_SETTYPE_BATTLEGROUND",G443&lt;&gt;"LIBSETS_SETTYPE_SPECIAL"),IF(AV443&lt;&gt;"",VLOOKUP(AV443,'ESO zones'!$D$5:$H$4958,5,FALSE),""),"")</f>
        <v>726</v>
      </c>
      <c r="AV443" t="s">
        <v>80</v>
      </c>
      <c r="AW443" s="30" t="s">
        <v>1535</v>
      </c>
      <c r="AX443" s="38"/>
      <c r="AY443" s="38"/>
      <c r="AZ443" s="72" t="s">
        <v>2626</v>
      </c>
      <c r="BA443" s="33" t="s">
        <v>3151</v>
      </c>
      <c r="BB443" s="33" t="s">
        <v>3151</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1726</v>
      </c>
      <c r="C444" t="s">
        <v>2618</v>
      </c>
      <c r="D444" s="3">
        <f t="shared" si="36"/>
        <v>504</v>
      </c>
      <c r="E444" t="s">
        <v>1764</v>
      </c>
      <c r="F444" s="27" t="s">
        <v>1441</v>
      </c>
      <c r="G444" s="8"/>
      <c r="O444" s="58" t="s">
        <v>1660</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DLCs'!$A$3:$D$99999,4,FALSE))</f>
        <v>DLC_GREYMOOR</v>
      </c>
      <c r="U444" s="3" t="str">
        <f>IF(T444&lt;&gt;"",VLOOKUP(T444,'&lt;Constants&gt;'!$B$4:$C$1020,2,FALSE),"")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t="str">
        <f>IF(AB444&lt;&gt;"",IF(AB444&lt;&gt;"LIBSETS_DROP_MECHANIC_MONSTER_NAME",VLOOKUP(AB444,'&lt;Constants&gt;'!$I$4:$L$1020,3,FALSE),""),"")</f>
        <v/>
      </c>
      <c r="AD444" s="38" t="str">
        <f>IF(AB444&lt;&gt;"",IF(AB444&lt;&gt;"LIBSETS_DROP_MECHANIC_MONSTER_NAME",VLOOKUP(AB444,'&lt;Constants&gt;'!$I$4:$L$1020,4,FALSE),""),"")</f>
        <v/>
      </c>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2626</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1728</v>
      </c>
      <c r="C445" t="s">
        <v>1727</v>
      </c>
      <c r="D445" s="3">
        <f t="shared" si="36"/>
        <v>505</v>
      </c>
      <c r="G445" s="8" t="s">
        <v>1654</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DLCs'!$A$3:$D$99999,4,FALSE))</f>
        <v>DLC_GREYMOOR</v>
      </c>
      <c r="U445" s="3" t="str">
        <f>IF(T445&lt;&gt;"",VLOOKUP(T445,'&lt;Constants&gt;'!$B$4:$C$1020,2,FALSE),"")</f>
        <v>Greymoor</v>
      </c>
      <c r="V445" s="30" t="s">
        <v>1535</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1535</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3253</v>
      </c>
      <c r="AI445" s="38" t="s">
        <v>1346</v>
      </c>
      <c r="AJ445" s="38" t="s">
        <v>1606</v>
      </c>
      <c r="AK445" s="3">
        <f>IF(AND(G445&lt;&gt;"LIBSETS_SETTYPE_BATTLEGROUND",G445&lt;&gt;"LIBSETS_SETTYPE_SPECIAL"),IF(AL445&lt;&gt;"",VLOOKUP(AL445,'ESO zones'!$D$5:$H$4958,5,FALSE),""),"")</f>
        <v>216</v>
      </c>
      <c r="AL445" t="s">
        <v>143</v>
      </c>
      <c r="AM445" s="30" t="s">
        <v>1536</v>
      </c>
      <c r="AN445" s="38"/>
      <c r="AO445" s="38"/>
      <c r="AP445" s="3">
        <f>IF(AND(G445&lt;&gt;"LIBSETS_SETTYPE_BATTLEGROUND",G445&lt;&gt;"LIBSETS_SETTYPE_SPECIAL"),IF(AQ445&lt;&gt;"",VLOOKUP(AQ445,'ESO zones'!$D$5:$H$4958,5,FALSE),""),"")</f>
        <v>888</v>
      </c>
      <c r="AQ445" t="s">
        <v>561</v>
      </c>
      <c r="AR445" s="30" t="s">
        <v>1535</v>
      </c>
      <c r="AS445" s="38"/>
      <c r="AT445" s="38"/>
      <c r="AU445" s="3" t="str">
        <f>IF(AND(G445&lt;&gt;"LIBSETS_SETTYPE_BATTLEGROUND",G445&lt;&gt;"LIBSETS_SETTYPE_SPECIAL"),IF(AV445&lt;&gt;"",VLOOKUP(AV445,'ESO zones'!$D$5:$H$4958,5,FALSE),""),"")</f>
        <v/>
      </c>
      <c r="AX445" s="38"/>
      <c r="AY445" s="38"/>
      <c r="AZ445" s="72" t="s">
        <v>2626</v>
      </c>
      <c r="BA445" s="33" t="s">
        <v>3155</v>
      </c>
      <c r="BB445" s="33" t="s">
        <v>3155</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1729</v>
      </c>
      <c r="C446" t="s">
        <v>1730</v>
      </c>
      <c r="D446" s="3">
        <f t="shared" si="36"/>
        <v>506</v>
      </c>
      <c r="G446" s="8" t="s">
        <v>1451</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DLCs'!$A$3:$D$99999,4,FALSE))</f>
        <v>DLC_GREYMOOR</v>
      </c>
      <c r="U446" s="3" t="str">
        <f>IF(T446&lt;&gt;"",VLOOKUP(T446,'&lt;Constants&gt;'!$B$4:$C$1020,2,FALSE),"")</f>
        <v>Greymoor</v>
      </c>
      <c r="V446" s="30" t="s">
        <v>3256</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3256</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3256</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2626</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1731</v>
      </c>
      <c r="C447" t="s">
        <v>1731</v>
      </c>
      <c r="D447" s="3">
        <f t="shared" si="36"/>
        <v>509</v>
      </c>
      <c r="E447" s="52" t="s">
        <v>1761</v>
      </c>
      <c r="F447" s="27" t="s">
        <v>1441</v>
      </c>
      <c r="G447" s="8" t="s">
        <v>1459</v>
      </c>
      <c r="O447" s="58" t="s">
        <v>1660</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DLCs'!$A$3:$D$99999,4,FALSE))</f>
        <v>DLC_BASE_GAME</v>
      </c>
      <c r="U447" s="3" t="str">
        <f>IF(T447&lt;&gt;"",VLOOKUP(T447,'&lt;Constants&gt;'!$B$4:$C$1020,2,FALSE),"")</f>
        <v>Included in base game</v>
      </c>
      <c r="V447" s="30" t="s">
        <v>1770</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t="str">
        <f>IF(AB447&lt;&gt;"",IF(AB447&lt;&gt;"LIBSETS_DROP_MECHANIC_MONSTER_NAME",VLOOKUP(AB447,'&lt;Constants&gt;'!$I$4:$L$1020,3,FALSE),""),"")</f>
        <v/>
      </c>
      <c r="AD447" s="38" t="str">
        <f>IF(AB447&lt;&gt;"",IF(AB447&lt;&gt;"LIBSETS_DROP_MECHANIC_MONSTER_NAME",VLOOKUP(AB447,'&lt;Constants&gt;'!$I$4:$L$1020,4,FALSE),""),"")</f>
        <v/>
      </c>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2626</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1732</v>
      </c>
      <c r="C448" t="s">
        <v>1732</v>
      </c>
      <c r="D448" s="3">
        <f t="shared" si="36"/>
        <v>510</v>
      </c>
      <c r="E448" s="52" t="s">
        <v>1761</v>
      </c>
      <c r="F448" s="27" t="s">
        <v>1441</v>
      </c>
      <c r="G448" s="8" t="s">
        <v>1459</v>
      </c>
      <c r="O448" s="58" t="s">
        <v>1660</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DLCs'!$A$3:$D$99999,4,FALSE))</f>
        <v>DLC_BASE_GAME</v>
      </c>
      <c r="U448" s="3" t="str">
        <f>IF(T448&lt;&gt;"",VLOOKUP(T448,'&lt;Constants&gt;'!$B$4:$C$1020,2,FALSE),"")</f>
        <v>Included in base game</v>
      </c>
      <c r="V448" s="30" t="s">
        <v>1770</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t="str">
        <f>IF(AB448&lt;&gt;"",IF(AB448&lt;&gt;"LIBSETS_DROP_MECHANIC_MONSTER_NAME",VLOOKUP(AB448,'&lt;Constants&gt;'!$I$4:$L$1020,3,FALSE),""),"")</f>
        <v/>
      </c>
      <c r="AD448" s="38" t="str">
        <f>IF(AB448&lt;&gt;"",IF(AB448&lt;&gt;"LIBSETS_DROP_MECHANIC_MONSTER_NAME",VLOOKUP(AB448,'&lt;Constants&gt;'!$I$4:$L$1020,4,FALSE),""),"")</f>
        <v/>
      </c>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2626</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1733</v>
      </c>
      <c r="C449" t="s">
        <v>1733</v>
      </c>
      <c r="D449" s="3">
        <f t="shared" si="36"/>
        <v>511</v>
      </c>
      <c r="E449" s="52" t="s">
        <v>1761</v>
      </c>
      <c r="F449" s="27" t="s">
        <v>1441</v>
      </c>
      <c r="G449" s="8" t="s">
        <v>1459</v>
      </c>
      <c r="O449" s="58" t="s">
        <v>1660</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DLCs'!$A$3:$D$99999,4,FALSE))</f>
        <v>DLC_BASE_GAME</v>
      </c>
      <c r="U449" s="3" t="str">
        <f>IF(T449&lt;&gt;"",VLOOKUP(T449,'&lt;Constants&gt;'!$B$4:$C$1020,2,FALSE),"")</f>
        <v>Included in base game</v>
      </c>
      <c r="V449" s="30" t="s">
        <v>1770</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t="str">
        <f>IF(AB449&lt;&gt;"",IF(AB449&lt;&gt;"LIBSETS_DROP_MECHANIC_MONSTER_NAME",VLOOKUP(AB449,'&lt;Constants&gt;'!$I$4:$L$1020,3,FALSE),""),"")</f>
        <v/>
      </c>
      <c r="AD449" s="38" t="str">
        <f>IF(AB449&lt;&gt;"",IF(AB449&lt;&gt;"LIBSETS_DROP_MECHANIC_MONSTER_NAME",VLOOKUP(AB449,'&lt;Constants&gt;'!$I$4:$L$1020,4,FALSE),""),"")</f>
        <v/>
      </c>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2626</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1734</v>
      </c>
      <c r="C450" t="s">
        <v>1734</v>
      </c>
      <c r="D450" s="3">
        <f t="shared" si="36"/>
        <v>512</v>
      </c>
      <c r="E450" s="52" t="s">
        <v>1761</v>
      </c>
      <c r="F450" s="27" t="s">
        <v>1441</v>
      </c>
      <c r="G450" s="8" t="s">
        <v>1459</v>
      </c>
      <c r="O450" s="58" t="s">
        <v>1660</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DLCs'!$A$3:$D$99999,4,FALSE))</f>
        <v>DLC_BASE_GAME</v>
      </c>
      <c r="U450" s="3" t="str">
        <f>IF(T450&lt;&gt;"",VLOOKUP(T450,'&lt;Constants&gt;'!$B$4:$C$1020,2,FALSE),"")</f>
        <v>Included in base game</v>
      </c>
      <c r="V450" s="30" t="s">
        <v>1770</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t="str">
        <f>IF(AB450&lt;&gt;"",IF(AB450&lt;&gt;"LIBSETS_DROP_MECHANIC_MONSTER_NAME",VLOOKUP(AB450,'&lt;Constants&gt;'!$I$4:$L$1020,3,FALSE),""),"")</f>
        <v/>
      </c>
      <c r="AD450" s="38" t="str">
        <f>IF(AB450&lt;&gt;"",IF(AB450&lt;&gt;"LIBSETS_DROP_MECHANIC_MONSTER_NAME",VLOOKUP(AB450,'&lt;Constants&gt;'!$I$4:$L$1020,4,FALSE),""),"")</f>
        <v/>
      </c>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2626</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2127</v>
      </c>
      <c r="C451" t="s">
        <v>2724</v>
      </c>
      <c r="D451" s="3">
        <f t="shared" ref="D451:D514" si="42">A451</f>
        <v>513</v>
      </c>
      <c r="G451" s="3" t="s">
        <v>1454</v>
      </c>
      <c r="I451" t="s">
        <v>91</v>
      </c>
      <c r="J451" t="s">
        <v>91</v>
      </c>
      <c r="K451">
        <v>436</v>
      </c>
      <c r="L451">
        <v>436</v>
      </c>
      <c r="M451">
        <v>436</v>
      </c>
      <c r="O451" s="58" t="s">
        <v>1774</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DLCs'!$A$3:$D$99999,4,FALSE))</f>
        <v>DLC_STONETHORN</v>
      </c>
      <c r="U451" s="3" t="str">
        <f>IF(T451&lt;&gt;"",VLOOKUP(T451,'&lt;Constants&gt;'!$B$4:$C$1020,2,FALSE),"")</f>
        <v>Stonethorn</v>
      </c>
      <c r="V451" s="30" t="s">
        <v>3253</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2626</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2128</v>
      </c>
      <c r="C452" t="s">
        <v>1775</v>
      </c>
      <c r="D452" s="3">
        <f t="shared" si="42"/>
        <v>514</v>
      </c>
      <c r="G452" s="3" t="s">
        <v>1454</v>
      </c>
      <c r="I452" t="s">
        <v>91</v>
      </c>
      <c r="J452" t="s">
        <v>91</v>
      </c>
      <c r="K452">
        <v>436</v>
      </c>
      <c r="L452">
        <v>436</v>
      </c>
      <c r="M452">
        <v>436</v>
      </c>
      <c r="O452" s="58" t="s">
        <v>1774</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DLCs'!$A$3:$D$99999,4,FALSE))</f>
        <v>DLC_STONETHORN</v>
      </c>
      <c r="U452" s="3" t="str">
        <f>IF(T452&lt;&gt;"",VLOOKUP(T452,'&lt;Constants&gt;'!$B$4:$C$1020,2,FALSE),"")</f>
        <v>Stonethorn</v>
      </c>
      <c r="V452" s="30" t="s">
        <v>3253</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2626</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2129</v>
      </c>
      <c r="C453" t="s">
        <v>1776</v>
      </c>
      <c r="D453" s="3">
        <f t="shared" si="42"/>
        <v>515</v>
      </c>
      <c r="G453" s="3" t="s">
        <v>1454</v>
      </c>
      <c r="I453" t="s">
        <v>91</v>
      </c>
      <c r="J453" t="s">
        <v>91</v>
      </c>
      <c r="K453">
        <v>436</v>
      </c>
      <c r="L453">
        <v>436</v>
      </c>
      <c r="M453">
        <v>436</v>
      </c>
      <c r="O453" s="58" t="s">
        <v>1774</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DLCs'!$A$3:$D$99999,4,FALSE))</f>
        <v>DLC_STONETHORN</v>
      </c>
      <c r="U453" s="3" t="str">
        <f>IF(T453&lt;&gt;"",VLOOKUP(T453,'&lt;Constants&gt;'!$B$4:$C$1020,2,FALSE),"")</f>
        <v>Stonethorn</v>
      </c>
      <c r="V453" s="30" t="s">
        <v>3253</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2626</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2130</v>
      </c>
      <c r="C454" t="s">
        <v>1778</v>
      </c>
      <c r="D454" s="3">
        <f t="shared" si="42"/>
        <v>516</v>
      </c>
      <c r="G454" s="3" t="s">
        <v>1454</v>
      </c>
      <c r="I454" t="s">
        <v>91</v>
      </c>
      <c r="J454" t="s">
        <v>91</v>
      </c>
      <c r="K454">
        <v>433</v>
      </c>
      <c r="L454">
        <v>433</v>
      </c>
      <c r="M454">
        <v>433</v>
      </c>
      <c r="O454" s="58" t="s">
        <v>1779</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DLCs'!$A$3:$D$99999,4,FALSE))</f>
        <v>DLC_STONETHORN</v>
      </c>
      <c r="U454" s="3" t="str">
        <f>IF(T454&lt;&gt;"",VLOOKUP(T454,'&lt;Constants&gt;'!$B$4:$C$1020,2,FALSE),"")</f>
        <v>Stonethorn</v>
      </c>
      <c r="V454" s="30" t="s">
        <v>3253</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2626</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2131</v>
      </c>
      <c r="C455" t="s">
        <v>2723</v>
      </c>
      <c r="D455" s="3">
        <f t="shared" si="42"/>
        <v>517</v>
      </c>
      <c r="G455" s="3" t="s">
        <v>1454</v>
      </c>
      <c r="I455" t="s">
        <v>91</v>
      </c>
      <c r="J455" t="s">
        <v>91</v>
      </c>
      <c r="K455">
        <v>433</v>
      </c>
      <c r="L455">
        <v>433</v>
      </c>
      <c r="M455">
        <v>433</v>
      </c>
      <c r="O455" s="58" t="s">
        <v>1779</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DLCs'!$A$3:$D$99999,4,FALSE))</f>
        <v>DLC_STONETHORN</v>
      </c>
      <c r="U455" s="3" t="str">
        <f>IF(T455&lt;&gt;"",VLOOKUP(T455,'&lt;Constants&gt;'!$B$4:$C$1020,2,FALSE),"")</f>
        <v>Stonethorn</v>
      </c>
      <c r="V455" s="30" t="s">
        <v>3253</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2626</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2132</v>
      </c>
      <c r="C456" t="s">
        <v>2722</v>
      </c>
      <c r="D456" s="3">
        <f t="shared" si="42"/>
        <v>518</v>
      </c>
      <c r="E456" s="37"/>
      <c r="G456" s="3" t="s">
        <v>1454</v>
      </c>
      <c r="I456" t="s">
        <v>91</v>
      </c>
      <c r="J456" t="s">
        <v>91</v>
      </c>
      <c r="K456">
        <v>433</v>
      </c>
      <c r="L456">
        <v>433</v>
      </c>
      <c r="M456">
        <v>433</v>
      </c>
      <c r="O456" s="58" t="s">
        <v>1779</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DLCs'!$A$3:$D$99999,4,FALSE))</f>
        <v>DLC_STONETHORN</v>
      </c>
      <c r="U456" s="3" t="str">
        <f>IF(T456&lt;&gt;"",VLOOKUP(T456,'&lt;Constants&gt;'!$B$4:$C$1020,2,FALSE),"")</f>
        <v>Stonethorn</v>
      </c>
      <c r="V456" s="30" t="s">
        <v>3253</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2626</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1735</v>
      </c>
      <c r="C457" t="s">
        <v>1736</v>
      </c>
      <c r="D457" s="3">
        <f t="shared" si="42"/>
        <v>519</v>
      </c>
      <c r="G457" s="8" t="s">
        <v>1654</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DLCs'!$A$3:$D$99999,4,FALSE))</f>
        <v>DLC_GREYMOOR</v>
      </c>
      <c r="U457" s="3" t="str">
        <f>IF(T457&lt;&gt;"",VLOOKUP(T457,'&lt;Constants&gt;'!$B$4:$C$1020,2,FALSE),"")</f>
        <v>Greymoor</v>
      </c>
      <c r="V457" s="30" t="s">
        <v>1536</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3237</v>
      </c>
      <c r="AC457" s="38" t="s">
        <v>3178</v>
      </c>
      <c r="AD457" s="38" t="s">
        <v>3177</v>
      </c>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1535</v>
      </c>
      <c r="AI457" s="38"/>
      <c r="AJ457" s="38"/>
      <c r="AK457" s="3">
        <f>IF(AND(G457&lt;&gt;"LIBSETS_SETTYPE_BATTLEGROUND",G457&lt;&gt;"LIBSETS_SETTYPE_SPECIAL"),IF(AL457&lt;&gt;"",VLOOKUP(AL457,'ESO zones'!$D$5:$H$4958,5,FALSE),""),"")</f>
        <v>449</v>
      </c>
      <c r="AL457" t="s">
        <v>48</v>
      </c>
      <c r="AM457" s="30" t="s">
        <v>3253</v>
      </c>
      <c r="AN457" s="38" t="s">
        <v>1525</v>
      </c>
      <c r="AO457" s="38" t="s">
        <v>1598</v>
      </c>
      <c r="AP457" s="3">
        <f>IF(AND(G457&lt;&gt;"LIBSETS_SETTYPE_BATTLEGROUND",G457&lt;&gt;"LIBSETS_SETTYPE_SPECIAL"),IF(AQ457&lt;&gt;"",VLOOKUP(AQ457,'ESO zones'!$D$5:$H$4958,5,FALSE),""),"")</f>
        <v>181</v>
      </c>
      <c r="AQ457" t="s">
        <v>124</v>
      </c>
      <c r="AR457" s="30" t="s">
        <v>1534</v>
      </c>
      <c r="AS457" s="38" t="s">
        <v>3806</v>
      </c>
      <c r="AT457" s="38" t="s">
        <v>3807</v>
      </c>
      <c r="AU457" s="3" t="str">
        <f>IF(AND(G457&lt;&gt;"LIBSETS_SETTYPE_BATTLEGROUND",G457&lt;&gt;"LIBSETS_SETTYPE_SPECIAL"),IF(AV457&lt;&gt;"",VLOOKUP(AV457,'ESO zones'!$D$5:$H$4958,5,FALSE),""),"")</f>
        <v/>
      </c>
      <c r="AX457" s="38"/>
      <c r="AY457" s="38"/>
      <c r="AZ457" s="72" t="s">
        <v>2626</v>
      </c>
      <c r="BA457" s="33" t="s">
        <v>3153</v>
      </c>
      <c r="BB457" s="33" t="s">
        <v>3153</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1737</v>
      </c>
      <c r="C458" t="s">
        <v>2619</v>
      </c>
      <c r="D458" s="3">
        <f t="shared" si="42"/>
        <v>520</v>
      </c>
      <c r="G458" s="8" t="s">
        <v>1654</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DLCs'!$A$3:$D$99999,4,FALSE))</f>
        <v>DLC_GREYMOOR</v>
      </c>
      <c r="U458" s="3" t="str">
        <f>IF(T458&lt;&gt;"",VLOOKUP(T458,'&lt;Constants&gt;'!$B$4:$C$1020,2,FALSE),"")</f>
        <v>Greymoor</v>
      </c>
      <c r="V458" s="30" t="s">
        <v>1536</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1535</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1536</v>
      </c>
      <c r="AI458" s="38"/>
      <c r="AJ458" s="38"/>
      <c r="AK458" s="3">
        <f>IF(AND(G458&lt;&gt;"LIBSETS_SETTYPE_BATTLEGROUND",G458&lt;&gt;"LIBSETS_SETTYPE_SPECIAL"),IF(AL458&lt;&gt;"",VLOOKUP(AL458,'ESO zones'!$D$5:$H$4958,5,FALSE),""),"")</f>
        <v>584</v>
      </c>
      <c r="AL458" t="s">
        <v>39</v>
      </c>
      <c r="AM458" s="30" t="s">
        <v>3237</v>
      </c>
      <c r="AN458" s="38" t="s">
        <v>3172</v>
      </c>
      <c r="AO458" s="38" t="s">
        <v>3173</v>
      </c>
      <c r="AP458" s="3">
        <f>IF(AND(G458&lt;&gt;"LIBSETS_SETTYPE_BATTLEGROUND",G458&lt;&gt;"LIBSETS_SETTYPE_SPECIAL"),IF(AQ458&lt;&gt;"",VLOOKUP(AQ458,'ESO zones'!$D$5:$H$4958,5,FALSE),""),"")</f>
        <v>535</v>
      </c>
      <c r="AQ458" t="s">
        <v>382</v>
      </c>
      <c r="AR458" s="30" t="s">
        <v>3237</v>
      </c>
      <c r="AS458" s="38" t="s">
        <v>3200</v>
      </c>
      <c r="AT458" s="38" t="s">
        <v>3177</v>
      </c>
      <c r="AU458" s="3" t="str">
        <f>IF(AND(G458&lt;&gt;"LIBSETS_SETTYPE_BATTLEGROUND",G458&lt;&gt;"LIBSETS_SETTYPE_SPECIAL"),IF(AV458&lt;&gt;"",VLOOKUP(AV458,'ESO zones'!$D$5:$H$4958,5,FALSE),""),"")</f>
        <v/>
      </c>
      <c r="AX458" s="38"/>
      <c r="AY458" s="38"/>
      <c r="AZ458" s="72" t="s">
        <v>2626</v>
      </c>
      <c r="BA458" s="33" t="s">
        <v>3147</v>
      </c>
      <c r="BB458" s="33" t="s">
        <v>3147</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1738</v>
      </c>
      <c r="C459" t="s">
        <v>2620</v>
      </c>
      <c r="D459" s="3">
        <f t="shared" si="42"/>
        <v>521</v>
      </c>
      <c r="E459" s="37"/>
      <c r="G459" s="8" t="s">
        <v>1654</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DLCs'!$A$3:$D$99999,4,FALSE))</f>
        <v>DLC_GREYMOOR</v>
      </c>
      <c r="U459" s="3" t="str">
        <f>IF(T459&lt;&gt;"",VLOOKUP(T459,'&lt;Constants&gt;'!$B$4:$C$1020,2,FALSE),"")</f>
        <v>Greymoor</v>
      </c>
      <c r="V459" s="30" t="s">
        <v>1536</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1536</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3253</v>
      </c>
      <c r="AI459" s="3" t="s">
        <v>3979</v>
      </c>
      <c r="AJ459" s="3" t="s">
        <v>3976</v>
      </c>
      <c r="AK459" s="3">
        <f>IF(AND(G459&lt;&gt;"LIBSETS_SETTYPE_BATTLEGROUND",G459&lt;&gt;"LIBSETS_SETTYPE_SPECIAL"),IF(AL459&lt;&gt;"",VLOOKUP(AL459,'ESO zones'!$D$5:$H$4958,5,FALSE),""),"")</f>
        <v>144</v>
      </c>
      <c r="AL459" t="s">
        <v>66</v>
      </c>
      <c r="AM459" s="30" t="s">
        <v>3253</v>
      </c>
      <c r="AN459" s="38" t="s">
        <v>1521</v>
      </c>
      <c r="AO459" s="38" t="s">
        <v>3174</v>
      </c>
      <c r="AP459" s="3">
        <f>IF(AND(G459&lt;&gt;"LIBSETS_SETTYPE_BATTLEGROUND",G459&lt;&gt;"LIBSETS_SETTYPE_SPECIAL"),IF(AQ459&lt;&gt;"",VLOOKUP(AQ459,'ESO zones'!$D$5:$H$4958,5,FALSE),""),"")</f>
        <v>643</v>
      </c>
      <c r="AQ459" t="s">
        <v>444</v>
      </c>
      <c r="AR459" s="30" t="s">
        <v>3237</v>
      </c>
      <c r="AS459" s="38" t="s">
        <v>3175</v>
      </c>
      <c r="AT459" s="38" t="s">
        <v>3176</v>
      </c>
      <c r="AU459" s="3" t="str">
        <f>IF(AND(G459&lt;&gt;"LIBSETS_SETTYPE_BATTLEGROUND",G459&lt;&gt;"LIBSETS_SETTYPE_SPECIAL"),IF(AV459&lt;&gt;"",VLOOKUP(AV459,'ESO zones'!$D$5:$H$4958,5,FALSE),""),"")</f>
        <v/>
      </c>
      <c r="AX459" s="38"/>
      <c r="AY459" s="38"/>
      <c r="AZ459" s="72" t="s">
        <v>2626</v>
      </c>
      <c r="BA459" s="33" t="s">
        <v>3143</v>
      </c>
      <c r="BB459" s="33" t="s">
        <v>3143</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1739</v>
      </c>
      <c r="C460" t="s">
        <v>1740</v>
      </c>
      <c r="D460" s="3">
        <f t="shared" si="42"/>
        <v>522</v>
      </c>
      <c r="E460" s="37"/>
      <c r="G460" s="8" t="s">
        <v>1449</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DLCs'!$A$3:$D$99999,4,FALSE))</f>
        <v>DLC_ORSINIUM</v>
      </c>
      <c r="U460" s="3" t="str">
        <f>IF(T460&lt;&gt;"",VLOOKUP(T460,'&lt;Constants&gt;'!$B$4:$C$1020,2,FALSE),"")</f>
        <v>Orsinium</v>
      </c>
      <c r="V460" s="30" t="s">
        <v>1530</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1530</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2626</v>
      </c>
      <c r="BA460" s="72"/>
      <c r="BB460" s="72"/>
      <c r="BC460" s="72"/>
      <c r="BD460" s="72" t="s">
        <v>3773</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1741</v>
      </c>
      <c r="C461" t="s">
        <v>1742</v>
      </c>
      <c r="D461" s="3">
        <f t="shared" si="42"/>
        <v>523</v>
      </c>
      <c r="E461" s="37"/>
      <c r="G461" s="8" t="s">
        <v>1449</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DLCs'!$A$3:$D$99999,4,FALSE))</f>
        <v>DLC_ORSINIUM</v>
      </c>
      <c r="U461" s="3" t="str">
        <f>IF(T461&lt;&gt;"",VLOOKUP(T461,'&lt;Constants&gt;'!$B$4:$C$1020,2,FALSE),"")</f>
        <v>Orsinium</v>
      </c>
      <c r="V461" s="30" t="s">
        <v>1530</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1530</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2626</v>
      </c>
      <c r="BA461" s="72"/>
      <c r="BB461" s="72"/>
      <c r="BC461" s="72"/>
      <c r="BD461" s="72" t="s">
        <v>3773</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1744</v>
      </c>
      <c r="C462" t="s">
        <v>1743</v>
      </c>
      <c r="D462" s="3">
        <f t="shared" si="42"/>
        <v>524</v>
      </c>
      <c r="E462" s="37"/>
      <c r="G462" s="8" t="s">
        <v>1449</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DLCs'!$A$3:$D$99999,4,FALSE))</f>
        <v>DLC_ORSINIUM</v>
      </c>
      <c r="U462" s="3" t="str">
        <f>IF(T462&lt;&gt;"",VLOOKUP(T462,'&lt;Constants&gt;'!$B$4:$C$1020,2,FALSE),"")</f>
        <v>Orsinium</v>
      </c>
      <c r="V462" s="30" t="s">
        <v>1530</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1530</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2626</v>
      </c>
      <c r="BA462" s="72"/>
      <c r="BB462" s="72"/>
      <c r="BC462" s="72"/>
      <c r="BD462" s="72" t="s">
        <v>3773</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1746</v>
      </c>
      <c r="C463" t="s">
        <v>1745</v>
      </c>
      <c r="D463" s="3">
        <f t="shared" si="42"/>
        <v>525</v>
      </c>
      <c r="E463" s="37"/>
      <c r="G463" s="8" t="s">
        <v>1449</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DLCs'!$A$3:$D$99999,4,FALSE))</f>
        <v>DLC_ORSINIUM</v>
      </c>
      <c r="U463" s="3" t="str">
        <f>IF(T463&lt;&gt;"",VLOOKUP(T463,'&lt;Constants&gt;'!$B$4:$C$1020,2,FALSE),"")</f>
        <v>Orsinium</v>
      </c>
      <c r="V463" s="30" t="s">
        <v>1530</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1530</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2626</v>
      </c>
      <c r="BA463" s="72"/>
      <c r="BB463" s="72"/>
      <c r="BC463" s="72"/>
      <c r="BD463" s="72" t="s">
        <v>3773</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1748</v>
      </c>
      <c r="C464" t="s">
        <v>1747</v>
      </c>
      <c r="D464" s="3">
        <f t="shared" si="42"/>
        <v>526</v>
      </c>
      <c r="E464" s="37"/>
      <c r="G464" s="8" t="s">
        <v>1449</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DLCs'!$A$3:$D$99999,4,FALSE))</f>
        <v>DLC_ORSINIUM</v>
      </c>
      <c r="U464" s="3" t="str">
        <f>IF(T464&lt;&gt;"",VLOOKUP(T464,'&lt;Constants&gt;'!$B$4:$C$1020,2,FALSE),"")</f>
        <v>Orsinium</v>
      </c>
      <c r="V464" s="30" t="s">
        <v>1530</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1530</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2627</v>
      </c>
      <c r="BA464" s="72"/>
      <c r="BB464" s="72"/>
      <c r="BC464" s="72"/>
      <c r="BD464" s="72" t="s">
        <v>3773</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1749</v>
      </c>
      <c r="C465" t="s">
        <v>1750</v>
      </c>
      <c r="D465" s="3">
        <f t="shared" si="42"/>
        <v>527</v>
      </c>
      <c r="E465" s="37"/>
      <c r="G465" s="8" t="s">
        <v>1449</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DLCs'!$A$3:$D$99999,4,FALSE))</f>
        <v>DLC_ORSINIUM</v>
      </c>
      <c r="U465" s="3" t="str">
        <f>IF(T465&lt;&gt;"",VLOOKUP(T465,'&lt;Constants&gt;'!$B$4:$C$1020,2,FALSE),"")</f>
        <v>Orsinium</v>
      </c>
      <c r="V465" s="30" t="s">
        <v>1530</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1530</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2626</v>
      </c>
      <c r="BA465" s="72"/>
      <c r="BB465" s="72"/>
      <c r="BC465" s="72"/>
      <c r="BD465" s="72" t="s">
        <v>3773</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1752</v>
      </c>
      <c r="C466" t="s">
        <v>1751</v>
      </c>
      <c r="D466" s="3">
        <f t="shared" si="42"/>
        <v>528</v>
      </c>
      <c r="E466" s="37"/>
      <c r="G466" s="8" t="s">
        <v>1449</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DLCs'!$A$3:$D$99999,4,FALSE))</f>
        <v>DLC_BASE_GAME</v>
      </c>
      <c r="U466" s="3" t="str">
        <f>IF(T466&lt;&gt;"",VLOOKUP(T466,'&lt;Constants&gt;'!$B$4:$C$1020,2,FALSE),"")</f>
        <v>Included in base game</v>
      </c>
      <c r="V466" s="30" t="s">
        <v>1530</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1530</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2626</v>
      </c>
      <c r="BA466" s="72"/>
      <c r="BB466" s="72"/>
      <c r="BC466" s="72"/>
      <c r="BD466" s="72" t="s">
        <v>3773</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1754</v>
      </c>
      <c r="C467" t="s">
        <v>1753</v>
      </c>
      <c r="D467" s="3">
        <f t="shared" si="42"/>
        <v>529</v>
      </c>
      <c r="E467" s="37"/>
      <c r="G467" s="8" t="s">
        <v>1449</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DLCs'!$A$3:$D$99999,4,FALSE))</f>
        <v>DLC_BASE_GAME</v>
      </c>
      <c r="U467" s="3" t="str">
        <f>IF(T467&lt;&gt;"",VLOOKUP(T467,'&lt;Constants&gt;'!$B$4:$C$1020,2,FALSE),"")</f>
        <v>Included in base game</v>
      </c>
      <c r="V467" s="30" t="s">
        <v>1530</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1530</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2626</v>
      </c>
      <c r="BA467" s="72"/>
      <c r="BB467" s="72"/>
      <c r="BC467" s="72"/>
      <c r="BD467" s="72" t="s">
        <v>3773</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1755</v>
      </c>
      <c r="C468" t="s">
        <v>1756</v>
      </c>
      <c r="D468" s="3">
        <f t="shared" si="42"/>
        <v>530</v>
      </c>
      <c r="E468" s="37"/>
      <c r="G468" s="8" t="s">
        <v>1449</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DLCs'!$A$3:$D$99999,4,FALSE))</f>
        <v>DLC_BASE_GAME</v>
      </c>
      <c r="U468" s="3" t="str">
        <f>IF(T468&lt;&gt;"",VLOOKUP(T468,'&lt;Constants&gt;'!$B$4:$C$1020,2,FALSE),"")</f>
        <v>Included in base game</v>
      </c>
      <c r="V468" s="30" t="s">
        <v>1530</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1530</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2626</v>
      </c>
      <c r="BA468" s="72"/>
      <c r="BB468" s="72"/>
      <c r="BC468" s="72"/>
      <c r="BD468" s="72" t="s">
        <v>3773</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1758</v>
      </c>
      <c r="C469" t="s">
        <v>1757</v>
      </c>
      <c r="D469" s="3">
        <f t="shared" si="42"/>
        <v>531</v>
      </c>
      <c r="E469" s="37"/>
      <c r="G469" s="8" t="s">
        <v>1449</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DLCs'!$A$3:$D$99999,4,FALSE))</f>
        <v>DLC_BASE_GAME</v>
      </c>
      <c r="U469" s="3" t="str">
        <f>IF(T469&lt;&gt;"",VLOOKUP(T469,'&lt;Constants&gt;'!$B$4:$C$1020,2,FALSE),"")</f>
        <v>Included in base game</v>
      </c>
      <c r="V469" s="30" t="s">
        <v>1530</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1530</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3773</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1759</v>
      </c>
      <c r="C470" t="s">
        <v>1760</v>
      </c>
      <c r="D470" s="3">
        <f t="shared" si="42"/>
        <v>532</v>
      </c>
      <c r="E470" s="37"/>
      <c r="G470" s="8" t="s">
        <v>1449</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DLCs'!$A$3:$D$99999,4,FALSE))</f>
        <v>DLC_BASE_GAME</v>
      </c>
      <c r="U470" s="3" t="str">
        <f>IF(T470&lt;&gt;"",VLOOKUP(T470,'&lt;Constants&gt;'!$B$4:$C$1020,2,FALSE),"")</f>
        <v>Included in base game</v>
      </c>
      <c r="V470" s="30" t="s">
        <v>1530</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1530</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2626</v>
      </c>
      <c r="BA470" s="72"/>
      <c r="BB470" s="72"/>
      <c r="BC470" s="72"/>
      <c r="BD470" s="72" t="s">
        <v>3773</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1769</v>
      </c>
      <c r="C471" t="s">
        <v>1768</v>
      </c>
      <c r="D471" s="3">
        <f t="shared" si="42"/>
        <v>533</v>
      </c>
      <c r="E471" s="37"/>
      <c r="G471" s="8" t="s">
        <v>1449</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DLCs'!$A$3:$D$99999,4,FALSE))</f>
        <v>DLC_BASE_GAME</v>
      </c>
      <c r="U471" s="3" t="str">
        <f>IF(T471&lt;&gt;"",VLOOKUP(T471,'&lt;Constants&gt;'!$B$4:$C$1020,2,FALSE),"")</f>
        <v>Included in base game</v>
      </c>
      <c r="V471" s="30" t="s">
        <v>1530</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1530</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2626</v>
      </c>
      <c r="BA471" s="72"/>
      <c r="BB471" s="72"/>
      <c r="BC471" s="72"/>
      <c r="BD471" s="72" t="s">
        <v>3773</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2133</v>
      </c>
      <c r="C472" t="s">
        <v>1780</v>
      </c>
      <c r="D472" s="3">
        <f t="shared" si="42"/>
        <v>534</v>
      </c>
      <c r="G472" s="3" t="s">
        <v>1456</v>
      </c>
      <c r="H472" s="80">
        <v>3</v>
      </c>
      <c r="I472" t="s">
        <v>1443</v>
      </c>
      <c r="J472" t="s">
        <v>91</v>
      </c>
      <c r="K472">
        <v>435</v>
      </c>
      <c r="L472">
        <v>435</v>
      </c>
      <c r="M472">
        <v>435</v>
      </c>
      <c r="O472" s="58" t="s">
        <v>1779</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DLCs'!$A$3:$D$99999,4,FALSE))</f>
        <v>DLC_STONETHORN</v>
      </c>
      <c r="U472" s="3" t="str">
        <f>IF(T472&lt;&gt;"",VLOOKUP(T472,'&lt;Constants&gt;'!$B$4:$C$1020,2,FALSE),"")</f>
        <v>Stonethorn</v>
      </c>
      <c r="V472" s="30" t="s">
        <v>1518</v>
      </c>
      <c r="W472" s="3" t="s">
        <v>2135</v>
      </c>
      <c r="X472" s="3" t="s">
        <v>2136</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IF(AB472&lt;&gt;"",IF(AB472&lt;&gt;"LIBSETS_DROP_MECHANIC_MONSTER_NAME",VLOOKUP(AB472,'&lt;Constants&gt;'!$I$4:$L$1020,3,FALSE),""),"")</f>
        <v/>
      </c>
      <c r="AD472" s="38" t="str">
        <f>IF(AB472&lt;&gt;"",IF(AB472&lt;&gt;"LIBSETS_DROP_MECHANIC_MONSTER_NAME",VLOOKUP(AB472,'&lt;Constants&gt;'!$I$4:$L$1020,4,FALSE),""),"")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2626</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2134</v>
      </c>
      <c r="C473" t="s">
        <v>1777</v>
      </c>
      <c r="D473" s="3">
        <f t="shared" si="42"/>
        <v>535</v>
      </c>
      <c r="G473" s="3" t="s">
        <v>1456</v>
      </c>
      <c r="H473" s="80">
        <v>3</v>
      </c>
      <c r="I473" t="s">
        <v>1443</v>
      </c>
      <c r="J473" t="s">
        <v>91</v>
      </c>
      <c r="K473">
        <v>436</v>
      </c>
      <c r="L473">
        <v>436</v>
      </c>
      <c r="M473">
        <v>436</v>
      </c>
      <c r="O473" s="58" t="s">
        <v>1774</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DLCs'!$A$3:$D$99999,4,FALSE))</f>
        <v>DLC_STONETHORN</v>
      </c>
      <c r="U473" s="3" t="str">
        <f>IF(T473&lt;&gt;"",VLOOKUP(T473,'&lt;Constants&gt;'!$B$4:$C$1020,2,FALSE),"")</f>
        <v>Stonethorn</v>
      </c>
      <c r="V473" s="30" t="s">
        <v>1518</v>
      </c>
      <c r="W473" s="3" t="s">
        <v>1777</v>
      </c>
      <c r="X473" s="3" t="s">
        <v>2134</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IF(AB473&lt;&gt;"",IF(AB473&lt;&gt;"LIBSETS_DROP_MECHANIC_MONSTER_NAME",VLOOKUP(AB473,'&lt;Constants&gt;'!$I$4:$L$1020,3,FALSE),""),"")</f>
        <v/>
      </c>
      <c r="AD473" s="38" t="str">
        <f>IF(AB473&lt;&gt;"",IF(AB473&lt;&gt;"LIBSETS_DROP_MECHANIC_MONSTER_NAME",VLOOKUP(AB473,'&lt;Constants&gt;'!$I$4:$L$1020,4,FALSE),""),"")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2626</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2204</v>
      </c>
      <c r="C474" t="s">
        <v>2203</v>
      </c>
      <c r="D474" s="3">
        <f t="shared" si="42"/>
        <v>536</v>
      </c>
      <c r="G474" s="3" t="s">
        <v>1457</v>
      </c>
      <c r="I474" t="s">
        <v>91</v>
      </c>
      <c r="J474" t="s">
        <v>91</v>
      </c>
      <c r="K474">
        <v>441</v>
      </c>
      <c r="L474">
        <v>441</v>
      </c>
      <c r="M474">
        <v>441</v>
      </c>
      <c r="O474" s="58" t="s">
        <v>2185</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DLCs'!$A$3:$D$99999,4,FALSE))</f>
        <v>DLC_MARKARTH</v>
      </c>
      <c r="U474" s="3" t="str">
        <f>IF(T474&lt;&gt;"",VLOOKUP(T474,'&lt;Constants&gt;'!$B$4:$C$1020,2,FALSE),"")</f>
        <v>Markarth</v>
      </c>
      <c r="V474" s="30" t="s">
        <v>1534</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1535</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1537</v>
      </c>
      <c r="AI474" s="38"/>
      <c r="AJ474" s="38"/>
      <c r="AK474" s="3">
        <f>IF(AND(G474&lt;&gt;"LIBSETS_SETTYPE_BATTLEGROUND",G474&lt;&gt;"LIBSETS_SETTYPE_SPECIAL"),IF(AL474&lt;&gt;"",VLOOKUP(AL474,'ESO zones'!$D$5:$H$4958,5,FALSE),""),"")</f>
        <v>1207</v>
      </c>
      <c r="AL474" t="s">
        <v>2185</v>
      </c>
      <c r="AM474" s="39" t="s">
        <v>3193</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2626</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2205</v>
      </c>
      <c r="C475" t="s">
        <v>2227</v>
      </c>
      <c r="D475" s="3">
        <f t="shared" si="42"/>
        <v>537</v>
      </c>
      <c r="G475" s="3" t="s">
        <v>1457</v>
      </c>
      <c r="I475" t="s">
        <v>91</v>
      </c>
      <c r="J475" t="s">
        <v>91</v>
      </c>
      <c r="K475">
        <v>441</v>
      </c>
      <c r="L475">
        <v>441</v>
      </c>
      <c r="M475">
        <v>441</v>
      </c>
      <c r="O475" s="58" t="s">
        <v>2185</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DLCs'!$A$3:$D$99999,4,FALSE))</f>
        <v>DLC_MARKARTH</v>
      </c>
      <c r="U475" s="3" t="str">
        <f>IF(T475&lt;&gt;"",VLOOKUP(T475,'&lt;Constants&gt;'!$B$4:$C$1020,2,FALSE),"")</f>
        <v>Markarth</v>
      </c>
      <c r="V475" s="30" t="s">
        <v>1534</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1535</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1537</v>
      </c>
      <c r="AI475" s="38"/>
      <c r="AJ475" s="38"/>
      <c r="AK475" s="3">
        <f>IF(AND(G475&lt;&gt;"LIBSETS_SETTYPE_BATTLEGROUND",G475&lt;&gt;"LIBSETS_SETTYPE_SPECIAL"),IF(AL475&lt;&gt;"",VLOOKUP(AL475,'ESO zones'!$D$5:$H$4958,5,FALSE),""),"")</f>
        <v>1207</v>
      </c>
      <c r="AL475" t="s">
        <v>2185</v>
      </c>
      <c r="AM475" s="39" t="s">
        <v>3193</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2626</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2206</v>
      </c>
      <c r="C476" t="s">
        <v>2621</v>
      </c>
      <c r="D476" s="3">
        <f t="shared" si="42"/>
        <v>538</v>
      </c>
      <c r="G476" s="3" t="s">
        <v>1457</v>
      </c>
      <c r="I476" t="s">
        <v>91</v>
      </c>
      <c r="J476" t="s">
        <v>91</v>
      </c>
      <c r="K476">
        <v>441</v>
      </c>
      <c r="L476">
        <v>441</v>
      </c>
      <c r="M476">
        <v>441</v>
      </c>
      <c r="O476" s="58" t="s">
        <v>2185</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DLCs'!$A$3:$D$99999,4,FALSE))</f>
        <v>DLC_MARKARTH</v>
      </c>
      <c r="U476" s="3" t="str">
        <f>IF(T476&lt;&gt;"",VLOOKUP(T476,'&lt;Constants&gt;'!$B$4:$C$1020,2,FALSE),"")</f>
        <v>Markarth</v>
      </c>
      <c r="V476" s="30" t="s">
        <v>1534</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1535</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1537</v>
      </c>
      <c r="AI476" s="38"/>
      <c r="AJ476" s="38"/>
      <c r="AK476" s="3">
        <f>IF(AND(G476&lt;&gt;"LIBSETS_SETTYPE_BATTLEGROUND",G476&lt;&gt;"LIBSETS_SETTYPE_SPECIAL"),IF(AL476&lt;&gt;"",VLOOKUP(AL476,'ESO zones'!$D$5:$H$4958,5,FALSE),""),"")</f>
        <v>1207</v>
      </c>
      <c r="AL476" t="s">
        <v>2185</v>
      </c>
      <c r="AM476" s="39" t="s">
        <v>3193</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2627</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2207</v>
      </c>
      <c r="C477" t="s">
        <v>2622</v>
      </c>
      <c r="D477" s="3">
        <f t="shared" si="42"/>
        <v>539</v>
      </c>
      <c r="G477" s="3" t="s">
        <v>1451</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DLCs'!$A$3:$D$99999,4,FALSE))</f>
        <v>DLC_MARKARTH</v>
      </c>
      <c r="U477" s="3" t="str">
        <f>IF(T477&lt;&gt;"",VLOOKUP(T477,'&lt;Constants&gt;'!$B$4:$C$1020,2,FALSE),"")</f>
        <v>Markarth</v>
      </c>
      <c r="V477" s="30" t="s">
        <v>3256</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3256</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3256</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2627</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2208</v>
      </c>
      <c r="C478" t="s">
        <v>2228</v>
      </c>
      <c r="D478" s="3">
        <f t="shared" si="42"/>
        <v>540</v>
      </c>
      <c r="G478" s="3" t="s">
        <v>1451</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DLCs'!$A$3:$D$99999,4,FALSE))</f>
        <v>DLC_MARKARTH</v>
      </c>
      <c r="U478" s="3" t="str">
        <f>IF(T478&lt;&gt;"",VLOOKUP(T478,'&lt;Constants&gt;'!$B$4:$C$1020,2,FALSE),"")</f>
        <v>Markarth</v>
      </c>
      <c r="V478" s="30" t="s">
        <v>3256</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3256</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3256</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2626</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2209</v>
      </c>
      <c r="C479" t="s">
        <v>2229</v>
      </c>
      <c r="D479" s="3">
        <f t="shared" si="42"/>
        <v>541</v>
      </c>
      <c r="G479" s="3" t="s">
        <v>1451</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DLCs'!$A$3:$D$99999,4,FALSE))</f>
        <v>DLC_MARKARTH</v>
      </c>
      <c r="U479" s="3" t="str">
        <f>IF(T479&lt;&gt;"",VLOOKUP(T479,'&lt;Constants&gt;'!$B$4:$C$1020,2,FALSE),"")</f>
        <v>Markarth</v>
      </c>
      <c r="V479" s="30" t="s">
        <v>3256</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3256</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3256</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2627</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2210</v>
      </c>
      <c r="C480" t="s">
        <v>2230</v>
      </c>
      <c r="D480" s="3">
        <f t="shared" si="42"/>
        <v>542</v>
      </c>
      <c r="G480" s="3" t="s">
        <v>1457</v>
      </c>
      <c r="I480" t="s">
        <v>91</v>
      </c>
      <c r="J480" t="s">
        <v>91</v>
      </c>
      <c r="K480">
        <v>441</v>
      </c>
      <c r="L480">
        <v>441</v>
      </c>
      <c r="M480">
        <v>441</v>
      </c>
      <c r="O480" s="58" t="s">
        <v>2185</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DLCs'!$A$3:$D$99999,4,FALSE))</f>
        <v>DLC_MARKARTH</v>
      </c>
      <c r="U480" s="3" t="str">
        <f>IF(T480&lt;&gt;"",VLOOKUP(T480,'&lt;Constants&gt;'!$B$4:$C$1020,2,FALSE),"")</f>
        <v>Markarth</v>
      </c>
      <c r="V480" s="30" t="s">
        <v>1534</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1535</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1537</v>
      </c>
      <c r="AI480" s="38"/>
      <c r="AJ480" s="38"/>
      <c r="AK480" s="3">
        <f>IF(AND(G480&lt;&gt;"LIBSETS_SETTYPE_BATTLEGROUND",G480&lt;&gt;"LIBSETS_SETTYPE_SPECIAL"),IF(AL480&lt;&gt;"",VLOOKUP(AL480,'ESO zones'!$D$5:$H$4958,5,FALSE),""),"")</f>
        <v>1207</v>
      </c>
      <c r="AL480" t="s">
        <v>2185</v>
      </c>
      <c r="AM480" s="39" t="s">
        <v>3193</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2626</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2211</v>
      </c>
      <c r="C481" t="s">
        <v>2231</v>
      </c>
      <c r="D481" s="3">
        <f t="shared" si="42"/>
        <v>543</v>
      </c>
      <c r="G481" s="3" t="s">
        <v>1457</v>
      </c>
      <c r="I481" t="s">
        <v>91</v>
      </c>
      <c r="J481" t="s">
        <v>91</v>
      </c>
      <c r="K481">
        <v>441</v>
      </c>
      <c r="L481">
        <v>441</v>
      </c>
      <c r="M481">
        <v>441</v>
      </c>
      <c r="O481" s="58" t="s">
        <v>2185</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DLCs'!$A$3:$D$99999,4,FALSE))</f>
        <v>DLC_MARKARTH</v>
      </c>
      <c r="U481" s="3" t="str">
        <f>IF(T481&lt;&gt;"",VLOOKUP(T481,'&lt;Constants&gt;'!$B$4:$C$1020,2,FALSE),"")</f>
        <v>Markarth</v>
      </c>
      <c r="V481" s="30" t="s">
        <v>1534</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1535</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1537</v>
      </c>
      <c r="AI481" s="38"/>
      <c r="AJ481" s="38"/>
      <c r="AK481" s="3">
        <f>IF(AND(G481&lt;&gt;"LIBSETS_SETTYPE_BATTLEGROUND",G481&lt;&gt;"LIBSETS_SETTYPE_SPECIAL"),IF(AL481&lt;&gt;"",VLOOKUP(AL481,'ESO zones'!$D$5:$H$4958,5,FALSE),""),"")</f>
        <v>1207</v>
      </c>
      <c r="AL481" t="s">
        <v>2185</v>
      </c>
      <c r="AM481" s="39" t="s">
        <v>3193</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2626</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2212</v>
      </c>
      <c r="C482" t="s">
        <v>2232</v>
      </c>
      <c r="D482" s="3">
        <f t="shared" si="42"/>
        <v>544</v>
      </c>
      <c r="G482" s="3" t="s">
        <v>1457</v>
      </c>
      <c r="I482" t="s">
        <v>91</v>
      </c>
      <c r="J482" t="s">
        <v>91</v>
      </c>
      <c r="K482">
        <v>441</v>
      </c>
      <c r="L482">
        <v>441</v>
      </c>
      <c r="M482">
        <v>441</v>
      </c>
      <c r="O482" s="58" t="s">
        <v>2185</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DLCs'!$A$3:$D$99999,4,FALSE))</f>
        <v>DLC_MARKARTH</v>
      </c>
      <c r="U482" s="3" t="str">
        <f>IF(T482&lt;&gt;"",VLOOKUP(T482,'&lt;Constants&gt;'!$B$4:$C$1020,2,FALSE),"")</f>
        <v>Markarth</v>
      </c>
      <c r="V482" s="30" t="s">
        <v>1534</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1535</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1537</v>
      </c>
      <c r="AI482" s="38"/>
      <c r="AJ482" s="38"/>
      <c r="AK482" s="3">
        <f>IF(AND(G482&lt;&gt;"LIBSETS_SETTYPE_BATTLEGROUND",G482&lt;&gt;"LIBSETS_SETTYPE_SPECIAL"),IF(AL482&lt;&gt;"",VLOOKUP(AL482,'ESO zones'!$D$5:$H$4958,5,FALSE),""),"")</f>
        <v>1207</v>
      </c>
      <c r="AL482" t="s">
        <v>2185</v>
      </c>
      <c r="AM482" s="39" t="s">
        <v>3193</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2626</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2213</v>
      </c>
      <c r="C483" t="s">
        <v>2623</v>
      </c>
      <c r="D483" s="3">
        <f t="shared" si="42"/>
        <v>557</v>
      </c>
      <c r="E483" s="37"/>
      <c r="G483" s="8" t="s">
        <v>1449</v>
      </c>
      <c r="I483" t="s">
        <v>91</v>
      </c>
      <c r="J483" t="s">
        <v>91</v>
      </c>
      <c r="K483">
        <v>457</v>
      </c>
      <c r="L483">
        <v>457</v>
      </c>
      <c r="M483">
        <v>457</v>
      </c>
      <c r="O483" s="58" t="s">
        <v>2184</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DLCs'!$A$3:$D$99999,4,FALSE))</f>
        <v>DLC_MARKARTH</v>
      </c>
      <c r="U483" s="3" t="str">
        <f>IF(T483&lt;&gt;"",VLOOKUP(T483,'&lt;Constants&gt;'!$B$4:$C$1020,2,FALSE),"")</f>
        <v>Markarth</v>
      </c>
      <c r="V483" s="30" t="s">
        <v>1530</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1530</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2626</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2214</v>
      </c>
      <c r="C484" t="s">
        <v>2233</v>
      </c>
      <c r="D484" s="3">
        <f t="shared" si="42"/>
        <v>558</v>
      </c>
      <c r="E484" s="37"/>
      <c r="G484" s="8" t="s">
        <v>1449</v>
      </c>
      <c r="I484" t="s">
        <v>91</v>
      </c>
      <c r="J484" t="s">
        <v>91</v>
      </c>
      <c r="K484">
        <v>457</v>
      </c>
      <c r="L484">
        <v>457</v>
      </c>
      <c r="M484">
        <v>457</v>
      </c>
      <c r="O484" s="58" t="s">
        <v>2184</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DLCs'!$A$3:$D$99999,4,FALSE))</f>
        <v>DLC_MARKARTH</v>
      </c>
      <c r="U484" s="3" t="str">
        <f>IF(T484&lt;&gt;"",VLOOKUP(T484,'&lt;Constants&gt;'!$B$4:$C$1020,2,FALSE),"")</f>
        <v>Markarth</v>
      </c>
      <c r="V484" s="30" t="s">
        <v>1530</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1530</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2626</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2215</v>
      </c>
      <c r="C485" t="s">
        <v>2234</v>
      </c>
      <c r="D485" s="3">
        <f t="shared" si="42"/>
        <v>559</v>
      </c>
      <c r="E485" s="37"/>
      <c r="G485" s="8" t="s">
        <v>1449</v>
      </c>
      <c r="I485" t="s">
        <v>91</v>
      </c>
      <c r="J485" t="s">
        <v>91</v>
      </c>
      <c r="K485">
        <v>457</v>
      </c>
      <c r="L485">
        <v>457</v>
      </c>
      <c r="M485">
        <v>457</v>
      </c>
      <c r="O485" s="58" t="s">
        <v>2184</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DLCs'!$A$3:$D$99999,4,FALSE))</f>
        <v>DLC_MARKARTH</v>
      </c>
      <c r="U485" s="3" t="str">
        <f>IF(T485&lt;&gt;"",VLOOKUP(T485,'&lt;Constants&gt;'!$B$4:$C$1020,2,FALSE),"")</f>
        <v>Markarth</v>
      </c>
      <c r="V485" s="30" t="s">
        <v>1530</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1530</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2626</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2216</v>
      </c>
      <c r="C486" t="s">
        <v>2235</v>
      </c>
      <c r="D486" s="3">
        <f t="shared" si="42"/>
        <v>560</v>
      </c>
      <c r="E486" s="37"/>
      <c r="G486" s="8" t="s">
        <v>1449</v>
      </c>
      <c r="I486" t="s">
        <v>91</v>
      </c>
      <c r="J486" t="s">
        <v>91</v>
      </c>
      <c r="K486">
        <v>457</v>
      </c>
      <c r="L486">
        <v>457</v>
      </c>
      <c r="M486">
        <v>457</v>
      </c>
      <c r="O486" s="58" t="s">
        <v>2184</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DLCs'!$A$3:$D$99999,4,FALSE))</f>
        <v>DLC_MARKARTH</v>
      </c>
      <c r="U486" s="3" t="str">
        <f>IF(T486&lt;&gt;"",VLOOKUP(T486,'&lt;Constants&gt;'!$B$4:$C$1020,2,FALSE),"")</f>
        <v>Markarth</v>
      </c>
      <c r="V486" s="30" t="s">
        <v>1530</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1530</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2626</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2217</v>
      </c>
      <c r="C487" t="s">
        <v>2236</v>
      </c>
      <c r="D487" s="3">
        <f t="shared" si="42"/>
        <v>561</v>
      </c>
      <c r="E487" s="37"/>
      <c r="G487" s="8" t="s">
        <v>1449</v>
      </c>
      <c r="I487" t="s">
        <v>91</v>
      </c>
      <c r="J487" t="s">
        <v>91</v>
      </c>
      <c r="K487">
        <v>457</v>
      </c>
      <c r="L487">
        <v>457</v>
      </c>
      <c r="M487">
        <v>457</v>
      </c>
      <c r="O487" s="58" t="s">
        <v>2184</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DLCs'!$A$3:$D$99999,4,FALSE))</f>
        <v>DLC_MARKARTH</v>
      </c>
      <c r="U487" s="3" t="str">
        <f>IF(T487&lt;&gt;"",VLOOKUP(T487,'&lt;Constants&gt;'!$B$4:$C$1020,2,FALSE),"")</f>
        <v>Markarth</v>
      </c>
      <c r="V487" s="30" t="s">
        <v>1530</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1530</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2626</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2218</v>
      </c>
      <c r="C488" t="s">
        <v>2237</v>
      </c>
      <c r="D488" s="3">
        <f t="shared" si="42"/>
        <v>562</v>
      </c>
      <c r="E488" s="37"/>
      <c r="G488" s="8" t="s">
        <v>1449</v>
      </c>
      <c r="I488" t="s">
        <v>91</v>
      </c>
      <c r="J488" t="s">
        <v>91</v>
      </c>
      <c r="K488">
        <v>457</v>
      </c>
      <c r="L488">
        <v>457</v>
      </c>
      <c r="M488">
        <v>457</v>
      </c>
      <c r="O488" s="58" t="s">
        <v>2184</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DLCs'!$A$3:$D$99999,4,FALSE))</f>
        <v>DLC_MARKARTH</v>
      </c>
      <c r="U488" s="3" t="str">
        <f>IF(T488&lt;&gt;"",VLOOKUP(T488,'&lt;Constants&gt;'!$B$4:$C$1020,2,FALSE),"")</f>
        <v>Markarth</v>
      </c>
      <c r="V488" s="30" t="s">
        <v>1530</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1530</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2626</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2221</v>
      </c>
      <c r="C489" t="s">
        <v>2624</v>
      </c>
      <c r="D489" s="3">
        <f t="shared" si="42"/>
        <v>563</v>
      </c>
      <c r="E489" s="37"/>
      <c r="G489" s="8" t="s">
        <v>1449</v>
      </c>
      <c r="I489" t="s">
        <v>92</v>
      </c>
      <c r="J489" t="s">
        <v>91</v>
      </c>
      <c r="K489">
        <v>457</v>
      </c>
      <c r="L489">
        <v>457</v>
      </c>
      <c r="M489">
        <v>457</v>
      </c>
      <c r="O489" s="58" t="s">
        <v>2184</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DLCs'!$A$3:$D$99999,4,FALSE))</f>
        <v>DLC_MARKARTH</v>
      </c>
      <c r="U489" s="3" t="str">
        <f>IF(T489&lt;&gt;"",VLOOKUP(T489,'&lt;Constants&gt;'!$B$4:$C$1020,2,FALSE),"")</f>
        <v>Markarth</v>
      </c>
      <c r="V489" s="30" t="s">
        <v>1530</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1530</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2626</v>
      </c>
      <c r="BA489" s="72"/>
      <c r="BB489" s="72"/>
      <c r="BC489" s="72"/>
      <c r="BD489" s="72" t="s">
        <v>3773</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2222</v>
      </c>
      <c r="C490" t="s">
        <v>2238</v>
      </c>
      <c r="D490" s="3">
        <f t="shared" si="42"/>
        <v>564</v>
      </c>
      <c r="E490" s="37"/>
      <c r="G490" s="8" t="s">
        <v>1449</v>
      </c>
      <c r="I490" t="s">
        <v>92</v>
      </c>
      <c r="J490" t="s">
        <v>91</v>
      </c>
      <c r="K490">
        <v>457</v>
      </c>
      <c r="L490">
        <v>457</v>
      </c>
      <c r="M490">
        <v>457</v>
      </c>
      <c r="O490" s="58" t="s">
        <v>2184</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DLCs'!$A$3:$D$99999,4,FALSE))</f>
        <v>DLC_MARKARTH</v>
      </c>
      <c r="U490" s="3" t="str">
        <f>IF(T490&lt;&gt;"",VLOOKUP(T490,'&lt;Constants&gt;'!$B$4:$C$1020,2,FALSE),"")</f>
        <v>Markarth</v>
      </c>
      <c r="V490" s="30" t="s">
        <v>1530</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1530</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2626</v>
      </c>
      <c r="BA490" s="72"/>
      <c r="BB490" s="72"/>
      <c r="BC490" s="72"/>
      <c r="BD490" s="72" t="s">
        <v>3773</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2223</v>
      </c>
      <c r="C491" t="s">
        <v>2239</v>
      </c>
      <c r="D491" s="3">
        <f t="shared" si="42"/>
        <v>565</v>
      </c>
      <c r="E491" s="37"/>
      <c r="G491" s="8" t="s">
        <v>1449</v>
      </c>
      <c r="I491" t="s">
        <v>92</v>
      </c>
      <c r="J491" t="s">
        <v>91</v>
      </c>
      <c r="K491">
        <v>457</v>
      </c>
      <c r="L491">
        <v>457</v>
      </c>
      <c r="M491">
        <v>457</v>
      </c>
      <c r="O491" s="58" t="s">
        <v>2184</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DLCs'!$A$3:$D$99999,4,FALSE))</f>
        <v>DLC_MARKARTH</v>
      </c>
      <c r="U491" s="3" t="str">
        <f>IF(T491&lt;&gt;"",VLOOKUP(T491,'&lt;Constants&gt;'!$B$4:$C$1020,2,FALSE),"")</f>
        <v>Markarth</v>
      </c>
      <c r="V491" s="30" t="s">
        <v>1530</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1530</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2626</v>
      </c>
      <c r="BA491" s="72"/>
      <c r="BB491" s="72"/>
      <c r="BC491" s="72"/>
      <c r="BD491" s="72" t="s">
        <v>3773</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2224</v>
      </c>
      <c r="C492" t="s">
        <v>2240</v>
      </c>
      <c r="D492" s="3">
        <f t="shared" si="42"/>
        <v>566</v>
      </c>
      <c r="E492" s="37"/>
      <c r="G492" s="8" t="s">
        <v>1449</v>
      </c>
      <c r="I492" t="s">
        <v>92</v>
      </c>
      <c r="J492" t="s">
        <v>91</v>
      </c>
      <c r="K492">
        <v>457</v>
      </c>
      <c r="L492">
        <v>457</v>
      </c>
      <c r="M492">
        <v>457</v>
      </c>
      <c r="O492" s="58" t="s">
        <v>2184</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DLCs'!$A$3:$D$99999,4,FALSE))</f>
        <v>DLC_MARKARTH</v>
      </c>
      <c r="U492" s="3" t="str">
        <f>IF(T492&lt;&gt;"",VLOOKUP(T492,'&lt;Constants&gt;'!$B$4:$C$1020,2,FALSE),"")</f>
        <v>Markarth</v>
      </c>
      <c r="V492" s="30" t="s">
        <v>1530</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1530</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2626</v>
      </c>
      <c r="BA492" s="72"/>
      <c r="BB492" s="72"/>
      <c r="BC492" s="72"/>
      <c r="BD492" s="72" t="s">
        <v>3773</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2225</v>
      </c>
      <c r="C493" t="s">
        <v>2241</v>
      </c>
      <c r="D493" s="3">
        <f t="shared" si="42"/>
        <v>567</v>
      </c>
      <c r="E493" s="37"/>
      <c r="G493" s="8" t="s">
        <v>1449</v>
      </c>
      <c r="I493" t="s">
        <v>92</v>
      </c>
      <c r="J493" t="s">
        <v>91</v>
      </c>
      <c r="K493">
        <v>457</v>
      </c>
      <c r="L493">
        <v>457</v>
      </c>
      <c r="M493">
        <v>457</v>
      </c>
      <c r="O493" s="58" t="s">
        <v>2184</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DLCs'!$A$3:$D$99999,4,FALSE))</f>
        <v>DLC_MARKARTH</v>
      </c>
      <c r="U493" s="3" t="str">
        <f>IF(T493&lt;&gt;"",VLOOKUP(T493,'&lt;Constants&gt;'!$B$4:$C$1020,2,FALSE),"")</f>
        <v>Markarth</v>
      </c>
      <c r="V493" s="30" t="s">
        <v>1530</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1530</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2626</v>
      </c>
      <c r="BA493" s="72"/>
      <c r="BB493" s="72"/>
      <c r="BC493" s="72"/>
      <c r="BD493" s="72" t="s">
        <v>3773</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2226</v>
      </c>
      <c r="C494" t="s">
        <v>2242</v>
      </c>
      <c r="D494" s="3">
        <f t="shared" si="42"/>
        <v>568</v>
      </c>
      <c r="E494" s="37"/>
      <c r="G494" s="8" t="s">
        <v>1449</v>
      </c>
      <c r="I494" t="s">
        <v>92</v>
      </c>
      <c r="J494" t="s">
        <v>91</v>
      </c>
      <c r="K494">
        <v>457</v>
      </c>
      <c r="L494">
        <v>457</v>
      </c>
      <c r="M494">
        <v>457</v>
      </c>
      <c r="O494" s="58" t="s">
        <v>2184</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DLCs'!$A$3:$D$99999,4,FALSE))</f>
        <v>DLC_MARKARTH</v>
      </c>
      <c r="U494" s="3" t="str">
        <f>IF(T494&lt;&gt;"",VLOOKUP(T494,'&lt;Constants&gt;'!$B$4:$C$1020,2,FALSE),"")</f>
        <v>Markarth</v>
      </c>
      <c r="V494" s="30" t="s">
        <v>1530</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1530</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2626</v>
      </c>
      <c r="BA494" s="72"/>
      <c r="BB494" s="72"/>
      <c r="BC494" s="72"/>
      <c r="BD494" s="72" t="s">
        <v>3773</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2378</v>
      </c>
      <c r="C495" t="s">
        <v>2363</v>
      </c>
      <c r="D495" s="3">
        <f t="shared" si="42"/>
        <v>569</v>
      </c>
      <c r="G495" s="3" t="s">
        <v>1454</v>
      </c>
      <c r="I495" t="s">
        <v>91</v>
      </c>
      <c r="J495" t="s">
        <v>91</v>
      </c>
      <c r="K495" s="33">
        <v>437</v>
      </c>
      <c r="L495" s="33">
        <v>437</v>
      </c>
      <c r="M495" s="33">
        <v>437</v>
      </c>
      <c r="O495" s="58" t="s">
        <v>2366</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DLCs'!$A$3:$D$99999,4,FALSE))</f>
        <v>DLC_FLAMES_OF_AMBITION</v>
      </c>
      <c r="U495" s="3" t="str">
        <f>IF(T495&lt;&gt;"",VLOOKUP(T495,'&lt;Constants&gt;'!$B$4:$C$1020,2,FALSE),"")</f>
        <v>Flames of Ambition</v>
      </c>
      <c r="V495" s="30" t="s">
        <v>3253</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2626</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2379</v>
      </c>
      <c r="C496" t="s">
        <v>2721</v>
      </c>
      <c r="D496" s="3">
        <f t="shared" si="42"/>
        <v>570</v>
      </c>
      <c r="G496" s="3" t="s">
        <v>1454</v>
      </c>
      <c r="I496" t="s">
        <v>91</v>
      </c>
      <c r="J496" t="s">
        <v>91</v>
      </c>
      <c r="K496" s="33">
        <v>437</v>
      </c>
      <c r="L496" s="33">
        <v>437</v>
      </c>
      <c r="M496" s="33">
        <v>437</v>
      </c>
      <c r="O496" s="58" t="s">
        <v>2366</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DLCs'!$A$3:$D$99999,4,FALSE))</f>
        <v>DLC_FLAMES_OF_AMBITION</v>
      </c>
      <c r="U496" s="3" t="str">
        <f>IF(T496&lt;&gt;"",VLOOKUP(T496,'&lt;Constants&gt;'!$B$4:$C$1020,2,FALSE),"")</f>
        <v>Flames of Ambition</v>
      </c>
      <c r="V496" s="30" t="s">
        <v>3253</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2626</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2380</v>
      </c>
      <c r="C497" t="s">
        <v>2720</v>
      </c>
      <c r="D497" s="3">
        <f t="shared" si="42"/>
        <v>571</v>
      </c>
      <c r="E497" s="37"/>
      <c r="G497" s="3" t="s">
        <v>1454</v>
      </c>
      <c r="I497" t="s">
        <v>91</v>
      </c>
      <c r="J497" t="s">
        <v>91</v>
      </c>
      <c r="K497" s="33">
        <v>437</v>
      </c>
      <c r="L497" s="33">
        <v>437</v>
      </c>
      <c r="M497" s="33">
        <v>437</v>
      </c>
      <c r="O497" s="58" t="s">
        <v>2366</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DLCs'!$A$3:$D$99999,4,FALSE))</f>
        <v>DLC_FLAMES_OF_AMBITION</v>
      </c>
      <c r="U497" s="3" t="str">
        <f>IF(T497&lt;&gt;"",VLOOKUP(T497,'&lt;Constants&gt;'!$B$4:$C$1020,2,FALSE),"")</f>
        <v>Flames of Ambition</v>
      </c>
      <c r="V497" s="30" t="s">
        <v>3253</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2626</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2381</v>
      </c>
      <c r="C498" t="s">
        <v>2364</v>
      </c>
      <c r="D498" s="3">
        <f t="shared" si="42"/>
        <v>572</v>
      </c>
      <c r="G498" s="3" t="s">
        <v>1454</v>
      </c>
      <c r="I498" t="s">
        <v>91</v>
      </c>
      <c r="J498" t="s">
        <v>91</v>
      </c>
      <c r="K498" s="33">
        <v>454</v>
      </c>
      <c r="L498" s="33">
        <v>454</v>
      </c>
      <c r="M498" s="33">
        <v>454</v>
      </c>
      <c r="O498" s="58" t="s">
        <v>2367</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DLCs'!$A$3:$D$99999,4,FALSE))</f>
        <v>DLC_FLAMES_OF_AMBITION</v>
      </c>
      <c r="U498" s="3" t="str">
        <f>IF(T498&lt;&gt;"",VLOOKUP(T498,'&lt;Constants&gt;'!$B$4:$C$1020,2,FALSE),"")</f>
        <v>Flames of Ambition</v>
      </c>
      <c r="V498" s="30" t="s">
        <v>3253</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2626</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2382</v>
      </c>
      <c r="C499" t="s">
        <v>2716</v>
      </c>
      <c r="D499" s="3">
        <f t="shared" si="42"/>
        <v>573</v>
      </c>
      <c r="G499" s="3" t="s">
        <v>1454</v>
      </c>
      <c r="I499" t="s">
        <v>91</v>
      </c>
      <c r="J499" t="s">
        <v>91</v>
      </c>
      <c r="K499" s="33">
        <v>454</v>
      </c>
      <c r="L499" s="33">
        <v>454</v>
      </c>
      <c r="M499" s="33">
        <v>454</v>
      </c>
      <c r="O499" s="58" t="s">
        <v>2367</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DLCs'!$A$3:$D$99999,4,FALSE))</f>
        <v>DLC_FLAMES_OF_AMBITION</v>
      </c>
      <c r="U499" s="3" t="str">
        <f>IF(T499&lt;&gt;"",VLOOKUP(T499,'&lt;Constants&gt;'!$B$4:$C$1020,2,FALSE),"")</f>
        <v>Flames of Ambition</v>
      </c>
      <c r="V499" s="30" t="s">
        <v>3253</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2627</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2383</v>
      </c>
      <c r="C500" t="s">
        <v>2717</v>
      </c>
      <c r="D500" s="3">
        <f t="shared" si="42"/>
        <v>574</v>
      </c>
      <c r="G500" s="3" t="s">
        <v>1454</v>
      </c>
      <c r="I500" t="s">
        <v>91</v>
      </c>
      <c r="J500" t="s">
        <v>91</v>
      </c>
      <c r="K500" s="33">
        <v>454</v>
      </c>
      <c r="L500" s="33">
        <v>454</v>
      </c>
      <c r="M500" s="33">
        <v>454</v>
      </c>
      <c r="O500" s="58" t="s">
        <v>2367</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DLCs'!$A$3:$D$99999,4,FALSE))</f>
        <v>DLC_FLAMES_OF_AMBITION</v>
      </c>
      <c r="U500" s="3" t="str">
        <f>IF(T500&lt;&gt;"",VLOOKUP(T500,'&lt;Constants&gt;'!$B$4:$C$1020,2,FALSE),"")</f>
        <v>Flames of Ambition</v>
      </c>
      <c r="V500" s="30" t="s">
        <v>3253</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2626</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2219</v>
      </c>
      <c r="C501" t="s">
        <v>2201</v>
      </c>
      <c r="D501" s="3">
        <f t="shared" si="42"/>
        <v>575</v>
      </c>
      <c r="G501" s="3" t="s">
        <v>1654</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DLCs'!$A$3:$D$99999,4,FALSE))</f>
        <v>DLC_MARKARTH</v>
      </c>
      <c r="U501" s="3" t="str">
        <f>IF(T501&lt;&gt;"",VLOOKUP(T501,'&lt;Constants&gt;'!$B$4:$C$1020,2,FALSE),"")</f>
        <v>Markarth</v>
      </c>
      <c r="V501" s="30" t="s">
        <v>1535</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1534</v>
      </c>
      <c r="AC501" s="38" t="s">
        <v>226</v>
      </c>
      <c r="AD501" s="38" t="s">
        <v>3204</v>
      </c>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1536</v>
      </c>
      <c r="AI501" s="38"/>
      <c r="AJ501" s="38"/>
      <c r="AK501" s="3">
        <f>IF(AND(G501&lt;&gt;"LIBSETS_SETTYPE_BATTLEGROUND",G501&lt;&gt;"LIBSETS_SETTYPE_SPECIAL"),IF(AL501&lt;&gt;"",VLOOKUP(AL501,'ESO zones'!$D$5:$H$4958,5,FALSE),""),"")</f>
        <v>1224</v>
      </c>
      <c r="AL501" t="s">
        <v>2193</v>
      </c>
      <c r="AM501" s="30" t="s">
        <v>3193</v>
      </c>
      <c r="AN501" s="38" t="s">
        <v>3804</v>
      </c>
      <c r="AO501" s="38" t="s">
        <v>3805</v>
      </c>
      <c r="AP501" s="3">
        <f>IF(AND(G501&lt;&gt;"LIBSETS_SETTYPE_BATTLEGROUND",G501&lt;&gt;"LIBSETS_SETTYPE_SPECIAL"),IF(AQ501&lt;&gt;"",VLOOKUP(AQ501,'ESO zones'!$D$5:$H$4958,5,FALSE),""),"")</f>
        <v>92</v>
      </c>
      <c r="AQ501" t="s">
        <v>108</v>
      </c>
      <c r="AR501" s="30" t="s">
        <v>1537</v>
      </c>
      <c r="AS501" s="38"/>
      <c r="AT501" s="38"/>
      <c r="AU501" s="3" t="str">
        <f>IF(AND(G501&lt;&gt;"LIBSETS_SETTYPE_BATTLEGROUND",G501&lt;&gt;"LIBSETS_SETTYPE_SPECIAL"),IF(AV501&lt;&gt;"",VLOOKUP(AV501,'ESO zones'!$D$5:$H$4958,5,FALSE),""),"")</f>
        <v/>
      </c>
      <c r="AV501" s="81"/>
      <c r="AX501" s="38"/>
      <c r="AY501" s="38"/>
      <c r="AZ501" s="72" t="s">
        <v>2626</v>
      </c>
      <c r="BA501" s="33" t="s">
        <v>3150</v>
      </c>
      <c r="BB501" s="33" t="s">
        <v>3150</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2220</v>
      </c>
      <c r="C502" t="s">
        <v>2243</v>
      </c>
      <c r="D502" s="3">
        <f t="shared" si="42"/>
        <v>576</v>
      </c>
      <c r="G502" s="3" t="s">
        <v>1654</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DLCs'!$A$3:$D$99999,4,FALSE))</f>
        <v>DLC_MARKARTH</v>
      </c>
      <c r="U502" s="3" t="str">
        <f>IF(T502&lt;&gt;"",VLOOKUP(T502,'&lt;Constants&gt;'!$B$4:$C$1020,2,FALSE),"")</f>
        <v>Markarth</v>
      </c>
      <c r="V502" s="30" t="s">
        <v>1534</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1536</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3193</v>
      </c>
      <c r="AI502" s="38" t="s">
        <v>3202</v>
      </c>
      <c r="AJ502" s="38" t="s">
        <v>3203</v>
      </c>
      <c r="AK502" s="3">
        <f>IF(AND(G502&lt;&gt;"LIBSETS_SETTYPE_BATTLEGROUND",G502&lt;&gt;"LIBSETS_SETTYPE_SPECIAL"),IF(AL502&lt;&gt;"",VLOOKUP(AL502,'ESO zones'!$D$5:$H$4958,5,FALSE),""),"")</f>
        <v>380</v>
      </c>
      <c r="AL502" t="s">
        <v>95</v>
      </c>
      <c r="AM502" s="30" t="s">
        <v>3253</v>
      </c>
      <c r="AN502" s="38" t="s">
        <v>1344</v>
      </c>
      <c r="AO502" s="38" t="s">
        <v>1610</v>
      </c>
      <c r="AP502" s="3">
        <f>IF(AND(G502&lt;&gt;"LIBSETS_SETTYPE_BATTLEGROUND",G502&lt;&gt;"LIBSETS_SETTYPE_SPECIAL"),IF(AQ502&lt;&gt;"",VLOOKUP(AQ502,'ESO zones'!$D$5:$H$4958,5,FALSE),""),"")</f>
        <v>932</v>
      </c>
      <c r="AQ502" t="s">
        <v>55</v>
      </c>
      <c r="AR502" s="30" t="s">
        <v>3253</v>
      </c>
      <c r="AS502" s="38" t="s">
        <v>1533</v>
      </c>
      <c r="AT502" s="38" t="s">
        <v>1533</v>
      </c>
      <c r="AU502" s="3" t="str">
        <f>IF(AND(G502&lt;&gt;"LIBSETS_SETTYPE_BATTLEGROUND",G502&lt;&gt;"LIBSETS_SETTYPE_SPECIAL"),IF(AV502&lt;&gt;"",VLOOKUP(AV502,'ESO zones'!$D$5:$H$4958,5,FALSE),""),"")</f>
        <v/>
      </c>
      <c r="AX502" s="38"/>
      <c r="AY502" s="38"/>
      <c r="AZ502" s="72" t="s">
        <v>2626</v>
      </c>
      <c r="BA502" s="33" t="s">
        <v>3149</v>
      </c>
      <c r="BB502" s="33" t="s">
        <v>3149</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2386</v>
      </c>
      <c r="C503" t="s">
        <v>2386</v>
      </c>
      <c r="D503" s="3">
        <f t="shared" si="42"/>
        <v>577</v>
      </c>
      <c r="E503" s="37"/>
      <c r="G503" s="3" t="s">
        <v>1456</v>
      </c>
      <c r="H503" s="80">
        <v>3</v>
      </c>
      <c r="I503" t="s">
        <v>1443</v>
      </c>
      <c r="J503" t="s">
        <v>91</v>
      </c>
      <c r="K503" s="33">
        <v>437</v>
      </c>
      <c r="L503" s="33">
        <v>437</v>
      </c>
      <c r="M503" s="33">
        <v>437</v>
      </c>
      <c r="O503" s="58" t="s">
        <v>2366</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DLCs'!$A$3:$D$99999,4,FALSE))</f>
        <v>DLC_FLAMES_OF_AMBITION</v>
      </c>
      <c r="U503" s="3" t="str">
        <f>IF(T503&lt;&gt;"",VLOOKUP(T503,'&lt;Constants&gt;'!$B$4:$C$1020,2,FALSE),"")</f>
        <v>Flames of Ambition</v>
      </c>
      <c r="V503" s="30" t="s">
        <v>1518</v>
      </c>
      <c r="W503" s="3" t="s">
        <v>2386</v>
      </c>
      <c r="X503" s="3" t="s">
        <v>2386</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IF(AB503&lt;&gt;"",IF(AB503&lt;&gt;"LIBSETS_DROP_MECHANIC_MONSTER_NAME",VLOOKUP(AB503,'&lt;Constants&gt;'!$I$4:$L$1020,3,FALSE),""),"")</f>
        <v/>
      </c>
      <c r="AD503" s="38" t="str">
        <f>IF(AB503&lt;&gt;"",IF(AB503&lt;&gt;"LIBSETS_DROP_MECHANIC_MONSTER_NAME",VLOOKUP(AB503,'&lt;Constants&gt;'!$I$4:$L$1020,4,FALSE),""),"")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2626</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2365</v>
      </c>
      <c r="C504" t="s">
        <v>2365</v>
      </c>
      <c r="D504" s="3">
        <f t="shared" si="42"/>
        <v>578</v>
      </c>
      <c r="E504" s="37"/>
      <c r="G504" s="3" t="s">
        <v>1456</v>
      </c>
      <c r="H504" s="80">
        <v>3</v>
      </c>
      <c r="I504" t="s">
        <v>1443</v>
      </c>
      <c r="J504" t="s">
        <v>91</v>
      </c>
      <c r="K504" s="33">
        <v>454</v>
      </c>
      <c r="L504" s="33">
        <v>454</v>
      </c>
      <c r="M504" s="33">
        <v>454</v>
      </c>
      <c r="O504" s="58" t="s">
        <v>2367</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DLCs'!$A$3:$D$99999,4,FALSE))</f>
        <v>DLC_FLAMES_OF_AMBITION</v>
      </c>
      <c r="U504" s="3" t="str">
        <f>IF(T504&lt;&gt;"",VLOOKUP(T504,'&lt;Constants&gt;'!$B$4:$C$1020,2,FALSE),"")</f>
        <v>Flames of Ambition</v>
      </c>
      <c r="V504" s="30" t="s">
        <v>1518</v>
      </c>
      <c r="W504" s="3" t="s">
        <v>2365</v>
      </c>
      <c r="X504" s="3" t="s">
        <v>2365</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IF(AB504&lt;&gt;"",IF(AB504&lt;&gt;"LIBSETS_DROP_MECHANIC_MONSTER_NAME",VLOOKUP(AB504,'&lt;Constants&gt;'!$I$4:$L$1020,3,FALSE),""),"")</f>
        <v/>
      </c>
      <c r="AD504" s="38" t="str">
        <f>IF(AB504&lt;&gt;"",IF(AB504&lt;&gt;"LIBSETS_DROP_MECHANIC_MONSTER_NAME",VLOOKUP(AB504,'&lt;Constants&gt;'!$I$4:$L$1020,4,FALSE),""),"")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2626</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2438</v>
      </c>
      <c r="C505" t="s">
        <v>2437</v>
      </c>
      <c r="D505" s="3">
        <f t="shared" si="42"/>
        <v>579</v>
      </c>
      <c r="G505" s="3" t="s">
        <v>1457</v>
      </c>
      <c r="I505" t="s">
        <v>91</v>
      </c>
      <c r="J505" t="s">
        <v>91</v>
      </c>
      <c r="K505" s="33">
        <v>458</v>
      </c>
      <c r="L505" s="33">
        <v>458</v>
      </c>
      <c r="M505" s="33">
        <v>458</v>
      </c>
      <c r="O505" s="58" t="s">
        <v>2360</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DLCs'!$A$3:$D$99999,4,FALSE))</f>
        <v>DLC_BLACKWOOD</v>
      </c>
      <c r="U505" s="3" t="str">
        <f>IF(T505&lt;&gt;"",VLOOKUP(T505,'&lt;Constants&gt;'!$B$4:$C$1020,2,FALSE),"")</f>
        <v>Blackwood</v>
      </c>
      <c r="V505" s="30" t="s">
        <v>1534</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1535</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1536</v>
      </c>
      <c r="AI505" s="38"/>
      <c r="AJ505" s="38"/>
      <c r="AK505" s="3">
        <f>IF(AND(G505&lt;&gt;"LIBSETS_SETTYPE_BATTLEGROUND",G505&lt;&gt;"LIBSETS_SETTYPE_SPECIAL"),IF(AL505&lt;&gt;"",VLOOKUP(AL505,'ESO zones'!$D$5:$H$4958,5,FALSE),""),"")</f>
        <v>1261</v>
      </c>
      <c r="AL505" t="s">
        <v>2360</v>
      </c>
      <c r="AM505" s="30" t="s">
        <v>1537</v>
      </c>
      <c r="AN505" s="38"/>
      <c r="AO505" s="38"/>
      <c r="AP505" s="3">
        <f>IF(AND(G505&lt;&gt;"LIBSETS_SETTYPE_BATTLEGROUND",G505&lt;&gt;"LIBSETS_SETTYPE_SPECIAL"),IF(AQ505&lt;&gt;"",VLOOKUP(AQ505,'ESO zones'!$D$5:$H$4958,5,FALSE),""),"")</f>
        <v>1259</v>
      </c>
      <c r="AQ505" t="s">
        <v>2413</v>
      </c>
      <c r="AR505" s="39" t="s">
        <v>1536</v>
      </c>
      <c r="AS505" s="38"/>
      <c r="AT505" s="38"/>
      <c r="AU505" s="3">
        <f>IF(AND(G505&lt;&gt;"LIBSETS_SETTYPE_BATTLEGROUND",G505&lt;&gt;"LIBSETS_SETTYPE_SPECIAL"),IF(AV505&lt;&gt;"",VLOOKUP(AV505,'ESO zones'!$D$5:$H$4958,5,FALSE),""),"")</f>
        <v>1261</v>
      </c>
      <c r="AV505" t="s">
        <v>2360</v>
      </c>
      <c r="AW505" s="39" t="s">
        <v>3193</v>
      </c>
      <c r="AX505" s="38"/>
      <c r="AY505" s="38"/>
      <c r="AZ505" s="72" t="s">
        <v>2627</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2434</v>
      </c>
      <c r="C506" t="s">
        <v>2435</v>
      </c>
      <c r="D506" s="3">
        <f t="shared" si="42"/>
        <v>580</v>
      </c>
      <c r="G506" s="3" t="s">
        <v>1457</v>
      </c>
      <c r="I506" t="s">
        <v>91</v>
      </c>
      <c r="J506" t="s">
        <v>91</v>
      </c>
      <c r="K506" s="33">
        <v>458</v>
      </c>
      <c r="L506" s="33">
        <v>458</v>
      </c>
      <c r="M506" s="33">
        <v>458</v>
      </c>
      <c r="O506" s="58" t="s">
        <v>2360</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DLCs'!$A$3:$D$99999,4,FALSE))</f>
        <v>DLC_BLACKWOOD</v>
      </c>
      <c r="U506" s="3" t="str">
        <f>IF(T506&lt;&gt;"",VLOOKUP(T506,'&lt;Constants&gt;'!$B$4:$C$1020,2,FALSE),"")</f>
        <v>Blackwood</v>
      </c>
      <c r="V506" s="30" t="s">
        <v>1534</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1535</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1536</v>
      </c>
      <c r="AI506" s="38"/>
      <c r="AJ506" s="38"/>
      <c r="AK506" s="3">
        <f>IF(AND(G506&lt;&gt;"LIBSETS_SETTYPE_BATTLEGROUND",G506&lt;&gt;"LIBSETS_SETTYPE_SPECIAL"),IF(AL506&lt;&gt;"",VLOOKUP(AL506,'ESO zones'!$D$5:$H$4958,5,FALSE),""),"")</f>
        <v>1261</v>
      </c>
      <c r="AL506" t="s">
        <v>2360</v>
      </c>
      <c r="AM506" s="30" t="s">
        <v>1537</v>
      </c>
      <c r="AN506" s="38"/>
      <c r="AO506" s="38"/>
      <c r="AP506" s="3">
        <f>IF(AND(G506&lt;&gt;"LIBSETS_SETTYPE_BATTLEGROUND",G506&lt;&gt;"LIBSETS_SETTYPE_SPECIAL"),IF(AQ506&lt;&gt;"",VLOOKUP(AQ506,'ESO zones'!$D$5:$H$4958,5,FALSE),""),"")</f>
        <v>1259</v>
      </c>
      <c r="AQ506" t="s">
        <v>2413</v>
      </c>
      <c r="AR506" s="39" t="s">
        <v>1536</v>
      </c>
      <c r="AS506" s="38"/>
      <c r="AT506" s="38"/>
      <c r="AU506" s="3">
        <f>IF(AND(G506&lt;&gt;"LIBSETS_SETTYPE_BATTLEGROUND",G506&lt;&gt;"LIBSETS_SETTYPE_SPECIAL"),IF(AV506&lt;&gt;"",VLOOKUP(AV506,'ESO zones'!$D$5:$H$4958,5,FALSE),""),"")</f>
        <v>1261</v>
      </c>
      <c r="AV506" t="s">
        <v>2360</v>
      </c>
      <c r="AW506" s="39" t="s">
        <v>3193</v>
      </c>
      <c r="AX506" s="38"/>
      <c r="AY506" s="38"/>
      <c r="AZ506" s="72" t="s">
        <v>2626</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2432</v>
      </c>
      <c r="C507" t="s">
        <v>2433</v>
      </c>
      <c r="D507" s="3">
        <f t="shared" si="42"/>
        <v>581</v>
      </c>
      <c r="E507" s="37"/>
      <c r="G507" s="3" t="s">
        <v>1457</v>
      </c>
      <c r="I507" t="s">
        <v>91</v>
      </c>
      <c r="J507" t="s">
        <v>91</v>
      </c>
      <c r="K507" s="33">
        <v>458</v>
      </c>
      <c r="L507" s="33">
        <v>458</v>
      </c>
      <c r="M507" s="33">
        <v>458</v>
      </c>
      <c r="O507" s="58" t="s">
        <v>2360</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DLCs'!$A$3:$D$99999,4,FALSE))</f>
        <v>DLC_BLACKWOOD</v>
      </c>
      <c r="U507" s="3" t="str">
        <f>IF(T507&lt;&gt;"",VLOOKUP(T507,'&lt;Constants&gt;'!$B$4:$C$1020,2,FALSE),"")</f>
        <v>Blackwood</v>
      </c>
      <c r="V507" s="30" t="s">
        <v>1534</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1535</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1536</v>
      </c>
      <c r="AI507" s="38"/>
      <c r="AJ507" s="38"/>
      <c r="AK507" s="3">
        <f>IF(AND(G507&lt;&gt;"LIBSETS_SETTYPE_BATTLEGROUND",G507&lt;&gt;"LIBSETS_SETTYPE_SPECIAL"),IF(AL507&lt;&gt;"",VLOOKUP(AL507,'ESO zones'!$D$5:$H$4958,5,FALSE),""),"")</f>
        <v>1261</v>
      </c>
      <c r="AL507" t="s">
        <v>2360</v>
      </c>
      <c r="AM507" s="30" t="s">
        <v>1537</v>
      </c>
      <c r="AN507" s="38"/>
      <c r="AO507" s="38"/>
      <c r="AP507" s="3">
        <f>IF(AND(G507&lt;&gt;"LIBSETS_SETTYPE_BATTLEGROUND",G507&lt;&gt;"LIBSETS_SETTYPE_SPECIAL"),IF(AQ507&lt;&gt;"",VLOOKUP(AQ507,'ESO zones'!$D$5:$H$4958,5,FALSE),""),"")</f>
        <v>1259</v>
      </c>
      <c r="AQ507" t="s">
        <v>2413</v>
      </c>
      <c r="AR507" s="39" t="s">
        <v>1536</v>
      </c>
      <c r="AS507" s="38"/>
      <c r="AT507" s="38"/>
      <c r="AU507" s="3">
        <f>IF(AND(G507&lt;&gt;"LIBSETS_SETTYPE_BATTLEGROUND",G507&lt;&gt;"LIBSETS_SETTYPE_SPECIAL"),IF(AV507&lt;&gt;"",VLOOKUP(AV507,'ESO zones'!$D$5:$H$4958,5,FALSE),""),"")</f>
        <v>1261</v>
      </c>
      <c r="AV507" t="s">
        <v>2360</v>
      </c>
      <c r="AW507" s="39" t="s">
        <v>3193</v>
      </c>
      <c r="AX507" s="38"/>
      <c r="AY507" s="38"/>
      <c r="AZ507" s="72" t="s">
        <v>2626</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2431</v>
      </c>
      <c r="C508" t="s">
        <v>2428</v>
      </c>
      <c r="D508" s="3">
        <f t="shared" si="42"/>
        <v>582</v>
      </c>
      <c r="G508" s="3" t="s">
        <v>1451</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DLCs'!$A$3:$D$99999,4,FALSE))</f>
        <v>DLC_BLACKWOOD</v>
      </c>
      <c r="U508" s="3" t="str">
        <f>IF(T508&lt;&gt;"",VLOOKUP(T508,'&lt;Constants&gt;'!$B$4:$C$1020,2,FALSE),"")</f>
        <v>Blackwood</v>
      </c>
      <c r="V508" s="30" t="s">
        <v>3256</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3256</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3256</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2626</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2430</v>
      </c>
      <c r="C509" t="s">
        <v>2429</v>
      </c>
      <c r="D509" s="3">
        <f t="shared" si="42"/>
        <v>583</v>
      </c>
      <c r="G509" s="3" t="s">
        <v>1451</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DLCs'!$A$3:$D$99999,4,FALSE))</f>
        <v>DLC_BLACKWOOD</v>
      </c>
      <c r="U509" s="3" t="str">
        <f>IF(T509&lt;&gt;"",VLOOKUP(T509,'&lt;Constants&gt;'!$B$4:$C$1020,2,FALSE),"")</f>
        <v>Blackwood</v>
      </c>
      <c r="V509" s="30" t="s">
        <v>3256</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3256</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3256</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2626</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2436</v>
      </c>
      <c r="C510" t="s">
        <v>2458</v>
      </c>
      <c r="D510" s="3">
        <f t="shared" si="42"/>
        <v>584</v>
      </c>
      <c r="G510" s="3" t="s">
        <v>1451</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DLCs'!$A$3:$D$99999,4,FALSE))</f>
        <v>DLC_BLACKWOOD</v>
      </c>
      <c r="U510" s="3" t="str">
        <f>IF(T510&lt;&gt;"",VLOOKUP(T510,'&lt;Constants&gt;'!$B$4:$C$1020,2,FALSE),"")</f>
        <v>Blackwood</v>
      </c>
      <c r="V510" s="30" t="s">
        <v>3256</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3256</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3256</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2626</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2447</v>
      </c>
      <c r="C511" t="s">
        <v>2448</v>
      </c>
      <c r="D511" s="3">
        <f t="shared" si="42"/>
        <v>585</v>
      </c>
      <c r="G511" s="3" t="s">
        <v>1458</v>
      </c>
      <c r="I511" t="s">
        <v>91</v>
      </c>
      <c r="J511" t="s">
        <v>91</v>
      </c>
      <c r="K511" s="33">
        <v>468</v>
      </c>
      <c r="L511" s="33">
        <v>468</v>
      </c>
      <c r="M511" s="33">
        <v>468</v>
      </c>
      <c r="O511" s="58" t="s">
        <v>2415</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DLCs'!$A$3:$D$99999,4,FALSE))</f>
        <v>DLC_BLACKWOOD</v>
      </c>
      <c r="U511" s="3" t="str">
        <f>IF(T511&lt;&gt;"",VLOOKUP(T511,'&lt;Constants&gt;'!$B$4:$C$1020,2,FALSE),"")</f>
        <v>Blackwood</v>
      </c>
      <c r="V511" s="30" t="s">
        <v>3234</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3234</v>
      </c>
      <c r="AC511" s="38"/>
      <c r="AD511" s="38"/>
      <c r="AE511" s="125">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3234</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2626</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2449</v>
      </c>
      <c r="C512" t="s">
        <v>2459</v>
      </c>
      <c r="D512" s="3">
        <f t="shared" si="42"/>
        <v>586</v>
      </c>
      <c r="G512" s="3" t="s">
        <v>1458</v>
      </c>
      <c r="I512" t="s">
        <v>91</v>
      </c>
      <c r="J512" t="s">
        <v>91</v>
      </c>
      <c r="K512" s="33">
        <v>468</v>
      </c>
      <c r="L512" s="33">
        <v>468</v>
      </c>
      <c r="M512" s="33">
        <v>468</v>
      </c>
      <c r="O512" s="58" t="s">
        <v>2415</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DLCs'!$A$3:$D$99999,4,FALSE))</f>
        <v>DLC_BLACKWOOD</v>
      </c>
      <c r="U512" s="3" t="str">
        <f>IF(T512&lt;&gt;"",VLOOKUP(T512,'&lt;Constants&gt;'!$B$4:$C$1020,2,FALSE),"")</f>
        <v>Blackwood</v>
      </c>
      <c r="V512" s="30" t="s">
        <v>3234</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3234</v>
      </c>
      <c r="AC512" s="38"/>
      <c r="AD512" s="38"/>
      <c r="AE512" s="125">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3234</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2626</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2446</v>
      </c>
      <c r="C513" t="s">
        <v>2460</v>
      </c>
      <c r="D513" s="3">
        <f t="shared" si="42"/>
        <v>587</v>
      </c>
      <c r="E513" s="37"/>
      <c r="G513" s="3" t="s">
        <v>1458</v>
      </c>
      <c r="I513" t="s">
        <v>91</v>
      </c>
      <c r="J513" t="s">
        <v>91</v>
      </c>
      <c r="K513" s="33">
        <v>468</v>
      </c>
      <c r="L513" s="33">
        <v>468</v>
      </c>
      <c r="M513" s="33">
        <v>468</v>
      </c>
      <c r="O513" s="58" t="s">
        <v>2415</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DLCs'!$A$3:$D$99999,4,FALSE))</f>
        <v>DLC_BLACKWOOD</v>
      </c>
      <c r="U513" s="3" t="str">
        <f>IF(T513&lt;&gt;"",VLOOKUP(T513,'&lt;Constants&gt;'!$B$4:$C$1020,2,FALSE),"")</f>
        <v>Blackwood</v>
      </c>
      <c r="V513" s="30" t="s">
        <v>3234</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3234</v>
      </c>
      <c r="AC513" s="38"/>
      <c r="AD513" s="38"/>
      <c r="AE513" s="125">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3234</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2626</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2442</v>
      </c>
      <c r="C514" t="s">
        <v>2461</v>
      </c>
      <c r="D514" s="3">
        <f t="shared" si="42"/>
        <v>588</v>
      </c>
      <c r="G514" s="3" t="s">
        <v>1458</v>
      </c>
      <c r="I514" t="s">
        <v>91</v>
      </c>
      <c r="J514" t="s">
        <v>91</v>
      </c>
      <c r="K514">
        <v>468</v>
      </c>
      <c r="L514">
        <v>468</v>
      </c>
      <c r="M514">
        <v>468</v>
      </c>
      <c r="O514" s="58" t="s">
        <v>2415</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DLCs'!$A$3:$D$99999,4,FALSE))</f>
        <v>DLC_BLACKWOOD</v>
      </c>
      <c r="U514" s="3" t="str">
        <f>IF(T514&lt;&gt;"",VLOOKUP(T514,'&lt;Constants&gt;'!$B$4:$C$1020,2,FALSE),"")</f>
        <v>Blackwood</v>
      </c>
      <c r="V514" s="30" t="s">
        <v>3234</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3234</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3234</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2626</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2440</v>
      </c>
      <c r="C515" t="s">
        <v>2441</v>
      </c>
      <c r="D515" s="3">
        <f t="shared" ref="D515:D578" si="48">A515</f>
        <v>589</v>
      </c>
      <c r="G515" s="3" t="s">
        <v>1458</v>
      </c>
      <c r="I515" t="s">
        <v>92</v>
      </c>
      <c r="J515" t="s">
        <v>91</v>
      </c>
      <c r="K515" s="33">
        <v>468</v>
      </c>
      <c r="L515" s="33">
        <v>468</v>
      </c>
      <c r="M515" s="33">
        <v>468</v>
      </c>
      <c r="O515" s="58" t="s">
        <v>2415</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DLCs'!$A$3:$D$99999,4,FALSE))</f>
        <v>DLC_BLACKWOOD</v>
      </c>
      <c r="U515" s="3" t="str">
        <f>IF(T515&lt;&gt;"",VLOOKUP(T515,'&lt;Constants&gt;'!$B$4:$C$1020,2,FALSE),"")</f>
        <v>Blackwood</v>
      </c>
      <c r="V515" s="30" t="s">
        <v>3234</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3234</v>
      </c>
      <c r="AC515" s="38"/>
      <c r="AD515" s="38"/>
      <c r="AE515" s="125">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3234</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2626</v>
      </c>
      <c r="BA515" s="72"/>
      <c r="BB515" s="72"/>
      <c r="BC515" s="72"/>
      <c r="BD515" s="72" t="s">
        <v>3773</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2457</v>
      </c>
      <c r="C516" t="s">
        <v>2457</v>
      </c>
      <c r="D516" s="3">
        <f t="shared" si="48"/>
        <v>590</v>
      </c>
      <c r="G516" s="3" t="s">
        <v>1458</v>
      </c>
      <c r="I516" t="s">
        <v>92</v>
      </c>
      <c r="J516" t="s">
        <v>91</v>
      </c>
      <c r="K516" s="33">
        <v>468</v>
      </c>
      <c r="L516" s="33">
        <v>468</v>
      </c>
      <c r="M516" s="33">
        <v>468</v>
      </c>
      <c r="O516" s="58" t="s">
        <v>2415</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DLCs'!$A$3:$D$99999,4,FALSE))</f>
        <v>DLC_BLACKWOOD</v>
      </c>
      <c r="U516" s="3" t="str">
        <f>IF(T516&lt;&gt;"",VLOOKUP(T516,'&lt;Constants&gt;'!$B$4:$C$1020,2,FALSE),"")</f>
        <v>Blackwood</v>
      </c>
      <c r="V516" s="30" t="s">
        <v>3234</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3234</v>
      </c>
      <c r="AC516" s="38"/>
      <c r="AD516" s="38"/>
      <c r="AE516" s="125">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3234</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2626</v>
      </c>
      <c r="BA516" s="72"/>
      <c r="BB516" s="72"/>
      <c r="BC516" s="72"/>
      <c r="BD516" s="72" t="s">
        <v>3773</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2439</v>
      </c>
      <c r="C517" t="s">
        <v>2462</v>
      </c>
      <c r="D517" s="3">
        <f t="shared" si="48"/>
        <v>591</v>
      </c>
      <c r="G517" s="3" t="s">
        <v>1458</v>
      </c>
      <c r="I517" t="s">
        <v>92</v>
      </c>
      <c r="J517" t="s">
        <v>91</v>
      </c>
      <c r="K517" s="33">
        <v>468</v>
      </c>
      <c r="L517" s="33">
        <v>468</v>
      </c>
      <c r="M517" s="33">
        <v>468</v>
      </c>
      <c r="O517" s="58" t="s">
        <v>2415</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DLCs'!$A$3:$D$99999,4,FALSE))</f>
        <v>DLC_BLACKWOOD</v>
      </c>
      <c r="U517" s="3" t="str">
        <f>IF(T517&lt;&gt;"",VLOOKUP(T517,'&lt;Constants&gt;'!$B$4:$C$1020,2,FALSE),"")</f>
        <v>Blackwood</v>
      </c>
      <c r="V517" s="30" t="s">
        <v>3234</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3234</v>
      </c>
      <c r="AC517" s="38"/>
      <c r="AD517" s="38"/>
      <c r="AE517" s="125">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3234</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2626</v>
      </c>
      <c r="BA517" s="72"/>
      <c r="BB517" s="72"/>
      <c r="BC517" s="72"/>
      <c r="BD517" s="72" t="s">
        <v>3773</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2450</v>
      </c>
      <c r="C518" t="s">
        <v>2463</v>
      </c>
      <c r="D518" s="3">
        <f t="shared" si="48"/>
        <v>592</v>
      </c>
      <c r="G518" s="3" t="s">
        <v>1458</v>
      </c>
      <c r="I518" t="s">
        <v>92</v>
      </c>
      <c r="J518" t="s">
        <v>91</v>
      </c>
      <c r="K518" s="33">
        <v>468</v>
      </c>
      <c r="L518" s="33">
        <v>468</v>
      </c>
      <c r="M518" s="33">
        <v>468</v>
      </c>
      <c r="O518" s="58" t="s">
        <v>2415</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DLCs'!$A$3:$D$99999,4,FALSE))</f>
        <v>DLC_BLACKWOOD</v>
      </c>
      <c r="U518" s="3" t="str">
        <f>IF(T518&lt;&gt;"",VLOOKUP(T518,'&lt;Constants&gt;'!$B$4:$C$1020,2,FALSE),"")</f>
        <v>Blackwood</v>
      </c>
      <c r="V518" s="30" t="s">
        <v>3234</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3234</v>
      </c>
      <c r="AC518" s="38"/>
      <c r="AD518" s="38"/>
      <c r="AE518" s="125">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3234</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2626</v>
      </c>
      <c r="BA518" s="72"/>
      <c r="BB518" s="72"/>
      <c r="BC518" s="72"/>
      <c r="BD518" s="72" t="s">
        <v>3773</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2451</v>
      </c>
      <c r="C519" t="s">
        <v>2451</v>
      </c>
      <c r="D519" s="3">
        <f t="shared" si="48"/>
        <v>593</v>
      </c>
      <c r="G519" s="3" t="s">
        <v>1654</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DLCs'!$A$3:$D$99999,4,FALSE))</f>
        <v>DLC_BLACKWOOD</v>
      </c>
      <c r="U519" s="3" t="str">
        <f>IF(T519&lt;&gt;"",VLOOKUP(T519,'&lt;Constants&gt;'!$B$4:$C$1020,2,FALSE),"")</f>
        <v>Blackwood</v>
      </c>
      <c r="V519" s="30" t="s">
        <v>1536</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3165</v>
      </c>
      <c r="AC519" s="38" t="s">
        <v>3167</v>
      </c>
      <c r="AD519" s="38" t="s">
        <v>3168</v>
      </c>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1536</v>
      </c>
      <c r="AI519" s="38"/>
      <c r="AJ519" s="38"/>
      <c r="AK519" s="3">
        <f>IF(AND(G519&lt;&gt;"LIBSETS_SETTYPE_BATTLEGROUND",G519&lt;&gt;"LIBSETS_SETTYPE_SPECIAL"),IF(AL519&lt;&gt;"",VLOOKUP(AL519,'ESO zones'!$D$5:$H$4958,5,FALSE),""),"")</f>
        <v>117</v>
      </c>
      <c r="AL519" t="s">
        <v>113</v>
      </c>
      <c r="AM519" s="30" t="s">
        <v>1534</v>
      </c>
      <c r="AN519" s="38"/>
      <c r="AO519" s="38"/>
      <c r="AP519" s="3">
        <f>IF(AND(G519&lt;&gt;"LIBSETS_SETTYPE_BATTLEGROUND",G519&lt;&gt;"LIBSETS_SETTYPE_SPECIAL"),IF(AQ519&lt;&gt;"",VLOOKUP(AQ519,'ESO zones'!$D$5:$H$4958,5,FALSE),""),"")</f>
        <v>848</v>
      </c>
      <c r="AQ519" t="s">
        <v>72</v>
      </c>
      <c r="AR519" s="30" t="s">
        <v>3253</v>
      </c>
      <c r="AS519" s="38" t="s">
        <v>32</v>
      </c>
      <c r="AT519" s="38" t="s">
        <v>32</v>
      </c>
      <c r="AU519" s="3" t="str">
        <f>IF(AND(G519&lt;&gt;"LIBSETS_SETTYPE_BATTLEGROUND",G519&lt;&gt;"LIBSETS_SETTYPE_SPECIAL"),IF(AV519&lt;&gt;"",VLOOKUP(AV519,'ESO zones'!$D$5:$H$4958,5,FALSE),""),"")</f>
        <v/>
      </c>
      <c r="AX519" s="38"/>
      <c r="AY519" s="38"/>
      <c r="AZ519" s="72" t="s">
        <v>2626</v>
      </c>
      <c r="BA519" s="33" t="s">
        <v>3145</v>
      </c>
      <c r="BB519" s="33" t="s">
        <v>3145</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18" t="str">
        <f t="shared" si="53"/>
        <v>, addTooltip={['en']='https://en.uesp.net/wiki/Online:Gaze_of_Sithis',},}, --Gaze of Sithis / Gaze of Sithis   [Blackwood, Hew's Bane, Forgotten Crypts, Shadowfen, Cradle of Shadows]</v>
      </c>
    </row>
    <row r="520" spans="1:61" x14ac:dyDescent="0.25">
      <c r="A520" s="5">
        <v>594</v>
      </c>
      <c r="B520" t="s">
        <v>2456</v>
      </c>
      <c r="C520" t="s">
        <v>2456</v>
      </c>
      <c r="D520" s="3">
        <f t="shared" si="48"/>
        <v>594</v>
      </c>
      <c r="G520" s="3" t="s">
        <v>1654</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DLCs'!$A$3:$D$99999,4,FALSE))</f>
        <v>DLC_BLACKWOOD</v>
      </c>
      <c r="U520" s="3" t="str">
        <f>IF(T520&lt;&gt;"",VLOOKUP(T520,'&lt;Constants&gt;'!$B$4:$C$1020,2,FALSE),"")</f>
        <v>Blackwood</v>
      </c>
      <c r="V520" s="30" t="s">
        <v>1535</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3237</v>
      </c>
      <c r="AC520" s="38" t="s">
        <v>3185</v>
      </c>
      <c r="AD520" s="38" t="s">
        <v>3186</v>
      </c>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3187</v>
      </c>
      <c r="AI520" s="38" t="s">
        <v>3190</v>
      </c>
      <c r="AJ520" s="38" t="s">
        <v>3191</v>
      </c>
      <c r="AK520" s="3">
        <f>IF(AND(G520&lt;&gt;"LIBSETS_SETTYPE_BATTLEGROUND",G520&lt;&gt;"LIBSETS_SETTYPE_SPECIAL"),IF(AL520&lt;&gt;"",VLOOKUP(AL520,'ESO zones'!$D$5:$H$4958,5,FALSE),""),"")</f>
        <v>843</v>
      </c>
      <c r="AL520" t="s">
        <v>53</v>
      </c>
      <c r="AM520" s="30" t="s">
        <v>3253</v>
      </c>
      <c r="AN520" s="38" t="s">
        <v>1345</v>
      </c>
      <c r="AO520" s="38" t="s">
        <v>3192</v>
      </c>
      <c r="AP520" s="3">
        <f>IF(AND(G520&lt;&gt;"LIBSETS_SETTYPE_BATTLEGROUND",G520&lt;&gt;"LIBSETS_SETTYPE_SPECIAL"),IF(AQ520&lt;&gt;"",VLOOKUP(AQ520,'ESO zones'!$D$5:$H$4958,5,FALSE),""),"")</f>
        <v>117</v>
      </c>
      <c r="AQ520" t="s">
        <v>113</v>
      </c>
      <c r="AR520" s="30" t="s">
        <v>3557</v>
      </c>
      <c r="AS520" s="38" t="s">
        <v>3196</v>
      </c>
      <c r="AT520" s="38" t="s">
        <v>3197</v>
      </c>
      <c r="AU520" s="3" t="str">
        <f>IF(AND(G520&lt;&gt;"LIBSETS_SETTYPE_BATTLEGROUND",G520&lt;&gt;"LIBSETS_SETTYPE_SPECIAL"),IF(AV520&lt;&gt;"",VLOOKUP(AV520,'ESO zones'!$D$5:$H$4958,5,FALSE),""),"")</f>
        <v/>
      </c>
      <c r="AX520" s="38"/>
      <c r="AY520" s="38"/>
      <c r="AZ520" s="72" t="s">
        <v>2626</v>
      </c>
      <c r="BA520" s="33" t="s">
        <v>3146</v>
      </c>
      <c r="BB520" s="33" t="s">
        <v>3146</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2455</v>
      </c>
      <c r="C521" t="s">
        <v>2455</v>
      </c>
      <c r="D521" s="3">
        <f t="shared" si="48"/>
        <v>596</v>
      </c>
      <c r="G521" s="3" t="s">
        <v>1654</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DLCs'!$A$3:$D$99999,4,FALSE))</f>
        <v>DLC_BLACKWOOD</v>
      </c>
      <c r="U521" s="3" t="str">
        <f>IF(T521&lt;&gt;"",VLOOKUP(T521,'&lt;Constants&gt;'!$B$4:$C$1020,2,FALSE),"")</f>
        <v>Blackwood</v>
      </c>
      <c r="V521" s="30" t="s">
        <v>3169</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3205</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1530</v>
      </c>
      <c r="AI521" s="38"/>
      <c r="AJ521" s="38"/>
      <c r="AK521" s="3">
        <f>IF(AND(G521&lt;&gt;"LIBSETS_SETTYPE_BATTLEGROUND",G521&lt;&gt;"LIBSETS_SETTYPE_SPECIAL"),IF(AL521&lt;&gt;"",VLOOKUP(AL521,'ESO zones'!$D$5:$H$4958,5,FALSE),""),"")</f>
        <v>584</v>
      </c>
      <c r="AL521" t="s">
        <v>39</v>
      </c>
      <c r="AM521" s="30" t="s">
        <v>3237</v>
      </c>
      <c r="AN521" s="38" t="s">
        <v>3172</v>
      </c>
      <c r="AO521" s="38" t="s">
        <v>3173</v>
      </c>
      <c r="AP521" s="3">
        <f>IF(AND(G521&lt;&gt;"LIBSETS_SETTYPE_BATTLEGROUND",G521&lt;&gt;"LIBSETS_SETTYPE_SPECIAL"),IF(AQ521&lt;&gt;"",VLOOKUP(AQ521,'ESO zones'!$D$5:$H$4958,5,FALSE),""),"")</f>
        <v>181</v>
      </c>
      <c r="AQ521" t="s">
        <v>124</v>
      </c>
      <c r="AR521" s="30" t="s">
        <v>1515</v>
      </c>
      <c r="AS521" s="38"/>
      <c r="AT521" s="38"/>
      <c r="AU521" s="3" t="str">
        <f>IF(AND(G521&lt;&gt;"LIBSETS_SETTYPE_BATTLEGROUND",G521&lt;&gt;"LIBSETS_SETTYPE_SPECIAL"),IF(AV521&lt;&gt;"",VLOOKUP(AV521,'ESO zones'!$D$5:$H$4958,5,FALSE),""),"")</f>
        <v/>
      </c>
      <c r="AX521" s="38"/>
      <c r="AY521" s="38"/>
      <c r="AZ521" s="72" t="s">
        <v>2626</v>
      </c>
      <c r="BA521" s="33" t="s">
        <v>3144</v>
      </c>
      <c r="BB521" s="33" t="s">
        <v>3144</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2464</v>
      </c>
      <c r="C522" t="s">
        <v>2464</v>
      </c>
      <c r="D522" s="3">
        <f t="shared" si="48"/>
        <v>597</v>
      </c>
      <c r="G522" s="3" t="s">
        <v>1654</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DLCs'!$A$3:$D$99999,4,FALSE))</f>
        <v>DLC_BLACKWOOD</v>
      </c>
      <c r="U522" s="3" t="str">
        <f>IF(T522&lt;&gt;"",VLOOKUP(T522,'&lt;Constants&gt;'!$B$4:$C$1020,2,FALSE),"")</f>
        <v>Blackwood</v>
      </c>
      <c r="V522" s="30" t="s">
        <v>3205</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3253</v>
      </c>
      <c r="AC522" s="38" t="s">
        <v>1527</v>
      </c>
      <c r="AD522" s="38" t="s">
        <v>3207</v>
      </c>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1534</v>
      </c>
      <c r="AI522" s="38" t="s">
        <v>3252</v>
      </c>
      <c r="AJ522" s="38" t="s">
        <v>3262</v>
      </c>
      <c r="AK522" s="3">
        <f>IF(AND(G522&lt;&gt;"LIBSETS_SETTYPE_BATTLEGROUND",G522&lt;&gt;"LIBSETS_SETTYPE_SPECIAL"),IF(AL522&lt;&gt;"",VLOOKUP(AL522,'ESO zones'!$D$5:$H$4958,5,FALSE),""),"")</f>
        <v>936</v>
      </c>
      <c r="AL522" t="s">
        <v>42</v>
      </c>
      <c r="AM522" s="30" t="s">
        <v>3253</v>
      </c>
      <c r="AN522" s="38" t="s">
        <v>1341</v>
      </c>
      <c r="AO522" s="38" t="s">
        <v>3208</v>
      </c>
      <c r="AP522" s="3">
        <f>IF(AND(G522&lt;&gt;"LIBSETS_SETTYPE_BATTLEGROUND",G522&lt;&gt;"LIBSETS_SETTYPE_SPECIAL"),IF(AQ522&lt;&gt;"",VLOOKUP(AQ522,'ESO zones'!$D$5:$H$4958,5,FALSE),""),"")</f>
        <v>1260</v>
      </c>
      <c r="AQ522" t="s">
        <v>2414</v>
      </c>
      <c r="AR522" s="30" t="s">
        <v>1536</v>
      </c>
      <c r="AS522" s="38"/>
      <c r="AT522" s="38"/>
      <c r="AU522" s="3" t="str">
        <f>IF(AND(G522&lt;&gt;"LIBSETS_SETTYPE_BATTLEGROUND",G522&lt;&gt;"LIBSETS_SETTYPE_SPECIAL"),IF(AV522&lt;&gt;"",VLOOKUP(AV522,'ESO zones'!$D$5:$H$4958,5,FALSE),""),"")</f>
        <v/>
      </c>
      <c r="AX522" s="38"/>
      <c r="AY522" s="38"/>
      <c r="AZ522" s="72" t="s">
        <v>2627</v>
      </c>
      <c r="BA522" s="33" t="s">
        <v>3152</v>
      </c>
      <c r="BB522" s="33" t="s">
        <v>3152</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2452</v>
      </c>
      <c r="C523" t="s">
        <v>2443</v>
      </c>
      <c r="D523" s="3">
        <f t="shared" si="48"/>
        <v>598</v>
      </c>
      <c r="F523" t="s">
        <v>2729</v>
      </c>
      <c r="G523" s="8" t="s">
        <v>2728</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DLCs'!$A$3:$D$99999,4,FALSE))</f>
        <v>DLC_IMPERIAL_CITY</v>
      </c>
      <c r="U523" s="3" t="str">
        <f>IF(T523&lt;&gt;"",VLOOKUP(T523,'&lt;Constants&gt;'!$B$4:$C$1020,2,FALSE),"")</f>
        <v>Imperial City</v>
      </c>
      <c r="V523" s="30" t="s">
        <v>1518</v>
      </c>
      <c r="W523" s="3" t="s">
        <v>3817</v>
      </c>
      <c r="X523" s="3" t="s">
        <v>3818</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2732</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2626</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2453</v>
      </c>
      <c r="C524" t="s">
        <v>2444</v>
      </c>
      <c r="D524" s="3">
        <f t="shared" si="48"/>
        <v>599</v>
      </c>
      <c r="F524" t="s">
        <v>2729</v>
      </c>
      <c r="G524" s="8" t="s">
        <v>2728</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DLCs'!$A$3:$D$99999,4,FALSE))</f>
        <v>DLC_IMPERIAL_CITY</v>
      </c>
      <c r="U524" s="3" t="str">
        <f>IF(T524&lt;&gt;"",VLOOKUP(T524,'&lt;Constants&gt;'!$B$4:$C$1020,2,FALSE),"")</f>
        <v>Imperial City</v>
      </c>
      <c r="V524" s="30" t="s">
        <v>1518</v>
      </c>
      <c r="W524" s="3" t="s">
        <v>3816</v>
      </c>
      <c r="X524" s="3" t="s">
        <v>3819</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2732</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2626</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2454</v>
      </c>
      <c r="C525" t="s">
        <v>2445</v>
      </c>
      <c r="D525" s="3">
        <f t="shared" si="48"/>
        <v>600</v>
      </c>
      <c r="F525" t="s">
        <v>2729</v>
      </c>
      <c r="G525" s="8" t="s">
        <v>2728</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DLCs'!$A$3:$D$99999,4,FALSE))</f>
        <v>DLC_IMPERIAL_CITY</v>
      </c>
      <c r="U525" s="3" t="str">
        <f>IF(T525&lt;&gt;"",VLOOKUP(T525,'&lt;Constants&gt;'!$B$4:$C$1020,2,FALSE),"")</f>
        <v>Imperial City</v>
      </c>
      <c r="V525" s="30" t="s">
        <v>1518</v>
      </c>
      <c r="W525" s="3" t="s">
        <v>3815</v>
      </c>
      <c r="X525" s="3" t="s">
        <v>3820</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2732</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2626</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2490</v>
      </c>
      <c r="C526" t="s">
        <v>2718</v>
      </c>
      <c r="D526" s="3">
        <f t="shared" si="48"/>
        <v>602</v>
      </c>
      <c r="G526" s="8" t="s">
        <v>1454</v>
      </c>
      <c r="I526" t="s">
        <v>91</v>
      </c>
      <c r="J526" t="s">
        <v>91</v>
      </c>
      <c r="K526">
        <v>469</v>
      </c>
      <c r="L526">
        <v>469</v>
      </c>
      <c r="M526">
        <v>469</v>
      </c>
      <c r="O526" s="58" t="s">
        <v>2473</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DLCs'!$A$3:$D$99999,4,FALSE))</f>
        <v>DLC_WAKING_FLAME</v>
      </c>
      <c r="U526" s="3" t="str">
        <f>IF(T526&lt;&gt;"",VLOOKUP(T526,'&lt;Constants&gt;'!$B$4:$C$1020,2,FALSE),"")</f>
        <v>Waking Flame</v>
      </c>
      <c r="V526" s="30" t="s">
        <v>3253</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2626</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2488</v>
      </c>
      <c r="C527" t="s">
        <v>2719</v>
      </c>
      <c r="D527" s="3">
        <f t="shared" si="48"/>
        <v>603</v>
      </c>
      <c r="G527" s="8" t="s">
        <v>1454</v>
      </c>
      <c r="I527" t="s">
        <v>91</v>
      </c>
      <c r="J527" t="s">
        <v>91</v>
      </c>
      <c r="K527">
        <v>469</v>
      </c>
      <c r="L527">
        <v>469</v>
      </c>
      <c r="M527">
        <v>469</v>
      </c>
      <c r="O527" s="58" t="s">
        <v>2473</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DLCs'!$A$3:$D$99999,4,FALSE))</f>
        <v>DLC_WAKING_FLAME</v>
      </c>
      <c r="U527" s="3" t="str">
        <f>IF(T527&lt;&gt;"",VLOOKUP(T527,'&lt;Constants&gt;'!$B$4:$C$1020,2,FALSE),"")</f>
        <v>Waking Flame</v>
      </c>
      <c r="V527" s="30" t="s">
        <v>3253</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2626</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2489</v>
      </c>
      <c r="C528" t="s">
        <v>2466</v>
      </c>
      <c r="D528" s="3">
        <f t="shared" si="48"/>
        <v>604</v>
      </c>
      <c r="G528" s="8" t="s">
        <v>1454</v>
      </c>
      <c r="I528" t="s">
        <v>91</v>
      </c>
      <c r="J528" t="s">
        <v>91</v>
      </c>
      <c r="K528">
        <v>469</v>
      </c>
      <c r="L528">
        <v>469</v>
      </c>
      <c r="M528">
        <v>469</v>
      </c>
      <c r="O528" s="58" t="s">
        <v>2473</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DLCs'!$A$3:$D$99999,4,FALSE))</f>
        <v>DLC_WAKING_FLAME</v>
      </c>
      <c r="U528" s="3" t="str">
        <f>IF(T528&lt;&gt;"",VLOOKUP(T528,'&lt;Constants&gt;'!$B$4:$C$1020,2,FALSE),"")</f>
        <v>Waking Flame</v>
      </c>
      <c r="V528" s="30" t="s">
        <v>3253</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2626</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2494</v>
      </c>
      <c r="C529" t="s">
        <v>2471</v>
      </c>
      <c r="D529" s="3">
        <f t="shared" si="48"/>
        <v>605</v>
      </c>
      <c r="G529" s="8" t="s">
        <v>1454</v>
      </c>
      <c r="I529" t="s">
        <v>91</v>
      </c>
      <c r="J529" t="s">
        <v>91</v>
      </c>
      <c r="K529">
        <v>470</v>
      </c>
      <c r="L529">
        <v>470</v>
      </c>
      <c r="M529">
        <v>470</v>
      </c>
      <c r="O529" s="58" t="s">
        <v>2468</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DLCs'!$A$3:$D$99999,4,FALSE))</f>
        <v>DLC_WAKING_FLAME</v>
      </c>
      <c r="U529" s="3" t="str">
        <f>IF(T529&lt;&gt;"",VLOOKUP(T529,'&lt;Constants&gt;'!$B$4:$C$1020,2,FALSE),"")</f>
        <v>Waking Flame</v>
      </c>
      <c r="V529" s="30" t="s">
        <v>3253</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2626</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2492</v>
      </c>
      <c r="C530" t="s">
        <v>2469</v>
      </c>
      <c r="D530" s="3">
        <f t="shared" si="48"/>
        <v>606</v>
      </c>
      <c r="G530" s="8" t="s">
        <v>1454</v>
      </c>
      <c r="I530" t="s">
        <v>91</v>
      </c>
      <c r="J530" t="s">
        <v>91</v>
      </c>
      <c r="K530">
        <v>470</v>
      </c>
      <c r="L530">
        <v>470</v>
      </c>
      <c r="M530">
        <v>470</v>
      </c>
      <c r="O530" s="58" t="s">
        <v>2468</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DLCs'!$A$3:$D$99999,4,FALSE))</f>
        <v>DLC_WAKING_FLAME</v>
      </c>
      <c r="U530" s="3" t="str">
        <f>IF(T530&lt;&gt;"",VLOOKUP(T530,'&lt;Constants&gt;'!$B$4:$C$1020,2,FALSE),"")</f>
        <v>Waking Flame</v>
      </c>
      <c r="V530" s="30" t="s">
        <v>3253</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2626</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2493</v>
      </c>
      <c r="C531" t="s">
        <v>2470</v>
      </c>
      <c r="D531" s="3">
        <f t="shared" si="48"/>
        <v>607</v>
      </c>
      <c r="G531" s="8" t="s">
        <v>1454</v>
      </c>
      <c r="I531" t="s">
        <v>91</v>
      </c>
      <c r="J531" t="s">
        <v>91</v>
      </c>
      <c r="K531">
        <v>470</v>
      </c>
      <c r="L531">
        <v>470</v>
      </c>
      <c r="M531">
        <v>470</v>
      </c>
      <c r="O531" s="58" t="s">
        <v>2468</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DLCs'!$A$3:$D$99999,4,FALSE))</f>
        <v>DLC_WAKING_FLAME</v>
      </c>
      <c r="U531" s="3" t="str">
        <f>IF(T531&lt;&gt;"",VLOOKUP(T531,'&lt;Constants&gt;'!$B$4:$C$1020,2,FALSE),"")</f>
        <v>Waking Flame</v>
      </c>
      <c r="V531" s="30" t="s">
        <v>3253</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2626</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2472</v>
      </c>
      <c r="C532" t="s">
        <v>2472</v>
      </c>
      <c r="D532" s="3">
        <f t="shared" si="48"/>
        <v>608</v>
      </c>
      <c r="G532" s="8" t="s">
        <v>1456</v>
      </c>
      <c r="H532" s="80">
        <v>3</v>
      </c>
      <c r="I532" t="s">
        <v>1443</v>
      </c>
      <c r="J532" t="s">
        <v>91</v>
      </c>
      <c r="K532">
        <v>470</v>
      </c>
      <c r="L532">
        <v>470</v>
      </c>
      <c r="M532">
        <v>470</v>
      </c>
      <c r="O532" s="58" t="s">
        <v>2468</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DLCs'!$A$3:$D$99999,4,FALSE))</f>
        <v>DLC_WAKING_FLAME</v>
      </c>
      <c r="U532" s="3" t="str">
        <f>IF(T532&lt;&gt;"",VLOOKUP(T532,'&lt;Constants&gt;'!$B$4:$C$1020,2,FALSE),"")</f>
        <v>Waking Flame</v>
      </c>
      <c r="V532" s="30" t="s">
        <v>1518</v>
      </c>
      <c r="W532" s="3" t="s">
        <v>2503</v>
      </c>
      <c r="X532" s="3" t="s">
        <v>2503</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2626</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2491</v>
      </c>
      <c r="C533" t="s">
        <v>2467</v>
      </c>
      <c r="D533" s="3">
        <f t="shared" si="48"/>
        <v>609</v>
      </c>
      <c r="G533" s="8" t="s">
        <v>1456</v>
      </c>
      <c r="H533" s="80">
        <v>3</v>
      </c>
      <c r="I533" t="s">
        <v>1443</v>
      </c>
      <c r="J533" t="s">
        <v>91</v>
      </c>
      <c r="K533">
        <v>469</v>
      </c>
      <c r="L533">
        <v>469</v>
      </c>
      <c r="M533">
        <v>469</v>
      </c>
      <c r="O533" s="58" t="s">
        <v>2473</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DLCs'!$A$3:$D$99999,4,FALSE))</f>
        <v>DLC_WAKING_FLAME</v>
      </c>
      <c r="U533" s="3" t="str">
        <f>IF(T533&lt;&gt;"",VLOOKUP(T533,'&lt;Constants&gt;'!$B$4:$C$1020,2,FALSE),"")</f>
        <v>Waking Flame</v>
      </c>
      <c r="V533" s="30" t="s">
        <v>1518</v>
      </c>
      <c r="W533" s="3" t="s">
        <v>2467</v>
      </c>
      <c r="X533" s="3" t="s">
        <v>2491</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c r="AD533" s="38"/>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2626</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2630</v>
      </c>
      <c r="C534" t="s">
        <v>2672</v>
      </c>
      <c r="D534" s="3">
        <f t="shared" si="48"/>
        <v>610</v>
      </c>
      <c r="G534" s="3" t="s">
        <v>1451</v>
      </c>
      <c r="I534" t="s">
        <v>91</v>
      </c>
      <c r="J534" t="s">
        <v>91</v>
      </c>
      <c r="K534">
        <v>478</v>
      </c>
      <c r="L534">
        <v>478</v>
      </c>
      <c r="M534">
        <v>478</v>
      </c>
      <c r="N534">
        <v>3</v>
      </c>
      <c r="O534" s="58" t="s">
        <v>2416</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DLCs'!$A$3:$D$99999,4,FALSE))</f>
        <v>DLC_DEADLANDS</v>
      </c>
      <c r="U534" s="3" t="str">
        <f>IF(T534&lt;&gt;"",VLOOKUP(T534,'&lt;Constants&gt;'!$B$4:$C$1020,2,FALSE),"")</f>
        <v>The Deadlands</v>
      </c>
      <c r="V534" s="30" t="s">
        <v>3256</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3256</v>
      </c>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3256</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2631</v>
      </c>
      <c r="C535" t="s">
        <v>2673</v>
      </c>
      <c r="D535" s="3">
        <f t="shared" si="48"/>
        <v>611</v>
      </c>
      <c r="G535" s="3" t="s">
        <v>1451</v>
      </c>
      <c r="I535" t="s">
        <v>91</v>
      </c>
      <c r="J535" t="s">
        <v>91</v>
      </c>
      <c r="K535" s="33">
        <v>494</v>
      </c>
      <c r="L535" s="33">
        <v>494</v>
      </c>
      <c r="M535" s="33">
        <v>494</v>
      </c>
      <c r="N535">
        <v>7</v>
      </c>
      <c r="O535" s="58" t="s">
        <v>2416</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DLCs'!$A$3:$D$99999,4,FALSE))</f>
        <v>DLC_DEADLANDS</v>
      </c>
      <c r="U535" s="3" t="str">
        <f>IF(T535&lt;&gt;"",VLOOKUP(T535,'&lt;Constants&gt;'!$B$4:$C$1020,2,FALSE),"")</f>
        <v>The Deadlands</v>
      </c>
      <c r="V535" s="30" t="s">
        <v>3256</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3256</v>
      </c>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3256</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2632</v>
      </c>
      <c r="C536" t="s">
        <v>2674</v>
      </c>
      <c r="D536" s="3">
        <f t="shared" si="48"/>
        <v>612</v>
      </c>
      <c r="G536" s="3" t="s">
        <v>1451</v>
      </c>
      <c r="I536" t="s">
        <v>91</v>
      </c>
      <c r="J536" t="s">
        <v>91</v>
      </c>
      <c r="K536" s="33">
        <v>489</v>
      </c>
      <c r="L536" s="33">
        <v>489</v>
      </c>
      <c r="M536" s="33">
        <v>489</v>
      </c>
      <c r="N536">
        <v>5</v>
      </c>
      <c r="O536" s="58" t="s">
        <v>2652</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DLCs'!$A$3:$D$99999,4,FALSE))</f>
        <v>DLC_DEADLANDS</v>
      </c>
      <c r="U536" s="3" t="str">
        <f>IF(T536&lt;&gt;"",VLOOKUP(T536,'&lt;Constants&gt;'!$B$4:$C$1020,2,FALSE),"")</f>
        <v>The Deadlands</v>
      </c>
      <c r="V536" s="30" t="s">
        <v>3256</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3256</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3256</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2633</v>
      </c>
      <c r="C537" t="s">
        <v>2680</v>
      </c>
      <c r="D537" s="3">
        <f t="shared" si="48"/>
        <v>613</v>
      </c>
      <c r="G537" s="3" t="s">
        <v>1457</v>
      </c>
      <c r="I537" t="s">
        <v>91</v>
      </c>
      <c r="J537" t="s">
        <v>91</v>
      </c>
      <c r="K537">
        <v>493</v>
      </c>
      <c r="L537">
        <v>493</v>
      </c>
      <c r="M537">
        <v>493</v>
      </c>
      <c r="O537" s="58" t="s">
        <v>2416</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DLCs'!$A$3:$D$99999,4,FALSE))</f>
        <v>DLC_DEADLANDS</v>
      </c>
      <c r="U537" s="3" t="str">
        <f>IF(T537&lt;&gt;"",VLOOKUP(T537,'&lt;Constants&gt;'!$B$4:$C$1020,2,FALSE),"")</f>
        <v>The Deadlands</v>
      </c>
      <c r="V537" s="30" t="s">
        <v>1534</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1535</v>
      </c>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1536</v>
      </c>
      <c r="AI537" s="38"/>
      <c r="AJ537" s="38"/>
      <c r="AK537" s="3">
        <f>IF(AND(G537&lt;&gt;"LIBSETS_SETTYPE_BATTLEGROUND",G537&lt;&gt;"LIBSETS_SETTYPE_SPECIAL"),IF(AL537&lt;&gt;"",VLOOKUP(AL537,'ESO zones'!$D$5:$H$4958,5,FALSE),""),"")</f>
        <v>1283</v>
      </c>
      <c r="AL537" t="s">
        <v>2652</v>
      </c>
      <c r="AM537" s="30" t="s">
        <v>1537</v>
      </c>
      <c r="AN537" s="38"/>
      <c r="AO537" s="38"/>
      <c r="AP537" s="3">
        <f>IF(AND(G537&lt;&gt;"LIBSETS_SETTYPE_BATTLEGROUND",G537&lt;&gt;"LIBSETS_SETTYPE_SPECIAL"),IF(AQ537&lt;&gt;"",VLOOKUP(AQ537,'ESO zones'!$D$5:$H$4958,5,FALSE),""),"")</f>
        <v>1283</v>
      </c>
      <c r="AQ537" t="s">
        <v>2652</v>
      </c>
      <c r="AR537" s="39" t="s">
        <v>3193</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2634</v>
      </c>
      <c r="C538" t="s">
        <v>2679</v>
      </c>
      <c r="D538" s="3">
        <f t="shared" si="48"/>
        <v>614</v>
      </c>
      <c r="G538" s="3" t="s">
        <v>1457</v>
      </c>
      <c r="I538" t="s">
        <v>91</v>
      </c>
      <c r="J538" t="s">
        <v>91</v>
      </c>
      <c r="K538">
        <v>493</v>
      </c>
      <c r="L538">
        <v>493</v>
      </c>
      <c r="M538">
        <v>493</v>
      </c>
      <c r="O538" s="58" t="s">
        <v>2416</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DLCs'!$A$3:$D$99999,4,FALSE))</f>
        <v>DLC_DEADLANDS</v>
      </c>
      <c r="U538" s="3" t="str">
        <f>IF(T538&lt;&gt;"",VLOOKUP(T538,'&lt;Constants&gt;'!$B$4:$C$1020,2,FALSE),"")</f>
        <v>The Deadlands</v>
      </c>
      <c r="V538" s="30" t="s">
        <v>1534</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1535</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1536</v>
      </c>
      <c r="AI538" s="38"/>
      <c r="AJ538" s="38"/>
      <c r="AK538" s="3">
        <f>IF(AND(G538&lt;&gt;"LIBSETS_SETTYPE_BATTLEGROUND",G538&lt;&gt;"LIBSETS_SETTYPE_SPECIAL"),IF(AL538&lt;&gt;"",VLOOKUP(AL538,'ESO zones'!$D$5:$H$4958,5,FALSE),""),"")</f>
        <v>1283</v>
      </c>
      <c r="AL538" t="s">
        <v>2652</v>
      </c>
      <c r="AM538" s="30" t="s">
        <v>1537</v>
      </c>
      <c r="AN538" s="38"/>
      <c r="AO538" s="38"/>
      <c r="AP538" s="3">
        <f>IF(AND(G538&lt;&gt;"LIBSETS_SETTYPE_BATTLEGROUND",G538&lt;&gt;"LIBSETS_SETTYPE_SPECIAL"),IF(AQ538&lt;&gt;"",VLOOKUP(AQ538,'ESO zones'!$D$5:$H$4958,5,FALSE),""),"")</f>
        <v>1283</v>
      </c>
      <c r="AQ538" t="s">
        <v>2652</v>
      </c>
      <c r="AR538" s="39" t="s">
        <v>3193</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2635</v>
      </c>
      <c r="C539" t="s">
        <v>2678</v>
      </c>
      <c r="D539" s="3">
        <f t="shared" si="48"/>
        <v>615</v>
      </c>
      <c r="G539" s="3" t="s">
        <v>1457</v>
      </c>
      <c r="I539" t="s">
        <v>91</v>
      </c>
      <c r="J539" t="s">
        <v>91</v>
      </c>
      <c r="K539">
        <v>493</v>
      </c>
      <c r="L539">
        <v>493</v>
      </c>
      <c r="M539">
        <v>493</v>
      </c>
      <c r="O539" s="58" t="s">
        <v>2416</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DLCs'!$A$3:$D$99999,4,FALSE))</f>
        <v>DLC_DEADLANDS</v>
      </c>
      <c r="U539" s="3" t="str">
        <f>IF(T539&lt;&gt;"",VLOOKUP(T539,'&lt;Constants&gt;'!$B$4:$C$1020,2,FALSE),"")</f>
        <v>The Deadlands</v>
      </c>
      <c r="V539" s="30" t="s">
        <v>1534</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1535</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1536</v>
      </c>
      <c r="AI539" s="38"/>
      <c r="AJ539" s="38"/>
      <c r="AK539" s="3">
        <f>IF(AND(G539&lt;&gt;"LIBSETS_SETTYPE_BATTLEGROUND",G539&lt;&gt;"LIBSETS_SETTYPE_SPECIAL"),IF(AL539&lt;&gt;"",VLOOKUP(AL539,'ESO zones'!$D$5:$H$4958,5,FALSE),""),"")</f>
        <v>1283</v>
      </c>
      <c r="AL539" t="s">
        <v>2652</v>
      </c>
      <c r="AM539" s="30" t="s">
        <v>1537</v>
      </c>
      <c r="AN539" s="38"/>
      <c r="AO539" s="38"/>
      <c r="AP539" s="3">
        <f>IF(AND(G539&lt;&gt;"LIBSETS_SETTYPE_BATTLEGROUND",G539&lt;&gt;"LIBSETS_SETTYPE_SPECIAL"),IF(AQ539&lt;&gt;"",VLOOKUP(AQ539,'ESO zones'!$D$5:$H$4958,5,FALSE),""),"")</f>
        <v>1283</v>
      </c>
      <c r="AQ539" t="s">
        <v>2652</v>
      </c>
      <c r="AR539" s="39" t="s">
        <v>3193</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2495</v>
      </c>
      <c r="C540" t="s">
        <v>2486</v>
      </c>
      <c r="D540" s="3">
        <f t="shared" si="48"/>
        <v>616</v>
      </c>
      <c r="E540" s="37"/>
      <c r="G540" s="3" t="s">
        <v>1452</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DLCs'!$A$3:$D$99999,4,FALSE))</f>
        <v>DLC_BASE_GAME</v>
      </c>
      <c r="U540" s="3" t="str">
        <f>IF(T540&lt;&gt;"",VLOOKUP(T540,'&lt;Constants&gt;'!$B$4:$C$1020,2,FALSE),"")</f>
        <v>Included in base game</v>
      </c>
      <c r="V540" s="30" t="s">
        <v>1515</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3681</v>
      </c>
      <c r="AC540" s="38"/>
      <c r="AD540" s="38"/>
      <c r="AE540" s="125">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2736</v>
      </c>
      <c r="AK540" s="3">
        <f>IF(AND(G540&lt;&gt;"LIBSETS_SETTYPE_BATTLEGROUND",G540&lt;&gt;"LIBSETS_SETTYPE_SPECIAL"),IF(AL540&lt;&gt;"",VLOOKUP(AL540,'ESO zones'!$D$5:$H$4958,5,FALSE),""),"")</f>
        <v>181</v>
      </c>
      <c r="AL540" t="s">
        <v>124</v>
      </c>
      <c r="AM540" s="30" t="s">
        <v>3684</v>
      </c>
      <c r="AP540" s="3">
        <f>IF(AND(G540&lt;&gt;"LIBSETS_SETTYPE_BATTLEGROUND",G540&lt;&gt;"LIBSETS_SETTYPE_SPECIAL"),IF(AQ540&lt;&gt;"",VLOOKUP(AQ540,'ESO zones'!$D$5:$H$4958,5,FALSE),""),"")</f>
        <v>181</v>
      </c>
      <c r="AQ540" t="s">
        <v>124</v>
      </c>
      <c r="AR540" s="30" t="s">
        <v>1534</v>
      </c>
      <c r="AU540" s="3">
        <f>IF(AND(G540&lt;&gt;"LIBSETS_SETTYPE_BATTLEGROUND",G540&lt;&gt;"LIBSETS_SETTYPE_SPECIAL"),IF(AV540&lt;&gt;"",VLOOKUP(AV540,'ESO zones'!$D$5:$H$4958,5,FALSE),""),"")</f>
        <v>181</v>
      </c>
      <c r="AV540" t="s">
        <v>124</v>
      </c>
      <c r="AW540" s="30" t="s">
        <v>3205</v>
      </c>
      <c r="AZ540" s="77" t="s">
        <v>2626</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2496</v>
      </c>
      <c r="C541" t="s">
        <v>2487</v>
      </c>
      <c r="D541" s="3">
        <f t="shared" si="48"/>
        <v>617</v>
      </c>
      <c r="G541" s="3" t="s">
        <v>1452</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DLCs'!$A$3:$D$99999,4,FALSE))</f>
        <v>DLC_BASE_GAME</v>
      </c>
      <c r="U541" s="3" t="str">
        <f>IF(T541&lt;&gt;"",VLOOKUP(T541,'&lt;Constants&gt;'!$B$4:$C$1020,2,FALSE),"")</f>
        <v>Included in base game</v>
      </c>
      <c r="V541" s="30" t="s">
        <v>1515</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3681</v>
      </c>
      <c r="AC541" s="38"/>
      <c r="AD541" s="38"/>
      <c r="AE541" s="125">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2736</v>
      </c>
      <c r="AK541" s="3">
        <f>IF(AND(G541&lt;&gt;"LIBSETS_SETTYPE_BATTLEGROUND",G541&lt;&gt;"LIBSETS_SETTYPE_SPECIAL"),IF(AL541&lt;&gt;"",VLOOKUP(AL541,'ESO zones'!$D$5:$H$4958,5,FALSE),""),"")</f>
        <v>181</v>
      </c>
      <c r="AL541" t="s">
        <v>124</v>
      </c>
      <c r="AM541" s="30" t="s">
        <v>3684</v>
      </c>
      <c r="AP541" s="3">
        <f>IF(AND(G541&lt;&gt;"LIBSETS_SETTYPE_BATTLEGROUND",G541&lt;&gt;"LIBSETS_SETTYPE_SPECIAL"),IF(AQ541&lt;&gt;"",VLOOKUP(AQ541,'ESO zones'!$D$5:$H$4958,5,FALSE),""),"")</f>
        <v>181</v>
      </c>
      <c r="AQ541" t="s">
        <v>124</v>
      </c>
      <c r="AR541" s="30" t="s">
        <v>1534</v>
      </c>
      <c r="AU541" s="3">
        <f>IF(AND(G541&lt;&gt;"LIBSETS_SETTYPE_BATTLEGROUND",G541&lt;&gt;"LIBSETS_SETTYPE_SPECIAL"),IF(AV541&lt;&gt;"",VLOOKUP(AV541,'ESO zones'!$D$5:$H$4958,5,FALSE),""),"")</f>
        <v>181</v>
      </c>
      <c r="AV541" t="s">
        <v>124</v>
      </c>
      <c r="AW541" s="30" t="s">
        <v>3205</v>
      </c>
      <c r="AZ541" s="77" t="s">
        <v>2626</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2497</v>
      </c>
      <c r="C542" t="s">
        <v>2625</v>
      </c>
      <c r="D542" s="3">
        <f t="shared" si="48"/>
        <v>618</v>
      </c>
      <c r="G542" s="3" t="s">
        <v>1452</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DLCs'!$A$3:$D$99999,4,FALSE))</f>
        <v>DLC_BASE_GAME</v>
      </c>
      <c r="U542" s="3" t="str">
        <f>IF(T542&lt;&gt;"",VLOOKUP(T542,'&lt;Constants&gt;'!$B$4:$C$1020,2,FALSE),"")</f>
        <v>Included in base game</v>
      </c>
      <c r="V542" s="30" t="s">
        <v>1515</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3681</v>
      </c>
      <c r="AC542" s="38"/>
      <c r="AD542" s="38"/>
      <c r="AE542" s="125">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2736</v>
      </c>
      <c r="AK542" s="3">
        <f>IF(AND(G542&lt;&gt;"LIBSETS_SETTYPE_BATTLEGROUND",G542&lt;&gt;"LIBSETS_SETTYPE_SPECIAL"),IF(AL542&lt;&gt;"",VLOOKUP(AL542,'ESO zones'!$D$5:$H$4958,5,FALSE),""),"")</f>
        <v>181</v>
      </c>
      <c r="AL542" t="s">
        <v>124</v>
      </c>
      <c r="AM542" s="30" t="s">
        <v>3684</v>
      </c>
      <c r="AP542" s="3">
        <f>IF(AND(G542&lt;&gt;"LIBSETS_SETTYPE_BATTLEGROUND",G542&lt;&gt;"LIBSETS_SETTYPE_SPECIAL"),IF(AQ542&lt;&gt;"",VLOOKUP(AQ542,'ESO zones'!$D$5:$H$4958,5,FALSE),""),"")</f>
        <v>181</v>
      </c>
      <c r="AQ542" t="s">
        <v>124</v>
      </c>
      <c r="AR542" s="30" t="s">
        <v>1534</v>
      </c>
      <c r="AU542" s="3">
        <f>IF(AND(G542&lt;&gt;"LIBSETS_SETTYPE_BATTLEGROUND",G542&lt;&gt;"LIBSETS_SETTYPE_SPECIAL"),IF(AV542&lt;&gt;"",VLOOKUP(AV542,'ESO zones'!$D$5:$H$4958,5,FALSE),""),"")</f>
        <v>181</v>
      </c>
      <c r="AV542" t="s">
        <v>124</v>
      </c>
      <c r="AW542" s="30" t="s">
        <v>3205</v>
      </c>
      <c r="AZ542" s="77" t="s">
        <v>2626</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2715</v>
      </c>
      <c r="C543" t="s">
        <v>2714</v>
      </c>
      <c r="D543" s="3">
        <f t="shared" si="48"/>
        <v>619</v>
      </c>
      <c r="G543" s="8" t="s">
        <v>1454</v>
      </c>
      <c r="I543" t="s">
        <v>91</v>
      </c>
      <c r="J543" t="s">
        <v>91</v>
      </c>
      <c r="K543">
        <v>497</v>
      </c>
      <c r="L543">
        <v>497</v>
      </c>
      <c r="M543">
        <v>497</v>
      </c>
      <c r="O543" s="58" t="s">
        <v>2685</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DLCs'!$A$3:$D$99999,4,FALSE))</f>
        <v>DLC_ASCENDING_TIDE</v>
      </c>
      <c r="U543" s="3" t="str">
        <f>IF(T543&lt;&gt;"",VLOOKUP(T543,'&lt;Constants&gt;'!$B$4:$C$1020,2,FALSE),"")</f>
        <v>Ascending Tide</v>
      </c>
      <c r="V543" s="83" t="s">
        <v>3253</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2713</v>
      </c>
      <c r="C544" t="s">
        <v>2703</v>
      </c>
      <c r="D544" s="3">
        <f t="shared" si="48"/>
        <v>620</v>
      </c>
      <c r="G544" s="8" t="s">
        <v>1454</v>
      </c>
      <c r="I544" t="s">
        <v>91</v>
      </c>
      <c r="J544" t="s">
        <v>91</v>
      </c>
      <c r="K544">
        <v>497</v>
      </c>
      <c r="L544">
        <v>497</v>
      </c>
      <c r="M544">
        <v>497</v>
      </c>
      <c r="O544" s="58" t="s">
        <v>2685</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DLCs'!$A$3:$D$99999,4,FALSE))</f>
        <v>DLC_ASCENDING_TIDE</v>
      </c>
      <c r="U544" s="3" t="str">
        <f>IF(T544&lt;&gt;"",VLOOKUP(T544,'&lt;Constants&gt;'!$B$4:$C$1020,2,FALSE),"")</f>
        <v>Ascending Tide</v>
      </c>
      <c r="V544" s="83" t="s">
        <v>3253</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2712</v>
      </c>
      <c r="C545" t="s">
        <v>2686</v>
      </c>
      <c r="D545" s="3">
        <f t="shared" si="48"/>
        <v>621</v>
      </c>
      <c r="G545" s="8" t="s">
        <v>1454</v>
      </c>
      <c r="I545" t="s">
        <v>91</v>
      </c>
      <c r="J545" t="s">
        <v>91</v>
      </c>
      <c r="K545">
        <v>497</v>
      </c>
      <c r="L545">
        <v>497</v>
      </c>
      <c r="M545">
        <v>497</v>
      </c>
      <c r="O545" s="58" t="s">
        <v>2685</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DLCs'!$A$3:$D$99999,4,FALSE))</f>
        <v>DLC_ASCENDING_TIDE</v>
      </c>
      <c r="U545" s="3" t="str">
        <f>IF(T545&lt;&gt;"",VLOOKUP(T545,'&lt;Constants&gt;'!$B$4:$C$1020,2,FALSE),"")</f>
        <v>Ascending Tide</v>
      </c>
      <c r="V545" s="83" t="s">
        <v>3253</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2711</v>
      </c>
      <c r="C546" t="s">
        <v>2688</v>
      </c>
      <c r="D546" s="3">
        <f t="shared" si="48"/>
        <v>622</v>
      </c>
      <c r="G546" s="8" t="s">
        <v>1454</v>
      </c>
      <c r="I546" t="s">
        <v>91</v>
      </c>
      <c r="J546" t="s">
        <v>91</v>
      </c>
      <c r="K546">
        <v>498</v>
      </c>
      <c r="L546">
        <v>498</v>
      </c>
      <c r="M546">
        <v>498</v>
      </c>
      <c r="O546" s="58" t="s">
        <v>2696</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DLCs'!$A$3:$D$99999,4,FALSE))</f>
        <v>DLC_ASCENDING_TIDE</v>
      </c>
      <c r="U546" s="3" t="str">
        <f>IF(T546&lt;&gt;"",VLOOKUP(T546,'&lt;Constants&gt;'!$B$4:$C$1020,2,FALSE),"")</f>
        <v>Ascending Tide</v>
      </c>
      <c r="V546" s="83" t="s">
        <v>3253</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2710</v>
      </c>
      <c r="C547" t="s">
        <v>3874</v>
      </c>
      <c r="D547" s="3">
        <f t="shared" si="48"/>
        <v>623</v>
      </c>
      <c r="G547" s="8" t="s">
        <v>1454</v>
      </c>
      <c r="I547" t="s">
        <v>91</v>
      </c>
      <c r="J547" t="s">
        <v>91</v>
      </c>
      <c r="K547">
        <v>498</v>
      </c>
      <c r="L547">
        <v>498</v>
      </c>
      <c r="M547">
        <v>498</v>
      </c>
      <c r="O547" s="58" t="s">
        <v>2696</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DLCs'!$A$3:$D$99999,4,FALSE))</f>
        <v>DLC_ASCENDING_TIDE</v>
      </c>
      <c r="U547" s="3" t="str">
        <f>IF(T547&lt;&gt;"",VLOOKUP(T547,'&lt;Constants&gt;'!$B$4:$C$1020,2,FALSE),"")</f>
        <v>Ascending Tide</v>
      </c>
      <c r="V547" s="83" t="s">
        <v>3253</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2708</v>
      </c>
      <c r="C548" t="s">
        <v>2709</v>
      </c>
      <c r="D548" s="3">
        <f t="shared" si="48"/>
        <v>624</v>
      </c>
      <c r="G548" s="8" t="s">
        <v>1454</v>
      </c>
      <c r="I548" t="s">
        <v>91</v>
      </c>
      <c r="J548" t="s">
        <v>91</v>
      </c>
      <c r="K548">
        <v>498</v>
      </c>
      <c r="L548">
        <v>498</v>
      </c>
      <c r="M548">
        <v>498</v>
      </c>
      <c r="O548" s="58" t="s">
        <v>2696</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DLCs'!$A$3:$D$99999,4,FALSE))</f>
        <v>DLC_ASCENDING_TIDE</v>
      </c>
      <c r="U548" s="3" t="str">
        <f>IF(T548&lt;&gt;"",VLOOKUP(T548,'&lt;Constants&gt;'!$B$4:$C$1020,2,FALSE),"")</f>
        <v>Ascending Tide</v>
      </c>
      <c r="V548" s="83" t="s">
        <v>3253</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2636</v>
      </c>
      <c r="C549" t="s">
        <v>2676</v>
      </c>
      <c r="D549" s="3">
        <f t="shared" si="48"/>
        <v>625</v>
      </c>
      <c r="G549" s="3" t="s">
        <v>1654</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DLCs'!$A$3:$D$99999,4,FALSE))</f>
        <v>DLC_DEADLANDS</v>
      </c>
      <c r="U549" s="3" t="str">
        <f>IF(T549&lt;&gt;"",VLOOKUP(T549,'&lt;Constants&gt;'!$B$4:$C$1020,2,FALSE),"")</f>
        <v>The Deadlands</v>
      </c>
      <c r="V549" s="30" t="s">
        <v>1537</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3237</v>
      </c>
      <c r="AC549" s="38" t="s">
        <v>3198</v>
      </c>
      <c r="AD549" s="38" t="s">
        <v>3199</v>
      </c>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1535</v>
      </c>
      <c r="AI549" s="38" t="s">
        <v>3201</v>
      </c>
      <c r="AJ549" s="38" t="s">
        <v>3261</v>
      </c>
      <c r="AK549" s="3">
        <f>IF(AND(G549&lt;&gt;"LIBSETS_SETTYPE_BATTLEGROUND",G549&lt;&gt;"LIBSETS_SETTYPE_SPECIAL"),IF(AL549&lt;&gt;"",VLOOKUP(AL549,'ESO zones'!$D$5:$H$4958,5,FALSE),""),"")</f>
        <v>380</v>
      </c>
      <c r="AL549" t="s">
        <v>95</v>
      </c>
      <c r="AM549" s="30" t="s">
        <v>3237</v>
      </c>
      <c r="AN549" s="38" t="s">
        <v>3200</v>
      </c>
      <c r="AO549" s="38" t="s">
        <v>3177</v>
      </c>
      <c r="AP549" s="3">
        <f>IF(AND(G549&lt;&gt;"LIBSETS_SETTYPE_BATTLEGROUND",G549&lt;&gt;"LIBSETS_SETTYPE_SPECIAL"),IF(AQ549&lt;&gt;"",VLOOKUP(AQ549,'ESO zones'!$D$5:$H$4958,5,FALSE),""),"")</f>
        <v>935</v>
      </c>
      <c r="AQ549" t="s">
        <v>96</v>
      </c>
      <c r="AR549" s="30" t="s">
        <v>3237</v>
      </c>
      <c r="AS549" s="38" t="s">
        <v>3200</v>
      </c>
      <c r="AT549" s="38" t="s">
        <v>3177</v>
      </c>
      <c r="AU549" s="3">
        <f>IF(AND(G549&lt;&gt;"LIBSETS_SETTYPE_BATTLEGROUND",G549&lt;&gt;"LIBSETS_SETTYPE_SPECIAL"),IF(AV549&lt;&gt;"",VLOOKUP(AV549,'ESO zones'!$D$5:$H$4958,5,FALSE),""),"")</f>
        <v>1282</v>
      </c>
      <c r="AV549" t="s">
        <v>2651</v>
      </c>
      <c r="AW549" s="30" t="s">
        <v>3182</v>
      </c>
      <c r="AX549" s="38"/>
      <c r="AY549" s="38"/>
      <c r="AZ549" s="79"/>
      <c r="BA549" s="33" t="s">
        <v>3148</v>
      </c>
      <c r="BB549" s="33" t="s">
        <v>3148</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2637</v>
      </c>
      <c r="C550" t="s">
        <v>2675</v>
      </c>
      <c r="D550" s="3">
        <f t="shared" si="48"/>
        <v>626</v>
      </c>
      <c r="E550" s="37"/>
      <c r="G550" s="3" t="s">
        <v>1654</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DLCs'!$A$3:$D$99999,4,FALSE))</f>
        <v>DLC_DEADLANDS</v>
      </c>
      <c r="U550" s="3" t="str">
        <f>IF(T550&lt;&gt;"",VLOOKUP(T550,'&lt;Constants&gt;'!$B$4:$C$1020,2,FALSE),"")</f>
        <v>The Deadlands</v>
      </c>
      <c r="V550" s="30" t="s">
        <v>3182</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1535</v>
      </c>
      <c r="AC550" s="38" t="s">
        <v>3803</v>
      </c>
      <c r="AD550" s="38" t="s">
        <v>3802</v>
      </c>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1537</v>
      </c>
      <c r="AI550" s="38"/>
      <c r="AJ550" s="38"/>
      <c r="AK550" s="3">
        <f>IF(AND(G550&lt;&gt;"LIBSETS_SETTYPE_BATTLEGROUND",G550&lt;&gt;"LIBSETS_SETTYPE_SPECIAL"),IF(AL550&lt;&gt;"",VLOOKUP(AL550,'ESO zones'!$D$5:$H$4958,5,FALSE),""),"")</f>
        <v>1228</v>
      </c>
      <c r="AL550" t="s">
        <v>2366</v>
      </c>
      <c r="AM550" s="30" t="s">
        <v>3237</v>
      </c>
      <c r="AN550" s="38" t="s">
        <v>3200</v>
      </c>
      <c r="AO550" s="38" t="s">
        <v>3177</v>
      </c>
      <c r="AP550" s="3">
        <f>IF(AND(G550&lt;&gt;"LIBSETS_SETTYPE_BATTLEGROUND",G550&lt;&gt;"LIBSETS_SETTYPE_SPECIAL"),IF(AQ550&lt;&gt;"",VLOOKUP(AQ550,'ESO zones'!$D$5:$H$4958,5,FALSE),""),"")</f>
        <v>974</v>
      </c>
      <c r="AQ550" t="s">
        <v>44</v>
      </c>
      <c r="AR550" s="30" t="s">
        <v>3179</v>
      </c>
      <c r="AS550" s="38"/>
      <c r="AT550" s="38"/>
      <c r="AU550" s="3" t="str">
        <f>IF(AND(G550&lt;&gt;"LIBSETS_SETTYPE_BATTLEGROUND",G550&lt;&gt;"LIBSETS_SETTYPE_SPECIAL"),IF(AV550&lt;&gt;"",VLOOKUP(AV550,'ESO zones'!$D$5:$H$4958,5,FALSE),""),"")</f>
        <v/>
      </c>
      <c r="AV550" s="36"/>
      <c r="AX550" s="38"/>
      <c r="AY550" s="38"/>
      <c r="AZ550" s="79"/>
      <c r="BA550" s="33" t="s">
        <v>3142</v>
      </c>
      <c r="BB550" s="33" t="s">
        <v>3142</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2681</v>
      </c>
      <c r="C551" t="s">
        <v>2677</v>
      </c>
      <c r="D551" s="3">
        <f t="shared" si="48"/>
        <v>627</v>
      </c>
      <c r="G551" s="3" t="s">
        <v>1654</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DLCs'!$A$3:$D$99999,4,FALSE))</f>
        <v>DLC_DEADLANDS</v>
      </c>
      <c r="U551" s="3" t="str">
        <f>IF(T551&lt;&gt;"",VLOOKUP(T551,'&lt;Constants&gt;'!$B$4:$C$1020,2,FALSE),"")</f>
        <v>The Deadlands</v>
      </c>
      <c r="V551" s="30" t="s">
        <v>1535</v>
      </c>
      <c r="W551" s="3" t="s">
        <v>3243</v>
      </c>
      <c r="X551" s="3" t="s">
        <v>3243</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3193</v>
      </c>
      <c r="AC551" s="38" t="s">
        <v>3202</v>
      </c>
      <c r="AD551" s="38" t="s">
        <v>3203</v>
      </c>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1535</v>
      </c>
      <c r="AI551" s="38" t="s">
        <v>3209</v>
      </c>
      <c r="AJ551" s="38" t="s">
        <v>3260</v>
      </c>
      <c r="AK551" s="3">
        <f>IF(AND(G551&lt;&gt;"LIBSETS_SETTYPE_BATTLEGROUND",G551&lt;&gt;"LIBSETS_SETTYPE_SPECIAL"),IF(AL551&lt;&gt;"",VLOOKUP(AL551,'ESO zones'!$D$5:$H$4958,5,FALSE),""),"")</f>
        <v>0</v>
      </c>
      <c r="AL551" t="s">
        <v>2202</v>
      </c>
      <c r="AM551" s="30" t="s">
        <v>3237</v>
      </c>
      <c r="AN551" s="38" t="s">
        <v>3210</v>
      </c>
      <c r="AO551" s="38" t="s">
        <v>3211</v>
      </c>
      <c r="AP551" s="3">
        <f>IF(AND(G551&lt;&gt;"LIBSETS_SETTYPE_BATTLEGROUND",G551&lt;&gt;"LIBSETS_SETTYPE_SPECIAL"),IF(AQ551&lt;&gt;"",VLOOKUP(AQ551,'ESO zones'!$D$5:$H$4958,5,FALSE),""),"")</f>
        <v>0</v>
      </c>
      <c r="AQ551" t="s">
        <v>2202</v>
      </c>
      <c r="AR551" s="30" t="s">
        <v>3237</v>
      </c>
      <c r="AS551" s="38" t="s">
        <v>3212</v>
      </c>
      <c r="AT551" s="38" t="s">
        <v>3212</v>
      </c>
      <c r="AU551" s="3" t="str">
        <f>IF(AND(G551&lt;&gt;"LIBSETS_SETTYPE_BATTLEGROUND",G551&lt;&gt;"LIBSETS_SETTYPE_SPECIAL"),IF(AV551&lt;&gt;"",VLOOKUP(AV551,'ESO zones'!$D$5:$H$4958,5,FALSE),""),"")</f>
        <v/>
      </c>
      <c r="AX551" s="38"/>
      <c r="AY551" s="38"/>
      <c r="AZ551" s="79"/>
      <c r="BA551" s="33" t="s">
        <v>3242</v>
      </c>
      <c r="BB551" s="33" t="s">
        <v>3242</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2704</v>
      </c>
      <c r="C552" t="s">
        <v>2690</v>
      </c>
      <c r="D552" s="3">
        <f t="shared" si="48"/>
        <v>629</v>
      </c>
      <c r="G552" s="8" t="s">
        <v>1452</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DLCs'!$A$3:$D$99999,4,FALSE))</f>
        <v>DLC_BASE_GAME</v>
      </c>
      <c r="U552" s="3" t="str">
        <f>IF(T552&lt;&gt;"",VLOOKUP(T552,'&lt;Constants&gt;'!$B$4:$C$1020,2,FALSE),"")</f>
        <v>Included in base game</v>
      </c>
      <c r="V552" s="30" t="s">
        <v>1515</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3681</v>
      </c>
      <c r="AC552" s="38"/>
      <c r="AD552" s="38"/>
      <c r="AE552" s="125">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2736</v>
      </c>
      <c r="AK552" s="3">
        <f>IF(AND(G552&lt;&gt;"LIBSETS_SETTYPE_BATTLEGROUND",G552&lt;&gt;"LIBSETS_SETTYPE_SPECIAL"),IF(AL552&lt;&gt;"",VLOOKUP(AL552,'ESO zones'!$D$5:$H$4958,5,FALSE),""),"")</f>
        <v>181</v>
      </c>
      <c r="AL552" t="s">
        <v>124</v>
      </c>
      <c r="AM552" s="30" t="s">
        <v>3684</v>
      </c>
      <c r="AP552" s="3">
        <f>IF(AND(G552&lt;&gt;"LIBSETS_SETTYPE_BATTLEGROUND",G552&lt;&gt;"LIBSETS_SETTYPE_SPECIAL"),IF(AQ552&lt;&gt;"",VLOOKUP(AQ552,'ESO zones'!$D$5:$H$4958,5,FALSE),""),"")</f>
        <v>181</v>
      </c>
      <c r="AQ552" t="s">
        <v>124</v>
      </c>
      <c r="AR552" s="30" t="s">
        <v>1534</v>
      </c>
      <c r="AU552" s="3">
        <f>IF(AND(G552&lt;&gt;"LIBSETS_SETTYPE_BATTLEGROUND",G552&lt;&gt;"LIBSETS_SETTYPE_SPECIAL"),IF(AV552&lt;&gt;"",VLOOKUP(AV552,'ESO zones'!$D$5:$H$4958,5,FALSE),""),"")</f>
        <v>181</v>
      </c>
      <c r="AV552" t="s">
        <v>124</v>
      </c>
      <c r="AW552" s="30" t="s">
        <v>3205</v>
      </c>
      <c r="AZ552" s="72" t="s">
        <v>2626</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2705</v>
      </c>
      <c r="C553" t="s">
        <v>2691</v>
      </c>
      <c r="D553" s="3">
        <f t="shared" si="48"/>
        <v>630</v>
      </c>
      <c r="G553" s="8" t="s">
        <v>1452</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DLCs'!$A$3:$D$99999,4,FALSE))</f>
        <v>DLC_BASE_GAME</v>
      </c>
      <c r="U553" s="3" t="str">
        <f>IF(T553&lt;&gt;"",VLOOKUP(T553,'&lt;Constants&gt;'!$B$4:$C$1020,2,FALSE),"")</f>
        <v>Included in base game</v>
      </c>
      <c r="V553" s="30" t="s">
        <v>1515</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3681</v>
      </c>
      <c r="AC553" s="38"/>
      <c r="AD553" s="38"/>
      <c r="AE553" s="125">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2736</v>
      </c>
      <c r="AK553" s="3">
        <f>IF(AND(G553&lt;&gt;"LIBSETS_SETTYPE_BATTLEGROUND",G553&lt;&gt;"LIBSETS_SETTYPE_SPECIAL"),IF(AL553&lt;&gt;"",VLOOKUP(AL553,'ESO zones'!$D$5:$H$4958,5,FALSE),""),"")</f>
        <v>181</v>
      </c>
      <c r="AL553" t="s">
        <v>124</v>
      </c>
      <c r="AM553" s="30" t="s">
        <v>3684</v>
      </c>
      <c r="AP553" s="3">
        <f>IF(AND(G553&lt;&gt;"LIBSETS_SETTYPE_BATTLEGROUND",G553&lt;&gt;"LIBSETS_SETTYPE_SPECIAL"),IF(AQ553&lt;&gt;"",VLOOKUP(AQ553,'ESO zones'!$D$5:$H$4958,5,FALSE),""),"")</f>
        <v>181</v>
      </c>
      <c r="AQ553" t="s">
        <v>124</v>
      </c>
      <c r="AR553" s="30" t="s">
        <v>1534</v>
      </c>
      <c r="AU553" s="3">
        <f>IF(AND(G553&lt;&gt;"LIBSETS_SETTYPE_BATTLEGROUND",G553&lt;&gt;"LIBSETS_SETTYPE_SPECIAL"),IF(AV553&lt;&gt;"",VLOOKUP(AV553,'ESO zones'!$D$5:$H$4958,5,FALSE),""),"")</f>
        <v>181</v>
      </c>
      <c r="AV553" t="s">
        <v>124</v>
      </c>
      <c r="AW553" s="30" t="s">
        <v>3205</v>
      </c>
      <c r="AZ553" s="72" t="s">
        <v>2626</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2706</v>
      </c>
      <c r="C554" t="s">
        <v>2692</v>
      </c>
      <c r="D554" s="3">
        <f t="shared" si="48"/>
        <v>631</v>
      </c>
      <c r="G554" s="8" t="s">
        <v>1452</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DLCs'!$A$3:$D$99999,4,FALSE))</f>
        <v>DLC_BASE_GAME</v>
      </c>
      <c r="U554" s="3" t="str">
        <f>IF(T554&lt;&gt;"",VLOOKUP(T554,'&lt;Constants&gt;'!$B$4:$C$1020,2,FALSE),"")</f>
        <v>Included in base game</v>
      </c>
      <c r="V554" s="30" t="s">
        <v>1515</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3681</v>
      </c>
      <c r="AC554" s="38"/>
      <c r="AD554" s="38"/>
      <c r="AE554" s="125">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2736</v>
      </c>
      <c r="AK554" s="3">
        <f>IF(AND(G554&lt;&gt;"LIBSETS_SETTYPE_BATTLEGROUND",G554&lt;&gt;"LIBSETS_SETTYPE_SPECIAL"),IF(AL554&lt;&gt;"",VLOOKUP(AL554,'ESO zones'!$D$5:$H$4958,5,FALSE),""),"")</f>
        <v>181</v>
      </c>
      <c r="AL554" t="s">
        <v>124</v>
      </c>
      <c r="AM554" s="30" t="s">
        <v>3684</v>
      </c>
      <c r="AP554" s="3">
        <f>IF(AND(G554&lt;&gt;"LIBSETS_SETTYPE_BATTLEGROUND",G554&lt;&gt;"LIBSETS_SETTYPE_SPECIAL"),IF(AQ554&lt;&gt;"",VLOOKUP(AQ554,'ESO zones'!$D$5:$H$4958,5,FALSE),""),"")</f>
        <v>181</v>
      </c>
      <c r="AQ554" t="s">
        <v>124</v>
      </c>
      <c r="AR554" s="30" t="s">
        <v>1534</v>
      </c>
      <c r="AU554" s="3">
        <f>IF(AND(G554&lt;&gt;"LIBSETS_SETTYPE_BATTLEGROUND",G554&lt;&gt;"LIBSETS_SETTYPE_SPECIAL"),IF(AV554&lt;&gt;"",VLOOKUP(AV554,'ESO zones'!$D$5:$H$4958,5,FALSE),""),"")</f>
        <v>181</v>
      </c>
      <c r="AV554" t="s">
        <v>124</v>
      </c>
      <c r="AW554" s="30" t="s">
        <v>3205</v>
      </c>
      <c r="AZ554" s="72" t="s">
        <v>2626</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2687</v>
      </c>
      <c r="C555" t="s">
        <v>2687</v>
      </c>
      <c r="D555" s="3">
        <f t="shared" si="48"/>
        <v>632</v>
      </c>
      <c r="G555" s="8" t="s">
        <v>1456</v>
      </c>
      <c r="H555" s="80">
        <v>3</v>
      </c>
      <c r="I555" t="s">
        <v>1443</v>
      </c>
      <c r="J555" t="s">
        <v>91</v>
      </c>
      <c r="K555">
        <v>497</v>
      </c>
      <c r="L555">
        <v>497</v>
      </c>
      <c r="M555">
        <v>497</v>
      </c>
      <c r="O555" s="58" t="s">
        <v>2685</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DLCs'!$A$3:$D$99999,4,FALSE))</f>
        <v>DLC_ASCENDING_TIDE</v>
      </c>
      <c r="U555" s="3" t="str">
        <f>IF(T555&lt;&gt;"",VLOOKUP(T555,'&lt;Constants&gt;'!$B$4:$C$1020,2,FALSE),"")</f>
        <v>Ascending Tide</v>
      </c>
      <c r="V555" s="30" t="s">
        <v>1518</v>
      </c>
      <c r="W555" s="3" t="s">
        <v>2727</v>
      </c>
      <c r="X555" s="3" t="s">
        <v>2727</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6"/>
      <c r="AD555" s="36"/>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2689</v>
      </c>
      <c r="C556" t="s">
        <v>2689</v>
      </c>
      <c r="D556" s="3">
        <f t="shared" si="48"/>
        <v>633</v>
      </c>
      <c r="G556" s="8" t="s">
        <v>1456</v>
      </c>
      <c r="H556" s="80">
        <v>3</v>
      </c>
      <c r="I556" t="s">
        <v>1443</v>
      </c>
      <c r="J556" t="s">
        <v>91</v>
      </c>
      <c r="K556">
        <v>498</v>
      </c>
      <c r="L556">
        <v>498</v>
      </c>
      <c r="M556">
        <v>498</v>
      </c>
      <c r="O556" s="58" t="s">
        <v>2696</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DLCs'!$A$3:$D$99999,4,FALSE))</f>
        <v>DLC_ASCENDING_TIDE</v>
      </c>
      <c r="U556" s="3" t="str">
        <f>IF(T556&lt;&gt;"",VLOOKUP(T556,'&lt;Constants&gt;'!$B$4:$C$1020,2,FALSE),"")</f>
        <v>Ascending Tide</v>
      </c>
      <c r="V556" s="30" t="s">
        <v>1518</v>
      </c>
      <c r="W556" s="3" t="s">
        <v>2689</v>
      </c>
      <c r="X556" s="3" t="s">
        <v>2689</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6"/>
      <c r="AD556" s="36"/>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2693</v>
      </c>
      <c r="C557" t="s">
        <v>2693</v>
      </c>
      <c r="D557" s="3">
        <f t="shared" si="48"/>
        <v>634</v>
      </c>
      <c r="F557" t="s">
        <v>2729</v>
      </c>
      <c r="G557" s="8" t="s">
        <v>2728</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DLCs'!$A$3:$D$99999,4,FALSE))</f>
        <v>DLC_IMPERIAL_CITY</v>
      </c>
      <c r="U557" s="3" t="str">
        <f>IF(T557&lt;&gt;"",VLOOKUP(T557,'&lt;Constants&gt;'!$B$4:$C$1020,2,FALSE),"")</f>
        <v>Imperial City</v>
      </c>
      <c r="V557" s="30" t="s">
        <v>1518</v>
      </c>
      <c r="W557" s="3" t="s">
        <v>3814</v>
      </c>
      <c r="X557" s="3" t="s">
        <v>3821</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2732</v>
      </c>
      <c r="AC557" s="36"/>
      <c r="AD557" s="36"/>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2626</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2707</v>
      </c>
      <c r="C558" t="s">
        <v>2694</v>
      </c>
      <c r="D558" s="3">
        <f t="shared" si="48"/>
        <v>635</v>
      </c>
      <c r="F558" t="s">
        <v>2729</v>
      </c>
      <c r="G558" s="8" t="s">
        <v>2728</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DLCs'!$A$3:$D$99999,4,FALSE))</f>
        <v>DLC_IMPERIAL_CITY</v>
      </c>
      <c r="U558" s="3" t="str">
        <f>IF(T558&lt;&gt;"",VLOOKUP(T558,'&lt;Constants&gt;'!$B$4:$C$1020,2,FALSE),"")</f>
        <v>Imperial City</v>
      </c>
      <c r="V558" s="30" t="s">
        <v>1518</v>
      </c>
      <c r="W558" s="3" t="s">
        <v>3813</v>
      </c>
      <c r="X558" s="3" t="s">
        <v>3822</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2732</v>
      </c>
      <c r="AC558" s="36"/>
      <c r="AD558" s="36"/>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2626</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2695</v>
      </c>
      <c r="C559" t="s">
        <v>2695</v>
      </c>
      <c r="D559" s="3">
        <f t="shared" si="48"/>
        <v>636</v>
      </c>
      <c r="E559" s="37"/>
      <c r="F559" t="s">
        <v>2729</v>
      </c>
      <c r="G559" s="8" t="s">
        <v>2728</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DLCs'!$A$3:$D$99999,4,FALSE))</f>
        <v>DLC_IMPERIAL_CITY</v>
      </c>
      <c r="U559" s="3" t="str">
        <f>IF(T559&lt;&gt;"",VLOOKUP(T559,'&lt;Constants&gt;'!$B$4:$C$1020,2,FALSE),"")</f>
        <v>Imperial City</v>
      </c>
      <c r="V559" s="30" t="s">
        <v>1518</v>
      </c>
      <c r="W559" s="3" t="s">
        <v>3812</v>
      </c>
      <c r="X559" s="3" t="s">
        <v>3823</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2732</v>
      </c>
      <c r="AC559" s="36"/>
      <c r="AD559" s="36"/>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2626</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3395</v>
      </c>
      <c r="C560" t="s">
        <v>3338</v>
      </c>
      <c r="D560" s="3">
        <f t="shared" si="48"/>
        <v>640</v>
      </c>
      <c r="G560" s="3" t="s">
        <v>1451</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DLCs'!$A$3:$D$99999,4,FALSE))</f>
        <v>DLC_HIGH_ISLE</v>
      </c>
      <c r="U560" s="3" t="str">
        <f>IF(T560&lt;&gt;"",VLOOKUP(T560,'&lt;Constants&gt;'!$B$4:$C$1020,2,FALSE),"")</f>
        <v>High Isle</v>
      </c>
      <c r="V560" s="30" t="s">
        <v>3256</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3256</v>
      </c>
      <c r="AC560" s="36"/>
      <c r="AD560" s="36"/>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3256</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3396</v>
      </c>
      <c r="C561" s="80" t="s">
        <v>3867</v>
      </c>
      <c r="D561" s="3">
        <f t="shared" si="48"/>
        <v>641</v>
      </c>
      <c r="G561" s="3" t="s">
        <v>1451</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DLCs'!$A$3:$D$99999,4,FALSE))</f>
        <v>DLC_HIGH_ISLE</v>
      </c>
      <c r="U561" s="3" t="str">
        <f>IF(T561&lt;&gt;"",VLOOKUP(T561,'&lt;Constants&gt;'!$B$4:$C$1020,2,FALSE),"")</f>
        <v>High Isle</v>
      </c>
      <c r="V561" s="30" t="s">
        <v>3256</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3256</v>
      </c>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3256</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3397</v>
      </c>
      <c r="C562" t="s">
        <v>3339</v>
      </c>
      <c r="D562" s="3">
        <f t="shared" si="48"/>
        <v>642</v>
      </c>
      <c r="G562" s="3" t="s">
        <v>1451</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DLCs'!$A$3:$D$99999,4,FALSE))</f>
        <v>DLC_HIGH_ISLE</v>
      </c>
      <c r="U562" s="3" t="str">
        <f>IF(T562&lt;&gt;"",VLOOKUP(T562,'&lt;Constants&gt;'!$B$4:$C$1020,2,FALSE),"")</f>
        <v>High Isle</v>
      </c>
      <c r="V562" s="30" t="s">
        <v>3256</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3256</v>
      </c>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3256</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3398</v>
      </c>
      <c r="C563" t="s">
        <v>3340</v>
      </c>
      <c r="D563" s="3">
        <f t="shared" si="48"/>
        <v>643</v>
      </c>
      <c r="G563" s="3" t="s">
        <v>1457</v>
      </c>
      <c r="I563" t="s">
        <v>91</v>
      </c>
      <c r="J563" t="s">
        <v>91</v>
      </c>
      <c r="K563">
        <v>512</v>
      </c>
      <c r="L563">
        <v>512</v>
      </c>
      <c r="M563">
        <v>512</v>
      </c>
      <c r="O563" s="58" t="s">
        <v>3295</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DLCs'!$A$3:$D$99999,4,FALSE))</f>
        <v>DLC_HIGH_ISLE</v>
      </c>
      <c r="U563" s="3" t="str">
        <f>IF(T563&lt;&gt;"",VLOOKUP(T563,'&lt;Constants&gt;'!$B$4:$C$1020,2,FALSE),"")</f>
        <v>High Isle</v>
      </c>
      <c r="V563" s="30" t="s">
        <v>1534</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1535</v>
      </c>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1536</v>
      </c>
      <c r="AK563" s="3">
        <f>IF(AND(G563&lt;&gt;"LIBSETS_SETTYPE_BATTLEGROUND",G563&lt;&gt;"LIBSETS_SETTYPE_SPECIAL"),IF(AL563&lt;&gt;"",VLOOKUP(AL563,'ESO zones'!$D$5:$H$4958,5,FALSE),""),"")</f>
        <v>1318</v>
      </c>
      <c r="AL563" t="s">
        <v>3295</v>
      </c>
      <c r="AM563" s="30" t="s">
        <v>1537</v>
      </c>
      <c r="AP563" s="3">
        <f>IF(AND(G563&lt;&gt;"LIBSETS_SETTYPE_BATTLEGROUND",G563&lt;&gt;"LIBSETS_SETTYPE_SPECIAL"),IF(AQ563&lt;&gt;"",VLOOKUP(AQ563,'ESO zones'!$D$5:$H$4958,5,FALSE),""),"")</f>
        <v>1337</v>
      </c>
      <c r="AQ563" t="s">
        <v>3328</v>
      </c>
      <c r="AR563" s="39" t="s">
        <v>1536</v>
      </c>
      <c r="AU563" s="3">
        <f>IF(AND(G563&lt;&gt;"LIBSETS_SETTYPE_BATTLEGROUND",G563&lt;&gt;"LIBSETS_SETTYPE_SPECIAL"),IF(AV563&lt;&gt;"",VLOOKUP(AV563,'ESO zones'!$D$5:$H$4958,5,FALSE),""),"")</f>
        <v>1318</v>
      </c>
      <c r="AV563" t="s">
        <v>3295</v>
      </c>
      <c r="AW563" s="39" t="s">
        <v>3193</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3399</v>
      </c>
      <c r="C564" t="s">
        <v>3341</v>
      </c>
      <c r="D564" s="3">
        <f t="shared" si="48"/>
        <v>644</v>
      </c>
      <c r="G564" s="3" t="s">
        <v>1457</v>
      </c>
      <c r="I564" t="s">
        <v>91</v>
      </c>
      <c r="J564" t="s">
        <v>91</v>
      </c>
      <c r="K564">
        <v>512</v>
      </c>
      <c r="L564">
        <v>512</v>
      </c>
      <c r="M564">
        <v>512</v>
      </c>
      <c r="O564" s="58" t="s">
        <v>3295</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DLCs'!$A$3:$D$99999,4,FALSE))</f>
        <v>DLC_HIGH_ISLE</v>
      </c>
      <c r="U564" s="3" t="str">
        <f>IF(T564&lt;&gt;"",VLOOKUP(T564,'&lt;Constants&gt;'!$B$4:$C$1020,2,FALSE),"")</f>
        <v>High Isle</v>
      </c>
      <c r="V564" s="30" t="s">
        <v>1534</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1535</v>
      </c>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1536</v>
      </c>
      <c r="AK564" s="3">
        <f>IF(AND(G564&lt;&gt;"LIBSETS_SETTYPE_BATTLEGROUND",G564&lt;&gt;"LIBSETS_SETTYPE_SPECIAL"),IF(AL564&lt;&gt;"",VLOOKUP(AL564,'ESO zones'!$D$5:$H$4958,5,FALSE),""),"")</f>
        <v>1318</v>
      </c>
      <c r="AL564" t="s">
        <v>3295</v>
      </c>
      <c r="AM564" s="30" t="s">
        <v>1537</v>
      </c>
      <c r="AP564" s="3">
        <f>IF(AND(G564&lt;&gt;"LIBSETS_SETTYPE_BATTLEGROUND",G564&lt;&gt;"LIBSETS_SETTYPE_SPECIAL"),IF(AQ564&lt;&gt;"",VLOOKUP(AQ564,'ESO zones'!$D$5:$H$4958,5,FALSE),""),"")</f>
        <v>1337</v>
      </c>
      <c r="AQ564" t="s">
        <v>3328</v>
      </c>
      <c r="AR564" s="39" t="s">
        <v>1536</v>
      </c>
      <c r="AU564" s="3">
        <f>IF(AND(G564&lt;&gt;"LIBSETS_SETTYPE_BATTLEGROUND",G564&lt;&gt;"LIBSETS_SETTYPE_SPECIAL"),IF(AV564&lt;&gt;"",VLOOKUP(AV564,'ESO zones'!$D$5:$H$4958,5,FALSE),""),"")</f>
        <v>1318</v>
      </c>
      <c r="AV564" t="s">
        <v>3295</v>
      </c>
      <c r="AW564" s="39" t="s">
        <v>3193</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3400</v>
      </c>
      <c r="C565" t="s">
        <v>3342</v>
      </c>
      <c r="D565" s="3">
        <f t="shared" si="48"/>
        <v>645</v>
      </c>
      <c r="G565" s="3" t="s">
        <v>1457</v>
      </c>
      <c r="I565" t="s">
        <v>91</v>
      </c>
      <c r="J565" t="s">
        <v>91</v>
      </c>
      <c r="K565">
        <v>512</v>
      </c>
      <c r="L565">
        <v>512</v>
      </c>
      <c r="M565">
        <v>512</v>
      </c>
      <c r="O565" s="58" t="s">
        <v>3295</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DLCs'!$A$3:$D$99999,4,FALSE))</f>
        <v>DLC_HIGH_ISLE</v>
      </c>
      <c r="U565" s="3" t="str">
        <f>IF(T565&lt;&gt;"",VLOOKUP(T565,'&lt;Constants&gt;'!$B$4:$C$1020,2,FALSE),"")</f>
        <v>High Isle</v>
      </c>
      <c r="V565" s="30" t="s">
        <v>1534</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1535</v>
      </c>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1536</v>
      </c>
      <c r="AK565" s="3">
        <f>IF(AND(G565&lt;&gt;"LIBSETS_SETTYPE_BATTLEGROUND",G565&lt;&gt;"LIBSETS_SETTYPE_SPECIAL"),IF(AL565&lt;&gt;"",VLOOKUP(AL565,'ESO zones'!$D$5:$H$4958,5,FALSE),""),"")</f>
        <v>1318</v>
      </c>
      <c r="AL565" t="s">
        <v>3295</v>
      </c>
      <c r="AM565" s="30" t="s">
        <v>1537</v>
      </c>
      <c r="AP565" s="3">
        <f>IF(AND(G565&lt;&gt;"LIBSETS_SETTYPE_BATTLEGROUND",G565&lt;&gt;"LIBSETS_SETTYPE_SPECIAL"),IF(AQ565&lt;&gt;"",VLOOKUP(AQ565,'ESO zones'!$D$5:$H$4958,5,FALSE),""),"")</f>
        <v>1337</v>
      </c>
      <c r="AQ565" t="s">
        <v>3328</v>
      </c>
      <c r="AR565" s="39" t="s">
        <v>1536</v>
      </c>
      <c r="AU565" s="3">
        <f>IF(AND(G565&lt;&gt;"LIBSETS_SETTYPE_BATTLEGROUND",G565&lt;&gt;"LIBSETS_SETTYPE_SPECIAL"),IF(AV565&lt;&gt;"",VLOOKUP(AV565,'ESO zones'!$D$5:$H$4958,5,FALSE),""),"")</f>
        <v>1318</v>
      </c>
      <c r="AV565" t="s">
        <v>3295</v>
      </c>
      <c r="AW565" s="39" t="s">
        <v>3193</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3401</v>
      </c>
      <c r="C566" t="s">
        <v>3343</v>
      </c>
      <c r="D566" s="3">
        <f t="shared" si="48"/>
        <v>646</v>
      </c>
      <c r="G566" s="3" t="s">
        <v>1458</v>
      </c>
      <c r="I566" t="s">
        <v>91</v>
      </c>
      <c r="J566" t="s">
        <v>91</v>
      </c>
      <c r="K566">
        <v>505</v>
      </c>
      <c r="L566">
        <v>505</v>
      </c>
      <c r="M566">
        <v>505</v>
      </c>
      <c r="O566" s="58" t="s">
        <v>3317</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DLCs'!$A$3:$D$99999,4,FALSE))</f>
        <v>DLC_HIGH_ISLE</v>
      </c>
      <c r="U566" s="3" t="str">
        <f>IF(T566&lt;&gt;"",VLOOKUP(T566,'&lt;Constants&gt;'!$B$4:$C$1020,2,FALSE),"")</f>
        <v>High Isle</v>
      </c>
      <c r="V566" s="30" t="s">
        <v>3234</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3234</v>
      </c>
      <c r="AC566" s="38"/>
      <c r="AD566" s="38"/>
      <c r="AE566" s="126">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3234</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3402</v>
      </c>
      <c r="C567" t="s">
        <v>3344</v>
      </c>
      <c r="D567" s="3">
        <f t="shared" si="48"/>
        <v>647</v>
      </c>
      <c r="G567" s="3" t="s">
        <v>1458</v>
      </c>
      <c r="I567" t="s">
        <v>91</v>
      </c>
      <c r="J567" t="s">
        <v>91</v>
      </c>
      <c r="K567">
        <v>505</v>
      </c>
      <c r="L567">
        <v>505</v>
      </c>
      <c r="M567">
        <v>505</v>
      </c>
      <c r="O567" s="58" t="s">
        <v>3317</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DLCs'!$A$3:$D$99999,4,FALSE))</f>
        <v>DLC_HIGH_ISLE</v>
      </c>
      <c r="U567" s="3" t="str">
        <f>IF(T567&lt;&gt;"",VLOOKUP(T567,'&lt;Constants&gt;'!$B$4:$C$1020,2,FALSE),"")</f>
        <v>High Isle</v>
      </c>
      <c r="V567" s="30" t="s">
        <v>3234</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3234</v>
      </c>
      <c r="AC567" s="38"/>
      <c r="AD567" s="38"/>
      <c r="AE567" s="126">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3234</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3403</v>
      </c>
      <c r="C568" t="s">
        <v>3345</v>
      </c>
      <c r="D568" s="3">
        <f t="shared" si="48"/>
        <v>648</v>
      </c>
      <c r="G568" s="3" t="s">
        <v>1458</v>
      </c>
      <c r="I568" t="s">
        <v>91</v>
      </c>
      <c r="J568" t="s">
        <v>91</v>
      </c>
      <c r="K568">
        <v>505</v>
      </c>
      <c r="L568">
        <v>505</v>
      </c>
      <c r="M568">
        <v>505</v>
      </c>
      <c r="O568" s="58" t="s">
        <v>3317</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DLCs'!$A$3:$D$99999,4,FALSE))</f>
        <v>DLC_HIGH_ISLE</v>
      </c>
      <c r="U568" s="3" t="str">
        <f>IF(T568&lt;&gt;"",VLOOKUP(T568,'&lt;Constants&gt;'!$B$4:$C$1020,2,FALSE),"")</f>
        <v>High Isle</v>
      </c>
      <c r="V568" s="30" t="s">
        <v>3234</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3234</v>
      </c>
      <c r="AC568" s="38"/>
      <c r="AD568" s="38"/>
      <c r="AE568" s="126">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3234</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3404</v>
      </c>
      <c r="C569" t="s">
        <v>3346</v>
      </c>
      <c r="D569" s="3">
        <f t="shared" si="48"/>
        <v>649</v>
      </c>
      <c r="G569" s="3" t="s">
        <v>1458</v>
      </c>
      <c r="I569" t="s">
        <v>91</v>
      </c>
      <c r="J569" t="s">
        <v>91</v>
      </c>
      <c r="K569">
        <v>505</v>
      </c>
      <c r="L569">
        <v>505</v>
      </c>
      <c r="M569">
        <v>505</v>
      </c>
      <c r="O569" s="58" t="s">
        <v>3317</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DLCs'!$A$3:$D$99999,4,FALSE))</f>
        <v>DLC_HIGH_ISLE</v>
      </c>
      <c r="U569" s="3" t="str">
        <f>IF(T569&lt;&gt;"",VLOOKUP(T569,'&lt;Constants&gt;'!$B$4:$C$1020,2,FALSE),"")</f>
        <v>High Isle</v>
      </c>
      <c r="V569" s="30" t="s">
        <v>3234</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3234</v>
      </c>
      <c r="AC569" s="38"/>
      <c r="AD569" s="38"/>
      <c r="AE569" s="126">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3234</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3405</v>
      </c>
      <c r="C570" s="80" t="s">
        <v>3866</v>
      </c>
      <c r="D570" s="3">
        <f t="shared" si="48"/>
        <v>650</v>
      </c>
      <c r="G570" s="3" t="s">
        <v>1458</v>
      </c>
      <c r="I570" t="s">
        <v>92</v>
      </c>
      <c r="J570" t="s">
        <v>91</v>
      </c>
      <c r="K570">
        <v>505</v>
      </c>
      <c r="L570">
        <v>505</v>
      </c>
      <c r="M570">
        <v>505</v>
      </c>
      <c r="O570" s="58" t="s">
        <v>3317</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DLCs'!$A$3:$D$99999,4,FALSE))</f>
        <v>DLC_HIGH_ISLE</v>
      </c>
      <c r="U570" s="3" t="str">
        <f>IF(T570&lt;&gt;"",VLOOKUP(T570,'&lt;Constants&gt;'!$B$4:$C$1020,2,FALSE),"")</f>
        <v>High Isle</v>
      </c>
      <c r="V570" s="30" t="s">
        <v>3234</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3234</v>
      </c>
      <c r="AC570" s="38"/>
      <c r="AD570" s="38"/>
      <c r="AE570" s="126">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3234</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3773</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3406</v>
      </c>
      <c r="C571" t="s">
        <v>3347</v>
      </c>
      <c r="D571" s="3">
        <f t="shared" si="48"/>
        <v>651</v>
      </c>
      <c r="G571" s="3" t="s">
        <v>1458</v>
      </c>
      <c r="I571" t="s">
        <v>92</v>
      </c>
      <c r="J571" t="s">
        <v>91</v>
      </c>
      <c r="K571">
        <v>505</v>
      </c>
      <c r="L571">
        <v>505</v>
      </c>
      <c r="M571">
        <v>505</v>
      </c>
      <c r="O571" s="58" t="s">
        <v>3317</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DLCs'!$A$3:$D$99999,4,FALSE))</f>
        <v>DLC_HIGH_ISLE</v>
      </c>
      <c r="U571" s="3" t="str">
        <f>IF(T571&lt;&gt;"",VLOOKUP(T571,'&lt;Constants&gt;'!$B$4:$C$1020,2,FALSE),"")</f>
        <v>High Isle</v>
      </c>
      <c r="V571" s="30" t="s">
        <v>3234</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3234</v>
      </c>
      <c r="AC571" s="38"/>
      <c r="AD571" s="38"/>
      <c r="AE571" s="126">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3234</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3773</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3407</v>
      </c>
      <c r="C572" t="s">
        <v>3348</v>
      </c>
      <c r="D572" s="3">
        <f t="shared" si="48"/>
        <v>652</v>
      </c>
      <c r="G572" s="3" t="s">
        <v>1458</v>
      </c>
      <c r="I572" t="s">
        <v>92</v>
      </c>
      <c r="J572" t="s">
        <v>91</v>
      </c>
      <c r="K572">
        <v>505</v>
      </c>
      <c r="L572">
        <v>505</v>
      </c>
      <c r="M572">
        <v>505</v>
      </c>
      <c r="O572" s="58" t="s">
        <v>3317</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DLCs'!$A$3:$D$99999,4,FALSE))</f>
        <v>DLC_HIGH_ISLE</v>
      </c>
      <c r="U572" s="3" t="str">
        <f>IF(T572&lt;&gt;"",VLOOKUP(T572,'&lt;Constants&gt;'!$B$4:$C$1020,2,FALSE),"")</f>
        <v>High Isle</v>
      </c>
      <c r="V572" s="30" t="s">
        <v>3234</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3234</v>
      </c>
      <c r="AC572" s="38"/>
      <c r="AD572" s="38"/>
      <c r="AE572" s="126">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3234</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3773</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3408</v>
      </c>
      <c r="C573" t="s">
        <v>3349</v>
      </c>
      <c r="D573" s="3">
        <f t="shared" si="48"/>
        <v>653</v>
      </c>
      <c r="G573" s="3" t="s">
        <v>1458</v>
      </c>
      <c r="I573" t="s">
        <v>92</v>
      </c>
      <c r="J573" t="s">
        <v>91</v>
      </c>
      <c r="K573">
        <v>505</v>
      </c>
      <c r="L573">
        <v>505</v>
      </c>
      <c r="M573">
        <v>505</v>
      </c>
      <c r="O573" s="58" t="s">
        <v>3317</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DLCs'!$A$3:$D$99999,4,FALSE))</f>
        <v>DLC_HIGH_ISLE</v>
      </c>
      <c r="U573" s="3" t="str">
        <f>IF(T573&lt;&gt;"",VLOOKUP(T573,'&lt;Constants&gt;'!$B$4:$C$1020,2,FALSE),"")</f>
        <v>High Isle</v>
      </c>
      <c r="V573" s="30" t="s">
        <v>3234</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3234</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3234</v>
      </c>
      <c r="AK573" s="3"/>
      <c r="AU573" s="3" t="str">
        <f>IF(AND(G573&lt;&gt;"LIBSETS_SETTYPE_BATTLEGROUND",G573&lt;&gt;"LIBSETS_SETTYPE_SPECIAL"),IF(AV573&lt;&gt;"",VLOOKUP(AV573,'ESO zones'!$D$5:$H$4958,5,FALSE),""),"")</f>
        <v/>
      </c>
      <c r="AZ573" s="79"/>
      <c r="BA573" s="79"/>
      <c r="BB573" s="79"/>
      <c r="BC573" s="79"/>
      <c r="BD573" s="77" t="s">
        <v>3773</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3409</v>
      </c>
      <c r="C574" s="80" t="s">
        <v>3456</v>
      </c>
      <c r="D574" s="3">
        <f t="shared" si="48"/>
        <v>654</v>
      </c>
      <c r="G574" s="87" t="s">
        <v>1654</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DLCs'!$A$3:$D$99999,4,FALSE))</f>
        <v>DLC_HIGH_ISLE</v>
      </c>
      <c r="U574" s="3" t="str">
        <f>IF(T574&lt;&gt;"",VLOOKUP(T574,'&lt;Constants&gt;'!$B$4:$C$1020,2,FALSE),"")</f>
        <v>High Isle</v>
      </c>
      <c r="V574" s="30" t="s">
        <v>3237</v>
      </c>
      <c r="W574" s="3" t="s">
        <v>3458</v>
      </c>
      <c r="X574" s="3" t="s">
        <v>3459</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3517</v>
      </c>
      <c r="AC574" s="3" t="s">
        <v>3808</v>
      </c>
      <c r="AD574" s="3" t="s">
        <v>3463</v>
      </c>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3237</v>
      </c>
      <c r="AI574" s="3" t="s">
        <v>3464</v>
      </c>
      <c r="AJ574" s="3" t="s">
        <v>3465</v>
      </c>
      <c r="AK574" s="3">
        <f>IF(AND(G574&lt;&gt;"LIBSETS_SETTYPE_BATTLEGROUND",G574&lt;&gt;"LIBSETS_SETTYPE_SPECIAL"),IF(AL574&lt;&gt;"",VLOOKUP(AL574,'ESO zones'!$D$5:$H$4958,5,FALSE),""),"")</f>
        <v>1286</v>
      </c>
      <c r="AL574" t="s">
        <v>2416</v>
      </c>
      <c r="AM574" s="30" t="s">
        <v>3557</v>
      </c>
      <c r="AN574" s="3" t="s">
        <v>3563</v>
      </c>
      <c r="AO574" s="3" t="s">
        <v>3564</v>
      </c>
      <c r="AP574" s="3">
        <f>IF(AND(G574&lt;&gt;"LIBSETS_SETTYPE_BATTLEGROUND",G574&lt;&gt;"LIBSETS_SETTYPE_SPECIAL"),IF(AQ574&lt;&gt;"",VLOOKUP(AQ574,'ESO zones'!$D$5:$H$4958,5,FALSE),""),"")</f>
        <v>678</v>
      </c>
      <c r="AQ574" t="s">
        <v>52</v>
      </c>
      <c r="AR574" s="30" t="s">
        <v>3253</v>
      </c>
      <c r="AS574" s="3" t="s">
        <v>3466</v>
      </c>
      <c r="AT574" s="3" t="s">
        <v>3467</v>
      </c>
      <c r="AU574" s="3" t="str">
        <f>IF(AND(G574&lt;&gt;"LIBSETS_SETTYPE_BATTLEGROUND",G574&lt;&gt;"LIBSETS_SETTYPE_SPECIAL"),IF(AV574&lt;&gt;"",VLOOKUP(AV574,'ESO zones'!$D$5:$H$4958,5,FALSE),""),"")</f>
        <v/>
      </c>
      <c r="AZ574" s="79"/>
      <c r="BA574" s="77" t="s">
        <v>3479</v>
      </c>
      <c r="BB574" s="77" t="s">
        <v>3479</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3410</v>
      </c>
      <c r="C575" s="80" t="s">
        <v>3350</v>
      </c>
      <c r="D575" s="3">
        <f t="shared" si="48"/>
        <v>655</v>
      </c>
      <c r="G575" s="87" t="s">
        <v>1654</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DLCs'!$A$3:$D$99999,4,FALSE))</f>
        <v>DLC_HIGH_ISLE</v>
      </c>
      <c r="U575" s="3" t="str">
        <f>IF(T575&lt;&gt;"",VLOOKUP(T575,'&lt;Constants&gt;'!$B$4:$C$1020,2,FALSE),"")</f>
        <v>High Isle</v>
      </c>
      <c r="V575" s="30" t="s">
        <v>3193</v>
      </c>
      <c r="W575" s="3" t="s">
        <v>3202</v>
      </c>
      <c r="X575" s="3" t="s">
        <v>3203</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3193</v>
      </c>
      <c r="AC575" s="3" t="s">
        <v>3977</v>
      </c>
      <c r="AD575" s="3" t="s">
        <v>3217</v>
      </c>
      <c r="AF575" s="3">
        <v>1121</v>
      </c>
      <c r="AG575" t="s">
        <v>1327</v>
      </c>
      <c r="AH575" s="30" t="s">
        <v>3237</v>
      </c>
      <c r="AI575" s="3" t="s">
        <v>3468</v>
      </c>
      <c r="AJ575" s="3" t="s">
        <v>3469</v>
      </c>
      <c r="AK575" s="3">
        <f>IF(AND(G575&lt;&gt;"LIBSETS_SETTYPE_BATTLEGROUND",G575&lt;&gt;"LIBSETS_SETTYPE_SPECIAL"),IF(AL575&lt;&gt;"",VLOOKUP(AL575,'ESO zones'!$D$5:$H$4958,5,FALSE),""),"")</f>
        <v>1123</v>
      </c>
      <c r="AL575" t="s">
        <v>1464</v>
      </c>
      <c r="AM575" s="30" t="s">
        <v>3253</v>
      </c>
      <c r="AN575" s="3" t="s">
        <v>1484</v>
      </c>
      <c r="AO575" s="3" t="s">
        <v>1484</v>
      </c>
      <c r="AP575" s="3">
        <f>IF(AND(G575&lt;&gt;"LIBSETS_SETTYPE_BATTLEGROUND",G575&lt;&gt;"LIBSETS_SETTYPE_SPECIAL"),IF(AQ575&lt;&gt;"",VLOOKUP(AQ575,'ESO zones'!$D$5:$H$4958,5,FALSE),""),"")</f>
        <v>1122</v>
      </c>
      <c r="AQ575" t="s">
        <v>1463</v>
      </c>
      <c r="AR575" s="30" t="s">
        <v>3237</v>
      </c>
      <c r="AS575" s="3" t="s">
        <v>3470</v>
      </c>
      <c r="AT575" s="3" t="s">
        <v>3471</v>
      </c>
      <c r="AU575" s="3" t="str">
        <f>IF(AND(G575&lt;&gt;"LIBSETS_SETTYPE_BATTLEGROUND",G575&lt;&gt;"LIBSETS_SETTYPE_SPECIAL"),IF(AV575&lt;&gt;"",VLOOKUP(AV575,'ESO zones'!$D$5:$H$4958,5,FALSE),""),"")</f>
        <v/>
      </c>
      <c r="AZ575" s="79"/>
      <c r="BA575" s="77" t="s">
        <v>3480</v>
      </c>
      <c r="BB575" s="77" t="s">
        <v>3480</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3411</v>
      </c>
      <c r="C576" s="80" t="s">
        <v>3472</v>
      </c>
      <c r="D576" s="3">
        <f t="shared" si="48"/>
        <v>656</v>
      </c>
      <c r="G576" s="87" t="s">
        <v>1654</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DLCs'!$A$3:$D$99999,4,FALSE))</f>
        <v>DLC_HIGH_ISLE</v>
      </c>
      <c r="U576" s="3" t="str">
        <f>IF(T576&lt;&gt;"",VLOOKUP(T576,'&lt;Constants&gt;'!$B$4:$C$1020,2,FALSE),"")</f>
        <v>High Isle</v>
      </c>
      <c r="V576" s="30" t="s">
        <v>3237</v>
      </c>
      <c r="W576" s="3" t="s">
        <v>3473</v>
      </c>
      <c r="X576" s="3" t="s">
        <v>3474</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1535</v>
      </c>
      <c r="AC576" s="3" t="s">
        <v>3475</v>
      </c>
      <c r="AD576" s="3" t="s">
        <v>3476</v>
      </c>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1537</v>
      </c>
      <c r="AK576" s="3">
        <f>IF(AND(G576&lt;&gt;"LIBSETS_SETTYPE_BATTLEGROUND",G576&lt;&gt;"LIBSETS_SETTYPE_SPECIAL"),IF(AL576&lt;&gt;"",VLOOKUP(AL576,'ESO zones'!$D$5:$H$4958,5,FALSE),""),"")</f>
        <v>0</v>
      </c>
      <c r="AL576" t="s">
        <v>2202</v>
      </c>
      <c r="AM576" s="30" t="s">
        <v>3256</v>
      </c>
      <c r="AN576" s="3" t="s">
        <v>3777</v>
      </c>
      <c r="AO576" s="3" t="s">
        <v>3778</v>
      </c>
      <c r="AP576" s="3">
        <f>IF(AND(G576&lt;&gt;"LIBSETS_SETTYPE_BATTLEGROUND",G576&lt;&gt;"LIBSETS_SETTYPE_SPECIAL"),IF(AQ576&lt;&gt;"",VLOOKUP(AQ576,'ESO zones'!$D$5:$H$4958,5,FALSE),""),"")</f>
        <v>1011</v>
      </c>
      <c r="AQ576" t="s">
        <v>79</v>
      </c>
      <c r="AR576" s="30" t="s">
        <v>3205</v>
      </c>
      <c r="AS576" s="3" t="s">
        <v>3477</v>
      </c>
      <c r="AT576" s="3" t="s">
        <v>3478</v>
      </c>
      <c r="AU576" s="3" t="str">
        <f>IF(AND(G576&lt;&gt;"LIBSETS_SETTYPE_BATTLEGROUND",G576&lt;&gt;"LIBSETS_SETTYPE_SPECIAL"),IF(AV576&lt;&gt;"",VLOOKUP(AV576,'ESO zones'!$D$5:$H$4958,5,FALSE),""),"")</f>
        <v/>
      </c>
      <c r="AZ576" s="79"/>
      <c r="BA576" s="77" t="s">
        <v>3480</v>
      </c>
      <c r="BB576" s="77" t="s">
        <v>3480</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3412</v>
      </c>
      <c r="C577" s="80" t="s">
        <v>3457</v>
      </c>
      <c r="D577" s="3">
        <f t="shared" si="48"/>
        <v>657</v>
      </c>
      <c r="G577" s="87" t="s">
        <v>1654</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DLCs'!$A$3:$D$99999,4,FALSE))</f>
        <v>DLC_HIGH_ISLE</v>
      </c>
      <c r="U577" s="3" t="str">
        <f>IF(T577&lt;&gt;"",VLOOKUP(T577,'&lt;Constants&gt;'!$B$4:$C$1020,2,FALSE),"")</f>
        <v>High Isle</v>
      </c>
      <c r="V577" s="30" t="s">
        <v>3193</v>
      </c>
      <c r="W577" s="3" t="s">
        <v>3483</v>
      </c>
      <c r="X577" s="3" t="s">
        <v>3484</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1535</v>
      </c>
      <c r="AC577" s="3" t="s">
        <v>3485</v>
      </c>
      <c r="AD577" s="3" t="s">
        <v>3486</v>
      </c>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1535</v>
      </c>
      <c r="AI577" s="3" t="s">
        <v>3487</v>
      </c>
      <c r="AJ577" s="3" t="s">
        <v>3488</v>
      </c>
      <c r="AK577" s="3">
        <f>IF(AND(G577&lt;&gt;"LIBSETS_SETTYPE_BATTLEGROUND",G577&lt;&gt;"LIBSETS_SETTYPE_SPECIAL"),IF(AL577&lt;&gt;"",VLOOKUP(AL577,'ESO zones'!$D$5:$H$4958,5,FALSE),""),"")</f>
        <v>0</v>
      </c>
      <c r="AL577" t="s">
        <v>2202</v>
      </c>
      <c r="AM577" s="30" t="s">
        <v>3193</v>
      </c>
      <c r="AN577" s="3" t="s">
        <v>3489</v>
      </c>
      <c r="AO577" s="3" t="s">
        <v>3490</v>
      </c>
      <c r="AP577" s="3">
        <f>IF(AND(G577&lt;&gt;"LIBSETS_SETTYPE_BATTLEGROUND",G577&lt;&gt;"LIBSETS_SETTYPE_SPECIAL"),IF(AQ577&lt;&gt;"",VLOOKUP(AQ577,'ESO zones'!$D$5:$H$4958,5,FALSE),""),"")</f>
        <v>57</v>
      </c>
      <c r="AQ577" t="s">
        <v>106</v>
      </c>
      <c r="AR577" s="30" t="s">
        <v>3491</v>
      </c>
      <c r="AS577" s="3" t="s">
        <v>3492</v>
      </c>
      <c r="AT577" s="3" t="s">
        <v>3493</v>
      </c>
      <c r="AU577" s="3">
        <f>IF(AND(G577&lt;&gt;"LIBSETS_SETTYPE_BATTLEGROUND",G577&lt;&gt;"LIBSETS_SETTYPE_SPECIAL"),IF(AV577&lt;&gt;"",VLOOKUP(AV577,'ESO zones'!$D$5:$H$4958,5,FALSE),""),"")</f>
        <v>383</v>
      </c>
      <c r="AV577" t="s">
        <v>263</v>
      </c>
      <c r="AW577" s="30" t="s">
        <v>3491</v>
      </c>
      <c r="AX577" s="3" t="s">
        <v>3492</v>
      </c>
      <c r="AY577" s="3" t="s">
        <v>3493</v>
      </c>
      <c r="AZ577" s="79"/>
      <c r="BA577" s="77" t="s">
        <v>3481</v>
      </c>
      <c r="BB577" s="77" t="s">
        <v>3481</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3413</v>
      </c>
      <c r="C578" s="80" t="s">
        <v>3351</v>
      </c>
      <c r="D578" s="3">
        <f t="shared" si="48"/>
        <v>658</v>
      </c>
      <c r="G578" s="87" t="s">
        <v>1654</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DLCs'!$A$3:$D$99999,4,FALSE))</f>
        <v>DLC_HIGH_ISLE</v>
      </c>
      <c r="U578" s="3" t="str">
        <f>IF(T578&lt;&gt;"",VLOOKUP(T578,'&lt;Constants&gt;'!$B$4:$C$1020,2,FALSE),"")</f>
        <v>High Isle</v>
      </c>
      <c r="V578" s="39" t="s">
        <v>3205</v>
      </c>
      <c r="W578" s="3" t="s">
        <v>3573</v>
      </c>
      <c r="X578" s="3" t="s">
        <v>3494</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1535</v>
      </c>
      <c r="AC578" s="3" t="s">
        <v>3495</v>
      </c>
      <c r="AD578" s="3" t="s">
        <v>3496</v>
      </c>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3237</v>
      </c>
      <c r="AI578" s="3" t="s">
        <v>3497</v>
      </c>
      <c r="AJ578" s="3" t="s">
        <v>3498</v>
      </c>
      <c r="AK578" s="3">
        <f>IF(AND(G578&lt;&gt;"LIBSETS_SETTYPE_BATTLEGROUND",G578&lt;&gt;"LIBSETS_SETTYPE_SPECIAL"),IF(AL578&lt;&gt;"",VLOOKUP(AL578,'ESO zones'!$D$5:$H$4958,5,FALSE),""),"")</f>
        <v>3</v>
      </c>
      <c r="AL578" t="s">
        <v>102</v>
      </c>
      <c r="AM578" s="30" t="s">
        <v>3557</v>
      </c>
      <c r="AN578" s="3" t="s">
        <v>3565</v>
      </c>
      <c r="AO578" s="3" t="s">
        <v>3566</v>
      </c>
      <c r="AP578" s="3">
        <f>IF(AND(G578&lt;&gt;"LIBSETS_SETTYPE_BATTLEGROUND",G578&lt;&gt;"LIBSETS_SETTYPE_SPECIAL"),IF(AQ578&lt;&gt;"",VLOOKUP(AQ578,'ESO zones'!$D$5:$H$4958,5,FALSE),""),"")</f>
        <v>726</v>
      </c>
      <c r="AQ578" t="s">
        <v>80</v>
      </c>
      <c r="AR578" s="30" t="s">
        <v>3193</v>
      </c>
      <c r="AS578" s="3" t="s">
        <v>3499</v>
      </c>
      <c r="AT578" s="3" t="s">
        <v>3500</v>
      </c>
      <c r="AU578" s="3" t="str">
        <f>IF(AND(G578&lt;&gt;"LIBSETS_SETTYPE_BATTLEGROUND",G578&lt;&gt;"LIBSETS_SETTYPE_SPECIAL"),IF(AV578&lt;&gt;"",VLOOKUP(AV578,'ESO zones'!$D$5:$H$4958,5,FALSE),""),"")</f>
        <v/>
      </c>
      <c r="AZ578" s="79"/>
      <c r="BA578" s="77" t="s">
        <v>3482</v>
      </c>
      <c r="BB578" s="77" t="s">
        <v>3482</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3365</v>
      </c>
      <c r="C579" t="s">
        <v>3358</v>
      </c>
      <c r="D579" s="3">
        <f t="shared" ref="D579:D642" si="54">A579</f>
        <v>660</v>
      </c>
      <c r="G579" s="8" t="s">
        <v>1454</v>
      </c>
      <c r="I579" t="s">
        <v>91</v>
      </c>
      <c r="J579" t="s">
        <v>91</v>
      </c>
      <c r="K579" s="86">
        <v>520</v>
      </c>
      <c r="L579" s="86">
        <v>520</v>
      </c>
      <c r="M579" s="86">
        <v>520</v>
      </c>
      <c r="O579" s="58" t="s">
        <v>3354</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DLCs'!$A$3:$D$99999,4,FALSE))</f>
        <v>DLC_LOST_DEPTHS</v>
      </c>
      <c r="U579" s="3" t="str">
        <f>IF(T579&lt;&gt;"",VLOOKUP(T579,'&lt;Constants&gt;'!$B$4:$C$1020,2,FALSE),"")</f>
        <v>Lost Depths</v>
      </c>
      <c r="V579" s="83" t="s">
        <v>3253</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3366</v>
      </c>
      <c r="C580" t="s">
        <v>3356</v>
      </c>
      <c r="D580" s="3">
        <f t="shared" si="54"/>
        <v>661</v>
      </c>
      <c r="G580" s="8" t="s">
        <v>1454</v>
      </c>
      <c r="I580" t="s">
        <v>91</v>
      </c>
      <c r="J580" t="s">
        <v>91</v>
      </c>
      <c r="K580" s="86">
        <v>520</v>
      </c>
      <c r="L580" s="86">
        <v>520</v>
      </c>
      <c r="M580" s="86">
        <v>520</v>
      </c>
      <c r="O580" s="58" t="s">
        <v>3354</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DLCs'!$A$3:$D$99999,4,FALSE))</f>
        <v>DLC_LOST_DEPTHS</v>
      </c>
      <c r="U580" s="3" t="str">
        <f>IF(T580&lt;&gt;"",VLOOKUP(T580,'&lt;Constants&gt;'!$B$4:$C$1020,2,FALSE),"")</f>
        <v>Lost Depths</v>
      </c>
      <c r="V580" s="83" t="s">
        <v>3253</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3367</v>
      </c>
      <c r="C581" t="s">
        <v>3357</v>
      </c>
      <c r="D581" s="3">
        <f t="shared" si="54"/>
        <v>662</v>
      </c>
      <c r="G581" s="8" t="s">
        <v>1454</v>
      </c>
      <c r="I581" t="s">
        <v>91</v>
      </c>
      <c r="J581" t="s">
        <v>91</v>
      </c>
      <c r="K581" s="86">
        <v>520</v>
      </c>
      <c r="L581" s="86">
        <v>520</v>
      </c>
      <c r="M581" s="86">
        <v>520</v>
      </c>
      <c r="O581" s="58" t="s">
        <v>3354</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DLCs'!$A$3:$D$99999,4,FALSE))</f>
        <v>DLC_LOST_DEPTHS</v>
      </c>
      <c r="U581" s="3" t="str">
        <f>IF(T581&lt;&gt;"",VLOOKUP(T581,'&lt;Constants&gt;'!$B$4:$C$1020,2,FALSE),"")</f>
        <v>Lost Depths</v>
      </c>
      <c r="V581" s="83" t="s">
        <v>3253</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3368</v>
      </c>
      <c r="C582" t="s">
        <v>3361</v>
      </c>
      <c r="D582" s="3">
        <f t="shared" si="54"/>
        <v>663</v>
      </c>
      <c r="G582" s="8" t="s">
        <v>1454</v>
      </c>
      <c r="I582" t="s">
        <v>91</v>
      </c>
      <c r="J582" t="s">
        <v>91</v>
      </c>
      <c r="K582">
        <v>521</v>
      </c>
      <c r="L582">
        <v>521</v>
      </c>
      <c r="M582">
        <v>521</v>
      </c>
      <c r="O582" s="58" t="s">
        <v>3355</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DLCs'!$A$3:$D$99999,4,FALSE))</f>
        <v>DLC_LOST_DEPTHS</v>
      </c>
      <c r="U582" s="3" t="str">
        <f>IF(T582&lt;&gt;"",VLOOKUP(T582,'&lt;Constants&gt;'!$B$4:$C$1020,2,FALSE),"")</f>
        <v>Lost Depths</v>
      </c>
      <c r="V582" s="83" t="s">
        <v>3253</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3375</v>
      </c>
      <c r="C583" t="s">
        <v>3360</v>
      </c>
      <c r="D583" s="3">
        <f t="shared" si="54"/>
        <v>664</v>
      </c>
      <c r="G583" s="8" t="s">
        <v>1454</v>
      </c>
      <c r="I583" t="s">
        <v>91</v>
      </c>
      <c r="J583" t="s">
        <v>91</v>
      </c>
      <c r="K583">
        <v>521</v>
      </c>
      <c r="L583">
        <v>521</v>
      </c>
      <c r="M583">
        <v>521</v>
      </c>
      <c r="O583" s="58" t="s">
        <v>3355</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DLCs'!$A$3:$D$99999,4,FALSE))</f>
        <v>DLC_LOST_DEPTHS</v>
      </c>
      <c r="U583" s="3" t="str">
        <f>IF(T583&lt;&gt;"",VLOOKUP(T583,'&lt;Constants&gt;'!$B$4:$C$1020,2,FALSE),"")</f>
        <v>Lost Depths</v>
      </c>
      <c r="V583" s="83" t="s">
        <v>3253</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3374</v>
      </c>
      <c r="C584" t="s">
        <v>3875</v>
      </c>
      <c r="D584" s="3">
        <f t="shared" si="54"/>
        <v>665</v>
      </c>
      <c r="G584" s="8" t="s">
        <v>1454</v>
      </c>
      <c r="I584" t="s">
        <v>91</v>
      </c>
      <c r="J584" t="s">
        <v>91</v>
      </c>
      <c r="K584">
        <v>521</v>
      </c>
      <c r="L584">
        <v>521</v>
      </c>
      <c r="M584">
        <v>521</v>
      </c>
      <c r="O584" s="58" t="s">
        <v>3355</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DLCs'!$A$3:$D$99999,4,FALSE))</f>
        <v>DLC_LOST_DEPTHS</v>
      </c>
      <c r="U584" s="3" t="str">
        <f>IF(T584&lt;&gt;"",VLOOKUP(T584,'&lt;Constants&gt;'!$B$4:$C$1020,2,FALSE),"")</f>
        <v>Lost Depths</v>
      </c>
      <c r="V584" s="83" t="s">
        <v>3253</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3370</v>
      </c>
      <c r="C585" t="s">
        <v>3359</v>
      </c>
      <c r="D585" s="3">
        <f t="shared" si="54"/>
        <v>666</v>
      </c>
      <c r="E585" s="37"/>
      <c r="G585" s="8" t="s">
        <v>1456</v>
      </c>
      <c r="H585">
        <v>3</v>
      </c>
      <c r="I585" t="s">
        <v>1443</v>
      </c>
      <c r="J585" t="s">
        <v>91</v>
      </c>
      <c r="K585">
        <v>520</v>
      </c>
      <c r="L585">
        <v>520</v>
      </c>
      <c r="M585">
        <v>520</v>
      </c>
      <c r="O585" s="58" t="s">
        <v>3354</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DLCs'!$A$3:$D$99999,4,FALSE))</f>
        <v>DLC_LOST_DEPTHS</v>
      </c>
      <c r="U585" s="3" t="str">
        <f>IF(T585&lt;&gt;"",VLOOKUP(T585,'&lt;Constants&gt;'!$B$4:$C$1020,2,FALSE),"")</f>
        <v>Lost Depths</v>
      </c>
      <c r="V585" s="30" t="s">
        <v>1518</v>
      </c>
      <c r="W585" s="3" t="s">
        <v>3359</v>
      </c>
      <c r="X585" s="3" t="s">
        <v>3370</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3369</v>
      </c>
      <c r="C586" t="s">
        <v>3362</v>
      </c>
      <c r="D586" s="3">
        <f t="shared" si="54"/>
        <v>667</v>
      </c>
      <c r="G586" s="8" t="s">
        <v>1456</v>
      </c>
      <c r="H586">
        <v>3</v>
      </c>
      <c r="I586" t="s">
        <v>1443</v>
      </c>
      <c r="J586" t="s">
        <v>91</v>
      </c>
      <c r="K586">
        <v>521</v>
      </c>
      <c r="L586">
        <v>521</v>
      </c>
      <c r="M586">
        <v>521</v>
      </c>
      <c r="O586" s="58" t="s">
        <v>3355</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DLCs'!$A$3:$D$99999,4,FALSE))</f>
        <v>DLC_LOST_DEPTHS</v>
      </c>
      <c r="U586" s="3" t="str">
        <f>IF(T586&lt;&gt;"",VLOOKUP(T586,'&lt;Constants&gt;'!$B$4:$C$1020,2,FALSE),"")</f>
        <v>Lost Depths</v>
      </c>
      <c r="V586" s="30" t="s">
        <v>1518</v>
      </c>
      <c r="W586" s="3" t="s">
        <v>3362</v>
      </c>
      <c r="X586" s="3" t="s">
        <v>3369</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3373</v>
      </c>
      <c r="C587" t="s">
        <v>3363</v>
      </c>
      <c r="D587" s="3">
        <f t="shared" si="54"/>
        <v>668</v>
      </c>
      <c r="G587" s="3" t="s">
        <v>1452</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DLCs'!$A$3:$D$99999,4,FALSE))</f>
        <v>DLC_BASE_GAME</v>
      </c>
      <c r="U587" s="3" t="str">
        <f>IF(T587&lt;&gt;"",VLOOKUP(T587,'&lt;Constants&gt;'!$B$4:$C$1020,2,FALSE),"")</f>
        <v>Included in base game</v>
      </c>
      <c r="V587" s="30" t="s">
        <v>1515</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3681</v>
      </c>
      <c r="AC587" s="38"/>
      <c r="AD587" s="38"/>
      <c r="AE587" s="125">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2736</v>
      </c>
      <c r="AK587" s="3">
        <f>IF(AND(G587&lt;&gt;"LIBSETS_SETTYPE_BATTLEGROUND",G587&lt;&gt;"LIBSETS_SETTYPE_SPECIAL"),IF(AL587&lt;&gt;"",VLOOKUP(AL587,'ESO zones'!$D$5:$H$4958,5,FALSE),""),"")</f>
        <v>181</v>
      </c>
      <c r="AL587" t="s">
        <v>124</v>
      </c>
      <c r="AM587" s="30" t="s">
        <v>3684</v>
      </c>
      <c r="AP587" s="3">
        <f>IF(AND(G587&lt;&gt;"LIBSETS_SETTYPE_BATTLEGROUND",G587&lt;&gt;"LIBSETS_SETTYPE_SPECIAL"),IF(AQ587&lt;&gt;"",VLOOKUP(AQ587,'ESO zones'!$D$5:$H$4958,5,FALSE),""),"")</f>
        <v>181</v>
      </c>
      <c r="AQ587" t="s">
        <v>124</v>
      </c>
      <c r="AR587" s="30" t="s">
        <v>1534</v>
      </c>
      <c r="AU587" s="3">
        <f>IF(AND(G587&lt;&gt;"LIBSETS_SETTYPE_BATTLEGROUND",G587&lt;&gt;"LIBSETS_SETTYPE_SPECIAL"),IF(AV587&lt;&gt;"",VLOOKUP(AV587,'ESO zones'!$D$5:$H$4958,5,FALSE),""),"")</f>
        <v>181</v>
      </c>
      <c r="AV587" t="s">
        <v>124</v>
      </c>
      <c r="AW587" s="30" t="s">
        <v>3205</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3371</v>
      </c>
      <c r="C588" t="s">
        <v>3876</v>
      </c>
      <c r="D588" s="3">
        <f t="shared" si="54"/>
        <v>669</v>
      </c>
      <c r="G588" s="3" t="s">
        <v>1452</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DLCs'!$A$3:$D$99999,4,FALSE))</f>
        <v>DLC_BASE_GAME</v>
      </c>
      <c r="U588" s="3" t="str">
        <f>IF(T588&lt;&gt;"",VLOOKUP(T588,'&lt;Constants&gt;'!$B$4:$C$1020,2,FALSE),"")</f>
        <v>Included in base game</v>
      </c>
      <c r="V588" s="30" t="s">
        <v>1515</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3681</v>
      </c>
      <c r="AC588" s="38"/>
      <c r="AD588" s="38"/>
      <c r="AE588" s="125">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2736</v>
      </c>
      <c r="AK588" s="3">
        <f>IF(AND(G588&lt;&gt;"LIBSETS_SETTYPE_BATTLEGROUND",G588&lt;&gt;"LIBSETS_SETTYPE_SPECIAL"),IF(AL588&lt;&gt;"",VLOOKUP(AL588,'ESO zones'!$D$5:$H$4958,5,FALSE),""),"")</f>
        <v>181</v>
      </c>
      <c r="AL588" t="s">
        <v>124</v>
      </c>
      <c r="AM588" s="30" t="s">
        <v>3684</v>
      </c>
      <c r="AP588" s="3">
        <f>IF(AND(G588&lt;&gt;"LIBSETS_SETTYPE_BATTLEGROUND",G588&lt;&gt;"LIBSETS_SETTYPE_SPECIAL"),IF(AQ588&lt;&gt;"",VLOOKUP(AQ588,'ESO zones'!$D$5:$H$4958,5,FALSE),""),"")</f>
        <v>181</v>
      </c>
      <c r="AQ588" t="s">
        <v>124</v>
      </c>
      <c r="AR588" s="30" t="s">
        <v>1534</v>
      </c>
      <c r="AU588" s="3">
        <f>IF(AND(G588&lt;&gt;"LIBSETS_SETTYPE_BATTLEGROUND",G588&lt;&gt;"LIBSETS_SETTYPE_SPECIAL"),IF(AV588&lt;&gt;"",VLOOKUP(AV588,'ESO zones'!$D$5:$H$4958,5,FALSE),""),"")</f>
        <v>181</v>
      </c>
      <c r="AV588" t="s">
        <v>124</v>
      </c>
      <c r="AW588" s="30" t="s">
        <v>3205</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3372</v>
      </c>
      <c r="C589" t="s">
        <v>3364</v>
      </c>
      <c r="D589" s="3">
        <f t="shared" si="54"/>
        <v>670</v>
      </c>
      <c r="G589" s="3" t="s">
        <v>1452</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DLCs'!$A$3:$D$99999,4,FALSE))</f>
        <v>DLC_BASE_GAME</v>
      </c>
      <c r="U589" s="3" t="str">
        <f>IF(T589&lt;&gt;"",VLOOKUP(T589,'&lt;Constants&gt;'!$B$4:$C$1020,2,FALSE),"")</f>
        <v>Included in base game</v>
      </c>
      <c r="V589" s="30" t="s">
        <v>1515</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3681</v>
      </c>
      <c r="AC589" s="38"/>
      <c r="AD589" s="38"/>
      <c r="AE589" s="125">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2736</v>
      </c>
      <c r="AK589" s="3">
        <f>IF(AND(G589&lt;&gt;"LIBSETS_SETTYPE_BATTLEGROUND",G589&lt;&gt;"LIBSETS_SETTYPE_SPECIAL"),IF(AL589&lt;&gt;"",VLOOKUP(AL589,'ESO zones'!$D$5:$H$4958,5,FALSE),""),"")</f>
        <v>181</v>
      </c>
      <c r="AL589" t="s">
        <v>124</v>
      </c>
      <c r="AM589" s="30" t="s">
        <v>3684</v>
      </c>
      <c r="AP589" s="3">
        <f>IF(AND(G589&lt;&gt;"LIBSETS_SETTYPE_BATTLEGROUND",G589&lt;&gt;"LIBSETS_SETTYPE_SPECIAL"),IF(AQ589&lt;&gt;"",VLOOKUP(AQ589,'ESO zones'!$D$5:$H$4958,5,FALSE),""),"")</f>
        <v>181</v>
      </c>
      <c r="AQ589" t="s">
        <v>124</v>
      </c>
      <c r="AR589" s="30" t="s">
        <v>1534</v>
      </c>
      <c r="AU589" s="3">
        <f>IF(AND(G589&lt;&gt;"LIBSETS_SETTYPE_BATTLEGROUND",G589&lt;&gt;"LIBSETS_SETTYPE_SPECIAL"),IF(AV589&lt;&gt;"",VLOOKUP(AV589,'ESO zones'!$D$5:$H$4958,5,FALSE),""),"")</f>
        <v>181</v>
      </c>
      <c r="AV589" t="s">
        <v>124</v>
      </c>
      <c r="AW589" s="30" t="s">
        <v>3205</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3414</v>
      </c>
      <c r="C590" t="s">
        <v>3384</v>
      </c>
      <c r="D590" s="3">
        <f t="shared" si="54"/>
        <v>671</v>
      </c>
      <c r="E590" s="37"/>
      <c r="G590" s="3" t="s">
        <v>1457</v>
      </c>
      <c r="I590" t="s">
        <v>91</v>
      </c>
      <c r="J590" t="s">
        <v>91</v>
      </c>
      <c r="K590">
        <v>524</v>
      </c>
      <c r="L590">
        <v>524</v>
      </c>
      <c r="M590">
        <v>524</v>
      </c>
      <c r="O590" s="58" t="s">
        <v>3436</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DLCs'!$A$3:$D$99999,4,FALSE))</f>
        <v>DLC_FIRESONG</v>
      </c>
      <c r="U590" s="3" t="str">
        <f>IF(T590&lt;&gt;"",VLOOKUP(T590,'&lt;Constants&gt;'!$B$4:$C$1020,2,FALSE),"")</f>
        <v>Firesong</v>
      </c>
      <c r="V590" s="30" t="s">
        <v>1534</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1535</v>
      </c>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1537</v>
      </c>
      <c r="AK590" s="3">
        <f>IF(AND(G590&lt;&gt;"LIBSETS_SETTYPE_BATTLEGROUND",G590&lt;&gt;"LIBSETS_SETTYPE_SPECIAL"),IF(AL590&lt;&gt;"",VLOOKUP(AL590,'ESO zones'!$D$5:$H$4958,5,FALSE),""),"")</f>
        <v>1383</v>
      </c>
      <c r="AL590" t="s">
        <v>3436</v>
      </c>
      <c r="AM590" s="39" t="s">
        <v>3193</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3415</v>
      </c>
      <c r="C591" t="s">
        <v>3385</v>
      </c>
      <c r="D591" s="3">
        <f t="shared" si="54"/>
        <v>672</v>
      </c>
      <c r="G591" s="3" t="s">
        <v>1457</v>
      </c>
      <c r="I591" t="s">
        <v>91</v>
      </c>
      <c r="J591" t="s">
        <v>91</v>
      </c>
      <c r="K591">
        <v>524</v>
      </c>
      <c r="L591">
        <v>524</v>
      </c>
      <c r="M591">
        <v>524</v>
      </c>
      <c r="O591" s="58" t="s">
        <v>3436</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DLCs'!$A$3:$D$99999,4,FALSE))</f>
        <v>DLC_FIRESONG</v>
      </c>
      <c r="U591" s="3" t="str">
        <f>IF(T591&lt;&gt;"",VLOOKUP(T591,'&lt;Constants&gt;'!$B$4:$C$1020,2,FALSE),"")</f>
        <v>Firesong</v>
      </c>
      <c r="V591" s="30" t="s">
        <v>1534</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1535</v>
      </c>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1537</v>
      </c>
      <c r="AK591" s="3">
        <f>IF(AND(G591&lt;&gt;"LIBSETS_SETTYPE_BATTLEGROUND",G591&lt;&gt;"LIBSETS_SETTYPE_SPECIAL"),IF(AL591&lt;&gt;"",VLOOKUP(AL591,'ESO zones'!$D$5:$H$4958,5,FALSE),""),"")</f>
        <v>1383</v>
      </c>
      <c r="AL591" t="s">
        <v>3436</v>
      </c>
      <c r="AM591" s="39" t="s">
        <v>3193</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3416</v>
      </c>
      <c r="C592" t="s">
        <v>3386</v>
      </c>
      <c r="D592" s="3">
        <f t="shared" si="54"/>
        <v>673</v>
      </c>
      <c r="G592" s="3" t="s">
        <v>1457</v>
      </c>
      <c r="I592" t="s">
        <v>91</v>
      </c>
      <c r="J592" t="s">
        <v>91</v>
      </c>
      <c r="K592">
        <v>524</v>
      </c>
      <c r="L592">
        <v>524</v>
      </c>
      <c r="M592">
        <v>524</v>
      </c>
      <c r="O592" s="58" t="s">
        <v>3436</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DLCs'!$A$3:$D$99999,4,FALSE))</f>
        <v>DLC_FIRESONG</v>
      </c>
      <c r="U592" s="3" t="str">
        <f>IF(T592&lt;&gt;"",VLOOKUP(T592,'&lt;Constants&gt;'!$B$4:$C$1020,2,FALSE),"")</f>
        <v>Firesong</v>
      </c>
      <c r="V592" s="30" t="s">
        <v>1534</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1535</v>
      </c>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1537</v>
      </c>
      <c r="AK592" s="3">
        <f>IF(AND(G592&lt;&gt;"LIBSETS_SETTYPE_BATTLEGROUND",G592&lt;&gt;"LIBSETS_SETTYPE_SPECIAL"),IF(AL592&lt;&gt;"",VLOOKUP(AL592,'ESO zones'!$D$5:$H$4958,5,FALSE),""),"")</f>
        <v>1383</v>
      </c>
      <c r="AL592" t="s">
        <v>3436</v>
      </c>
      <c r="AM592" s="39" t="s">
        <v>3193</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3417</v>
      </c>
      <c r="C593" t="s">
        <v>3392</v>
      </c>
      <c r="D593" s="3">
        <f t="shared" si="54"/>
        <v>674</v>
      </c>
      <c r="G593" s="87" t="s">
        <v>1654</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DLCs'!$A$3:$D$99999,4,FALSE))</f>
        <v>DLC_FIRESONG</v>
      </c>
      <c r="U593" s="3" t="str">
        <f>IF(T593&lt;&gt;"",VLOOKUP(T593,'&lt;Constants&gt;'!$B$4:$C$1020,2,FALSE),"")</f>
        <v>Firesong</v>
      </c>
      <c r="V593" s="39" t="s">
        <v>3193</v>
      </c>
      <c r="W593" s="3" t="s">
        <v>3499</v>
      </c>
      <c r="X593" s="3" t="s">
        <v>3500</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1535</v>
      </c>
      <c r="AC593" s="3" t="s">
        <v>3555</v>
      </c>
      <c r="AD593" s="3" t="s">
        <v>3556</v>
      </c>
      <c r="AE593" s="38"/>
      <c r="AF593" s="3">
        <v>1318</v>
      </c>
      <c r="AG593" t="str">
        <f>IF(AND(AF593&lt;&gt;"",ISNUMBER(AF593),NOT(ISNA(AF593))),VLOOKUP(AF593,'ESO zones'!$A$5:$D$10004,4,FALSE),"")</f>
        <v>High Isle</v>
      </c>
      <c r="AH593" s="30" t="s">
        <v>3557</v>
      </c>
      <c r="AI593" s="3" t="s">
        <v>3561</v>
      </c>
      <c r="AJ593" s="3" t="s">
        <v>3562</v>
      </c>
      <c r="AK593" s="3">
        <f>IF(AND(G593&lt;&gt;"LIBSETS_SETTYPE_BATTLEGROUND",G593&lt;&gt;"LIBSETS_SETTYPE_SPECIAL"),IF(AL593&lt;&gt;"",VLOOKUP(AL593,'ESO zones'!$D$5:$H$4958,5,FALSE),""),"")</f>
        <v>1318</v>
      </c>
      <c r="AL593" t="s">
        <v>3295</v>
      </c>
      <c r="AM593" s="30" t="s">
        <v>3237</v>
      </c>
      <c r="AN593" s="3" t="s">
        <v>3567</v>
      </c>
      <c r="AO593" s="3" t="s">
        <v>3568</v>
      </c>
      <c r="AP593" s="3">
        <f>IF(AND(G593&lt;&gt;"LIBSETS_SETTYPE_BATTLEGROUND",G593&lt;&gt;"LIBSETS_SETTYPE_SPECIAL"),IF(AQ593&lt;&gt;"",VLOOKUP(AQ593,'ESO zones'!$D$5:$H$4958,5,FALSE),""),"")</f>
        <v>1334</v>
      </c>
      <c r="AQ593" t="s">
        <v>3331</v>
      </c>
      <c r="AR593" s="30" t="s">
        <v>1534</v>
      </c>
      <c r="AU593" s="3">
        <f>IF(AND(G593&lt;&gt;"LIBSETS_SETTYPE_BATTLEGROUND",G593&lt;&gt;"LIBSETS_SETTYPE_SPECIAL"),IF(AV593&lt;&gt;"",VLOOKUP(AV593,'ESO zones'!$D$5:$H$4958,5,FALSE),""),"")</f>
        <v>162</v>
      </c>
      <c r="AV593" t="s">
        <v>120</v>
      </c>
      <c r="AW593" s="30" t="s">
        <v>1536</v>
      </c>
      <c r="AX593" s="3" t="s">
        <v>3569</v>
      </c>
      <c r="AY593" s="3" t="s">
        <v>3570</v>
      </c>
      <c r="AZ593" s="79"/>
      <c r="BA593" s="77" t="s">
        <v>3552</v>
      </c>
      <c r="BB593" s="77" t="s">
        <v>3552</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3418</v>
      </c>
      <c r="C594" t="s">
        <v>3393</v>
      </c>
      <c r="D594" s="3">
        <f t="shared" si="54"/>
        <v>675</v>
      </c>
      <c r="G594" s="87" t="s">
        <v>1654</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DLCs'!$A$3:$D$99999,4,FALSE))</f>
        <v>DLC_FIRESONG</v>
      </c>
      <c r="U594" s="3" t="str">
        <f>IF(T594&lt;&gt;"",VLOOKUP(T594,'&lt;Constants&gt;'!$B$4:$C$1020,2,FALSE),"")</f>
        <v>Firesong</v>
      </c>
      <c r="V594" s="30" t="s">
        <v>1536</v>
      </c>
      <c r="W594" s="3" t="s">
        <v>3809</v>
      </c>
      <c r="X594" s="3" t="s">
        <v>3810</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1535</v>
      </c>
      <c r="AC594" s="3" t="s">
        <v>3571</v>
      </c>
      <c r="AD594" s="3" t="s">
        <v>3572</v>
      </c>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3182</v>
      </c>
      <c r="AI594" s="3" t="s">
        <v>3575</v>
      </c>
      <c r="AJ594" s="3" t="s">
        <v>3576</v>
      </c>
      <c r="AK594" s="3">
        <f>IF(AND(G595&lt;&gt;"LIBSETS_SETTYPE_BATTLEGROUND",G595&lt;&gt;"LIBSETS_SETTYPE_SPECIAL"),IF(AL594&lt;&gt;"",VLOOKUP(AL594,'ESO zones'!$D$5:$H$4958,5,FALSE),""),"")</f>
        <v>1383</v>
      </c>
      <c r="AL594" t="s">
        <v>3436</v>
      </c>
      <c r="AM594" s="30" t="s">
        <v>3205</v>
      </c>
      <c r="AN594" s="3" t="s">
        <v>3573</v>
      </c>
      <c r="AO594" s="3" t="s">
        <v>3574</v>
      </c>
      <c r="AP594" s="3">
        <f>IF(AND(G595&lt;&gt;"LIBSETS_SETTYPE_BATTLEGROUND",G595&lt;&gt;"LIBSETS_SETTYPE_SPECIAL"),IF(AQ594&lt;&gt;"",VLOOKUP(AQ594,'ESO zones'!$D$5:$H$4958,5,FALSE),""),"")</f>
        <v>1383</v>
      </c>
      <c r="AQ594" t="s">
        <v>3436</v>
      </c>
      <c r="AR594" s="30" t="s">
        <v>3557</v>
      </c>
      <c r="AS594" s="3" t="s">
        <v>3563</v>
      </c>
      <c r="AT594" s="3" t="s">
        <v>3564</v>
      </c>
      <c r="AU594" s="3" t="str">
        <f>IF(AND(G594&lt;&gt;"LIBSETS_SETTYPE_BATTLEGROUND",G594&lt;&gt;"LIBSETS_SETTYPE_SPECIAL"),IF(AV594&lt;&gt;"",VLOOKUP(AV594,'ESO zones'!$D$5:$H$4958,5,FALSE),""),"")</f>
        <v/>
      </c>
      <c r="BA594" s="88" t="s">
        <v>3553</v>
      </c>
      <c r="BB594" s="88" t="s">
        <v>3553</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3419</v>
      </c>
      <c r="C595" t="s">
        <v>3394</v>
      </c>
      <c r="D595" s="3">
        <f t="shared" si="54"/>
        <v>676</v>
      </c>
      <c r="G595" s="87" t="s">
        <v>1654</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DLCs'!$A$3:$D$99999,4,FALSE))</f>
        <v>DLC_FIRESONG</v>
      </c>
      <c r="U595" s="3" t="str">
        <f>IF(T595&lt;&gt;"",VLOOKUP(T595,'&lt;Constants&gt;'!$B$4:$C$1020,2,FALSE),"")</f>
        <v>Firesong</v>
      </c>
      <c r="V595" s="39" t="s">
        <v>3193</v>
      </c>
      <c r="W595" s="3" t="s">
        <v>3577</v>
      </c>
      <c r="X595" s="3" t="s">
        <v>3578</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1535</v>
      </c>
      <c r="AC595" s="3" t="s">
        <v>3580</v>
      </c>
      <c r="AD595" s="3" t="s">
        <v>3579</v>
      </c>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3187</v>
      </c>
      <c r="AI595" s="3" t="s">
        <v>3581</v>
      </c>
      <c r="AJ595" s="3" t="s">
        <v>3582</v>
      </c>
      <c r="AK595" s="3">
        <f>IF(AND(G596&lt;&gt;"LIBSETS_SETTYPE_BATTLEGROUND",G596&lt;&gt;"LIBSETS_SETTYPE_SPECIAL"),IF(AL595&lt;&gt;"",VLOOKUP(AL595,'ESO zones'!$D$5:$H$4958,5,FALSE),""),"")</f>
        <v>1302</v>
      </c>
      <c r="AL595" t="s">
        <v>2696</v>
      </c>
      <c r="AM595" s="30" t="s">
        <v>3253</v>
      </c>
      <c r="AN595" s="3" t="s">
        <v>3583</v>
      </c>
      <c r="AO595" s="3" t="s">
        <v>3584</v>
      </c>
      <c r="AP595" s="3">
        <f>IF(AND(G596&lt;&gt;"LIBSETS_SETTYPE_BATTLEGROUND",G596&lt;&gt;"LIBSETS_SETTYPE_SPECIAL"),IF(AQ595&lt;&gt;"",VLOOKUP(AQ595,'ESO zones'!$D$5:$H$4958,5,FALSE),""),"")</f>
        <v>935</v>
      </c>
      <c r="AQ595" t="s">
        <v>96</v>
      </c>
      <c r="AR595" s="30" t="s">
        <v>3253</v>
      </c>
      <c r="AS595" s="3" t="s">
        <v>1344</v>
      </c>
      <c r="AT595" s="3" t="s">
        <v>1610</v>
      </c>
      <c r="AU595" s="3" t="str">
        <f>IF(AND(G595&lt;&gt;"LIBSETS_SETTYPE_BATTLEGROUND",G595&lt;&gt;"LIBSETS_SETTYPE_SPECIAL"),IF(AV595&lt;&gt;"",VLOOKUP(AV595,'ESO zones'!$D$5:$H$4958,5,FALSE),""),"")</f>
        <v/>
      </c>
      <c r="BA595" s="88" t="s">
        <v>3554</v>
      </c>
      <c r="BB595" s="88" t="s">
        <v>3554</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3420</v>
      </c>
      <c r="C596" s="80" t="s">
        <v>3391</v>
      </c>
      <c r="D596" s="3">
        <f t="shared" si="54"/>
        <v>677</v>
      </c>
      <c r="G596" s="87" t="s">
        <v>1451</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DLCs'!$A$3:$D$99999,4,FALSE))</f>
        <v>DLC_FIRESONG</v>
      </c>
      <c r="U596" s="3" t="str">
        <f>IF(T596&lt;&gt;"",VLOOKUP(T596,'&lt;Constants&gt;'!$B$4:$C$1020,2,FALSE),"")</f>
        <v>Firesong</v>
      </c>
      <c r="V596" s="30" t="s">
        <v>3256</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3421</v>
      </c>
      <c r="C597" s="80" t="s">
        <v>3389</v>
      </c>
      <c r="D597" s="3">
        <f t="shared" si="54"/>
        <v>678</v>
      </c>
      <c r="G597" s="87" t="s">
        <v>1451</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DLCs'!$A$3:$D$99999,4,FALSE))</f>
        <v>DLC_FIRESONG</v>
      </c>
      <c r="U597" s="3" t="str">
        <f>IF(T597&lt;&gt;"",VLOOKUP(T597,'&lt;Constants&gt;'!$B$4:$C$1020,2,FALSE),"")</f>
        <v>Firesong</v>
      </c>
      <c r="V597" s="30" t="s">
        <v>3256</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3422</v>
      </c>
      <c r="C598" s="80" t="s">
        <v>3390</v>
      </c>
      <c r="D598" s="3">
        <f t="shared" si="54"/>
        <v>679</v>
      </c>
      <c r="G598" s="87" t="s">
        <v>1451</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DLCs'!$A$3:$D$99999,4,FALSE))</f>
        <v>DLC_FIRESONG</v>
      </c>
      <c r="U598" s="3" t="str">
        <f>IF(T598&lt;&gt;"",VLOOKUP(T598,'&lt;Constants&gt;'!$B$4:$C$1020,2,FALSE),"")</f>
        <v>Firesong</v>
      </c>
      <c r="V598" s="30" t="s">
        <v>3256</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3531</v>
      </c>
      <c r="C599" s="80" t="s">
        <v>3877</v>
      </c>
      <c r="D599" s="3">
        <f t="shared" si="54"/>
        <v>680</v>
      </c>
      <c r="G599" s="8" t="s">
        <v>1454</v>
      </c>
      <c r="I599" t="s">
        <v>91</v>
      </c>
      <c r="J599" t="s">
        <v>91</v>
      </c>
      <c r="K599">
        <v>531</v>
      </c>
      <c r="L599">
        <v>531</v>
      </c>
      <c r="M599">
        <v>531</v>
      </c>
      <c r="O599" s="58" t="s">
        <v>3518</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DLCs'!$A$3:$D$99999,4,FALSE))</f>
        <v>DLC_SCRIBES_OF_FATE</v>
      </c>
      <c r="U599" s="3" t="str">
        <f>IF(T599&lt;&gt;"",VLOOKUP(T599,'&lt;Constants&gt;'!$B$4:$C$1020,2,FALSE),"")</f>
        <v>Scribes of Fate</v>
      </c>
      <c r="V599" s="83" t="s">
        <v>3253</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3532</v>
      </c>
      <c r="C600" s="80" t="s">
        <v>3878</v>
      </c>
      <c r="D600" s="3">
        <f t="shared" si="54"/>
        <v>681</v>
      </c>
      <c r="G600" s="8" t="s">
        <v>1454</v>
      </c>
      <c r="I600" t="s">
        <v>91</v>
      </c>
      <c r="J600" t="s">
        <v>91</v>
      </c>
      <c r="K600">
        <v>531</v>
      </c>
      <c r="L600">
        <v>531</v>
      </c>
      <c r="M600">
        <v>531</v>
      </c>
      <c r="O600" s="58" t="s">
        <v>3518</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DLCs'!$A$3:$D$99999,4,FALSE))</f>
        <v>DLC_SCRIBES_OF_FATE</v>
      </c>
      <c r="U600" s="3" t="str">
        <f>IF(T600&lt;&gt;"",VLOOKUP(T600,'&lt;Constants&gt;'!$B$4:$C$1020,2,FALSE),"")</f>
        <v>Scribes of Fate</v>
      </c>
      <c r="V600" s="83" t="s">
        <v>3253</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3533</v>
      </c>
      <c r="C601" s="80" t="s">
        <v>3519</v>
      </c>
      <c r="D601" s="3">
        <f t="shared" si="54"/>
        <v>682</v>
      </c>
      <c r="G601" s="8" t="s">
        <v>1454</v>
      </c>
      <c r="I601" t="s">
        <v>91</v>
      </c>
      <c r="J601" t="s">
        <v>91</v>
      </c>
      <c r="K601">
        <v>531</v>
      </c>
      <c r="L601">
        <v>531</v>
      </c>
      <c r="M601">
        <v>531</v>
      </c>
      <c r="O601" s="58" t="s">
        <v>3518</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DLCs'!$A$3:$D$99999,4,FALSE))</f>
        <v>DLC_SCRIBES_OF_FATE</v>
      </c>
      <c r="U601" s="3" t="str">
        <f>IF(T601&lt;&gt;"",VLOOKUP(T601,'&lt;Constants&gt;'!$B$4:$C$1020,2,FALSE),"")</f>
        <v>Scribes of Fate</v>
      </c>
      <c r="V601" s="83" t="s">
        <v>3253</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3534</v>
      </c>
      <c r="C602" s="80" t="s">
        <v>3520</v>
      </c>
      <c r="D602" s="3">
        <f t="shared" si="54"/>
        <v>683</v>
      </c>
      <c r="G602" s="8" t="s">
        <v>1456</v>
      </c>
      <c r="H602">
        <v>3</v>
      </c>
      <c r="I602" t="s">
        <v>1443</v>
      </c>
      <c r="K602">
        <v>531</v>
      </c>
      <c r="L602">
        <v>531</v>
      </c>
      <c r="M602">
        <v>531</v>
      </c>
      <c r="O602" s="58" t="s">
        <v>3518</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DLCs'!$A$3:$D$99999,4,FALSE))</f>
        <v>DLC_SCRIBES_OF_FATE</v>
      </c>
      <c r="U602" s="3" t="str">
        <f>IF(T602&lt;&gt;"",VLOOKUP(T602,'&lt;Constants&gt;'!$B$4:$C$1020,2,FALSE),"")</f>
        <v>Scribes of Fate</v>
      </c>
      <c r="V602" s="30" t="s">
        <v>1518</v>
      </c>
      <c r="W602" s="3" t="s">
        <v>3520</v>
      </c>
      <c r="X602" s="3" t="s">
        <v>3551</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3535</v>
      </c>
      <c r="C603" s="80" t="s">
        <v>3523</v>
      </c>
      <c r="D603" s="3">
        <f t="shared" si="54"/>
        <v>684</v>
      </c>
      <c r="G603" s="8" t="s">
        <v>1454</v>
      </c>
      <c r="I603" t="s">
        <v>91</v>
      </c>
      <c r="J603" t="s">
        <v>91</v>
      </c>
      <c r="K603">
        <v>532</v>
      </c>
      <c r="L603">
        <v>532</v>
      </c>
      <c r="M603">
        <v>532</v>
      </c>
      <c r="O603" s="58" t="s">
        <v>3544</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DLCs'!$A$3:$D$99999,4,FALSE))</f>
        <v>DLC_SCRIBES_OF_FATE</v>
      </c>
      <c r="U603" s="3" t="str">
        <f>IF(T603&lt;&gt;"",VLOOKUP(T603,'&lt;Constants&gt;'!$B$4:$C$1020,2,FALSE),"")</f>
        <v>Scribes of Fate</v>
      </c>
      <c r="V603" s="83" t="s">
        <v>3253</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3536</v>
      </c>
      <c r="C604" s="80" t="s">
        <v>3524</v>
      </c>
      <c r="D604" s="3">
        <f t="shared" si="54"/>
        <v>685</v>
      </c>
      <c r="G604" s="8" t="s">
        <v>1454</v>
      </c>
      <c r="I604" t="s">
        <v>91</v>
      </c>
      <c r="J604" t="s">
        <v>91</v>
      </c>
      <c r="K604">
        <v>532</v>
      </c>
      <c r="L604">
        <v>532</v>
      </c>
      <c r="M604">
        <v>532</v>
      </c>
      <c r="O604" s="58" t="s">
        <v>3544</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DLCs'!$A$3:$D$99999,4,FALSE))</f>
        <v>DLC_SCRIBES_OF_FATE</v>
      </c>
      <c r="U604" s="3" t="str">
        <f>IF(T604&lt;&gt;"",VLOOKUP(T604,'&lt;Constants&gt;'!$B$4:$C$1020,2,FALSE),"")</f>
        <v>Scribes of Fate</v>
      </c>
      <c r="V604" s="83" t="s">
        <v>3253</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3537</v>
      </c>
      <c r="C605" s="80" t="s">
        <v>3521</v>
      </c>
      <c r="D605" s="3">
        <f t="shared" si="54"/>
        <v>686</v>
      </c>
      <c r="G605" s="8" t="s">
        <v>1454</v>
      </c>
      <c r="I605" t="s">
        <v>91</v>
      </c>
      <c r="J605" t="s">
        <v>91</v>
      </c>
      <c r="K605">
        <v>532</v>
      </c>
      <c r="L605">
        <v>532</v>
      </c>
      <c r="M605">
        <v>532</v>
      </c>
      <c r="O605" s="58" t="s">
        <v>3544</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DLCs'!$A$3:$D$99999,4,FALSE))</f>
        <v>DLC_SCRIBES_OF_FATE</v>
      </c>
      <c r="U605" s="3" t="str">
        <f>IF(T605&lt;&gt;"",VLOOKUP(T605,'&lt;Constants&gt;'!$B$4:$C$1020,2,FALSE),"")</f>
        <v>Scribes of Fate</v>
      </c>
      <c r="V605" s="83" t="s">
        <v>3253</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3538</v>
      </c>
      <c r="C606" s="80" t="s">
        <v>3522</v>
      </c>
      <c r="D606" s="3">
        <f t="shared" si="54"/>
        <v>687</v>
      </c>
      <c r="G606" s="8" t="s">
        <v>1456</v>
      </c>
      <c r="H606">
        <v>3</v>
      </c>
      <c r="I606" t="s">
        <v>1443</v>
      </c>
      <c r="K606">
        <v>532</v>
      </c>
      <c r="L606">
        <v>532</v>
      </c>
      <c r="M606">
        <v>532</v>
      </c>
      <c r="O606" s="58" t="s">
        <v>3544</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DLCs'!$A$3:$D$99999,4,FALSE))</f>
        <v>DLC_SCRIBES_OF_FATE</v>
      </c>
      <c r="U606" s="3" t="str">
        <f>IF(T606&lt;&gt;"",VLOOKUP(T606,'&lt;Constants&gt;'!$B$4:$C$1020,2,FALSE),"")</f>
        <v>Scribes of Fate</v>
      </c>
      <c r="V606" s="30" t="s">
        <v>1518</v>
      </c>
      <c r="W606" s="3" t="s">
        <v>3522</v>
      </c>
      <c r="X606" s="3" t="s">
        <v>3538</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c r="AD606" s="38"/>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3539</v>
      </c>
      <c r="C607" t="s">
        <v>3548</v>
      </c>
      <c r="D607" s="3">
        <f t="shared" si="54"/>
        <v>688</v>
      </c>
      <c r="G607" s="8" t="s">
        <v>1452</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DLCs'!$A$3:$D$99999,4,FALSE))</f>
        <v>DLC_SCRIBES_OF_FATE</v>
      </c>
      <c r="U607" s="3" t="str">
        <f>IF(T607&lt;&gt;"",VLOOKUP(T607,'&lt;Constants&gt;'!$B$4:$C$1020,2,FALSE),"")</f>
        <v>Scribes of Fate</v>
      </c>
      <c r="V607" s="30" t="s">
        <v>1515</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3681</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2736</v>
      </c>
      <c r="AK607" s="3">
        <f>IF(AND(G607&lt;&gt;"LIBSETS_SETTYPE_BATTLEGROUND",G607&lt;&gt;"LIBSETS_SETTYPE_SPECIAL"),IF(AL607&lt;&gt;"",VLOOKUP(AL607,'ESO zones'!$D$5:$H$4958,5,FALSE),""),"")</f>
        <v>181</v>
      </c>
      <c r="AL607" t="s">
        <v>124</v>
      </c>
      <c r="AM607" s="30" t="s">
        <v>3684</v>
      </c>
      <c r="AP607" s="3">
        <f>IF(AND(G607&lt;&gt;"LIBSETS_SETTYPE_BATTLEGROUND",G607&lt;&gt;"LIBSETS_SETTYPE_SPECIAL"),IF(AQ607&lt;&gt;"",VLOOKUP(AQ607,'ESO zones'!$D$5:$H$4958,5,FALSE),""),"")</f>
        <v>181</v>
      </c>
      <c r="AQ607" t="s">
        <v>124</v>
      </c>
      <c r="AR607" s="30" t="s">
        <v>1534</v>
      </c>
      <c r="AU607" s="3">
        <f>IF(AND(G607&lt;&gt;"LIBSETS_SETTYPE_BATTLEGROUND",G607&lt;&gt;"LIBSETS_SETTYPE_SPECIAL"),IF(AV607&lt;&gt;"",VLOOKUP(AV607,'ESO zones'!$D$5:$H$4958,5,FALSE),""),"")</f>
        <v>181</v>
      </c>
      <c r="AV607" t="s">
        <v>124</v>
      </c>
      <c r="AW607" s="30" t="s">
        <v>3205</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3540</v>
      </c>
      <c r="C608" t="s">
        <v>3549</v>
      </c>
      <c r="D608" s="3">
        <f t="shared" si="54"/>
        <v>689</v>
      </c>
      <c r="G608" s="8" t="s">
        <v>1452</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DLCs'!$A$3:$D$99999,4,FALSE))</f>
        <v>DLC_SCRIBES_OF_FATE</v>
      </c>
      <c r="U608" s="3" t="str">
        <f>IF(T608&lt;&gt;"",VLOOKUP(T608,'&lt;Constants&gt;'!$B$4:$C$1020,2,FALSE),"")</f>
        <v>Scribes of Fate</v>
      </c>
      <c r="V608" s="30" t="s">
        <v>1515</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3681</v>
      </c>
      <c r="AC608" s="38"/>
      <c r="AD608" s="38"/>
      <c r="AE608" s="125">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2736</v>
      </c>
      <c r="AK608" s="3">
        <f>IF(AND(G608&lt;&gt;"LIBSETS_SETTYPE_BATTLEGROUND",G608&lt;&gt;"LIBSETS_SETTYPE_SPECIAL"),IF(AL608&lt;&gt;"",VLOOKUP(AL608,'ESO zones'!$D$5:$H$4958,5,FALSE),""),"")</f>
        <v>181</v>
      </c>
      <c r="AL608" t="s">
        <v>124</v>
      </c>
      <c r="AM608" s="30" t="s">
        <v>3684</v>
      </c>
      <c r="AP608" s="3">
        <f>IF(AND(G608&lt;&gt;"LIBSETS_SETTYPE_BATTLEGROUND",G608&lt;&gt;"LIBSETS_SETTYPE_SPECIAL"),IF(AQ608&lt;&gt;"",VLOOKUP(AQ608,'ESO zones'!$D$5:$H$4958,5,FALSE),""),"")</f>
        <v>181</v>
      </c>
      <c r="AQ608" t="s">
        <v>124</v>
      </c>
      <c r="AR608" s="30" t="s">
        <v>1534</v>
      </c>
      <c r="AU608" s="3">
        <f>IF(AND(G608&lt;&gt;"LIBSETS_SETTYPE_BATTLEGROUND",G608&lt;&gt;"LIBSETS_SETTYPE_SPECIAL"),IF(AV608&lt;&gt;"",VLOOKUP(AV608,'ESO zones'!$D$5:$H$4958,5,FALSE),""),"")</f>
        <v>181</v>
      </c>
      <c r="AV608" t="s">
        <v>124</v>
      </c>
      <c r="AW608" s="30" t="s">
        <v>3205</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3541</v>
      </c>
      <c r="C609" t="s">
        <v>3550</v>
      </c>
      <c r="D609" s="3">
        <f t="shared" si="54"/>
        <v>690</v>
      </c>
      <c r="G609" s="8" t="s">
        <v>1452</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DLCs'!$A$3:$D$99999,4,FALSE))</f>
        <v>DLC_SCRIBES_OF_FATE</v>
      </c>
      <c r="U609" s="3" t="str">
        <f>IF(T609&lt;&gt;"",VLOOKUP(T609,'&lt;Constants&gt;'!$B$4:$C$1020,2,FALSE),"")</f>
        <v>Scribes of Fate</v>
      </c>
      <c r="V609" s="30" t="s">
        <v>1515</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3681</v>
      </c>
      <c r="AC609" s="38"/>
      <c r="AD609" s="38"/>
      <c r="AE609" s="125">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2736</v>
      </c>
      <c r="AK609" s="3">
        <f>IF(AND(G609&lt;&gt;"LIBSETS_SETTYPE_BATTLEGROUND",G609&lt;&gt;"LIBSETS_SETTYPE_SPECIAL"),IF(AL609&lt;&gt;"",VLOOKUP(AL609,'ESO zones'!$D$5:$H$4958,5,FALSE),""),"")</f>
        <v>181</v>
      </c>
      <c r="AL609" t="s">
        <v>124</v>
      </c>
      <c r="AM609" s="30" t="s">
        <v>3684</v>
      </c>
      <c r="AP609" s="3">
        <f>IF(AND(G609&lt;&gt;"LIBSETS_SETTYPE_BATTLEGROUND",G609&lt;&gt;"LIBSETS_SETTYPE_SPECIAL"),IF(AQ609&lt;&gt;"",VLOOKUP(AQ609,'ESO zones'!$D$5:$H$4958,5,FALSE),""),"")</f>
        <v>181</v>
      </c>
      <c r="AQ609" t="s">
        <v>124</v>
      </c>
      <c r="AR609" s="30" t="s">
        <v>1534</v>
      </c>
      <c r="AU609" s="3">
        <f>IF(AND(G609&lt;&gt;"LIBSETS_SETTYPE_BATTLEGROUND",G609&lt;&gt;"LIBSETS_SETTYPE_SPECIAL"),IF(AV609&lt;&gt;"",VLOOKUP(AV609,'ESO zones'!$D$5:$H$4958,5,FALSE),""),"")</f>
        <v>181</v>
      </c>
      <c r="AV609" t="s">
        <v>124</v>
      </c>
      <c r="AW609" s="30" t="s">
        <v>3205</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3779</v>
      </c>
      <c r="C610" s="33" t="s">
        <v>4228</v>
      </c>
      <c r="D610" s="3">
        <f t="shared" si="54"/>
        <v>691</v>
      </c>
      <c r="G610" s="87" t="s">
        <v>1654</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DLCs'!$A$3:$D$99999,4,FALSE))</f>
        <v>DLC_NECROM</v>
      </c>
      <c r="U610" s="3" t="str">
        <f>IF(T610&lt;&gt;"",VLOOKUP(T610,'&lt;Constants&gt;'!$B$4:$C$1020,2,FALSE),"")</f>
        <v>Necrom</v>
      </c>
      <c r="V610" s="39" t="s">
        <v>3182</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1534</v>
      </c>
      <c r="AC610" s="3" t="s">
        <v>3782</v>
      </c>
      <c r="AD610" s="3" t="s">
        <v>3781</v>
      </c>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1535</v>
      </c>
      <c r="AI610" s="3" t="s">
        <v>3785</v>
      </c>
      <c r="AJ610" s="3" t="s">
        <v>3780</v>
      </c>
      <c r="AK610" s="3">
        <f>IF(AND(G611&lt;&gt;"LIBSETS_SETTYPE_BATTLEGROUND",G611&lt;&gt;"LIBSETS_SETTYPE_SPECIAL"),IF(AL610&lt;&gt;"",VLOOKUP(AL610,'ESO zones'!$D$5:$H$4958,5,FALSE),""),"")</f>
        <v>1414</v>
      </c>
      <c r="AL610" t="s">
        <v>3644</v>
      </c>
      <c r="AM610" s="30" t="s">
        <v>1537</v>
      </c>
      <c r="AP610" s="3">
        <f>IF(AND(G611&lt;&gt;"LIBSETS_SETTYPE_BATTLEGROUND",G611&lt;&gt;"LIBSETS_SETTYPE_SPECIAL"),IF(AQ610&lt;&gt;"",VLOOKUP(AQ610,'ESO zones'!$D$5:$H$4958,5,FALSE),""),"")</f>
        <v>1389</v>
      </c>
      <c r="AQ610" t="s">
        <v>3518</v>
      </c>
      <c r="AR610" s="30" t="s">
        <v>3253</v>
      </c>
      <c r="AS610" s="3" t="s">
        <v>3783</v>
      </c>
      <c r="AT610" s="3" t="s">
        <v>3784</v>
      </c>
      <c r="AU610" s="3" t="str">
        <f>IF(AND(G610&lt;&gt;"LIBSETS_SETTYPE_BATTLEGROUND",G610&lt;&gt;"LIBSETS_SETTYPE_SPECIAL"),IF(AV610&lt;&gt;"",VLOOKUP(AV610,'ESO zones'!$D$5:$H$4958,5,FALSE),""),"")</f>
        <v/>
      </c>
      <c r="AZ610" s="79"/>
      <c r="BA610" s="77" t="s">
        <v>3831</v>
      </c>
      <c r="BB610" s="77" t="s">
        <v>3831</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3794</v>
      </c>
      <c r="C611" s="33" t="s">
        <v>4229</v>
      </c>
      <c r="D611" s="3">
        <f t="shared" si="54"/>
        <v>692</v>
      </c>
      <c r="G611" s="87" t="s">
        <v>1654</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DLCs'!$A$3:$D$99999,4,FALSE))</f>
        <v>DLC_NECROM</v>
      </c>
      <c r="U611" s="3" t="str">
        <f>IF(T611&lt;&gt;"",VLOOKUP(T611,'&lt;Constants&gt;'!$B$4:$C$1020,2,FALSE),"")</f>
        <v>Necrom</v>
      </c>
      <c r="V611" s="39" t="s">
        <v>1536</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1534</v>
      </c>
      <c r="AC611" s="3" t="s">
        <v>3786</v>
      </c>
      <c r="AD611" s="3" t="s">
        <v>3787</v>
      </c>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1536</v>
      </c>
      <c r="AI611" s="3" t="s">
        <v>3788</v>
      </c>
      <c r="AJ611" s="3" t="s">
        <v>3789</v>
      </c>
      <c r="AK611" s="3">
        <f>IF(AND(G612&lt;&gt;"LIBSETS_SETTYPE_BATTLEGROUND",G612&lt;&gt;"LIBSETS_SETTYPE_SPECIAL"),IF(AL611&lt;&gt;"",VLOOKUP(AL611,'ESO zones'!$D$5:$H$4958,5,FALSE),""),"")</f>
        <v>1301</v>
      </c>
      <c r="AL611" t="s">
        <v>2685</v>
      </c>
      <c r="AM611" s="30" t="s">
        <v>3253</v>
      </c>
      <c r="AN611" s="3" t="s">
        <v>3790</v>
      </c>
      <c r="AO611" s="3" t="s">
        <v>3791</v>
      </c>
      <c r="AP611" s="3">
        <f>IF(AND(G612&lt;&gt;"LIBSETS_SETTYPE_BATTLEGROUND",G612&lt;&gt;"LIBSETS_SETTYPE_SPECIAL"),IF(AQ611&lt;&gt;"",VLOOKUP(AQ611,'ESO zones'!$D$5:$H$4958,5,FALSE),""),"")</f>
        <v>1361</v>
      </c>
      <c r="AQ611" t="s">
        <v>3355</v>
      </c>
      <c r="AR611" s="30" t="s">
        <v>3253</v>
      </c>
      <c r="AS611" s="3" t="s">
        <v>3792</v>
      </c>
      <c r="AT611" s="3" t="s">
        <v>3793</v>
      </c>
      <c r="AU611" s="3" t="str">
        <f>IF(AND(G611&lt;&gt;"LIBSETS_SETTYPE_BATTLEGROUND",G611&lt;&gt;"LIBSETS_SETTYPE_SPECIAL"),IF(AV611&lt;&gt;"",VLOOKUP(AV611,'ESO zones'!$D$5:$H$4958,5,FALSE),""),"")</f>
        <v/>
      </c>
      <c r="AZ611" s="79"/>
      <c r="BA611" s="77" t="s">
        <v>3832</v>
      </c>
      <c r="BB611" s="77" t="s">
        <v>3832</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3848</v>
      </c>
      <c r="C612" s="33" t="s">
        <v>3848</v>
      </c>
      <c r="D612" s="3">
        <f t="shared" si="54"/>
        <v>693</v>
      </c>
      <c r="G612" s="8" t="s">
        <v>1654</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DLCs'!$A$3:$D$99999,4,FALSE))</f>
        <v>DLC_NECROM</v>
      </c>
      <c r="U612" s="3" t="str">
        <f>IF(T612&lt;&gt;"",VLOOKUP(T612,'&lt;Constants&gt;'!$B$4:$C$1020,2,FALSE),"")</f>
        <v>Necrom</v>
      </c>
      <c r="V612" s="30" t="s">
        <v>3698</v>
      </c>
      <c r="W612" s="3" t="s">
        <v>3870</v>
      </c>
      <c r="X612" s="3" t="s">
        <v>3871</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3698</v>
      </c>
      <c r="AC612" s="38" t="s">
        <v>3870</v>
      </c>
      <c r="AD612" s="38" t="s">
        <v>3871</v>
      </c>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3698</v>
      </c>
      <c r="AI612" s="38" t="s">
        <v>3870</v>
      </c>
      <c r="AJ612" s="38" t="s">
        <v>3871</v>
      </c>
      <c r="AK612" s="3">
        <f>IF(AND(G612&lt;&gt;"LIBSETS_SETTYPE_BATTLEGROUND",G612&lt;&gt;"LIBSETS_SETTYPE_SPECIAL"),IF(AL612&lt;&gt;"",VLOOKUP(AL612,'ESO zones'!$D$5:$H$4958,5,FALSE),""),"")</f>
        <v>1413</v>
      </c>
      <c r="AL612" t="s">
        <v>3588</v>
      </c>
      <c r="AM612" s="30" t="s">
        <v>3698</v>
      </c>
      <c r="AN612" s="38" t="s">
        <v>3870</v>
      </c>
      <c r="AO612" s="38" t="s">
        <v>3871</v>
      </c>
      <c r="AP612" s="3">
        <f>IF(AND(G612&lt;&gt;"LIBSETS_SETTYPE_BATTLEGROUND",G612&lt;&gt;"LIBSETS_SETTYPE_SPECIAL"),IF(AQ612&lt;&gt;"",VLOOKUP(AQ612,'ESO zones'!$D$5:$H$4958,5,FALSE),""),"")</f>
        <v>1413</v>
      </c>
      <c r="AQ612" t="s">
        <v>3588</v>
      </c>
      <c r="AR612" s="30" t="s">
        <v>3698</v>
      </c>
      <c r="AS612" s="38" t="s">
        <v>3870</v>
      </c>
      <c r="AT612" s="38" t="s">
        <v>3871</v>
      </c>
      <c r="AU612" s="3" t="str">
        <f>IF(AND(G612&lt;&gt;"LIBSETS_SETTYPE_BATTLEGROUND",G612&lt;&gt;"LIBSETS_SETTYPE_SPECIAL"),IF(AV612&lt;&gt;"",VLOOKUP(AV612,'ESO zones'!$D$5:$H$4958,5,FALSE),""),"")</f>
        <v/>
      </c>
      <c r="AW612" s="39"/>
      <c r="AX612" s="38"/>
      <c r="AY612" s="38"/>
      <c r="AZ612" s="77" t="s">
        <v>2626</v>
      </c>
      <c r="BA612" s="77" t="s">
        <v>3869</v>
      </c>
      <c r="BB612" s="77" t="s">
        <v>3869</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4240</v>
      </c>
      <c r="C613" s="33" t="s">
        <v>4240</v>
      </c>
      <c r="D613" s="3">
        <f t="shared" si="54"/>
        <v>694</v>
      </c>
      <c r="G613" s="87" t="s">
        <v>1654</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DLCs'!$A$3:$D$99999,4,FALSE))</f>
        <v>DLC_NECROM</v>
      </c>
      <c r="U613" s="3" t="str">
        <f>IF(T613&lt;&gt;"",VLOOKUP(T613,'&lt;Constants&gt;'!$B$4:$C$1020,2,FALSE),"")</f>
        <v>Necrom</v>
      </c>
      <c r="V613" s="30" t="s">
        <v>1534</v>
      </c>
      <c r="W613" s="3" t="s">
        <v>3662</v>
      </c>
      <c r="X613" s="3" t="s">
        <v>3662</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1535</v>
      </c>
      <c r="AC613" s="3" t="s">
        <v>3795</v>
      </c>
      <c r="AD613" s="3" t="s">
        <v>3801</v>
      </c>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1536</v>
      </c>
      <c r="AI613" s="3" t="s">
        <v>3643</v>
      </c>
      <c r="AJ613" s="3" t="s">
        <v>3796</v>
      </c>
      <c r="AK613" s="3">
        <f>IF(AND(G614&lt;&gt;"LIBSETS_SETTYPE_BATTLEGROUND",G614&lt;&gt;"LIBSETS_SETTYPE_SPECIAL"),IF(AL613&lt;&gt;"",VLOOKUP(AL613,'ESO zones'!$D$5:$H$4958,5,FALSE),""),"")</f>
        <v>849</v>
      </c>
      <c r="AL613" t="s">
        <v>528</v>
      </c>
      <c r="AM613" s="30" t="s">
        <v>3182</v>
      </c>
      <c r="AN613" s="3" t="s">
        <v>3797</v>
      </c>
      <c r="AO613" s="3" t="s">
        <v>3798</v>
      </c>
      <c r="AP613" s="3">
        <f>IF(AND(G614&lt;&gt;"LIBSETS_SETTYPE_BATTLEGROUND",G614&lt;&gt;"LIBSETS_SETTYPE_SPECIAL"),IF(AQ613&lt;&gt;"",VLOOKUP(AQ613,'ESO zones'!$D$5:$H$4958,5,FALSE),""),"")</f>
        <v>1390</v>
      </c>
      <c r="AQ613" t="s">
        <v>3544</v>
      </c>
      <c r="AR613" s="30" t="s">
        <v>3179</v>
      </c>
      <c r="AS613" s="3" t="s">
        <v>3799</v>
      </c>
      <c r="AT613" s="3" t="s">
        <v>3800</v>
      </c>
      <c r="AU613" s="3" t="str">
        <f>IF(AND(G613&lt;&gt;"LIBSETS_SETTYPE_BATTLEGROUND",G613&lt;&gt;"LIBSETS_SETTYPE_SPECIAL"),IF(AV613&lt;&gt;"",VLOOKUP(AV613,'ESO zones'!$D$5:$H$4958,5,FALSE),""),"")</f>
        <v/>
      </c>
      <c r="AZ613" s="79"/>
      <c r="BA613" s="33" t="s">
        <v>3833</v>
      </c>
      <c r="BB613" s="77" t="s">
        <v>3833</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4236</v>
      </c>
      <c r="C614" s="33" t="s">
        <v>4236</v>
      </c>
      <c r="D614" s="3">
        <f t="shared" si="54"/>
        <v>695</v>
      </c>
      <c r="G614" s="8" t="s">
        <v>1451</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DLCs'!$A$3:$D$99999,4,FALSE))</f>
        <v>DLC_NECROM</v>
      </c>
      <c r="U614" s="3" t="str">
        <f>IF(T614&lt;&gt;"",VLOOKUP(T614,'&lt;Constants&gt;'!$B$4:$C$1020,2,FALSE),"")</f>
        <v>Necrom</v>
      </c>
      <c r="V614" s="83" t="s">
        <v>3256</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4237</v>
      </c>
      <c r="C615" s="33" t="s">
        <v>4237</v>
      </c>
      <c r="D615" s="3">
        <f t="shared" si="54"/>
        <v>696</v>
      </c>
      <c r="G615" s="8" t="s">
        <v>1451</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DLCs'!$A$3:$D$99999,4,FALSE))</f>
        <v>DLC_NECROM</v>
      </c>
      <c r="U615" s="3" t="str">
        <f>IF(T615&lt;&gt;"",VLOOKUP(T615,'&lt;Constants&gt;'!$B$4:$C$1020,2,FALSE),"")</f>
        <v>Necrom</v>
      </c>
      <c r="V615" s="83" t="s">
        <v>3256</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4235</v>
      </c>
      <c r="C616" s="33" t="s">
        <v>4235</v>
      </c>
      <c r="D616" s="3">
        <f t="shared" si="54"/>
        <v>697</v>
      </c>
      <c r="G616" s="8" t="s">
        <v>1451</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DLCs'!$A$3:$D$99999,4,FALSE))</f>
        <v>DLC_NECROM</v>
      </c>
      <c r="U616" s="3" t="str">
        <f>IF(T616&lt;&gt;"",VLOOKUP(T616,'&lt;Constants&gt;'!$B$4:$C$1020,2,FALSE),"")</f>
        <v>Necrom</v>
      </c>
      <c r="V616" s="83" t="s">
        <v>3256</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4241</v>
      </c>
      <c r="C617" s="33" t="s">
        <v>4241</v>
      </c>
      <c r="D617" s="3">
        <f t="shared" si="54"/>
        <v>698</v>
      </c>
      <c r="G617" s="8" t="s">
        <v>1457</v>
      </c>
      <c r="I617" t="s">
        <v>91</v>
      </c>
      <c r="J617" t="s">
        <v>91</v>
      </c>
      <c r="K617">
        <v>541</v>
      </c>
      <c r="L617">
        <v>540</v>
      </c>
      <c r="M617">
        <v>535</v>
      </c>
      <c r="O617" s="58" t="s">
        <v>3588</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DLCs'!$A$3:$D$99999,4,FALSE))</f>
        <v>DLC_NECROM</v>
      </c>
      <c r="U617" s="3" t="str">
        <f>IF(T617&lt;&gt;"",VLOOKUP(T617,'&lt;Constants&gt;'!$B$4:$C$1020,2,FALSE),"")</f>
        <v>Necrom</v>
      </c>
      <c r="V617" s="30" t="s">
        <v>1534</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1535</v>
      </c>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1536</v>
      </c>
      <c r="AK617" s="3">
        <f>IF(AND(G617&lt;&gt;"LIBSETS_SETTYPE_BATTLEGROUND",G617&lt;&gt;"LIBSETS_SETTYPE_SPECIAL"),IF(AL617&lt;&gt;"",VLOOKUP(AL617,'ESO zones'!$D$5:$H$4958,5,FALSE),""),"")</f>
        <v>1413</v>
      </c>
      <c r="AL617" t="s">
        <v>3588</v>
      </c>
      <c r="AM617" s="30" t="s">
        <v>1537</v>
      </c>
      <c r="AP617" s="3">
        <f>IF(AND(G617&lt;&gt;"LIBSETS_SETTYPE_BATTLEGROUND",G617&lt;&gt;"LIBSETS_SETTYPE_SPECIAL"),IF(AQ617&lt;&gt;"",VLOOKUP(AQ617,'ESO zones'!$D$5:$H$4958,5,FALSE),""),"")</f>
        <v>1413</v>
      </c>
      <c r="AQ617" t="s">
        <v>3588</v>
      </c>
      <c r="AR617" s="39" t="s">
        <v>3193</v>
      </c>
      <c r="AU617" s="3">
        <f>IF(AND(G617&lt;&gt;"LIBSETS_SETTYPE_BATTLEGROUND",G617&lt;&gt;"LIBSETS_SETTYPE_SPECIAL"),IF(AV617&lt;&gt;"",VLOOKUP(AV617,'ESO zones'!$D$5:$H$4958,5,FALSE),""),"")</f>
        <v>1413</v>
      </c>
      <c r="AV617" t="s">
        <v>3588</v>
      </c>
      <c r="AW617" s="30" t="s">
        <v>1535</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4227</v>
      </c>
      <c r="C618" s="33" t="s">
        <v>4227</v>
      </c>
      <c r="D618" s="3">
        <f t="shared" si="54"/>
        <v>699</v>
      </c>
      <c r="G618" s="8" t="s">
        <v>1457</v>
      </c>
      <c r="I618" t="s">
        <v>91</v>
      </c>
      <c r="J618" t="s">
        <v>91</v>
      </c>
      <c r="K618">
        <v>541</v>
      </c>
      <c r="L618">
        <v>540</v>
      </c>
      <c r="M618">
        <v>535</v>
      </c>
      <c r="O618" s="58" t="s">
        <v>3588</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DLCs'!$A$3:$D$99999,4,FALSE))</f>
        <v>DLC_NECROM</v>
      </c>
      <c r="U618" s="3" t="str">
        <f>IF(T618&lt;&gt;"",VLOOKUP(T618,'&lt;Constants&gt;'!$B$4:$C$1020,2,FALSE),"")</f>
        <v>Necrom</v>
      </c>
      <c r="V618" s="30" t="s">
        <v>1534</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1535</v>
      </c>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1536</v>
      </c>
      <c r="AK618" s="3">
        <f>IF(AND(G618&lt;&gt;"LIBSETS_SETTYPE_BATTLEGROUND",G618&lt;&gt;"LIBSETS_SETTYPE_SPECIAL"),IF(AL618&lt;&gt;"",VLOOKUP(AL618,'ESO zones'!$D$5:$H$4958,5,FALSE),""),"")</f>
        <v>1413</v>
      </c>
      <c r="AL618" t="s">
        <v>3588</v>
      </c>
      <c r="AM618" s="30" t="s">
        <v>1537</v>
      </c>
      <c r="AP618" s="3">
        <f>IF(AND(G618&lt;&gt;"LIBSETS_SETTYPE_BATTLEGROUND",G618&lt;&gt;"LIBSETS_SETTYPE_SPECIAL"),IF(AQ618&lt;&gt;"",VLOOKUP(AQ618,'ESO zones'!$D$5:$H$4958,5,FALSE),""),"")</f>
        <v>1413</v>
      </c>
      <c r="AQ618" t="s">
        <v>3588</v>
      </c>
      <c r="AR618" s="39" t="s">
        <v>3193</v>
      </c>
      <c r="AU618" s="3">
        <f>IF(AND(G618&lt;&gt;"LIBSETS_SETTYPE_BATTLEGROUND",G618&lt;&gt;"LIBSETS_SETTYPE_SPECIAL"),IF(AV618&lt;&gt;"",VLOOKUP(AV618,'ESO zones'!$D$5:$H$4958,5,FALSE),""),"")</f>
        <v>1413</v>
      </c>
      <c r="AV618" t="s">
        <v>3588</v>
      </c>
      <c r="AW618" s="30" t="s">
        <v>1535</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4225</v>
      </c>
      <c r="C619" s="33" t="s">
        <v>4225</v>
      </c>
      <c r="D619" s="3">
        <f t="shared" si="54"/>
        <v>700</v>
      </c>
      <c r="G619" s="8" t="s">
        <v>1457</v>
      </c>
      <c r="I619" t="s">
        <v>91</v>
      </c>
      <c r="J619" t="s">
        <v>91</v>
      </c>
      <c r="K619">
        <v>541</v>
      </c>
      <c r="L619">
        <v>540</v>
      </c>
      <c r="M619">
        <v>535</v>
      </c>
      <c r="O619" s="58" t="s">
        <v>3588</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DLCs'!$A$3:$D$99999,4,FALSE))</f>
        <v>DLC_NECROM</v>
      </c>
      <c r="U619" s="3" t="str">
        <f>IF(T619&lt;&gt;"",VLOOKUP(T619,'&lt;Constants&gt;'!$B$4:$C$1020,2,FALSE),"")</f>
        <v>Necrom</v>
      </c>
      <c r="V619" s="30" t="s">
        <v>1534</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1535</v>
      </c>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1536</v>
      </c>
      <c r="AK619" s="3">
        <f>IF(AND(G619&lt;&gt;"LIBSETS_SETTYPE_BATTLEGROUND",G619&lt;&gt;"LIBSETS_SETTYPE_SPECIAL"),IF(AL619&lt;&gt;"",VLOOKUP(AL619,'ESO zones'!$D$5:$H$4958,5,FALSE),""),"")</f>
        <v>1414</v>
      </c>
      <c r="AL619" t="s">
        <v>3644</v>
      </c>
      <c r="AM619" s="39" t="s">
        <v>1537</v>
      </c>
      <c r="AP619" s="3">
        <f>IF(AND(G619&lt;&gt;"LIBSETS_SETTYPE_BATTLEGROUND",G619&lt;&gt;"LIBSETS_SETTYPE_SPECIAL"),IF(AQ619&lt;&gt;"",VLOOKUP(AQ619,'ESO zones'!$D$5:$H$4958,5,FALSE),""),"")</f>
        <v>1413</v>
      </c>
      <c r="AQ619" t="s">
        <v>3588</v>
      </c>
      <c r="AR619" s="39" t="s">
        <v>3193</v>
      </c>
      <c r="AU619" s="3">
        <f>IF(AND(G619&lt;&gt;"LIBSETS_SETTYPE_BATTLEGROUND",G619&lt;&gt;"LIBSETS_SETTYPE_SPECIAL"),IF(AV619&lt;&gt;"",VLOOKUP(AV619,'ESO zones'!$D$5:$H$4958,5,FALSE),""),"")</f>
        <v>1413</v>
      </c>
      <c r="AV619" t="s">
        <v>3588</v>
      </c>
      <c r="AW619" s="30" t="s">
        <v>1535</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4230</v>
      </c>
      <c r="C620" s="33" t="s">
        <v>4230</v>
      </c>
      <c r="D620" s="3">
        <f t="shared" si="54"/>
        <v>701</v>
      </c>
      <c r="G620" s="8" t="s">
        <v>1458</v>
      </c>
      <c r="I620" t="s">
        <v>91</v>
      </c>
      <c r="J620" t="s">
        <v>91</v>
      </c>
      <c r="K620">
        <v>534</v>
      </c>
      <c r="L620">
        <v>534</v>
      </c>
      <c r="M620">
        <v>534</v>
      </c>
      <c r="O620" s="58" t="s">
        <v>3635</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DLCs'!$A$3:$D$99999,4,FALSE))</f>
        <v>DLC_NECROM</v>
      </c>
      <c r="U620" s="3" t="str">
        <f>IF(T620&lt;&gt;"",VLOOKUP(T620,'&lt;Constants&gt;'!$B$4:$C$1020,2,FALSE),"")</f>
        <v>Necrom</v>
      </c>
      <c r="V620" s="30" t="s">
        <v>3234</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3234</v>
      </c>
      <c r="AC620" s="38"/>
      <c r="AD620" s="38"/>
      <c r="AE620" s="126">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3234</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4226</v>
      </c>
      <c r="C621" s="33" t="s">
        <v>4226</v>
      </c>
      <c r="D621" s="3">
        <f t="shared" si="54"/>
        <v>702</v>
      </c>
      <c r="G621" s="8" t="s">
        <v>1458</v>
      </c>
      <c r="I621" t="s">
        <v>91</v>
      </c>
      <c r="J621" t="s">
        <v>91</v>
      </c>
      <c r="K621">
        <v>534</v>
      </c>
      <c r="L621">
        <v>534</v>
      </c>
      <c r="M621">
        <v>534</v>
      </c>
      <c r="O621" s="58" t="s">
        <v>3635</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DLCs'!$A$3:$D$99999,4,FALSE))</f>
        <v>DLC_NECROM</v>
      </c>
      <c r="U621" s="3" t="str">
        <f>IF(T621&lt;&gt;"",VLOOKUP(T621,'&lt;Constants&gt;'!$B$4:$C$1020,2,FALSE),"")</f>
        <v>Necrom</v>
      </c>
      <c r="V621" s="30" t="s">
        <v>3234</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3234</v>
      </c>
      <c r="AC621" s="38"/>
      <c r="AD621" s="38"/>
      <c r="AE621" s="126">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3234</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4238</v>
      </c>
      <c r="C622" s="33" t="s">
        <v>4238</v>
      </c>
      <c r="D622" s="3">
        <f t="shared" si="54"/>
        <v>703</v>
      </c>
      <c r="G622" s="8" t="s">
        <v>1458</v>
      </c>
      <c r="I622" t="s">
        <v>91</v>
      </c>
      <c r="J622" t="s">
        <v>91</v>
      </c>
      <c r="K622">
        <v>534</v>
      </c>
      <c r="L622">
        <v>534</v>
      </c>
      <c r="M622">
        <v>534</v>
      </c>
      <c r="O622" s="58" t="s">
        <v>3635</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DLCs'!$A$3:$D$99999,4,FALSE))</f>
        <v>DLC_NECROM</v>
      </c>
      <c r="U622" s="3" t="str">
        <f>IF(T622&lt;&gt;"",VLOOKUP(T622,'&lt;Constants&gt;'!$B$4:$C$1020,2,FALSE),"")</f>
        <v>Necrom</v>
      </c>
      <c r="V622" s="30" t="s">
        <v>3234</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3234</v>
      </c>
      <c r="AC622" s="38"/>
      <c r="AD622" s="38"/>
      <c r="AE622" s="126">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3234</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4239</v>
      </c>
      <c r="C623" s="33" t="s">
        <v>4239</v>
      </c>
      <c r="D623" s="3">
        <f t="shared" si="54"/>
        <v>704</v>
      </c>
      <c r="G623" s="8" t="s">
        <v>1458</v>
      </c>
      <c r="I623" t="s">
        <v>91</v>
      </c>
      <c r="J623" t="s">
        <v>91</v>
      </c>
      <c r="K623">
        <v>534</v>
      </c>
      <c r="L623">
        <v>534</v>
      </c>
      <c r="M623">
        <v>534</v>
      </c>
      <c r="O623" s="58" t="s">
        <v>3635</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DLCs'!$A$3:$D$99999,4,FALSE))</f>
        <v>DLC_NECROM</v>
      </c>
      <c r="U623" s="3" t="str">
        <f>IF(T623&lt;&gt;"",VLOOKUP(T623,'&lt;Constants&gt;'!$B$4:$C$1020,2,FALSE),"")</f>
        <v>Necrom</v>
      </c>
      <c r="V623" s="30" t="s">
        <v>3234</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3234</v>
      </c>
      <c r="AC623" s="38"/>
      <c r="AD623" s="38"/>
      <c r="AE623" s="126">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3234</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3610</v>
      </c>
      <c r="C624" s="33" t="s">
        <v>4234</v>
      </c>
      <c r="D624" s="3">
        <f t="shared" si="54"/>
        <v>705</v>
      </c>
      <c r="G624" s="8" t="s">
        <v>1458</v>
      </c>
      <c r="I624" t="s">
        <v>92</v>
      </c>
      <c r="J624" t="s">
        <v>91</v>
      </c>
      <c r="K624">
        <v>534</v>
      </c>
      <c r="L624">
        <v>534</v>
      </c>
      <c r="M624">
        <v>534</v>
      </c>
      <c r="O624" s="58" t="s">
        <v>3635</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DLCs'!$A$3:$D$99999,4,FALSE))</f>
        <v>DLC_NECROM</v>
      </c>
      <c r="U624" s="3" t="str">
        <f>IF(T624&lt;&gt;"",VLOOKUP(T624,'&lt;Constants&gt;'!$B$4:$C$1020,2,FALSE),"")</f>
        <v>Necrom</v>
      </c>
      <c r="V624" s="30" t="s">
        <v>3234</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3234</v>
      </c>
      <c r="AC624" s="38"/>
      <c r="AD624" s="38"/>
      <c r="AE624" s="126">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3234</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3773</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4233</v>
      </c>
      <c r="C625" s="33" t="s">
        <v>4233</v>
      </c>
      <c r="D625" s="3">
        <f t="shared" si="54"/>
        <v>706</v>
      </c>
      <c r="G625" s="8" t="s">
        <v>1458</v>
      </c>
      <c r="I625" t="s">
        <v>92</v>
      </c>
      <c r="J625" t="s">
        <v>91</v>
      </c>
      <c r="K625">
        <v>534</v>
      </c>
      <c r="L625">
        <v>534</v>
      </c>
      <c r="M625">
        <v>534</v>
      </c>
      <c r="O625" s="58" t="s">
        <v>3635</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DLCs'!$A$3:$D$99999,4,FALSE))</f>
        <v>DLC_NECROM</v>
      </c>
      <c r="U625" s="3" t="str">
        <f>IF(T625&lt;&gt;"",VLOOKUP(T625,'&lt;Constants&gt;'!$B$4:$C$1020,2,FALSE),"")</f>
        <v>Necrom</v>
      </c>
      <c r="V625" s="30" t="s">
        <v>3234</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3234</v>
      </c>
      <c r="AC625" s="38"/>
      <c r="AD625" s="38"/>
      <c r="AE625" s="126">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3234</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3773</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4231</v>
      </c>
      <c r="C626" s="33" t="s">
        <v>4231</v>
      </c>
      <c r="D626" s="3">
        <f t="shared" si="54"/>
        <v>707</v>
      </c>
      <c r="G626" s="8" t="s">
        <v>1458</v>
      </c>
      <c r="I626" t="s">
        <v>92</v>
      </c>
      <c r="J626" t="s">
        <v>91</v>
      </c>
      <c r="K626">
        <v>534</v>
      </c>
      <c r="L626">
        <v>534</v>
      </c>
      <c r="M626">
        <v>534</v>
      </c>
      <c r="O626" s="58" t="s">
        <v>3635</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DLCs'!$A$3:$D$99999,4,FALSE))</f>
        <v>DLC_NECROM</v>
      </c>
      <c r="U626" s="3" t="str">
        <f>IF(T626&lt;&gt;"",VLOOKUP(T626,'&lt;Constants&gt;'!$B$4:$C$1020,2,FALSE),"")</f>
        <v>Necrom</v>
      </c>
      <c r="V626" s="30" t="s">
        <v>3234</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3234</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3234</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3773</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4232</v>
      </c>
      <c r="C627" s="33" t="s">
        <v>4232</v>
      </c>
      <c r="D627" s="3">
        <f t="shared" si="54"/>
        <v>708</v>
      </c>
      <c r="G627" s="8" t="s">
        <v>1458</v>
      </c>
      <c r="I627" t="s">
        <v>92</v>
      </c>
      <c r="J627" t="s">
        <v>91</v>
      </c>
      <c r="K627">
        <v>534</v>
      </c>
      <c r="L627">
        <v>534</v>
      </c>
      <c r="M627">
        <v>534</v>
      </c>
      <c r="O627" s="58" t="s">
        <v>3635</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DLCs'!$A$3:$D$99999,4,FALSE))</f>
        <v>DLC_NECROM</v>
      </c>
      <c r="U627" s="3" t="str">
        <f>IF(T627&lt;&gt;"",VLOOKUP(T627,'&lt;Constants&gt;'!$B$4:$C$1020,2,FALSE),"")</f>
        <v>Necrom</v>
      </c>
      <c r="V627" s="30" t="s">
        <v>3234</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3234</v>
      </c>
      <c r="AC627" s="36"/>
      <c r="AD627" s="36"/>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3234</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3773</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3663</v>
      </c>
      <c r="C628" s="33" t="s">
        <v>3663</v>
      </c>
      <c r="D628" s="3">
        <f t="shared" si="54"/>
        <v>711</v>
      </c>
      <c r="F628" t="s">
        <v>3667</v>
      </c>
      <c r="G628" s="8" t="s">
        <v>3666</v>
      </c>
      <c r="I628" t="s">
        <v>3673</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DLCs'!$A$3:$D$99999,4,FALSE))</f>
        <v>DLC_BASE_GAME</v>
      </c>
      <c r="U628" s="3" t="str">
        <f>IF(T628&lt;&gt;"",VLOOKUP(T628,'&lt;Constants&gt;'!$B$4:$C$1020,2,FALSE),"")</f>
        <v>Included in base game</v>
      </c>
      <c r="V628" s="83" t="s">
        <v>2736</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6"/>
      <c r="AD628" s="36"/>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2626</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3664</v>
      </c>
      <c r="C629" s="33" t="s">
        <v>3664</v>
      </c>
      <c r="D629" s="3">
        <f t="shared" si="54"/>
        <v>712</v>
      </c>
      <c r="F629" t="s">
        <v>3667</v>
      </c>
      <c r="G629" s="8" t="s">
        <v>3666</v>
      </c>
      <c r="I629" t="s">
        <v>3673</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DLCs'!$A$3:$D$99999,4,FALSE))</f>
        <v>DLC_BASE_GAME</v>
      </c>
      <c r="U629" s="3" t="str">
        <f>IF(T629&lt;&gt;"",VLOOKUP(T629,'&lt;Constants&gt;'!$B$4:$C$1020,2,FALSE),"")</f>
        <v>Included in base game</v>
      </c>
      <c r="V629" s="83" t="s">
        <v>2736</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6"/>
      <c r="AD629" s="36"/>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2626</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3665</v>
      </c>
      <c r="C630" s="33" t="s">
        <v>3665</v>
      </c>
      <c r="D630" s="3">
        <f t="shared" si="54"/>
        <v>713</v>
      </c>
      <c r="F630" t="s">
        <v>3667</v>
      </c>
      <c r="G630" s="8" t="s">
        <v>3666</v>
      </c>
      <c r="I630" t="s">
        <v>3673</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DLCs'!$A$3:$D$99999,4,FALSE))</f>
        <v>DLC_BASE_GAME</v>
      </c>
      <c r="U630" s="3" t="str">
        <f>IF(T630&lt;&gt;"",VLOOKUP(T630,'&lt;Constants&gt;'!$B$4:$C$1020,2,FALSE),"")</f>
        <v>Included in base game</v>
      </c>
      <c r="V630" s="83" t="s">
        <v>2736</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6"/>
      <c r="AD630" s="36"/>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2626</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3709</v>
      </c>
      <c r="C631" t="s">
        <v>3709</v>
      </c>
      <c r="D631" s="3">
        <f t="shared" si="54"/>
        <v>722</v>
      </c>
      <c r="E631" s="33" t="s">
        <v>3721</v>
      </c>
      <c r="G631" s="3" t="s">
        <v>3701</v>
      </c>
      <c r="I631" t="s">
        <v>91</v>
      </c>
      <c r="J631" t="s">
        <v>91</v>
      </c>
      <c r="K631">
        <v>543</v>
      </c>
      <c r="L631">
        <v>543</v>
      </c>
      <c r="M631">
        <v>543</v>
      </c>
      <c r="O631" s="58" t="s">
        <v>3860</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DLCs'!$A$3:$D$99999,4,FALSE))</f>
        <v>DLC_BASE_GAME</v>
      </c>
      <c r="U631" s="3" t="str">
        <f>IF(T631&lt;&gt;"",VLOOKUP(T631,'&lt;Constants&gt;'!$B$4:$C$1020,2,FALSE),"")</f>
        <v>Included in base game</v>
      </c>
      <c r="V631" s="83" t="s">
        <v>3698</v>
      </c>
      <c r="W631" s="3" t="s">
        <v>3721</v>
      </c>
      <c r="X631" s="3" t="s">
        <v>3824</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6"/>
      <c r="AD631" s="36"/>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2626</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3708</v>
      </c>
      <c r="C632" t="s">
        <v>3708</v>
      </c>
      <c r="D632" s="3">
        <f t="shared" si="54"/>
        <v>723</v>
      </c>
      <c r="E632" s="33" t="s">
        <v>3715</v>
      </c>
      <c r="G632" s="3" t="s">
        <v>3701</v>
      </c>
      <c r="I632" t="s">
        <v>91</v>
      </c>
      <c r="J632" t="s">
        <v>91</v>
      </c>
      <c r="K632">
        <v>543</v>
      </c>
      <c r="L632">
        <v>543</v>
      </c>
      <c r="M632">
        <v>543</v>
      </c>
      <c r="O632" s="58" t="s">
        <v>3860</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DLCs'!$A$3:$D$99999,4,FALSE))</f>
        <v>DLC_BASE_GAME</v>
      </c>
      <c r="U632" s="3" t="str">
        <f>IF(T632&lt;&gt;"",VLOOKUP(T632,'&lt;Constants&gt;'!$B$4:$C$1020,2,FALSE),"")</f>
        <v>Included in base game</v>
      </c>
      <c r="V632" s="83" t="s">
        <v>3698</v>
      </c>
      <c r="W632" s="3" t="s">
        <v>3715</v>
      </c>
      <c r="X632" s="3" t="s">
        <v>3825</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6"/>
      <c r="AD632" s="36"/>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2626</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3710</v>
      </c>
      <c r="C633" t="s">
        <v>3707</v>
      </c>
      <c r="D633" s="3">
        <f t="shared" si="54"/>
        <v>724</v>
      </c>
      <c r="E633" s="33" t="s">
        <v>3720</v>
      </c>
      <c r="G633" s="3" t="s">
        <v>3701</v>
      </c>
      <c r="I633" t="s">
        <v>91</v>
      </c>
      <c r="J633" t="s">
        <v>91</v>
      </c>
      <c r="K633">
        <v>543</v>
      </c>
      <c r="L633">
        <v>543</v>
      </c>
      <c r="M633">
        <v>543</v>
      </c>
      <c r="O633" s="58" t="s">
        <v>3860</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DLCs'!$A$3:$D$99999,4,FALSE))</f>
        <v>DLC_BASE_GAME</v>
      </c>
      <c r="U633" s="3" t="str">
        <f>IF(T633&lt;&gt;"",VLOOKUP(T633,'&lt;Constants&gt;'!$B$4:$C$1020,2,FALSE),"")</f>
        <v>Included in base game</v>
      </c>
      <c r="V633" s="83" t="s">
        <v>3698</v>
      </c>
      <c r="W633" s="3" t="s">
        <v>3720</v>
      </c>
      <c r="X633" s="3" t="s">
        <v>3826</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6"/>
      <c r="AD633" s="36"/>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2626</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3711</v>
      </c>
      <c r="C634" t="s">
        <v>3706</v>
      </c>
      <c r="D634" s="3">
        <f t="shared" si="54"/>
        <v>726</v>
      </c>
      <c r="E634" s="33" t="s">
        <v>3718</v>
      </c>
      <c r="G634" s="3" t="s">
        <v>3701</v>
      </c>
      <c r="I634" t="s">
        <v>91</v>
      </c>
      <c r="J634" t="s">
        <v>91</v>
      </c>
      <c r="K634">
        <v>543</v>
      </c>
      <c r="L634">
        <v>543</v>
      </c>
      <c r="M634">
        <v>543</v>
      </c>
      <c r="O634" s="58" t="s">
        <v>3860</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DLCs'!$A$3:$D$99999,4,FALSE))</f>
        <v>DLC_BASE_GAME</v>
      </c>
      <c r="U634" s="3" t="str">
        <f>IF(T634&lt;&gt;"",VLOOKUP(T634,'&lt;Constants&gt;'!$B$4:$C$1020,2,FALSE),"")</f>
        <v>Included in base game</v>
      </c>
      <c r="V634" s="83" t="s">
        <v>3698</v>
      </c>
      <c r="W634" s="3" t="s">
        <v>3718</v>
      </c>
      <c r="X634" s="3" t="s">
        <v>3830</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6"/>
      <c r="AD634" s="36"/>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2626</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3712</v>
      </c>
      <c r="C635" t="s">
        <v>3705</v>
      </c>
      <c r="D635" s="3">
        <f t="shared" si="54"/>
        <v>727</v>
      </c>
      <c r="E635" s="33" t="s">
        <v>3717</v>
      </c>
      <c r="G635" s="3" t="s">
        <v>3701</v>
      </c>
      <c r="I635" t="s">
        <v>91</v>
      </c>
      <c r="J635" t="s">
        <v>91</v>
      </c>
      <c r="K635">
        <v>543</v>
      </c>
      <c r="L635">
        <v>543</v>
      </c>
      <c r="M635">
        <v>543</v>
      </c>
      <c r="O635" s="58" t="s">
        <v>3860</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DLCs'!$A$3:$D$99999,4,FALSE))</f>
        <v>DLC_BASE_GAME</v>
      </c>
      <c r="U635" s="3" t="str">
        <f>IF(T635&lt;&gt;"",VLOOKUP(T635,'&lt;Constants&gt;'!$B$4:$C$1020,2,FALSE),"")</f>
        <v>Included in base game</v>
      </c>
      <c r="V635" s="83" t="s">
        <v>3698</v>
      </c>
      <c r="W635" s="3" t="s">
        <v>3717</v>
      </c>
      <c r="X635" s="3" t="s">
        <v>3827</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6"/>
      <c r="AD635" s="36"/>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2626</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3713</v>
      </c>
      <c r="C636" t="s">
        <v>3704</v>
      </c>
      <c r="D636" s="3">
        <f t="shared" si="54"/>
        <v>728</v>
      </c>
      <c r="E636" s="33" t="s">
        <v>3716</v>
      </c>
      <c r="G636" s="3" t="s">
        <v>3701</v>
      </c>
      <c r="I636" t="s">
        <v>91</v>
      </c>
      <c r="J636" t="s">
        <v>91</v>
      </c>
      <c r="K636">
        <v>543</v>
      </c>
      <c r="L636">
        <v>543</v>
      </c>
      <c r="M636">
        <v>543</v>
      </c>
      <c r="O636" s="58" t="s">
        <v>3860</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DLCs'!$A$3:$D$99999,4,FALSE))</f>
        <v>DLC_BASE_GAME</v>
      </c>
      <c r="U636" s="3" t="str">
        <f>IF(T636&lt;&gt;"",VLOOKUP(T636,'&lt;Constants&gt;'!$B$4:$C$1020,2,FALSE),"")</f>
        <v>Included in base game</v>
      </c>
      <c r="V636" s="83" t="s">
        <v>3698</v>
      </c>
      <c r="W636" s="3" t="s">
        <v>3716</v>
      </c>
      <c r="X636" s="3" t="s">
        <v>3828</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6"/>
      <c r="AD636" s="36"/>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2626</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3714</v>
      </c>
      <c r="C637" t="s">
        <v>3703</v>
      </c>
      <c r="D637" s="3">
        <f t="shared" si="54"/>
        <v>729</v>
      </c>
      <c r="E637" s="33" t="s">
        <v>3719</v>
      </c>
      <c r="G637" s="3" t="s">
        <v>3701</v>
      </c>
      <c r="I637" t="s">
        <v>91</v>
      </c>
      <c r="J637" t="s">
        <v>91</v>
      </c>
      <c r="K637">
        <v>543</v>
      </c>
      <c r="L637">
        <v>543</v>
      </c>
      <c r="M637">
        <v>543</v>
      </c>
      <c r="O637" s="58" t="s">
        <v>3860</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DLCs'!$A$3:$D$99999,4,FALSE))</f>
        <v>DLC_BASE_GAME</v>
      </c>
      <c r="U637" s="3" t="str">
        <f>IF(T637&lt;&gt;"",VLOOKUP(T637,'&lt;Constants&gt;'!$B$4:$C$1020,2,FALSE),"")</f>
        <v>Included in base game</v>
      </c>
      <c r="V637" s="83" t="s">
        <v>3698</v>
      </c>
      <c r="W637" s="3" t="s">
        <v>3719</v>
      </c>
      <c r="X637" s="3" t="s">
        <v>3829</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6"/>
      <c r="AD637" s="36"/>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2626</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3841</v>
      </c>
      <c r="C638" s="33" t="s">
        <v>3841</v>
      </c>
      <c r="D638" s="3">
        <f t="shared" si="54"/>
        <v>730</v>
      </c>
      <c r="G638" s="8" t="s">
        <v>1454</v>
      </c>
      <c r="I638" t="s">
        <v>91</v>
      </c>
      <c r="J638" t="s">
        <v>91</v>
      </c>
      <c r="K638" s="33">
        <v>556</v>
      </c>
      <c r="L638" s="33">
        <v>556</v>
      </c>
      <c r="M638" s="33">
        <v>556</v>
      </c>
      <c r="O638" s="58" t="s">
        <v>3834</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DLCs'!$A$3:$D$99999,4,FALSE))</f>
        <v>DLC_SCIONS_OF_ITHELIA</v>
      </c>
      <c r="U638" s="3" t="str">
        <f>IF(T638&lt;&gt;"",VLOOKUP(T638,'&lt;Constants&gt;'!$B$4:$C$1020,2,FALSE),"")</f>
        <v>Scions of Ithelia</v>
      </c>
      <c r="V638" s="83" t="s">
        <v>3253</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6"/>
      <c r="AD638" s="36"/>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2626</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3843</v>
      </c>
      <c r="C639" s="33" t="s">
        <v>3843</v>
      </c>
      <c r="D639" s="3">
        <f t="shared" si="54"/>
        <v>731</v>
      </c>
      <c r="G639" s="8" t="s">
        <v>1454</v>
      </c>
      <c r="I639" t="s">
        <v>91</v>
      </c>
      <c r="J639" t="s">
        <v>91</v>
      </c>
      <c r="K639" s="33">
        <v>556</v>
      </c>
      <c r="L639" s="33">
        <v>556</v>
      </c>
      <c r="M639" s="33">
        <v>556</v>
      </c>
      <c r="O639" s="58" t="s">
        <v>3834</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DLCs'!$A$3:$D$99999,4,FALSE))</f>
        <v>DLC_SCIONS_OF_ITHELIA</v>
      </c>
      <c r="U639" s="3" t="str">
        <f>IF(T639&lt;&gt;"",VLOOKUP(T639,'&lt;Constants&gt;'!$B$4:$C$1020,2,FALSE),"")</f>
        <v>Scions of Ithelia</v>
      </c>
      <c r="V639" s="83" t="s">
        <v>3253</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6"/>
      <c r="AD639" s="36"/>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2626</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3842</v>
      </c>
      <c r="C640" s="33" t="s">
        <v>3842</v>
      </c>
      <c r="D640" s="3">
        <f t="shared" si="54"/>
        <v>732</v>
      </c>
      <c r="G640" s="8" t="s">
        <v>1454</v>
      </c>
      <c r="I640" t="s">
        <v>91</v>
      </c>
      <c r="J640" t="s">
        <v>91</v>
      </c>
      <c r="K640" s="33">
        <v>556</v>
      </c>
      <c r="L640" s="33">
        <v>556</v>
      </c>
      <c r="M640" s="33">
        <v>556</v>
      </c>
      <c r="O640" s="58" t="s">
        <v>3834</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DLCs'!$A$3:$D$99999,4,FALSE))</f>
        <v>DLC_SCIONS_OF_ITHELIA</v>
      </c>
      <c r="U640" s="3" t="str">
        <f>IF(T640&lt;&gt;"",VLOOKUP(T640,'&lt;Constants&gt;'!$B$4:$C$1020,2,FALSE),"")</f>
        <v>Scions of Ithelia</v>
      </c>
      <c r="V640" s="83" t="s">
        <v>3253</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6"/>
      <c r="AD640" s="36"/>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2626</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3846</v>
      </c>
      <c r="C641" s="33" t="s">
        <v>3847</v>
      </c>
      <c r="D641" s="3">
        <f t="shared" si="54"/>
        <v>734</v>
      </c>
      <c r="G641" s="8" t="s">
        <v>1456</v>
      </c>
      <c r="H641">
        <v>3</v>
      </c>
      <c r="I641" t="s">
        <v>1443</v>
      </c>
      <c r="J641" t="s">
        <v>91</v>
      </c>
      <c r="K641" s="33">
        <v>556</v>
      </c>
      <c r="L641" s="33">
        <v>556</v>
      </c>
      <c r="M641" s="33">
        <v>556</v>
      </c>
      <c r="O641" s="58" t="s">
        <v>3834</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DLCs'!$A$3:$D$99999,4,FALSE))</f>
        <v>DLC_SCIONS_OF_ITHELIA</v>
      </c>
      <c r="U641" s="3" t="str">
        <f>IF(T641&lt;&gt;"",VLOOKUP(T641,'&lt;Constants&gt;'!$B$4:$C$1020,2,FALSE),"")</f>
        <v>Scions of Ithelia</v>
      </c>
      <c r="V641" s="30" t="s">
        <v>1518</v>
      </c>
      <c r="W641" s="3" t="s">
        <v>3846</v>
      </c>
      <c r="X641" s="3" t="s">
        <v>3847</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6"/>
      <c r="AD641" s="36"/>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2626</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3838</v>
      </c>
      <c r="C642" s="33" t="s">
        <v>3838</v>
      </c>
      <c r="D642" s="3">
        <f t="shared" si="54"/>
        <v>735</v>
      </c>
      <c r="G642" s="8" t="s">
        <v>1454</v>
      </c>
      <c r="I642" t="s">
        <v>91</v>
      </c>
      <c r="J642" t="s">
        <v>91</v>
      </c>
      <c r="K642" s="33">
        <v>565</v>
      </c>
      <c r="L642" s="33">
        <v>565</v>
      </c>
      <c r="M642" s="33">
        <v>565</v>
      </c>
      <c r="O642" s="58" t="s">
        <v>3835</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DLCs'!$A$3:$D$99999,4,FALSE))</f>
        <v>DLC_SCIONS_OF_ITHELIA</v>
      </c>
      <c r="U642" s="3" t="str">
        <f>IF(T642&lt;&gt;"",VLOOKUP(T642,'&lt;Constants&gt;'!$B$4:$C$1020,2,FALSE),"")</f>
        <v>Scions of Ithelia</v>
      </c>
      <c r="V642" s="83" t="s">
        <v>3253</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6"/>
      <c r="AD642" s="36"/>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2626</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3839</v>
      </c>
      <c r="C643" s="33" t="s">
        <v>3839</v>
      </c>
      <c r="D643" s="3">
        <f t="shared" ref="D643:D706" si="60">A643</f>
        <v>736</v>
      </c>
      <c r="G643" s="8" t="s">
        <v>1454</v>
      </c>
      <c r="I643" t="s">
        <v>91</v>
      </c>
      <c r="J643" t="s">
        <v>91</v>
      </c>
      <c r="K643" s="33">
        <v>565</v>
      </c>
      <c r="L643" s="33">
        <v>565</v>
      </c>
      <c r="M643" s="33">
        <v>565</v>
      </c>
      <c r="O643" s="58" t="s">
        <v>3835</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DLCs'!$A$3:$D$99999,4,FALSE))</f>
        <v>DLC_SCIONS_OF_ITHELIA</v>
      </c>
      <c r="U643" s="3" t="str">
        <f>IF(T643&lt;&gt;"",VLOOKUP(T643,'&lt;Constants&gt;'!$B$4:$C$1020,2,FALSE),"")</f>
        <v>Scions of Ithelia</v>
      </c>
      <c r="V643" s="83" t="s">
        <v>3253</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6"/>
      <c r="AD643" s="36"/>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2626</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3840</v>
      </c>
      <c r="C644" s="33" t="s">
        <v>3840</v>
      </c>
      <c r="D644" s="3">
        <f t="shared" si="60"/>
        <v>737</v>
      </c>
      <c r="G644" s="8" t="s">
        <v>1454</v>
      </c>
      <c r="I644" t="s">
        <v>91</v>
      </c>
      <c r="J644" t="s">
        <v>91</v>
      </c>
      <c r="K644" s="33">
        <v>565</v>
      </c>
      <c r="L644" s="33">
        <v>565</v>
      </c>
      <c r="M644" s="33">
        <v>565</v>
      </c>
      <c r="O644" s="58" t="s">
        <v>3835</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DLCs'!$A$3:$D$99999,4,FALSE))</f>
        <v>DLC_SCIONS_OF_ITHELIA</v>
      </c>
      <c r="U644" s="3" t="str">
        <f>IF(T644&lt;&gt;"",VLOOKUP(T644,'&lt;Constants&gt;'!$B$4:$C$1020,2,FALSE),"")</f>
        <v>Scions of Ithelia</v>
      </c>
      <c r="V644" s="83" t="s">
        <v>3253</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6"/>
      <c r="AD644" s="36"/>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2626</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3845</v>
      </c>
      <c r="C645" s="33" t="s">
        <v>3844</v>
      </c>
      <c r="D645" s="3">
        <f t="shared" si="60"/>
        <v>738</v>
      </c>
      <c r="G645" s="8" t="s">
        <v>1456</v>
      </c>
      <c r="H645">
        <v>3</v>
      </c>
      <c r="I645" t="s">
        <v>1443</v>
      </c>
      <c r="J645" t="s">
        <v>91</v>
      </c>
      <c r="K645" s="33">
        <v>565</v>
      </c>
      <c r="L645" s="33">
        <v>565</v>
      </c>
      <c r="M645" s="33">
        <v>565</v>
      </c>
      <c r="O645" s="58" t="s">
        <v>3835</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DLCs'!$A$3:$D$99999,4,FALSE))</f>
        <v>DLC_SCIONS_OF_ITHELIA</v>
      </c>
      <c r="U645" s="3" t="str">
        <f>IF(T645&lt;&gt;"",VLOOKUP(T645,'&lt;Constants&gt;'!$B$4:$C$1020,2,FALSE),"")</f>
        <v>Scions of Ithelia</v>
      </c>
      <c r="V645" s="30" t="s">
        <v>1518</v>
      </c>
      <c r="W645" s="3" t="s">
        <v>3844</v>
      </c>
      <c r="X645" s="3" t="s">
        <v>3845</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c r="AD645" s="38"/>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2626</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3849</v>
      </c>
      <c r="C646" s="33" t="s">
        <v>3849</v>
      </c>
      <c r="D646" s="3">
        <f t="shared" si="60"/>
        <v>754</v>
      </c>
      <c r="G646" s="3" t="s">
        <v>1452</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DLCs'!$A$3:$D$99999,4,FALSE))</f>
        <v>DLC_BASE_GAME</v>
      </c>
      <c r="U646" s="3" t="str">
        <f>IF(T646&lt;&gt;"",VLOOKUP(T646,'&lt;Constants&gt;'!$B$4:$C$1020,2,FALSE),"")</f>
        <v>Included in base game</v>
      </c>
      <c r="V646" s="83" t="s">
        <v>1515</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3681</v>
      </c>
      <c r="AC646" s="36"/>
      <c r="AD646" s="36"/>
      <c r="AE646" s="125">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2736</v>
      </c>
      <c r="AI646" s="36"/>
      <c r="AJ646" s="36"/>
      <c r="AK646" s="3">
        <f>IF(AND(G646&lt;&gt;"LIBSETS_SETTYPE_BATTLEGROUND",G646&lt;&gt;"LIBSETS_SETTYPE_SPECIAL"),IF(AL646&lt;&gt;"",VLOOKUP(AL646,'ESO zones'!$D$5:$H$4958,5,FALSE),""),"")</f>
        <v>181</v>
      </c>
      <c r="AL646" t="s">
        <v>124</v>
      </c>
      <c r="AM646" s="30" t="s">
        <v>3684</v>
      </c>
      <c r="AN646" s="36"/>
      <c r="AO646" s="36"/>
      <c r="AP646" s="3">
        <f>IF(AND(G646&lt;&gt;"LIBSETS_SETTYPE_BATTLEGROUND",G646&lt;&gt;"LIBSETS_SETTYPE_SPECIAL"),IF(AQ646&lt;&gt;"",VLOOKUP(AQ646,'ESO zones'!$D$5:$H$4958,5,FALSE),""),"")</f>
        <v>181</v>
      </c>
      <c r="AQ646" t="s">
        <v>124</v>
      </c>
      <c r="AR646" s="30" t="s">
        <v>1534</v>
      </c>
      <c r="AS646" s="36"/>
      <c r="AT646" s="36"/>
      <c r="AU646" s="3">
        <f>IF(AND(G646&lt;&gt;"LIBSETS_SETTYPE_BATTLEGROUND",G646&lt;&gt;"LIBSETS_SETTYPE_SPECIAL"),IF(AV646&lt;&gt;"",VLOOKUP(AV646,'ESO zones'!$D$5:$H$4958,5,FALSE),""),"")</f>
        <v>181</v>
      </c>
      <c r="AV646" t="s">
        <v>124</v>
      </c>
      <c r="AW646" s="30" t="s">
        <v>3205</v>
      </c>
      <c r="AX646" s="36"/>
      <c r="AY646" s="36"/>
      <c r="AZ646" s="72" t="s">
        <v>2626</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3850</v>
      </c>
      <c r="C647" s="33" t="s">
        <v>3850</v>
      </c>
      <c r="D647" s="3">
        <f t="shared" si="60"/>
        <v>755</v>
      </c>
      <c r="G647" s="3" t="s">
        <v>1452</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DLCs'!$A$3:$D$99999,4,FALSE))</f>
        <v>DLC_BASE_GAME</v>
      </c>
      <c r="U647" s="3" t="str">
        <f>IF(T647&lt;&gt;"",VLOOKUP(T647,'&lt;Constants&gt;'!$B$4:$C$1020,2,FALSE),"")</f>
        <v>Included in base game</v>
      </c>
      <c r="V647" s="83" t="s">
        <v>1515</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3681</v>
      </c>
      <c r="AC647" s="36"/>
      <c r="AD647" s="36"/>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2736</v>
      </c>
      <c r="AI647" s="36"/>
      <c r="AJ647" s="36"/>
      <c r="AK647" s="3">
        <f>IF(AND(G647&lt;&gt;"LIBSETS_SETTYPE_BATTLEGROUND",G647&lt;&gt;"LIBSETS_SETTYPE_SPECIAL"),IF(AL647&lt;&gt;"",VLOOKUP(AL647,'ESO zones'!$D$5:$H$4958,5,FALSE),""),"")</f>
        <v>181</v>
      </c>
      <c r="AL647" t="s">
        <v>124</v>
      </c>
      <c r="AM647" s="30" t="s">
        <v>3684</v>
      </c>
      <c r="AN647" s="36"/>
      <c r="AO647" s="36"/>
      <c r="AP647" s="3">
        <f>IF(AND(G647&lt;&gt;"LIBSETS_SETTYPE_BATTLEGROUND",G647&lt;&gt;"LIBSETS_SETTYPE_SPECIAL"),IF(AQ647&lt;&gt;"",VLOOKUP(AQ647,'ESO zones'!$D$5:$H$4958,5,FALSE),""),"")</f>
        <v>181</v>
      </c>
      <c r="AQ647" t="s">
        <v>124</v>
      </c>
      <c r="AR647" s="30" t="s">
        <v>1534</v>
      </c>
      <c r="AS647" s="36"/>
      <c r="AT647" s="36"/>
      <c r="AU647" s="3">
        <f>IF(AND(G647&lt;&gt;"LIBSETS_SETTYPE_BATTLEGROUND",G647&lt;&gt;"LIBSETS_SETTYPE_SPECIAL"),IF(AV647&lt;&gt;"",VLOOKUP(AV647,'ESO zones'!$D$5:$H$4958,5,FALSE),""),"")</f>
        <v>181</v>
      </c>
      <c r="AV647" t="s">
        <v>124</v>
      </c>
      <c r="AW647" s="30" t="s">
        <v>3205</v>
      </c>
      <c r="AX647" s="36"/>
      <c r="AY647" s="36"/>
      <c r="AZ647" s="72" t="s">
        <v>2626</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3851</v>
      </c>
      <c r="C648" s="33" t="s">
        <v>3851</v>
      </c>
      <c r="D648" s="3">
        <f t="shared" si="60"/>
        <v>756</v>
      </c>
      <c r="E648" s="37"/>
      <c r="G648" s="3" t="s">
        <v>1452</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DLCs'!$A$3:$D$99999,4,FALSE))</f>
        <v>DLC_BASE_GAME</v>
      </c>
      <c r="U648" s="3" t="str">
        <f>IF(T648&lt;&gt;"",VLOOKUP(T648,'&lt;Constants&gt;'!$B$4:$C$1020,2,FALSE),"")</f>
        <v>Included in base game</v>
      </c>
      <c r="V648" s="83" t="s">
        <v>1515</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3681</v>
      </c>
      <c r="AC648" s="36"/>
      <c r="AD648" s="36"/>
      <c r="AE648" s="125">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2736</v>
      </c>
      <c r="AI648" s="36"/>
      <c r="AJ648" s="36"/>
      <c r="AK648" s="3">
        <f>IF(AND(G648&lt;&gt;"LIBSETS_SETTYPE_BATTLEGROUND",G648&lt;&gt;"LIBSETS_SETTYPE_SPECIAL"),IF(AL648&lt;&gt;"",VLOOKUP(AL648,'ESO zones'!$D$5:$H$4958,5,FALSE),""),"")</f>
        <v>181</v>
      </c>
      <c r="AL648" t="s">
        <v>124</v>
      </c>
      <c r="AM648" s="30" t="s">
        <v>3684</v>
      </c>
      <c r="AN648" s="36"/>
      <c r="AO648" s="36"/>
      <c r="AP648" s="3">
        <f>IF(AND(G648&lt;&gt;"LIBSETS_SETTYPE_BATTLEGROUND",G648&lt;&gt;"LIBSETS_SETTYPE_SPECIAL"),IF(AQ648&lt;&gt;"",VLOOKUP(AQ648,'ESO zones'!$D$5:$H$4958,5,FALSE),""),"")</f>
        <v>181</v>
      </c>
      <c r="AQ648" t="s">
        <v>124</v>
      </c>
      <c r="AR648" s="30" t="s">
        <v>1534</v>
      </c>
      <c r="AS648" s="36"/>
      <c r="AT648" s="36"/>
      <c r="AU648" s="3">
        <f>IF(AND(G648&lt;&gt;"LIBSETS_SETTYPE_BATTLEGROUND",G648&lt;&gt;"LIBSETS_SETTYPE_SPECIAL"),IF(AV648&lt;&gt;"",VLOOKUP(AV648,'ESO zones'!$D$5:$H$4958,5,FALSE),""),"")</f>
        <v>181</v>
      </c>
      <c r="AV648" t="s">
        <v>124</v>
      </c>
      <c r="AW648" s="30" t="s">
        <v>3205</v>
      </c>
      <c r="AX648" s="36"/>
      <c r="AY648" s="36"/>
      <c r="AZ648" s="72" t="s">
        <v>2626</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3881</v>
      </c>
      <c r="C649" s="33" t="s">
        <v>3881</v>
      </c>
      <c r="D649" s="3">
        <f t="shared" si="60"/>
        <v>757</v>
      </c>
      <c r="G649" s="3" t="s">
        <v>1457</v>
      </c>
      <c r="I649" t="s">
        <v>91</v>
      </c>
      <c r="J649" t="s">
        <v>91</v>
      </c>
      <c r="K649" s="33">
        <v>558</v>
      </c>
      <c r="L649" s="33">
        <v>575</v>
      </c>
      <c r="M649" s="33">
        <v>579</v>
      </c>
      <c r="O649" s="58" t="s">
        <v>3898</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DLCs'!$A$3:$D$99999,4,FALSE))</f>
        <v>DLC_GOLD_ROAD</v>
      </c>
      <c r="U649" s="3" t="str">
        <f>IF(T649&lt;&gt;"",VLOOKUP(T649,'&lt;Constants&gt;'!$B$4:$C$1020,2,FALSE),"")</f>
        <v>Gold Road</v>
      </c>
      <c r="V649" s="30" t="s">
        <v>1534</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1535</v>
      </c>
      <c r="AC649" s="36"/>
      <c r="AD649" s="36"/>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1536</v>
      </c>
      <c r="AI649" s="36"/>
      <c r="AJ649" s="36"/>
      <c r="AK649" s="3">
        <f>IF(AND(G649&lt;&gt;"LIBSETS_SETTYPE_BATTLEGROUND",G649&lt;&gt;"LIBSETS_SETTYPE_SPECIAL"),IF(AL649&lt;&gt;"",VLOOKUP(AL649,'ESO zones'!$D$5:$H$4958,5,FALSE),""),"")</f>
        <v>1443</v>
      </c>
      <c r="AL649" t="s">
        <v>3898</v>
      </c>
      <c r="AM649" s="39" t="s">
        <v>1537</v>
      </c>
      <c r="AN649" s="36"/>
      <c r="AO649" s="36"/>
      <c r="AP649" s="3">
        <f>IF(AND(G649&lt;&gt;"LIBSETS_SETTYPE_BATTLEGROUND",G649&lt;&gt;"LIBSETS_SETTYPE_SPECIAL"),IF(AQ649&lt;&gt;"",VLOOKUP(AQ649,'ESO zones'!$D$5:$H$4958,5,FALSE),""),"")</f>
        <v>1466</v>
      </c>
      <c r="AQ649" t="s">
        <v>3909</v>
      </c>
      <c r="AR649" s="39" t="s">
        <v>1536</v>
      </c>
      <c r="AS649" s="36"/>
      <c r="AT649" s="36"/>
      <c r="AU649" s="3">
        <f>IF(AND(G649&lt;&gt;"LIBSETS_SETTYPE_BATTLEGROUND",G649&lt;&gt;"LIBSETS_SETTYPE_SPECIAL"),IF(AV649&lt;&gt;"",VLOOKUP(AV649,'ESO zones'!$D$5:$H$4958,5,FALSE),""),"")</f>
        <v>1443</v>
      </c>
      <c r="AV649" t="s">
        <v>3898</v>
      </c>
      <c r="AW649" s="39" t="s">
        <v>3193</v>
      </c>
      <c r="AX649" s="36"/>
      <c r="AY649" s="36"/>
      <c r="AZ649" s="72" t="s">
        <v>2626</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3882</v>
      </c>
      <c r="C650" s="33" t="s">
        <v>3882</v>
      </c>
      <c r="D650" s="3">
        <f t="shared" si="60"/>
        <v>758</v>
      </c>
      <c r="G650" s="3" t="s">
        <v>1457</v>
      </c>
      <c r="I650" t="s">
        <v>91</v>
      </c>
      <c r="J650" t="s">
        <v>91</v>
      </c>
      <c r="K650" s="33">
        <v>558</v>
      </c>
      <c r="L650" s="33">
        <v>575</v>
      </c>
      <c r="M650" s="33">
        <v>579</v>
      </c>
      <c r="O650" s="58" t="s">
        <v>3898</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DLCs'!$A$3:$D$99999,4,FALSE))</f>
        <v>DLC_GOLD_ROAD</v>
      </c>
      <c r="U650" s="3" t="str">
        <f>IF(T650&lt;&gt;"",VLOOKUP(T650,'&lt;Constants&gt;'!$B$4:$C$1020,2,FALSE),"")</f>
        <v>Gold Road</v>
      </c>
      <c r="V650" s="30" t="s">
        <v>1534</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1535</v>
      </c>
      <c r="AC650" s="36"/>
      <c r="AD650" s="36"/>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1536</v>
      </c>
      <c r="AI650" s="36"/>
      <c r="AJ650" s="36"/>
      <c r="AK650" s="3">
        <f>IF(AND(G650&lt;&gt;"LIBSETS_SETTYPE_BATTLEGROUND",G650&lt;&gt;"LIBSETS_SETTYPE_SPECIAL"),IF(AL650&lt;&gt;"",VLOOKUP(AL650,'ESO zones'!$D$5:$H$4958,5,FALSE),""),"")</f>
        <v>1443</v>
      </c>
      <c r="AL650" t="s">
        <v>3898</v>
      </c>
      <c r="AM650" s="39" t="s">
        <v>1537</v>
      </c>
      <c r="AN650" s="36"/>
      <c r="AO650" s="36"/>
      <c r="AP650" s="3">
        <f>IF(AND(G650&lt;&gt;"LIBSETS_SETTYPE_BATTLEGROUND",G650&lt;&gt;"LIBSETS_SETTYPE_SPECIAL"),IF(AQ650&lt;&gt;"",VLOOKUP(AQ650,'ESO zones'!$D$5:$H$4958,5,FALSE),""),"")</f>
        <v>1466</v>
      </c>
      <c r="AQ650" t="s">
        <v>3909</v>
      </c>
      <c r="AR650" s="39" t="s">
        <v>1536</v>
      </c>
      <c r="AS650" s="36"/>
      <c r="AT650" s="36"/>
      <c r="AU650" s="3">
        <f>IF(AND(G650&lt;&gt;"LIBSETS_SETTYPE_BATTLEGROUND",G650&lt;&gt;"LIBSETS_SETTYPE_SPECIAL"),IF(AV650&lt;&gt;"",VLOOKUP(AV650,'ESO zones'!$D$5:$H$4958,5,FALSE),""),"")</f>
        <v>1443</v>
      </c>
      <c r="AV650" t="s">
        <v>3898</v>
      </c>
      <c r="AW650" s="39" t="s">
        <v>3193</v>
      </c>
      <c r="AX650" s="36"/>
      <c r="AY650" s="36"/>
      <c r="AZ650" s="72" t="s">
        <v>2626</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3883</v>
      </c>
      <c r="C651" s="33" t="s">
        <v>3883</v>
      </c>
      <c r="D651" s="3">
        <f t="shared" si="60"/>
        <v>759</v>
      </c>
      <c r="E651" s="37"/>
      <c r="G651" s="3" t="s">
        <v>1457</v>
      </c>
      <c r="I651" t="s">
        <v>91</v>
      </c>
      <c r="J651" t="s">
        <v>91</v>
      </c>
      <c r="K651" s="33">
        <v>558</v>
      </c>
      <c r="L651" s="33">
        <v>575</v>
      </c>
      <c r="M651" s="33">
        <v>579</v>
      </c>
      <c r="O651" s="58" t="s">
        <v>3898</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DLCs'!$A$3:$D$99999,4,FALSE))</f>
        <v>DLC_GOLD_ROAD</v>
      </c>
      <c r="U651" s="3" t="str">
        <f>IF(T651&lt;&gt;"",VLOOKUP(T651,'&lt;Constants&gt;'!$B$4:$C$1020,2,FALSE),"")</f>
        <v>Gold Road</v>
      </c>
      <c r="V651" s="30" t="s">
        <v>1534</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1535</v>
      </c>
      <c r="AC651" s="36"/>
      <c r="AD651" s="36"/>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1536</v>
      </c>
      <c r="AI651" s="36"/>
      <c r="AJ651" s="36"/>
      <c r="AK651" s="3">
        <f>IF(AND(G651&lt;&gt;"LIBSETS_SETTYPE_BATTLEGROUND",G651&lt;&gt;"LIBSETS_SETTYPE_SPECIAL"),IF(AL651&lt;&gt;"",VLOOKUP(AL651,'ESO zones'!$D$5:$H$4958,5,FALSE),""),"")</f>
        <v>1443</v>
      </c>
      <c r="AL651" t="s">
        <v>3898</v>
      </c>
      <c r="AM651" s="39" t="s">
        <v>1537</v>
      </c>
      <c r="AN651" s="36"/>
      <c r="AO651" s="36"/>
      <c r="AP651" s="3">
        <f>IF(AND(G651&lt;&gt;"LIBSETS_SETTYPE_BATTLEGROUND",G651&lt;&gt;"LIBSETS_SETTYPE_SPECIAL"),IF(AQ651&lt;&gt;"",VLOOKUP(AQ651,'ESO zones'!$D$5:$H$4958,5,FALSE),""),"")</f>
        <v>1466</v>
      </c>
      <c r="AQ651" t="s">
        <v>3909</v>
      </c>
      <c r="AR651" s="39" t="s">
        <v>1536</v>
      </c>
      <c r="AS651" s="36"/>
      <c r="AT651" s="36"/>
      <c r="AU651" s="3">
        <f>IF(AND(G651&lt;&gt;"LIBSETS_SETTYPE_BATTLEGROUND",G651&lt;&gt;"LIBSETS_SETTYPE_SPECIAL"),IF(AV651&lt;&gt;"",VLOOKUP(AV651,'ESO zones'!$D$5:$H$4958,5,FALSE),""),"")</f>
        <v>1443</v>
      </c>
      <c r="AV651" t="s">
        <v>3898</v>
      </c>
      <c r="AW651" s="39" t="s">
        <v>3193</v>
      </c>
      <c r="AX651" s="36"/>
      <c r="AY651" s="36"/>
      <c r="AZ651" s="72" t="s">
        <v>2626</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3891</v>
      </c>
      <c r="C652" s="33" t="s">
        <v>3891</v>
      </c>
      <c r="D652" s="3">
        <f t="shared" si="60"/>
        <v>760</v>
      </c>
      <c r="G652" s="3" t="s">
        <v>1654</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DLCs'!$A$3:$D$99999,4,FALSE))</f>
        <v>DLC_GOLD_ROAD</v>
      </c>
      <c r="U652" s="3" t="str">
        <f>IF(T652&lt;&gt;"",VLOOKUP(T652,'&lt;Constants&gt;'!$B$4:$C$1020,2,FALSE),"")</f>
        <v>Gold Road</v>
      </c>
      <c r="V652" s="30" t="s">
        <v>1534</v>
      </c>
      <c r="W652" s="3" t="s">
        <v>3961</v>
      </c>
      <c r="X652" s="3" t="s">
        <v>3961</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1534</v>
      </c>
      <c r="AC652" s="36" t="s">
        <v>223</v>
      </c>
      <c r="AD652" s="36" t="s">
        <v>223</v>
      </c>
      <c r="AE652" s="125">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1536</v>
      </c>
      <c r="AI652" s="36" t="s">
        <v>3569</v>
      </c>
      <c r="AJ652" s="36" t="s">
        <v>3570</v>
      </c>
      <c r="AK652" s="3">
        <f>IF(AND(G652&lt;&gt;"LIBSETS_SETTYPE_BATTLEGROUND",G652&lt;&gt;"LIBSETS_SETTYPE_SPECIAL"),IF(AL652&lt;&gt;"",VLOOKUP(AL652,'ESO zones'!$D$5:$H$4958,5,FALSE),""),"")</f>
        <v>22</v>
      </c>
      <c r="AL652" t="s">
        <v>68</v>
      </c>
      <c r="AM652" s="39" t="s">
        <v>3253</v>
      </c>
      <c r="AN652" s="36" t="s">
        <v>3962</v>
      </c>
      <c r="AO652" s="36" t="s">
        <v>3963</v>
      </c>
      <c r="AP652" s="3">
        <f>IF(AND(G652&lt;&gt;"LIBSETS_SETTYPE_BATTLEGROUND",G652&lt;&gt;"LIBSETS_SETTYPE_SPECIAL"),IF(AQ652&lt;&gt;"",VLOOKUP(AQ652,'ESO zones'!$D$5:$H$4958,5,FALSE),""),"")</f>
        <v>975</v>
      </c>
      <c r="AQ652" t="s">
        <v>636</v>
      </c>
      <c r="AR652" s="39" t="s">
        <v>3234</v>
      </c>
      <c r="AS652" s="36" t="s">
        <v>3995</v>
      </c>
      <c r="AT652" s="36" t="s">
        <v>3995</v>
      </c>
      <c r="AU652" s="3" t="str">
        <f>IF(AND(G652&lt;&gt;"LIBSETS_SETTYPE_BATTLEGROUND",G652&lt;&gt;"LIBSETS_SETTYPE_SPECIAL"),IF(AV652&lt;&gt;"",VLOOKUP(AV652,'ESO zones'!$D$5:$H$4958,5,FALSE),""),"")</f>
        <v/>
      </c>
      <c r="AX652" s="36"/>
      <c r="AY652" s="36"/>
      <c r="AZ652" s="72" t="s">
        <v>2626</v>
      </c>
      <c r="BA652" s="72" t="s">
        <v>4153</v>
      </c>
      <c r="BB652" s="72" t="s">
        <v>4153</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3978</v>
      </c>
      <c r="C653" s="33" t="s">
        <v>3978</v>
      </c>
      <c r="D653" s="3">
        <f t="shared" si="60"/>
        <v>761</v>
      </c>
      <c r="G653" s="3" t="s">
        <v>1654</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DLCs'!$A$3:$D$99999,4,FALSE))</f>
        <v>DLC_GOLD_ROAD</v>
      </c>
      <c r="U653" s="3" t="str">
        <f>IF(T653&lt;&gt;"",VLOOKUP(T653,'&lt;Constants&gt;'!$B$4:$C$1020,2,FALSE),"")</f>
        <v>Gold Road</v>
      </c>
      <c r="V653" s="30" t="s">
        <v>1535</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1534</v>
      </c>
      <c r="AC653" s="36" t="s">
        <v>3924</v>
      </c>
      <c r="AD653" s="36" t="s">
        <v>3964</v>
      </c>
      <c r="AE653" s="125">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3253</v>
      </c>
      <c r="AI653" s="36" t="s">
        <v>3569</v>
      </c>
      <c r="AJ653" s="36" t="s">
        <v>3570</v>
      </c>
      <c r="AK653" s="3">
        <f>IF(AND(G653&lt;&gt;"LIBSETS_SETTYPE_BATTLEGROUND",G653&lt;&gt;"LIBSETS_SETTYPE_SPECIAL"),IF(AL653&lt;&gt;"",VLOOKUP(AL653,'ESO zones'!$D$5:$H$4958,5,FALSE),""),"")</f>
        <v>1443</v>
      </c>
      <c r="AL653" t="s">
        <v>3898</v>
      </c>
      <c r="AM653" s="39" t="s">
        <v>1535</v>
      </c>
      <c r="AN653" s="36"/>
      <c r="AO653" s="36"/>
      <c r="AP653" s="3">
        <f>IF(AND(G653&lt;&gt;"LIBSETS_SETTYPE_BATTLEGROUND",G653&lt;&gt;"LIBSETS_SETTYPE_SPECIAL"),IF(AQ653&lt;&gt;"",VLOOKUP(AQ653,'ESO zones'!$D$5:$H$4958,5,FALSE),""),"")</f>
        <v>1011</v>
      </c>
      <c r="AQ653" t="s">
        <v>79</v>
      </c>
      <c r="AR653" s="39" t="s">
        <v>3205</v>
      </c>
      <c r="AS653" s="36" t="s">
        <v>3996</v>
      </c>
      <c r="AT653" s="36" t="s">
        <v>3997</v>
      </c>
      <c r="AU653" s="3">
        <f>IF(AND(G653&lt;&gt;"LIBSETS_SETTYPE_BATTLEGROUND",G653&lt;&gt;"LIBSETS_SETTYPE_SPECIAL"),IF(AV653&lt;&gt;"",VLOOKUP(AV653,'ESO zones'!$D$5:$H$4958,5,FALSE),""),"")</f>
        <v>1090</v>
      </c>
      <c r="AV653" s="36" t="s">
        <v>1371</v>
      </c>
      <c r="AW653" s="39" t="s">
        <v>1536</v>
      </c>
      <c r="AX653" s="36" t="s">
        <v>3998</v>
      </c>
      <c r="AY653" s="36" t="s">
        <v>3999</v>
      </c>
      <c r="AZ653" s="72" t="s">
        <v>2626</v>
      </c>
      <c r="BA653" s="72" t="s">
        <v>4154</v>
      </c>
      <c r="BB653" s="72" t="s">
        <v>4154</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3892</v>
      </c>
      <c r="C654" s="33" t="s">
        <v>3892</v>
      </c>
      <c r="D654" s="3">
        <f t="shared" si="60"/>
        <v>762</v>
      </c>
      <c r="G654" s="3" t="s">
        <v>1654</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DLCs'!$A$3:$D$99999,4,FALSE))</f>
        <v>DLC_GOLD_ROAD</v>
      </c>
      <c r="U654" s="3" t="str">
        <f>IF(T654&lt;&gt;"",VLOOKUP(T654,'&lt;Constants&gt;'!$B$4:$C$1020,2,FALSE),"")</f>
        <v>Gold Road</v>
      </c>
      <c r="V654" s="30" t="s">
        <v>1536</v>
      </c>
      <c r="W654" s="3" t="s">
        <v>3965</v>
      </c>
      <c r="X654" s="3" t="s">
        <v>3966</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1534</v>
      </c>
      <c r="AC654" s="36" t="s">
        <v>3967</v>
      </c>
      <c r="AD654" s="36" t="s">
        <v>3968</v>
      </c>
      <c r="AE654" s="125"/>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3205</v>
      </c>
      <c r="AI654" s="36" t="s">
        <v>3969</v>
      </c>
      <c r="AJ654" s="36" t="s">
        <v>3970</v>
      </c>
      <c r="AK654" s="3">
        <f>IF(AND(G654&lt;&gt;"LIBSETS_SETTYPE_BATTLEGROUND",G654&lt;&gt;"LIBSETS_SETTYPE_SPECIAL"),IF(AL654&lt;&gt;"",VLOOKUP(AL654,'ESO zones'!$D$5:$H$4958,5,FALSE),""),"")</f>
        <v>677</v>
      </c>
      <c r="AL654" t="s">
        <v>447</v>
      </c>
      <c r="AM654" s="39" t="s">
        <v>1530</v>
      </c>
      <c r="AN654" s="36" t="s">
        <v>4000</v>
      </c>
      <c r="AO654" s="36" t="s">
        <v>4001</v>
      </c>
      <c r="AP654" s="3">
        <f>IF(AND(G654&lt;&gt;"LIBSETS_SETTYPE_BATTLEGROUND",G654&lt;&gt;"LIBSETS_SETTYPE_SPECIAL"),IF(AQ654&lt;&gt;"",VLOOKUP(AQ654,'ESO zones'!$D$5:$H$4958,5,FALSE),""),"")</f>
        <v>104</v>
      </c>
      <c r="AQ654" t="s">
        <v>111</v>
      </c>
      <c r="AR654" s="39" t="s">
        <v>1535</v>
      </c>
      <c r="AS654" s="36" t="s">
        <v>4002</v>
      </c>
      <c r="AT654" s="36" t="s">
        <v>4003</v>
      </c>
      <c r="AU654" s="3" t="str">
        <f>IF(AND(G654&lt;&gt;"LIBSETS_SETTYPE_BATTLEGROUND",G654&lt;&gt;"LIBSETS_SETTYPE_SPECIAL"),IF(AV654&lt;&gt;"",VLOOKUP(AV654,'ESO zones'!$D$5:$H$4958,5,FALSE),""),"")</f>
        <v/>
      </c>
      <c r="AX654" s="36"/>
      <c r="AY654" s="36"/>
      <c r="AZ654" s="72" t="s">
        <v>2626</v>
      </c>
      <c r="BA654" s="72" t="s">
        <v>4155</v>
      </c>
      <c r="BB654" s="72" t="s">
        <v>4155</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3889</v>
      </c>
      <c r="C655" s="33" t="s">
        <v>3889</v>
      </c>
      <c r="D655" s="3">
        <f t="shared" si="60"/>
        <v>763</v>
      </c>
      <c r="G655" s="3" t="s">
        <v>1451</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DLCs'!$A$3:$D$99999,4,FALSE))</f>
        <v>DLC_GOLD_ROAD</v>
      </c>
      <c r="U655" s="3" t="str">
        <f>IF(T655&lt;&gt;"",VLOOKUP(T655,'&lt;Constants&gt;'!$B$4:$C$1020,2,FALSE),"")</f>
        <v>Gold Road</v>
      </c>
      <c r="V655" s="30" t="s">
        <v>3256</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3256</v>
      </c>
      <c r="AC655" s="36"/>
      <c r="AD655" s="36"/>
      <c r="AE655" s="125"/>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3256</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2626</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3884</v>
      </c>
      <c r="C656" s="33" t="s">
        <v>3884</v>
      </c>
      <c r="D656" s="3">
        <f t="shared" si="60"/>
        <v>764</v>
      </c>
      <c r="G656" s="3" t="s">
        <v>1451</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DLCs'!$A$3:$D$99999,4,FALSE))</f>
        <v>DLC_GOLD_ROAD</v>
      </c>
      <c r="U656" s="3" t="str">
        <f>IF(T656&lt;&gt;"",VLOOKUP(T656,'&lt;Constants&gt;'!$B$4:$C$1020,2,FALSE),"")</f>
        <v>Gold Road</v>
      </c>
      <c r="V656" s="30" t="s">
        <v>3256</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3256</v>
      </c>
      <c r="AC656" s="36"/>
      <c r="AD656" s="36"/>
      <c r="AE656" s="125"/>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3256</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2626</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3885</v>
      </c>
      <c r="C657" s="33" t="s">
        <v>3885</v>
      </c>
      <c r="D657" s="3">
        <f t="shared" si="60"/>
        <v>765</v>
      </c>
      <c r="G657" s="3" t="s">
        <v>1451</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DLCs'!$A$3:$D$99999,4,FALSE))</f>
        <v>DLC_GOLD_ROAD</v>
      </c>
      <c r="U657" s="3" t="str">
        <f>IF(T657&lt;&gt;"",VLOOKUP(T657,'&lt;Constants&gt;'!$B$4:$C$1020,2,FALSE),"")</f>
        <v>Gold Road</v>
      </c>
      <c r="V657" s="30" t="s">
        <v>3256</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3256</v>
      </c>
      <c r="AC657" s="36"/>
      <c r="AD657" s="36"/>
      <c r="AE657" s="125"/>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3256</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2626</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3888</v>
      </c>
      <c r="C658" s="33" t="s">
        <v>3888</v>
      </c>
      <c r="D658" s="3">
        <f t="shared" si="60"/>
        <v>766</v>
      </c>
      <c r="G658" s="3" t="s">
        <v>1458</v>
      </c>
      <c r="I658" t="s">
        <v>91</v>
      </c>
      <c r="J658" t="s">
        <v>91</v>
      </c>
      <c r="K658" s="33">
        <v>568</v>
      </c>
      <c r="L658" s="33">
        <v>568</v>
      </c>
      <c r="M658" s="33">
        <v>568</v>
      </c>
      <c r="O658" s="58" t="s">
        <v>3904</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DLCs'!$A$3:$D$99999,4,FALSE))</f>
        <v>DLC_GOLD_ROAD</v>
      </c>
      <c r="U658" s="3" t="str">
        <f>IF(T658&lt;&gt;"",VLOOKUP(T658,'&lt;Constants&gt;'!$B$4:$C$1020,2,FALSE),"")</f>
        <v>Gold Road</v>
      </c>
      <c r="V658" s="30" t="s">
        <v>3234</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3234</v>
      </c>
      <c r="AC658" s="36"/>
      <c r="AD658" s="36"/>
      <c r="AE658" s="125">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3234</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2626</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3886</v>
      </c>
      <c r="C659" s="33" t="s">
        <v>3886</v>
      </c>
      <c r="D659" s="3">
        <f t="shared" si="60"/>
        <v>767</v>
      </c>
      <c r="G659" s="3" t="s">
        <v>1458</v>
      </c>
      <c r="I659" t="s">
        <v>91</v>
      </c>
      <c r="J659" t="s">
        <v>91</v>
      </c>
      <c r="K659" s="33">
        <v>568</v>
      </c>
      <c r="L659" s="33">
        <v>568</v>
      </c>
      <c r="M659" s="33">
        <v>568</v>
      </c>
      <c r="O659" s="58" t="s">
        <v>3904</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DLCs'!$A$3:$D$99999,4,FALSE))</f>
        <v>DLC_GOLD_ROAD</v>
      </c>
      <c r="U659" s="3" t="str">
        <f>IF(T659&lt;&gt;"",VLOOKUP(T659,'&lt;Constants&gt;'!$B$4:$C$1020,2,FALSE),"")</f>
        <v>Gold Road</v>
      </c>
      <c r="V659" s="30" t="s">
        <v>3234</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3234</v>
      </c>
      <c r="AC659" s="36"/>
      <c r="AD659" s="36"/>
      <c r="AE659" s="125">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3234</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2626</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3890</v>
      </c>
      <c r="C660" s="33" t="s">
        <v>3890</v>
      </c>
      <c r="D660" s="3">
        <f t="shared" si="60"/>
        <v>768</v>
      </c>
      <c r="G660" s="3" t="s">
        <v>1458</v>
      </c>
      <c r="I660" t="s">
        <v>91</v>
      </c>
      <c r="J660" t="s">
        <v>91</v>
      </c>
      <c r="K660" s="33">
        <v>568</v>
      </c>
      <c r="L660" s="33">
        <v>568</v>
      </c>
      <c r="M660" s="33">
        <v>568</v>
      </c>
      <c r="O660" s="58" t="s">
        <v>3904</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DLCs'!$A$3:$D$99999,4,FALSE))</f>
        <v>DLC_GOLD_ROAD</v>
      </c>
      <c r="U660" s="3" t="str">
        <f>IF(T660&lt;&gt;"",VLOOKUP(T660,'&lt;Constants&gt;'!$B$4:$C$1020,2,FALSE),"")</f>
        <v>Gold Road</v>
      </c>
      <c r="V660" s="30" t="s">
        <v>3234</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3234</v>
      </c>
      <c r="AC660" s="36"/>
      <c r="AD660" s="36"/>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3234</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2626</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3887</v>
      </c>
      <c r="C661" s="33" t="s">
        <v>3887</v>
      </c>
      <c r="D661" s="3">
        <f t="shared" si="60"/>
        <v>769</v>
      </c>
      <c r="G661" s="3" t="s">
        <v>1458</v>
      </c>
      <c r="I661" t="s">
        <v>91</v>
      </c>
      <c r="J661" t="s">
        <v>91</v>
      </c>
      <c r="K661" s="33">
        <v>568</v>
      </c>
      <c r="L661" s="33">
        <v>568</v>
      </c>
      <c r="M661" s="33">
        <v>568</v>
      </c>
      <c r="O661" s="58" t="s">
        <v>3904</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DLCs'!$A$3:$D$99999,4,FALSE))</f>
        <v>DLC_GOLD_ROAD</v>
      </c>
      <c r="U661" s="3" t="str">
        <f>IF(T661&lt;&gt;"",VLOOKUP(T661,'&lt;Constants&gt;'!$B$4:$C$1020,2,FALSE),"")</f>
        <v>Gold Road</v>
      </c>
      <c r="V661" s="30" t="s">
        <v>3234</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3234</v>
      </c>
      <c r="AC661" s="36"/>
      <c r="AD661" s="36"/>
      <c r="AE661" s="125">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3234</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2626</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3895</v>
      </c>
      <c r="C662" s="33" t="s">
        <v>3895</v>
      </c>
      <c r="D662" s="3">
        <f t="shared" si="60"/>
        <v>770</v>
      </c>
      <c r="G662" s="3" t="s">
        <v>1458</v>
      </c>
      <c r="I662" t="s">
        <v>92</v>
      </c>
      <c r="J662" t="s">
        <v>91</v>
      </c>
      <c r="K662" s="33">
        <v>568</v>
      </c>
      <c r="L662" s="33">
        <v>568</v>
      </c>
      <c r="M662" s="33">
        <v>568</v>
      </c>
      <c r="O662" s="58" t="s">
        <v>3904</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DLCs'!$A$3:$D$99999,4,FALSE))</f>
        <v>DLC_GOLD_ROAD</v>
      </c>
      <c r="U662" s="3" t="str">
        <f>IF(T662&lt;&gt;"",VLOOKUP(T662,'&lt;Constants&gt;'!$B$4:$C$1020,2,FALSE),"")</f>
        <v>Gold Road</v>
      </c>
      <c r="V662" s="30" t="s">
        <v>3234</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3234</v>
      </c>
      <c r="AC662" s="36"/>
      <c r="AD662" s="36"/>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3234</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2626</v>
      </c>
      <c r="BA662" s="72"/>
      <c r="BB662" s="72"/>
      <c r="BC662"/>
      <c r="BD662" t="s">
        <v>3773</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3896</v>
      </c>
      <c r="C663" s="33" t="s">
        <v>3896</v>
      </c>
      <c r="D663" s="3">
        <f t="shared" si="60"/>
        <v>771</v>
      </c>
      <c r="G663" s="3" t="s">
        <v>1458</v>
      </c>
      <c r="I663" t="s">
        <v>92</v>
      </c>
      <c r="J663" t="s">
        <v>91</v>
      </c>
      <c r="K663" s="33">
        <v>568</v>
      </c>
      <c r="L663" s="33">
        <v>568</v>
      </c>
      <c r="M663" s="33">
        <v>568</v>
      </c>
      <c r="O663" s="58" t="s">
        <v>3904</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DLCs'!$A$3:$D$99999,4,FALSE))</f>
        <v>DLC_GOLD_ROAD</v>
      </c>
      <c r="U663" s="3" t="str">
        <f>IF(T663&lt;&gt;"",VLOOKUP(T663,'&lt;Constants&gt;'!$B$4:$C$1020,2,FALSE),"")</f>
        <v>Gold Road</v>
      </c>
      <c r="V663" s="30" t="s">
        <v>3234</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3234</v>
      </c>
      <c r="AC663" s="36"/>
      <c r="AD663" s="36"/>
      <c r="AE663" s="125">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3234</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2626</v>
      </c>
      <c r="BA663" s="72"/>
      <c r="BB663" s="72"/>
      <c r="BC663"/>
      <c r="BD663" t="s">
        <v>3773</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3894</v>
      </c>
      <c r="C664" s="33" t="s">
        <v>3894</v>
      </c>
      <c r="D664" s="3">
        <f t="shared" si="60"/>
        <v>772</v>
      </c>
      <c r="G664" s="3" t="s">
        <v>1458</v>
      </c>
      <c r="I664" t="s">
        <v>92</v>
      </c>
      <c r="J664" t="s">
        <v>91</v>
      </c>
      <c r="K664" s="33">
        <v>568</v>
      </c>
      <c r="L664" s="33">
        <v>568</v>
      </c>
      <c r="M664" s="33">
        <v>568</v>
      </c>
      <c r="O664" s="58" t="s">
        <v>3904</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DLCs'!$A$3:$D$99999,4,FALSE))</f>
        <v>DLC_GOLD_ROAD</v>
      </c>
      <c r="U664" s="3" t="str">
        <f>IF(T664&lt;&gt;"",VLOOKUP(T664,'&lt;Constants&gt;'!$B$4:$C$1020,2,FALSE),"")</f>
        <v>Gold Road</v>
      </c>
      <c r="V664" s="30" t="s">
        <v>3234</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3234</v>
      </c>
      <c r="AC664" s="36"/>
      <c r="AD664" s="36"/>
      <c r="AE664" s="125">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3234</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2626</v>
      </c>
      <c r="BA664" s="72"/>
      <c r="BB664" s="72"/>
      <c r="BC664"/>
      <c r="BD664" t="s">
        <v>3773</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3893</v>
      </c>
      <c r="C665" s="33" t="s">
        <v>3893</v>
      </c>
      <c r="D665" s="3">
        <f t="shared" si="60"/>
        <v>773</v>
      </c>
      <c r="G665" s="3" t="s">
        <v>1458</v>
      </c>
      <c r="I665" t="s">
        <v>92</v>
      </c>
      <c r="J665" t="s">
        <v>91</v>
      </c>
      <c r="K665" s="33">
        <v>568</v>
      </c>
      <c r="L665" s="33">
        <v>568</v>
      </c>
      <c r="M665" s="33">
        <v>568</v>
      </c>
      <c r="O665" s="58" t="s">
        <v>3904</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DLCs'!$A$3:$D$99999,4,FALSE))</f>
        <v>DLC_GOLD_ROAD</v>
      </c>
      <c r="U665" s="3" t="str">
        <f>IF(T665&lt;&gt;"",VLOOKUP(T665,'&lt;Constants&gt;'!$B$4:$C$1020,2,FALSE),"")</f>
        <v>Gold Road</v>
      </c>
      <c r="V665" s="30" t="s">
        <v>3234</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3234</v>
      </c>
      <c r="AC665" s="36"/>
      <c r="AD665" s="36"/>
      <c r="AE665" s="125">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3234</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2626</v>
      </c>
      <c r="BA665" s="72"/>
      <c r="BB665" s="72"/>
      <c r="BC665"/>
      <c r="BD665" t="s">
        <v>3773</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3988</v>
      </c>
      <c r="C666" s="33" t="s">
        <v>3988</v>
      </c>
      <c r="D666" s="3">
        <f t="shared" si="60"/>
        <v>775</v>
      </c>
      <c r="E666" s="33" t="s">
        <v>3721</v>
      </c>
      <c r="G666" s="3" t="s">
        <v>3701</v>
      </c>
      <c r="I666" t="s">
        <v>91</v>
      </c>
      <c r="J666" t="s">
        <v>91</v>
      </c>
      <c r="K666">
        <v>543</v>
      </c>
      <c r="L666">
        <v>543</v>
      </c>
      <c r="M666">
        <v>543</v>
      </c>
      <c r="O666" s="58" t="s">
        <v>3860</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DLCs'!$A$3:$D$99999,4,FALSE))</f>
        <v>DLC_BASE_GAME</v>
      </c>
      <c r="U666" s="3" t="str">
        <f>IF(T666&lt;&gt;"",VLOOKUP(T666,'&lt;Constants&gt;'!$B$4:$C$1020,2,FALSE),"")</f>
        <v>Included in base game</v>
      </c>
      <c r="V666" s="83" t="s">
        <v>3698</v>
      </c>
      <c r="W666" s="3" t="s">
        <v>3721</v>
      </c>
      <c r="X666" s="3" t="s">
        <v>3824</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6"/>
      <c r="AD666" s="36"/>
      <c r="AE666" s="125"/>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2626</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3984</v>
      </c>
      <c r="C667" s="33" t="s">
        <v>3984</v>
      </c>
      <c r="D667" s="3">
        <f t="shared" si="60"/>
        <v>776</v>
      </c>
      <c r="E667" s="33" t="s">
        <v>3715</v>
      </c>
      <c r="G667" s="3" t="s">
        <v>3701</v>
      </c>
      <c r="I667" t="s">
        <v>91</v>
      </c>
      <c r="J667" t="s">
        <v>91</v>
      </c>
      <c r="K667">
        <v>543</v>
      </c>
      <c r="L667">
        <v>543</v>
      </c>
      <c r="M667">
        <v>543</v>
      </c>
      <c r="O667" s="58" t="s">
        <v>3860</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DLCs'!$A$3:$D$99999,4,FALSE))</f>
        <v>DLC_BASE_GAME</v>
      </c>
      <c r="U667" s="3" t="str">
        <f>IF(T667&lt;&gt;"",VLOOKUP(T667,'&lt;Constants&gt;'!$B$4:$C$1020,2,FALSE),"")</f>
        <v>Included in base game</v>
      </c>
      <c r="V667" s="83" t="s">
        <v>3698</v>
      </c>
      <c r="W667" s="3" t="s">
        <v>3715</v>
      </c>
      <c r="X667" s="3" t="s">
        <v>3825</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6"/>
      <c r="AD667" s="36"/>
      <c r="AE667" s="125"/>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2626</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3987</v>
      </c>
      <c r="C668" s="33" t="s">
        <v>3987</v>
      </c>
      <c r="D668" s="3">
        <f t="shared" si="60"/>
        <v>777</v>
      </c>
      <c r="E668" s="33" t="s">
        <v>3720</v>
      </c>
      <c r="G668" s="3" t="s">
        <v>3701</v>
      </c>
      <c r="I668" t="s">
        <v>91</v>
      </c>
      <c r="J668" t="s">
        <v>91</v>
      </c>
      <c r="K668">
        <v>543</v>
      </c>
      <c r="L668">
        <v>543</v>
      </c>
      <c r="M668">
        <v>543</v>
      </c>
      <c r="O668" s="58" t="s">
        <v>3860</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DLCs'!$A$3:$D$99999,4,FALSE))</f>
        <v>DLC_BASE_GAME</v>
      </c>
      <c r="U668" s="3" t="str">
        <f>IF(T668&lt;&gt;"",VLOOKUP(T668,'&lt;Constants&gt;'!$B$4:$C$1020,2,FALSE),"")</f>
        <v>Included in base game</v>
      </c>
      <c r="V668" s="83" t="s">
        <v>3698</v>
      </c>
      <c r="W668" s="38" t="s">
        <v>3720</v>
      </c>
      <c r="X668" s="38" t="s">
        <v>3826</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6"/>
      <c r="AD668" s="36"/>
      <c r="AE668" s="125"/>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2626</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3985</v>
      </c>
      <c r="C669" s="33" t="s">
        <v>3985</v>
      </c>
      <c r="D669" s="3">
        <f t="shared" si="60"/>
        <v>778</v>
      </c>
      <c r="E669" s="33" t="s">
        <v>3718</v>
      </c>
      <c r="G669" s="3" t="s">
        <v>3701</v>
      </c>
      <c r="I669" t="s">
        <v>91</v>
      </c>
      <c r="J669" t="s">
        <v>91</v>
      </c>
      <c r="K669">
        <v>543</v>
      </c>
      <c r="L669">
        <v>543</v>
      </c>
      <c r="M669">
        <v>543</v>
      </c>
      <c r="O669" s="58" t="s">
        <v>3860</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DLCs'!$A$3:$D$99999,4,FALSE))</f>
        <v>DLC_BASE_GAME</v>
      </c>
      <c r="U669" s="3" t="str">
        <f>IF(T669&lt;&gt;"",VLOOKUP(T669,'&lt;Constants&gt;'!$B$4:$C$1020,2,FALSE),"")</f>
        <v>Included in base game</v>
      </c>
      <c r="V669" s="83" t="s">
        <v>3698</v>
      </c>
      <c r="W669" s="3" t="s">
        <v>3718</v>
      </c>
      <c r="X669" s="3" t="s">
        <v>3830</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6"/>
      <c r="AD669" s="36"/>
      <c r="AE669" s="125"/>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2626</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3983</v>
      </c>
      <c r="C670" s="33" t="s">
        <v>3983</v>
      </c>
      <c r="D670" s="3">
        <f t="shared" si="60"/>
        <v>779</v>
      </c>
      <c r="E670" s="33" t="s">
        <v>3717</v>
      </c>
      <c r="G670" s="3" t="s">
        <v>3701</v>
      </c>
      <c r="I670" t="s">
        <v>91</v>
      </c>
      <c r="J670" t="s">
        <v>91</v>
      </c>
      <c r="K670">
        <v>543</v>
      </c>
      <c r="L670">
        <v>543</v>
      </c>
      <c r="M670">
        <v>543</v>
      </c>
      <c r="O670" s="58" t="s">
        <v>3860</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DLCs'!$A$3:$D$99999,4,FALSE))</f>
        <v>DLC_BASE_GAME</v>
      </c>
      <c r="U670" s="3" t="str">
        <f>IF(T670&lt;&gt;"",VLOOKUP(T670,'&lt;Constants&gt;'!$B$4:$C$1020,2,FALSE),"")</f>
        <v>Included in base game</v>
      </c>
      <c r="V670" s="83" t="s">
        <v>3698</v>
      </c>
      <c r="W670" s="3" t="s">
        <v>3717</v>
      </c>
      <c r="X670" s="3" t="s">
        <v>3827</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6"/>
      <c r="AD670" s="36"/>
      <c r="AE670" s="125"/>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2626</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3982</v>
      </c>
      <c r="C671" s="33" t="s">
        <v>3982</v>
      </c>
      <c r="D671" s="3">
        <f t="shared" si="60"/>
        <v>780</v>
      </c>
      <c r="E671" s="33" t="s">
        <v>3716</v>
      </c>
      <c r="G671" s="3" t="s">
        <v>3701</v>
      </c>
      <c r="I671" t="s">
        <v>91</v>
      </c>
      <c r="J671" t="s">
        <v>91</v>
      </c>
      <c r="K671">
        <v>543</v>
      </c>
      <c r="L671">
        <v>543</v>
      </c>
      <c r="M671">
        <v>543</v>
      </c>
      <c r="O671" s="58" t="s">
        <v>3860</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DLCs'!$A$3:$D$99999,4,FALSE))</f>
        <v>DLC_BASE_GAME</v>
      </c>
      <c r="U671" s="3" t="str">
        <f>IF(T671&lt;&gt;"",VLOOKUP(T671,'&lt;Constants&gt;'!$B$4:$C$1020,2,FALSE),"")</f>
        <v>Included in base game</v>
      </c>
      <c r="V671" s="83" t="s">
        <v>3698</v>
      </c>
      <c r="W671" s="3" t="s">
        <v>3716</v>
      </c>
      <c r="X671" s="3" t="s">
        <v>3828</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6"/>
      <c r="AD671" s="36"/>
      <c r="AE671" s="125"/>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2626</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3986</v>
      </c>
      <c r="C672" s="33" t="s">
        <v>3986</v>
      </c>
      <c r="D672" s="3">
        <f t="shared" si="60"/>
        <v>781</v>
      </c>
      <c r="E672" s="33" t="s">
        <v>3719</v>
      </c>
      <c r="G672" s="3" t="s">
        <v>3701</v>
      </c>
      <c r="I672" t="s">
        <v>91</v>
      </c>
      <c r="J672" t="s">
        <v>91</v>
      </c>
      <c r="K672">
        <v>543</v>
      </c>
      <c r="L672">
        <v>543</v>
      </c>
      <c r="M672">
        <v>543</v>
      </c>
      <c r="O672" s="58" t="s">
        <v>3860</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DLCs'!$A$3:$D$99999,4,FALSE))</f>
        <v>DLC_BASE_GAME</v>
      </c>
      <c r="U672" s="3" t="str">
        <f>IF(T672&lt;&gt;"",VLOOKUP(T672,'&lt;Constants&gt;'!$B$4:$C$1020,2,FALSE),"")</f>
        <v>Included in base game</v>
      </c>
      <c r="V672" s="83" t="s">
        <v>3698</v>
      </c>
      <c r="W672" s="3" t="s">
        <v>3719</v>
      </c>
      <c r="X672" s="3" t="s">
        <v>3829</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6"/>
      <c r="AD672" s="36"/>
      <c r="AE672" s="125"/>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2626</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4011</v>
      </c>
      <c r="C673" s="33" t="s">
        <v>4011</v>
      </c>
      <c r="D673" s="3">
        <f t="shared" si="60"/>
        <v>782</v>
      </c>
      <c r="G673" s="3" t="s">
        <v>1452</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DLCs'!$A$3:$D$99999,4,FALSE))</f>
        <v>DLC_BASE_GAME</v>
      </c>
      <c r="U673" s="3" t="str">
        <f>IF(T673&lt;&gt;"",VLOOKUP(T673,'&lt;Constants&gt;'!$B$4:$C$1020,2,FALSE),"")</f>
        <v>Included in base game</v>
      </c>
      <c r="V673" s="83" t="s">
        <v>1515</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3681</v>
      </c>
      <c r="AC673" s="36"/>
      <c r="AD673" s="36"/>
      <c r="AE673" s="125">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2736</v>
      </c>
      <c r="AI673" s="36"/>
      <c r="AJ673" s="36"/>
      <c r="AK673" s="3">
        <f>IF(AND(G673&lt;&gt;"LIBSETS_SETTYPE_BATTLEGROUND",G673&lt;&gt;"LIBSETS_SETTYPE_SPECIAL"),IF(AL673&lt;&gt;"",VLOOKUP(AL673,'ESO zones'!$D$5:$H$4958,5,FALSE),""),"")</f>
        <v>181</v>
      </c>
      <c r="AL673" t="s">
        <v>124</v>
      </c>
      <c r="AM673" s="30" t="s">
        <v>3684</v>
      </c>
      <c r="AN673" s="36"/>
      <c r="AO673" s="36"/>
      <c r="AP673" s="3">
        <f>IF(AND(G673&lt;&gt;"LIBSETS_SETTYPE_BATTLEGROUND",G673&lt;&gt;"LIBSETS_SETTYPE_SPECIAL"),IF(AQ673&lt;&gt;"",VLOOKUP(AQ673,'ESO zones'!$D$5:$H$4958,5,FALSE),""),"")</f>
        <v>181</v>
      </c>
      <c r="AQ673" t="s">
        <v>124</v>
      </c>
      <c r="AR673" s="30" t="s">
        <v>1534</v>
      </c>
      <c r="AS673" s="36"/>
      <c r="AT673" s="36"/>
      <c r="AU673" s="3">
        <f>IF(AND(G673&lt;&gt;"LIBSETS_SETTYPE_BATTLEGROUND",G673&lt;&gt;"LIBSETS_SETTYPE_SPECIAL"),IF(AV673&lt;&gt;"",VLOOKUP(AV673,'ESO zones'!$D$5:$H$4958,5,FALSE),""),"")</f>
        <v>181</v>
      </c>
      <c r="AV673" t="s">
        <v>124</v>
      </c>
      <c r="AW673" s="30" t="s">
        <v>3205</v>
      </c>
      <c r="AX673" s="36"/>
      <c r="AY673" s="36"/>
      <c r="AZ673" s="72" t="s">
        <v>2626</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4012</v>
      </c>
      <c r="C674" s="33" t="s">
        <v>4012</v>
      </c>
      <c r="D674" s="3">
        <f t="shared" si="60"/>
        <v>783</v>
      </c>
      <c r="G674" s="3" t="s">
        <v>1452</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DLCs'!$A$3:$D$99999,4,FALSE))</f>
        <v>DLC_BASE_GAME</v>
      </c>
      <c r="U674" s="3" t="str">
        <f>IF(T674&lt;&gt;"",VLOOKUP(T674,'&lt;Constants&gt;'!$B$4:$C$1020,2,FALSE),"")</f>
        <v>Included in base game</v>
      </c>
      <c r="V674" s="83" t="s">
        <v>1515</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3681</v>
      </c>
      <c r="AC674" s="36"/>
      <c r="AD674" s="36"/>
      <c r="AE674" s="125">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2736</v>
      </c>
      <c r="AI674" s="36"/>
      <c r="AJ674" s="36"/>
      <c r="AK674" s="3">
        <f>IF(AND(G674&lt;&gt;"LIBSETS_SETTYPE_BATTLEGROUND",G674&lt;&gt;"LIBSETS_SETTYPE_SPECIAL"),IF(AL674&lt;&gt;"",VLOOKUP(AL674,'ESO zones'!$D$5:$H$4958,5,FALSE),""),"")</f>
        <v>181</v>
      </c>
      <c r="AL674" t="s">
        <v>124</v>
      </c>
      <c r="AM674" s="30" t="s">
        <v>3684</v>
      </c>
      <c r="AN674" s="36"/>
      <c r="AO674" s="36"/>
      <c r="AP674" s="3">
        <f>IF(AND(G674&lt;&gt;"LIBSETS_SETTYPE_BATTLEGROUND",G674&lt;&gt;"LIBSETS_SETTYPE_SPECIAL"),IF(AQ674&lt;&gt;"",VLOOKUP(AQ674,'ESO zones'!$D$5:$H$4958,5,FALSE),""),"")</f>
        <v>181</v>
      </c>
      <c r="AQ674" t="s">
        <v>124</v>
      </c>
      <c r="AR674" s="30" t="s">
        <v>1534</v>
      </c>
      <c r="AS674" s="36"/>
      <c r="AT674" s="36"/>
      <c r="AU674" s="3">
        <f>IF(AND(G674&lt;&gt;"LIBSETS_SETTYPE_BATTLEGROUND",G674&lt;&gt;"LIBSETS_SETTYPE_SPECIAL"),IF(AV674&lt;&gt;"",VLOOKUP(AV674,'ESO zones'!$D$5:$H$4958,5,FALSE),""),"")</f>
        <v>181</v>
      </c>
      <c r="AV674" t="s">
        <v>124</v>
      </c>
      <c r="AW674" s="30" t="s">
        <v>3205</v>
      </c>
      <c r="AX674" s="36"/>
      <c r="AY674" s="36"/>
      <c r="AZ674" s="72" t="s">
        <v>2626</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4013</v>
      </c>
      <c r="C675" s="33" t="s">
        <v>4013</v>
      </c>
      <c r="D675" s="3">
        <f t="shared" si="60"/>
        <v>784</v>
      </c>
      <c r="G675" s="3" t="s">
        <v>1452</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DLCs'!$A$3:$D$99999,4,FALSE))</f>
        <v>DLC_BASE_GAME</v>
      </c>
      <c r="U675" s="3" t="str">
        <f>IF(T675&lt;&gt;"",VLOOKUP(T675,'&lt;Constants&gt;'!$B$4:$C$1020,2,FALSE),"")</f>
        <v>Included in base game</v>
      </c>
      <c r="V675" s="83" t="s">
        <v>1515</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3681</v>
      </c>
      <c r="AC675" s="36"/>
      <c r="AD675" s="36"/>
      <c r="AE675" s="125">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2736</v>
      </c>
      <c r="AI675" s="36"/>
      <c r="AJ675" s="36"/>
      <c r="AK675" s="3">
        <f>IF(AND(G675&lt;&gt;"LIBSETS_SETTYPE_BATTLEGROUND",G675&lt;&gt;"LIBSETS_SETTYPE_SPECIAL"),IF(AL675&lt;&gt;"",VLOOKUP(AL675,'ESO zones'!$D$5:$H$4958,5,FALSE),""),"")</f>
        <v>181</v>
      </c>
      <c r="AL675" t="s">
        <v>124</v>
      </c>
      <c r="AM675" s="30" t="s">
        <v>3684</v>
      </c>
      <c r="AN675" s="36"/>
      <c r="AO675" s="36"/>
      <c r="AP675" s="3">
        <f>IF(AND(G675&lt;&gt;"LIBSETS_SETTYPE_BATTLEGROUND",G675&lt;&gt;"LIBSETS_SETTYPE_SPECIAL"),IF(AQ675&lt;&gt;"",VLOOKUP(AQ675,'ESO zones'!$D$5:$H$4958,5,FALSE),""),"")</f>
        <v>181</v>
      </c>
      <c r="AQ675" t="s">
        <v>124</v>
      </c>
      <c r="AR675" s="30" t="s">
        <v>1534</v>
      </c>
      <c r="AS675" s="36"/>
      <c r="AT675" s="36"/>
      <c r="AU675" s="3">
        <f>IF(AND(G675&lt;&gt;"LIBSETS_SETTYPE_BATTLEGROUND",G675&lt;&gt;"LIBSETS_SETTYPE_SPECIAL"),IF(AV675&lt;&gt;"",VLOOKUP(AV675,'ESO zones'!$D$5:$H$4958,5,FALSE),""),"")</f>
        <v>181</v>
      </c>
      <c r="AV675" t="s">
        <v>124</v>
      </c>
      <c r="AW675" s="30" t="s">
        <v>3205</v>
      </c>
      <c r="AX675" s="36"/>
      <c r="AY675" s="36"/>
      <c r="AZ675" s="72" t="s">
        <v>2626</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4014</v>
      </c>
      <c r="C676" s="33" t="s">
        <v>4014</v>
      </c>
      <c r="D676" s="3">
        <f t="shared" si="60"/>
        <v>791</v>
      </c>
      <c r="G676" s="3" t="s">
        <v>1450</v>
      </c>
      <c r="I676" t="s">
        <v>91</v>
      </c>
      <c r="J676" t="s">
        <v>91</v>
      </c>
      <c r="K676" s="33">
        <v>-1</v>
      </c>
      <c r="L676" s="33">
        <v>-1</v>
      </c>
      <c r="M676" s="33">
        <v>-1</v>
      </c>
      <c r="O676" s="58" t="s">
        <v>1488</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DLCs'!$A$3:$D$99999,4,FALSE))</f>
        <v>DLC_BASE_GAME</v>
      </c>
      <c r="U676" s="3" t="str">
        <f>IF(T676&lt;&gt;"",VLOOKUP(T676,'&lt;Constants&gt;'!$B$4:$C$1020,2,FALSE),"")</f>
        <v>Included in base game</v>
      </c>
      <c r="V676" s="83" t="s">
        <v>1549</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6"/>
      <c r="AD676" s="36"/>
      <c r="AE676" s="125"/>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2626</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4015</v>
      </c>
      <c r="C677" s="33" t="s">
        <v>4015</v>
      </c>
      <c r="D677" s="3">
        <f t="shared" si="60"/>
        <v>792</v>
      </c>
      <c r="G677" s="3" t="s">
        <v>1450</v>
      </c>
      <c r="I677" t="s">
        <v>91</v>
      </c>
      <c r="J677" t="s">
        <v>91</v>
      </c>
      <c r="K677" s="33">
        <v>-1</v>
      </c>
      <c r="L677" s="33">
        <v>-1</v>
      </c>
      <c r="M677" s="33">
        <v>-1</v>
      </c>
      <c r="O677" s="58" t="s">
        <v>1488</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DLCs'!$A$3:$D$99999,4,FALSE))</f>
        <v>DLC_BASE_GAME</v>
      </c>
      <c r="U677" s="3" t="str">
        <f>IF(T677&lt;&gt;"",VLOOKUP(T677,'&lt;Constants&gt;'!$B$4:$C$1020,2,FALSE),"")</f>
        <v>Included in base game</v>
      </c>
      <c r="V677" s="83" t="s">
        <v>1549</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6"/>
      <c r="AD677" s="36"/>
      <c r="AE677" s="125"/>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2626</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4016</v>
      </c>
      <c r="C678" s="33" t="s">
        <v>4016</v>
      </c>
      <c r="D678" s="3">
        <f t="shared" si="60"/>
        <v>793</v>
      </c>
      <c r="G678" s="3" t="s">
        <v>1450</v>
      </c>
      <c r="I678" t="s">
        <v>91</v>
      </c>
      <c r="J678" t="s">
        <v>91</v>
      </c>
      <c r="K678" s="33">
        <v>-1</v>
      </c>
      <c r="L678" s="33">
        <v>-1</v>
      </c>
      <c r="M678" s="33">
        <v>-1</v>
      </c>
      <c r="O678" s="58" t="s">
        <v>1488</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DLCs'!$A$3:$D$99999,4,FALSE))</f>
        <v>DLC_BASE_GAME</v>
      </c>
      <c r="U678" s="3" t="str">
        <f>IF(T678&lt;&gt;"",VLOOKUP(T678,'&lt;Constants&gt;'!$B$4:$C$1020,2,FALSE),"")</f>
        <v>Included in base game</v>
      </c>
      <c r="V678" s="83" t="s">
        <v>1549</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6"/>
      <c r="AD678" s="36"/>
      <c r="AE678" s="125"/>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2626</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4026</v>
      </c>
      <c r="C679" t="s">
        <v>4026</v>
      </c>
      <c r="D679" s="3">
        <f t="shared" si="60"/>
        <v>794</v>
      </c>
      <c r="G679" s="3" t="s">
        <v>1454</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DLCs'!$A$3:$D$99999,4,FALSE))</f>
        <v>DLC_FALLEN_BANNERS</v>
      </c>
      <c r="U679" s="3" t="str">
        <f>IF(T679&lt;&gt;"",VLOOKUP(T679,'&lt;Constants&gt;'!$B$4:$C$1020,2,FALSE),"")</f>
        <v>Fallen Banners</v>
      </c>
      <c r="V679" s="83" t="s">
        <v>3253</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6"/>
      <c r="AD679" s="36"/>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2626</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4028</v>
      </c>
      <c r="C680" t="s">
        <v>4028</v>
      </c>
      <c r="D680" s="3">
        <f t="shared" si="60"/>
        <v>795</v>
      </c>
      <c r="G680" s="3" t="s">
        <v>1454</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DLCs'!$A$3:$D$99999,4,FALSE))</f>
        <v>DLC_FALLEN_BANNERS</v>
      </c>
      <c r="U680" s="3" t="str">
        <f>IF(T680&lt;&gt;"",VLOOKUP(T680,'&lt;Constants&gt;'!$B$4:$C$1020,2,FALSE),"")</f>
        <v>Fallen Banners</v>
      </c>
      <c r="V680" s="83" t="s">
        <v>3253</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6"/>
      <c r="AD680" s="36"/>
      <c r="AE680" s="125"/>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2626</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4029</v>
      </c>
      <c r="C681" t="s">
        <v>4029</v>
      </c>
      <c r="D681" s="3">
        <f t="shared" si="60"/>
        <v>796</v>
      </c>
      <c r="G681" s="3" t="s">
        <v>1454</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DLCs'!$A$3:$D$99999,4,FALSE))</f>
        <v>DLC_FALLEN_BANNERS</v>
      </c>
      <c r="U681" s="3" t="str">
        <f>IF(T681&lt;&gt;"",VLOOKUP(T681,'&lt;Constants&gt;'!$B$4:$C$1020,2,FALSE),"")</f>
        <v>Fallen Banners</v>
      </c>
      <c r="V681" s="83" t="s">
        <v>3253</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6"/>
      <c r="AD681" s="36"/>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2626</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4030</v>
      </c>
      <c r="C682" t="s">
        <v>4030</v>
      </c>
      <c r="D682" s="3">
        <f t="shared" si="60"/>
        <v>797</v>
      </c>
      <c r="G682" s="3" t="s">
        <v>1456</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DLCs'!$A$3:$D$99999,4,FALSE))</f>
        <v>DLC_FALLEN_BANNERS</v>
      </c>
      <c r="U682" s="3" t="str">
        <f>IF(T682&lt;&gt;"",VLOOKUP(T682,'&lt;Constants&gt;'!$B$4:$C$1020,2,FALSE),"")</f>
        <v>Fallen Banners</v>
      </c>
      <c r="V682" s="30" t="s">
        <v>1518</v>
      </c>
      <c r="W682" s="123" t="s">
        <v>4030</v>
      </c>
      <c r="X682" s="123" t="s">
        <v>4030</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6"/>
      <c r="AD682" s="36"/>
      <c r="AE682" s="125"/>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2626</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4034</v>
      </c>
      <c r="C683" t="s">
        <v>4034</v>
      </c>
      <c r="D683" s="3">
        <f t="shared" si="60"/>
        <v>798</v>
      </c>
      <c r="G683" s="3" t="s">
        <v>1454</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DLCs'!$A$3:$D$99999,4,FALSE))</f>
        <v>DLC_FALLEN_BANNERS</v>
      </c>
      <c r="U683" s="3" t="str">
        <f>IF(T683&lt;&gt;"",VLOOKUP(T683,'&lt;Constants&gt;'!$B$4:$C$1020,2,FALSE),"")</f>
        <v>Fallen Banners</v>
      </c>
      <c r="V683" s="83" t="s">
        <v>3253</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6"/>
      <c r="AD683" s="36"/>
      <c r="AE683" s="125"/>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2626</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4032</v>
      </c>
      <c r="C684" t="s">
        <v>4032</v>
      </c>
      <c r="D684" s="3">
        <f t="shared" si="60"/>
        <v>799</v>
      </c>
      <c r="G684" s="3" t="s">
        <v>1454</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DLCs'!$A$3:$D$99999,4,FALSE))</f>
        <v>DLC_FALLEN_BANNERS</v>
      </c>
      <c r="U684" s="3" t="str">
        <f>IF(T684&lt;&gt;"",VLOOKUP(T684,'&lt;Constants&gt;'!$B$4:$C$1020,2,FALSE),"")</f>
        <v>Fallen Banners</v>
      </c>
      <c r="V684" s="83" t="s">
        <v>3253</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6"/>
      <c r="AD684" s="36"/>
      <c r="AE684" s="125"/>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2626</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4033</v>
      </c>
      <c r="C685" t="s">
        <v>4033</v>
      </c>
      <c r="D685" s="3">
        <f t="shared" si="60"/>
        <v>800</v>
      </c>
      <c r="G685" s="3" t="s">
        <v>1454</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DLCs'!$A$3:$D$99999,4,FALSE))</f>
        <v>DLC_FALLEN_BANNERS</v>
      </c>
      <c r="U685" s="3" t="str">
        <f>IF(T685&lt;&gt;"",VLOOKUP(T685,'&lt;Constants&gt;'!$B$4:$C$1020,2,FALSE),"")</f>
        <v>Fallen Banners</v>
      </c>
      <c r="V685" s="83" t="s">
        <v>3253</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6"/>
      <c r="AD685" s="36"/>
      <c r="AE685" s="125"/>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2626</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4035</v>
      </c>
      <c r="C686" t="s">
        <v>4035</v>
      </c>
      <c r="D686" s="3">
        <f t="shared" si="60"/>
        <v>801</v>
      </c>
      <c r="G686" s="3" t="s">
        <v>1456</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DLCs'!$A$3:$D$99999,4,FALSE))</f>
        <v>DLC_FALLEN_BANNERS</v>
      </c>
      <c r="U686" s="3" t="str">
        <f>IF(T686&lt;&gt;"",VLOOKUP(T686,'&lt;Constants&gt;'!$B$4:$C$1020,2,FALSE),"")</f>
        <v>Fallen Banners</v>
      </c>
      <c r="V686" s="30" t="s">
        <v>1518</v>
      </c>
      <c r="W686" s="123" t="s">
        <v>4036</v>
      </c>
      <c r="X686" s="123" t="s">
        <v>4036</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6"/>
      <c r="AD686" s="36"/>
      <c r="AE686" s="125"/>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2626</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4037</v>
      </c>
      <c r="C687" t="s">
        <v>4037</v>
      </c>
      <c r="D687" s="3">
        <f t="shared" si="60"/>
        <v>802</v>
      </c>
      <c r="E687" s="37"/>
      <c r="G687" s="3" t="s">
        <v>1452</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DLCs'!$A$3:$D$99999,4,FALSE))</f>
        <v>DLC_BASE_GAME</v>
      </c>
      <c r="U687" s="3" t="str">
        <f>IF(T687&lt;&gt;"",VLOOKUP(T687,'&lt;Constants&gt;'!$B$4:$C$1020,2,FALSE),"")</f>
        <v>Included in base game</v>
      </c>
      <c r="V687" s="83" t="s">
        <v>1515</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3681</v>
      </c>
      <c r="AC687" s="36"/>
      <c r="AD687" s="36"/>
      <c r="AE687" s="125">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2736</v>
      </c>
      <c r="AI687" s="36"/>
      <c r="AJ687" s="36"/>
      <c r="AK687" s="3">
        <f>IF(AND(G687&lt;&gt;"LIBSETS_SETTYPE_BATTLEGROUND",G687&lt;&gt;"LIBSETS_SETTYPE_SPECIAL"),IF(AL687&lt;&gt;"",VLOOKUP(AL687,'ESO zones'!$D$5:$H$4958,5,FALSE),""),"")</f>
        <v>181</v>
      </c>
      <c r="AL687" t="s">
        <v>124</v>
      </c>
      <c r="AM687" s="30" t="s">
        <v>3684</v>
      </c>
      <c r="AN687" s="36"/>
      <c r="AO687" s="36"/>
      <c r="AP687" s="3">
        <f>IF(AND(G687&lt;&gt;"LIBSETS_SETTYPE_BATTLEGROUND",G687&lt;&gt;"LIBSETS_SETTYPE_SPECIAL"),IF(AQ687&lt;&gt;"",VLOOKUP(AQ687,'ESO zones'!$D$5:$H$4958,5,FALSE),""),"")</f>
        <v>181</v>
      </c>
      <c r="AQ687" t="s">
        <v>124</v>
      </c>
      <c r="AR687" s="30" t="s">
        <v>1534</v>
      </c>
      <c r="AS687" s="36"/>
      <c r="AT687" s="36"/>
      <c r="AU687" s="3">
        <f>IF(AND(G687&lt;&gt;"LIBSETS_SETTYPE_BATTLEGROUND",G687&lt;&gt;"LIBSETS_SETTYPE_SPECIAL"),IF(AV687&lt;&gt;"",VLOOKUP(AV687,'ESO zones'!$D$5:$H$4958,5,FALSE),""),"")</f>
        <v>181</v>
      </c>
      <c r="AV687" t="s">
        <v>124</v>
      </c>
      <c r="AW687" s="30" t="s">
        <v>3205</v>
      </c>
      <c r="AX687" s="36"/>
      <c r="AY687" s="36"/>
      <c r="AZ687" s="72" t="s">
        <v>2626</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4038</v>
      </c>
      <c r="C688" t="s">
        <v>4038</v>
      </c>
      <c r="D688" s="3">
        <f t="shared" si="60"/>
        <v>803</v>
      </c>
      <c r="G688" s="3" t="s">
        <v>1452</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DLCs'!$A$3:$D$99999,4,FALSE))</f>
        <v>DLC_BASE_GAME</v>
      </c>
      <c r="U688" s="3" t="str">
        <f>IF(T688&lt;&gt;"",VLOOKUP(T688,'&lt;Constants&gt;'!$B$4:$C$1020,2,FALSE),"")</f>
        <v>Included in base game</v>
      </c>
      <c r="V688" s="83" t="s">
        <v>1515</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3681</v>
      </c>
      <c r="AC688" s="36"/>
      <c r="AD688" s="36"/>
      <c r="AE688" s="125">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2736</v>
      </c>
      <c r="AI688" s="36"/>
      <c r="AJ688" s="36"/>
      <c r="AK688" s="3">
        <f>IF(AND(G688&lt;&gt;"LIBSETS_SETTYPE_BATTLEGROUND",G688&lt;&gt;"LIBSETS_SETTYPE_SPECIAL"),IF(AL688&lt;&gt;"",VLOOKUP(AL688,'ESO zones'!$D$5:$H$4958,5,FALSE),""),"")</f>
        <v>181</v>
      </c>
      <c r="AL688" t="s">
        <v>124</v>
      </c>
      <c r="AM688" s="30" t="s">
        <v>3684</v>
      </c>
      <c r="AN688" s="36"/>
      <c r="AO688" s="36"/>
      <c r="AP688" s="3">
        <f>IF(AND(G688&lt;&gt;"LIBSETS_SETTYPE_BATTLEGROUND",G688&lt;&gt;"LIBSETS_SETTYPE_SPECIAL"),IF(AQ688&lt;&gt;"",VLOOKUP(AQ688,'ESO zones'!$D$5:$H$4958,5,FALSE),""),"")</f>
        <v>181</v>
      </c>
      <c r="AQ688" t="s">
        <v>124</v>
      </c>
      <c r="AR688" s="30" t="s">
        <v>1534</v>
      </c>
      <c r="AS688" s="36"/>
      <c r="AT688" s="36"/>
      <c r="AU688" s="3">
        <f>IF(AND(G688&lt;&gt;"LIBSETS_SETTYPE_BATTLEGROUND",G688&lt;&gt;"LIBSETS_SETTYPE_SPECIAL"),IF(AV688&lt;&gt;"",VLOOKUP(AV688,'ESO zones'!$D$5:$H$4958,5,FALSE),""),"")</f>
        <v>181</v>
      </c>
      <c r="AV688" t="s">
        <v>124</v>
      </c>
      <c r="AW688" s="30" t="s">
        <v>3205</v>
      </c>
      <c r="AX688" s="36"/>
      <c r="AY688" s="36"/>
      <c r="AZ688" s="72" t="s">
        <v>2626</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4039</v>
      </c>
      <c r="C689" t="s">
        <v>4039</v>
      </c>
      <c r="D689" s="3">
        <f t="shared" si="60"/>
        <v>804</v>
      </c>
      <c r="G689" s="3" t="s">
        <v>1452</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DLCs'!$A$3:$D$99999,4,FALSE))</f>
        <v>DLC_BASE_GAME</v>
      </c>
      <c r="U689" s="3" t="str">
        <f>IF(T689&lt;&gt;"",VLOOKUP(T689,'&lt;Constants&gt;'!$B$4:$C$1020,2,FALSE),"")</f>
        <v>Included in base game</v>
      </c>
      <c r="V689" s="83" t="s">
        <v>1515</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3681</v>
      </c>
      <c r="AC689" s="36"/>
      <c r="AD689" s="36"/>
      <c r="AE689" s="125">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2736</v>
      </c>
      <c r="AI689" s="36"/>
      <c r="AJ689" s="36"/>
      <c r="AK689" s="3">
        <f>IF(AND(G689&lt;&gt;"LIBSETS_SETTYPE_BATTLEGROUND",G689&lt;&gt;"LIBSETS_SETTYPE_SPECIAL"),IF(AL689&lt;&gt;"",VLOOKUP(AL689,'ESO zones'!$D$5:$H$4958,5,FALSE),""),"")</f>
        <v>181</v>
      </c>
      <c r="AL689" t="s">
        <v>124</v>
      </c>
      <c r="AM689" s="30" t="s">
        <v>3684</v>
      </c>
      <c r="AN689" s="36"/>
      <c r="AO689" s="36"/>
      <c r="AP689" s="3">
        <f>IF(AND(G689&lt;&gt;"LIBSETS_SETTYPE_BATTLEGROUND",G689&lt;&gt;"LIBSETS_SETTYPE_SPECIAL"),IF(AQ689&lt;&gt;"",VLOOKUP(AQ689,'ESO zones'!$D$5:$H$4958,5,FALSE),""),"")</f>
        <v>181</v>
      </c>
      <c r="AQ689" t="s">
        <v>124</v>
      </c>
      <c r="AR689" s="30" t="s">
        <v>1534</v>
      </c>
      <c r="AS689" s="36"/>
      <c r="AT689" s="36"/>
      <c r="AU689" s="3">
        <f>IF(AND(G689&lt;&gt;"LIBSETS_SETTYPE_BATTLEGROUND",G689&lt;&gt;"LIBSETS_SETTYPE_SPECIAL"),IF(AV689&lt;&gt;"",VLOOKUP(AV689,'ESO zones'!$D$5:$H$4958,5,FALSE),""),"")</f>
        <v>181</v>
      </c>
      <c r="AV689" t="s">
        <v>124</v>
      </c>
      <c r="AW689" s="30" t="s">
        <v>3205</v>
      </c>
      <c r="AX689" s="36"/>
      <c r="AY689" s="36"/>
      <c r="AZ689" s="72" t="s">
        <v>2626</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4047</v>
      </c>
      <c r="C690" t="s">
        <v>4047</v>
      </c>
      <c r="D690" s="3">
        <f t="shared" si="60"/>
        <v>805</v>
      </c>
      <c r="G690" s="3" t="s">
        <v>1457</v>
      </c>
      <c r="I690" t="s">
        <v>91</v>
      </c>
      <c r="J690" t="s">
        <v>91</v>
      </c>
      <c r="K690" s="33">
        <v>598</v>
      </c>
      <c r="L690" s="33">
        <v>598</v>
      </c>
      <c r="M690" s="33">
        <v>598</v>
      </c>
      <c r="O690" s="58" t="s">
        <v>4058</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DLCs'!$A$3:$D$99999,4,FALSE))</f>
        <v>DLC_SEASONS_OF_THE_WORMCULT1</v>
      </c>
      <c r="U690" s="3" t="str">
        <f>IF(T690&lt;&gt;"",VLOOKUP(T690,'&lt;Constants&gt;'!$B$4:$C$1020,2,FALSE),"")</f>
        <v>Seasons of the Wormcult Part 1</v>
      </c>
      <c r="V690" s="30" t="s">
        <v>1534</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1535</v>
      </c>
      <c r="AC690" s="36"/>
      <c r="AD690" s="36"/>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1536</v>
      </c>
      <c r="AI690" s="36"/>
      <c r="AJ690" s="36"/>
      <c r="AK690" s="3">
        <f>IF(AND(G690&lt;&gt;"LIBSETS_SETTYPE_BATTLEGROUND",G690&lt;&gt;"LIBSETS_SETTYPE_SPECIAL"),IF(AL690&lt;&gt;"",VLOOKUP(AL690,'ESO zones'!$D$5:$H$4958,5,FALSE),""),"")</f>
        <v>1502</v>
      </c>
      <c r="AL690" t="s">
        <v>4058</v>
      </c>
      <c r="AM690" s="39" t="s">
        <v>1537</v>
      </c>
      <c r="AN690" s="36"/>
      <c r="AO690" s="36"/>
      <c r="AP690" s="3">
        <f>IF(AND(G690&lt;&gt;"LIBSETS_SETTYPE_BATTLEGROUND",G690&lt;&gt;"LIBSETS_SETTYPE_SPECIAL"),IF(AQ690&lt;&gt;"",VLOOKUP(AQ690,'ESO zones'!$D$5:$H$4958,5,FALSE),""),"")</f>
        <v>1502</v>
      </c>
      <c r="AQ690" t="s">
        <v>4058</v>
      </c>
      <c r="AR690" s="39" t="s">
        <v>3193</v>
      </c>
      <c r="AS690" s="36"/>
      <c r="AT690" s="36"/>
      <c r="AU690" s="3" t="str">
        <f>IF(AND(G690&lt;&gt;"LIBSETS_SETTYPE_BATTLEGROUND",G690&lt;&gt;"LIBSETS_SETTYPE_SPECIAL"),IF(AV690&lt;&gt;"",VLOOKUP(AV690,'ESO zones'!$D$5:$H$4958,5,FALSE),""),"")</f>
        <v/>
      </c>
      <c r="AW690" s="39"/>
      <c r="AX690" s="36"/>
      <c r="AY690" s="36"/>
      <c r="AZ690" s="72" t="s">
        <v>2626</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4048</v>
      </c>
      <c r="C691" t="s">
        <v>4048</v>
      </c>
      <c r="D691" s="3">
        <f t="shared" si="60"/>
        <v>806</v>
      </c>
      <c r="G691" s="3" t="s">
        <v>1457</v>
      </c>
      <c r="I691" t="s">
        <v>91</v>
      </c>
      <c r="J691" t="s">
        <v>91</v>
      </c>
      <c r="K691" s="33">
        <v>598</v>
      </c>
      <c r="L691" s="33">
        <v>598</v>
      </c>
      <c r="M691" s="33">
        <v>598</v>
      </c>
      <c r="O691" s="58" t="s">
        <v>4058</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DLCs'!$A$3:$D$99999,4,FALSE))</f>
        <v>DLC_SEASONS_OF_THE_WORMCULT1</v>
      </c>
      <c r="U691" s="3" t="str">
        <f>IF(T691&lt;&gt;"",VLOOKUP(T691,'&lt;Constants&gt;'!$B$4:$C$1020,2,FALSE),"")</f>
        <v>Seasons of the Wormcult Part 1</v>
      </c>
      <c r="V691" s="30" t="s">
        <v>1534</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1535</v>
      </c>
      <c r="AC691" s="36"/>
      <c r="AD691" s="36"/>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1536</v>
      </c>
      <c r="AI691" s="36"/>
      <c r="AJ691" s="36"/>
      <c r="AK691" s="3">
        <f>IF(AND(G691&lt;&gt;"LIBSETS_SETTYPE_BATTLEGROUND",G691&lt;&gt;"LIBSETS_SETTYPE_SPECIAL"),IF(AL691&lt;&gt;"",VLOOKUP(AL691,'ESO zones'!$D$5:$H$4958,5,FALSE),""),"")</f>
        <v>1502</v>
      </c>
      <c r="AL691" t="s">
        <v>4058</v>
      </c>
      <c r="AM691" s="39" t="s">
        <v>1537</v>
      </c>
      <c r="AN691" s="36"/>
      <c r="AO691" s="36"/>
      <c r="AP691" s="3">
        <f>IF(AND(G691&lt;&gt;"LIBSETS_SETTYPE_BATTLEGROUND",G691&lt;&gt;"LIBSETS_SETTYPE_SPECIAL"),IF(AQ691&lt;&gt;"",VLOOKUP(AQ691,'ESO zones'!$D$5:$H$4958,5,FALSE),""),"")</f>
        <v>1502</v>
      </c>
      <c r="AQ691" t="s">
        <v>4058</v>
      </c>
      <c r="AR691" s="39" t="s">
        <v>3193</v>
      </c>
      <c r="AS691" s="36"/>
      <c r="AT691" s="36"/>
      <c r="AU691" s="3" t="str">
        <f>IF(AND(G691&lt;&gt;"LIBSETS_SETTYPE_BATTLEGROUND",G691&lt;&gt;"LIBSETS_SETTYPE_SPECIAL"),IF(AV691&lt;&gt;"",VLOOKUP(AV691,'ESO zones'!$D$5:$H$4958,5,FALSE),""),"")</f>
        <v/>
      </c>
      <c r="AW691" s="39"/>
      <c r="AX691" s="36"/>
      <c r="AY691" s="36"/>
      <c r="AZ691" s="72" t="s">
        <v>2626</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4049</v>
      </c>
      <c r="C692" t="s">
        <v>4049</v>
      </c>
      <c r="D692" s="3">
        <f t="shared" si="60"/>
        <v>807</v>
      </c>
      <c r="G692" s="3" t="s">
        <v>1457</v>
      </c>
      <c r="I692" t="s">
        <v>91</v>
      </c>
      <c r="J692" t="s">
        <v>91</v>
      </c>
      <c r="K692" s="33">
        <v>598</v>
      </c>
      <c r="L692" s="33">
        <v>598</v>
      </c>
      <c r="M692" s="33">
        <v>598</v>
      </c>
      <c r="O692" s="58" t="s">
        <v>4058</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DLCs'!$A$3:$D$99999,4,FALSE))</f>
        <v>DLC_SEASONS_OF_THE_WORMCULT1</v>
      </c>
      <c r="U692" s="3" t="str">
        <f>IF(T692&lt;&gt;"",VLOOKUP(T692,'&lt;Constants&gt;'!$B$4:$C$1020,2,FALSE),"")</f>
        <v>Seasons of the Wormcult Part 1</v>
      </c>
      <c r="V692" s="30" t="s">
        <v>1534</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1535</v>
      </c>
      <c r="AC692" s="36"/>
      <c r="AD692" s="36"/>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1536</v>
      </c>
      <c r="AI692" s="36"/>
      <c r="AJ692" s="36"/>
      <c r="AK692" s="3">
        <f>IF(AND(G692&lt;&gt;"LIBSETS_SETTYPE_BATTLEGROUND",G692&lt;&gt;"LIBSETS_SETTYPE_SPECIAL"),IF(AL692&lt;&gt;"",VLOOKUP(AL692,'ESO zones'!$D$5:$H$4958,5,FALSE),""),"")</f>
        <v>1502</v>
      </c>
      <c r="AL692" t="s">
        <v>4058</v>
      </c>
      <c r="AM692" s="39" t="s">
        <v>1537</v>
      </c>
      <c r="AN692" s="36"/>
      <c r="AO692" s="36"/>
      <c r="AP692" s="3">
        <f>IF(AND(G692&lt;&gt;"LIBSETS_SETTYPE_BATTLEGROUND",G692&lt;&gt;"LIBSETS_SETTYPE_SPECIAL"),IF(AQ692&lt;&gt;"",VLOOKUP(AQ692,'ESO zones'!$D$5:$H$4958,5,FALSE),""),"")</f>
        <v>1502</v>
      </c>
      <c r="AQ692" t="s">
        <v>4058</v>
      </c>
      <c r="AR692" s="39" t="s">
        <v>3193</v>
      </c>
      <c r="AS692" s="36"/>
      <c r="AT692" s="36"/>
      <c r="AU692" s="3" t="str">
        <f>IF(AND(G692&lt;&gt;"LIBSETS_SETTYPE_BATTLEGROUND",G692&lt;&gt;"LIBSETS_SETTYPE_SPECIAL"),IF(AV692&lt;&gt;"",VLOOKUP(AV692,'ESO zones'!$D$5:$H$4958,5,FALSE),""),"")</f>
        <v/>
      </c>
      <c r="AW692" s="39"/>
      <c r="AX692" s="36"/>
      <c r="AY692" s="36"/>
      <c r="AZ692" s="72" t="s">
        <v>2626</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4102</v>
      </c>
      <c r="C693" t="s">
        <v>4102</v>
      </c>
      <c r="D693" s="3">
        <f t="shared" si="60"/>
        <v>808</v>
      </c>
      <c r="G693" s="3" t="s">
        <v>1451</v>
      </c>
      <c r="I693" t="s">
        <v>91</v>
      </c>
      <c r="J693" t="s">
        <v>91</v>
      </c>
      <c r="K693" s="33">
        <v>608</v>
      </c>
      <c r="L693" s="33">
        <v>608</v>
      </c>
      <c r="M693" s="33">
        <v>608</v>
      </c>
      <c r="N693">
        <v>3</v>
      </c>
      <c r="O693" s="58" t="s">
        <v>4058</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DLCs'!$A$3:$D$99999,4,FALSE))</f>
        <v>DLC_SEASONS_OF_THE_WORMCULT2</v>
      </c>
      <c r="U693" s="3" t="str">
        <f>IF(T693&lt;&gt;"",VLOOKUP(T693,'&lt;Constants&gt;'!$B$4:$C$1020,2,FALSE),"")</f>
        <v>Seasons of the Wormcult Part 2</v>
      </c>
      <c r="V693" s="30" t="s">
        <v>3256</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6"/>
      <c r="AD693" s="36"/>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2626</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4065</v>
      </c>
      <c r="C694" t="s">
        <v>4065</v>
      </c>
      <c r="D694" s="3">
        <f t="shared" si="60"/>
        <v>809</v>
      </c>
      <c r="G694" s="3" t="s">
        <v>1451</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DLCs'!$A$3:$D$99999,4,FALSE))</f>
        <v>DLC_SEASONS_OF_THE_WORMCULT1</v>
      </c>
      <c r="U694" s="3" t="str">
        <f>IF(T694&lt;&gt;"",VLOOKUP(T694,'&lt;Constants&gt;'!$B$4:$C$1020,2,FALSE),"")</f>
        <v>Seasons of the Wormcult Part 1</v>
      </c>
      <c r="V694" s="30" t="s">
        <v>3256</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6"/>
      <c r="AD694" s="36"/>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2626</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4103</v>
      </c>
      <c r="C695" t="s">
        <v>4103</v>
      </c>
      <c r="D695" s="3">
        <f t="shared" si="60"/>
        <v>810</v>
      </c>
      <c r="G695" s="3" t="s">
        <v>1451</v>
      </c>
      <c r="I695" t="s">
        <v>91</v>
      </c>
      <c r="J695" t="s">
        <v>91</v>
      </c>
      <c r="K695" s="33">
        <v>612</v>
      </c>
      <c r="L695" s="33">
        <v>612</v>
      </c>
      <c r="M695" s="33">
        <v>612</v>
      </c>
      <c r="N695">
        <v>7</v>
      </c>
      <c r="O695" s="58" t="s">
        <v>4058</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DLCs'!$A$3:$D$99999,4,FALSE))</f>
        <v>DLC_SEASONS_OF_THE_WORMCULT2</v>
      </c>
      <c r="U695" s="3" t="str">
        <f>IF(T695&lt;&gt;"",VLOOKUP(T695,'&lt;Constants&gt;'!$B$4:$C$1020,2,FALSE),"")</f>
        <v>Seasons of the Wormcult Part 2</v>
      </c>
      <c r="V695" s="30" t="s">
        <v>3256</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6"/>
      <c r="AD695" s="36"/>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2626</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4055</v>
      </c>
      <c r="C696" t="s">
        <v>4055</v>
      </c>
      <c r="D696" s="3">
        <f t="shared" si="60"/>
        <v>811</v>
      </c>
      <c r="G696" s="3" t="s">
        <v>1654</v>
      </c>
      <c r="I696" t="s">
        <v>91</v>
      </c>
      <c r="J696" t="s">
        <v>91</v>
      </c>
      <c r="K696" s="33">
        <v>-1</v>
      </c>
      <c r="L696" s="33">
        <v>-1</v>
      </c>
      <c r="M696" s="33">
        <v>-1</v>
      </c>
      <c r="O696" s="58" t="s">
        <v>4080</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DLCs'!$A$3:$D$99999,4,FALSE))</f>
        <v>DLC_SEASONS_OF_THE_WORMCULT1</v>
      </c>
      <c r="U696" s="3" t="str">
        <f>IF(T696&lt;&gt;"",VLOOKUP(T696,'&lt;Constants&gt;'!$B$4:$C$1020,2,FALSE),"")</f>
        <v>Seasons of the Wormcult Part 1</v>
      </c>
      <c r="V696" s="30" t="s">
        <v>1534</v>
      </c>
      <c r="W696" s="3" t="s">
        <v>4151</v>
      </c>
      <c r="X696" s="3" t="s">
        <v>4151</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8" t="s">
        <v>1534</v>
      </c>
      <c r="AC696" s="36" t="s">
        <v>4152</v>
      </c>
      <c r="AD696" s="36" t="s">
        <v>4152</v>
      </c>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1536</v>
      </c>
      <c r="AI696" s="36" t="s">
        <v>4139</v>
      </c>
      <c r="AJ696" s="36" t="s">
        <v>4139</v>
      </c>
      <c r="AK696" s="3">
        <f>IF(AND(G696&lt;&gt;"LIBSETS_SETTYPE_BATTLEGROUND",G696&lt;&gt;"LIBSETS_SETTYPE_SPECIAL"),IF(AL696&lt;&gt;"",VLOOKUP(AL696,'ESO zones'!$D$5:$H$4958,5,FALSE),""),"")</f>
        <v>1502</v>
      </c>
      <c r="AL696" t="s">
        <v>4058</v>
      </c>
      <c r="AM696" s="39" t="s">
        <v>1535</v>
      </c>
      <c r="AN696" s="36" t="s">
        <v>4140</v>
      </c>
      <c r="AO696" s="36" t="s">
        <v>4140</v>
      </c>
      <c r="AP696" s="3">
        <f>IF(AND(G696&lt;&gt;"LIBSETS_SETTYPE_BATTLEGROUND",G696&lt;&gt;"LIBSETS_SETTYPE_SPECIAL"),IF(AQ696&lt;&gt;"",VLOOKUP(AQ696,'ESO zones'!$D$5:$H$4958,5,FALSE),""),"")</f>
        <v>1081</v>
      </c>
      <c r="AQ696" s="36" t="s">
        <v>67</v>
      </c>
      <c r="AR696" s="39" t="s">
        <v>1518</v>
      </c>
      <c r="AS696" s="36" t="s">
        <v>4141</v>
      </c>
      <c r="AT696" s="36" t="s">
        <v>4141</v>
      </c>
      <c r="AU696" s="3" t="str">
        <f>IF(AND(G696&lt;&gt;"LIBSETS_SETTYPE_BATTLEGROUND",G696&lt;&gt;"LIBSETS_SETTYPE_SPECIAL"),IF(AV696&lt;&gt;"",VLOOKUP(AV696,'ESO zones'!$D$5:$H$4958,5,FALSE),""),"")</f>
        <v/>
      </c>
      <c r="AV696" s="36"/>
      <c r="AW696" s="39"/>
      <c r="AX696" s="36"/>
      <c r="AY696" s="36" t="s">
        <v>4141</v>
      </c>
      <c r="AZ696" s="72" t="s">
        <v>2626</v>
      </c>
      <c r="BA696" s="72" t="s">
        <v>4156</v>
      </c>
      <c r="BB696" s="72" t="s">
        <v>4156</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-Headcracker','Comically Curled Toecap - The Wine Sommelier','Gnarl-fiber Laces - Deetra Grotto: Captain Xiha','Grummite Flesh Sole - Ruines of Tuniria: Gaulm','Hunger-leather Heel - The Scavenging Maw','',},['de']={'Baliwog Pearl Eyelets -Headcracker','Comically Curled Toecap - The Wine Sommelier','Gnarl-fiber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4054</v>
      </c>
      <c r="C697" t="s">
        <v>4054</v>
      </c>
      <c r="D697" s="3">
        <f t="shared" si="60"/>
        <v>812</v>
      </c>
      <c r="G697" s="3" t="s">
        <v>1654</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DLCs'!$A$3:$D$99999,4,FALSE))</f>
        <v>DLC_SEASONS_OF_THE_WORMCULT1</v>
      </c>
      <c r="U697" s="3" t="str">
        <f>IF(T697&lt;&gt;"",VLOOKUP(T697,'&lt;Constants&gt;'!$B$4:$C$1020,2,FALSE),"")</f>
        <v>Seasons of the Wormcult Part 1</v>
      </c>
      <c r="V697" s="30" t="s">
        <v>1536</v>
      </c>
      <c r="W697" s="3" t="s">
        <v>4142</v>
      </c>
      <c r="X697" s="3" t="s">
        <v>4142</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8" t="s">
        <v>1535</v>
      </c>
      <c r="AC697" s="36" t="s">
        <v>4143</v>
      </c>
      <c r="AD697" s="36" t="s">
        <v>4143</v>
      </c>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3234</v>
      </c>
      <c r="AI697" s="36" t="s">
        <v>4144</v>
      </c>
      <c r="AJ697" s="36"/>
      <c r="AK697" s="3">
        <f>IF(AND(G697&lt;&gt;"LIBSETS_SETTYPE_BATTLEGROUND",G697&lt;&gt;"LIBSETS_SETTYPE_SPECIAL"),IF(AL697&lt;&gt;"",VLOOKUP(AL697,'ESO zones'!$D$5:$H$4958,5,FALSE),""),"")</f>
        <v>1090</v>
      </c>
      <c r="AL697" t="s">
        <v>1371</v>
      </c>
      <c r="AM697" s="39" t="s">
        <v>1536</v>
      </c>
      <c r="AN697" s="36" t="s">
        <v>4145</v>
      </c>
      <c r="AO697" s="36" t="s">
        <v>4145</v>
      </c>
      <c r="AP697" s="3">
        <f>IF(AND(G697&lt;&gt;"LIBSETS_SETTYPE_BATTLEGROUND",G697&lt;&gt;"LIBSETS_SETTYPE_SPECIAL"),IF(AQ697&lt;&gt;"",VLOOKUP(AQ697,'ESO zones'!$D$5:$H$4958,5,FALSE),""),"")</f>
        <v>725</v>
      </c>
      <c r="AQ697" s="36" t="s">
        <v>473</v>
      </c>
      <c r="AR697" s="30" t="s">
        <v>3234</v>
      </c>
      <c r="AS697" s="36" t="s">
        <v>4159</v>
      </c>
      <c r="AT697" s="36" t="s">
        <v>4159</v>
      </c>
      <c r="AU697" s="3" t="str">
        <f>IF(AND(G697&lt;&gt;"LIBSETS_SETTYPE_BATTLEGROUND",G697&lt;&gt;"LIBSETS_SETTYPE_SPECIAL"),IF(AV697&lt;&gt;"",VLOOKUP(AV697,'ESO zones'!$D$5:$H$4958,5,FALSE),""),"")</f>
        <v/>
      </c>
      <c r="AX697" s="36"/>
      <c r="AY697" s="36"/>
      <c r="AZ697" s="72" t="s">
        <v>2626</v>
      </c>
      <c r="BA697" s="72" t="s">
        <v>4157</v>
      </c>
      <c r="BB697" s="72" t="s">
        <v>4157</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Armor Glaze - Nightmare Plateau','Darkheart Leather Cop - Rakhat','Double-Moon Leather Cop - All bosses','Nightwing Besagew - Zhaj\'hassa the Forgotten','',},['de']={'Blackened Moonstone Rivets - Any boss','Darkheart Armor Glaze - Nightmare Plateau','','Double-Moon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4056</v>
      </c>
      <c r="C698" t="s">
        <v>4056</v>
      </c>
      <c r="D698" s="3">
        <f t="shared" si="60"/>
        <v>813</v>
      </c>
      <c r="G698" s="3" t="s">
        <v>1654</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DLCs'!$A$3:$D$99999,4,FALSE))</f>
        <v>DLC_SEASONS_OF_THE_WORMCULT1</v>
      </c>
      <c r="U698" s="3" t="str">
        <f>IF(T698&lt;&gt;"",VLOOKUP(T698,'&lt;Constants&gt;'!$B$4:$C$1020,2,FALSE),"")</f>
        <v>Seasons of the Wormcult Part 1</v>
      </c>
      <c r="V698" s="30" t="s">
        <v>1535</v>
      </c>
      <c r="W698" s="3" t="s">
        <v>4146</v>
      </c>
      <c r="X698" s="3" t="s">
        <v>4146</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8" t="s">
        <v>3234</v>
      </c>
      <c r="AC698" s="36" t="s">
        <v>4147</v>
      </c>
      <c r="AD698" s="36" t="s">
        <v>4147</v>
      </c>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1534</v>
      </c>
      <c r="AI698" s="36" t="s">
        <v>4148</v>
      </c>
      <c r="AJ698" s="36" t="s">
        <v>4148</v>
      </c>
      <c r="AK698" s="3">
        <f>IF(AND(G698&lt;&gt;"LIBSETS_SETTYPE_BATTLEGROUND",G698&lt;&gt;"LIBSETS_SETTYPE_SPECIAL"),IF(AL698&lt;&gt;"",VLOOKUP(AL698,'ESO zones'!$D$5:$H$4958,5,FALSE),""),"")</f>
        <v>1513</v>
      </c>
      <c r="AL698" t="s">
        <v>4081</v>
      </c>
      <c r="AM698" s="39" t="s">
        <v>1534</v>
      </c>
      <c r="AN698" s="36" t="s">
        <v>4149</v>
      </c>
      <c r="AO698" s="36" t="s">
        <v>4149</v>
      </c>
      <c r="AP698" s="3">
        <f>IF(AND(G698&lt;&gt;"LIBSETS_SETTYPE_BATTLEGROUND",G698&lt;&gt;"LIBSETS_SETTYPE_SPECIAL"),IF(AQ698&lt;&gt;"",VLOOKUP(AQ698,'ESO zones'!$D$5:$H$4958,5,FALSE),""),"")</f>
        <v>137</v>
      </c>
      <c r="AQ698" s="36" t="s">
        <v>116</v>
      </c>
      <c r="AR698" s="30" t="s">
        <v>1536</v>
      </c>
      <c r="AS698" s="36" t="s">
        <v>4150</v>
      </c>
      <c r="AT698" s="36" t="s">
        <v>4150</v>
      </c>
      <c r="AU698" s="3" t="str">
        <f>IF(AND(G698&lt;&gt;"LIBSETS_SETTYPE_BATTLEGROUND",G698&lt;&gt;"LIBSETS_SETTYPE_SPECIAL"),IF(AV698&lt;&gt;"",VLOOKUP(AV698,'ESO zones'!$D$5:$H$4958,5,FALSE),""),"")</f>
        <v/>
      </c>
      <c r="AX698" s="36"/>
      <c r="AY698" s="36"/>
      <c r="AZ698" s="72" t="s">
        <v>2626</v>
      </c>
      <c r="BA698" s="72" t="s">
        <v>4158</v>
      </c>
      <c r="BB698" s="72" t="s">
        <v>4158</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Darre','Duotone Engraved Band - The Weeping Woman','Moonstone Ring Bearing - Yenadar','Padomay Sigil - Nadirin Death-Hand','Anu Crest - Hergor the Fallen','',},['de']={'Gloamium Ring Bearing - Aba Darre','Duotone Engraved Band - The Weeping Woman','Moonstone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4050</v>
      </c>
      <c r="C699" t="s">
        <v>4050</v>
      </c>
      <c r="D699" s="3">
        <f t="shared" si="60"/>
        <v>814</v>
      </c>
      <c r="G699" s="3" t="s">
        <v>1458</v>
      </c>
      <c r="I699" t="s">
        <v>91</v>
      </c>
      <c r="J699" t="s">
        <v>91</v>
      </c>
      <c r="K699" s="33">
        <v>-1</v>
      </c>
      <c r="L699" s="33">
        <v>-1</v>
      </c>
      <c r="M699" s="33">
        <v>-1</v>
      </c>
      <c r="O699" s="58" t="s">
        <v>4057</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DLCs'!$A$3:$D$99999,4,FALSE))</f>
        <v>DLC_SEASONS_OF_THE_WORMCULT1</v>
      </c>
      <c r="U699" s="3" t="str">
        <f>IF(T699&lt;&gt;"",VLOOKUP(T699,'&lt;Constants&gt;'!$B$4:$C$1020,2,FALSE),"")</f>
        <v>Seasons of the Wormcult Part 1</v>
      </c>
      <c r="V699" s="30" t="s">
        <v>3234</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3234</v>
      </c>
      <c r="AC699" s="36"/>
      <c r="AD699" s="36"/>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3234</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2626</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4052</v>
      </c>
      <c r="C700" t="s">
        <v>4052</v>
      </c>
      <c r="D700" s="3">
        <f t="shared" si="60"/>
        <v>815</v>
      </c>
      <c r="G700" s="3" t="s">
        <v>1458</v>
      </c>
      <c r="I700" t="s">
        <v>91</v>
      </c>
      <c r="J700" t="s">
        <v>91</v>
      </c>
      <c r="K700" s="33">
        <v>-1</v>
      </c>
      <c r="L700" s="33">
        <v>-1</v>
      </c>
      <c r="M700" s="33">
        <v>-1</v>
      </c>
      <c r="O700" s="58" t="s">
        <v>4057</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DLCs'!$A$3:$D$99999,4,FALSE))</f>
        <v>DLC_SEASONS_OF_THE_WORMCULT1</v>
      </c>
      <c r="U700" s="3" t="str">
        <f>IF(T700&lt;&gt;"",VLOOKUP(T700,'&lt;Constants&gt;'!$B$4:$C$1020,2,FALSE),"")</f>
        <v>Seasons of the Wormcult Part 1</v>
      </c>
      <c r="V700" s="30" t="s">
        <v>3234</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3234</v>
      </c>
      <c r="AC700" s="36"/>
      <c r="AD700" s="36"/>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3234</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2626</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4053</v>
      </c>
      <c r="C701" t="s">
        <v>4053</v>
      </c>
      <c r="D701" s="3">
        <f t="shared" si="60"/>
        <v>816</v>
      </c>
      <c r="G701" s="3" t="s">
        <v>1458</v>
      </c>
      <c r="I701" t="s">
        <v>91</v>
      </c>
      <c r="J701" t="s">
        <v>91</v>
      </c>
      <c r="K701" s="33">
        <v>-1</v>
      </c>
      <c r="L701" s="33">
        <v>-1</v>
      </c>
      <c r="M701" s="33">
        <v>-1</v>
      </c>
      <c r="O701" s="58" t="s">
        <v>4057</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DLCs'!$A$3:$D$99999,4,FALSE))</f>
        <v>DLC_SEASONS_OF_THE_WORMCULT1</v>
      </c>
      <c r="U701" s="3" t="str">
        <f>IF(T701&lt;&gt;"",VLOOKUP(T701,'&lt;Constants&gt;'!$B$4:$C$1020,2,FALSE),"")</f>
        <v>Seasons of the Wormcult Part 1</v>
      </c>
      <c r="V701" s="30" t="s">
        <v>3234</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3234</v>
      </c>
      <c r="AC701" s="36"/>
      <c r="AD701" s="36"/>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3234</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2626</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4051</v>
      </c>
      <c r="C702" t="s">
        <v>4051</v>
      </c>
      <c r="D702" s="3">
        <f t="shared" si="60"/>
        <v>817</v>
      </c>
      <c r="G702" s="3" t="s">
        <v>1458</v>
      </c>
      <c r="I702" t="s">
        <v>91</v>
      </c>
      <c r="J702" t="s">
        <v>91</v>
      </c>
      <c r="K702" s="33">
        <v>-1</v>
      </c>
      <c r="L702" s="33">
        <v>-1</v>
      </c>
      <c r="M702" s="33">
        <v>-1</v>
      </c>
      <c r="O702" s="58" t="s">
        <v>4057</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DLCs'!$A$3:$D$99999,4,FALSE))</f>
        <v>DLC_SEASONS_OF_THE_WORMCULT1</v>
      </c>
      <c r="U702" s="3" t="str">
        <f>IF(T702&lt;&gt;"",VLOOKUP(T702,'&lt;Constants&gt;'!$B$4:$C$1020,2,FALSE),"")</f>
        <v>Seasons of the Wormcult Part 1</v>
      </c>
      <c r="V702" s="30" t="s">
        <v>3234</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3234</v>
      </c>
      <c r="AC702" s="36"/>
      <c r="AD702" s="36"/>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3234</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2626</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4062</v>
      </c>
      <c r="C703" t="s">
        <v>4062</v>
      </c>
      <c r="D703" s="3">
        <f t="shared" si="60"/>
        <v>818</v>
      </c>
      <c r="G703" s="3" t="s">
        <v>1458</v>
      </c>
      <c r="I703" t="s">
        <v>92</v>
      </c>
      <c r="J703" t="s">
        <v>91</v>
      </c>
      <c r="K703" s="33">
        <v>-1</v>
      </c>
      <c r="L703" s="33">
        <v>-1</v>
      </c>
      <c r="M703" s="33">
        <v>-1</v>
      </c>
      <c r="O703" s="58" t="s">
        <v>4057</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DLCs'!$A$3:$D$99999,4,FALSE))</f>
        <v>DLC_SEASONS_OF_THE_WORMCULT1</v>
      </c>
      <c r="U703" s="3" t="str">
        <f>IF(T703&lt;&gt;"",VLOOKUP(T703,'&lt;Constants&gt;'!$B$4:$C$1020,2,FALSE),"")</f>
        <v>Seasons of the Wormcult Part 1</v>
      </c>
      <c r="V703" s="30" t="s">
        <v>3234</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3234</v>
      </c>
      <c r="AC703" s="36"/>
      <c r="AD703" s="36"/>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3234</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2626</v>
      </c>
      <c r="BA703" s="72"/>
      <c r="BB703" s="72"/>
      <c r="BC703"/>
      <c r="BD703" t="s">
        <v>3773</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4064</v>
      </c>
      <c r="C704" t="s">
        <v>4064</v>
      </c>
      <c r="D704" s="3">
        <f t="shared" si="60"/>
        <v>819</v>
      </c>
      <c r="G704" s="3" t="s">
        <v>1458</v>
      </c>
      <c r="I704" t="s">
        <v>92</v>
      </c>
      <c r="J704" t="s">
        <v>91</v>
      </c>
      <c r="K704" s="33">
        <v>-1</v>
      </c>
      <c r="L704" s="33">
        <v>-1</v>
      </c>
      <c r="M704" s="33">
        <v>-1</v>
      </c>
      <c r="O704" s="58" t="s">
        <v>4057</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DLCs'!$A$3:$D$99999,4,FALSE))</f>
        <v>DLC_SEASONS_OF_THE_WORMCULT1</v>
      </c>
      <c r="U704" s="3" t="str">
        <f>IF(T704&lt;&gt;"",VLOOKUP(T704,'&lt;Constants&gt;'!$B$4:$C$1020,2,FALSE),"")</f>
        <v>Seasons of the Wormcult Part 1</v>
      </c>
      <c r="V704" s="30" t="s">
        <v>3234</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3234</v>
      </c>
      <c r="AC704" s="36"/>
      <c r="AD704" s="36"/>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3234</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2626</v>
      </c>
      <c r="BA704" s="72"/>
      <c r="BB704" s="72"/>
      <c r="BC704"/>
      <c r="BD704" t="s">
        <v>3773</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4063</v>
      </c>
      <c r="C705" t="s">
        <v>4063</v>
      </c>
      <c r="D705" s="3">
        <f t="shared" si="60"/>
        <v>820</v>
      </c>
      <c r="G705" s="3" t="s">
        <v>1458</v>
      </c>
      <c r="I705" t="s">
        <v>92</v>
      </c>
      <c r="J705" t="s">
        <v>91</v>
      </c>
      <c r="K705" s="33">
        <v>-1</v>
      </c>
      <c r="L705" s="33">
        <v>-1</v>
      </c>
      <c r="M705" s="33">
        <v>-1</v>
      </c>
      <c r="O705" s="58" t="s">
        <v>4057</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DLCs'!$A$3:$D$99999,4,FALSE))</f>
        <v>DLC_SEASONS_OF_THE_WORMCULT1</v>
      </c>
      <c r="U705" s="3" t="str">
        <f>IF(T705&lt;&gt;"",VLOOKUP(T705,'&lt;Constants&gt;'!$B$4:$C$1020,2,FALSE),"")</f>
        <v>Seasons of the Wormcult Part 1</v>
      </c>
      <c r="V705" s="30" t="s">
        <v>3234</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3234</v>
      </c>
      <c r="AC705" s="36"/>
      <c r="AD705" s="36"/>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3234</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2626</v>
      </c>
      <c r="BA705" s="72"/>
      <c r="BB705" s="72"/>
      <c r="BC705"/>
      <c r="BD705" t="s">
        <v>3773</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4061</v>
      </c>
      <c r="C706" t="s">
        <v>4061</v>
      </c>
      <c r="D706" s="3">
        <f t="shared" si="60"/>
        <v>821</v>
      </c>
      <c r="G706" s="3" t="s">
        <v>1458</v>
      </c>
      <c r="I706" t="s">
        <v>92</v>
      </c>
      <c r="J706" t="s">
        <v>91</v>
      </c>
      <c r="K706" s="33">
        <v>-1</v>
      </c>
      <c r="L706" s="33">
        <v>-1</v>
      </c>
      <c r="M706" s="33">
        <v>-1</v>
      </c>
      <c r="O706" s="58" t="s">
        <v>4057</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DLCs'!$A$3:$D$99999,4,FALSE))</f>
        <v>DLC_SEASONS_OF_THE_WORMCULT1</v>
      </c>
      <c r="U706" s="3" t="str">
        <f>IF(T706&lt;&gt;"",VLOOKUP(T706,'&lt;Constants&gt;'!$B$4:$C$1020,2,FALSE),"")</f>
        <v>Seasons of the Wormcult Part 1</v>
      </c>
      <c r="V706" s="30" t="s">
        <v>3234</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3234</v>
      </c>
      <c r="AC706" s="36"/>
      <c r="AD706" s="36"/>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3234</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2626</v>
      </c>
      <c r="BA706" s="72"/>
      <c r="BB706" s="72"/>
      <c r="BC706"/>
      <c r="BD706" t="s">
        <v>3773</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4112</v>
      </c>
      <c r="C707" s="82" t="s">
        <v>4112</v>
      </c>
      <c r="D707" s="3">
        <f t="shared" ref="D707:D719" si="66">A707</f>
        <v>822</v>
      </c>
      <c r="G707" s="3" t="s">
        <v>1454</v>
      </c>
      <c r="I707" t="s">
        <v>91</v>
      </c>
      <c r="J707" t="s">
        <v>91</v>
      </c>
      <c r="K707" s="33">
        <v>605</v>
      </c>
      <c r="L707" s="33">
        <v>605</v>
      </c>
      <c r="M707" s="33">
        <v>605</v>
      </c>
      <c r="O707" s="58" t="s">
        <v>4105</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DLCs'!$A$3:$D$99999,4,FALSE))</f>
        <v>DLC_FEAST_OF_SHADOWS</v>
      </c>
      <c r="U707" s="3" t="str">
        <f>IF(T707&lt;&gt;"",VLOOKUP(T707,'&lt;Constants&gt;'!$B$4:$C$1020,2,FALSE),"")</f>
        <v>Feast of Shadows</v>
      </c>
      <c r="V707" s="83" t="s">
        <v>3253</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4113</v>
      </c>
      <c r="C708" s="82" t="s">
        <v>4113</v>
      </c>
      <c r="D708" s="3">
        <f t="shared" si="66"/>
        <v>823</v>
      </c>
      <c r="G708" s="3" t="s">
        <v>1454</v>
      </c>
      <c r="I708" t="s">
        <v>91</v>
      </c>
      <c r="J708" t="s">
        <v>91</v>
      </c>
      <c r="K708" s="33">
        <v>605</v>
      </c>
      <c r="L708" s="33">
        <v>605</v>
      </c>
      <c r="M708" s="33">
        <v>605</v>
      </c>
      <c r="O708" s="58" t="s">
        <v>4105</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DLCs'!$A$3:$D$99999,4,FALSE))</f>
        <v>DLC_FEAST_OF_SHADOWS</v>
      </c>
      <c r="U708" s="3" t="str">
        <f>IF(T708&lt;&gt;"",VLOOKUP(T708,'&lt;Constants&gt;'!$B$4:$C$1020,2,FALSE),"")</f>
        <v>Feast of Shadows</v>
      </c>
      <c r="V708" s="83" t="s">
        <v>3253</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19"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19"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19"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19"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19"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4114</v>
      </c>
      <c r="C709" s="82" t="s">
        <v>4114</v>
      </c>
      <c r="D709" s="3">
        <f t="shared" si="66"/>
        <v>824</v>
      </c>
      <c r="G709" s="3" t="s">
        <v>1454</v>
      </c>
      <c r="I709" t="s">
        <v>91</v>
      </c>
      <c r="J709" t="s">
        <v>91</v>
      </c>
      <c r="K709" s="33">
        <v>605</v>
      </c>
      <c r="L709" s="33">
        <v>605</v>
      </c>
      <c r="M709" s="33">
        <v>605</v>
      </c>
      <c r="O709" s="58" t="s">
        <v>4105</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DLCs'!$A$3:$D$99999,4,FALSE))</f>
        <v>DLC_FEAST_OF_SHADOWS</v>
      </c>
      <c r="U709" s="3" t="str">
        <f>IF(T709&lt;&gt;"",VLOOKUP(T709,'&lt;Constants&gt;'!$B$4:$C$1020,2,FALSE),"")</f>
        <v>Feast of Shadows</v>
      </c>
      <c r="V709" s="83" t="s">
        <v>3253</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4115</v>
      </c>
      <c r="C710" s="82" t="s">
        <v>4115</v>
      </c>
      <c r="D710" s="3">
        <f t="shared" si="66"/>
        <v>825</v>
      </c>
      <c r="G710" s="3" t="s">
        <v>1454</v>
      </c>
      <c r="I710" t="s">
        <v>91</v>
      </c>
      <c r="J710" t="s">
        <v>91</v>
      </c>
      <c r="K710" s="33">
        <v>606</v>
      </c>
      <c r="L710" s="33">
        <v>606</v>
      </c>
      <c r="M710" s="33">
        <v>606</v>
      </c>
      <c r="O710" s="58" t="s">
        <v>4104</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DLCs'!$A$3:$D$99999,4,FALSE))</f>
        <v>DLC_FEAST_OF_SHADOWS</v>
      </c>
      <c r="U710" s="3" t="str">
        <f>IF(T710&lt;&gt;"",VLOOKUP(T710,'&lt;Constants&gt;'!$B$4:$C$1020,2,FALSE),"")</f>
        <v>Feast of Shadows</v>
      </c>
      <c r="V710" s="83" t="s">
        <v>3253</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4116</v>
      </c>
      <c r="C711" s="82" t="s">
        <v>4116</v>
      </c>
      <c r="D711" s="3">
        <f t="shared" si="66"/>
        <v>826</v>
      </c>
      <c r="G711" s="3" t="s">
        <v>1454</v>
      </c>
      <c r="I711" t="s">
        <v>91</v>
      </c>
      <c r="J711" t="s">
        <v>91</v>
      </c>
      <c r="K711" s="33">
        <v>606</v>
      </c>
      <c r="L711" s="33">
        <v>606</v>
      </c>
      <c r="M711" s="33">
        <v>606</v>
      </c>
      <c r="O711" s="58" t="s">
        <v>4104</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DLCs'!$A$3:$D$99999,4,FALSE))</f>
        <v>DLC_FEAST_OF_SHADOWS</v>
      </c>
      <c r="U711" s="3" t="str">
        <f>IF(T711&lt;&gt;"",VLOOKUP(T711,'&lt;Constants&gt;'!$B$4:$C$1020,2,FALSE),"")</f>
        <v>Feast of Shadows</v>
      </c>
      <c r="V711" s="83" t="s">
        <v>3253</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4117</v>
      </c>
      <c r="C712" s="82" t="s">
        <v>4117</v>
      </c>
      <c r="D712" s="3">
        <f t="shared" si="66"/>
        <v>827</v>
      </c>
      <c r="G712" s="3" t="s">
        <v>1454</v>
      </c>
      <c r="I712" t="s">
        <v>91</v>
      </c>
      <c r="J712" t="s">
        <v>91</v>
      </c>
      <c r="K712" s="33">
        <v>606</v>
      </c>
      <c r="L712" s="33">
        <v>606</v>
      </c>
      <c r="M712" s="33">
        <v>606</v>
      </c>
      <c r="O712" s="58" t="s">
        <v>4104</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DLCs'!$A$3:$D$99999,4,FALSE))</f>
        <v>DLC_FEAST_OF_SHADOWS</v>
      </c>
      <c r="U712" s="3" t="str">
        <f>IF(T712&lt;&gt;"",VLOOKUP(T712,'&lt;Constants&gt;'!$B$4:$C$1020,2,FALSE),"")</f>
        <v>Feast of Shadows</v>
      </c>
      <c r="V712" s="83" t="s">
        <v>3253</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4118</v>
      </c>
      <c r="C713" s="82" t="s">
        <v>4118</v>
      </c>
      <c r="D713" s="3">
        <f t="shared" si="66"/>
        <v>828</v>
      </c>
      <c r="G713" s="3" t="s">
        <v>1456</v>
      </c>
      <c r="H713">
        <v>3</v>
      </c>
      <c r="I713" t="s">
        <v>1443</v>
      </c>
      <c r="J713" t="s">
        <v>91</v>
      </c>
      <c r="K713" s="33">
        <v>605</v>
      </c>
      <c r="L713" s="33">
        <v>605</v>
      </c>
      <c r="M713" s="33">
        <v>605</v>
      </c>
      <c r="O713" s="58" t="s">
        <v>4105</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DLCs'!$A$3:$D$99999,4,FALSE))</f>
        <v>DLC_FEAST_OF_SHADOWS</v>
      </c>
      <c r="U713" s="3" t="str">
        <f>IF(T711&lt;&gt;"",VLOOKUP(T711,'&lt;Constants&gt;'!$B$4:$C$1020,2,FALSE),"")</f>
        <v>Feast of Shadows</v>
      </c>
      <c r="V713" s="30" t="s">
        <v>1518</v>
      </c>
      <c r="W713" s="3" t="s">
        <v>4118</v>
      </c>
      <c r="X713" s="3" t="s">
        <v>4123</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4120</v>
      </c>
      <c r="C714" s="82" t="s">
        <v>4120</v>
      </c>
      <c r="D714" s="3">
        <f t="shared" si="66"/>
        <v>829</v>
      </c>
      <c r="G714" s="3" t="s">
        <v>1456</v>
      </c>
      <c r="H714">
        <v>3</v>
      </c>
      <c r="I714" t="s">
        <v>1443</v>
      </c>
      <c r="J714" t="s">
        <v>91</v>
      </c>
      <c r="K714" s="33">
        <v>606</v>
      </c>
      <c r="L714" s="33">
        <v>606</v>
      </c>
      <c r="M714" s="33">
        <v>606</v>
      </c>
      <c r="O714" s="58" t="s">
        <v>4104</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DLCs'!$A$3:$D$99999,4,FALSE))</f>
        <v>DLC_FEAST_OF_SHADOWS</v>
      </c>
      <c r="U714" s="3" t="str">
        <f>IF(T712&lt;&gt;"",VLOOKUP(T712,'&lt;Constants&gt;'!$B$4:$C$1020,2,FALSE),"")</f>
        <v>Feast of Shadows</v>
      </c>
      <c r="V714" s="30" t="s">
        <v>1518</v>
      </c>
      <c r="W714" s="3" t="s">
        <v>4120</v>
      </c>
      <c r="X714" s="3" t="s">
        <v>4120</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4119</v>
      </c>
      <c r="C715" s="82" t="s">
        <v>4119</v>
      </c>
      <c r="D715" s="3">
        <f t="shared" si="66"/>
        <v>830</v>
      </c>
      <c r="G715" s="8" t="s">
        <v>1452</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DLCs'!$A$3:$D$99999,4,FALSE))</f>
        <v>DLC_FEAST_OF_SHADOWS</v>
      </c>
      <c r="U715" s="3" t="str">
        <f>IF(T715&lt;&gt;"",VLOOKUP(T715,'&lt;Constants&gt;'!$B$4:$C$1020,2,FALSE),"")</f>
        <v>Feast of Shadows</v>
      </c>
      <c r="V715" s="30" t="s">
        <v>1515</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3681</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2736</v>
      </c>
      <c r="AI715" s="38"/>
      <c r="AJ715" s="38"/>
      <c r="AK715" s="3">
        <f>IF(AND(G715&lt;&gt;"LIBSETS_SETTYPE_BATTLEGROUND",G715&lt;&gt;"LIBSETS_SETTYPE_SPECIAL"),IF(AL715&lt;&gt;"",VLOOKUP(AL715,'ESO zones'!$D$5:$H$4958,5,FALSE),""),"")</f>
        <v>181</v>
      </c>
      <c r="AL715" t="s">
        <v>124</v>
      </c>
      <c r="AM715" s="30" t="s">
        <v>3684</v>
      </c>
      <c r="AN715" s="38"/>
      <c r="AO715" s="38"/>
      <c r="AP715" s="3">
        <f>IF(AND(G715&lt;&gt;"LIBSETS_SETTYPE_BATTLEGROUND",G715&lt;&gt;"LIBSETS_SETTYPE_SPECIAL"),IF(AQ715&lt;&gt;"",VLOOKUP(AQ715,'ESO zones'!$D$5:$H$4958,5,FALSE),""),"")</f>
        <v>181</v>
      </c>
      <c r="AQ715" t="s">
        <v>124</v>
      </c>
      <c r="AR715" s="30" t="s">
        <v>1534</v>
      </c>
      <c r="AS715" s="38"/>
      <c r="AT715" s="38"/>
      <c r="AU715" s="3">
        <f>IF(AND(G715&lt;&gt;"LIBSETS_SETTYPE_BATTLEGROUND",G715&lt;&gt;"LIBSETS_SETTYPE_SPECIAL"),IF(AV715&lt;&gt;"",VLOOKUP(AV715,'ESO zones'!$D$5:$H$4958,5,FALSE),""),"")</f>
        <v>181</v>
      </c>
      <c r="AV715" t="s">
        <v>124</v>
      </c>
      <c r="AW715" s="30" t="s">
        <v>3205</v>
      </c>
      <c r="AX715" s="38"/>
      <c r="AY715" s="38"/>
      <c r="AZ715" s="72" t="s">
        <v>2626</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4121</v>
      </c>
      <c r="C716" s="82" t="s">
        <v>4121</v>
      </c>
      <c r="D716" s="3">
        <f t="shared" si="66"/>
        <v>831</v>
      </c>
      <c r="G716" s="8" t="s">
        <v>1452</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DLCs'!$A$3:$D$99999,4,FALSE))</f>
        <v>DLC_FEAST_OF_SHADOWS</v>
      </c>
      <c r="U716" s="3" t="str">
        <f>IF(T716&lt;&gt;"",VLOOKUP(T716,'&lt;Constants&gt;'!$B$4:$C$1020,2,FALSE),"")</f>
        <v>Feast of Shadows</v>
      </c>
      <c r="V716" s="30" t="s">
        <v>1515</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3681</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2736</v>
      </c>
      <c r="AK716" s="3">
        <f>IF(AND(G716&lt;&gt;"LIBSETS_SETTYPE_BATTLEGROUND",G716&lt;&gt;"LIBSETS_SETTYPE_SPECIAL"),IF(AL716&lt;&gt;"",VLOOKUP(AL716,'ESO zones'!$D$5:$H$4958,5,FALSE),""),"")</f>
        <v>181</v>
      </c>
      <c r="AL716" t="s">
        <v>124</v>
      </c>
      <c r="AM716" s="30" t="s">
        <v>3684</v>
      </c>
      <c r="AP716" s="3">
        <f>IF(AND(G716&lt;&gt;"LIBSETS_SETTYPE_BATTLEGROUND",G716&lt;&gt;"LIBSETS_SETTYPE_SPECIAL"),IF(AQ716&lt;&gt;"",VLOOKUP(AQ716,'ESO zones'!$D$5:$H$4958,5,FALSE),""),"")</f>
        <v>181</v>
      </c>
      <c r="AQ716" t="s">
        <v>124</v>
      </c>
      <c r="AR716" s="30" t="s">
        <v>1534</v>
      </c>
      <c r="AU716" s="3">
        <f>IF(AND(G716&lt;&gt;"LIBSETS_SETTYPE_BATTLEGROUND",G716&lt;&gt;"LIBSETS_SETTYPE_SPECIAL"),IF(AV716&lt;&gt;"",VLOOKUP(AV716,'ESO zones'!$D$5:$H$4958,5,FALSE),""),"")</f>
        <v>181</v>
      </c>
      <c r="AV716" t="s">
        <v>124</v>
      </c>
      <c r="AW716" s="30" t="s">
        <v>3205</v>
      </c>
      <c r="AZ716" s="72" t="s">
        <v>2626</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4122</v>
      </c>
      <c r="C717" s="82" t="s">
        <v>4122</v>
      </c>
      <c r="D717" s="3">
        <f t="shared" si="66"/>
        <v>832</v>
      </c>
      <c r="G717" s="8" t="s">
        <v>1452</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DLCs'!$A$3:$D$99999,4,FALSE))</f>
        <v>DLC_FEAST_OF_SHADOWS</v>
      </c>
      <c r="U717" s="3" t="str">
        <f>IF(T717&lt;&gt;"",VLOOKUP(T717,'&lt;Constants&gt;'!$B$4:$C$1020,2,FALSE),"")</f>
        <v>Feast of Shadows</v>
      </c>
      <c r="V717" s="30" t="s">
        <v>1515</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3681</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2736</v>
      </c>
      <c r="AI717" s="38"/>
      <c r="AJ717" s="38"/>
      <c r="AK717" s="3">
        <f>IF(AND(G717&lt;&gt;"LIBSETS_SETTYPE_BATTLEGROUND",G717&lt;&gt;"LIBSETS_SETTYPE_SPECIAL"),IF(AL717&lt;&gt;"",VLOOKUP(AL717,'ESO zones'!$D$5:$H$4958,5,FALSE),""),"")</f>
        <v>181</v>
      </c>
      <c r="AL717" t="s">
        <v>124</v>
      </c>
      <c r="AM717" s="30" t="s">
        <v>3684</v>
      </c>
      <c r="AN717" s="38"/>
      <c r="AO717" s="38"/>
      <c r="AP717" s="3">
        <f>IF(AND(G717&lt;&gt;"LIBSETS_SETTYPE_BATTLEGROUND",G717&lt;&gt;"LIBSETS_SETTYPE_SPECIAL"),IF(AQ717&lt;&gt;"",VLOOKUP(AQ717,'ESO zones'!$D$5:$H$4958,5,FALSE),""),"")</f>
        <v>181</v>
      </c>
      <c r="AQ717" t="s">
        <v>124</v>
      </c>
      <c r="AR717" s="30" t="s">
        <v>1534</v>
      </c>
      <c r="AS717" s="38"/>
      <c r="AT717" s="38"/>
      <c r="AU717" s="3">
        <f>IF(AND(G717&lt;&gt;"LIBSETS_SETTYPE_BATTLEGROUND",G717&lt;&gt;"LIBSETS_SETTYPE_SPECIAL"),IF(AV717&lt;&gt;"",VLOOKUP(AV717,'ESO zones'!$D$5:$H$4958,5,FALSE),""),"")</f>
        <v>181</v>
      </c>
      <c r="AV717" t="s">
        <v>124</v>
      </c>
      <c r="AW717" s="30" t="s">
        <v>3205</v>
      </c>
      <c r="AX717" s="38"/>
      <c r="AY717" s="38"/>
      <c r="AZ717" s="72" t="s">
        <v>2626</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4176</v>
      </c>
      <c r="C718" t="s">
        <v>4176</v>
      </c>
      <c r="D718" s="3">
        <f t="shared" si="66"/>
        <v>845</v>
      </c>
      <c r="G718" s="3" t="s">
        <v>1654</v>
      </c>
      <c r="I718" t="s">
        <v>91</v>
      </c>
      <c r="J718" t="s">
        <v>91</v>
      </c>
      <c r="K718" s="33">
        <v>420</v>
      </c>
      <c r="L718" s="33">
        <v>371</v>
      </c>
      <c r="M718" s="33">
        <v>445</v>
      </c>
      <c r="O718" s="58" t="s">
        <v>4058</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DLCs'!$A$3:$D$99999,4,FALSE))</f>
        <v>DLC_SEASONS_OF_THE_WORMCULT2</v>
      </c>
      <c r="U718" s="3" t="str">
        <f>IF(T718&lt;&gt;"",VLOOKUP(T718,'&lt;Constants&gt;'!$B$4:$C$1020,2,FALSE),"")</f>
        <v>Seasons of the Wormcult Part 2</v>
      </c>
      <c r="V718" s="30" t="s">
        <v>1535</v>
      </c>
      <c r="W718" s="3" t="s">
        <v>4215</v>
      </c>
      <c r="X718" s="3" t="s">
        <v>4215</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3253</v>
      </c>
      <c r="AC718" s="38" t="s">
        <v>4213</v>
      </c>
      <c r="AD718" s="38" t="s">
        <v>4213</v>
      </c>
      <c r="AE718" s="122"/>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1535</v>
      </c>
      <c r="AI718" s="38" t="s">
        <v>4214</v>
      </c>
      <c r="AJ718" s="38" t="s">
        <v>4214</v>
      </c>
      <c r="AK718" s="3">
        <f>IF(AND(G718&lt;&gt;"LIBSETS_SETTYPE_BATTLEGROUND",G718&lt;&gt;"LIBSETS_SETTYPE_SPECIAL"),IF(AL718&lt;&gt;"",VLOOKUP(AL718,'ESO zones'!$D$5:$H$4958,5,FALSE),""),"")</f>
        <v>1055</v>
      </c>
      <c r="AL718" t="s">
        <v>41</v>
      </c>
      <c r="AM718" s="39" t="s">
        <v>3253</v>
      </c>
      <c r="AN718" s="38" t="s">
        <v>4216</v>
      </c>
      <c r="AO718" s="38" t="s">
        <v>4216</v>
      </c>
      <c r="AP718" s="3">
        <f>IF(AND(G718&lt;&gt;"LIBSETS_SETTYPE_BATTLEGROUND",G718&lt;&gt;"LIBSETS_SETTYPE_SPECIAL"),IF(AQ718&lt;&gt;"",VLOOKUP(AQ718,'ESO zones'!$D$5:$H$4958,5,FALSE),""),"")</f>
        <v>694</v>
      </c>
      <c r="AQ718" s="36" t="s">
        <v>453</v>
      </c>
      <c r="AR718" s="118" t="s">
        <v>1534</v>
      </c>
      <c r="AS718" s="38" t="s">
        <v>4217</v>
      </c>
      <c r="AT718" s="38" t="s">
        <v>4217</v>
      </c>
      <c r="AU718" s="3" t="str">
        <f>IF(AND(G718&lt;&gt;"LIBSETS_SETTYPE_BATTLEGROUND",G718&lt;&gt;"LIBSETS_SETTYPE_SPECIAL"),IF(AV718&lt;&gt;"",VLOOKUP(AV718,'ESO zones'!$D$5:$H$4958,5,FALSE),""),"")</f>
        <v/>
      </c>
      <c r="AZ718" s="72" t="s">
        <v>2626</v>
      </c>
      <c r="BA718" s="33" t="s">
        <v>4209</v>
      </c>
      <c r="BB718" s="33" t="s">
        <v>4209</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Grounds','Fangs of Bitter Mercy - Vykosa the Ascendant','Foxshadow Headwrap - Four Skull Lookout','Mighty Bear\'s Snarl - Balorgh','Skinshifter\'s Cowl - Magnar Child-Eater','',},['de']={'Dark Stag Oil - Hordrek\'s Hunting Grounds','Fangs of Bitter Mercy - Vykosa the Ascendant','Foxshadow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4175</v>
      </c>
      <c r="C719" t="s">
        <v>4175</v>
      </c>
      <c r="D719" s="3">
        <f t="shared" si="66"/>
        <v>846</v>
      </c>
      <c r="G719" s="3" t="s">
        <v>1457</v>
      </c>
      <c r="I719" t="s">
        <v>91</v>
      </c>
      <c r="J719" t="s">
        <v>91</v>
      </c>
      <c r="K719">
        <v>592</v>
      </c>
      <c r="L719">
        <v>592</v>
      </c>
      <c r="M719">
        <v>592</v>
      </c>
      <c r="O719" s="58" t="s">
        <v>4058</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DLCs'!$A$3:$D$99999,4,FALSE))</f>
        <v>DLC_SEASONS_OF_THE_WORMCULT2</v>
      </c>
      <c r="U719" s="3" t="str">
        <f>IF(T719&lt;&gt;"",VLOOKUP(T719,'&lt;Constants&gt;'!$B$4:$C$1020,2,FALSE),"")</f>
        <v>Seasons of the Wormcult Part 2</v>
      </c>
      <c r="V719" s="30" t="s">
        <v>1534</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1535</v>
      </c>
      <c r="AC719" s="36"/>
      <c r="AD719" s="36"/>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1536</v>
      </c>
      <c r="AI719" s="36"/>
      <c r="AJ719" s="36"/>
      <c r="AK719" s="3">
        <f>IF(AND(G719&lt;&gt;"LIBSETS_SETTYPE_BATTLEGROUND",G719&lt;&gt;"LIBSETS_SETTYPE_SPECIAL"),IF(AL719&lt;&gt;"",VLOOKUP(AL719,'ESO zones'!$D$5:$H$4958,5,FALSE),""),"")</f>
        <v>1502</v>
      </c>
      <c r="AL719" t="s">
        <v>4058</v>
      </c>
      <c r="AM719" s="39" t="s">
        <v>1537</v>
      </c>
      <c r="AN719" s="36"/>
      <c r="AO719" s="36"/>
      <c r="AP719" s="3">
        <f>IF(AND(G719&lt;&gt;"LIBSETS_SETTYPE_BATTLEGROUND",G719&lt;&gt;"LIBSETS_SETTYPE_SPECIAL"),IF(AQ719&lt;&gt;"",VLOOKUP(AQ719,'ESO zones'!$D$5:$H$4958,5,FALSE),""),"")</f>
        <v>1502</v>
      </c>
      <c r="AQ719" t="s">
        <v>4058</v>
      </c>
      <c r="AR719" s="39" t="s">
        <v>3193</v>
      </c>
      <c r="AS719" s="36"/>
      <c r="AT719" s="36"/>
      <c r="AU719" s="3" t="str">
        <f>IF(AND(G719&lt;&gt;"LIBSETS_SETTYPE_BATTLEGROUND",G719&lt;&gt;"LIBSETS_SETTYPE_SPECIAL"),IF(AV719&lt;&gt;"",VLOOKUP(AV719,'ESO zones'!$D$5:$H$4958,5,FALSE),""),"")</f>
        <v/>
      </c>
      <c r="AW719" s="39"/>
      <c r="AZ719" s="72" t="s">
        <v>2626</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Y720" s="58"/>
      <c r="Z720" s="3" t="str">
        <f>IF(AND(G720&lt;&gt;"LIBSETS_SETTYPE_BATTLEGROUND",G720&lt;&gt;"LIBSETS_SETTYPE_SPECIAL"),
IF(AND(Y720&lt;&gt;"",ISNUMBER(Y720),NOT(ISNA(Y720))),Y720,
   IF(AND(L720&lt;&gt;"",ISNUMBER(L720),L720&gt;0,NOT(ISNA(L720))),VLOOKUP(L720,'ESO wayshrines'!$K$3:$L$9972,2,FALSE),"")
),"")</f>
        <v/>
      </c>
      <c r="AA720" t="str">
        <f>IF(AND(Z720&lt;&gt;"",ISNUMBER(Z720),NOT(ISNA(Z720))),VLOOKUP(Z720,'ESO zones'!$A$5:$D$10004,4,FALSE),"")</f>
        <v/>
      </c>
      <c r="AC720" s="38"/>
      <c r="AD720" s="38"/>
      <c r="AE720" s="58"/>
      <c r="AF720" s="3"/>
      <c r="AK720" s="3" t="str">
        <f>IF(AND(G720&lt;&gt;"LIBSETS_SETTYPE_BATTLEGROUND",G720&lt;&gt;"LIBSETS_SETTYPE_SPECIAL"),IF(AL720&lt;&gt;"",VLOOKUP(AL720,'ESO zones'!$D$5:$H$4958,5,FALSE),""),"")</f>
        <v/>
      </c>
      <c r="AP720" s="3" t="str">
        <f>IF(AND(G720&lt;&gt;"LIBSETS_SETTYPE_BATTLEGROUND",G720&lt;&gt;"LIBSETS_SETTYPE_SPECIAL"),IF(AQ720&lt;&gt;"",VLOOKUP(AQ720,'ESO zones'!$D$5:$H$4958,5,FALSE),""),"")</f>
        <v/>
      </c>
      <c r="AU720" s="3" t="str">
        <f>IF(AND(G720&lt;&gt;"LIBSETS_SETTYPE_BATTLEGROUND",G720&lt;&gt;"LIBSETS_SETTYPE_SPECIAL"),IF(AV720&lt;&gt;"",VLOOKUP(AV720,'ESO zones'!$D$5:$H$4958,5,FALSE),""),"")</f>
        <v/>
      </c>
      <c r="AZ720" s="72" t="s">
        <v>2626</v>
      </c>
      <c r="BA720" s="72"/>
      <c r="BB720" s="72"/>
      <c r="BC720" s="72"/>
      <c r="BD720" s="72"/>
      <c r="BE720" s="18" t="str">
        <f t="shared" ref="BE720:BE740" si="72">IF(A720="???","--","")&amp;IF(F720&lt;&gt;"Not in the game (anymore)",IF(A720&lt;&gt;"",CONCATENATE("[",A720,"] = {wayshrines={")&amp;IF(K720&lt;&gt;"",CONCATENATE(K720,","),"")&amp;IF(L720&lt;&gt;"",CONCATENATE(L720,","),"")&amp;IF(M720&lt;&gt;"",CONCATENATE(M720,","),"")&amp;CONCATENATE("}")&amp;IF(VALUE(N720)&gt;0,CONCATENATE(", traitsNeeded=",N720),"")&amp;CONCATENATE(", dlcId=",IF(T720&lt;&gt;"",T720,"DLC_BASE_GAME")),""),"")</f>
        <v/>
      </c>
      <c r="BF720" s="18" t="str">
        <f t="shared" ref="BF720:BF740" si="73">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 CONCATENATE(", veteran=", I720), ""),""),"")</f>
        <v/>
      </c>
      <c r="BG720" s="18" t="str">
        <f t="shared" ref="BG720:BG740" si="74">IF(A720&lt;&gt;"",IF(F720&lt;&gt;"Not in the game (anymore)",IF(A720&lt;&gt;"",", setType="&amp;G720,"")&amp;IF(G720="LIBSETS_SETTYPE_CLASS",", classId="&amp;BC720,"")&amp;IF(J720="true",", multiTrialSet=true",""),"")
&amp; IF(AND(H720&lt;&gt;"",ISNUMBER(H720)),", undauntedChestId=" &amp; H720,""),"")</f>
        <v/>
      </c>
      <c r="BH720" s="18" t="str">
        <f t="shared" ref="BH720:BH740" si="75">IF(A720&lt;&gt;"",IF(F720&lt;&gt;"Not in the game (anymore)",IF(AZ720&lt;&gt;"",", isProcSetAllowedInPvP="&amp; AZ720,"")
&amp; IF(F720&lt;&gt;"Not in the game (anymore)",
  IF(V720&lt;&gt;"",", dropMechanic={"&amp;V720&amp;IF(AB720&lt;&gt;"",","&amp;AB720,"")&amp;IF(AH720&lt;&gt;"",","&amp;AH720,"")&amp;IF(AM720&lt;&gt;"",","&amp;AM720,"")&amp;IF(AR720&lt;&gt;"",","&amp;AR720,"")&amp;IF(AW720&lt;&gt;"",","&amp;AW720,"")&amp;"}"
     &amp;IF(OR(W720&lt;&gt;"",AC720&lt;&gt;"",AI720&lt;&gt;"",AN720&lt;&gt;"",AS720&lt;&gt;"",AX720&lt;&gt;"",X720&lt;&gt;"",AD720&lt;&gt;"",AJ720&lt;&gt;"",AO720&lt;&gt;"",AT720&lt;&gt;"",AY720&lt;&gt;""),", dropMechanicDropLocationNames={"
        &amp; IF(OR(W720&lt;&gt;"",AC720&lt;&gt;"",AI720&lt;&gt;"",AN720&lt;&gt;"",AS720&lt;&gt;"",AX720&lt;&gt;""),"['en']={"&amp;IF(W720&lt;&gt;"","'"&amp;W720&amp;"',","'',")&amp;IF(AC720&lt;&gt;"","'"&amp;AC720&amp;"',","'',")&amp;IF(AI720&lt;&gt;"","'"&amp;AI720&amp;"',","'',")&amp;IF(AN720&lt;&gt;"","'"&amp;AN720&amp;"',","'',")&amp;IF(AS720&lt;&gt;"","'"&amp;AS720&amp;"',","'',")&amp;IF(AX720&lt;&gt;"","'"&amp;AX720&amp;"',","'',")&amp;"},","")
        &amp; IF(OR(X720&lt;&gt;"",AD720&lt;&gt;"",AJ720&lt;&gt;"",AO720&lt;&gt;"",AT720&lt;&gt;"",AY720&lt;&gt;""),"['de']={"&amp;IF(X720&lt;&gt;"","'"&amp;X720&amp;"',","'',")&amp;IF(AD720&lt;&gt;"","'"&amp;AD720&amp;"',","'',")&amp;IF(AJ720&lt;&gt;"","'"&amp;AJ720&amp;"',","'',")&amp;IF(AO720&lt;&gt;"","'"&amp;AO720&amp;"',","'',")&amp;IF(AT720&lt;&gt;"","'"&amp;AT720&amp;"',","'',")&amp;IF(AY720&lt;&gt;"","'"&amp;AY720&amp;"',","'',")&amp;"},","")
     &amp; "}",""),"")),""),"")
&amp; IF(AND(BD720&lt;&gt;"",BD720&lt;&gt;"X"), ", perfectedSetId=" &amp; BD720, IF(BD720&lt;&gt;"",", isPerfectedSet=1",""))</f>
        <v/>
      </c>
      <c r="BI720" s="18" t="str">
        <f t="shared" ref="BI720:BI740" si="76">IF(A720&lt;&gt;"",IF(F720&lt;&gt;"Not in the game (anymore)",
IF(OR(BA720&lt;&gt;"",BB720&lt;&gt;""),", addTooltip={" &amp; IF(BA720&lt;&gt;"","['en']='"&amp; BA720 &amp; "',","")  &amp; IF(AND(BA720&lt;&gt;"",BA720&lt;&gt;BB720), IF(BB720&lt;&gt;"","['de']='"&amp; BB720 &amp; "',",""),"") &amp; "},","")
&amp; "},"
&amp; IF(C720&lt;&gt;"",CONCATENATE(" --",C720," / ",B720,"   [",IF(R720&lt;&gt;"",R720,""),IF(AA720&lt;&gt;"",", "&amp;AA720,""),IF(AG720&lt;&gt;"",", "&amp;AG720,""),IF(AL720&lt;&gt;"",", "&amp;AL720,""),IF(AQ720&lt;&gt;"",", "&amp;AQ720,""),IF(AV720&lt;&gt;"",", "&amp;AV720,""),"]")),""),"")</f>
        <v/>
      </c>
    </row>
    <row r="721" spans="25:61" x14ac:dyDescent="0.25">
      <c r="Y721" s="58"/>
      <c r="Z721" s="3" t="str">
        <f>IF(AND(G721&lt;&gt;"LIBSETS_SETTYPE_BATTLEGROUND",G721&lt;&gt;"LIBSETS_SETTYPE_SPECIAL"),
IF(AND(Y721&lt;&gt;"",ISNUMBER(Y721),NOT(ISNA(Y721))),Y721,
   IF(AND(L721&lt;&gt;"",ISNUMBER(L721),L721&gt;0,NOT(ISNA(L721))),VLOOKUP(L721,'ESO wayshrines'!$K$3:$L$9972,2,FALSE),"")
),"")</f>
        <v/>
      </c>
      <c r="AA721" t="str">
        <f>IF(AND(Z721&lt;&gt;"",ISNUMBER(Z721),NOT(ISNA(Z721))),VLOOKUP(Z721,'ESO zones'!$A$5:$D$10004,4,FALSE),"")</f>
        <v/>
      </c>
      <c r="AC721" s="38"/>
      <c r="AD721" s="38"/>
      <c r="AE721" s="58"/>
      <c r="AF721" s="3"/>
      <c r="AK721" s="3" t="str">
        <f>IF(AND(G721&lt;&gt;"LIBSETS_SETTYPE_BATTLEGROUND",G721&lt;&gt;"LIBSETS_SETTYPE_SPECIAL"),IF(AL721&lt;&gt;"",VLOOKUP(AL721,'ESO zones'!$D$5:$H$4958,5,FALSE),""),"")</f>
        <v/>
      </c>
      <c r="AP721" s="3" t="str">
        <f>IF(AND(G721&lt;&gt;"LIBSETS_SETTYPE_BATTLEGROUND",G721&lt;&gt;"LIBSETS_SETTYPE_SPECIAL"),IF(AQ721&lt;&gt;"",VLOOKUP(AQ721,'ESO zones'!$D$5:$H$4958,5,FALSE),""),"")</f>
        <v/>
      </c>
      <c r="AU721" s="3" t="str">
        <f>IF(AND(G721&lt;&gt;"LIBSETS_SETTYPE_BATTLEGROUND",G721&lt;&gt;"LIBSETS_SETTYPE_SPECIAL"),IF(AV721&lt;&gt;"",VLOOKUP(AV721,'ESO zones'!$D$5:$H$4958,5,FALSE),""),"")</f>
        <v/>
      </c>
      <c r="AZ721" s="72" t="s">
        <v>2626</v>
      </c>
      <c r="BA721" s="72"/>
      <c r="BB721" s="72"/>
      <c r="BC721" s="72"/>
      <c r="BD721" s="72"/>
      <c r="BE721" s="18" t="str">
        <f t="shared" si="72"/>
        <v/>
      </c>
      <c r="BF721" s="18" t="str">
        <f t="shared" si="73"/>
        <v/>
      </c>
      <c r="BG721" s="18" t="str">
        <f t="shared" si="74"/>
        <v/>
      </c>
      <c r="BH721" s="18" t="str">
        <f t="shared" si="75"/>
        <v/>
      </c>
      <c r="BI721" s="18" t="str">
        <f t="shared" si="76"/>
        <v/>
      </c>
    </row>
    <row r="722" spans="25:61" x14ac:dyDescent="0.25">
      <c r="Y722" s="58"/>
      <c r="Z722" s="3" t="str">
        <f>IF(AND(G722&lt;&gt;"LIBSETS_SETTYPE_BATTLEGROUND",G722&lt;&gt;"LIBSETS_SETTYPE_SPECIAL"),
IF(AND(Y722&lt;&gt;"",ISNUMBER(Y722),NOT(ISNA(Y722))),Y722,
   IF(AND(L722&lt;&gt;"",ISNUMBER(L722),L722&gt;0,NOT(ISNA(L722))),VLOOKUP(L722,'ESO wayshrines'!$K$3:$L$9972,2,FALSE),"")
),"")</f>
        <v/>
      </c>
      <c r="AA722" t="str">
        <f>IF(AND(Z722&lt;&gt;"",ISNUMBER(Z722),NOT(ISNA(Z722))),VLOOKUP(Z722,'ESO zones'!$A$5:$D$10004,4,FALSE),"")</f>
        <v/>
      </c>
      <c r="AC722" s="38"/>
      <c r="AD722" s="38"/>
      <c r="AE722" s="58"/>
      <c r="AF722" s="3"/>
      <c r="AK722" s="3" t="str">
        <f>IF(AND(G722&lt;&gt;"LIBSETS_SETTYPE_BATTLEGROUND",G722&lt;&gt;"LIBSETS_SETTYPE_SPECIAL"),IF(AL722&lt;&gt;"",VLOOKUP(AL722,'ESO zones'!$D$5:$H$4958,5,FALSE),""),"")</f>
        <v/>
      </c>
      <c r="AP722" s="3" t="str">
        <f>IF(AND(G722&lt;&gt;"LIBSETS_SETTYPE_BATTLEGROUND",G722&lt;&gt;"LIBSETS_SETTYPE_SPECIAL"),IF(AQ722&lt;&gt;"",VLOOKUP(AQ722,'ESO zones'!$D$5:$H$4958,5,FALSE),""),"")</f>
        <v/>
      </c>
      <c r="AU722" s="3" t="str">
        <f>IF(AND(G722&lt;&gt;"LIBSETS_SETTYPE_BATTLEGROUND",G722&lt;&gt;"LIBSETS_SETTYPE_SPECIAL"),IF(AV722&lt;&gt;"",VLOOKUP(AV722,'ESO zones'!$D$5:$H$4958,5,FALSE),""),"")</f>
        <v/>
      </c>
      <c r="AZ722" s="72" t="s">
        <v>2626</v>
      </c>
      <c r="BA722" s="72"/>
      <c r="BB722" s="72"/>
      <c r="BC722" s="72"/>
      <c r="BD722" s="72"/>
      <c r="BE722" s="18" t="str">
        <f t="shared" si="72"/>
        <v/>
      </c>
      <c r="BF722" s="18" t="str">
        <f t="shared" si="73"/>
        <v/>
      </c>
      <c r="BG722" s="18" t="str">
        <f t="shared" si="74"/>
        <v/>
      </c>
      <c r="BH722" s="18" t="str">
        <f t="shared" si="75"/>
        <v/>
      </c>
      <c r="BI722" s="18" t="str">
        <f t="shared" si="76"/>
        <v/>
      </c>
    </row>
    <row r="723" spans="25:61" x14ac:dyDescent="0.25">
      <c r="Y723" s="58"/>
      <c r="Z723" s="3" t="str">
        <f>IF(AND(G723&lt;&gt;"LIBSETS_SETTYPE_BATTLEGROUND",G723&lt;&gt;"LIBSETS_SETTYPE_SPECIAL"),
IF(AND(Y723&lt;&gt;"",ISNUMBER(Y723),NOT(ISNA(Y723))),Y723,
   IF(AND(L723&lt;&gt;"",ISNUMBER(L723),L723&gt;0,NOT(ISNA(L723))),VLOOKUP(L723,'ESO wayshrines'!$K$3:$L$9972,2,FALSE),"")
),"")</f>
        <v/>
      </c>
      <c r="AA723" t="str">
        <f>IF(AND(Z723&lt;&gt;"",ISNUMBER(Z723),NOT(ISNA(Z723))),VLOOKUP(Z723,'ESO zones'!$A$5:$D$10004,4,FALSE),"")</f>
        <v/>
      </c>
      <c r="AC723" s="38"/>
      <c r="AD723" s="38"/>
      <c r="AE723" s="58"/>
      <c r="AF723" s="3"/>
      <c r="AK723" s="3" t="str">
        <f>IF(AND(G723&lt;&gt;"LIBSETS_SETTYPE_BATTLEGROUND",G723&lt;&gt;"LIBSETS_SETTYPE_SPECIAL"),IF(AL723&lt;&gt;"",VLOOKUP(AL723,'ESO zones'!$D$5:$H$4958,5,FALSE),""),"")</f>
        <v/>
      </c>
      <c r="AP723" s="3" t="str">
        <f>IF(AND(G723&lt;&gt;"LIBSETS_SETTYPE_BATTLEGROUND",G723&lt;&gt;"LIBSETS_SETTYPE_SPECIAL"),IF(AQ723&lt;&gt;"",VLOOKUP(AQ723,'ESO zones'!$D$5:$H$4958,5,FALSE),""),"")</f>
        <v/>
      </c>
      <c r="AU723" s="3" t="str">
        <f>IF(AND(G723&lt;&gt;"LIBSETS_SETTYPE_BATTLEGROUND",G723&lt;&gt;"LIBSETS_SETTYPE_SPECIAL"),IF(AV723&lt;&gt;"",VLOOKUP(AV723,'ESO zones'!$D$5:$H$4958,5,FALSE),""),"")</f>
        <v/>
      </c>
      <c r="AZ723" s="72" t="s">
        <v>2626</v>
      </c>
      <c r="BA723" s="72"/>
      <c r="BB723" s="72"/>
      <c r="BC723" s="72"/>
      <c r="BD723" s="72"/>
      <c r="BE723" s="18" t="str">
        <f t="shared" si="72"/>
        <v/>
      </c>
      <c r="BF723" s="18" t="str">
        <f t="shared" si="73"/>
        <v/>
      </c>
      <c r="BG723" s="18" t="str">
        <f t="shared" si="74"/>
        <v/>
      </c>
      <c r="BH723" s="18" t="str">
        <f t="shared" si="75"/>
        <v/>
      </c>
      <c r="BI723" s="18" t="str">
        <f t="shared" si="76"/>
        <v/>
      </c>
    </row>
    <row r="724" spans="25:61" x14ac:dyDescent="0.25">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C724" s="38"/>
      <c r="AD724" s="38"/>
      <c r="AE724" s="58"/>
      <c r="AF724" s="3"/>
      <c r="AK724" s="3" t="str">
        <f>IF(AND(G724&lt;&gt;"LIBSETS_SETTYPE_BATTLEGROUND",G724&lt;&gt;"LIBSETS_SETTYPE_SPECIAL"),IF(AL724&lt;&gt;"",VLOOKUP(AL724,'ESO zones'!$D$5:$H$4958,5,FALSE),""),"")</f>
        <v/>
      </c>
      <c r="AP724" s="3" t="str">
        <f>IF(AND(G724&lt;&gt;"LIBSETS_SETTYPE_BATTLEGROUND",G724&lt;&gt;"LIBSETS_SETTYPE_SPECIAL"),IF(AQ724&lt;&gt;"",VLOOKUP(AQ724,'ESO zones'!$D$5:$H$4958,5,FALSE),""),"")</f>
        <v/>
      </c>
      <c r="AU724" s="3" t="str">
        <f>IF(AND(G724&lt;&gt;"LIBSETS_SETTYPE_BATTLEGROUND",G724&lt;&gt;"LIBSETS_SETTYPE_SPECIAL"),IF(AV724&lt;&gt;"",VLOOKUP(AV724,'ESO zones'!$D$5:$H$4958,5,FALSE),""),"")</f>
        <v/>
      </c>
      <c r="AZ724" s="72" t="s">
        <v>2626</v>
      </c>
      <c r="BA724" s="72"/>
      <c r="BB724" s="72"/>
      <c r="BC724" s="72"/>
      <c r="BD724" s="72"/>
      <c r="BE724" s="18" t="str">
        <f t="shared" si="72"/>
        <v/>
      </c>
      <c r="BF724" s="18" t="str">
        <f t="shared" si="73"/>
        <v/>
      </c>
      <c r="BG724" s="18" t="str">
        <f t="shared" si="74"/>
        <v/>
      </c>
      <c r="BH724" s="18" t="str">
        <f t="shared" si="75"/>
        <v/>
      </c>
      <c r="BI724" s="18" t="str">
        <f t="shared" si="76"/>
        <v/>
      </c>
    </row>
    <row r="725" spans="25: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2626</v>
      </c>
      <c r="BA725" s="72"/>
      <c r="BB725" s="72"/>
      <c r="BC725" s="72"/>
      <c r="BD725" s="72"/>
      <c r="BE725" s="18" t="str">
        <f t="shared" si="72"/>
        <v/>
      </c>
      <c r="BF725" s="18" t="str">
        <f t="shared" si="73"/>
        <v/>
      </c>
      <c r="BG725" s="18" t="str">
        <f t="shared" si="74"/>
        <v/>
      </c>
      <c r="BH725" s="18" t="str">
        <f t="shared" si="75"/>
        <v/>
      </c>
      <c r="BI725" s="18" t="str">
        <f t="shared" si="76"/>
        <v/>
      </c>
    </row>
    <row r="726" spans="25: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2626</v>
      </c>
      <c r="BA726" s="72"/>
      <c r="BB726" s="72"/>
      <c r="BC726" s="72"/>
      <c r="BD726" s="72"/>
      <c r="BE726" s="18" t="str">
        <f t="shared" si="72"/>
        <v/>
      </c>
      <c r="BF726" s="18" t="str">
        <f t="shared" si="73"/>
        <v/>
      </c>
      <c r="BG726" s="18" t="str">
        <f t="shared" si="74"/>
        <v/>
      </c>
      <c r="BH726" s="18" t="str">
        <f t="shared" si="75"/>
        <v/>
      </c>
      <c r="BI726" s="18" t="str">
        <f t="shared" si="76"/>
        <v/>
      </c>
    </row>
    <row r="727" spans="25: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2626</v>
      </c>
      <c r="BA727" s="72"/>
      <c r="BB727" s="72"/>
      <c r="BC727" s="72"/>
      <c r="BD727" s="72"/>
      <c r="BE727" s="18" t="str">
        <f t="shared" si="72"/>
        <v/>
      </c>
      <c r="BF727" s="18" t="str">
        <f t="shared" si="73"/>
        <v/>
      </c>
      <c r="BG727" s="18" t="str">
        <f t="shared" si="74"/>
        <v/>
      </c>
      <c r="BH727" s="18" t="str">
        <f t="shared" si="75"/>
        <v/>
      </c>
      <c r="BI727" s="18" t="str">
        <f t="shared" si="76"/>
        <v/>
      </c>
    </row>
    <row r="728" spans="25: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2626</v>
      </c>
      <c r="BA728" s="72"/>
      <c r="BB728" s="72"/>
      <c r="BC728" s="72"/>
      <c r="BD728" s="72"/>
      <c r="BE728" s="18" t="str">
        <f t="shared" si="72"/>
        <v/>
      </c>
      <c r="BF728" s="18" t="str">
        <f t="shared" si="73"/>
        <v/>
      </c>
      <c r="BG728" s="18" t="str">
        <f t="shared" si="74"/>
        <v/>
      </c>
      <c r="BH728" s="18" t="str">
        <f t="shared" si="75"/>
        <v/>
      </c>
      <c r="BI728" s="18" t="str">
        <f t="shared" si="76"/>
        <v/>
      </c>
    </row>
    <row r="729" spans="25: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2626</v>
      </c>
      <c r="BA729" s="72"/>
      <c r="BB729" s="72"/>
      <c r="BC729" s="72"/>
      <c r="BD729" s="72"/>
      <c r="BE729" s="18" t="str">
        <f t="shared" si="72"/>
        <v/>
      </c>
      <c r="BF729" s="18" t="str">
        <f t="shared" si="73"/>
        <v/>
      </c>
      <c r="BG729" s="18" t="str">
        <f t="shared" si="74"/>
        <v/>
      </c>
      <c r="BH729" s="18" t="str">
        <f t="shared" si="75"/>
        <v/>
      </c>
      <c r="BI729" s="18" t="str">
        <f t="shared" si="76"/>
        <v/>
      </c>
    </row>
    <row r="730" spans="25: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2626</v>
      </c>
      <c r="BA730" s="72"/>
      <c r="BB730" s="72"/>
      <c r="BC730" s="72"/>
      <c r="BD730" s="72"/>
      <c r="BE730" s="18" t="str">
        <f t="shared" si="72"/>
        <v/>
      </c>
      <c r="BF730" s="18" t="str">
        <f t="shared" si="73"/>
        <v/>
      </c>
      <c r="BG730" s="18" t="str">
        <f t="shared" si="74"/>
        <v/>
      </c>
      <c r="BH730" s="18" t="str">
        <f t="shared" si="75"/>
        <v/>
      </c>
      <c r="BI730" s="18" t="str">
        <f t="shared" si="76"/>
        <v/>
      </c>
    </row>
    <row r="731" spans="25: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2626</v>
      </c>
      <c r="BA731" s="72"/>
      <c r="BB731" s="72"/>
      <c r="BC731" s="72"/>
      <c r="BD731" s="72"/>
      <c r="BE731" s="18" t="str">
        <f t="shared" si="72"/>
        <v/>
      </c>
      <c r="BF731" s="18" t="str">
        <f t="shared" si="73"/>
        <v/>
      </c>
      <c r="BG731" s="18" t="str">
        <f t="shared" si="74"/>
        <v/>
      </c>
      <c r="BH731" s="18" t="str">
        <f t="shared" si="75"/>
        <v/>
      </c>
      <c r="BI731" s="18" t="str">
        <f t="shared" si="76"/>
        <v/>
      </c>
    </row>
    <row r="732" spans="25: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2626</v>
      </c>
      <c r="BA732" s="72"/>
      <c r="BB732" s="72"/>
      <c r="BC732" s="72"/>
      <c r="BD732" s="72"/>
      <c r="BE732" s="18" t="str">
        <f t="shared" si="72"/>
        <v/>
      </c>
      <c r="BF732" s="18" t="str">
        <f t="shared" si="73"/>
        <v/>
      </c>
      <c r="BG732" s="18" t="str">
        <f t="shared" si="74"/>
        <v/>
      </c>
      <c r="BH732" s="18" t="str">
        <f t="shared" si="75"/>
        <v/>
      </c>
      <c r="BI732" s="18" t="str">
        <f t="shared" si="76"/>
        <v/>
      </c>
    </row>
    <row r="733" spans="25: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2626</v>
      </c>
      <c r="BA733" s="72"/>
      <c r="BB733" s="72"/>
      <c r="BC733" s="72"/>
      <c r="BD733" s="72"/>
      <c r="BE733" s="18" t="str">
        <f t="shared" si="72"/>
        <v/>
      </c>
      <c r="BF733" s="18" t="str">
        <f t="shared" si="73"/>
        <v/>
      </c>
      <c r="BG733" s="18" t="str">
        <f t="shared" si="74"/>
        <v/>
      </c>
      <c r="BH733" s="18" t="str">
        <f t="shared" si="75"/>
        <v/>
      </c>
      <c r="BI733" s="18" t="str">
        <f t="shared" si="76"/>
        <v/>
      </c>
    </row>
    <row r="734" spans="25: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2626</v>
      </c>
      <c r="BA734" s="72"/>
      <c r="BB734" s="72"/>
      <c r="BC734" s="72"/>
      <c r="BD734" s="72"/>
      <c r="BE734" s="18" t="str">
        <f t="shared" si="72"/>
        <v/>
      </c>
      <c r="BF734" s="18" t="str">
        <f t="shared" si="73"/>
        <v/>
      </c>
      <c r="BG734" s="18" t="str">
        <f t="shared" si="74"/>
        <v/>
      </c>
      <c r="BH734" s="18" t="str">
        <f t="shared" si="75"/>
        <v/>
      </c>
      <c r="BI734" s="18" t="str">
        <f t="shared" si="76"/>
        <v/>
      </c>
    </row>
    <row r="735" spans="25: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2626</v>
      </c>
      <c r="BA735" s="72"/>
      <c r="BB735" s="72"/>
      <c r="BC735" s="72"/>
      <c r="BD735" s="72"/>
      <c r="BE735" s="18" t="str">
        <f t="shared" si="72"/>
        <v/>
      </c>
      <c r="BF735" s="18" t="str">
        <f t="shared" si="73"/>
        <v/>
      </c>
      <c r="BG735" s="18" t="str">
        <f t="shared" si="74"/>
        <v/>
      </c>
      <c r="BH735" s="18" t="str">
        <f t="shared" si="75"/>
        <v/>
      </c>
      <c r="BI735" s="18" t="str">
        <f t="shared" si="76"/>
        <v/>
      </c>
    </row>
    <row r="736" spans="25: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2626</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2626</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2626</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2626</v>
      </c>
      <c r="BA739" s="72"/>
      <c r="BB739" s="72"/>
      <c r="BC739" s="72"/>
      <c r="BD739" s="72"/>
      <c r="BE739" s="18" t="str">
        <f t="shared" si="72"/>
        <v/>
      </c>
      <c r="BF739" s="18" t="str">
        <f t="shared" si="73"/>
        <v/>
      </c>
      <c r="BG739" s="18" t="str">
        <f t="shared" si="74"/>
        <v/>
      </c>
      <c r="BH739" s="18" t="str">
        <f t="shared" si="75"/>
        <v/>
      </c>
      <c r="BI739" s="18" t="str">
        <f t="shared" si="76"/>
        <v/>
      </c>
    </row>
    <row r="740" spans="25:61" x14ac:dyDescent="0.25">
      <c r="Y740" s="58"/>
      <c r="Z740" s="3" t="str">
        <f>IF(AND(G740&lt;&gt;"LIBSETS_SETTYPE_BATTLEGROUND",G740&lt;&gt;"LIBSETS_SETTYPE_SPECIAL"),
IF(AND(Y740&lt;&gt;"",ISNUMBER(Y740),NOT(ISNA(Y740))),Y740,
   IF(AND(L740&lt;&gt;"",ISNUMBER(L740),L740&gt;0,NOT(ISNA(L740))),VLOOKUP(L740,'ESO wayshrines'!$K$3:$L$9972,2,FALSE),"")
),"")</f>
        <v/>
      </c>
      <c r="AA740" t="str">
        <f>IF(AND(Z740&lt;&gt;"",ISNUMBER(Z740),NOT(ISNA(Z740))),VLOOKUP(Z740,'ESO zones'!$A$5:$D$10004,4,FALSE),"")</f>
        <v/>
      </c>
      <c r="AC740" s="38"/>
      <c r="AD740" s="38"/>
      <c r="AE740" s="58"/>
      <c r="AF740" s="3"/>
      <c r="AK740" s="3" t="str">
        <f>IF(AND(G740&lt;&gt;"LIBSETS_SETTYPE_BATTLEGROUND",G740&lt;&gt;"LIBSETS_SETTYPE_SPECIAL"),IF(AL740&lt;&gt;"",VLOOKUP(AL740,'ESO zones'!$D$5:$H$4958,5,FALSE),""),"")</f>
        <v/>
      </c>
      <c r="AP740" s="3" t="str">
        <f>IF(AND(G740&lt;&gt;"LIBSETS_SETTYPE_BATTLEGROUND",G740&lt;&gt;"LIBSETS_SETTYPE_SPECIAL"),IF(AQ740&lt;&gt;"",VLOOKUP(AQ740,'ESO zones'!$D$5:$H$4958,5,FALSE),""),"")</f>
        <v/>
      </c>
      <c r="AU740" s="3" t="str">
        <f>IF(AND(G740&lt;&gt;"LIBSETS_SETTYPE_BATTLEGROUND",G740&lt;&gt;"LIBSETS_SETTYPE_SPECIAL"),IF(AV740&lt;&gt;"",VLOOKUP(AV740,'ESO zones'!$D$5:$H$4958,5,FALSE),""),"")</f>
        <v/>
      </c>
      <c r="AZ740" s="72" t="s">
        <v>2626</v>
      </c>
      <c r="BA740" s="72"/>
      <c r="BB740" s="72"/>
      <c r="BC740" s="72"/>
      <c r="BD740" s="72"/>
      <c r="BE740" s="18" t="str">
        <f t="shared" si="72"/>
        <v/>
      </c>
      <c r="BF740" s="18" t="str">
        <f t="shared" si="73"/>
        <v/>
      </c>
      <c r="BG740" s="18" t="str">
        <f t="shared" si="74"/>
        <v/>
      </c>
      <c r="BH740" s="18" t="str">
        <f t="shared" si="75"/>
        <v/>
      </c>
      <c r="BI740" s="18" t="str">
        <f t="shared" si="76"/>
        <v/>
      </c>
    </row>
  </sheetData>
  <autoFilter ref="A2:BI740" xr:uid="{00000000-0001-0000-0000-000000000000}">
    <sortState xmlns:xlrd2="http://schemas.microsoft.com/office/spreadsheetml/2017/richdata2" ref="A3:BI740">
      <sortCondition ref="A2:A740"/>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36"/>
  <sheetViews>
    <sheetView zoomScale="70" zoomScaleNormal="70" workbookViewId="0">
      <pane xSplit="3" ySplit="2" topLeftCell="D698" activePane="bottomRight" state="frozen"/>
      <selection pane="topRight" activeCell="D1" sqref="D1"/>
      <selection pane="bottomLeft" activeCell="A3" sqref="A3"/>
      <selection pane="bottomRight" activeCell="D726" sqref="D72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33" t="s">
        <v>1648</v>
      </c>
      <c r="B1" s="133"/>
      <c r="C1" s="133"/>
      <c r="D1" s="41" t="s">
        <v>1649</v>
      </c>
    </row>
    <row r="2" spans="1:4" x14ac:dyDescent="0.25">
      <c r="A2" s="6" t="s">
        <v>83</v>
      </c>
      <c r="B2" s="7" t="s">
        <v>1646</v>
      </c>
      <c r="C2" s="7" t="s">
        <v>1647</v>
      </c>
      <c r="D2" s="1" t="s">
        <v>1645</v>
      </c>
    </row>
    <row r="3" spans="1:4" x14ac:dyDescent="0.25">
      <c r="A3" s="11">
        <v>19</v>
      </c>
      <c r="B3" s="8" t="str">
        <f>VLOOKUP(A3,'Sets (lua data)'!$A$3:$C$9920,3,FALSE)</f>
        <v>Vestments of the Warlock</v>
      </c>
      <c r="C3" s="8" t="str">
        <f>VLOOKUP(A3,'Sets (lua data)'!$A$3:$C$9920,2,FALSE)</f>
        <v>Gewänder des Hexers</v>
      </c>
    </row>
    <row r="4" spans="1:4" x14ac:dyDescent="0.25">
      <c r="A4" s="11">
        <v>20</v>
      </c>
      <c r="B4" s="8" t="str">
        <f>VLOOKUP(A4,'Sets (lua data)'!$A$3:$C$9920,3,FALSE)</f>
        <v>Witchman Armor</v>
      </c>
      <c r="C4" s="8" t="str">
        <f>VLOOKUP(A4,'Sets (lua data)'!$A$3:$C$9920,2,FALSE)</f>
        <v>Hexenwerk</v>
      </c>
    </row>
    <row r="5" spans="1:4" x14ac:dyDescent="0.25">
      <c r="A5" s="11">
        <v>21</v>
      </c>
      <c r="B5" s="8" t="str">
        <f>VLOOKUP(A5,'Sets (lua data)'!$A$3:$C$9920,3,FALSE)</f>
        <v>Akaviri Dragonguard</v>
      </c>
      <c r="C5" s="8" t="str">
        <f>VLOOKUP(A5,'Sets (lua data)'!$A$3:$C$9920,2,FALSE)</f>
        <v>Akavirische Drachengarde</v>
      </c>
    </row>
    <row r="6" spans="1:4" x14ac:dyDescent="0.25">
      <c r="A6" s="11">
        <v>22</v>
      </c>
      <c r="B6" s="8" t="str">
        <f>VLOOKUP(A6,'Sets (lua data)'!$A$3:$C$9920,3,FALSE)</f>
        <v>Dreamer\'s Mantle</v>
      </c>
      <c r="C6" s="8" t="str">
        <f>VLOOKUP(A6,'Sets (lua data)'!$A$3:$C$9920,2,FALSE)</f>
        <v>Mantel des Träumers</v>
      </c>
    </row>
    <row r="7" spans="1:4" x14ac:dyDescent="0.25">
      <c r="A7" s="11">
        <v>23</v>
      </c>
      <c r="B7" s="8" t="str">
        <f>VLOOKUP(A7,'Sets (lua data)'!$A$3:$C$9920,3,FALSE)</f>
        <v>Archer\'s Mind</v>
      </c>
      <c r="C7" s="8" t="str">
        <f>VLOOKUP(A7,'Sets (lua data)'!$A$3:$C$9920,2,FALSE)</f>
        <v>Schützensinn</v>
      </c>
    </row>
    <row r="8" spans="1:4" x14ac:dyDescent="0.25">
      <c r="A8" s="11">
        <v>24</v>
      </c>
      <c r="B8" s="8" t="str">
        <f>VLOOKUP(A8,'Sets (lua data)'!$A$3:$C$9920,3,FALSE)</f>
        <v>Footman\'s Fortune</v>
      </c>
      <c r="C8" s="8" t="str">
        <f>VLOOKUP(A8,'Sets (lua data)'!$A$3:$C$9920,2,FALSE)</f>
        <v>Geschick des Fußsoldaten</v>
      </c>
    </row>
    <row r="9" spans="1:4" x14ac:dyDescent="0.25">
      <c r="A9" s="11">
        <v>25</v>
      </c>
      <c r="B9" s="8" t="str">
        <f>VLOOKUP(A9,'Sets (lua data)'!$A$3:$C$9920,3,FALSE)</f>
        <v>Desert Rose</v>
      </c>
      <c r="C9" s="8" t="str">
        <f>VLOOKUP(A9,'Sets (lua data)'!$A$3:$C$9920,2,FALSE)</f>
        <v>Wüstenrose</v>
      </c>
    </row>
    <row r="10" spans="1:4" x14ac:dyDescent="0.25">
      <c r="A10" s="11">
        <v>26</v>
      </c>
      <c r="B10" s="8" t="str">
        <f>VLOOKUP(A10,'Sets (lua data)'!$A$3:$C$9920,3,FALSE)</f>
        <v>Prisoner\'s Rags</v>
      </c>
      <c r="C10" s="8" t="str">
        <f>VLOOKUP(A10,'Sets (lua data)'!$A$3:$C$9920,2,FALSE)</f>
        <v>Lumpen des Gefangenen</v>
      </c>
    </row>
    <row r="11" spans="1:4" x14ac:dyDescent="0.25">
      <c r="A11" s="11">
        <v>27</v>
      </c>
      <c r="B11" s="8" t="str">
        <f>VLOOKUP(A11,'Sets (lua data)'!$A$3:$C$9920,3,FALSE)</f>
        <v>Fiord\'s Legacy</v>
      </c>
      <c r="C11" s="8" t="str">
        <f>VLOOKUP(A11,'Sets (lua data)'!$A$3:$C$9920,2,FALSE)</f>
        <v>Fiords Erbe</v>
      </c>
    </row>
    <row r="12" spans="1:4" x14ac:dyDescent="0.25">
      <c r="A12" s="11">
        <v>28</v>
      </c>
      <c r="B12" s="8" t="str">
        <f>VLOOKUP(A12,'Sets (lua data)'!$A$3:$C$9920,3,FALSE)</f>
        <v>Barkskin</v>
      </c>
      <c r="C12" s="8" t="str">
        <f>VLOOKUP(A12,'Sets (lua data)'!$A$3:$C$9920,2,FALSE)</f>
        <v>Borkenhaut</v>
      </c>
    </row>
    <row r="13" spans="1:4" x14ac:dyDescent="0.25">
      <c r="A13" s="11">
        <v>29</v>
      </c>
      <c r="B13" s="8" t="str">
        <f>VLOOKUP(A13,'Sets (lua data)'!$A$3:$C$9920,3,FALSE)</f>
        <v>Sergeant\'s Mail</v>
      </c>
      <c r="C13" s="8" t="str">
        <f>VLOOKUP(A13,'Sets (lua data)'!$A$3:$C$9920,2,FALSE)</f>
        <v>Rüstung des Feldwebels</v>
      </c>
    </row>
    <row r="14" spans="1:4" x14ac:dyDescent="0.25">
      <c r="A14" s="11">
        <v>30</v>
      </c>
      <c r="B14" s="8" t="str">
        <f>VLOOKUP(A14,'Sets (lua data)'!$A$3:$C$9920,3,FALSE)</f>
        <v>Thunderbug\'s Carapace</v>
      </c>
      <c r="C14" s="8" t="str">
        <f>VLOOKUP(A14,'Sets (lua data)'!$A$3:$C$9920,2,FALSE)</f>
        <v>Donnerkäferpanzer</v>
      </c>
    </row>
    <row r="15" spans="1:4" x14ac:dyDescent="0.25">
      <c r="A15" s="11">
        <v>31</v>
      </c>
      <c r="B15" s="8" t="str">
        <f>VLOOKUP(A15,'Sets (lua data)'!$A$3:$C$9920,3,FALSE)</f>
        <v>Silks of the Sun</v>
      </c>
      <c r="C15" s="8" t="str">
        <f>VLOOKUP(A15,'Sets (lua data)'!$A$3:$C$9920,2,FALSE)</f>
        <v>Sonnenseide</v>
      </c>
    </row>
    <row r="16" spans="1:4" x14ac:dyDescent="0.25">
      <c r="A16" s="11">
        <v>32</v>
      </c>
      <c r="B16" s="8" t="str">
        <f>VLOOKUP(A16,'Sets (lua data)'!$A$3:$C$9920,3,FALSE)</f>
        <v>Healer\'s Habit</v>
      </c>
      <c r="C16" s="8" t="str">
        <f>VLOOKUP(A16,'Sets (lua data)'!$A$3:$C$9920,2,FALSE)</f>
        <v>Bräuche des Heilers</v>
      </c>
    </row>
    <row r="17" spans="1:3" x14ac:dyDescent="0.25">
      <c r="A17" s="11">
        <v>33</v>
      </c>
      <c r="B17" s="8" t="str">
        <f>VLOOKUP(A17,'Sets (lua data)'!$A$3:$C$9920,3,FALSE)</f>
        <v>Viper\'s Sting</v>
      </c>
      <c r="C17" s="8" t="str">
        <f>VLOOKUP(A17,'Sets (lua data)'!$A$3:$C$9920,2,FALSE)</f>
        <v>Vipernbiss</v>
      </c>
    </row>
    <row r="18" spans="1:3" x14ac:dyDescent="0.25">
      <c r="A18" s="11">
        <v>34</v>
      </c>
      <c r="B18" s="8" t="str">
        <f>VLOOKUP(A18,'Sets (lua data)'!$A$3:$C$9920,3,FALSE)</f>
        <v>Night Mother\'s Embrace</v>
      </c>
      <c r="C18" s="8" t="str">
        <f>VLOOKUP(A18,'Sets (lua data)'!$A$3:$C$9920,2,FALSE)</f>
        <v>Umarmung der Mutter der Nacht</v>
      </c>
    </row>
    <row r="19" spans="1:3" x14ac:dyDescent="0.25">
      <c r="A19" s="11">
        <v>35</v>
      </c>
      <c r="B19" s="8" t="str">
        <f>VLOOKUP(A19,'Sets (lua data)'!$A$3:$C$9920,3,FALSE)</f>
        <v>Knightmare</v>
      </c>
      <c r="C19" s="8" t="str">
        <f>VLOOKUP(A19,'Sets (lua data)'!$A$3:$C$9920,2,FALSE)</f>
        <v>Albtraumritter</v>
      </c>
    </row>
    <row r="20" spans="1:3" x14ac:dyDescent="0.25">
      <c r="A20" s="11">
        <v>36</v>
      </c>
      <c r="B20" s="8" t="str">
        <f>VLOOKUP(A20,'Sets (lua data)'!$A$3:$C$9920,3,FALSE)</f>
        <v>Armor of the Veiled Heritance</v>
      </c>
      <c r="C20" s="8" t="str">
        <f>VLOOKUP(A20,'Sets (lua data)'!$A$3:$C$9920,2,FALSE)</f>
        <v>Rüstung des Schleiererbes</v>
      </c>
    </row>
    <row r="21" spans="1:3" x14ac:dyDescent="0.25">
      <c r="A21" s="11">
        <v>37</v>
      </c>
      <c r="B21" s="8" t="str">
        <f>VLOOKUP(A21,'Sets (lua data)'!$A$3:$C$9920,3,FALSE)</f>
        <v>Death\'s Wind</v>
      </c>
      <c r="C21" s="8" t="str">
        <f>VLOOKUP(A21,'Sets (lua data)'!$A$3:$C$9920,2,FALSE)</f>
        <v>Todeswind</v>
      </c>
    </row>
    <row r="22" spans="1:3" x14ac:dyDescent="0.25">
      <c r="A22" s="11">
        <v>38</v>
      </c>
      <c r="B22" s="8" t="str">
        <f>VLOOKUP(A22,'Sets (lua data)'!$A$3:$C$9920,3,FALSE)</f>
        <v>Twilight\'s Embrace</v>
      </c>
      <c r="C22" s="8" t="str">
        <f>VLOOKUP(A22,'Sets (lua data)'!$A$3:$C$9920,2,FALSE)</f>
        <v>Zwielichtkuss</v>
      </c>
    </row>
    <row r="23" spans="1:3" x14ac:dyDescent="0.25">
      <c r="A23" s="11">
        <v>39</v>
      </c>
      <c r="B23" s="8" t="str">
        <f>VLOOKUP(A23,'Sets (lua data)'!$A$3:$C$9920,3,FALSE)</f>
        <v>Alessian Order</v>
      </c>
      <c r="C23" s="8" t="str">
        <f>VLOOKUP(A23,'Sets (lua data)'!$A$3:$C$9920,2,FALSE)</f>
        <v>Alessianischer Orden</v>
      </c>
    </row>
    <row r="24" spans="1:3" x14ac:dyDescent="0.25">
      <c r="A24" s="11">
        <v>40</v>
      </c>
      <c r="B24" s="8" t="str">
        <f>VLOOKUP(A24,'Sets (lua data)'!$A$3:$C$9920,3,FALSE)</f>
        <v>Night\'s Silence</v>
      </c>
      <c r="C24" s="8" t="str">
        <f>VLOOKUP(A24,'Sets (lua data)'!$A$3:$C$9920,2,FALSE)</f>
        <v>Stille der Nacht</v>
      </c>
    </row>
    <row r="25" spans="1:3" x14ac:dyDescent="0.25">
      <c r="A25" s="11">
        <v>41</v>
      </c>
      <c r="B25" s="8" t="str">
        <f>VLOOKUP(A25,'Sets (lua data)'!$A$3:$C$9920,3,FALSE)</f>
        <v>Whitestrake\'s Retribution</v>
      </c>
      <c r="C25" s="8" t="str">
        <f>VLOOKUP(A25,'Sets (lua data)'!$A$3:$C$9920,2,FALSE)</f>
        <v>Weißplankes Vergeltung</v>
      </c>
    </row>
    <row r="26" spans="1:3" x14ac:dyDescent="0.25">
      <c r="A26" s="11">
        <v>43</v>
      </c>
      <c r="B26" s="8" t="str">
        <f>VLOOKUP(A26,'Sets (lua data)'!$A$3:$C$9920,3,FALSE)</f>
        <v>Armor of the Seducer</v>
      </c>
      <c r="C26" s="8" t="str">
        <f>VLOOKUP(A26,'Sets (lua data)'!$A$3:$C$9920,2,FALSE)</f>
        <v>Rüstung der Verführung</v>
      </c>
    </row>
    <row r="27" spans="1:3" x14ac:dyDescent="0.25">
      <c r="A27" s="11">
        <v>44</v>
      </c>
      <c r="B27" s="8" t="str">
        <f>VLOOKUP(A27,'Sets (lua data)'!$A$3:$C$9920,3,FALSE)</f>
        <v>Vampire\'s Kiss</v>
      </c>
      <c r="C27" s="8" t="str">
        <f>VLOOKUP(A27,'Sets (lua data)'!$A$3:$C$9920,2,FALSE)</f>
        <v>Kuss des Vampirs</v>
      </c>
    </row>
    <row r="28" spans="1:3" x14ac:dyDescent="0.25">
      <c r="A28" s="11">
        <v>46</v>
      </c>
      <c r="B28" s="8" t="str">
        <f>VLOOKUP(A28,'Sets (lua data)'!$A$3:$C$9920,3,FALSE)</f>
        <v>Noble Duelist\'s Silks</v>
      </c>
      <c r="C28" s="8" t="str">
        <f>VLOOKUP(A28,'Sets (lua data)'!$A$3:$C$9920,2,FALSE)</f>
        <v>Seide des edlen Duellanten</v>
      </c>
    </row>
    <row r="29" spans="1:3" x14ac:dyDescent="0.25">
      <c r="A29" s="11">
        <v>47</v>
      </c>
      <c r="B29" s="8" t="str">
        <f>VLOOKUP(A29,'Sets (lua data)'!$A$3:$C$9920,3,FALSE)</f>
        <v>Robes of the Withered Hand</v>
      </c>
      <c r="C29" s="8" t="str">
        <f>VLOOKUP(A29,'Sets (lua data)'!$A$3:$C$9920,2,FALSE)</f>
        <v>Roben der Verdorrten Hand</v>
      </c>
    </row>
    <row r="30" spans="1:3" x14ac:dyDescent="0.25">
      <c r="A30" s="11">
        <v>48</v>
      </c>
      <c r="B30" s="8" t="str">
        <f>VLOOKUP(A30,'Sets (lua data)'!$A$3:$C$9920,3,FALSE)</f>
        <v>Magnus\' Gift</v>
      </c>
      <c r="C30" s="8" t="str">
        <f>VLOOKUP(A30,'Sets (lua data)'!$A$3:$C$9920,2,FALSE)</f>
        <v>Magnus' Gabe</v>
      </c>
    </row>
    <row r="31" spans="1:3" x14ac:dyDescent="0.25">
      <c r="A31" s="11">
        <v>49</v>
      </c>
      <c r="B31" s="8" t="str">
        <f>VLOOKUP(A31,'Sets (lua data)'!$A$3:$C$9920,3,FALSE)</f>
        <v>Shadow of the Red Mountain</v>
      </c>
      <c r="C31" s="8" t="str">
        <f>VLOOKUP(A31,'Sets (lua data)'!$A$3:$C$9920,2,FALSE)</f>
        <v>Schatten des Roten Berges</v>
      </c>
    </row>
    <row r="32" spans="1:3" x14ac:dyDescent="0.25">
      <c r="A32" s="11">
        <v>50</v>
      </c>
      <c r="B32" s="8" t="str">
        <f>VLOOKUP(A32,'Sets (lua data)'!$A$3:$C$9920,3,FALSE)</f>
        <v>The Morag Tong</v>
      </c>
      <c r="C32" s="8" t="str">
        <f>VLOOKUP(A32,'Sets (lua data)'!$A$3:$C$9920,2,FALSE)</f>
        <v>Morag Tong</v>
      </c>
    </row>
    <row r="33" spans="1:3" x14ac:dyDescent="0.25">
      <c r="A33" s="11">
        <v>51</v>
      </c>
      <c r="B33" s="8" t="str">
        <f>VLOOKUP(A33,'Sets (lua data)'!$A$3:$C$9920,3,FALSE)</f>
        <v>Night Mother\'s Gaze</v>
      </c>
      <c r="C33" s="8" t="str">
        <f>VLOOKUP(A33,'Sets (lua data)'!$A$3:$C$9920,2,FALSE)</f>
        <v>Blick der Mutter der Nacht</v>
      </c>
    </row>
    <row r="34" spans="1:3" x14ac:dyDescent="0.25">
      <c r="A34" s="11">
        <v>52</v>
      </c>
      <c r="B34" s="8" t="str">
        <f>VLOOKUP(A34,'Sets (lua data)'!$A$3:$C$9920,3,FALSE)</f>
        <v>Beckoning Steel</v>
      </c>
      <c r="C34" s="8" t="str">
        <f>VLOOKUP(A34,'Sets (lua data)'!$A$3:$C$9920,2,FALSE)</f>
        <v>Klingender Stahl</v>
      </c>
    </row>
    <row r="35" spans="1:3" x14ac:dyDescent="0.25">
      <c r="A35" s="11">
        <v>53</v>
      </c>
      <c r="B35" s="8" t="str">
        <f>VLOOKUP(A35,'Sets (lua data)'!$A$3:$C$9920,3,FALSE)</f>
        <v>The Ice Furnace</v>
      </c>
      <c r="C35" s="8" t="str">
        <f>VLOOKUP(A35,'Sets (lua data)'!$A$3:$C$9920,2,FALSE)</f>
        <v>Eisschmiede</v>
      </c>
    </row>
    <row r="36" spans="1:3" x14ac:dyDescent="0.25">
      <c r="A36" s="11">
        <v>54</v>
      </c>
      <c r="B36" s="8" t="str">
        <f>VLOOKUP(A36,'Sets (lua data)'!$A$3:$C$9920,3,FALSE)</f>
        <v>Ashen Grip</v>
      </c>
      <c r="C36" s="8" t="str">
        <f>VLOOKUP(A36,'Sets (lua data)'!$A$3:$C$9920,2,FALSE)</f>
        <v>Aschengriff</v>
      </c>
    </row>
    <row r="37" spans="1:3" x14ac:dyDescent="0.25">
      <c r="A37" s="11">
        <v>55</v>
      </c>
      <c r="B37" s="8" t="str">
        <f>VLOOKUP(A37,'Sets (lua data)'!$A$3:$C$9920,3,FALSE)</f>
        <v>Prayer Shawl</v>
      </c>
      <c r="C37" s="8" t="str">
        <f>VLOOKUP(A37,'Sets (lua data)'!$A$3:$C$9920,2,FALSE)</f>
        <v>Gebetstuch</v>
      </c>
    </row>
    <row r="38" spans="1:3" x14ac:dyDescent="0.25">
      <c r="A38" s="11">
        <v>56</v>
      </c>
      <c r="B38" s="8" t="str">
        <f>VLOOKUP(A38,'Sets (lua data)'!$A$3:$C$9920,3,FALSE)</f>
        <v>Stendarr\'s Embrace</v>
      </c>
      <c r="C38" s="8" t="str">
        <f>VLOOKUP(A38,'Sets (lua data)'!$A$3:$C$9920,2,FALSE)</f>
        <v>Stendarrs Umarmung</v>
      </c>
    </row>
    <row r="39" spans="1:3" x14ac:dyDescent="0.25">
      <c r="A39" s="11">
        <v>57</v>
      </c>
      <c r="B39" s="8" t="str">
        <f>VLOOKUP(A39,'Sets (lua data)'!$A$3:$C$9920,3,FALSE)</f>
        <v>Syrabane\'s Grip</v>
      </c>
      <c r="C39" s="8" t="str">
        <f>VLOOKUP(A39,'Sets (lua data)'!$A$3:$C$9920,2,FALSE)</f>
        <v>Syrabanns Griff</v>
      </c>
    </row>
    <row r="40" spans="1:3" x14ac:dyDescent="0.25">
      <c r="A40" s="11">
        <v>58</v>
      </c>
      <c r="B40" s="8" t="str">
        <f>VLOOKUP(A40,'Sets (lua data)'!$A$3:$C$9920,3,FALSE)</f>
        <v>Hide of the Werewolf</v>
      </c>
      <c r="C40" s="8" t="str">
        <f>VLOOKUP(A40,'Sets (lua data)'!$A$3:$C$9920,2,FALSE)</f>
        <v>Fell des Werwolfs</v>
      </c>
    </row>
    <row r="41" spans="1:3" x14ac:dyDescent="0.25">
      <c r="A41" s="11">
        <v>59</v>
      </c>
      <c r="B41" s="8" t="str">
        <f>VLOOKUP(A41,'Sets (lua data)'!$A$3:$C$9920,3,FALSE)</f>
        <v>Kyne\'s Kiss</v>
      </c>
      <c r="C41" s="8" t="str">
        <f>VLOOKUP(A41,'Sets (lua data)'!$A$3:$C$9920,2,FALSE)</f>
        <v>Kynes Kuss</v>
      </c>
    </row>
    <row r="42" spans="1:3" x14ac:dyDescent="0.25">
      <c r="A42" s="11">
        <v>60</v>
      </c>
      <c r="B42" s="8" t="str">
        <f>VLOOKUP(A42,'Sets (lua data)'!$A$3:$C$9920,3,FALSE)</f>
        <v>Darkstride</v>
      </c>
      <c r="C42" s="8" t="str">
        <f>VLOOKUP(A42,'Sets (lua data)'!$A$3:$C$9920,2,FALSE)</f>
        <v>Dunkelschritt</v>
      </c>
    </row>
    <row r="43" spans="1:3" x14ac:dyDescent="0.25">
      <c r="A43" s="11">
        <v>61</v>
      </c>
      <c r="B43" s="8" t="str">
        <f>VLOOKUP(A43,'Sets (lua data)'!$A$3:$C$9920,3,FALSE)</f>
        <v>Dreugh King Slayer</v>
      </c>
      <c r="C43" s="8" t="str">
        <f>VLOOKUP(A43,'Sets (lua data)'!$A$3:$C$9920,2,FALSE)</f>
        <v>Dreughkönigsschlächter</v>
      </c>
    </row>
    <row r="44" spans="1:3" x14ac:dyDescent="0.25">
      <c r="A44" s="11">
        <v>62</v>
      </c>
      <c r="B44" s="8" t="str">
        <f>VLOOKUP(A44,'Sets (lua data)'!$A$3:$C$9920,3,FALSE)</f>
        <v>Hatchling\'s Shell</v>
      </c>
      <c r="C44" s="8" t="str">
        <f>VLOOKUP(A44,'Sets (lua data)'!$A$3:$C$9920,2,FALSE)</f>
        <v>Schlüpflingspanzer</v>
      </c>
    </row>
    <row r="45" spans="1:3" x14ac:dyDescent="0.25">
      <c r="A45" s="11">
        <v>63</v>
      </c>
      <c r="B45" s="8" t="str">
        <f>VLOOKUP(A45,'Sets (lua data)'!$A$3:$C$9920,3,FALSE)</f>
        <v>The Juggernaut</v>
      </c>
      <c r="C45" s="8" t="str">
        <f>VLOOKUP(A45,'Sets (lua data)'!$A$3:$C$9920,2,FALSE)</f>
        <v>Koloss</v>
      </c>
    </row>
    <row r="46" spans="1:3" x14ac:dyDescent="0.25">
      <c r="A46" s="11">
        <v>64</v>
      </c>
      <c r="B46" s="8" t="str">
        <f>VLOOKUP(A46,'Sets (lua data)'!$A$3:$C$9920,3,FALSE)</f>
        <v>Shadow Dancer\'s Raiment</v>
      </c>
      <c r="C46" s="8" t="str">
        <f>VLOOKUP(A46,'Sets (lua data)'!$A$3:$C$9920,2,FALSE)</f>
        <v>Kleidung des Schattentänzers</v>
      </c>
    </row>
    <row r="47" spans="1:3" x14ac:dyDescent="0.25">
      <c r="A47" s="11">
        <v>65</v>
      </c>
      <c r="B47" s="8" t="str">
        <f>VLOOKUP(A47,'Sets (lua data)'!$A$3:$C$9920,3,FALSE)</f>
        <v>Bloodthorn\'s Touch</v>
      </c>
      <c r="C47" s="8" t="str">
        <f>VLOOKUP(A47,'Sets (lua data)'!$A$3:$C$9920,2,FALSE)</f>
        <v>Spur eines Blutdorns</v>
      </c>
    </row>
    <row r="48" spans="1:3" x14ac:dyDescent="0.25">
      <c r="A48" s="11">
        <v>66</v>
      </c>
      <c r="B48" s="8" t="str">
        <f>VLOOKUP(A48,'Sets (lua data)'!$A$3:$C$9920,3,FALSE)</f>
        <v>Robes of the Hist</v>
      </c>
      <c r="C48" s="8" t="str">
        <f>VLOOKUP(A48,'Sets (lua data)'!$A$3:$C$9920,2,FALSE)</f>
        <v>Roben des Hist</v>
      </c>
    </row>
    <row r="49" spans="1:3" x14ac:dyDescent="0.25">
      <c r="A49" s="11">
        <v>67</v>
      </c>
      <c r="B49" s="8" t="str">
        <f>VLOOKUP(A49,'Sets (lua data)'!$A$3:$C$9920,3,FALSE)</f>
        <v>Shadow Walker</v>
      </c>
      <c r="C49" s="8" t="str">
        <f>VLOOKUP(A49,'Sets (lua data)'!$A$3:$C$9920,2,FALSE)</f>
        <v>Schattengänger</v>
      </c>
    </row>
    <row r="50" spans="1:3" x14ac:dyDescent="0.25">
      <c r="A50" s="11">
        <v>68</v>
      </c>
      <c r="B50" s="8" t="str">
        <f>VLOOKUP(A50,'Sets (lua data)'!$A$3:$C$9920,3,FALSE)</f>
        <v>Stygian</v>
      </c>
      <c r="C50" s="8" t="str">
        <f>VLOOKUP(A50,'Sets (lua data)'!$A$3:$C$9920,2,FALSE)</f>
        <v>Stygier</v>
      </c>
    </row>
    <row r="51" spans="1:3" x14ac:dyDescent="0.25">
      <c r="A51" s="11">
        <v>69</v>
      </c>
      <c r="B51" s="8" t="str">
        <f>VLOOKUP(A51,'Sets (lua data)'!$A$3:$C$9920,3,FALSE)</f>
        <v>Ranger\'s Gait</v>
      </c>
      <c r="C51" s="8" t="str">
        <f>VLOOKUP(A51,'Sets (lua data)'!$A$3:$C$9920,2,FALSE)</f>
        <v>Laufstil des Waldläufers</v>
      </c>
    </row>
    <row r="52" spans="1:3" x14ac:dyDescent="0.25">
      <c r="A52" s="11">
        <v>70</v>
      </c>
      <c r="B52" s="8" t="str">
        <f>VLOOKUP(A52,'Sets (lua data)'!$A$3:$C$9920,3,FALSE)</f>
        <v>Seventh Legion Brute</v>
      </c>
      <c r="C52" s="8" t="str">
        <f>VLOOKUP(A52,'Sets (lua data)'!$A$3:$C$9920,2,FALSE)</f>
        <v>Rohling der siebten Legion</v>
      </c>
    </row>
    <row r="53" spans="1:3" x14ac:dyDescent="0.25">
      <c r="A53" s="11">
        <v>71</v>
      </c>
      <c r="B53" s="8" t="str">
        <f>VLOOKUP(A53,'Sets (lua data)'!$A$3:$C$9920,3,FALSE)</f>
        <v>Durok\'s Bane</v>
      </c>
      <c r="C53" s="8" t="str">
        <f>VLOOKUP(A53,'Sets (lua data)'!$A$3:$C$9920,2,FALSE)</f>
        <v>Duroks Fluch</v>
      </c>
    </row>
    <row r="54" spans="1:3" x14ac:dyDescent="0.25">
      <c r="A54" s="11">
        <v>72</v>
      </c>
      <c r="B54" s="8" t="str">
        <f>VLOOKUP(A54,'Sets (lua data)'!$A$3:$C$9920,3,FALSE)</f>
        <v>Nikulas\' Heavy Armor</v>
      </c>
      <c r="C54" s="8" t="str">
        <f>VLOOKUP(A54,'Sets (lua data)'!$A$3:$C$9920,2,FALSE)</f>
        <v>Nikulas' schwere Rüstung</v>
      </c>
    </row>
    <row r="55" spans="1:3" x14ac:dyDescent="0.25">
      <c r="A55" s="11">
        <v>73</v>
      </c>
      <c r="B55" s="8" t="str">
        <f>VLOOKUP(A55,'Sets (lua data)'!$A$3:$C$9920,3,FALSE)</f>
        <v>Oblivion\'s Foe</v>
      </c>
      <c r="C55" s="8" t="str">
        <f>VLOOKUP(A55,'Sets (lua data)'!$A$3:$C$9920,2,FALSE)</f>
        <v>Erinnerung</v>
      </c>
    </row>
    <row r="56" spans="1:3" x14ac:dyDescent="0.25">
      <c r="A56" s="11">
        <v>74</v>
      </c>
      <c r="B56" s="8" t="str">
        <f>VLOOKUP(A56,'Sets (lua data)'!$A$3:$C$9920,3,FALSE)</f>
        <v>Spectre\'s Eye</v>
      </c>
      <c r="C56" s="8" t="str">
        <f>VLOOKUP(A56,'Sets (lua data)'!$A$3:$C$9920,2,FALSE)</f>
        <v>Schemenauge</v>
      </c>
    </row>
    <row r="57" spans="1:3" x14ac:dyDescent="0.25">
      <c r="A57" s="11">
        <v>75</v>
      </c>
      <c r="B57" s="8" t="str">
        <f>VLOOKUP(A57,'Sets (lua data)'!$A$3:$C$9920,3,FALSE)</f>
        <v>Torug\'s Pact</v>
      </c>
      <c r="C57" s="8" t="str">
        <f>VLOOKUP(A57,'Sets (lua data)'!$A$3:$C$9920,2,FALSE)</f>
        <v>Torugs Pakt</v>
      </c>
    </row>
    <row r="58" spans="1:3" x14ac:dyDescent="0.25">
      <c r="A58" s="11">
        <v>76</v>
      </c>
      <c r="B58" s="8" t="str">
        <f>VLOOKUP(A58,'Sets (lua data)'!$A$3:$C$9920,3,FALSE)</f>
        <v>Robes of Alteration Mastery</v>
      </c>
      <c r="C58" s="8" t="str">
        <f>VLOOKUP(A58,'Sets (lua data)'!$A$3:$C$9920,2,FALSE)</f>
        <v>Roben der Veränderungsbeherrschung</v>
      </c>
    </row>
    <row r="59" spans="1:3" x14ac:dyDescent="0.25">
      <c r="A59" s="11">
        <v>77</v>
      </c>
      <c r="B59" s="8" t="str">
        <f>VLOOKUP(A59,'Sets (lua data)'!$A$3:$C$9920,3,FALSE)</f>
        <v>Crusader</v>
      </c>
      <c r="C59" s="8" t="str">
        <f>VLOOKUP(A59,'Sets (lua data)'!$A$3:$C$9920,2,FALSE)</f>
        <v>Glaubenskrieger</v>
      </c>
    </row>
    <row r="60" spans="1:3" x14ac:dyDescent="0.25">
      <c r="A60" s="11">
        <v>78</v>
      </c>
      <c r="B60" s="8" t="str">
        <f>VLOOKUP(A60,'Sets (lua data)'!$A$3:$C$9920,3,FALSE)</f>
        <v>Hist Bark</v>
      </c>
      <c r="C60" s="8" t="str">
        <f>VLOOKUP(A60,'Sets (lua data)'!$A$3:$C$9920,2,FALSE)</f>
        <v>Histrinde</v>
      </c>
    </row>
    <row r="61" spans="1:3" x14ac:dyDescent="0.25">
      <c r="A61" s="11">
        <v>79</v>
      </c>
      <c r="B61" s="8" t="str">
        <f>VLOOKUP(A61,'Sets (lua data)'!$A$3:$C$9920,3,FALSE)</f>
        <v>Willow\'s Path</v>
      </c>
      <c r="C61" s="8" t="str">
        <f>VLOOKUP(A61,'Sets (lua data)'!$A$3:$C$9920,2,FALSE)</f>
        <v>Weidenpfad</v>
      </c>
    </row>
    <row r="62" spans="1:3" x14ac:dyDescent="0.25">
      <c r="A62" s="11">
        <v>80</v>
      </c>
      <c r="B62" s="8" t="str">
        <f>VLOOKUP(A62,'Sets (lua data)'!$A$3:$C$9920,3,FALSE)</f>
        <v>Hunding\'s Rage</v>
      </c>
      <c r="C62" s="8" t="str">
        <f>VLOOKUP(A62,'Sets (lua data)'!$A$3:$C$9920,2,FALSE)</f>
        <v>Hundings Zorn</v>
      </c>
    </row>
    <row r="63" spans="1:3" x14ac:dyDescent="0.25">
      <c r="A63" s="11">
        <v>81</v>
      </c>
      <c r="B63" s="8" t="str">
        <f>VLOOKUP(A63,'Sets (lua data)'!$A$3:$C$9920,3,FALSE)</f>
        <v>Song of Lamae</v>
      </c>
      <c r="C63" s="8" t="str">
        <f>VLOOKUP(A63,'Sets (lua data)'!$A$3:$C$9920,2,FALSE)</f>
        <v>Lied der Lamien</v>
      </c>
    </row>
    <row r="64" spans="1:3" x14ac:dyDescent="0.25">
      <c r="A64" s="11">
        <v>82</v>
      </c>
      <c r="B64" s="8" t="str">
        <f>VLOOKUP(A64,'Sets (lua data)'!$A$3:$C$9920,3,FALSE)</f>
        <v>Alessia\'s Bulwark</v>
      </c>
      <c r="C64" s="8" t="str">
        <f>VLOOKUP(A64,'Sets (lua data)'!$A$3:$C$9920,2,FALSE)</f>
        <v>Alessias Bollwerk</v>
      </c>
    </row>
    <row r="65" spans="1:3" x14ac:dyDescent="0.25">
      <c r="A65" s="11">
        <v>83</v>
      </c>
      <c r="B65" s="8" t="str">
        <f>VLOOKUP(A65,'Sets (lua data)'!$A$3:$C$9920,3,FALSE)</f>
        <v>Elf Bane</v>
      </c>
      <c r="C65" s="8" t="str">
        <f>VLOOKUP(A65,'Sets (lua data)'!$A$3:$C$9920,2,FALSE)</f>
        <v>Elfenfluch</v>
      </c>
    </row>
    <row r="66" spans="1:3" x14ac:dyDescent="0.25">
      <c r="A66" s="11">
        <v>84</v>
      </c>
      <c r="B66" s="8" t="str">
        <f>VLOOKUP(A66,'Sets (lua data)'!$A$3:$C$9920,3,FALSE)</f>
        <v>Orgnum\'s Scales</v>
      </c>
      <c r="C66" s="8" t="str">
        <f>VLOOKUP(A66,'Sets (lua data)'!$A$3:$C$9920,2,FALSE)</f>
        <v>Orgnums Schuppen</v>
      </c>
    </row>
    <row r="67" spans="1:3" x14ac:dyDescent="0.25">
      <c r="A67" s="11">
        <v>85</v>
      </c>
      <c r="B67" s="8" t="str">
        <f>VLOOKUP(A67,'Sets (lua data)'!$A$3:$C$9920,3,FALSE)</f>
        <v>Almalexia\'s Mercy</v>
      </c>
      <c r="C67" s="8" t="str">
        <f>VLOOKUP(A67,'Sets (lua data)'!$A$3:$C$9920,2,FALSE)</f>
        <v>Almalexias Gnade</v>
      </c>
    </row>
    <row r="68" spans="1:3" x14ac:dyDescent="0.25">
      <c r="A68" s="11">
        <v>86</v>
      </c>
      <c r="B68" s="8" t="str">
        <f>VLOOKUP(A68,'Sets (lua data)'!$A$3:$C$9920,3,FALSE)</f>
        <v>Queen\'s Elegance</v>
      </c>
      <c r="C68" s="8" t="str">
        <f>VLOOKUP(A68,'Sets (lua data)'!$A$3:$C$9920,2,FALSE)</f>
        <v>Eleganz der Königin</v>
      </c>
    </row>
    <row r="69" spans="1:3" x14ac:dyDescent="0.25">
      <c r="A69" s="11">
        <v>87</v>
      </c>
      <c r="B69" s="8" t="str">
        <f>VLOOKUP(A69,'Sets (lua data)'!$A$3:$C$9920,3,FALSE)</f>
        <v>Eyes of Mara</v>
      </c>
      <c r="C69" s="8" t="str">
        <f>VLOOKUP(A69,'Sets (lua data)'!$A$3:$C$9920,2,FALSE)</f>
        <v>Augen von Mara</v>
      </c>
    </row>
    <row r="70" spans="1:3" x14ac:dyDescent="0.25">
      <c r="A70" s="11">
        <v>88</v>
      </c>
      <c r="B70" s="8" t="str">
        <f>VLOOKUP(A70,'Sets (lua data)'!$A$3:$C$9920,3,FALSE)</f>
        <v>Robes of Destruction Mastery</v>
      </c>
      <c r="C70" s="8" t="str">
        <f>VLOOKUP(A70,'Sets (lua data)'!$A$3:$C$9920,2,FALSE)</f>
        <v>Roben der Zerstörungsbeherrschung</v>
      </c>
    </row>
    <row r="71" spans="1:3" x14ac:dyDescent="0.25">
      <c r="A71" s="11">
        <v>89</v>
      </c>
      <c r="B71" s="8" t="str">
        <f>VLOOKUP(A71,'Sets (lua data)'!$A$3:$C$9920,3,FALSE)</f>
        <v>Sentry</v>
      </c>
      <c r="C71" s="8" t="str">
        <f>VLOOKUP(A71,'Sets (lua data)'!$A$3:$C$9920,2,FALSE)</f>
        <v>Wachposten</v>
      </c>
    </row>
    <row r="72" spans="1:3" x14ac:dyDescent="0.25">
      <c r="A72" s="11">
        <v>90</v>
      </c>
      <c r="B72" s="8" t="str">
        <f>VLOOKUP(A72,'Sets (lua data)'!$A$3:$C$9920,3,FALSE)</f>
        <v>Senche\'s Bite</v>
      </c>
      <c r="C72" s="8" t="str">
        <f>VLOOKUP(A72,'Sets (lua data)'!$A$3:$C$9920,2,FALSE)</f>
        <v>Biss des Senche</v>
      </c>
    </row>
    <row r="73" spans="1:3" x14ac:dyDescent="0.25">
      <c r="A73" s="11">
        <v>91</v>
      </c>
      <c r="B73" s="8" t="str">
        <f>VLOOKUP(A73,'Sets (lua data)'!$A$3:$C$9920,3,FALSE)</f>
        <v>Oblivion\'s Edge</v>
      </c>
      <c r="C73" s="8" t="str">
        <f>VLOOKUP(A73,'Sets (lua data)'!$A$3:$C$9920,2,FALSE)</f>
        <v>Vorteil des Vergessens</v>
      </c>
    </row>
    <row r="74" spans="1:3" x14ac:dyDescent="0.25">
      <c r="A74" s="11">
        <v>92</v>
      </c>
      <c r="B74" s="8" t="str">
        <f>VLOOKUP(A74,'Sets (lua data)'!$A$3:$C$9920,3,FALSE)</f>
        <v>Kagrenac\'s Hope</v>
      </c>
      <c r="C74" s="8" t="str">
        <f>VLOOKUP(A74,'Sets (lua data)'!$A$3:$C$9920,2,FALSE)</f>
        <v>Kagrenacs Hoffnung</v>
      </c>
    </row>
    <row r="75" spans="1:3" x14ac:dyDescent="0.25">
      <c r="A75" s="11">
        <v>93</v>
      </c>
      <c r="B75" s="8" t="str">
        <f>VLOOKUP(A75,'Sets (lua data)'!$A$3:$C$9920,3,FALSE)</f>
        <v>Storm Knight\'s Plate</v>
      </c>
      <c r="C75" s="8" t="str">
        <f>VLOOKUP(A75,'Sets (lua data)'!$A$3:$C$9920,2,FALSE)</f>
        <v>Wut des Sturmritters</v>
      </c>
    </row>
    <row r="76" spans="1:3" x14ac:dyDescent="0.25">
      <c r="A76" s="11">
        <v>94</v>
      </c>
      <c r="B76" s="8" t="str">
        <f>VLOOKUP(A76,'Sets (lua data)'!$A$3:$C$9920,3,FALSE)</f>
        <v>Meridia\'s Blessed Armor</v>
      </c>
      <c r="C76" s="8" t="str">
        <f>VLOOKUP(A76,'Sets (lua data)'!$A$3:$C$9920,2,FALSE)</f>
        <v>Meridias gesegnete Rüstung</v>
      </c>
    </row>
    <row r="77" spans="1:3" x14ac:dyDescent="0.25">
      <c r="A77" s="11">
        <v>95</v>
      </c>
      <c r="B77" s="8" t="str">
        <f>VLOOKUP(A77,'Sets (lua data)'!$A$3:$C$9920,3,FALSE)</f>
        <v>Shalidor\'s Curse</v>
      </c>
      <c r="C77" s="8" t="str">
        <f>VLOOKUP(A77,'Sets (lua data)'!$A$3:$C$9920,2,FALSE)</f>
        <v>Shalidors Fluch</v>
      </c>
    </row>
    <row r="78" spans="1:3" x14ac:dyDescent="0.25">
      <c r="A78" s="11">
        <v>96</v>
      </c>
      <c r="B78" s="8" t="str">
        <f>VLOOKUP(A78,'Sets (lua data)'!$A$3:$C$9920,3,FALSE)</f>
        <v>Armor of Truth</v>
      </c>
      <c r="C78" s="8" t="str">
        <f>VLOOKUP(A78,'Sets (lua data)'!$A$3:$C$9920,2,FALSE)</f>
        <v>Rüstung der Wahrheit</v>
      </c>
    </row>
    <row r="79" spans="1:3" x14ac:dyDescent="0.25">
      <c r="A79" s="11">
        <v>97</v>
      </c>
      <c r="B79" s="8" t="str">
        <f>VLOOKUP(A79,'Sets (lua data)'!$A$3:$C$9920,3,FALSE)</f>
        <v>The Arch-Mage</v>
      </c>
      <c r="C79" s="8" t="str">
        <f>VLOOKUP(A79,'Sets (lua data)'!$A$3:$C$9920,2,FALSE)</f>
        <v>Erzmagier</v>
      </c>
    </row>
    <row r="80" spans="1:3" x14ac:dyDescent="0.25">
      <c r="A80" s="11">
        <v>98</v>
      </c>
      <c r="B80" s="8" t="str">
        <f>VLOOKUP(A80,'Sets (lua data)'!$A$3:$C$9920,3,FALSE)</f>
        <v>Necropotence</v>
      </c>
      <c r="C80" s="8" t="str">
        <f>VLOOKUP(A80,'Sets (lua data)'!$A$3:$C$9920,2,FALSE)</f>
        <v>Nekropotenz</v>
      </c>
    </row>
    <row r="81" spans="1:3" x14ac:dyDescent="0.25">
      <c r="A81" s="11">
        <v>99</v>
      </c>
      <c r="B81" s="8" t="str">
        <f>VLOOKUP(A81,'Sets (lua data)'!$A$3:$C$9920,3,FALSE)</f>
        <v>Salvation</v>
      </c>
      <c r="C81" s="8" t="str">
        <f>VLOOKUP(A81,'Sets (lua data)'!$A$3:$C$9920,2,FALSE)</f>
        <v>Erlösung</v>
      </c>
    </row>
    <row r="82" spans="1:3" x14ac:dyDescent="0.25">
      <c r="A82" s="11">
        <v>100</v>
      </c>
      <c r="B82" s="8" t="str">
        <f>VLOOKUP(A82,'Sets (lua data)'!$A$3:$C$9920,3,FALSE)</f>
        <v>Hawk\'s Eye</v>
      </c>
      <c r="C82" s="8" t="str">
        <f>VLOOKUP(A82,'Sets (lua data)'!$A$3:$C$9920,2,FALSE)</f>
        <v>Falkenauge</v>
      </c>
    </row>
    <row r="83" spans="1:3" x14ac:dyDescent="0.25">
      <c r="A83" s="11">
        <v>101</v>
      </c>
      <c r="B83" s="8" t="str">
        <f>VLOOKUP(A83,'Sets (lua data)'!$A$3:$C$9920,3,FALSE)</f>
        <v>Affliction</v>
      </c>
      <c r="C83" s="8" t="str">
        <f>VLOOKUP(A83,'Sets (lua data)'!$A$3:$C$9920,2,FALSE)</f>
        <v>Elend (Befallen)</v>
      </c>
    </row>
    <row r="84" spans="1:3" x14ac:dyDescent="0.25">
      <c r="A84" s="11">
        <v>102</v>
      </c>
      <c r="B84" s="8" t="str">
        <f>VLOOKUP(A84,'Sets (lua data)'!$A$3:$C$9920,3,FALSE)</f>
        <v>Duneripper\'s Scales</v>
      </c>
      <c r="C84" s="8" t="str">
        <f>VLOOKUP(A84,'Sets (lua data)'!$A$3:$C$9920,2,FALSE)</f>
        <v>Schuppen des Dünenbrechers</v>
      </c>
    </row>
    <row r="85" spans="1:3" x14ac:dyDescent="0.25">
      <c r="A85" s="11">
        <v>103</v>
      </c>
      <c r="B85" s="8" t="str">
        <f>VLOOKUP(A85,'Sets (lua data)'!$A$3:$C$9920,3,FALSE)</f>
        <v>Magicka Furnace</v>
      </c>
      <c r="C85" s="8" t="str">
        <f>VLOOKUP(A85,'Sets (lua data)'!$A$3:$C$9920,2,FALSE)</f>
        <v>Magickaschmiede</v>
      </c>
    </row>
    <row r="86" spans="1:3" x14ac:dyDescent="0.25">
      <c r="A86" s="11">
        <v>104</v>
      </c>
      <c r="B86" s="8" t="str">
        <f>VLOOKUP(A86,'Sets (lua data)'!$A$3:$C$9920,3,FALSE)</f>
        <v>Curse Eater</v>
      </c>
      <c r="C86" s="8" t="str">
        <f>VLOOKUP(A86,'Sets (lua data)'!$A$3:$C$9920,2,FALSE)</f>
        <v>Fluchfresser</v>
      </c>
    </row>
    <row r="87" spans="1:3" x14ac:dyDescent="0.25">
      <c r="A87" s="11">
        <v>105</v>
      </c>
      <c r="B87" s="8" t="str">
        <f>VLOOKUP(A87,'Sets (lua data)'!$A$3:$C$9920,3,FALSE)</f>
        <v>Twin Sisters</v>
      </c>
      <c r="C87" s="8" t="str">
        <f>VLOOKUP(A87,'Sets (lua data)'!$A$3:$C$9920,2,FALSE)</f>
        <v>Zwillingsschwestern</v>
      </c>
    </row>
    <row r="88" spans="1:3" x14ac:dyDescent="0.25">
      <c r="A88" s="11">
        <v>106</v>
      </c>
      <c r="B88" s="8" t="str">
        <f>VLOOKUP(A88,'Sets (lua data)'!$A$3:$C$9920,3,FALSE)</f>
        <v>Wilderqueen\'s Arch</v>
      </c>
      <c r="C88" s="8" t="str">
        <f>VLOOKUP(A88,'Sets (lua data)'!$A$3:$C$9920,2,FALSE)</f>
        <v>Bogen der Wildkönigin</v>
      </c>
    </row>
    <row r="89" spans="1:3" x14ac:dyDescent="0.25">
      <c r="A89" s="11">
        <v>107</v>
      </c>
      <c r="B89" s="8" t="str">
        <f>VLOOKUP(A89,'Sets (lua data)'!$A$3:$C$9920,3,FALSE)</f>
        <v>Wyrd Tree\'s Blessing</v>
      </c>
      <c r="C89" s="8" t="str">
        <f>VLOOKUP(A89,'Sets (lua data)'!$A$3:$C$9920,2,FALSE)</f>
        <v>Segen des Wyrdbaums</v>
      </c>
    </row>
    <row r="90" spans="1:3" x14ac:dyDescent="0.25">
      <c r="A90" s="11">
        <v>108</v>
      </c>
      <c r="B90" s="8" t="str">
        <f>VLOOKUP(A90,'Sets (lua data)'!$A$3:$C$9920,3,FALSE)</f>
        <v>Ravager</v>
      </c>
      <c r="C90" s="8" t="str">
        <f>VLOOKUP(A90,'Sets (lua data)'!$A$3:$C$9920,2,FALSE)</f>
        <v>Verwüster</v>
      </c>
    </row>
    <row r="91" spans="1:3" x14ac:dyDescent="0.25">
      <c r="A91" s="11">
        <v>109</v>
      </c>
      <c r="B91" s="8" t="str">
        <f>VLOOKUP(A91,'Sets (lua data)'!$A$3:$C$9920,3,FALSE)</f>
        <v>Light of Cyrodiil</v>
      </c>
      <c r="C91" s="8" t="str">
        <f>VLOOKUP(A91,'Sets (lua data)'!$A$3:$C$9920,2,FALSE)</f>
        <v>Licht von Cyrodiil</v>
      </c>
    </row>
    <row r="92" spans="1:3" x14ac:dyDescent="0.25">
      <c r="A92" s="11">
        <v>110</v>
      </c>
      <c r="B92" s="8" t="str">
        <f>VLOOKUP(A92,'Sets (lua data)'!$A$3:$C$9920,3,FALSE)</f>
        <v>Sanctuary</v>
      </c>
      <c r="C92" s="8" t="str">
        <f>VLOOKUP(A92,'Sets (lua data)'!$A$3:$C$9920,2,FALSE)</f>
        <v>Heiligtum</v>
      </c>
    </row>
    <row r="93" spans="1:3" x14ac:dyDescent="0.25">
      <c r="A93" s="11">
        <v>111</v>
      </c>
      <c r="B93" s="8" t="str">
        <f>VLOOKUP(A93,'Sets (lua data)'!$A$3:$C$9920,3,FALSE)</f>
        <v>Ward of Cyrodiil</v>
      </c>
      <c r="C93" s="8" t="str">
        <f>VLOOKUP(A93,'Sets (lua data)'!$A$3:$C$9920,2,FALSE)</f>
        <v>Schutz von Cyrodiil</v>
      </c>
    </row>
    <row r="94" spans="1:3" x14ac:dyDescent="0.25">
      <c r="A94" s="11">
        <v>112</v>
      </c>
      <c r="B94" s="8" t="str">
        <f>VLOOKUP(A94,'Sets (lua data)'!$A$3:$C$9920,3,FALSE)</f>
        <v>Night Terror</v>
      </c>
      <c r="C94" s="8" t="str">
        <f>VLOOKUP(A94,'Sets (lua data)'!$A$3:$C$9920,2,FALSE)</f>
        <v>Nachtschrecken</v>
      </c>
    </row>
    <row r="95" spans="1:3" x14ac:dyDescent="0.25">
      <c r="A95" s="11">
        <v>113</v>
      </c>
      <c r="B95" s="8" t="str">
        <f>VLOOKUP(A95,'Sets (lua data)'!$A$3:$C$9920,3,FALSE)</f>
        <v>Crest of Cyrodiil</v>
      </c>
      <c r="C95" s="8" t="str">
        <f>VLOOKUP(A95,'Sets (lua data)'!$A$3:$C$9920,2,FALSE)</f>
        <v>Wappen von Cyrodiil</v>
      </c>
    </row>
    <row r="96" spans="1:3" x14ac:dyDescent="0.25">
      <c r="A96" s="11">
        <v>114</v>
      </c>
      <c r="B96" s="8" t="str">
        <f>VLOOKUP(A96,'Sets (lua data)'!$A$3:$C$9920,3,FALSE)</f>
        <v>Soulshine</v>
      </c>
      <c r="C96" s="8" t="str">
        <f>VLOOKUP(A96,'Sets (lua data)'!$A$3:$C$9920,2,FALSE)</f>
        <v>Seelenschein</v>
      </c>
    </row>
    <row r="97" spans="1:3" x14ac:dyDescent="0.25">
      <c r="A97" s="11">
        <v>116</v>
      </c>
      <c r="B97" s="8" t="str">
        <f>VLOOKUP(A97,'Sets (lua data)'!$A$3:$C$9920,3,FALSE)</f>
        <v>The Destruction Suite</v>
      </c>
      <c r="C97" s="8" t="str">
        <f>VLOOKUP(A97,'Sets (lua data)'!$A$3:$C$9920,2,FALSE)</f>
        <v>Garnitur der Zerstörung</v>
      </c>
    </row>
    <row r="98" spans="1:3" x14ac:dyDescent="0.25">
      <c r="A98" s="11">
        <v>117</v>
      </c>
      <c r="B98" s="8" t="str">
        <f>VLOOKUP(A98,'Sets (lua data)'!$A$3:$C$9920,3,FALSE)</f>
        <v>Relics of the Physician, Ansur</v>
      </c>
      <c r="C98" s="8" t="str">
        <f>VLOOKUP(A98,'Sets (lua data)'!$A$3:$C$9920,2,FALSE)</f>
        <v>Relikte des Mediziners Ansur</v>
      </c>
    </row>
    <row r="99" spans="1:3" x14ac:dyDescent="0.25">
      <c r="A99" s="11">
        <v>118</v>
      </c>
      <c r="B99" s="8" t="str">
        <f>VLOOKUP(A99,'Sets (lua data)'!$A$3:$C$9920,3,FALSE)</f>
        <v>Treasures of the Earthforge</v>
      </c>
      <c r="C99" s="8" t="str">
        <f>VLOOKUP(A99,'Sets (lua data)'!$A$3:$C$9920,2,FALSE)</f>
        <v>Schätze der Erdenschmiede</v>
      </c>
    </row>
    <row r="100" spans="1:3" x14ac:dyDescent="0.25">
      <c r="A100" s="11">
        <v>119</v>
      </c>
      <c r="B100" s="8" t="str">
        <f>VLOOKUP(A100,'Sets (lua data)'!$A$3:$C$9920,3,FALSE)</f>
        <v>Relics of the Rebellion</v>
      </c>
      <c r="C100" s="8" t="str">
        <f>VLOOKUP(A100,'Sets (lua data)'!$A$3:$C$9920,2,FALSE)</f>
        <v>Relikte der Rebellion</v>
      </c>
    </row>
    <row r="101" spans="1:3" x14ac:dyDescent="0.25">
      <c r="A101" s="11">
        <v>120</v>
      </c>
      <c r="B101" s="8" t="str">
        <f>VLOOKUP(A101,'Sets (lua data)'!$A$3:$C$9920,3,FALSE)</f>
        <v>Arms of Infernace</v>
      </c>
      <c r="C101" s="8" t="str">
        <f>VLOOKUP(A101,'Sets (lua data)'!$A$3:$C$9920,2,FALSE)</f>
        <v>Waffen Infernals</v>
      </c>
    </row>
    <row r="102" spans="1:3" x14ac:dyDescent="0.25">
      <c r="A102" s="11">
        <v>121</v>
      </c>
      <c r="B102" s="8" t="str">
        <f>VLOOKUP(A102,'Sets (lua data)'!$A$3:$C$9920,3,FALSE)</f>
        <v>Arms of the Ancestors</v>
      </c>
      <c r="C102" s="8" t="str">
        <f>VLOOKUP(A102,'Sets (lua data)'!$A$3:$C$9920,2,FALSE)</f>
        <v>Waffen der Ahnen</v>
      </c>
    </row>
    <row r="103" spans="1:3" x14ac:dyDescent="0.25">
      <c r="A103" s="11">
        <v>122</v>
      </c>
      <c r="B103" s="8" t="str">
        <f>VLOOKUP(A103,'Sets (lua data)'!$A$3:$C$9920,3,FALSE)</f>
        <v>Ebon Armory</v>
      </c>
      <c r="C103" s="8" t="str">
        <f>VLOOKUP(A103,'Sets (lua data)'!$A$3:$C$9920,2,FALSE)</f>
        <v>Ebenerzarsenal</v>
      </c>
    </row>
    <row r="104" spans="1:3" x14ac:dyDescent="0.25">
      <c r="A104" s="11">
        <v>123</v>
      </c>
      <c r="B104" s="8" t="str">
        <f>VLOOKUP(A104,'Sets (lua data)'!$A$3:$C$9920,3,FALSE)</f>
        <v>Hircine\'s Veneer</v>
      </c>
      <c r="C104" s="8" t="str">
        <f>VLOOKUP(A104,'Sets (lua data)'!$A$3:$C$9920,2,FALSE)</f>
        <v>Hircines Schein</v>
      </c>
    </row>
    <row r="105" spans="1:3" x14ac:dyDescent="0.25">
      <c r="A105" s="11">
        <v>124</v>
      </c>
      <c r="B105" s="8" t="str">
        <f>VLOOKUP(A105,'Sets (lua data)'!$A$3:$C$9920,3,FALSE)</f>
        <v>The Worm\'s Raiment</v>
      </c>
      <c r="C105" s="8" t="str">
        <f>VLOOKUP(A105,'Sets (lua data)'!$A$3:$C$9920,2,FALSE)</f>
        <v>Garderobe des Wurms</v>
      </c>
    </row>
    <row r="106" spans="1:3" x14ac:dyDescent="0.25">
      <c r="A106" s="11">
        <v>125</v>
      </c>
      <c r="B106" s="8" t="str">
        <f>VLOOKUP(A106,'Sets (lua data)'!$A$3:$C$9920,3,FALSE)</f>
        <v>Wrath of the Imperium</v>
      </c>
      <c r="C106" s="8" t="str">
        <f>VLOOKUP(A106,'Sets (lua data)'!$A$3:$C$9920,2,FALSE)</f>
        <v>Zorn des Kaiserreichs</v>
      </c>
    </row>
    <row r="107" spans="1:3" x14ac:dyDescent="0.25">
      <c r="A107" s="11">
        <v>126</v>
      </c>
      <c r="B107" s="8" t="str">
        <f>VLOOKUP(A107,'Sets (lua data)'!$A$3:$C$9920,3,FALSE)</f>
        <v>Grace of the Ancients</v>
      </c>
      <c r="C107" s="8" t="str">
        <f>VLOOKUP(A107,'Sets (lua data)'!$A$3:$C$9920,2,FALSE)</f>
        <v>Anmut der Ahnen</v>
      </c>
    </row>
    <row r="108" spans="1:3" x14ac:dyDescent="0.25">
      <c r="A108" s="11">
        <v>127</v>
      </c>
      <c r="B108" s="8" t="str">
        <f>VLOOKUP(A108,'Sets (lua data)'!$A$3:$C$9920,3,FALSE)</f>
        <v>Deadly Strike</v>
      </c>
      <c r="C108" s="8" t="str">
        <f>VLOOKUP(A108,'Sets (lua data)'!$A$3:$C$9920,2,FALSE)</f>
        <v>Tödlicher Stoß</v>
      </c>
    </row>
    <row r="109" spans="1:3" x14ac:dyDescent="0.25">
      <c r="A109" s="11">
        <v>128</v>
      </c>
      <c r="B109" s="8" t="str">
        <f>VLOOKUP(A109,'Sets (lua data)'!$A$3:$C$9920,3,FALSE)</f>
        <v>Blessing of the Potentates</v>
      </c>
      <c r="C109" s="8" t="str">
        <f>VLOOKUP(A109,'Sets (lua data)'!$A$3:$C$9920,2,FALSE)</f>
        <v>Segen des Potentaten</v>
      </c>
    </row>
    <row r="110" spans="1:3" x14ac:dyDescent="0.25">
      <c r="A110" s="11">
        <v>129</v>
      </c>
      <c r="B110" s="8" t="str">
        <f>VLOOKUP(A110,'Sets (lua data)'!$A$3:$C$9920,3,FALSE)</f>
        <v>Vengeance Leech</v>
      </c>
      <c r="C110" s="8" t="str">
        <f>VLOOKUP(A110,'Sets (lua data)'!$A$3:$C$9920,2,FALSE)</f>
        <v>Saugende Vergeltung</v>
      </c>
    </row>
    <row r="111" spans="1:3" x14ac:dyDescent="0.25">
      <c r="A111" s="11">
        <v>130</v>
      </c>
      <c r="B111" s="8" t="str">
        <f>VLOOKUP(A111,'Sets (lua data)'!$A$3:$C$9920,3,FALSE)</f>
        <v>Eagle Eye</v>
      </c>
      <c r="C111" s="8" t="str">
        <f>VLOOKUP(A111,'Sets (lua data)'!$A$3:$C$9920,2,FALSE)</f>
        <v>Adlerauge</v>
      </c>
    </row>
    <row r="112" spans="1:3" x14ac:dyDescent="0.25">
      <c r="A112" s="11">
        <v>131</v>
      </c>
      <c r="B112" s="8" t="str">
        <f>VLOOKUP(A112,'Sets (lua data)'!$A$3:$C$9920,3,FALSE)</f>
        <v>Bastion of the Heartland</v>
      </c>
      <c r="C112" s="8" t="str">
        <f>VLOOKUP(A112,'Sets (lua data)'!$A$3:$C$9920,2,FALSE)</f>
        <v>Bastion des Herzlandes</v>
      </c>
    </row>
    <row r="113" spans="1:3" x14ac:dyDescent="0.25">
      <c r="A113" s="11">
        <v>132</v>
      </c>
      <c r="B113" s="8" t="str">
        <f>VLOOKUP(A113,'Sets (lua data)'!$A$3:$C$9920,3,FALSE)</f>
        <v>Shield of the Valiant</v>
      </c>
      <c r="C113" s="8" t="str">
        <f>VLOOKUP(A113,'Sets (lua data)'!$A$3:$C$9920,2,FALSE)</f>
        <v>Schild des Tapferen</v>
      </c>
    </row>
    <row r="114" spans="1:3" x14ac:dyDescent="0.25">
      <c r="A114" s="11">
        <v>133</v>
      </c>
      <c r="B114" s="8" t="str">
        <f>VLOOKUP(A114,'Sets (lua data)'!$A$3:$C$9920,3,FALSE)</f>
        <v>Buffer of the Swift</v>
      </c>
      <c r="C114" s="8" t="str">
        <f>VLOOKUP(A114,'Sets (lua data)'!$A$3:$C$9920,2,FALSE)</f>
        <v>Dämpfer des Geschwinden</v>
      </c>
    </row>
    <row r="115" spans="1:3" x14ac:dyDescent="0.25">
      <c r="A115" s="11">
        <v>134</v>
      </c>
      <c r="B115" s="8" t="str">
        <f>VLOOKUP(A115,'Sets (lua data)'!$A$3:$C$9920,3,FALSE)</f>
        <v>Shroud of the Lich</v>
      </c>
      <c r="C115" s="8" t="str">
        <f>VLOOKUP(A115,'Sets (lua data)'!$A$3:$C$9920,2,FALSE)</f>
        <v>Tuch des Lich</v>
      </c>
    </row>
    <row r="116" spans="1:3" x14ac:dyDescent="0.25">
      <c r="A116" s="11">
        <v>135</v>
      </c>
      <c r="B116" s="8" t="str">
        <f>VLOOKUP(A116,'Sets (lua data)'!$A$3:$C$9920,3,FALSE)</f>
        <v>Draugr\'s Heritage</v>
      </c>
      <c r="C116" s="8" t="str">
        <f>VLOOKUP(A116,'Sets (lua data)'!$A$3:$C$9920,2,FALSE)</f>
        <v>Erbe des Draugrs</v>
      </c>
    </row>
    <row r="117" spans="1:3" x14ac:dyDescent="0.25">
      <c r="A117" s="11">
        <v>136</v>
      </c>
      <c r="B117" s="8" t="str">
        <f>VLOOKUP(A117,'Sets (lua data)'!$A$3:$C$9920,3,FALSE)</f>
        <v>Immortal Warrior</v>
      </c>
      <c r="C117" s="8" t="str">
        <f>VLOOKUP(A117,'Sets (lua data)'!$A$3:$C$9920,2,FALSE)</f>
        <v>Unsterblicher Krieger</v>
      </c>
    </row>
    <row r="118" spans="1:3" x14ac:dyDescent="0.25">
      <c r="A118" s="11">
        <v>137</v>
      </c>
      <c r="B118" s="8" t="str">
        <f>VLOOKUP(A118,'Sets (lua data)'!$A$3:$C$9920,3,FALSE)</f>
        <v>Berserking Warrior</v>
      </c>
      <c r="C118" s="8" t="str">
        <f>VLOOKUP(A118,'Sets (lua data)'!$A$3:$C$9920,2,FALSE)</f>
        <v>Tobender Krieger</v>
      </c>
    </row>
    <row r="119" spans="1:3" x14ac:dyDescent="0.25">
      <c r="A119" s="11">
        <v>138</v>
      </c>
      <c r="B119" s="8" t="str">
        <f>VLOOKUP(A119,'Sets (lua data)'!$A$3:$C$9920,3,FALSE)</f>
        <v>Defending Warrior</v>
      </c>
      <c r="C119" s="8" t="str">
        <f>VLOOKUP(A119,'Sets (lua data)'!$A$3:$C$9920,2,FALSE)</f>
        <v>Verteidigender Krieger</v>
      </c>
    </row>
    <row r="120" spans="1:3" x14ac:dyDescent="0.25">
      <c r="A120" s="11">
        <v>139</v>
      </c>
      <c r="B120" s="8" t="str">
        <f>VLOOKUP(A120,'Sets (lua data)'!$A$3:$C$9920,3,FALSE)</f>
        <v>Wise Mage</v>
      </c>
      <c r="C120" s="8" t="str">
        <f>VLOOKUP(A120,'Sets (lua data)'!$A$3:$C$9920,2,FALSE)</f>
        <v>Weiser Magier</v>
      </c>
    </row>
    <row r="121" spans="1:3" x14ac:dyDescent="0.25">
      <c r="A121" s="11">
        <v>140</v>
      </c>
      <c r="B121" s="8" t="str">
        <f>VLOOKUP(A121,'Sets (lua data)'!$A$3:$C$9920,3,FALSE)</f>
        <v>Destructive Mage</v>
      </c>
      <c r="C121" s="8" t="str">
        <f>VLOOKUP(A121,'Sets (lua data)'!$A$3:$C$9920,2,FALSE)</f>
        <v>Zerstörerischer Magier</v>
      </c>
    </row>
    <row r="122" spans="1:3" x14ac:dyDescent="0.25">
      <c r="A122" s="11">
        <v>141</v>
      </c>
      <c r="B122" s="8" t="str">
        <f>VLOOKUP(A122,'Sets (lua data)'!$A$3:$C$9920,3,FALSE)</f>
        <v>Healing Mage</v>
      </c>
      <c r="C122" s="8" t="str">
        <f>VLOOKUP(A122,'Sets (lua data)'!$A$3:$C$9920,2,FALSE)</f>
        <v>Heilender Magier</v>
      </c>
    </row>
    <row r="123" spans="1:3" x14ac:dyDescent="0.25">
      <c r="A123" s="11">
        <v>142</v>
      </c>
      <c r="B123" s="8" t="str">
        <f>VLOOKUP(A123,'Sets (lua data)'!$A$3:$C$9920,3,FALSE)</f>
        <v>Quick Serpent</v>
      </c>
      <c r="C123" s="8" t="str">
        <f>VLOOKUP(A123,'Sets (lua data)'!$A$3:$C$9920,2,FALSE)</f>
        <v>Flinke Schlange</v>
      </c>
    </row>
    <row r="124" spans="1:3" x14ac:dyDescent="0.25">
      <c r="A124" s="11">
        <v>143</v>
      </c>
      <c r="B124" s="8" t="str">
        <f>VLOOKUP(A124,'Sets (lua data)'!$A$3:$C$9920,3,FALSE)</f>
        <v>Poisonous Serpent</v>
      </c>
      <c r="C124" s="8" t="str">
        <f>VLOOKUP(A124,'Sets (lua data)'!$A$3:$C$9920,2,FALSE)</f>
        <v>Giftschlange</v>
      </c>
    </row>
    <row r="125" spans="1:3" x14ac:dyDescent="0.25">
      <c r="A125" s="11">
        <v>144</v>
      </c>
      <c r="B125" s="8" t="str">
        <f>VLOOKUP(A125,'Sets (lua data)'!$A$3:$C$9920,3,FALSE)</f>
        <v>Twice-Fanged Serpent</v>
      </c>
      <c r="C125" s="8" t="str">
        <f>VLOOKUP(A125,'Sets (lua data)'!$A$3:$C$9920,2,FALSE)</f>
        <v>Doppelzüngige Schlange</v>
      </c>
    </row>
    <row r="126" spans="1:3" x14ac:dyDescent="0.25">
      <c r="A126" s="11">
        <v>145</v>
      </c>
      <c r="B126" s="8" t="str">
        <f>VLOOKUP(A126,'Sets (lua data)'!$A$3:$C$9920,3,FALSE)</f>
        <v>Way of Fire</v>
      </c>
      <c r="C126" s="8" t="str">
        <f>VLOOKUP(A126,'Sets (lua data)'!$A$3:$C$9920,2,FALSE)</f>
        <v>Weg des Feuers</v>
      </c>
    </row>
    <row r="127" spans="1:3" x14ac:dyDescent="0.25">
      <c r="A127" s="11">
        <v>146</v>
      </c>
      <c r="B127" s="8" t="str">
        <f>VLOOKUP(A127,'Sets (lua data)'!$A$3:$C$9920,3,FALSE)</f>
        <v>Way of Air</v>
      </c>
      <c r="C127" s="8" t="str">
        <f>VLOOKUP(A127,'Sets (lua data)'!$A$3:$C$9920,2,FALSE)</f>
        <v>Weg der Luft</v>
      </c>
    </row>
    <row r="128" spans="1:3" x14ac:dyDescent="0.25">
      <c r="A128" s="11">
        <v>147</v>
      </c>
      <c r="B128" s="8" t="str">
        <f>VLOOKUP(A128,'Sets (lua data)'!$A$3:$C$9920,3,FALSE)</f>
        <v>Way of Martial Knowledge</v>
      </c>
      <c r="C128" s="8" t="str">
        <f>VLOOKUP(A128,'Sets (lua data)'!$A$3:$C$9920,2,FALSE)</f>
        <v>Weg der Kampfkunst</v>
      </c>
    </row>
    <row r="129" spans="1:3" x14ac:dyDescent="0.25">
      <c r="A129" s="11">
        <v>148</v>
      </c>
      <c r="B129" s="8" t="str">
        <f>VLOOKUP(A129,'Sets (lua data)'!$A$3:$C$9920,3,FALSE)</f>
        <v>Way of the Arena</v>
      </c>
      <c r="C129" s="8" t="str">
        <f>VLOOKUP(A129,'Sets (lua data)'!$A$3:$C$9920,2,FALSE)</f>
        <v>Weg der Arena</v>
      </c>
    </row>
    <row r="130" spans="1:3" x14ac:dyDescent="0.25">
      <c r="A130" s="11">
        <v>155</v>
      </c>
      <c r="B130" s="8" t="str">
        <f>VLOOKUP(A130,'Sets (lua data)'!$A$3:$C$9920,3,FALSE)</f>
        <v>Undaunted Bastion</v>
      </c>
      <c r="C130" s="8" t="str">
        <f>VLOOKUP(A130,'Sets (lua data)'!$A$3:$C$9920,2,FALSE)</f>
        <v>Unerschrockenen-Bastion</v>
      </c>
    </row>
    <row r="131" spans="1:3" x14ac:dyDescent="0.25">
      <c r="A131" s="11">
        <v>156</v>
      </c>
      <c r="B131" s="8" t="str">
        <f>VLOOKUP(A131,'Sets (lua data)'!$A$3:$C$9920,3,FALSE)</f>
        <v>Undaunted Infiltrator</v>
      </c>
      <c r="C131" s="8" t="str">
        <f>VLOOKUP(A131,'Sets (lua data)'!$A$3:$C$9920,2,FALSE)</f>
        <v>Unerschrockener Infiltrator</v>
      </c>
    </row>
    <row r="132" spans="1:3" x14ac:dyDescent="0.25">
      <c r="A132" s="11">
        <v>157</v>
      </c>
      <c r="B132" s="8" t="str">
        <f>VLOOKUP(A132,'Sets (lua data)'!$A$3:$C$9920,3,FALSE)</f>
        <v>Undaunted Unweaver</v>
      </c>
      <c r="C132" s="8" t="str">
        <f>VLOOKUP(A132,'Sets (lua data)'!$A$3:$C$9920,2,FALSE)</f>
        <v>Unerschrockener Entflechter</v>
      </c>
    </row>
    <row r="133" spans="1:3" x14ac:dyDescent="0.25">
      <c r="A133" s="11">
        <v>158</v>
      </c>
      <c r="B133" s="8" t="str">
        <f>VLOOKUP(A133,'Sets (lua data)'!$A$3:$C$9920,3,FALSE)</f>
        <v>Embershield</v>
      </c>
      <c r="C133" s="8" t="str">
        <f>VLOOKUP(A133,'Sets (lua data)'!$A$3:$C$9920,2,FALSE)</f>
        <v>Glutschild</v>
      </c>
    </row>
    <row r="134" spans="1:3" x14ac:dyDescent="0.25">
      <c r="A134" s="11">
        <v>159</v>
      </c>
      <c r="B134" s="8" t="str">
        <f>VLOOKUP(A134,'Sets (lua data)'!$A$3:$C$9920,3,FALSE)</f>
        <v>Sunderflame</v>
      </c>
      <c r="C134" s="8" t="str">
        <f>VLOOKUP(A134,'Sets (lua data)'!$A$3:$C$9920,2,FALSE)</f>
        <v>Trennflamme</v>
      </c>
    </row>
    <row r="135" spans="1:3" x14ac:dyDescent="0.25">
      <c r="A135" s="11">
        <v>160</v>
      </c>
      <c r="B135" s="8" t="str">
        <f>VLOOKUP(A135,'Sets (lua data)'!$A$3:$C$9920,3,FALSE)</f>
        <v>Burning Spellweave</v>
      </c>
      <c r="C135" s="8" t="str">
        <f>VLOOKUP(A135,'Sets (lua data)'!$A$3:$C$9920,2,FALSE)</f>
        <v>Branntzauberweber</v>
      </c>
    </row>
    <row r="136" spans="1:3" x14ac:dyDescent="0.25">
      <c r="A136" s="11">
        <v>161</v>
      </c>
      <c r="B136" s="8" t="str">
        <f>VLOOKUP(A136,'Sets (lua data)'!$A$3:$C$9920,3,FALSE)</f>
        <v>Twice-Born Star</v>
      </c>
      <c r="C136" s="8" t="str">
        <f>VLOOKUP(A136,'Sets (lua data)'!$A$3:$C$9920,2,FALSE)</f>
        <v>Doppelstern</v>
      </c>
    </row>
    <row r="137" spans="1:3" x14ac:dyDescent="0.25">
      <c r="A137" s="11">
        <v>162</v>
      </c>
      <c r="B137" s="8" t="str">
        <f>VLOOKUP(A137,'Sets (lua data)'!$A$3:$C$9920,3,FALSE)</f>
        <v>Spawn of Mephala</v>
      </c>
      <c r="C137" s="8" t="str">
        <f>VLOOKUP(A137,'Sets (lua data)'!$A$3:$C$9920,2,FALSE)</f>
        <v>Mephalas Brut</v>
      </c>
    </row>
    <row r="138" spans="1:3" x14ac:dyDescent="0.25">
      <c r="A138" s="11">
        <v>163</v>
      </c>
      <c r="B138" s="8" t="str">
        <f>VLOOKUP(A138,'Sets (lua data)'!$A$3:$C$9920,3,FALSE)</f>
        <v>Blood Spawn</v>
      </c>
      <c r="C138" s="8" t="str">
        <f>VLOOKUP(A138,'Sets (lua data)'!$A$3:$C$9920,2,FALSE)</f>
        <v>Blutbrut</v>
      </c>
    </row>
    <row r="139" spans="1:3" x14ac:dyDescent="0.25">
      <c r="A139" s="11">
        <v>164</v>
      </c>
      <c r="B139" s="8" t="str">
        <f>VLOOKUP(A139,'Sets (lua data)'!$A$3:$C$9920,3,FALSE)</f>
        <v>Lord Warden</v>
      </c>
      <c r="C139" s="8" t="str">
        <f>VLOOKUP(A139,'Sets (lua data)'!$A$3:$C$9920,2,FALSE)</f>
        <v>Hochwärter</v>
      </c>
    </row>
    <row r="140" spans="1:3" x14ac:dyDescent="0.25">
      <c r="A140" s="11">
        <v>165</v>
      </c>
      <c r="B140" s="8" t="str">
        <f>VLOOKUP(A140,'Sets (lua data)'!$A$3:$C$9920,3,FALSE)</f>
        <v>Scourge Harvester</v>
      </c>
      <c r="C140" s="8" t="str">
        <f>VLOOKUP(A140,'Sets (lua data)'!$A$3:$C$9920,2,FALSE)</f>
        <v>Geißelernter</v>
      </c>
    </row>
    <row r="141" spans="1:3" x14ac:dyDescent="0.25">
      <c r="A141" s="11">
        <v>166</v>
      </c>
      <c r="B141" s="8" t="str">
        <f>VLOOKUP(A141,'Sets (lua data)'!$A$3:$C$9920,3,FALSE)</f>
        <v>Engine Guardian</v>
      </c>
      <c r="C141" s="8" t="str">
        <f>VLOOKUP(A141,'Sets (lua data)'!$A$3:$C$9920,2,FALSE)</f>
        <v>Maschinenwächter</v>
      </c>
    </row>
    <row r="142" spans="1:3" x14ac:dyDescent="0.25">
      <c r="A142" s="11">
        <v>167</v>
      </c>
      <c r="B142" s="8" t="str">
        <f>VLOOKUP(A142,'Sets (lua data)'!$A$3:$C$9920,3,FALSE)</f>
        <v>Nightflame</v>
      </c>
      <c r="C142" s="8" t="str">
        <f>VLOOKUP(A142,'Sets (lua data)'!$A$3:$C$9920,2,FALSE)</f>
        <v>Nachtflamme</v>
      </c>
    </row>
    <row r="143" spans="1:3" x14ac:dyDescent="0.25">
      <c r="A143" s="11">
        <v>168</v>
      </c>
      <c r="B143" s="8" t="str">
        <f>VLOOKUP(A143,'Sets (lua data)'!$A$3:$C$9920,3,FALSE)</f>
        <v>Nerien\'eth</v>
      </c>
      <c r="C143" s="8" t="str">
        <f>VLOOKUP(A143,'Sets (lua data)'!$A$3:$C$9920,2,FALSE)</f>
        <v>Nerien'eth</v>
      </c>
    </row>
    <row r="144" spans="1:3" x14ac:dyDescent="0.25">
      <c r="A144" s="11">
        <v>169</v>
      </c>
      <c r="B144" s="8" t="str">
        <f>VLOOKUP(A144,'Sets (lua data)'!$A$3:$C$9920,3,FALSE)</f>
        <v>Valkyn Skoria</v>
      </c>
      <c r="C144" s="8" t="str">
        <f>VLOOKUP(A144,'Sets (lua data)'!$A$3:$C$9920,2,FALSE)</f>
        <v>Valkyn Skoria</v>
      </c>
    </row>
    <row r="145" spans="1:3" x14ac:dyDescent="0.25">
      <c r="A145" s="11">
        <v>170</v>
      </c>
      <c r="B145" s="8" t="str">
        <f>VLOOKUP(A145,'Sets (lua data)'!$A$3:$C$9920,3,FALSE)</f>
        <v>Maw of the Infernal</v>
      </c>
      <c r="C145" s="8" t="str">
        <f>VLOOKUP(A145,'Sets (lua data)'!$A$3:$C$9920,2,FALSE)</f>
        <v>Schlund des Infernalen</v>
      </c>
    </row>
    <row r="146" spans="1:3" x14ac:dyDescent="0.25">
      <c r="A146" s="11">
        <v>171</v>
      </c>
      <c r="B146" s="8" t="str">
        <f>VLOOKUP(A146,'Sets (lua data)'!$A$3:$C$9920,3,FALSE)</f>
        <v>Eternal Warrior</v>
      </c>
      <c r="C146" s="8" t="str">
        <f>VLOOKUP(A146,'Sets (lua data)'!$A$3:$C$9920,2,FALSE)</f>
        <v>Ewiger Krieger</v>
      </c>
    </row>
    <row r="147" spans="1:3" x14ac:dyDescent="0.25">
      <c r="A147" s="11">
        <v>172</v>
      </c>
      <c r="B147" s="8" t="str">
        <f>VLOOKUP(A147,'Sets (lua data)'!$A$3:$C$9920,3,FALSE)</f>
        <v>Infallible Mage</v>
      </c>
      <c r="C147" s="8" t="str">
        <f>VLOOKUP(A147,'Sets (lua data)'!$A$3:$C$9920,2,FALSE)</f>
        <v>Unfehlbare Magierin</v>
      </c>
    </row>
    <row r="148" spans="1:3" x14ac:dyDescent="0.25">
      <c r="A148" s="11">
        <v>173</v>
      </c>
      <c r="B148" s="8" t="str">
        <f>VLOOKUP(A148,'Sets (lua data)'!$A$3:$C$9920,3,FALSE)</f>
        <v>Vicious Serpent</v>
      </c>
      <c r="C148" s="8" t="str">
        <f>VLOOKUP(A148,'Sets (lua data)'!$A$3:$C$9920,2,FALSE)</f>
        <v>Boshafte Schlange</v>
      </c>
    </row>
    <row r="149" spans="1:3" x14ac:dyDescent="0.25">
      <c r="A149" s="11">
        <v>176</v>
      </c>
      <c r="B149" s="8" t="str">
        <f>VLOOKUP(A149,'Sets (lua data)'!$A$3:$C$9920,3,FALSE)</f>
        <v>Noble\'s Conquest</v>
      </c>
      <c r="C149" s="8" t="str">
        <f>VLOOKUP(A149,'Sets (lua data)'!$A$3:$C$9920,2,FALSE)</f>
        <v>Adelssieg</v>
      </c>
    </row>
    <row r="150" spans="1:3" x14ac:dyDescent="0.25">
      <c r="A150" s="11">
        <v>177</v>
      </c>
      <c r="B150" s="8" t="str">
        <f>VLOOKUP(A150,'Sets (lua data)'!$A$3:$C$9920,3,FALSE)</f>
        <v>Redistributor</v>
      </c>
      <c r="C150" s="8" t="str">
        <f>VLOOKUP(A150,'Sets (lua data)'!$A$3:$C$9920,2,FALSE)</f>
        <v>Umverteilung</v>
      </c>
    </row>
    <row r="151" spans="1:3" x14ac:dyDescent="0.25">
      <c r="A151" s="11">
        <v>178</v>
      </c>
      <c r="B151" s="8" t="str">
        <f>VLOOKUP(A151,'Sets (lua data)'!$A$3:$C$9920,3,FALSE)</f>
        <v>Armor Master</v>
      </c>
      <c r="C151" s="8" t="str">
        <f>VLOOKUP(A151,'Sets (lua data)'!$A$3:$C$9920,2,FALSE)</f>
        <v>Rüstungsmeister</v>
      </c>
    </row>
    <row r="152" spans="1:3" x14ac:dyDescent="0.25">
      <c r="A152" s="11">
        <v>179</v>
      </c>
      <c r="B152" s="8" t="str">
        <f>VLOOKUP(A152,'Sets (lua data)'!$A$3:$C$9920,3,FALSE)</f>
        <v>Black Rose</v>
      </c>
      <c r="C152" s="8" t="str">
        <f>VLOOKUP(A152,'Sets (lua data)'!$A$3:$C$9920,2,FALSE)</f>
        <v>Schwarze Rose</v>
      </c>
    </row>
    <row r="153" spans="1:3" x14ac:dyDescent="0.25">
      <c r="A153" s="11">
        <v>180</v>
      </c>
      <c r="B153" s="8" t="str">
        <f>VLOOKUP(A153,'Sets (lua data)'!$A$3:$C$9920,3,FALSE)</f>
        <v>Powerful Assault</v>
      </c>
      <c r="C153" s="8" t="str">
        <f>VLOOKUP(A153,'Sets (lua data)'!$A$3:$C$9920,2,FALSE)</f>
        <v>Kraftvoller Ansturm</v>
      </c>
    </row>
    <row r="154" spans="1:3" x14ac:dyDescent="0.25">
      <c r="A154" s="11">
        <v>181</v>
      </c>
      <c r="B154" s="8" t="str">
        <f>VLOOKUP(A154,'Sets (lua data)'!$A$3:$C$9920,3,FALSE)</f>
        <v>Meritorious Service</v>
      </c>
      <c r="C154" s="8" t="str">
        <f>VLOOKUP(A154,'Sets (lua data)'!$A$3:$C$9920,2,FALSE)</f>
        <v>Meritorischer Dienst</v>
      </c>
    </row>
    <row r="155" spans="1:3" x14ac:dyDescent="0.25">
      <c r="A155" s="11">
        <v>183</v>
      </c>
      <c r="B155" s="8" t="str">
        <f>VLOOKUP(A155,'Sets (lua data)'!$A$3:$C$9920,3,FALSE)</f>
        <v>Molag Kena</v>
      </c>
      <c r="C155" s="8" t="str">
        <f>VLOOKUP(A155,'Sets (lua data)'!$A$3:$C$9920,2,FALSE)</f>
        <v>Molag Kena</v>
      </c>
    </row>
    <row r="156" spans="1:3" x14ac:dyDescent="0.25">
      <c r="A156" s="11">
        <v>184</v>
      </c>
      <c r="B156" s="8" t="str">
        <f>VLOOKUP(A156,'Sets (lua data)'!$A$3:$C$9920,3,FALSE)</f>
        <v>Brands of Imperium</v>
      </c>
      <c r="C156" s="8" t="str">
        <f>VLOOKUP(A156,'Sets (lua data)'!$A$3:$C$9920,2,FALSE)</f>
        <v>Male des Kaiserreichs</v>
      </c>
    </row>
    <row r="157" spans="1:3" x14ac:dyDescent="0.25">
      <c r="A157" s="11">
        <v>185</v>
      </c>
      <c r="B157" s="8" t="str">
        <f>VLOOKUP(A157,'Sets (lua data)'!$A$3:$C$9920,3,FALSE)</f>
        <v>Spell Power Cure</v>
      </c>
      <c r="C157" s="8" t="str">
        <f>VLOOKUP(A157,'Sets (lua data)'!$A$3:$C$9920,2,FALSE)</f>
        <v>Magiekraftheilung</v>
      </c>
    </row>
    <row r="158" spans="1:3" x14ac:dyDescent="0.25">
      <c r="A158" s="11">
        <v>186</v>
      </c>
      <c r="B158" s="8" t="str">
        <f>VLOOKUP(A158,'Sets (lua data)'!$A$3:$C$9920,3,FALSE)</f>
        <v>Jolting Arms</v>
      </c>
      <c r="C158" s="8" t="str">
        <f>VLOOKUP(A158,'Sets (lua data)'!$A$3:$C$9920,2,FALSE)</f>
        <v>Rüttelnde Rüstung</v>
      </c>
    </row>
    <row r="159" spans="1:3" x14ac:dyDescent="0.25">
      <c r="A159" s="11">
        <v>187</v>
      </c>
      <c r="B159" s="8" t="str">
        <f>VLOOKUP(A159,'Sets (lua data)'!$A$3:$C$9920,3,FALSE)</f>
        <v>Swamp Raider</v>
      </c>
      <c r="C159" s="8" t="str">
        <f>VLOOKUP(A159,'Sets (lua data)'!$A$3:$C$9920,2,FALSE)</f>
        <v>Sumpfräuber</v>
      </c>
    </row>
    <row r="160" spans="1:3" x14ac:dyDescent="0.25">
      <c r="A160" s="11">
        <v>188</v>
      </c>
      <c r="B160" s="8" t="str">
        <f>VLOOKUP(A160,'Sets (lua data)'!$A$3:$C$9920,3,FALSE)</f>
        <v>Storm Master</v>
      </c>
      <c r="C160" s="8" t="str">
        <f>VLOOKUP(A160,'Sets (lua data)'!$A$3:$C$9920,2,FALSE)</f>
        <v>Sturmmeister</v>
      </c>
    </row>
    <row r="161" spans="1:3" x14ac:dyDescent="0.25">
      <c r="A161" s="11">
        <v>190</v>
      </c>
      <c r="B161" s="8" t="str">
        <f>VLOOKUP(A161,'Sets (lua data)'!$A$3:$C$9920,3,FALSE)</f>
        <v>Scathing Mage</v>
      </c>
      <c r="C161" s="8" t="str">
        <f>VLOOKUP(A161,'Sets (lua data)'!$A$3:$C$9920,2,FALSE)</f>
        <v>Verletzender Magier</v>
      </c>
    </row>
    <row r="162" spans="1:3" x14ac:dyDescent="0.25">
      <c r="A162" s="11">
        <v>193</v>
      </c>
      <c r="B162" s="8" t="str">
        <f>VLOOKUP(A162,'Sets (lua data)'!$A$3:$C$9920,3,FALSE)</f>
        <v>Overwhelming Surge</v>
      </c>
      <c r="C162" s="8" t="str">
        <f>VLOOKUP(A162,'Sets (lua data)'!$A$3:$C$9920,2,FALSE)</f>
        <v>Überwältigende Woge</v>
      </c>
    </row>
    <row r="163" spans="1:3" x14ac:dyDescent="0.25">
      <c r="A163" s="11">
        <v>194</v>
      </c>
      <c r="B163" s="8" t="str">
        <f>VLOOKUP(A163,'Sets (lua data)'!$A$3:$C$9920,3,FALSE)</f>
        <v>Combat Physician</v>
      </c>
      <c r="C163" s="8" t="str">
        <f>VLOOKUP(A163,'Sets (lua data)'!$A$3:$C$9920,2,FALSE)</f>
        <v>Feldarzt</v>
      </c>
    </row>
    <row r="164" spans="1:3" x14ac:dyDescent="0.25">
      <c r="A164" s="11">
        <v>195</v>
      </c>
      <c r="B164" s="8" t="str">
        <f>VLOOKUP(A164,'Sets (lua data)'!$A$3:$C$9920,3,FALSE)</f>
        <v>Sheer Venom</v>
      </c>
      <c r="C164" s="8" t="str">
        <f>VLOOKUP(A164,'Sets (lua data)'!$A$3:$C$9920,2,FALSE)</f>
        <v>Reingift</v>
      </c>
    </row>
    <row r="165" spans="1:3" x14ac:dyDescent="0.25">
      <c r="A165" s="11">
        <v>196</v>
      </c>
      <c r="B165" s="8" t="str">
        <f>VLOOKUP(A165,'Sets (lua data)'!$A$3:$C$9920,3,FALSE)</f>
        <v>Leeching Plate</v>
      </c>
      <c r="C165" s="8" t="str">
        <f>VLOOKUP(A165,'Sets (lua data)'!$A$3:$C$9920,2,FALSE)</f>
        <v>Auslaugende Rüstung</v>
      </c>
    </row>
    <row r="166" spans="1:3" x14ac:dyDescent="0.25">
      <c r="A166" s="11">
        <v>197</v>
      </c>
      <c r="B166" s="8" t="str">
        <f>VLOOKUP(A166,'Sets (lua data)'!$A$3:$C$9920,3,FALSE)</f>
        <v>Tormentor</v>
      </c>
      <c r="C166" s="8" t="str">
        <f>VLOOKUP(A166,'Sets (lua data)'!$A$3:$C$9920,2,FALSE)</f>
        <v>Quälender</v>
      </c>
    </row>
    <row r="167" spans="1:3" x14ac:dyDescent="0.25">
      <c r="A167" s="11">
        <v>198</v>
      </c>
      <c r="B167" s="8" t="str">
        <f>VLOOKUP(A167,'Sets (lua data)'!$A$3:$C$9920,3,FALSE)</f>
        <v>Essence Thief</v>
      </c>
      <c r="C167" s="8" t="str">
        <f>VLOOKUP(A167,'Sets (lua data)'!$A$3:$C$9920,2,FALSE)</f>
        <v>Essenzdieb</v>
      </c>
    </row>
    <row r="168" spans="1:3" x14ac:dyDescent="0.25">
      <c r="A168" s="11">
        <v>199</v>
      </c>
      <c r="B168" s="8" t="str">
        <f>VLOOKUP(A168,'Sets (lua data)'!$A$3:$C$9920,3,FALSE)</f>
        <v>Shield Breaker</v>
      </c>
      <c r="C168" s="8" t="str">
        <f>VLOOKUP(A168,'Sets (lua data)'!$A$3:$C$9920,2,FALSE)</f>
        <v>Schildbrecher</v>
      </c>
    </row>
    <row r="169" spans="1:3" x14ac:dyDescent="0.25">
      <c r="A169" s="11">
        <v>200</v>
      </c>
      <c r="B169" s="8" t="str">
        <f>VLOOKUP(A169,'Sets (lua data)'!$A$3:$C$9920,3,FALSE)</f>
        <v>Phoenix</v>
      </c>
      <c r="C169" s="8" t="str">
        <f>VLOOKUP(A169,'Sets (lua data)'!$A$3:$C$9920,2,FALSE)</f>
        <v>Phönix</v>
      </c>
    </row>
    <row r="170" spans="1:3" x14ac:dyDescent="0.25">
      <c r="A170" s="11">
        <v>201</v>
      </c>
      <c r="B170" s="8" t="str">
        <f>VLOOKUP(A170,'Sets (lua data)'!$A$3:$C$9920,3,FALSE)</f>
        <v>Reactive Armor</v>
      </c>
      <c r="C170" s="8" t="str">
        <f>VLOOKUP(A170,'Sets (lua data)'!$A$3:$C$9920,2,FALSE)</f>
        <v>Reaktive Rüstung</v>
      </c>
    </row>
    <row r="171" spans="1:3" x14ac:dyDescent="0.25">
      <c r="A171" s="11">
        <v>204</v>
      </c>
      <c r="B171" s="8" t="str">
        <f>VLOOKUP(A171,'Sets (lua data)'!$A$3:$C$9920,3,FALSE)</f>
        <v>Endurance</v>
      </c>
      <c r="C171" s="8" t="str">
        <f>VLOOKUP(A171,'Sets (lua data)'!$A$3:$C$9920,2,FALSE)</f>
        <v>Beständigkeit</v>
      </c>
    </row>
    <row r="172" spans="1:3" x14ac:dyDescent="0.25">
      <c r="A172" s="11">
        <v>205</v>
      </c>
      <c r="B172" s="8" t="str">
        <f>VLOOKUP(A172,'Sets (lua data)'!$A$3:$C$9920,3,FALSE)</f>
        <v>Willpower</v>
      </c>
      <c r="C172" s="8" t="str">
        <f>VLOOKUP(A172,'Sets (lua data)'!$A$3:$C$9920,2,FALSE)</f>
        <v>Willenskraft</v>
      </c>
    </row>
    <row r="173" spans="1:3" x14ac:dyDescent="0.25">
      <c r="A173" s="11">
        <v>206</v>
      </c>
      <c r="B173" s="8" t="str">
        <f>VLOOKUP(A173,'Sets (lua data)'!$A$3:$C$9920,3,FALSE)</f>
        <v>Agility</v>
      </c>
      <c r="C173" s="8" t="str">
        <f>VLOOKUP(A173,'Sets (lua data)'!$A$3:$C$9920,2,FALSE)</f>
        <v>Agilität</v>
      </c>
    </row>
    <row r="174" spans="1:3" x14ac:dyDescent="0.25">
      <c r="A174" s="11">
        <v>207</v>
      </c>
      <c r="B174" s="8" t="str">
        <f>VLOOKUP(A174,'Sets (lua data)'!$A$3:$C$9920,3,FALSE)</f>
        <v>Law of Julianos</v>
      </c>
      <c r="C174" s="8" t="str">
        <f>VLOOKUP(A174,'Sets (lua data)'!$A$3:$C$9920,2,FALSE)</f>
        <v>Gesetz von Julianos</v>
      </c>
    </row>
    <row r="175" spans="1:3" x14ac:dyDescent="0.25">
      <c r="A175" s="11">
        <v>208</v>
      </c>
      <c r="B175" s="8" t="str">
        <f>VLOOKUP(A175,'Sets (lua data)'!$A$3:$C$9920,3,FALSE)</f>
        <v>Trial by Fire</v>
      </c>
      <c r="C175" s="8" t="str">
        <f>VLOOKUP(A175,'Sets (lua data)'!$A$3:$C$9920,2,FALSE)</f>
        <v>Feuertaufe</v>
      </c>
    </row>
    <row r="176" spans="1:3" x14ac:dyDescent="0.25">
      <c r="A176" s="11">
        <v>209</v>
      </c>
      <c r="B176" s="8" t="str">
        <f>VLOOKUP(A176,'Sets (lua data)'!$A$3:$C$9920,3,FALSE)</f>
        <v>Armor of the Code</v>
      </c>
      <c r="C176" s="8" t="str">
        <f>VLOOKUP(A176,'Sets (lua data)'!$A$3:$C$9920,2,FALSE)</f>
        <v>Armor of the Code</v>
      </c>
    </row>
    <row r="177" spans="1:3" x14ac:dyDescent="0.25">
      <c r="A177" s="11">
        <v>210</v>
      </c>
      <c r="B177" s="8" t="str">
        <f>VLOOKUP(A177,'Sets (lua data)'!$A$3:$C$9920,3,FALSE)</f>
        <v>Mark of the Pariah</v>
      </c>
      <c r="C177" s="8" t="str">
        <f>VLOOKUP(A177,'Sets (lua data)'!$A$3:$C$9920,2,FALSE)</f>
        <v>Zeichen des Ausgestoßenen</v>
      </c>
    </row>
    <row r="178" spans="1:3" x14ac:dyDescent="0.25">
      <c r="A178" s="11">
        <v>211</v>
      </c>
      <c r="B178" s="8" t="str">
        <f>VLOOKUP(A178,'Sets (lua data)'!$A$3:$C$9920,3,FALSE)</f>
        <v>Permafrost</v>
      </c>
      <c r="C178" s="8" t="str">
        <f>VLOOKUP(A178,'Sets (lua data)'!$A$3:$C$9920,2,FALSE)</f>
        <v>Permafrost</v>
      </c>
    </row>
    <row r="179" spans="1:3" x14ac:dyDescent="0.25">
      <c r="A179" s="11">
        <v>212</v>
      </c>
      <c r="B179" s="8" t="str">
        <f>VLOOKUP(A179,'Sets (lua data)'!$A$3:$C$9920,3,FALSE)</f>
        <v>Briarheart</v>
      </c>
      <c r="C179" s="8" t="str">
        <f>VLOOKUP(A179,'Sets (lua data)'!$A$3:$C$9920,2,FALSE)</f>
        <v>Dornenherz</v>
      </c>
    </row>
    <row r="180" spans="1:3" x14ac:dyDescent="0.25">
      <c r="A180" s="11">
        <v>213</v>
      </c>
      <c r="B180" s="8" t="str">
        <f>VLOOKUP(A180,'Sets (lua data)'!$A$3:$C$9920,3,FALSE)</f>
        <v>Glorious Defender</v>
      </c>
      <c r="C180" s="8" t="str">
        <f>VLOOKUP(A180,'Sets (lua data)'!$A$3:$C$9920,2,FALSE)</f>
        <v>Ruhmreicher Verteidiger</v>
      </c>
    </row>
    <row r="181" spans="1:3" x14ac:dyDescent="0.25">
      <c r="A181" s="11">
        <v>214</v>
      </c>
      <c r="B181" s="8" t="str">
        <f>VLOOKUP(A181,'Sets (lua data)'!$A$3:$C$9920,3,FALSE)</f>
        <v>Para Bellum</v>
      </c>
      <c r="C181" s="8" t="str">
        <f>VLOOKUP(A181,'Sets (lua data)'!$A$3:$C$9920,2,FALSE)</f>
        <v>Para Bellum</v>
      </c>
    </row>
    <row r="182" spans="1:3" x14ac:dyDescent="0.25">
      <c r="A182" s="11">
        <v>215</v>
      </c>
      <c r="B182" s="8" t="str">
        <f>VLOOKUP(A182,'Sets (lua data)'!$A$3:$C$9920,3,FALSE)</f>
        <v>Elemental Succession</v>
      </c>
      <c r="C182" s="8" t="str">
        <f>VLOOKUP(A182,'Sets (lua data)'!$A$3:$C$9920,2,FALSE)</f>
        <v>Elementarfolge</v>
      </c>
    </row>
    <row r="183" spans="1:3" x14ac:dyDescent="0.25">
      <c r="A183" s="11">
        <v>216</v>
      </c>
      <c r="B183" s="8" t="str">
        <f>VLOOKUP(A183,'Sets (lua data)'!$A$3:$C$9920,3,FALSE)</f>
        <v>Hunt Leader</v>
      </c>
      <c r="C183" s="8" t="str">
        <f>VLOOKUP(A183,'Sets (lua data)'!$A$3:$C$9920,2,FALSE)</f>
        <v>Jagdleiter</v>
      </c>
    </row>
    <row r="184" spans="1:3" x14ac:dyDescent="0.25">
      <c r="A184" s="11">
        <v>217</v>
      </c>
      <c r="B184" s="8" t="str">
        <f>VLOOKUP(A184,'Sets (lua data)'!$A$3:$C$9920,3,FALSE)</f>
        <v>Winterborn</v>
      </c>
      <c r="C184" s="8" t="str">
        <f>VLOOKUP(A184,'Sets (lua data)'!$A$3:$C$9920,2,FALSE)</f>
        <v>Winterkind</v>
      </c>
    </row>
    <row r="185" spans="1:3" x14ac:dyDescent="0.25">
      <c r="A185" s="11">
        <v>218</v>
      </c>
      <c r="B185" s="8" t="str">
        <f>VLOOKUP(A185,'Sets (lua data)'!$A$3:$C$9920,3,FALSE)</f>
        <v>Trinimac\'s Valor</v>
      </c>
      <c r="C185" s="8" t="str">
        <f>VLOOKUP(A185,'Sets (lua data)'!$A$3:$C$9920,2,FALSE)</f>
        <v>Trinimacs Heldenmut</v>
      </c>
    </row>
    <row r="186" spans="1:3" x14ac:dyDescent="0.25">
      <c r="A186" s="11">
        <v>219</v>
      </c>
      <c r="B186" s="8" t="str">
        <f>VLOOKUP(A186,'Sets (lua data)'!$A$3:$C$9920,3,FALSE)</f>
        <v>Morkuldin</v>
      </c>
      <c r="C186" s="8" t="str">
        <f>VLOOKUP(A186,'Sets (lua data)'!$A$3:$C$9920,2,FALSE)</f>
        <v>Morkuldin</v>
      </c>
    </row>
    <row r="187" spans="1:3" x14ac:dyDescent="0.25">
      <c r="A187" s="11">
        <v>224</v>
      </c>
      <c r="B187" s="8" t="str">
        <f>VLOOKUP(A187,'Sets (lua data)'!$A$3:$C$9920,3,FALSE)</f>
        <v>Tava\'s Favor</v>
      </c>
      <c r="C187" s="8" t="str">
        <f>VLOOKUP(A187,'Sets (lua data)'!$A$3:$C$9920,2,FALSE)</f>
        <v>Tavas Gunst</v>
      </c>
    </row>
    <row r="188" spans="1:3" x14ac:dyDescent="0.25">
      <c r="A188" s="11">
        <v>225</v>
      </c>
      <c r="B188" s="8" t="str">
        <f>VLOOKUP(A188,'Sets (lua data)'!$A$3:$C$9920,3,FALSE)</f>
        <v>Clever Alchemist</v>
      </c>
      <c r="C188" s="8" t="str">
        <f>VLOOKUP(A188,'Sets (lua data)'!$A$3:$C$9920,2,FALSE)</f>
        <v>Schlauer Alchemist</v>
      </c>
    </row>
    <row r="189" spans="1:3" x14ac:dyDescent="0.25">
      <c r="A189" s="11">
        <v>226</v>
      </c>
      <c r="B189" s="8" t="str">
        <f>VLOOKUP(A189,'Sets (lua data)'!$A$3:$C$9920,3,FALSE)</f>
        <v>Eternal Hunt</v>
      </c>
      <c r="C189" s="8" t="str">
        <f>VLOOKUP(A189,'Sets (lua data)'!$A$3:$C$9920,2,FALSE)</f>
        <v>Ewige Jagd</v>
      </c>
    </row>
    <row r="190" spans="1:3" x14ac:dyDescent="0.25">
      <c r="A190" s="11">
        <v>227</v>
      </c>
      <c r="B190" s="8" t="str">
        <f>VLOOKUP(A190,'Sets (lua data)'!$A$3:$C$9920,3,FALSE)</f>
        <v>Bahraha\'s Curse</v>
      </c>
      <c r="C190" s="8" t="str">
        <f>VLOOKUP(A190,'Sets (lua data)'!$A$3:$C$9920,2,FALSE)</f>
        <v>Bahrahas Fluch</v>
      </c>
    </row>
    <row r="191" spans="1:3" x14ac:dyDescent="0.25">
      <c r="A191" s="11">
        <v>228</v>
      </c>
      <c r="B191" s="8" t="str">
        <f>VLOOKUP(A191,'Sets (lua data)'!$A$3:$C$9920,3,FALSE)</f>
        <v>Syvarra\'s Scales</v>
      </c>
      <c r="C191" s="8" t="str">
        <f>VLOOKUP(A191,'Sets (lua data)'!$A$3:$C$9920,2,FALSE)</f>
        <v>Syvarras Schuppen</v>
      </c>
    </row>
    <row r="192" spans="1:3" x14ac:dyDescent="0.25">
      <c r="A192" s="11">
        <v>229</v>
      </c>
      <c r="B192" s="8" t="str">
        <f>VLOOKUP(A192,'Sets (lua data)'!$A$3:$C$9920,3,FALSE)</f>
        <v>Twilight Remedy</v>
      </c>
      <c r="C192" s="8" t="str">
        <f>VLOOKUP(A192,'Sets (lua data)'!$A$3:$C$9920,2,FALSE)</f>
        <v>Zwielichtgenesung</v>
      </c>
    </row>
    <row r="193" spans="1:3" x14ac:dyDescent="0.25">
      <c r="A193" s="11">
        <v>230</v>
      </c>
      <c r="B193" s="8" t="str">
        <f>VLOOKUP(A193,'Sets (lua data)'!$A$3:$C$9920,3,FALSE)</f>
        <v>Moondancer</v>
      </c>
      <c r="C193" s="8" t="str">
        <f>VLOOKUP(A193,'Sets (lua data)'!$A$3:$C$9920,2,FALSE)</f>
        <v>Mondtänzer</v>
      </c>
    </row>
    <row r="194" spans="1:3" x14ac:dyDescent="0.25">
      <c r="A194" s="11">
        <v>231</v>
      </c>
      <c r="B194" s="8" t="str">
        <f>VLOOKUP(A194,'Sets (lua data)'!$A$3:$C$9920,3,FALSE)</f>
        <v>Lunar Bastion</v>
      </c>
      <c r="C194" s="8" t="str">
        <f>VLOOKUP(A194,'Sets (lua data)'!$A$3:$C$9920,2,FALSE)</f>
        <v>Mondbastion</v>
      </c>
    </row>
    <row r="195" spans="1:3" x14ac:dyDescent="0.25">
      <c r="A195" s="11">
        <v>232</v>
      </c>
      <c r="B195" s="8" t="str">
        <f>VLOOKUP(A195,'Sets (lua data)'!$A$3:$C$9920,3,FALSE)</f>
        <v>Roar of Alkosh</v>
      </c>
      <c r="C195" s="8" t="str">
        <f>VLOOKUP(A195,'Sets (lua data)'!$A$3:$C$9920,2,FALSE)</f>
        <v>Brüllen von Alkosh</v>
      </c>
    </row>
    <row r="196" spans="1:3" x14ac:dyDescent="0.25">
      <c r="A196" s="11">
        <v>234</v>
      </c>
      <c r="B196" s="8" t="str">
        <f>VLOOKUP(A196,'Sets (lua data)'!$A$3:$C$9920,3,FALSE)</f>
        <v>Marksman\'s Crest</v>
      </c>
      <c r="C196" s="8" t="str">
        <f>VLOOKUP(A196,'Sets (lua data)'!$A$3:$C$9920,2,FALSE)</f>
        <v>Wappen des Meisterschützen</v>
      </c>
    </row>
    <row r="197" spans="1:3" x14ac:dyDescent="0.25">
      <c r="A197" s="11">
        <v>235</v>
      </c>
      <c r="B197" s="8" t="str">
        <f>VLOOKUP(A197,'Sets (lua data)'!$A$3:$C$9920,3,FALSE)</f>
        <v>Robes of Transmutation</v>
      </c>
      <c r="C197" s="8" t="str">
        <f>VLOOKUP(A197,'Sets (lua data)'!$A$3:$C$9920,2,FALSE)</f>
        <v>Roben der Transmutation</v>
      </c>
    </row>
    <row r="198" spans="1:3" x14ac:dyDescent="0.25">
      <c r="A198" s="11">
        <v>236</v>
      </c>
      <c r="B198" s="8" t="str">
        <f>VLOOKUP(A198,'Sets (lua data)'!$A$3:$C$9920,3,FALSE)</f>
        <v>Vicious Death</v>
      </c>
      <c r="C198" s="8" t="str">
        <f>VLOOKUP(A198,'Sets (lua data)'!$A$3:$C$9920,2,FALSE)</f>
        <v>Grausamer Tod</v>
      </c>
    </row>
    <row r="199" spans="1:3" x14ac:dyDescent="0.25">
      <c r="A199" s="11">
        <v>237</v>
      </c>
      <c r="B199" s="8" t="str">
        <f>VLOOKUP(A199,'Sets (lua data)'!$A$3:$C$9920,3,FALSE)</f>
        <v>Leki\'s Focus</v>
      </c>
      <c r="C199" s="8" t="str">
        <f>VLOOKUP(A199,'Sets (lua data)'!$A$3:$C$9920,2,FALSE)</f>
        <v>Lekis Fokus</v>
      </c>
    </row>
    <row r="200" spans="1:3" x14ac:dyDescent="0.25">
      <c r="A200" s="11">
        <v>238</v>
      </c>
      <c r="B200" s="8" t="str">
        <f>VLOOKUP(A200,'Sets (lua data)'!$A$3:$C$9920,3,FALSE)</f>
        <v>Fasalla\'s Guile</v>
      </c>
      <c r="C200" s="8" t="str">
        <f>VLOOKUP(A200,'Sets (lua data)'!$A$3:$C$9920,2,FALSE)</f>
        <v>Fasallas List</v>
      </c>
    </row>
    <row r="201" spans="1:3" x14ac:dyDescent="0.25">
      <c r="A201" s="11">
        <v>239</v>
      </c>
      <c r="B201" s="8" t="str">
        <f>VLOOKUP(A201,'Sets (lua data)'!$A$3:$C$9920,3,FALSE)</f>
        <v>Warrior\'s Fury</v>
      </c>
      <c r="C201" s="8" t="str">
        <f>VLOOKUP(A201,'Sets (lua data)'!$A$3:$C$9920,2,FALSE)</f>
        <v>Raserei des Kriegers</v>
      </c>
    </row>
    <row r="202" spans="1:3" x14ac:dyDescent="0.25">
      <c r="A202" s="11">
        <v>240</v>
      </c>
      <c r="B202" s="8" t="str">
        <f>VLOOKUP(A202,'Sets (lua data)'!$A$3:$C$9920,3,FALSE)</f>
        <v>Kvatch Gladiator</v>
      </c>
      <c r="C202" s="8" t="str">
        <f>VLOOKUP(A202,'Sets (lua data)'!$A$3:$C$9920,2,FALSE)</f>
        <v>Gladiator von Kvatch</v>
      </c>
    </row>
    <row r="203" spans="1:3" x14ac:dyDescent="0.25">
      <c r="A203" s="11">
        <v>241</v>
      </c>
      <c r="B203" s="8" t="str">
        <f>VLOOKUP(A203,'Sets (lua data)'!$A$3:$C$9920,3,FALSE)</f>
        <v>Varen\'s Legacy</v>
      </c>
      <c r="C203" s="8" t="str">
        <f>VLOOKUP(A203,'Sets (lua data)'!$A$3:$C$9920,2,FALSE)</f>
        <v>Varens Erbe</v>
      </c>
    </row>
    <row r="204" spans="1:3" x14ac:dyDescent="0.25">
      <c r="A204" s="11">
        <v>242</v>
      </c>
      <c r="B204" s="8" t="str">
        <f>VLOOKUP(A204,'Sets (lua data)'!$A$3:$C$9920,3,FALSE)</f>
        <v>Pelinal\'s Wrath</v>
      </c>
      <c r="C204" s="8" t="str">
        <f>VLOOKUP(A204,'Sets (lua data)'!$A$3:$C$9920,2,FALSE)</f>
        <v>Pelinals Talent</v>
      </c>
    </row>
    <row r="205" spans="1:3" x14ac:dyDescent="0.25">
      <c r="A205" s="11">
        <v>243</v>
      </c>
      <c r="B205" s="8" t="str">
        <f>VLOOKUP(A205,'Sets (lua data)'!$A$3:$C$9920,3,FALSE)</f>
        <v>Hide of Morihaus</v>
      </c>
      <c r="C205" s="8" t="str">
        <f>VLOOKUP(A205,'Sets (lua data)'!$A$3:$C$9920,2,FALSE)</f>
        <v>Haut von Morihaus</v>
      </c>
    </row>
    <row r="206" spans="1:3" x14ac:dyDescent="0.25">
      <c r="A206" s="11">
        <v>244</v>
      </c>
      <c r="B206" s="8" t="str">
        <f>VLOOKUP(A206,'Sets (lua data)'!$A$3:$C$9920,3,FALSE)</f>
        <v>Flanking Strategist</v>
      </c>
      <c r="C206" s="8" t="str">
        <f>VLOOKUP(A206,'Sets (lua data)'!$A$3:$C$9920,2,FALSE)</f>
        <v>Flankierender Stratege</v>
      </c>
    </row>
    <row r="207" spans="1:3" x14ac:dyDescent="0.25">
      <c r="A207" s="11">
        <v>245</v>
      </c>
      <c r="B207" s="8" t="str">
        <f>VLOOKUP(A207,'Sets (lua data)'!$A$3:$C$9920,3,FALSE)</f>
        <v>Sithis\' Touch</v>
      </c>
      <c r="C207" s="8" t="str">
        <f>VLOOKUP(A207,'Sets (lua data)'!$A$3:$C$9920,2,FALSE)</f>
        <v>Sithis' Berührung</v>
      </c>
    </row>
    <row r="208" spans="1:3" x14ac:dyDescent="0.25">
      <c r="A208" s="11">
        <v>246</v>
      </c>
      <c r="B208" s="8" t="str">
        <f>VLOOKUP(A208,'Sets (lua data)'!$A$3:$C$9920,3,FALSE)</f>
        <v>Galerion\'s Revenge</v>
      </c>
      <c r="C208" s="8" t="str">
        <f>VLOOKUP(A208,'Sets (lua data)'!$A$3:$C$9920,2,FALSE)</f>
        <v>Galerions Revanche</v>
      </c>
    </row>
    <row r="209" spans="1:3" x14ac:dyDescent="0.25">
      <c r="A209" s="11">
        <v>247</v>
      </c>
      <c r="B209" s="8" t="str">
        <f>VLOOKUP(A209,'Sets (lua data)'!$A$3:$C$9920,3,FALSE)</f>
        <v>Vicecanon of Venom</v>
      </c>
      <c r="C209" s="8" t="str">
        <f>VLOOKUP(A209,'Sets (lua data)'!$A$3:$C$9920,2,FALSE)</f>
        <v>Vizekanoniker des Gifts</v>
      </c>
    </row>
    <row r="210" spans="1:3" x14ac:dyDescent="0.25">
      <c r="A210" s="11">
        <v>248</v>
      </c>
      <c r="B210" s="8" t="str">
        <f>VLOOKUP(A210,'Sets (lua data)'!$A$3:$C$9920,3,FALSE)</f>
        <v>Thews of the Harbinger</v>
      </c>
      <c r="C210" s="8" t="str">
        <f>VLOOKUP(A210,'Sets (lua data)'!$A$3:$C$9920,2,FALSE)</f>
        <v>Muskeln des Vorboten</v>
      </c>
    </row>
    <row r="211" spans="1:3" x14ac:dyDescent="0.25">
      <c r="A211" s="11">
        <v>253</v>
      </c>
      <c r="B211" s="8" t="str">
        <f>VLOOKUP(A211,'Sets (lua data)'!$A$3:$C$9920,3,FALSE)</f>
        <v>Imperial Physique</v>
      </c>
      <c r="C211" s="8" t="str">
        <f>VLOOKUP(A211,'Sets (lua data)'!$A$3:$C$9920,2,FALSE)</f>
        <v>Kaiserliche Physis</v>
      </c>
    </row>
    <row r="212" spans="1:3" x14ac:dyDescent="0.25">
      <c r="A212" s="11">
        <v>256</v>
      </c>
      <c r="B212" s="8" t="str">
        <f>VLOOKUP(A212,'Sets (lua data)'!$A$3:$C$9920,3,FALSE)</f>
        <v>Mighty Chudan</v>
      </c>
      <c r="C212" s="8" t="str">
        <f>VLOOKUP(A212,'Sets (lua data)'!$A$3:$C$9920,2,FALSE)</f>
        <v>Mächtiger Chudan</v>
      </c>
    </row>
    <row r="213" spans="1:3" x14ac:dyDescent="0.25">
      <c r="A213" s="11">
        <v>257</v>
      </c>
      <c r="B213" s="8" t="str">
        <f>VLOOKUP(A213,'Sets (lua data)'!$A$3:$C$9920,3,FALSE)</f>
        <v>Velidreth</v>
      </c>
      <c r="C213" s="8" t="str">
        <f>VLOOKUP(A213,'Sets (lua data)'!$A$3:$C$9920,2,FALSE)</f>
        <v>Velidreth</v>
      </c>
    </row>
    <row r="214" spans="1:3" x14ac:dyDescent="0.25">
      <c r="A214" s="11">
        <v>258</v>
      </c>
      <c r="B214" s="8" t="str">
        <f>VLOOKUP(A214,'Sets (lua data)'!$A$3:$C$9920,3,FALSE)</f>
        <v>Amber Plasm</v>
      </c>
      <c r="C214" s="8" t="str">
        <f>VLOOKUP(A214,'Sets (lua data)'!$A$3:$C$9920,2,FALSE)</f>
        <v>Bernsteinplasma</v>
      </c>
    </row>
    <row r="215" spans="1:3" x14ac:dyDescent="0.25">
      <c r="A215" s="11">
        <v>259</v>
      </c>
      <c r="B215" s="8" t="str">
        <f>VLOOKUP(A215,'Sets (lua data)'!$A$3:$C$9920,3,FALSE)</f>
        <v>Heem-Jas\' Retribution</v>
      </c>
      <c r="C215" s="8" t="str">
        <f>VLOOKUP(A215,'Sets (lua data)'!$A$3:$C$9920,2,FALSE)</f>
        <v>Heem-Jas' Vergeltung</v>
      </c>
    </row>
    <row r="216" spans="1:3" x14ac:dyDescent="0.25">
      <c r="A216" s="11">
        <v>260</v>
      </c>
      <c r="B216" s="8" t="str">
        <f>VLOOKUP(A216,'Sets (lua data)'!$A$3:$C$9920,3,FALSE)</f>
        <v>Aspect of Mazzatun</v>
      </c>
      <c r="C216" s="8" t="str">
        <f>VLOOKUP(A216,'Sets (lua data)'!$A$3:$C$9920,2,FALSE)</f>
        <v>Aspekt von Mazzatun</v>
      </c>
    </row>
    <row r="217" spans="1:3" x14ac:dyDescent="0.25">
      <c r="A217" s="11">
        <v>261</v>
      </c>
      <c r="B217" s="8" t="str">
        <f>VLOOKUP(A217,'Sets (lua data)'!$A$3:$C$9920,3,FALSE)</f>
        <v>Gossamer</v>
      </c>
      <c r="C217" s="8" t="str">
        <f>VLOOKUP(A217,'Sets (lua data)'!$A$3:$C$9920,2,FALSE)</f>
        <v>Gespinst</v>
      </c>
    </row>
    <row r="218" spans="1:3" x14ac:dyDescent="0.25">
      <c r="A218" s="11">
        <v>262</v>
      </c>
      <c r="B218" s="8" t="str">
        <f>VLOOKUP(A218,'Sets (lua data)'!$A$3:$C$9920,3,FALSE)</f>
        <v>Widowmaker</v>
      </c>
      <c r="C218" s="8" t="str">
        <f>VLOOKUP(A218,'Sets (lua data)'!$A$3:$C$9920,2,FALSE)</f>
        <v>Witwenmacher</v>
      </c>
    </row>
    <row r="219" spans="1:3" x14ac:dyDescent="0.25">
      <c r="A219" s="11">
        <v>263</v>
      </c>
      <c r="B219" s="8" t="str">
        <f>VLOOKUP(A219,'Sets (lua data)'!$A$3:$C$9920,3,FALSE)</f>
        <v>Hand of Mephala</v>
      </c>
      <c r="C219" s="8" t="str">
        <f>VLOOKUP(A219,'Sets (lua data)'!$A$3:$C$9920,2,FALSE)</f>
        <v>Hand von Mephala</v>
      </c>
    </row>
    <row r="220" spans="1:3" x14ac:dyDescent="0.25">
      <c r="A220" s="11">
        <v>264</v>
      </c>
      <c r="B220" s="8" t="str">
        <f>VLOOKUP(A220,'Sets (lua data)'!$A$3:$C$9920,3,FALSE)</f>
        <v>Giant Spider</v>
      </c>
      <c r="C220" s="8" t="str">
        <f>VLOOKUP(A220,'Sets (lua data)'!$A$3:$C$9920,2,FALSE)</f>
        <v>Riesenspinne</v>
      </c>
    </row>
    <row r="221" spans="1:3" x14ac:dyDescent="0.25">
      <c r="A221" s="11">
        <v>265</v>
      </c>
      <c r="B221" s="8" t="str">
        <f>VLOOKUP(A221,'Sets (lua data)'!$A$3:$C$9920,3,FALSE)</f>
        <v>Shadowrend</v>
      </c>
      <c r="C221" s="8" t="str">
        <f>VLOOKUP(A221,'Sets (lua data)'!$A$3:$C$9920,2,FALSE)</f>
        <v>Schattenriss</v>
      </c>
    </row>
    <row r="222" spans="1:3" x14ac:dyDescent="0.25">
      <c r="A222" s="11">
        <v>266</v>
      </c>
      <c r="B222" s="8" t="str">
        <f>VLOOKUP(A222,'Sets (lua data)'!$A$3:$C$9920,3,FALSE)</f>
        <v>Kra\'gh</v>
      </c>
      <c r="C222" s="8" t="str">
        <f>VLOOKUP(A222,'Sets (lua data)'!$A$3:$C$9920,2,FALSE)</f>
        <v>Kra'gh</v>
      </c>
    </row>
    <row r="223" spans="1:3" x14ac:dyDescent="0.25">
      <c r="A223" s="11">
        <v>267</v>
      </c>
      <c r="B223" s="8" t="str">
        <f>VLOOKUP(A223,'Sets (lua data)'!$A$3:$C$9920,3,FALSE)</f>
        <v>Swarm Mother</v>
      </c>
      <c r="C223" s="8" t="str">
        <f>VLOOKUP(A223,'Sets (lua data)'!$A$3:$C$9920,2,FALSE)</f>
        <v>Schwarmmutter</v>
      </c>
    </row>
    <row r="224" spans="1:3" x14ac:dyDescent="0.25">
      <c r="A224" s="11">
        <v>268</v>
      </c>
      <c r="B224" s="8" t="str">
        <f>VLOOKUP(A224,'Sets (lua data)'!$A$3:$C$9920,3,FALSE)</f>
        <v>Sentinel of Rkugamz</v>
      </c>
      <c r="C224" s="8" t="str">
        <f>VLOOKUP(A224,'Sets (lua data)'!$A$3:$C$9920,2,FALSE)</f>
        <v>Wachposten von Rkugamz</v>
      </c>
    </row>
    <row r="225" spans="1:3" x14ac:dyDescent="0.25">
      <c r="A225" s="11">
        <v>269</v>
      </c>
      <c r="B225" s="8" t="str">
        <f>VLOOKUP(A225,'Sets (lua data)'!$A$3:$C$9920,3,FALSE)</f>
        <v>Chokethorn</v>
      </c>
      <c r="C225" s="8" t="str">
        <f>VLOOKUP(A225,'Sets (lua data)'!$A$3:$C$9920,2,FALSE)</f>
        <v>Würgedorn</v>
      </c>
    </row>
    <row r="226" spans="1:3" x14ac:dyDescent="0.25">
      <c r="A226" s="11">
        <v>270</v>
      </c>
      <c r="B226" s="8" t="str">
        <f>VLOOKUP(A226,'Sets (lua data)'!$A$3:$C$9920,3,FALSE)</f>
        <v>Slimecraw</v>
      </c>
      <c r="C226" s="8" t="str">
        <f>VLOOKUP(A226,'Sets (lua data)'!$A$3:$C$9920,2,FALSE)</f>
        <v>Schleimkropf</v>
      </c>
    </row>
    <row r="227" spans="1:3" x14ac:dyDescent="0.25">
      <c r="A227" s="11">
        <v>271</v>
      </c>
      <c r="B227" s="8" t="str">
        <f>VLOOKUP(A227,'Sets (lua data)'!$A$3:$C$9920,3,FALSE)</f>
        <v>Sellistrix</v>
      </c>
      <c r="C227" s="8" t="str">
        <f>VLOOKUP(A227,'Sets (lua data)'!$A$3:$C$9920,2,FALSE)</f>
        <v>Sellistrix</v>
      </c>
    </row>
    <row r="228" spans="1:3" x14ac:dyDescent="0.25">
      <c r="A228" s="11">
        <v>272</v>
      </c>
      <c r="B228" s="8" t="str">
        <f>VLOOKUP(A228,'Sets (lua data)'!$A$3:$C$9920,3,FALSE)</f>
        <v>Infernal Guardian</v>
      </c>
      <c r="C228" s="8" t="str">
        <f>VLOOKUP(A228,'Sets (lua data)'!$A$3:$C$9920,2,FALSE)</f>
        <v>Infernaler Wächter</v>
      </c>
    </row>
    <row r="229" spans="1:3" x14ac:dyDescent="0.25">
      <c r="A229" s="11">
        <v>273</v>
      </c>
      <c r="B229" s="8" t="str">
        <f>VLOOKUP(A229,'Sets (lua data)'!$A$3:$C$9920,3,FALSE)</f>
        <v>Ilambris</v>
      </c>
      <c r="C229" s="8" t="str">
        <f>VLOOKUP(A229,'Sets (lua data)'!$A$3:$C$9920,2,FALSE)</f>
        <v>Ilambris</v>
      </c>
    </row>
    <row r="230" spans="1:3" x14ac:dyDescent="0.25">
      <c r="A230" s="11">
        <v>274</v>
      </c>
      <c r="B230" s="8" t="str">
        <f>VLOOKUP(A230,'Sets (lua data)'!$A$3:$C$9920,3,FALSE)</f>
        <v>Iceheart</v>
      </c>
      <c r="C230" s="8" t="str">
        <f>VLOOKUP(A230,'Sets (lua data)'!$A$3:$C$9920,2,FALSE)</f>
        <v>Eisherz</v>
      </c>
    </row>
    <row r="231" spans="1:3" x14ac:dyDescent="0.25">
      <c r="A231" s="11">
        <v>275</v>
      </c>
      <c r="B231" s="8" t="str">
        <f>VLOOKUP(A231,'Sets (lua data)'!$A$3:$C$9920,3,FALSE)</f>
        <v>Stormfist</v>
      </c>
      <c r="C231" s="8" t="str">
        <f>VLOOKUP(A231,'Sets (lua data)'!$A$3:$C$9920,2,FALSE)</f>
        <v>Sturmfaust</v>
      </c>
    </row>
    <row r="232" spans="1:3" x14ac:dyDescent="0.25">
      <c r="A232" s="11">
        <v>276</v>
      </c>
      <c r="B232" s="8" t="str">
        <f>VLOOKUP(A232,'Sets (lua data)'!$A$3:$C$9920,3,FALSE)</f>
        <v>Tremorscale</v>
      </c>
      <c r="C232" s="8" t="str">
        <f>VLOOKUP(A232,'Sets (lua data)'!$A$3:$C$9920,2,FALSE)</f>
        <v>Bebenschuppe</v>
      </c>
    </row>
    <row r="233" spans="1:3" x14ac:dyDescent="0.25">
      <c r="A233" s="11">
        <v>277</v>
      </c>
      <c r="B233" s="8" t="str">
        <f>VLOOKUP(A233,'Sets (lua data)'!$A$3:$C$9920,3,FALSE)</f>
        <v>Pirate Skeleton</v>
      </c>
      <c r="C233" s="8" t="str">
        <f>VLOOKUP(A233,'Sets (lua data)'!$A$3:$C$9920,2,FALSE)</f>
        <v>Piratenskelett</v>
      </c>
    </row>
    <row r="234" spans="1:3" x14ac:dyDescent="0.25">
      <c r="A234" s="11">
        <v>278</v>
      </c>
      <c r="B234" s="8" t="str">
        <f>VLOOKUP(A234,'Sets (lua data)'!$A$3:$C$9920,3,FALSE)</f>
        <v>The Troll King</v>
      </c>
      <c r="C234" s="8" t="str">
        <f>VLOOKUP(A234,'Sets (lua data)'!$A$3:$C$9920,2,FALSE)</f>
        <v>Trollkönig</v>
      </c>
    </row>
    <row r="235" spans="1:3" x14ac:dyDescent="0.25">
      <c r="A235" s="11">
        <v>279</v>
      </c>
      <c r="B235" s="8" t="str">
        <f>VLOOKUP(A235,'Sets (lua data)'!$A$3:$C$9920,3,FALSE)</f>
        <v>Selene</v>
      </c>
      <c r="C235" s="8" t="str">
        <f>VLOOKUP(A235,'Sets (lua data)'!$A$3:$C$9920,2,FALSE)</f>
        <v>Selene</v>
      </c>
    </row>
    <row r="236" spans="1:3" x14ac:dyDescent="0.25">
      <c r="A236" s="11">
        <v>280</v>
      </c>
      <c r="B236" s="8" t="str">
        <f>VLOOKUP(A236,'Sets (lua data)'!$A$3:$C$9920,3,FALSE)</f>
        <v>Grothdarr</v>
      </c>
      <c r="C236" s="8" t="str">
        <f>VLOOKUP(A236,'Sets (lua data)'!$A$3:$C$9920,2,FALSE)</f>
        <v>Grothdarr</v>
      </c>
    </row>
    <row r="237" spans="1:3" x14ac:dyDescent="0.25">
      <c r="A237" s="11">
        <v>281</v>
      </c>
      <c r="B237" s="8" t="str">
        <f>VLOOKUP(A237,'Sets (lua data)'!$A$3:$C$9920,3,FALSE)</f>
        <v>Armor of the Trainee</v>
      </c>
      <c r="C237" s="8" t="str">
        <f>VLOOKUP(A237,'Sets (lua data)'!$A$3:$C$9920,2,FALSE)</f>
        <v>Rüstung des Auszubildenden</v>
      </c>
    </row>
    <row r="238" spans="1:3" x14ac:dyDescent="0.25">
      <c r="A238" s="11">
        <v>282</v>
      </c>
      <c r="B238" s="8" t="str">
        <f>VLOOKUP(A238,'Sets (lua data)'!$A$3:$C$9920,3,FALSE)</f>
        <v>Vampire Cloak</v>
      </c>
      <c r="C238" s="8" t="str">
        <f>VLOOKUP(A238,'Sets (lua data)'!$A$3:$C$9920,2,FALSE)</f>
        <v>Vampirumhang</v>
      </c>
    </row>
    <row r="239" spans="1:3" x14ac:dyDescent="0.25">
      <c r="A239" s="11">
        <v>283</v>
      </c>
      <c r="B239" s="8" t="str">
        <f>VLOOKUP(A239,'Sets (lua data)'!$A$3:$C$9920,3,FALSE)</f>
        <v>Sword-Singer</v>
      </c>
      <c r="C239" s="8" t="str">
        <f>VLOOKUP(A239,'Sets (lua data)'!$A$3:$C$9920,2,FALSE)</f>
        <v>Schwertsänger</v>
      </c>
    </row>
    <row r="240" spans="1:3" x14ac:dyDescent="0.25">
      <c r="A240" s="11">
        <v>284</v>
      </c>
      <c r="B240" s="8" t="str">
        <f>VLOOKUP(A240,'Sets (lua data)'!$A$3:$C$9920,3,FALSE)</f>
        <v>Order of Diagna</v>
      </c>
      <c r="C240" s="8" t="str">
        <f>VLOOKUP(A240,'Sets (lua data)'!$A$3:$C$9920,2,FALSE)</f>
        <v>Orden von Diagna</v>
      </c>
    </row>
    <row r="241" spans="1:3" x14ac:dyDescent="0.25">
      <c r="A241" s="11">
        <v>285</v>
      </c>
      <c r="B241" s="8" t="str">
        <f>VLOOKUP(A241,'Sets (lua data)'!$A$3:$C$9920,3,FALSE)</f>
        <v>Vampire Lord</v>
      </c>
      <c r="C241" s="8" t="str">
        <f>VLOOKUP(A241,'Sets (lua data)'!$A$3:$C$9920,2,FALSE)</f>
        <v>Vampirfürst</v>
      </c>
    </row>
    <row r="242" spans="1:3" x14ac:dyDescent="0.25">
      <c r="A242" s="11">
        <v>286</v>
      </c>
      <c r="B242" s="8" t="str">
        <f>VLOOKUP(A242,'Sets (lua data)'!$A$3:$C$9920,3,FALSE)</f>
        <v>Spriggan\'s Thorns</v>
      </c>
      <c r="C242" s="8" t="str">
        <f>VLOOKUP(A242,'Sets (lua data)'!$A$3:$C$9920,2,FALSE)</f>
        <v>Dornen des Zweiglings</v>
      </c>
    </row>
    <row r="243" spans="1:3" x14ac:dyDescent="0.25">
      <c r="A243" s="11">
        <v>287</v>
      </c>
      <c r="B243" s="8" t="str">
        <f>VLOOKUP(A243,'Sets (lua data)'!$A$3:$C$9920,3,FALSE)</f>
        <v>Green Pact</v>
      </c>
      <c r="C243" s="8" t="str">
        <f>VLOOKUP(A243,'Sets (lua data)'!$A$3:$C$9920,2,FALSE)</f>
        <v>Der Grüne Pakt</v>
      </c>
    </row>
    <row r="244" spans="1:3" x14ac:dyDescent="0.25">
      <c r="A244" s="11">
        <v>288</v>
      </c>
      <c r="B244" s="8" t="str">
        <f>VLOOKUP(A244,'Sets (lua data)'!$A$3:$C$9920,3,FALSE)</f>
        <v>Beekeeper\'s Gear</v>
      </c>
      <c r="C244" s="8" t="str">
        <f>VLOOKUP(A244,'Sets (lua data)'!$A$3:$C$9920,2,FALSE)</f>
        <v>Werkzeug des Bienenhüters</v>
      </c>
    </row>
    <row r="245" spans="1:3" x14ac:dyDescent="0.25">
      <c r="A245" s="11">
        <v>289</v>
      </c>
      <c r="B245" s="8" t="str">
        <f>VLOOKUP(A245,'Sets (lua data)'!$A$3:$C$9920,3,FALSE)</f>
        <v>Spinner\'s Garments</v>
      </c>
      <c r="C245" s="8" t="str">
        <f>VLOOKUP(A245,'Sets (lua data)'!$A$3:$C$9920,2,FALSE)</f>
        <v>Gewänder des Webers</v>
      </c>
    </row>
    <row r="246" spans="1:3" x14ac:dyDescent="0.25">
      <c r="A246" s="11">
        <v>290</v>
      </c>
      <c r="B246" s="8" t="str">
        <f>VLOOKUP(A246,'Sets (lua data)'!$A$3:$C$9920,3,FALSE)</f>
        <v>Skooma Smuggler</v>
      </c>
      <c r="C246" s="8" t="str">
        <f>VLOOKUP(A246,'Sets (lua data)'!$A$3:$C$9920,2,FALSE)</f>
        <v>Skoomaschmuggler</v>
      </c>
    </row>
    <row r="247" spans="1:3" x14ac:dyDescent="0.25">
      <c r="A247" s="11">
        <v>291</v>
      </c>
      <c r="B247" s="8" t="str">
        <f>VLOOKUP(A247,'Sets (lua data)'!$A$3:$C$9920,3,FALSE)</f>
        <v>Shalk Exoskeleton</v>
      </c>
      <c r="C247" s="8" t="str">
        <f>VLOOKUP(A247,'Sets (lua data)'!$A$3:$C$9920,2,FALSE)</f>
        <v>Schröterpanzer</v>
      </c>
    </row>
    <row r="248" spans="1:3" x14ac:dyDescent="0.25">
      <c r="A248" s="11">
        <v>292</v>
      </c>
      <c r="B248" s="8" t="str">
        <f>VLOOKUP(A248,'Sets (lua data)'!$A$3:$C$9920,3,FALSE)</f>
        <v>Mother\'s Sorrow</v>
      </c>
      <c r="C248" s="8" t="str">
        <f>VLOOKUP(A248,'Sets (lua data)'!$A$3:$C$9920,2,FALSE)</f>
        <v>Muttertränen</v>
      </c>
    </row>
    <row r="249" spans="1:3" x14ac:dyDescent="0.25">
      <c r="A249" s="11">
        <v>293</v>
      </c>
      <c r="B249" s="8" t="str">
        <f>VLOOKUP(A249,'Sets (lua data)'!$A$3:$C$9920,3,FALSE)</f>
        <v>Plague Doctor</v>
      </c>
      <c r="C249" s="8" t="str">
        <f>VLOOKUP(A249,'Sets (lua data)'!$A$3:$C$9920,2,FALSE)</f>
        <v>Seuchendoktor</v>
      </c>
    </row>
    <row r="250" spans="1:3" x14ac:dyDescent="0.25">
      <c r="A250" s="11">
        <v>294</v>
      </c>
      <c r="B250" s="8" t="str">
        <f>VLOOKUP(A250,'Sets (lua data)'!$A$3:$C$9920,3,FALSE)</f>
        <v>Ysgramor\'s Birthright</v>
      </c>
      <c r="C250" s="8" t="str">
        <f>VLOOKUP(A250,'Sets (lua data)'!$A$3:$C$9920,2,FALSE)</f>
        <v>Ysgramors Geburtsrecht</v>
      </c>
    </row>
    <row r="251" spans="1:3" x14ac:dyDescent="0.25">
      <c r="A251" s="11">
        <v>295</v>
      </c>
      <c r="B251" s="8" t="str">
        <f>VLOOKUP(A251,'Sets (lua data)'!$A$3:$C$9920,3,FALSE)</f>
        <v>Jailbreaker</v>
      </c>
      <c r="C251" s="8" t="str">
        <f>VLOOKUP(A251,'Sets (lua data)'!$A$3:$C$9920,2,FALSE)</f>
        <v>Ausbrecher</v>
      </c>
    </row>
    <row r="252" spans="1:3" x14ac:dyDescent="0.25">
      <c r="A252" s="11">
        <v>296</v>
      </c>
      <c r="B252" s="8" t="str">
        <f>VLOOKUP(A252,'Sets (lua data)'!$A$3:$C$9920,3,FALSE)</f>
        <v>Spelunker</v>
      </c>
      <c r="C252" s="8" t="str">
        <f>VLOOKUP(A252,'Sets (lua data)'!$A$3:$C$9920,2,FALSE)</f>
        <v>Höhlenforscher</v>
      </c>
    </row>
    <row r="253" spans="1:3" x14ac:dyDescent="0.25">
      <c r="A253" s="11">
        <v>297</v>
      </c>
      <c r="B253" s="8" t="str">
        <f>VLOOKUP(A253,'Sets (lua data)'!$A$3:$C$9920,3,FALSE)</f>
        <v>Spider Cultist Cowl</v>
      </c>
      <c r="C253" s="8" t="str">
        <f>VLOOKUP(A253,'Sets (lua data)'!$A$3:$C$9920,2,FALSE)</f>
        <v>Spinnenkultistenkutte</v>
      </c>
    </row>
    <row r="254" spans="1:3" x14ac:dyDescent="0.25">
      <c r="A254" s="11">
        <v>298</v>
      </c>
      <c r="B254" s="8" t="str">
        <f>VLOOKUP(A254,'Sets (lua data)'!$A$3:$C$9920,3,FALSE)</f>
        <v>Light Speaker</v>
      </c>
      <c r="C254" s="8" t="str">
        <f>VLOOKUP(A254,'Sets (lua data)'!$A$3:$C$9920,2,FALSE)</f>
        <v>Lichtsprecher</v>
      </c>
    </row>
    <row r="255" spans="1:3" x14ac:dyDescent="0.25">
      <c r="A255" s="11">
        <v>299</v>
      </c>
      <c r="B255" s="8" t="str">
        <f>VLOOKUP(A255,'Sets (lua data)'!$A$3:$C$9920,3,FALSE)</f>
        <v>Toothrow</v>
      </c>
      <c r="C255" s="8" t="str">
        <f>VLOOKUP(A255,'Sets (lua data)'!$A$3:$C$9920,2,FALSE)</f>
        <v>Zahnreihe</v>
      </c>
    </row>
    <row r="256" spans="1:3" x14ac:dyDescent="0.25">
      <c r="A256" s="11">
        <v>300</v>
      </c>
      <c r="B256" s="8" t="str">
        <f>VLOOKUP(A256,'Sets (lua data)'!$A$3:$C$9920,3,FALSE)</f>
        <v>Netch\'s Touch</v>
      </c>
      <c r="C256" s="8" t="str">
        <f>VLOOKUP(A256,'Sets (lua data)'!$A$3:$C$9920,2,FALSE)</f>
        <v>Berührung des Netch</v>
      </c>
    </row>
    <row r="257" spans="1:3" x14ac:dyDescent="0.25">
      <c r="A257" s="11">
        <v>301</v>
      </c>
      <c r="B257" s="8" t="str">
        <f>VLOOKUP(A257,'Sets (lua data)'!$A$3:$C$9920,3,FALSE)</f>
        <v>Strength of the Automaton</v>
      </c>
      <c r="C257" s="8" t="str">
        <f>VLOOKUP(A257,'Sets (lua data)'!$A$3:$C$9920,2,FALSE)</f>
        <v>Stärke des Automaten</v>
      </c>
    </row>
    <row r="258" spans="1:3" x14ac:dyDescent="0.25">
      <c r="A258" s="11">
        <v>302</v>
      </c>
      <c r="B258" s="8" t="str">
        <f>VLOOKUP(A258,'Sets (lua data)'!$A$3:$C$9920,3,FALSE)</f>
        <v>Leviathan</v>
      </c>
      <c r="C258" s="8" t="str">
        <f>VLOOKUP(A258,'Sets (lua data)'!$A$3:$C$9920,2,FALSE)</f>
        <v>Leviathan</v>
      </c>
    </row>
    <row r="259" spans="1:3" x14ac:dyDescent="0.25">
      <c r="A259" s="11">
        <v>303</v>
      </c>
      <c r="B259" s="8" t="str">
        <f>VLOOKUP(A259,'Sets (lua data)'!$A$3:$C$9920,3,FALSE)</f>
        <v>Lamia\'s Song</v>
      </c>
      <c r="C259" s="8" t="str">
        <f>VLOOKUP(A259,'Sets (lua data)'!$A$3:$C$9920,2,FALSE)</f>
        <v>Lied der Lamie</v>
      </c>
    </row>
    <row r="260" spans="1:3" x14ac:dyDescent="0.25">
      <c r="A260" s="11">
        <v>304</v>
      </c>
      <c r="B260" s="8" t="str">
        <f>VLOOKUP(A260,'Sets (lua data)'!$A$3:$C$9920,3,FALSE)</f>
        <v>Medusa</v>
      </c>
      <c r="C260" s="8" t="str">
        <f>VLOOKUP(A260,'Sets (lua data)'!$A$3:$C$9920,2,FALSE)</f>
        <v>Versteinernder Blick</v>
      </c>
    </row>
    <row r="261" spans="1:3" x14ac:dyDescent="0.25">
      <c r="A261" s="11">
        <v>305</v>
      </c>
      <c r="B261" s="8" t="str">
        <f>VLOOKUP(A261,'Sets (lua data)'!$A$3:$C$9920,3,FALSE)</f>
        <v>Treasure Hunter</v>
      </c>
      <c r="C261" s="8" t="str">
        <f>VLOOKUP(A261,'Sets (lua data)'!$A$3:$C$9920,2,FALSE)</f>
        <v>Schatzjäger</v>
      </c>
    </row>
    <row r="262" spans="1:3" x14ac:dyDescent="0.25">
      <c r="A262" s="11">
        <v>307</v>
      </c>
      <c r="B262" s="8" t="str">
        <f>VLOOKUP(A262,'Sets (lua data)'!$A$3:$C$9920,3,FALSE)</f>
        <v>Draugr Hulk</v>
      </c>
      <c r="C262" s="8" t="str">
        <f>VLOOKUP(A262,'Sets (lua data)'!$A$3:$C$9920,2,FALSE)</f>
        <v>Schwerfälliger Draugr</v>
      </c>
    </row>
    <row r="263" spans="1:3" x14ac:dyDescent="0.25">
      <c r="A263" s="11">
        <v>308</v>
      </c>
      <c r="B263" s="8" t="str">
        <f>VLOOKUP(A263,'Sets (lua data)'!$A$3:$C$9920,3,FALSE)</f>
        <v>Bone Pirate\'s Tatters</v>
      </c>
      <c r="C263" s="8" t="str">
        <f>VLOOKUP(A263,'Sets (lua data)'!$A$3:$C$9920,2,FALSE)</f>
        <v>Lumpen des Knochenpiraten</v>
      </c>
    </row>
    <row r="264" spans="1:3" x14ac:dyDescent="0.25">
      <c r="A264" s="11">
        <v>309</v>
      </c>
      <c r="B264" s="8" t="str">
        <f>VLOOKUP(A264,'Sets (lua data)'!$A$3:$C$9920,3,FALSE)</f>
        <v>Knight-errant\'s Mail</v>
      </c>
      <c r="C264" s="8" t="str">
        <f>VLOOKUP(A264,'Sets (lua data)'!$A$3:$C$9920,2,FALSE)</f>
        <v>Platten des Wanderritters</v>
      </c>
    </row>
    <row r="265" spans="1:3" x14ac:dyDescent="0.25">
      <c r="A265" s="11">
        <v>310</v>
      </c>
      <c r="B265" s="8" t="str">
        <f>VLOOKUP(A265,'Sets (lua data)'!$A$3:$C$9920,3,FALSE)</f>
        <v>Sword Dancer</v>
      </c>
      <c r="C265" s="8" t="str">
        <f>VLOOKUP(A265,'Sets (lua data)'!$A$3:$C$9920,2,FALSE)</f>
        <v>Schwerttänzer</v>
      </c>
    </row>
    <row r="266" spans="1:3" x14ac:dyDescent="0.25">
      <c r="A266" s="11">
        <v>311</v>
      </c>
      <c r="B266" s="8" t="str">
        <f>VLOOKUP(A266,'Sets (lua data)'!$A$3:$C$9920,3,FALSE)</f>
        <v>Rattlecage</v>
      </c>
      <c r="C266" s="8" t="str">
        <f>VLOOKUP(A266,'Sets (lua data)'!$A$3:$C$9920,2,FALSE)</f>
        <v>Klapperkäfig</v>
      </c>
    </row>
    <row r="267" spans="1:3" x14ac:dyDescent="0.25">
      <c r="A267" s="11">
        <v>313</v>
      </c>
      <c r="B267" s="8" t="str">
        <f>VLOOKUP(A267,'Sets (lua data)'!$A$3:$C$9920,3,FALSE)</f>
        <v>Titanic Cleave</v>
      </c>
      <c r="C267" s="8" t="str">
        <f>VLOOKUP(A267,'Sets (lua data)'!$A$3:$C$9920,2,FALSE)</f>
        <v>Titanisches Trennen</v>
      </c>
    </row>
    <row r="268" spans="1:3" x14ac:dyDescent="0.25">
      <c r="A268" s="11">
        <v>314</v>
      </c>
      <c r="B268" s="8" t="str">
        <f>VLOOKUP(A268,'Sets (lua data)'!$A$3:$C$9920,3,FALSE)</f>
        <v>Puncturing Remedy</v>
      </c>
      <c r="C268" s="8" t="str">
        <f>VLOOKUP(A268,'Sets (lua data)'!$A$3:$C$9920,2,FALSE)</f>
        <v>Durchschlagende Genesung</v>
      </c>
    </row>
    <row r="269" spans="1:3" x14ac:dyDescent="0.25">
      <c r="A269" s="11">
        <v>315</v>
      </c>
      <c r="B269" s="8" t="str">
        <f>VLOOKUP(A269,'Sets (lua data)'!$A$3:$C$9920,3,FALSE)</f>
        <v>Stinging Slashes</v>
      </c>
      <c r="C269" s="8" t="str">
        <f>VLOOKUP(A269,'Sets (lua data)'!$A$3:$C$9920,2,FALSE)</f>
        <v>Stechende Schnitte</v>
      </c>
    </row>
    <row r="270" spans="1:3" x14ac:dyDescent="0.25">
      <c r="A270" s="11">
        <v>316</v>
      </c>
      <c r="B270" s="8" t="str">
        <f>VLOOKUP(A270,'Sets (lua data)'!$A$3:$C$9920,3,FALSE)</f>
        <v>Caustic Arrow</v>
      </c>
      <c r="C270" s="8" t="str">
        <f>VLOOKUP(A270,'Sets (lua data)'!$A$3:$C$9920,2,FALSE)</f>
        <v>Beißender Pfeil</v>
      </c>
    </row>
    <row r="271" spans="1:3" x14ac:dyDescent="0.25">
      <c r="A271" s="11">
        <v>317</v>
      </c>
      <c r="B271" s="8" t="str">
        <f>VLOOKUP(A271,'Sets (lua data)'!$A$3:$C$9920,3,FALSE)</f>
        <v>Destructive Impact</v>
      </c>
      <c r="C271" s="8" t="str">
        <f>VLOOKUP(A271,'Sets (lua data)'!$A$3:$C$9920,2,FALSE)</f>
        <v>Zerstörerischer Einschlag</v>
      </c>
    </row>
    <row r="272" spans="1:3" x14ac:dyDescent="0.25">
      <c r="A272" s="11">
        <v>318</v>
      </c>
      <c r="B272" s="8" t="str">
        <f>VLOOKUP(A272,'Sets (lua data)'!$A$3:$C$9920,3,FALSE)</f>
        <v>Grand Rejuvenation</v>
      </c>
      <c r="C272" s="8" t="str">
        <f>VLOOKUP(A272,'Sets (lua data)'!$A$3:$C$9920,2,FALSE)</f>
        <v>Große Verjüngung</v>
      </c>
    </row>
    <row r="273" spans="1:3" x14ac:dyDescent="0.25">
      <c r="A273" s="11">
        <v>320</v>
      </c>
      <c r="B273" s="8" t="str">
        <f>VLOOKUP(A273,'Sets (lua data)'!$A$3:$C$9920,3,FALSE)</f>
        <v>War Maiden</v>
      </c>
      <c r="C273" s="8" t="str">
        <f>VLOOKUP(A273,'Sets (lua data)'!$A$3:$C$9920,2,FALSE)</f>
        <v>Kriegsjungfer</v>
      </c>
    </row>
    <row r="274" spans="1:3" x14ac:dyDescent="0.25">
      <c r="A274" s="11">
        <v>321</v>
      </c>
      <c r="B274" s="8" t="str">
        <f>VLOOKUP(A274,'Sets (lua data)'!$A$3:$C$9920,3,FALSE)</f>
        <v>Defiler</v>
      </c>
      <c r="C274" s="8" t="str">
        <f>VLOOKUP(A274,'Sets (lua data)'!$A$3:$C$9920,2,FALSE)</f>
        <v>Schänder</v>
      </c>
    </row>
    <row r="275" spans="1:3" x14ac:dyDescent="0.25">
      <c r="A275" s="11">
        <v>322</v>
      </c>
      <c r="B275" s="8" t="str">
        <f>VLOOKUP(A275,'Sets (lua data)'!$A$3:$C$9920,3,FALSE)</f>
        <v>Warrior-Poet</v>
      </c>
      <c r="C275" s="8" t="str">
        <f>VLOOKUP(A275,'Sets (lua data)'!$A$3:$C$9920,2,FALSE)</f>
        <v>Kriegerpoet</v>
      </c>
    </row>
    <row r="276" spans="1:3" x14ac:dyDescent="0.25">
      <c r="A276" s="11">
        <v>323</v>
      </c>
      <c r="B276" s="8" t="str">
        <f>VLOOKUP(A276,'Sets (lua data)'!$A$3:$C$9920,3,FALSE)</f>
        <v>Assassin\'s Guile</v>
      </c>
      <c r="C276" s="8" t="str">
        <f>VLOOKUP(A276,'Sets (lua data)'!$A$3:$C$9920,2,FALSE)</f>
        <v>Assassinenlist</v>
      </c>
    </row>
    <row r="277" spans="1:3" x14ac:dyDescent="0.25">
      <c r="A277" s="11">
        <v>324</v>
      </c>
      <c r="B277" s="8" t="str">
        <f>VLOOKUP(A277,'Sets (lua data)'!$A$3:$C$9920,3,FALSE)</f>
        <v>Daedric Trickery</v>
      </c>
      <c r="C277" s="8" t="str">
        <f>VLOOKUP(A277,'Sets (lua data)'!$A$3:$C$9920,2,FALSE)</f>
        <v>Daedrische Gaunerei</v>
      </c>
    </row>
    <row r="278" spans="1:3" x14ac:dyDescent="0.25">
      <c r="A278" s="11">
        <v>325</v>
      </c>
      <c r="B278" s="8" t="str">
        <f>VLOOKUP(A278,'Sets (lua data)'!$A$3:$C$9920,3,FALSE)</f>
        <v>Shacklebreaker</v>
      </c>
      <c r="C278" s="8" t="str">
        <f>VLOOKUP(A278,'Sets (lua data)'!$A$3:$C$9920,2,FALSE)</f>
        <v>Kettensprenger</v>
      </c>
    </row>
    <row r="279" spans="1:3" x14ac:dyDescent="0.25">
      <c r="A279" s="11">
        <v>326</v>
      </c>
      <c r="B279" s="8" t="str">
        <f>VLOOKUP(A279,'Sets (lua data)'!$A$3:$C$9920,3,FALSE)</f>
        <v>Vanguard\'s Challenge</v>
      </c>
      <c r="C279" s="8" t="str">
        <f>VLOOKUP(A279,'Sets (lua data)'!$A$3:$C$9920,2,FALSE)</f>
        <v>Vorhutdisput</v>
      </c>
    </row>
    <row r="280" spans="1:3" x14ac:dyDescent="0.25">
      <c r="A280" s="11">
        <v>327</v>
      </c>
      <c r="B280" s="8" t="str">
        <f>VLOOKUP(A280,'Sets (lua data)'!$A$3:$C$9920,3,FALSE)</f>
        <v>Coward\'s Gear</v>
      </c>
      <c r="C280" s="8" t="str">
        <f>VLOOKUP(A280,'Sets (lua data)'!$A$3:$C$9920,2,FALSE)</f>
        <v>Feiglingstracht</v>
      </c>
    </row>
    <row r="281" spans="1:3" x14ac:dyDescent="0.25">
      <c r="A281" s="11">
        <v>328</v>
      </c>
      <c r="B281" s="8" t="str">
        <f>VLOOKUP(A281,'Sets (lua data)'!$A$3:$C$9920,3,FALSE)</f>
        <v>Knight Slayer</v>
      </c>
      <c r="C281" s="8" t="str">
        <f>VLOOKUP(A281,'Sets (lua data)'!$A$3:$C$9920,2,FALSE)</f>
        <v>Ritterschlächter</v>
      </c>
    </row>
    <row r="282" spans="1:3" x14ac:dyDescent="0.25">
      <c r="A282" s="11">
        <v>329</v>
      </c>
      <c r="B282" s="8" t="str">
        <f>VLOOKUP(A282,'Sets (lua data)'!$A$3:$C$9920,3,FALSE)</f>
        <v>Wizard\'s Riposte</v>
      </c>
      <c r="C282" s="8" t="str">
        <f>VLOOKUP(A282,'Sets (lua data)'!$A$3:$C$9920,2,FALSE)</f>
        <v>Zaubererreplik</v>
      </c>
    </row>
    <row r="283" spans="1:3" x14ac:dyDescent="0.25">
      <c r="A283" s="11">
        <v>330</v>
      </c>
      <c r="B283" s="8" t="str">
        <f>VLOOKUP(A283,'Sets (lua data)'!$A$3:$C$9920,3,FALSE)</f>
        <v>Automated Defense</v>
      </c>
      <c r="C283" s="8" t="str">
        <f>VLOOKUP(A283,'Sets (lua data)'!$A$3:$C$9920,2,FALSE)</f>
        <v>Automatisierte Verteidigung</v>
      </c>
    </row>
    <row r="284" spans="1:3" x14ac:dyDescent="0.25">
      <c r="A284" s="11">
        <v>331</v>
      </c>
      <c r="B284" s="8" t="str">
        <f>VLOOKUP(A284,'Sets (lua data)'!$A$3:$C$9920,3,FALSE)</f>
        <v>War Machine</v>
      </c>
      <c r="C284" s="8" t="str">
        <f>VLOOKUP(A284,'Sets (lua data)'!$A$3:$C$9920,2,FALSE)</f>
        <v>Kriegsmaschine</v>
      </c>
    </row>
    <row r="285" spans="1:3" x14ac:dyDescent="0.25">
      <c r="A285" s="11">
        <v>332</v>
      </c>
      <c r="B285" s="8" t="str">
        <f>VLOOKUP(A285,'Sets (lua data)'!$A$3:$C$9920,3,FALSE)</f>
        <v>Master Architect</v>
      </c>
      <c r="C285" s="8" t="str">
        <f>VLOOKUP(A285,'Sets (lua data)'!$A$3:$C$9920,2,FALSE)</f>
        <v>Meisterarchitekt</v>
      </c>
    </row>
    <row r="286" spans="1:3" x14ac:dyDescent="0.25">
      <c r="A286" s="11">
        <v>333</v>
      </c>
      <c r="B286" s="8" t="str">
        <f>VLOOKUP(A286,'Sets (lua data)'!$A$3:$C$9920,3,FALSE)</f>
        <v>Inventor\'s Guard</v>
      </c>
      <c r="C286" s="8" t="str">
        <f>VLOOKUP(A286,'Sets (lua data)'!$A$3:$C$9920,2,FALSE)</f>
        <v>Erfindergarde</v>
      </c>
    </row>
    <row r="287" spans="1:3" x14ac:dyDescent="0.25">
      <c r="A287" s="11">
        <v>334</v>
      </c>
      <c r="B287" s="8" t="str">
        <f>VLOOKUP(A287,'Sets (lua data)'!$A$3:$C$9920,3,FALSE)</f>
        <v>Impregnable Armor</v>
      </c>
      <c r="C287" s="8" t="str">
        <f>VLOOKUP(A287,'Sets (lua data)'!$A$3:$C$9920,2,FALSE)</f>
        <v>Unüberwindliche Rüstung</v>
      </c>
    </row>
    <row r="288" spans="1:3" x14ac:dyDescent="0.25">
      <c r="A288" s="11">
        <v>335</v>
      </c>
      <c r="B288" s="8" t="str">
        <f>VLOOKUP(A288,'Sets (lua data)'!$A$3:$C$9920,3,FALSE)</f>
        <v>Draugr\'s Rest</v>
      </c>
      <c r="C288" s="8" t="str">
        <f>VLOOKUP(A288,'Sets (lua data)'!$A$3:$C$9920,2,FALSE)</f>
        <v>Draugrruhe</v>
      </c>
    </row>
    <row r="289" spans="1:3" x14ac:dyDescent="0.25">
      <c r="A289" s="11">
        <v>336</v>
      </c>
      <c r="B289" s="8" t="str">
        <f>VLOOKUP(A289,'Sets (lua data)'!$A$3:$C$9920,3,FALSE)</f>
        <v>Pillar of Nirn</v>
      </c>
      <c r="C289" s="8" t="str">
        <f>VLOOKUP(A289,'Sets (lua data)'!$A$3:$C$9920,2,FALSE)</f>
        <v>Säulen von Nirn</v>
      </c>
    </row>
    <row r="290" spans="1:3" x14ac:dyDescent="0.25">
      <c r="A290" s="11">
        <v>337</v>
      </c>
      <c r="B290" s="8" t="str">
        <f>VLOOKUP(A290,'Sets (lua data)'!$A$3:$C$9920,3,FALSE)</f>
        <v>Ironblood</v>
      </c>
      <c r="C290" s="8" t="str">
        <f>VLOOKUP(A290,'Sets (lua data)'!$A$3:$C$9920,2,FALSE)</f>
        <v>Eisenblut</v>
      </c>
    </row>
    <row r="291" spans="1:3" x14ac:dyDescent="0.25">
      <c r="A291" s="11">
        <v>338</v>
      </c>
      <c r="B291" s="8" t="str">
        <f>VLOOKUP(A291,'Sets (lua data)'!$A$3:$C$9920,3,FALSE)</f>
        <v>Flame Blossom</v>
      </c>
      <c r="C291" s="8" t="str">
        <f>VLOOKUP(A291,'Sets (lua data)'!$A$3:$C$9920,2,FALSE)</f>
        <v>Flammenblüte</v>
      </c>
    </row>
    <row r="292" spans="1:3" x14ac:dyDescent="0.25">
      <c r="A292" s="11">
        <v>339</v>
      </c>
      <c r="B292" s="8" t="str">
        <f>VLOOKUP(A292,'Sets (lua data)'!$A$3:$C$9920,3,FALSE)</f>
        <v>Blooddrinker</v>
      </c>
      <c r="C292" s="8" t="str">
        <f>VLOOKUP(A292,'Sets (lua data)'!$A$3:$C$9920,2,FALSE)</f>
        <v>Bluttrinker</v>
      </c>
    </row>
    <row r="293" spans="1:3" x14ac:dyDescent="0.25">
      <c r="A293" s="11">
        <v>340</v>
      </c>
      <c r="B293" s="8" t="str">
        <f>VLOOKUP(A293,'Sets (lua data)'!$A$3:$C$9920,3,FALSE)</f>
        <v>Hagraven\'s Garden</v>
      </c>
      <c r="C293" s="8" t="str">
        <f>VLOOKUP(A293,'Sets (lua data)'!$A$3:$C$9920,2,FALSE)</f>
        <v>Vettelgarten</v>
      </c>
    </row>
    <row r="294" spans="1:3" x14ac:dyDescent="0.25">
      <c r="A294" s="11">
        <v>341</v>
      </c>
      <c r="B294" s="8" t="str">
        <f>VLOOKUP(A294,'Sets (lua data)'!$A$3:$C$9920,3,FALSE)</f>
        <v>Earthgore</v>
      </c>
      <c r="C294" s="8" t="str">
        <f>VLOOKUP(A294,'Sets (lua data)'!$A$3:$C$9920,2,FALSE)</f>
        <v>Erdbluter</v>
      </c>
    </row>
    <row r="295" spans="1:3" x14ac:dyDescent="0.25">
      <c r="A295" s="11">
        <v>342</v>
      </c>
      <c r="B295" s="8" t="str">
        <f>VLOOKUP(A295,'Sets (lua data)'!$A$3:$C$9920,3,FALSE)</f>
        <v>Domihaus</v>
      </c>
      <c r="C295" s="8" t="str">
        <f>VLOOKUP(A295,'Sets (lua data)'!$A$3:$C$9920,2,FALSE)</f>
        <v>Domihaus</v>
      </c>
    </row>
    <row r="296" spans="1:3" x14ac:dyDescent="0.25">
      <c r="A296" s="11">
        <v>343</v>
      </c>
      <c r="B296" s="8" t="str">
        <f>VLOOKUP(A296,'Sets (lua data)'!$A$3:$C$9920,3,FALSE)</f>
        <v>Caluurion\'s Legacy</v>
      </c>
      <c r="C296" s="8" t="str">
        <f>VLOOKUP(A296,'Sets (lua data)'!$A$3:$C$9920,2,FALSE)</f>
        <v>Caluurions Erbe</v>
      </c>
    </row>
    <row r="297" spans="1:3" x14ac:dyDescent="0.25">
      <c r="A297" s="11">
        <v>344</v>
      </c>
      <c r="B297" s="8" t="str">
        <f>VLOOKUP(A297,'Sets (lua data)'!$A$3:$C$9920,3,FALSE)</f>
        <v>Trappings of Invigoration</v>
      </c>
      <c r="C297" s="8" t="str">
        <f>VLOOKUP(A297,'Sets (lua data)'!$A$3:$C$9920,2,FALSE)</f>
        <v>Stärkungsprunk</v>
      </c>
    </row>
    <row r="298" spans="1:3" x14ac:dyDescent="0.25">
      <c r="A298" s="11">
        <v>345</v>
      </c>
      <c r="B298" s="8" t="str">
        <f>VLOOKUP(A298,'Sets (lua data)'!$A$3:$C$9920,3,FALSE)</f>
        <v>Ulfnor\'s Favor</v>
      </c>
      <c r="C298" s="8" t="str">
        <f>VLOOKUP(A298,'Sets (lua data)'!$A$3:$C$9920,2,FALSE)</f>
        <v>Ulfnors Gunst</v>
      </c>
    </row>
    <row r="299" spans="1:3" x14ac:dyDescent="0.25">
      <c r="A299" s="11">
        <v>346</v>
      </c>
      <c r="B299" s="8" t="str">
        <f>VLOOKUP(A299,'Sets (lua data)'!$A$3:$C$9920,3,FALSE)</f>
        <v>Jorvuld\'s Guidance</v>
      </c>
      <c r="C299" s="8" t="str">
        <f>VLOOKUP(A299,'Sets (lua data)'!$A$3:$C$9920,2,FALSE)</f>
        <v>Jorvulds Führung</v>
      </c>
    </row>
    <row r="300" spans="1:3" x14ac:dyDescent="0.25">
      <c r="A300" s="11">
        <v>347</v>
      </c>
      <c r="B300" s="8" t="str">
        <f>VLOOKUP(A300,'Sets (lua data)'!$A$3:$C$9920,3,FALSE)</f>
        <v>Plague Slinger</v>
      </c>
      <c r="C300" s="8" t="str">
        <f>VLOOKUP(A300,'Sets (lua data)'!$A$3:$C$9920,2,FALSE)</f>
        <v>Seuchenschleuder</v>
      </c>
    </row>
    <row r="301" spans="1:3" x14ac:dyDescent="0.25">
      <c r="A301" s="11">
        <v>348</v>
      </c>
      <c r="B301" s="8" t="str">
        <f>VLOOKUP(A301,'Sets (lua data)'!$A$3:$C$9920,3,FALSE)</f>
        <v>Curse of Doylemish</v>
      </c>
      <c r="C301" s="8" t="str">
        <f>VLOOKUP(A301,'Sets (lua data)'!$A$3:$C$9920,2,FALSE)</f>
        <v>Fluch von Doylemish</v>
      </c>
    </row>
    <row r="302" spans="1:3" x14ac:dyDescent="0.25">
      <c r="A302" s="11">
        <v>349</v>
      </c>
      <c r="B302" s="8" t="str">
        <f>VLOOKUP(A302,'Sets (lua data)'!$A$3:$C$9920,3,FALSE)</f>
        <v>Thurvokun</v>
      </c>
      <c r="C302" s="8" t="str">
        <f>VLOOKUP(A302,'Sets (lua data)'!$A$3:$C$9920,2,FALSE)</f>
        <v>Thurvokun</v>
      </c>
    </row>
    <row r="303" spans="1:3" x14ac:dyDescent="0.25">
      <c r="A303" s="11">
        <v>350</v>
      </c>
      <c r="B303" s="8" t="str">
        <f>VLOOKUP(A303,'Sets (lua data)'!$A$3:$C$9920,3,FALSE)</f>
        <v>Zaan</v>
      </c>
      <c r="C303" s="8" t="str">
        <f>VLOOKUP(A303,'Sets (lua data)'!$A$3:$C$9920,2,FALSE)</f>
        <v>Zaan</v>
      </c>
    </row>
    <row r="304" spans="1:3" x14ac:dyDescent="0.25">
      <c r="A304" s="11">
        <v>351</v>
      </c>
      <c r="B304" s="8" t="str">
        <f>VLOOKUP(A304,'Sets (lua data)'!$A$3:$C$9920,3,FALSE)</f>
        <v>Innate Axiom</v>
      </c>
      <c r="C304" s="8" t="str">
        <f>VLOOKUP(A304,'Sets (lua data)'!$A$3:$C$9920,2,FALSE)</f>
        <v>Kernaxiom</v>
      </c>
    </row>
    <row r="305" spans="1:3" x14ac:dyDescent="0.25">
      <c r="A305" s="11">
        <v>352</v>
      </c>
      <c r="B305" s="8" t="str">
        <f>VLOOKUP(A305,'Sets (lua data)'!$A$3:$C$9920,3,FALSE)</f>
        <v>Fortified Brass</v>
      </c>
      <c r="C305" s="8" t="str">
        <f>VLOOKUP(A305,'Sets (lua data)'!$A$3:$C$9920,2,FALSE)</f>
        <v>Messingpanzer</v>
      </c>
    </row>
    <row r="306" spans="1:3" x14ac:dyDescent="0.25">
      <c r="A306" s="11">
        <v>353</v>
      </c>
      <c r="B306" s="8" t="str">
        <f>VLOOKUP(A306,'Sets (lua data)'!$A$3:$C$9920,3,FALSE)</f>
        <v>Mechanical Acuity</v>
      </c>
      <c r="C306" s="8" t="str">
        <f>VLOOKUP(A306,'Sets (lua data)'!$A$3:$C$9920,2,FALSE)</f>
        <v>Mechanikblick</v>
      </c>
    </row>
    <row r="307" spans="1:3" x14ac:dyDescent="0.25">
      <c r="A307" s="11">
        <v>354</v>
      </c>
      <c r="B307" s="8" t="str">
        <f>VLOOKUP(A307,'Sets (lua data)'!$A$3:$C$9920,3,FALSE)</f>
        <v>Mad Tinkerer</v>
      </c>
      <c r="C307" s="8" t="str">
        <f>VLOOKUP(A307,'Sets (lua data)'!$A$3:$C$9920,2,FALSE)</f>
        <v>Wahntüftler</v>
      </c>
    </row>
    <row r="308" spans="1:3" x14ac:dyDescent="0.25">
      <c r="A308" s="11">
        <v>355</v>
      </c>
      <c r="B308" s="8" t="str">
        <f>VLOOKUP(A308,'Sets (lua data)'!$A$3:$C$9920,3,FALSE)</f>
        <v>Unfathomable Darkness</v>
      </c>
      <c r="C308" s="8" t="str">
        <f>VLOOKUP(A308,'Sets (lua data)'!$A$3:$C$9920,2,FALSE)</f>
        <v>Unermessliche Dunkelheit</v>
      </c>
    </row>
    <row r="309" spans="1:3" x14ac:dyDescent="0.25">
      <c r="A309" s="11">
        <v>356</v>
      </c>
      <c r="B309" s="8" t="str">
        <f>VLOOKUP(A309,'Sets (lua data)'!$A$3:$C$9920,3,FALSE)</f>
        <v>Livewire</v>
      </c>
      <c r="C309" s="8" t="str">
        <f>VLOOKUP(A309,'Sets (lua data)'!$A$3:$C$9920,2,FALSE)</f>
        <v>Stromschlag</v>
      </c>
    </row>
    <row r="310" spans="1:3" x14ac:dyDescent="0.25">
      <c r="A310" s="11">
        <v>357</v>
      </c>
      <c r="B310" s="8" t="str">
        <f>VLOOKUP(A310,'Sets (lua data)'!$A$3:$C$9920,3,FALSE)</f>
        <v>Perfected Disciplined Slash</v>
      </c>
      <c r="C310" s="8" t="str">
        <f>VLOOKUP(A310,'Sets (lua data)'!$A$3:$C$9920,2,FALSE)</f>
        <v>Vollendeter Disziplinierter Schnitt</v>
      </c>
    </row>
    <row r="311" spans="1:3" x14ac:dyDescent="0.25">
      <c r="A311" s="11">
        <v>358</v>
      </c>
      <c r="B311" s="8" t="str">
        <f>VLOOKUP(A311,'Sets (lua data)'!$A$3:$C$9920,3,FALSE)</f>
        <v>Perfected Defensive Position</v>
      </c>
      <c r="C311" s="8" t="str">
        <f>VLOOKUP(A311,'Sets (lua data)'!$A$3:$C$9920,2,FALSE)</f>
        <v>Vollendete Defensive Position</v>
      </c>
    </row>
    <row r="312" spans="1:3" x14ac:dyDescent="0.25">
      <c r="A312" s="11">
        <v>359</v>
      </c>
      <c r="B312" s="8" t="str">
        <f>VLOOKUP(A312,'Sets (lua data)'!$A$3:$C$9920,3,FALSE)</f>
        <v>Perfected Chaotic Whirlwind</v>
      </c>
      <c r="C312" s="8" t="str">
        <f>VLOOKUP(A312,'Sets (lua data)'!$A$3:$C$9920,2,FALSE)</f>
        <v>Vollendeter Chaotischer Wirbelwind</v>
      </c>
    </row>
    <row r="313" spans="1:3" x14ac:dyDescent="0.25">
      <c r="A313" s="11">
        <v>360</v>
      </c>
      <c r="B313" s="8" t="str">
        <f>VLOOKUP(A313,'Sets (lua data)'!$A$3:$C$9920,3,FALSE)</f>
        <v>Perfected Piercing Spray</v>
      </c>
      <c r="C313" s="8" t="str">
        <f>VLOOKUP(A313,'Sets (lua data)'!$A$3:$C$9920,2,FALSE)</f>
        <v>Vollendete Durchdringende Salve</v>
      </c>
    </row>
    <row r="314" spans="1:3" x14ac:dyDescent="0.25">
      <c r="A314" s="11">
        <v>361</v>
      </c>
      <c r="B314" s="8" t="str">
        <f>VLOOKUP(A314,'Sets (lua data)'!$A$3:$C$9920,3,FALSE)</f>
        <v>Perfected Concentrated Force</v>
      </c>
      <c r="C314" s="8" t="str">
        <f>VLOOKUP(A314,'Sets (lua data)'!$A$3:$C$9920,2,FALSE)</f>
        <v>Vollendete Konzentrierte Kraft</v>
      </c>
    </row>
    <row r="315" spans="1:3" x14ac:dyDescent="0.25">
      <c r="A315" s="11">
        <v>362</v>
      </c>
      <c r="B315" s="8" t="str">
        <f>VLOOKUP(A315,'Sets (lua data)'!$A$3:$C$9920,3,FALSE)</f>
        <v>Perfected Timeless Blessing</v>
      </c>
      <c r="C315" s="8" t="str">
        <f>VLOOKUP(A315,'Sets (lua data)'!$A$3:$C$9920,2,FALSE)</f>
        <v>Vollendeter Zeitloser Segen</v>
      </c>
    </row>
    <row r="316" spans="1:3" x14ac:dyDescent="0.25">
      <c r="A316" s="11">
        <v>363</v>
      </c>
      <c r="B316" s="8" t="str">
        <f>VLOOKUP(A316,'Sets (lua data)'!$A$3:$C$9920,3,FALSE)</f>
        <v>Disciplined Slash</v>
      </c>
      <c r="C316" s="8" t="str">
        <f>VLOOKUP(A316,'Sets (lua data)'!$A$3:$C$9920,2,FALSE)</f>
        <v>Disziplinierter Schnitt</v>
      </c>
    </row>
    <row r="317" spans="1:3" x14ac:dyDescent="0.25">
      <c r="A317" s="11">
        <v>364</v>
      </c>
      <c r="B317" s="8" t="str">
        <f>VLOOKUP(A317,'Sets (lua data)'!$A$3:$C$9920,3,FALSE)</f>
        <v>Defensive Position</v>
      </c>
      <c r="C317" s="8" t="str">
        <f>VLOOKUP(A317,'Sets (lua data)'!$A$3:$C$9920,2,FALSE)</f>
        <v>Defensive Position</v>
      </c>
    </row>
    <row r="318" spans="1:3" x14ac:dyDescent="0.25">
      <c r="A318" s="11">
        <v>365</v>
      </c>
      <c r="B318" s="8" t="str">
        <f>VLOOKUP(A318,'Sets (lua data)'!$A$3:$C$9920,3,FALSE)</f>
        <v>Chaotic Whirlwind</v>
      </c>
      <c r="C318" s="8" t="str">
        <f>VLOOKUP(A318,'Sets (lua data)'!$A$3:$C$9920,2,FALSE)</f>
        <v>Chaotischer Wirbelwind</v>
      </c>
    </row>
    <row r="319" spans="1:3" x14ac:dyDescent="0.25">
      <c r="A319" s="11">
        <v>366</v>
      </c>
      <c r="B319" s="8" t="str">
        <f>VLOOKUP(A319,'Sets (lua data)'!$A$3:$C$9920,3,FALSE)</f>
        <v>Piercing Spray</v>
      </c>
      <c r="C319" s="8" t="str">
        <f>VLOOKUP(A319,'Sets (lua data)'!$A$3:$C$9920,2,FALSE)</f>
        <v>Durchdringende Salve</v>
      </c>
    </row>
    <row r="320" spans="1:3" x14ac:dyDescent="0.25">
      <c r="A320" s="11">
        <v>367</v>
      </c>
      <c r="B320" s="8" t="str">
        <f>VLOOKUP(A320,'Sets (lua data)'!$A$3:$C$9920,3,FALSE)</f>
        <v>Concentrated Force</v>
      </c>
      <c r="C320" s="8" t="str">
        <f>VLOOKUP(A320,'Sets (lua data)'!$A$3:$C$9920,2,FALSE)</f>
        <v>Konzentrierte Kraft</v>
      </c>
    </row>
    <row r="321" spans="1:3" x14ac:dyDescent="0.25">
      <c r="A321" s="11">
        <v>368</v>
      </c>
      <c r="B321" s="8" t="str">
        <f>VLOOKUP(A321,'Sets (lua data)'!$A$3:$C$9920,3,FALSE)</f>
        <v>Timeless Blessing</v>
      </c>
      <c r="C321" s="8" t="str">
        <f>VLOOKUP(A321,'Sets (lua data)'!$A$3:$C$9920,2,FALSE)</f>
        <v>Zeitloser Segen</v>
      </c>
    </row>
    <row r="322" spans="1:3" x14ac:dyDescent="0.25">
      <c r="A322" s="11">
        <v>369</v>
      </c>
      <c r="B322" s="8" t="str">
        <f>VLOOKUP(A322,'Sets (lua data)'!$A$3:$C$9920,3,FALSE)</f>
        <v>Merciless Charge</v>
      </c>
      <c r="C322" s="8" t="str">
        <f>VLOOKUP(A322,'Sets (lua data)'!$A$3:$C$9920,2,FALSE)</f>
        <v>Gnadenloser Ansturm</v>
      </c>
    </row>
    <row r="323" spans="1:3" x14ac:dyDescent="0.25">
      <c r="A323" s="11">
        <v>370</v>
      </c>
      <c r="B323" s="8" t="str">
        <f>VLOOKUP(A323,'Sets (lua data)'!$A$3:$C$9920,3,FALSE)</f>
        <v>Rampaging Slash</v>
      </c>
      <c r="C323" s="8" t="str">
        <f>VLOOKUP(A323,'Sets (lua data)'!$A$3:$C$9920,2,FALSE)</f>
        <v>Tobender Schnitt</v>
      </c>
    </row>
    <row r="324" spans="1:3" x14ac:dyDescent="0.25">
      <c r="A324" s="11">
        <v>371</v>
      </c>
      <c r="B324" s="8" t="str">
        <f>VLOOKUP(A324,'Sets (lua data)'!$A$3:$C$9920,3,FALSE)</f>
        <v>Cruel Flurry</v>
      </c>
      <c r="C324" s="8" t="str">
        <f>VLOOKUP(A324,'Sets (lua data)'!$A$3:$C$9920,2,FALSE)</f>
        <v>Grausamer Schlaghagel</v>
      </c>
    </row>
    <row r="325" spans="1:3" x14ac:dyDescent="0.25">
      <c r="A325" s="11">
        <v>372</v>
      </c>
      <c r="B325" s="8" t="str">
        <f>VLOOKUP(A325,'Sets (lua data)'!$A$3:$C$9920,3,FALSE)</f>
        <v>Thunderous Volley</v>
      </c>
      <c r="C325" s="8" t="str">
        <f>VLOOKUP(A325,'Sets (lua data)'!$A$3:$C$9920,2,FALSE)</f>
        <v>Donnernde Salve</v>
      </c>
    </row>
    <row r="326" spans="1:3" x14ac:dyDescent="0.25">
      <c r="A326" s="11">
        <v>373</v>
      </c>
      <c r="B326" s="8" t="str">
        <f>VLOOKUP(A326,'Sets (lua data)'!$A$3:$C$9920,3,FALSE)</f>
        <v>Crushing Wall</v>
      </c>
      <c r="C326" s="8" t="str">
        <f>VLOOKUP(A326,'Sets (lua data)'!$A$3:$C$9920,2,FALSE)</f>
        <v>Zermalmende Mauer</v>
      </c>
    </row>
    <row r="327" spans="1:3" x14ac:dyDescent="0.25">
      <c r="A327" s="11">
        <v>374</v>
      </c>
      <c r="B327" s="8" t="str">
        <f>VLOOKUP(A327,'Sets (lua data)'!$A$3:$C$9920,3,FALSE)</f>
        <v>Precise Regeneration</v>
      </c>
      <c r="C327" s="8" t="str">
        <f>VLOOKUP(A327,'Sets (lua data)'!$A$3:$C$9920,2,FALSE)</f>
        <v>Präzise Regeneration</v>
      </c>
    </row>
    <row r="328" spans="1:3" x14ac:dyDescent="0.25">
      <c r="A328" s="11">
        <v>380</v>
      </c>
      <c r="B328" s="8" t="str">
        <f>VLOOKUP(A328,'Sets (lua data)'!$A$3:$C$9920,3,FALSE)</f>
        <v>Prophet\'s</v>
      </c>
      <c r="C328" s="8" t="str">
        <f>VLOOKUP(A328,'Sets (lua data)'!$A$3:$C$9920,2,FALSE)</f>
        <v>Prophet</v>
      </c>
    </row>
    <row r="329" spans="1:3" x14ac:dyDescent="0.25">
      <c r="A329" s="11">
        <v>381</v>
      </c>
      <c r="B329" s="8" t="str">
        <f>VLOOKUP(A329,'Sets (lua data)'!$A$3:$C$9920,3,FALSE)</f>
        <v>Broken Soul</v>
      </c>
      <c r="C329" s="8" t="str">
        <f>VLOOKUP(A329,'Sets (lua data)'!$A$3:$C$9920,2,FALSE)</f>
        <v>Zerbrochene Seele</v>
      </c>
    </row>
    <row r="330" spans="1:3" x14ac:dyDescent="0.25">
      <c r="A330" s="11">
        <v>382</v>
      </c>
      <c r="B330" s="8" t="str">
        <f>VLOOKUP(A330,'Sets (lua data)'!$A$3:$C$9920,3,FALSE)</f>
        <v>Grace of Gloom</v>
      </c>
      <c r="C330" s="8" t="str">
        <f>VLOOKUP(A330,'Sets (lua data)'!$A$3:$C$9920,2,FALSE)</f>
        <v>Anmut der Gräue</v>
      </c>
    </row>
    <row r="331" spans="1:3" x14ac:dyDescent="0.25">
      <c r="A331" s="11">
        <v>383</v>
      </c>
      <c r="B331" s="8" t="str">
        <f>VLOOKUP(A331,'Sets (lua data)'!$A$3:$C$9920,3,FALSE)</f>
        <v>Gryphon\'s Ferocity</v>
      </c>
      <c r="C331" s="8" t="str">
        <f>VLOOKUP(A331,'Sets (lua data)'!$A$3:$C$9920,2,FALSE)</f>
        <v>Wildheit des Greifen</v>
      </c>
    </row>
    <row r="332" spans="1:3" x14ac:dyDescent="0.25">
      <c r="A332" s="11">
        <v>384</v>
      </c>
      <c r="B332" s="8" t="str">
        <f>VLOOKUP(A332,'Sets (lua data)'!$A$3:$C$9920,3,FALSE)</f>
        <v>Wisdom of Vanus</v>
      </c>
      <c r="C332" s="8" t="str">
        <f>VLOOKUP(A332,'Sets (lua data)'!$A$3:$C$9920,2,FALSE)</f>
        <v>Weisheit von Vanus</v>
      </c>
    </row>
    <row r="333" spans="1:3" x14ac:dyDescent="0.25">
      <c r="A333" s="11">
        <v>385</v>
      </c>
      <c r="B333" s="8" t="str">
        <f>VLOOKUP(A333,'Sets (lua data)'!$A$3:$C$9920,3,FALSE)</f>
        <v>Adept Rider</v>
      </c>
      <c r="C333" s="8" t="str">
        <f>VLOOKUP(A333,'Sets (lua data)'!$A$3:$C$9920,2,FALSE)</f>
        <v>Versierter Reiter</v>
      </c>
    </row>
    <row r="334" spans="1:3" x14ac:dyDescent="0.25">
      <c r="A334" s="11">
        <v>386</v>
      </c>
      <c r="B334" s="8" t="str">
        <f>VLOOKUP(A334,'Sets (lua data)'!$A$3:$C$9920,3,FALSE)</f>
        <v>Sload\'s Semblance</v>
      </c>
      <c r="C334" s="8" t="str">
        <f>VLOOKUP(A334,'Sets (lua data)'!$A$3:$C$9920,2,FALSE)</f>
        <v>Kreckenantlitz</v>
      </c>
    </row>
    <row r="335" spans="1:3" x14ac:dyDescent="0.25">
      <c r="A335" s="11">
        <v>387</v>
      </c>
      <c r="B335" s="8" t="str">
        <f>VLOOKUP(A335,'Sets (lua data)'!$A$3:$C$9920,3,FALSE)</f>
        <v>Nocturnal\'s Favor</v>
      </c>
      <c r="C335" s="8" t="str">
        <f>VLOOKUP(A335,'Sets (lua data)'!$A$3:$C$9920,2,FALSE)</f>
        <v>Nocturnals Gunst</v>
      </c>
    </row>
    <row r="336" spans="1:3" x14ac:dyDescent="0.25">
      <c r="A336" s="11">
        <v>388</v>
      </c>
      <c r="B336" s="8" t="str">
        <f>VLOOKUP(A336,'Sets (lua data)'!$A$3:$C$9920,3,FALSE)</f>
        <v>Aegis of Galenwe</v>
      </c>
      <c r="C336" s="8" t="str">
        <f>VLOOKUP(A336,'Sets (lua data)'!$A$3:$C$9920,2,FALSE)</f>
        <v>Ägis von Galenwe</v>
      </c>
    </row>
    <row r="337" spans="1:3" x14ac:dyDescent="0.25">
      <c r="A337" s="11">
        <v>389</v>
      </c>
      <c r="B337" s="8" t="str">
        <f>VLOOKUP(A337,'Sets (lua data)'!$A$3:$C$9920,3,FALSE)</f>
        <v>Arms of Relequen</v>
      </c>
      <c r="C337" s="8" t="str">
        <f>VLOOKUP(A337,'Sets (lua data)'!$A$3:$C$9920,2,FALSE)</f>
        <v>Waffen von Relequen</v>
      </c>
    </row>
    <row r="338" spans="1:3" x14ac:dyDescent="0.25">
      <c r="A338" s="11">
        <v>390</v>
      </c>
      <c r="B338" s="8" t="str">
        <f>VLOOKUP(A338,'Sets (lua data)'!$A$3:$C$9920,3,FALSE)</f>
        <v>Mantle of Siroria</v>
      </c>
      <c r="C338" s="8" t="str">
        <f>VLOOKUP(A338,'Sets (lua data)'!$A$3:$C$9920,2,FALSE)</f>
        <v>Mantel von Siroria</v>
      </c>
    </row>
    <row r="339" spans="1:3" x14ac:dyDescent="0.25">
      <c r="A339" s="11">
        <v>391</v>
      </c>
      <c r="B339" s="8" t="str">
        <f>VLOOKUP(A339,'Sets (lua data)'!$A$3:$C$9920,3,FALSE)</f>
        <v>Vestment of Olorime</v>
      </c>
      <c r="C339" s="8" t="str">
        <f>VLOOKUP(A339,'Sets (lua data)'!$A$3:$C$9920,2,FALSE)</f>
        <v>Gewandung von Olorime</v>
      </c>
    </row>
    <row r="340" spans="1:3" x14ac:dyDescent="0.25">
      <c r="A340" s="11">
        <v>392</v>
      </c>
      <c r="B340" s="8" t="str">
        <f>VLOOKUP(A340,'Sets (lua data)'!$A$3:$C$9920,3,FALSE)</f>
        <v>Perfect Aegis of Galenwe</v>
      </c>
      <c r="C340" s="8" t="str">
        <f>VLOOKUP(A340,'Sets (lua data)'!$A$3:$C$9920,2,FALSE)</f>
        <v>Perfekte Ägis von Galenwe</v>
      </c>
    </row>
    <row r="341" spans="1:3" x14ac:dyDescent="0.25">
      <c r="A341" s="11">
        <v>393</v>
      </c>
      <c r="B341" s="8" t="str">
        <f>VLOOKUP(A341,'Sets (lua data)'!$A$3:$C$9920,3,FALSE)</f>
        <v>Perfect Arms of Relequen</v>
      </c>
      <c r="C341" s="8" t="str">
        <f>VLOOKUP(A341,'Sets (lua data)'!$A$3:$C$9920,2,FALSE)</f>
        <v>Perfekte Waffen von Relequen</v>
      </c>
    </row>
    <row r="342" spans="1:3" x14ac:dyDescent="0.25">
      <c r="A342" s="11">
        <v>394</v>
      </c>
      <c r="B342" s="8" t="str">
        <f>VLOOKUP(A342,'Sets (lua data)'!$A$3:$C$9920,3,FALSE)</f>
        <v>Perfect Mantle of Siroria</v>
      </c>
      <c r="C342" s="8" t="str">
        <f>VLOOKUP(A342,'Sets (lua data)'!$A$3:$C$9920,2,FALSE)</f>
        <v>Perfekter Mantel von Siroria</v>
      </c>
    </row>
    <row r="343" spans="1:3" x14ac:dyDescent="0.25">
      <c r="A343" s="11">
        <v>395</v>
      </c>
      <c r="B343" s="8" t="str">
        <f>VLOOKUP(A343,'Sets (lua data)'!$A$3:$C$9920,3,FALSE)</f>
        <v>Perfect Vestment of Olorime</v>
      </c>
      <c r="C343" s="8" t="str">
        <f>VLOOKUP(A343,'Sets (lua data)'!$A$3:$C$9920,2,FALSE)</f>
        <v>Perfekte Gewandung von Olorime</v>
      </c>
    </row>
    <row r="344" spans="1:3" x14ac:dyDescent="0.25">
      <c r="A344" s="11">
        <v>397</v>
      </c>
      <c r="B344" s="8" t="str">
        <f>VLOOKUP(A344,'Sets (lua data)'!$A$3:$C$9920,3,FALSE)</f>
        <v>Balorgh</v>
      </c>
      <c r="C344" s="8" t="str">
        <f>VLOOKUP(A344,'Sets (lua data)'!$A$3:$C$9920,2,FALSE)</f>
        <v>Balorgh</v>
      </c>
    </row>
    <row r="345" spans="1:3" x14ac:dyDescent="0.25">
      <c r="A345" s="11">
        <v>398</v>
      </c>
      <c r="B345" s="8" t="str">
        <f>VLOOKUP(A345,'Sets (lua data)'!$A$3:$C$9920,3,FALSE)</f>
        <v>Vykosa</v>
      </c>
      <c r="C345" s="8" t="str">
        <f>VLOOKUP(A345,'Sets (lua data)'!$A$3:$C$9920,2,FALSE)</f>
        <v>Vykosa</v>
      </c>
    </row>
    <row r="346" spans="1:3" x14ac:dyDescent="0.25">
      <c r="A346" s="11">
        <v>399</v>
      </c>
      <c r="B346" s="8" t="str">
        <f>VLOOKUP(A346,'Sets (lua data)'!$A$3:$C$9920,3,FALSE)</f>
        <v>Hanu\'s Compassion</v>
      </c>
      <c r="C346" s="8" t="str">
        <f>VLOOKUP(A346,'Sets (lua data)'!$A$3:$C$9920,2,FALSE)</f>
        <v>Hanus Mitgefühl</v>
      </c>
    </row>
    <row r="347" spans="1:3" x14ac:dyDescent="0.25">
      <c r="A347" s="11">
        <v>400</v>
      </c>
      <c r="B347" s="8" t="str">
        <f>VLOOKUP(A347,'Sets (lua data)'!$A$3:$C$9920,3,FALSE)</f>
        <v>Blood Moon</v>
      </c>
      <c r="C347" s="8" t="str">
        <f>VLOOKUP(A347,'Sets (lua data)'!$A$3:$C$9920,2,FALSE)</f>
        <v>Blutmond</v>
      </c>
    </row>
    <row r="348" spans="1:3" x14ac:dyDescent="0.25">
      <c r="A348" s="11">
        <v>401</v>
      </c>
      <c r="B348" s="8" t="str">
        <f>VLOOKUP(A348,'Sets (lua data)'!$A$3:$C$9920,3,FALSE)</f>
        <v>Haven of Ursus</v>
      </c>
      <c r="C348" s="8" t="str">
        <f>VLOOKUP(A348,'Sets (lua data)'!$A$3:$C$9920,2,FALSE)</f>
        <v>Zuflucht von Ursus</v>
      </c>
    </row>
    <row r="349" spans="1:3" x14ac:dyDescent="0.25">
      <c r="A349" s="11">
        <v>402</v>
      </c>
      <c r="B349" s="8" t="str">
        <f>VLOOKUP(A349,'Sets (lua data)'!$A$3:$C$9920,3,FALSE)</f>
        <v>Moon Hunter</v>
      </c>
      <c r="C349" s="8" t="str">
        <f>VLOOKUP(A349,'Sets (lua data)'!$A$3:$C$9920,2,FALSE)</f>
        <v>Mondjäger</v>
      </c>
    </row>
    <row r="350" spans="1:3" x14ac:dyDescent="0.25">
      <c r="A350" s="11">
        <v>403</v>
      </c>
      <c r="B350" s="8" t="str">
        <f>VLOOKUP(A350,'Sets (lua data)'!$A$3:$C$9920,3,FALSE)</f>
        <v>Savage Werewolf</v>
      </c>
      <c r="C350" s="8" t="str">
        <f>VLOOKUP(A350,'Sets (lua data)'!$A$3:$C$9920,2,FALSE)</f>
        <v>Wilder Werwolf</v>
      </c>
    </row>
    <row r="351" spans="1:3" x14ac:dyDescent="0.25">
      <c r="A351" s="11">
        <v>404</v>
      </c>
      <c r="B351" s="8" t="str">
        <f>VLOOKUP(A351,'Sets (lua data)'!$A$3:$C$9920,3,FALSE)</f>
        <v>Jailer\'s Tenacity</v>
      </c>
      <c r="C351" s="8" t="str">
        <f>VLOOKUP(A351,'Sets (lua data)'!$A$3:$C$9920,2,FALSE)</f>
        <v>Tenazität des Kerkermeisters</v>
      </c>
    </row>
    <row r="352" spans="1:3" x14ac:dyDescent="0.25">
      <c r="A352" s="11">
        <v>405</v>
      </c>
      <c r="B352" s="8" t="str">
        <f>VLOOKUP(A352,'Sets (lua data)'!$A$3:$C$9920,3,FALSE)</f>
        <v>Bright-Throat\'s Boast</v>
      </c>
      <c r="C352" s="8" t="str">
        <f>VLOOKUP(A352,'Sets (lua data)'!$A$3:$C$9920,2,FALSE)</f>
        <v>Hellhalsstolz</v>
      </c>
    </row>
    <row r="353" spans="1:3" x14ac:dyDescent="0.25">
      <c r="A353" s="11">
        <v>406</v>
      </c>
      <c r="B353" s="8" t="str">
        <f>VLOOKUP(A353,'Sets (lua data)'!$A$3:$C$9920,3,FALSE)</f>
        <v>Dead-Water\'s Guile</v>
      </c>
      <c r="C353" s="8" t="str">
        <f>VLOOKUP(A353,'Sets (lua data)'!$A$3:$C$9920,2,FALSE)</f>
        <v>Totwassertücke</v>
      </c>
    </row>
    <row r="354" spans="1:3" x14ac:dyDescent="0.25">
      <c r="A354" s="11">
        <v>407</v>
      </c>
      <c r="B354" s="8" t="str">
        <f>VLOOKUP(A354,'Sets (lua data)'!$A$3:$C$9920,3,FALSE)</f>
        <v>Champion of the Hist</v>
      </c>
      <c r="C354" s="8" t="str">
        <f>VLOOKUP(A354,'Sets (lua data)'!$A$3:$C$9920,2,FALSE)</f>
        <v>Histchampion</v>
      </c>
    </row>
    <row r="355" spans="1:3" x14ac:dyDescent="0.25">
      <c r="A355" s="11">
        <v>408</v>
      </c>
      <c r="B355" s="8" t="str">
        <f>VLOOKUP(A355,'Sets (lua data)'!$A$3:$C$9920,3,FALSE)</f>
        <v>Grave-Stake Collector</v>
      </c>
      <c r="C355" s="8" t="str">
        <f>VLOOKUP(A355,'Sets (lua data)'!$A$3:$C$9920,2,FALSE)</f>
        <v>Grabpflocksammler</v>
      </c>
    </row>
    <row r="356" spans="1:3" x14ac:dyDescent="0.25">
      <c r="A356" s="11">
        <v>409</v>
      </c>
      <c r="B356" s="8" t="str">
        <f>VLOOKUP(A356,'Sets (lua data)'!$A$3:$C$9920,3,FALSE)</f>
        <v>Naga Shaman</v>
      </c>
      <c r="C356" s="8" t="str">
        <f>VLOOKUP(A356,'Sets (lua data)'!$A$3:$C$9920,2,FALSE)</f>
        <v>Nagaschamane</v>
      </c>
    </row>
    <row r="357" spans="1:3" x14ac:dyDescent="0.25">
      <c r="A357" s="11">
        <v>410</v>
      </c>
      <c r="B357" s="8" t="str">
        <f>VLOOKUP(A357,'Sets (lua data)'!$A$3:$C$9920,3,FALSE)</f>
        <v>Might of the Lost Legion</v>
      </c>
      <c r="C357" s="8" t="str">
        <f>VLOOKUP(A357,'Sets (lua data)'!$A$3:$C$9920,2,FALSE)</f>
        <v>Macht der Verlorenen Legion</v>
      </c>
    </row>
    <row r="358" spans="1:3" x14ac:dyDescent="0.25">
      <c r="A358" s="11">
        <v>411</v>
      </c>
      <c r="B358" s="8" t="str">
        <f>VLOOKUP(A358,'Sets (lua data)'!$A$3:$C$9920,3,FALSE)</f>
        <v>Gallant Charge</v>
      </c>
      <c r="C358" s="8" t="str">
        <f>VLOOKUP(A358,'Sets (lua data)'!$A$3:$C$9920,2,FALSE)</f>
        <v>Galanter Ansturm</v>
      </c>
    </row>
    <row r="359" spans="1:3" x14ac:dyDescent="0.25">
      <c r="A359" s="11">
        <v>412</v>
      </c>
      <c r="B359" s="8" t="str">
        <f>VLOOKUP(A359,'Sets (lua data)'!$A$3:$C$9920,3,FALSE)</f>
        <v>Radial Uppercut</v>
      </c>
      <c r="C359" s="8" t="str">
        <f>VLOOKUP(A359,'Sets (lua data)'!$A$3:$C$9920,2,FALSE)</f>
        <v>Rundum-Aufwärtsschnitt</v>
      </c>
    </row>
    <row r="360" spans="1:3" x14ac:dyDescent="0.25">
      <c r="A360" s="11">
        <v>413</v>
      </c>
      <c r="B360" s="8" t="str">
        <f>VLOOKUP(A360,'Sets (lua data)'!$A$3:$C$9920,3,FALSE)</f>
        <v>Spectral Cloak</v>
      </c>
      <c r="C360" s="8" t="str">
        <f>VLOOKUP(A360,'Sets (lua data)'!$A$3:$C$9920,2,FALSE)</f>
        <v>Spektraler Mantel</v>
      </c>
    </row>
    <row r="361" spans="1:3" x14ac:dyDescent="0.25">
      <c r="A361" s="11">
        <v>414</v>
      </c>
      <c r="B361" s="8" t="str">
        <f>VLOOKUP(A361,'Sets (lua data)'!$A$3:$C$9920,3,FALSE)</f>
        <v>Virulent Shot</v>
      </c>
      <c r="C361" s="8" t="str">
        <f>VLOOKUP(A361,'Sets (lua data)'!$A$3:$C$9920,2,FALSE)</f>
        <v>Virulenter Schuss</v>
      </c>
    </row>
    <row r="362" spans="1:3" x14ac:dyDescent="0.25">
      <c r="A362" s="11">
        <v>415</v>
      </c>
      <c r="B362" s="8" t="str">
        <f>VLOOKUP(A362,'Sets (lua data)'!$A$3:$C$9920,3,FALSE)</f>
        <v>Wild Impulse</v>
      </c>
      <c r="C362" s="8" t="str">
        <f>VLOOKUP(A362,'Sets (lua data)'!$A$3:$C$9920,2,FALSE)</f>
        <v>Wilder Impuls</v>
      </c>
    </row>
    <row r="363" spans="1:3" x14ac:dyDescent="0.25">
      <c r="A363" s="11">
        <v>416</v>
      </c>
      <c r="B363" s="8" t="str">
        <f>VLOOKUP(A363,'Sets (lua data)'!$A$3:$C$9920,3,FALSE)</f>
        <v>Mender\'s Ward</v>
      </c>
      <c r="C363" s="8" t="str">
        <f>VLOOKUP(A363,'Sets (lua data)'!$A$3:$C$9920,2,FALSE)</f>
        <v>Schutz des Pflegers</v>
      </c>
    </row>
    <row r="364" spans="1:3" x14ac:dyDescent="0.25">
      <c r="A364" s="11">
        <v>417</v>
      </c>
      <c r="B364" s="8" t="str">
        <f>VLOOKUP(A364,'Sets (lua data)'!$A$3:$C$9920,3,FALSE)</f>
        <v>Indomitable Fury</v>
      </c>
      <c r="C364" s="8" t="str">
        <f>VLOOKUP(A364,'Sets (lua data)'!$A$3:$C$9920,2,FALSE)</f>
        <v>Unbeugsamer Zorn</v>
      </c>
    </row>
    <row r="365" spans="1:3" x14ac:dyDescent="0.25">
      <c r="A365" s="11">
        <v>418</v>
      </c>
      <c r="B365" s="8" t="str">
        <f>VLOOKUP(A365,'Sets (lua data)'!$A$3:$C$9920,3,FALSE)</f>
        <v>Spell Strategist</v>
      </c>
      <c r="C365" s="8" t="str">
        <f>VLOOKUP(A365,'Sets (lua data)'!$A$3:$C$9920,2,FALSE)</f>
        <v>Zauberstratege</v>
      </c>
    </row>
    <row r="366" spans="1:3" x14ac:dyDescent="0.25">
      <c r="A366" s="11">
        <v>419</v>
      </c>
      <c r="B366" s="8" t="str">
        <f>VLOOKUP(A366,'Sets (lua data)'!$A$3:$C$9920,3,FALSE)</f>
        <v>Battlefield Acrobat</v>
      </c>
      <c r="C366" s="8" t="str">
        <f>VLOOKUP(A366,'Sets (lua data)'!$A$3:$C$9920,2,FALSE)</f>
        <v>Schlachtfeldakrobat</v>
      </c>
    </row>
    <row r="367" spans="1:3" x14ac:dyDescent="0.25">
      <c r="A367" s="11">
        <v>420</v>
      </c>
      <c r="B367" s="8" t="str">
        <f>VLOOKUP(A367,'Sets (lua data)'!$A$3:$C$9920,3,FALSE)</f>
        <v>Soldier of Anguish</v>
      </c>
      <c r="C367" s="8" t="str">
        <f>VLOOKUP(A367,'Sets (lua data)'!$A$3:$C$9920,2,FALSE)</f>
        <v>Soldat der Pein</v>
      </c>
    </row>
    <row r="368" spans="1:3" x14ac:dyDescent="0.25">
      <c r="A368" s="11">
        <v>421</v>
      </c>
      <c r="B368" s="8" t="str">
        <f>VLOOKUP(A368,'Sets (lua data)'!$A$3:$C$9920,3,FALSE)</f>
        <v>Steadfast Hero</v>
      </c>
      <c r="C368" s="8" t="str">
        <f>VLOOKUP(A368,'Sets (lua data)'!$A$3:$C$9920,2,FALSE)</f>
        <v>Standhafter Held</v>
      </c>
    </row>
    <row r="369" spans="1:3" x14ac:dyDescent="0.25">
      <c r="A369" s="11">
        <v>422</v>
      </c>
      <c r="B369" s="8" t="str">
        <f>VLOOKUP(A369,'Sets (lua data)'!$A$3:$C$9920,3,FALSE)</f>
        <v>Battalion Defender</v>
      </c>
      <c r="C369" s="8" t="str">
        <f>VLOOKUP(A369,'Sets (lua data)'!$A$3:$C$9920,2,FALSE)</f>
        <v>Bataillonsverteidiger</v>
      </c>
    </row>
    <row r="370" spans="1:3" x14ac:dyDescent="0.25">
      <c r="A370" s="11">
        <v>423</v>
      </c>
      <c r="B370" s="8" t="str">
        <f>VLOOKUP(A370,'Sets (lua data)'!$A$3:$C$9920,3,FALSE)</f>
        <v>Perfect Gallant Charge</v>
      </c>
      <c r="C370" s="8" t="str">
        <f>VLOOKUP(A370,'Sets (lua data)'!$A$3:$C$9920,2,FALSE)</f>
        <v>Perfekter galanter Ansturm</v>
      </c>
    </row>
    <row r="371" spans="1:3" x14ac:dyDescent="0.25">
      <c r="A371" s="11">
        <v>424</v>
      </c>
      <c r="B371" s="8" t="str">
        <f>VLOOKUP(A371,'Sets (lua data)'!$A$3:$C$9920,3,FALSE)</f>
        <v>Perfect Radial Uppercut</v>
      </c>
      <c r="C371" s="8" t="str">
        <f>VLOOKUP(A371,'Sets (lua data)'!$A$3:$C$9920,2,FALSE)</f>
        <v>Perfekter Rundum-Aufwärtsschnitt</v>
      </c>
    </row>
    <row r="372" spans="1:3" x14ac:dyDescent="0.25">
      <c r="A372" s="11">
        <v>425</v>
      </c>
      <c r="B372" s="8" t="str">
        <f>VLOOKUP(A372,'Sets (lua data)'!$A$3:$C$9920,3,FALSE)</f>
        <v>Perfect Spectral Cloak</v>
      </c>
      <c r="C372" s="8" t="str">
        <f>VLOOKUP(A372,'Sets (lua data)'!$A$3:$C$9920,2,FALSE)</f>
        <v>Perfekter spektraler Mantel</v>
      </c>
    </row>
    <row r="373" spans="1:3" x14ac:dyDescent="0.25">
      <c r="A373" s="11">
        <v>426</v>
      </c>
      <c r="B373" s="8" t="str">
        <f>VLOOKUP(A373,'Sets (lua data)'!$A$3:$C$9920,3,FALSE)</f>
        <v>Perfect Virulent Shot</v>
      </c>
      <c r="C373" s="8" t="str">
        <f>VLOOKUP(A373,'Sets (lua data)'!$A$3:$C$9920,2,FALSE)</f>
        <v>Perfekter virulenter Schuss</v>
      </c>
    </row>
    <row r="374" spans="1:3" x14ac:dyDescent="0.25">
      <c r="A374" s="11">
        <v>427</v>
      </c>
      <c r="B374" s="8" t="str">
        <f>VLOOKUP(A374,'Sets (lua data)'!$A$3:$C$9920,3,FALSE)</f>
        <v>Perfect Wild Impulse</v>
      </c>
      <c r="C374" s="8" t="str">
        <f>VLOOKUP(A374,'Sets (lua data)'!$A$3:$C$9920,2,FALSE)</f>
        <v>Perfekter wilder Impuls</v>
      </c>
    </row>
    <row r="375" spans="1:3" x14ac:dyDescent="0.25">
      <c r="A375" s="11">
        <v>428</v>
      </c>
      <c r="B375" s="8" t="str">
        <f>VLOOKUP(A375,'Sets (lua data)'!$A$3:$C$9920,3,FALSE)</f>
        <v>Perfect Mender\'s Ward</v>
      </c>
      <c r="C375" s="8" t="str">
        <f>VLOOKUP(A375,'Sets (lua data)'!$A$3:$C$9920,2,FALSE)</f>
        <v>Perfekter Schutz des Pflegers</v>
      </c>
    </row>
    <row r="376" spans="1:3" x14ac:dyDescent="0.25">
      <c r="A376" s="11">
        <v>429</v>
      </c>
      <c r="B376" s="8" t="str">
        <f>VLOOKUP(A376,'Sets (lua data)'!$A$3:$C$9920,3,FALSE)</f>
        <v>Mighty Glacier</v>
      </c>
      <c r="C376" s="8" t="str">
        <f>VLOOKUP(A376,'Sets (lua data)'!$A$3:$C$9920,2,FALSE)</f>
        <v>Mächtiger Gletscher</v>
      </c>
    </row>
    <row r="377" spans="1:3" x14ac:dyDescent="0.25">
      <c r="A377" s="11">
        <v>430</v>
      </c>
      <c r="B377" s="8" t="str">
        <f>VLOOKUP(A377,'Sets (lua data)'!$A$3:$C$9920,3,FALSE)</f>
        <v>Tzogvin\'s Warband</v>
      </c>
      <c r="C377" s="8" t="str">
        <f>VLOOKUP(A377,'Sets (lua data)'!$A$3:$C$9920,2,FALSE)</f>
        <v>Tzogvins Kriegstrupp</v>
      </c>
    </row>
    <row r="378" spans="1:3" x14ac:dyDescent="0.25">
      <c r="A378" s="11">
        <v>431</v>
      </c>
      <c r="B378" s="8" t="str">
        <f>VLOOKUP(A378,'Sets (lua data)'!$A$3:$C$9920,3,FALSE)</f>
        <v>Icy Conjuror</v>
      </c>
      <c r="C378" s="8" t="str">
        <f>VLOOKUP(A378,'Sets (lua data)'!$A$3:$C$9920,2,FALSE)</f>
        <v>Eisiger Anrufer</v>
      </c>
    </row>
    <row r="379" spans="1:3" x14ac:dyDescent="0.25">
      <c r="A379" s="11">
        <v>432</v>
      </c>
      <c r="B379" s="8" t="str">
        <f>VLOOKUP(A379,'Sets (lua data)'!$A$3:$C$9920,3,FALSE)</f>
        <v>Stonekeeper</v>
      </c>
      <c r="C379" s="8" t="str">
        <f>VLOOKUP(A379,'Sets (lua data)'!$A$3:$C$9920,2,FALSE)</f>
        <v>Steinwahrer</v>
      </c>
    </row>
    <row r="380" spans="1:3" x14ac:dyDescent="0.25">
      <c r="A380" s="11">
        <v>433</v>
      </c>
      <c r="B380" s="8" t="str">
        <f>VLOOKUP(A380,'Sets (lua data)'!$A$3:$C$9920,3,FALSE)</f>
        <v>Frozen Watcher</v>
      </c>
      <c r="C380" s="8" t="str">
        <f>VLOOKUP(A380,'Sets (lua data)'!$A$3:$C$9920,2,FALSE)</f>
        <v>Gefrorener Beobachter</v>
      </c>
    </row>
    <row r="381" spans="1:3" x14ac:dyDescent="0.25">
      <c r="A381" s="11">
        <v>434</v>
      </c>
      <c r="B381" s="8" t="str">
        <f>VLOOKUP(A381,'Sets (lua data)'!$A$3:$C$9920,3,FALSE)</f>
        <v>Scavenging Demise</v>
      </c>
      <c r="C381" s="8" t="str">
        <f>VLOOKUP(A381,'Sets (lua data)'!$A$3:$C$9920,2,FALSE)</f>
        <v>Ausbeutender Niedergang</v>
      </c>
    </row>
    <row r="382" spans="1:3" x14ac:dyDescent="0.25">
      <c r="A382" s="11">
        <v>435</v>
      </c>
      <c r="B382" s="8" t="str">
        <f>VLOOKUP(A382,'Sets (lua data)'!$A$3:$C$9920,3,FALSE)</f>
        <v>Auroran\'s Thunder</v>
      </c>
      <c r="C382" s="8" t="str">
        <f>VLOOKUP(A382,'Sets (lua data)'!$A$3:$C$9920,2,FALSE)</f>
        <v>Donner des Auroraners</v>
      </c>
    </row>
    <row r="383" spans="1:3" x14ac:dyDescent="0.25">
      <c r="A383" s="11">
        <v>436</v>
      </c>
      <c r="B383" s="8" t="str">
        <f>VLOOKUP(A383,'Sets (lua data)'!$A$3:$C$9920,3,FALSE)</f>
        <v>Symphony of Blades</v>
      </c>
      <c r="C383" s="8" t="str">
        <f>VLOOKUP(A383,'Sets (lua data)'!$A$3:$C$9920,2,FALSE)</f>
        <v>Sinfonie der Klingen</v>
      </c>
    </row>
    <row r="384" spans="1:3" x14ac:dyDescent="0.25">
      <c r="A384" s="11">
        <v>437</v>
      </c>
      <c r="B384" s="8" t="str">
        <f>VLOOKUP(A384,'Sets (lua data)'!$A$3:$C$9920,3,FALSE)</f>
        <v>Coldharbour\'s Favorite</v>
      </c>
      <c r="C384" s="8" t="str">
        <f>VLOOKUP(A384,'Sets (lua data)'!$A$3:$C$9920,2,FALSE)</f>
        <v>Kalthafens Günstling</v>
      </c>
    </row>
    <row r="385" spans="1:3" x14ac:dyDescent="0.25">
      <c r="A385" s="11">
        <v>438</v>
      </c>
      <c r="B385" s="8" t="str">
        <f>VLOOKUP(A385,'Sets (lua data)'!$A$3:$C$9920,3,FALSE)</f>
        <v>Senche-raht\'s Grit</v>
      </c>
      <c r="C385" s="8" t="str">
        <f>VLOOKUP(A385,'Sets (lua data)'!$A$3:$C$9920,2,FALSE)</f>
        <v>Mut des Senche-raht</v>
      </c>
    </row>
    <row r="386" spans="1:3" x14ac:dyDescent="0.25">
      <c r="A386" s="11">
        <v>439</v>
      </c>
      <c r="B386" s="8" t="str">
        <f>VLOOKUP(A386,'Sets (lua data)'!$A$3:$C$9920,3,FALSE)</f>
        <v>Vastarie\'s Tutelage</v>
      </c>
      <c r="C386" s="8" t="str">
        <f>VLOOKUP(A386,'Sets (lua data)'!$A$3:$C$9920,2,FALSE)</f>
        <v>Vastaries Vormundschaft</v>
      </c>
    </row>
    <row r="387" spans="1:3" x14ac:dyDescent="0.25">
      <c r="A387" s="11">
        <v>440</v>
      </c>
      <c r="B387" s="8" t="str">
        <f>VLOOKUP(A387,'Sets (lua data)'!$A$3:$C$9920,3,FALSE)</f>
        <v>Crafty Alfiq</v>
      </c>
      <c r="C387" s="8" t="str">
        <f>VLOOKUP(A387,'Sets (lua data)'!$A$3:$C$9920,2,FALSE)</f>
        <v>Listiger Alfiq</v>
      </c>
    </row>
    <row r="388" spans="1:3" x14ac:dyDescent="0.25">
      <c r="A388" s="11">
        <v>441</v>
      </c>
      <c r="B388" s="8" t="str">
        <f>VLOOKUP(A388,'Sets (lua data)'!$A$3:$C$9920,3,FALSE)</f>
        <v>Vesture of Darloc Brae</v>
      </c>
      <c r="C388" s="8" t="str">
        <f>VLOOKUP(A388,'Sets (lua data)'!$A$3:$C$9920,2,FALSE)</f>
        <v>Gewandung von Darloc Brae</v>
      </c>
    </row>
    <row r="389" spans="1:3" x14ac:dyDescent="0.25">
      <c r="A389" s="11">
        <v>442</v>
      </c>
      <c r="B389" s="8" t="str">
        <f>VLOOKUP(A389,'Sets (lua data)'!$A$3:$C$9920,3,FALSE)</f>
        <v>Call of the Undertaker</v>
      </c>
      <c r="C389" s="8" t="str">
        <f>VLOOKUP(A389,'Sets (lua data)'!$A$3:$C$9920,2,FALSE)</f>
        <v>Ruf des Totengräbers</v>
      </c>
    </row>
    <row r="390" spans="1:3" x14ac:dyDescent="0.25">
      <c r="A390" s="11">
        <v>443</v>
      </c>
      <c r="B390" s="8" t="str">
        <f>VLOOKUP(A390,'Sets (lua data)'!$A$3:$C$9920,3,FALSE)</f>
        <v>Eye of Nahviintaas</v>
      </c>
      <c r="C390" s="8" t="str">
        <f>VLOOKUP(A390,'Sets (lua data)'!$A$3:$C$9920,2,FALSE)</f>
        <v>Auge von Nahviintaas</v>
      </c>
    </row>
    <row r="391" spans="1:3" x14ac:dyDescent="0.25">
      <c r="A391" s="11">
        <v>444</v>
      </c>
      <c r="B391" s="8" t="str">
        <f>VLOOKUP(A391,'Sets (lua data)'!$A$3:$C$9920,3,FALSE)</f>
        <v>False God\'s Devotion</v>
      </c>
      <c r="C391" s="8" t="str">
        <f>VLOOKUP(A391,'Sets (lua data)'!$A$3:$C$9920,2,FALSE)</f>
        <v>Ergebenheit des falschen Gottes</v>
      </c>
    </row>
    <row r="392" spans="1:3" x14ac:dyDescent="0.25">
      <c r="A392" s="11">
        <v>445</v>
      </c>
      <c r="B392" s="8" t="str">
        <f>VLOOKUP(A392,'Sets (lua data)'!$A$3:$C$9920,3,FALSE)</f>
        <v>Tooth of Lokkestiiz</v>
      </c>
      <c r="C392" s="8" t="str">
        <f>VLOOKUP(A392,'Sets (lua data)'!$A$3:$C$9920,2,FALSE)</f>
        <v>Zahn von Lokkestiiz</v>
      </c>
    </row>
    <row r="393" spans="1:3" x14ac:dyDescent="0.25">
      <c r="A393" s="11">
        <v>446</v>
      </c>
      <c r="B393" s="8" t="str">
        <f>VLOOKUP(A393,'Sets (lua data)'!$A$3:$C$9920,3,FALSE)</f>
        <v>Claw of Yolnakhriin</v>
      </c>
      <c r="C393" s="8" t="str">
        <f>VLOOKUP(A393,'Sets (lua data)'!$A$3:$C$9920,2,FALSE)</f>
        <v>Kralle von Yolnahkriin</v>
      </c>
    </row>
    <row r="394" spans="1:3" x14ac:dyDescent="0.25">
      <c r="A394" s="11">
        <v>448</v>
      </c>
      <c r="B394" s="8" t="str">
        <f>VLOOKUP(A394,'Sets (lua data)'!$A$3:$C$9920,3,FALSE)</f>
        <v>Perfected Eye of Nahviintaas</v>
      </c>
      <c r="C394" s="8" t="str">
        <f>VLOOKUP(A394,'Sets (lua data)'!$A$3:$C$9920,2,FALSE)</f>
        <v>Perfektioniertes Auge von Nahviintaas</v>
      </c>
    </row>
    <row r="395" spans="1:3" x14ac:dyDescent="0.25">
      <c r="A395" s="11">
        <v>449</v>
      </c>
      <c r="B395" s="8" t="str">
        <f>VLOOKUP(A395,'Sets (lua data)'!$A$3:$C$9920,3,FALSE)</f>
        <v>Perfected False God\'s Devotion</v>
      </c>
      <c r="C395" s="8" t="str">
        <f>VLOOKUP(A395,'Sets (lua data)'!$A$3:$C$9920,2,FALSE)</f>
        <v>Perfektionierte Ergebenheit zum falschen Gott</v>
      </c>
    </row>
    <row r="396" spans="1:3" x14ac:dyDescent="0.25">
      <c r="A396" s="11">
        <v>450</v>
      </c>
      <c r="B396" s="8" t="str">
        <f>VLOOKUP(A396,'Sets (lua data)'!$A$3:$C$9920,3,FALSE)</f>
        <v>Perfected Tooth of Lokkestiiz</v>
      </c>
      <c r="C396" s="8" t="str">
        <f>VLOOKUP(A396,'Sets (lua data)'!$A$3:$C$9920,2,FALSE)</f>
        <v>Perfektionierter Zahn von Lokkestiiz</v>
      </c>
    </row>
    <row r="397" spans="1:3" x14ac:dyDescent="0.25">
      <c r="A397" s="11">
        <v>451</v>
      </c>
      <c r="B397" s="8" t="str">
        <f>VLOOKUP(A397,'Sets (lua data)'!$A$3:$C$9920,3,FALSE)</f>
        <v>Perfected Claw of Yolnakhriin</v>
      </c>
      <c r="C397" s="8" t="str">
        <f>VLOOKUP(A397,'Sets (lua data)'!$A$3:$C$9920,2,FALSE)</f>
        <v>Perfektionierte Kralle von Yolnahkriin</v>
      </c>
    </row>
    <row r="398" spans="1:3" x14ac:dyDescent="0.25">
      <c r="A398" s="11">
        <v>452</v>
      </c>
      <c r="B398" s="8" t="str">
        <f>VLOOKUP(A398,'Sets (lua data)'!$A$3:$C$9920,3,FALSE)</f>
        <v>Hollowfang Thirst</v>
      </c>
      <c r="C398" s="8" t="str">
        <f>VLOOKUP(A398,'Sets (lua data)'!$A$3:$C$9920,2,FALSE)</f>
        <v>Hohlzahndurst</v>
      </c>
    </row>
    <row r="399" spans="1:3" x14ac:dyDescent="0.25">
      <c r="A399" s="11">
        <v>453</v>
      </c>
      <c r="B399" s="8" t="str">
        <f>VLOOKUP(A399,'Sets (lua data)'!$A$3:$C$9920,3,FALSE)</f>
        <v>Dro\'Zakar\'s Claws</v>
      </c>
      <c r="C399" s="8" t="str">
        <f>VLOOKUP(A399,'Sets (lua data)'!$A$3:$C$9920,2,FALSE)</f>
        <v>Dro'Zakars Krallen</v>
      </c>
    </row>
    <row r="400" spans="1:3" x14ac:dyDescent="0.25">
      <c r="A400" s="11">
        <v>454</v>
      </c>
      <c r="B400" s="8" t="str">
        <f>VLOOKUP(A400,'Sets (lua data)'!$A$3:$C$9920,3,FALSE)</f>
        <v>Renald\'s Resolve</v>
      </c>
      <c r="C400" s="8" t="str">
        <f>VLOOKUP(A400,'Sets (lua data)'!$A$3:$C$9920,2,FALSE)</f>
        <v>Renalds Entschlossenheit</v>
      </c>
    </row>
    <row r="401" spans="1:3" x14ac:dyDescent="0.25">
      <c r="A401" s="11">
        <v>455</v>
      </c>
      <c r="B401" s="8" t="str">
        <f>VLOOKUP(A401,'Sets (lua data)'!$A$3:$C$9920,3,FALSE)</f>
        <v>Z\'en\'s Redress</v>
      </c>
      <c r="C401" s="8" t="str">
        <f>VLOOKUP(A401,'Sets (lua data)'!$A$3:$C$9920,2,FALSE)</f>
        <v>Z'ens Wiedergutmachung</v>
      </c>
    </row>
    <row r="402" spans="1:3" x14ac:dyDescent="0.25">
      <c r="A402" s="11">
        <v>456</v>
      </c>
      <c r="B402" s="8" t="str">
        <f>VLOOKUP(A402,'Sets (lua data)'!$A$3:$C$9920,3,FALSE)</f>
        <v>Azureblight Reaper</v>
      </c>
      <c r="C402" s="8" t="str">
        <f>VLOOKUP(A402,'Sets (lua data)'!$A$3:$C$9920,2,FALSE)</f>
        <v>Azurfäuleschnitter</v>
      </c>
    </row>
    <row r="403" spans="1:3" x14ac:dyDescent="0.25">
      <c r="A403" s="11">
        <v>457</v>
      </c>
      <c r="B403" s="8" t="str">
        <f>VLOOKUP(A403,'Sets (lua data)'!$A$3:$C$9920,3,FALSE)</f>
        <v>Dragon\'s Defilement</v>
      </c>
      <c r="C403" s="8" t="str">
        <f>VLOOKUP(A403,'Sets (lua data)'!$A$3:$C$9920,2,FALSE)</f>
        <v>Drachenschändung</v>
      </c>
    </row>
    <row r="404" spans="1:3" x14ac:dyDescent="0.25">
      <c r="A404" s="11">
        <v>458</v>
      </c>
      <c r="B404" s="8" t="str">
        <f>VLOOKUP(A404,'Sets (lua data)'!$A$3:$C$9920,3,FALSE)</f>
        <v>Grundwulf</v>
      </c>
      <c r="C404" s="8" t="str">
        <f>VLOOKUP(A404,'Sets (lua data)'!$A$3:$C$9920,2,FALSE)</f>
        <v>Grundwulf</v>
      </c>
    </row>
    <row r="405" spans="1:3" x14ac:dyDescent="0.25">
      <c r="A405" s="11">
        <v>459</v>
      </c>
      <c r="B405" s="8" t="str">
        <f>VLOOKUP(A405,'Sets (lua data)'!$A$3:$C$9920,3,FALSE)</f>
        <v>Maarselok</v>
      </c>
      <c r="C405" s="8" t="str">
        <f>VLOOKUP(A405,'Sets (lua data)'!$A$3:$C$9920,2,FALSE)</f>
        <v>Maarselok</v>
      </c>
    </row>
    <row r="406" spans="1:3" x14ac:dyDescent="0.25">
      <c r="A406" s="11">
        <v>465</v>
      </c>
      <c r="B406" s="8" t="str">
        <f>VLOOKUP(A406,'Sets (lua data)'!$A$3:$C$9920,3,FALSE)</f>
        <v>Senchal Defender</v>
      </c>
      <c r="C406" s="8" t="str">
        <f>VLOOKUP(A406,'Sets (lua data)'!$A$3:$C$9920,2,FALSE)</f>
        <v>Verteidiger von Senchal</v>
      </c>
    </row>
    <row r="407" spans="1:3" x14ac:dyDescent="0.25">
      <c r="A407" s="11">
        <v>466</v>
      </c>
      <c r="B407" s="8" t="str">
        <f>VLOOKUP(A407,'Sets (lua data)'!$A$3:$C$9920,3,FALSE)</f>
        <v>Marauder\'s Haste</v>
      </c>
      <c r="C407" s="8" t="str">
        <f>VLOOKUP(A407,'Sets (lua data)'!$A$3:$C$9920,2,FALSE)</f>
        <v>Marodeurshast</v>
      </c>
    </row>
    <row r="408" spans="1:3" x14ac:dyDescent="0.25">
      <c r="A408" s="11">
        <v>467</v>
      </c>
      <c r="B408" s="8" t="str">
        <f>VLOOKUP(A408,'Sets (lua data)'!$A$3:$C$9920,3,FALSE)</f>
        <v>Dragonguard Elite</v>
      </c>
      <c r="C408" s="8" t="str">
        <f>VLOOKUP(A408,'Sets (lua data)'!$A$3:$C$9920,2,FALSE)</f>
        <v>Drachengardeelite</v>
      </c>
    </row>
    <row r="409" spans="1:3" x14ac:dyDescent="0.25">
      <c r="A409" s="11">
        <v>468</v>
      </c>
      <c r="B409" s="8" t="str">
        <f>VLOOKUP(A409,'Sets (lua data)'!$A$3:$C$9920,3,FALSE)</f>
        <v>Daring Corsair</v>
      </c>
      <c r="C409" s="8" t="str">
        <f>VLOOKUP(A409,'Sets (lua data)'!$A$3:$C$9920,2,FALSE)</f>
        <v>Kühner Korsar</v>
      </c>
    </row>
    <row r="410" spans="1:3" x14ac:dyDescent="0.25">
      <c r="A410" s="11">
        <v>469</v>
      </c>
      <c r="B410" s="8" t="str">
        <f>VLOOKUP(A410,'Sets (lua data)'!$A$3:$C$9920,3,FALSE)</f>
        <v>Ancient Dragonguard</v>
      </c>
      <c r="C410" s="8" t="str">
        <f>VLOOKUP(A410,'Sets (lua data)'!$A$3:$C$9920,2,FALSE)</f>
        <v>Alte Drachengarde</v>
      </c>
    </row>
    <row r="411" spans="1:3" x14ac:dyDescent="0.25">
      <c r="A411" s="11">
        <v>470</v>
      </c>
      <c r="B411" s="8" t="str">
        <f>VLOOKUP(A411,'Sets (lua data)'!$A$3:$C$9920,3,FALSE)</f>
        <v>New Moon Acolyte</v>
      </c>
      <c r="C411" s="8" t="str">
        <f>VLOOKUP(A411,'Sets (lua data)'!$A$3:$C$9920,2,FALSE)</f>
        <v>Akolythin des Neuen Mondes</v>
      </c>
    </row>
    <row r="412" spans="1:3" x14ac:dyDescent="0.25">
      <c r="A412" s="11">
        <v>471</v>
      </c>
      <c r="B412" s="8" t="str">
        <f>VLOOKUP(A412,'Sets (lua data)'!$A$3:$C$9920,3,FALSE)</f>
        <v>Hiti\'s Hearth</v>
      </c>
      <c r="C412" s="8" t="str">
        <f>VLOOKUP(A412,'Sets (lua data)'!$A$3:$C$9920,2,FALSE)</f>
        <v>Hitis Feuerstelle</v>
      </c>
    </row>
    <row r="413" spans="1:3" x14ac:dyDescent="0.25">
      <c r="A413" s="11">
        <v>472</v>
      </c>
      <c r="B413" s="8" t="str">
        <f>VLOOKUP(A413,'Sets (lua data)'!$A$3:$C$9920,3,FALSE)</f>
        <v>Titanborn Strength</v>
      </c>
      <c r="C413" s="8" t="str">
        <f>VLOOKUP(A413,'Sets (lua data)'!$A$3:$C$9920,2,FALSE)</f>
        <v>Titanenkinds Stärke</v>
      </c>
    </row>
    <row r="414" spans="1:3" x14ac:dyDescent="0.25">
      <c r="A414" s="11">
        <v>473</v>
      </c>
      <c r="B414" s="8" t="str">
        <f>VLOOKUP(A414,'Sets (lua data)'!$A$3:$C$9920,3,FALSE)</f>
        <v>Bani\'s Torment</v>
      </c>
      <c r="C414" s="8" t="str">
        <f>VLOOKUP(A414,'Sets (lua data)'!$A$3:$C$9920,2,FALSE)</f>
        <v>Banis Qual</v>
      </c>
    </row>
    <row r="415" spans="1:3" x14ac:dyDescent="0.25">
      <c r="A415" s="11">
        <v>474</v>
      </c>
      <c r="B415" s="8" t="str">
        <f>VLOOKUP(A415,'Sets (lua data)'!$A$3:$C$9920,3,FALSE)</f>
        <v>Draugrkin\'s Grip</v>
      </c>
      <c r="C415" s="8" t="str">
        <f>VLOOKUP(A415,'Sets (lua data)'!$A$3:$C$9920,2,FALSE)</f>
        <v>Griff der Draugrbrut</v>
      </c>
    </row>
    <row r="416" spans="1:3" x14ac:dyDescent="0.25">
      <c r="A416" s="11">
        <v>475</v>
      </c>
      <c r="B416" s="8" t="str">
        <f>VLOOKUP(A416,'Sets (lua data)'!$A$3:$C$9920,3,FALSE)</f>
        <v>Aegis Caller</v>
      </c>
      <c r="C416" s="8" t="str">
        <f>VLOOKUP(A416,'Sets (lua data)'!$A$3:$C$9920,2,FALSE)</f>
        <v>Ägisrufer</v>
      </c>
    </row>
    <row r="417" spans="1:3" x14ac:dyDescent="0.25">
      <c r="A417" s="11">
        <v>476</v>
      </c>
      <c r="B417" s="8" t="str">
        <f>VLOOKUP(A417,'Sets (lua data)'!$A$3:$C$9920,3,FALSE)</f>
        <v>Grave Guardian </v>
      </c>
      <c r="C417" s="8" t="str">
        <f>VLOOKUP(A417,'Sets (lua data)'!$A$3:$C$9920,2,FALSE)</f>
        <v>Grabwächter</v>
      </c>
    </row>
    <row r="418" spans="1:3" x14ac:dyDescent="0.25">
      <c r="A418" s="11">
        <v>478</v>
      </c>
      <c r="B418" s="8" t="str">
        <f>VLOOKUP(A418,'Sets (lua data)'!$A$3:$C$9920,3,FALSE)</f>
        <v>Mother Ciannait</v>
      </c>
      <c r="C418" s="8" t="str">
        <f>VLOOKUP(A418,'Sets (lua data)'!$A$3:$C$9920,2,FALSE)</f>
        <v>Mutter Ciannait</v>
      </c>
    </row>
    <row r="419" spans="1:3" x14ac:dyDescent="0.25">
      <c r="A419" s="11">
        <v>479</v>
      </c>
      <c r="B419" s="8" t="str">
        <f>VLOOKUP(A419,'Sets (lua data)'!$A$3:$C$9920,3,FALSE)</f>
        <v>Kjalnar\'s Nightmare</v>
      </c>
      <c r="C419" s="8" t="str">
        <f>VLOOKUP(A419,'Sets (lua data)'!$A$3:$C$9920,2,FALSE)</f>
        <v>Kjalnar\'s Albtraum</v>
      </c>
    </row>
    <row r="420" spans="1:3" x14ac:dyDescent="0.25">
      <c r="A420" s="11">
        <v>480</v>
      </c>
      <c r="B420" s="8" t="str">
        <f>VLOOKUP(A420,'Sets (lua data)'!$A$3:$C$9920,3,FALSE)</f>
        <v>Critical Riposte</v>
      </c>
      <c r="C420" s="8" t="str">
        <f>VLOOKUP(A420,'Sets (lua data)'!$A$3:$C$9920,2,FALSE)</f>
        <v>Kritischer Konter</v>
      </c>
    </row>
    <row r="421" spans="1:3" x14ac:dyDescent="0.25">
      <c r="A421" s="11">
        <v>481</v>
      </c>
      <c r="B421" s="8" t="str">
        <f>VLOOKUP(A421,'Sets (lua data)'!$A$3:$C$9920,3,FALSE)</f>
        <v>Unchained Aggressor</v>
      </c>
      <c r="C421" s="8" t="str">
        <f>VLOOKUP(A421,'Sets (lua data)'!$A$3:$C$9920,2,FALSE)</f>
        <v>Entfesselter Aggressor</v>
      </c>
    </row>
    <row r="422" spans="1:3" x14ac:dyDescent="0.25">
      <c r="A422" s="11">
        <v>482</v>
      </c>
      <c r="B422" s="8" t="str">
        <f>VLOOKUP(A422,'Sets (lua data)'!$A$3:$C$9920,3,FALSE)</f>
        <v>Dauntless Combatant</v>
      </c>
      <c r="C422" s="8" t="str">
        <f>VLOOKUP(A422,'Sets (lua data)'!$A$3:$C$9920,2,FALSE)</f>
        <v>Furchtloser Kombattant</v>
      </c>
    </row>
    <row r="423" spans="1:3" x14ac:dyDescent="0.25">
      <c r="A423" s="11">
        <v>483</v>
      </c>
      <c r="B423" s="8" t="str">
        <f>VLOOKUP(A423,'Sets (lua data)'!$A$3:$C$9920,3,FALSE)</f>
        <v>Template_Drop_Magi</v>
      </c>
      <c r="C423" s="8" t="str">
        <f>VLOOKUP(A423,'Sets (lua data)'!$A$3:$C$9920,2,FALSE)</f>
        <v>Template_Drop_Magi</v>
      </c>
    </row>
    <row r="424" spans="1:3" x14ac:dyDescent="0.25">
      <c r="A424" s="11">
        <v>484</v>
      </c>
      <c r="B424" s="8" t="str">
        <f>VLOOKUP(A424,'Sets (lua data)'!$A$3:$C$9920,3,FALSE)</f>
        <v>Template_Drop_Stamina</v>
      </c>
      <c r="C424" s="8" t="str">
        <f>VLOOKUP(A424,'Sets (lua data)'!$A$3:$C$9920,2,FALSE)</f>
        <v>Template_Drop_Stamina</v>
      </c>
    </row>
    <row r="425" spans="1:3" x14ac:dyDescent="0.25">
      <c r="A425" s="11">
        <v>485</v>
      </c>
      <c r="B425" s="8" t="str">
        <f>VLOOKUP(A425,'Sets (lua data)'!$A$3:$C$9920,3,FALSE)</f>
        <v>Template_Drop_Tank</v>
      </c>
      <c r="C425" s="8" t="str">
        <f>VLOOKUP(A425,'Sets (lua data)'!$A$3:$C$9920,2,FALSE)</f>
        <v>Template_Drop_Tank</v>
      </c>
    </row>
    <row r="426" spans="1:3" x14ac:dyDescent="0.25">
      <c r="A426" s="11">
        <v>486</v>
      </c>
      <c r="B426" s="8" t="str">
        <f>VLOOKUP(A426,'Sets (lua data)'!$A$3:$C$9920,3,FALSE)</f>
        <v>Template_Drop_Healer</v>
      </c>
      <c r="C426" s="8" t="str">
        <f>VLOOKUP(A426,'Sets (lua data)'!$A$3:$C$9920,2,FALSE)</f>
        <v>Template_Drop_Healer</v>
      </c>
    </row>
    <row r="427" spans="1:3" x14ac:dyDescent="0.25">
      <c r="A427" s="11">
        <v>487</v>
      </c>
      <c r="B427" s="8" t="str">
        <f>VLOOKUP(A427,'Sets (lua data)'!$A$3:$C$9920,3,FALSE)</f>
        <v>Winter\'s Respite</v>
      </c>
      <c r="C427" s="8" t="str">
        <f>VLOOKUP(A427,'Sets (lua data)'!$A$3:$C$9920,2,FALSE)</f>
        <v>Winterruhe</v>
      </c>
    </row>
    <row r="428" spans="1:3" x14ac:dyDescent="0.25">
      <c r="A428" s="11">
        <v>488</v>
      </c>
      <c r="B428" s="8" t="str">
        <f>VLOOKUP(A428,'Sets (lua data)'!$A$3:$C$9920,3,FALSE)</f>
        <v>Venomous Smite</v>
      </c>
      <c r="C428" s="8" t="str">
        <f>VLOOKUP(A428,'Sets (lua data)'!$A$3:$C$9920,2,FALSE)</f>
        <v>Giftschlag</v>
      </c>
    </row>
    <row r="429" spans="1:3" x14ac:dyDescent="0.25">
      <c r="A429" s="11">
        <v>489</v>
      </c>
      <c r="B429" s="8" t="str">
        <f>VLOOKUP(A429,'Sets (lua data)'!$A$3:$C$9920,3,FALSE)</f>
        <v>Eternal Vigor</v>
      </c>
      <c r="C429" s="8" t="str">
        <f>VLOOKUP(A429,'Sets (lua data)'!$A$3:$C$9920,2,FALSE)</f>
        <v>Ewiger Elan</v>
      </c>
    </row>
    <row r="430" spans="1:3" x14ac:dyDescent="0.25">
      <c r="A430" s="11">
        <v>490</v>
      </c>
      <c r="B430" s="8" t="str">
        <f>VLOOKUP(A430,'Sets (lua data)'!$A$3:$C$9920,3,FALSE)</f>
        <v>Stuhn\'s Favor</v>
      </c>
      <c r="C430" s="8" t="str">
        <f>VLOOKUP(A430,'Sets (lua data)'!$A$3:$C$9920,2,FALSE)</f>
        <v>Stuhns Gunst</v>
      </c>
    </row>
    <row r="431" spans="1:3" x14ac:dyDescent="0.25">
      <c r="A431" s="11">
        <v>491</v>
      </c>
      <c r="B431" s="8" t="str">
        <f>VLOOKUP(A431,'Sets (lua data)'!$A$3:$C$9920,3,FALSE)</f>
        <v>Dragon\'s Appetite</v>
      </c>
      <c r="C431" s="8" t="str">
        <f>VLOOKUP(A431,'Sets (lua data)'!$A$3:$C$9920,2,FALSE)</f>
        <v>Appetit des Drachen</v>
      </c>
    </row>
    <row r="432" spans="1:3" x14ac:dyDescent="0.25">
      <c r="A432" s="11">
        <v>492</v>
      </c>
      <c r="B432" s="8" t="str">
        <f>VLOOKUP(A432,'Sets (lua data)'!$A$3:$C$9920,3,FALSE)</f>
        <v>Kyne\'s Wind</v>
      </c>
      <c r="C432" s="8" t="str">
        <f>VLOOKUP(A432,'Sets (lua data)'!$A$3:$C$9920,2,FALSE)</f>
        <v>Kynes Wind</v>
      </c>
    </row>
    <row r="433" spans="1:3" x14ac:dyDescent="0.25">
      <c r="A433" s="11">
        <v>493</v>
      </c>
      <c r="B433" s="8" t="str">
        <f>VLOOKUP(A433,'Sets (lua data)'!$A$3:$C$9920,3,FALSE)</f>
        <v>Perfected Kyne\'s Wind</v>
      </c>
      <c r="C433" s="8" t="str">
        <f>VLOOKUP(A433,'Sets (lua data)'!$A$3:$C$9920,2,FALSE)</f>
        <v>Kynes perfektionierter Wind</v>
      </c>
    </row>
    <row r="434" spans="1:3" x14ac:dyDescent="0.25">
      <c r="A434" s="11">
        <v>494</v>
      </c>
      <c r="B434" s="8" t="str">
        <f>VLOOKUP(A434,'Sets (lua data)'!$A$3:$C$9920,3,FALSE)</f>
        <v>Vrol\'s Command</v>
      </c>
      <c r="C434" s="8" t="str">
        <f>VLOOKUP(A434,'Sets (lua data)'!$A$3:$C$9920,2,FALSE)</f>
        <v>Vrols Befehl</v>
      </c>
    </row>
    <row r="435" spans="1:3" x14ac:dyDescent="0.25">
      <c r="A435" s="11">
        <v>495</v>
      </c>
      <c r="B435" s="8" t="str">
        <f>VLOOKUP(A435,'Sets (lua data)'!$A$3:$C$9920,3,FALSE)</f>
        <v>Perfected Vrol\'s Command</v>
      </c>
      <c r="C435" s="8" t="str">
        <f>VLOOKUP(A435,'Sets (lua data)'!$A$3:$C$9920,2,FALSE)</f>
        <v>Vrols perfektionierter Befehl</v>
      </c>
    </row>
    <row r="436" spans="1:3" x14ac:dyDescent="0.25">
      <c r="A436" s="11">
        <v>496</v>
      </c>
      <c r="B436" s="8" t="str">
        <f>VLOOKUP(A436,'Sets (lua data)'!$A$3:$C$9920,3,FALSE)</f>
        <v>Roaring Opportunist</v>
      </c>
      <c r="C436" s="8" t="str">
        <f>VLOOKUP(A436,'Sets (lua data)'!$A$3:$C$9920,2,FALSE)</f>
        <v>Brüllender Opportunist</v>
      </c>
    </row>
    <row r="437" spans="1:3" x14ac:dyDescent="0.25">
      <c r="A437" s="11">
        <v>497</v>
      </c>
      <c r="B437" s="8" t="str">
        <f>VLOOKUP(A437,'Sets (lua data)'!$A$3:$C$9920,3,FALSE)</f>
        <v>Perfected Roaring Opportunist</v>
      </c>
      <c r="C437" s="8" t="str">
        <f>VLOOKUP(A437,'Sets (lua data)'!$A$3:$C$9920,2,FALSE)</f>
        <v>Perfektionierter brüllender Opportunist</v>
      </c>
    </row>
    <row r="438" spans="1:3" x14ac:dyDescent="0.25">
      <c r="A438" s="11">
        <v>498</v>
      </c>
      <c r="B438" s="8" t="str">
        <f>VLOOKUP(A438,'Sets (lua data)'!$A$3:$C$9920,3,FALSE)</f>
        <v>Yandir\'s Might</v>
      </c>
      <c r="C438" s="8" t="str">
        <f>VLOOKUP(A438,'Sets (lua data)'!$A$3:$C$9920,2,FALSE)</f>
        <v>Yandirs Macht</v>
      </c>
    </row>
    <row r="439" spans="1:3" x14ac:dyDescent="0.25">
      <c r="A439" s="11">
        <v>499</v>
      </c>
      <c r="B439" s="8" t="str">
        <f>VLOOKUP(A439,'Sets (lua data)'!$A$3:$C$9920,3,FALSE)</f>
        <v>Perfected Yandir\'s Might</v>
      </c>
      <c r="C439" s="8" t="str">
        <f>VLOOKUP(A439,'Sets (lua data)'!$A$3:$C$9920,2,FALSE)</f>
        <v>Yandirs perfektionierte Macht</v>
      </c>
    </row>
    <row r="440" spans="1:3" x14ac:dyDescent="0.25">
      <c r="A440" s="11">
        <v>500</v>
      </c>
      <c r="B440" s="8" t="str">
        <f>VLOOKUP(A440,'Sets (lua data)'!$A$3:$C$9920,3,FALSE)</f>
        <v>Bloodlord\'s Embrace (OLD)</v>
      </c>
      <c r="C440" s="8" t="str">
        <f>VLOOKUP(A440,'Sets (lua data)'!$A$3:$C$9920,2,FALSE)</f>
        <v>Bloodlord's Embrace (OLD)</v>
      </c>
    </row>
    <row r="441" spans="1:3" x14ac:dyDescent="0.25">
      <c r="A441" s="11">
        <v>501</v>
      </c>
      <c r="B441" s="8" t="str">
        <f>VLOOKUP(A441,'Sets (lua data)'!$A$3:$C$9920,3,FALSE)</f>
        <v>Thrassian Stranglers</v>
      </c>
      <c r="C441" s="8" t="str">
        <f>VLOOKUP(A441,'Sets (lua data)'!$A$3:$C$9920,2,FALSE)</f>
        <v>Thrassische Würger</v>
      </c>
    </row>
    <row r="442" spans="1:3" x14ac:dyDescent="0.25">
      <c r="A442" s="11">
        <v>502</v>
      </c>
      <c r="B442" s="8" t="str">
        <f>VLOOKUP(A442,'Sets (lua data)'!$A$3:$C$9920,3,FALSE)</f>
        <v>Snow Treaders (OLD)</v>
      </c>
      <c r="C442" s="8" t="str">
        <f>VLOOKUP(A442,'Sets (lua data)'!$A$3:$C$9920,2,FALSE)</f>
        <v>Snow Treaders (OLD)</v>
      </c>
    </row>
    <row r="443" spans="1:3" x14ac:dyDescent="0.25">
      <c r="A443" s="11">
        <v>503</v>
      </c>
      <c r="B443" s="8" t="str">
        <f>VLOOKUP(A443,'Sets (lua data)'!$A$3:$C$9920,3,FALSE)</f>
        <v>Ring of the Wild Hunt</v>
      </c>
      <c r="C443" s="8" t="str">
        <f>VLOOKUP(A443,'Sets (lua data)'!$A$3:$C$9920,2,FALSE)</f>
        <v>Ring der Wilden Jagd</v>
      </c>
    </row>
    <row r="444" spans="1:3" x14ac:dyDescent="0.25">
      <c r="A444" s="11">
        <v>504</v>
      </c>
      <c r="B444" s="8" t="str">
        <f>VLOOKUP(A444,'Sets (lua data)'!$A$3:$C$9920,3,FALSE)</f>
        <v>Malacath\'s Band of Brutality X</v>
      </c>
      <c r="C444" s="8" t="str">
        <f>VLOOKUP(A444,'Sets (lua data)'!$A$3:$C$9920,2,FALSE)</f>
        <v>Malacath's Band der Brutalität X</v>
      </c>
    </row>
    <row r="445" spans="1:3" x14ac:dyDescent="0.25">
      <c r="A445" s="11">
        <v>505</v>
      </c>
      <c r="B445" s="8" t="str">
        <f>VLOOKUP(A445,'Sets (lua data)'!$A$3:$C$9920,3,FALSE)</f>
        <v>Torc of Tonal Constancy</v>
      </c>
      <c r="C445" s="8" t="str">
        <f>VLOOKUP(A445,'Sets (lua data)'!$A$3:$C$9920,2,FALSE)</f>
        <v>Torques der Klangkonstanz</v>
      </c>
    </row>
    <row r="446" spans="1:3" x14ac:dyDescent="0.25">
      <c r="A446" s="11">
        <v>506</v>
      </c>
      <c r="B446" s="8" t="str">
        <f>VLOOKUP(A446,'Sets (lua data)'!$A$3:$C$9920,3,FALSE)</f>
        <v>Spell Parasite</v>
      </c>
      <c r="C446" s="8" t="str">
        <f>VLOOKUP(A446,'Sets (lua data)'!$A$3:$C$9920,2,FALSE)</f>
        <v>Magieparasit</v>
      </c>
    </row>
    <row r="447" spans="1:3" x14ac:dyDescent="0.25">
      <c r="A447" s="11">
        <v>507</v>
      </c>
      <c r="B447" s="8" t="e">
        <f>VLOOKUP(A447,'Sets (lua data)'!$A$3:$C$9920,3,FALSE)</f>
        <v>#N/A</v>
      </c>
      <c r="C447" s="8" t="e">
        <f>VLOOKUP(A447,'Sets (lua data)'!$A$3:$C$9920,2,FALSE)</f>
        <v>#N/A</v>
      </c>
    </row>
    <row r="448" spans="1:3" x14ac:dyDescent="0.25">
      <c r="A448" s="11">
        <v>508</v>
      </c>
      <c r="B448" s="8" t="e">
        <f>VLOOKUP(A448,'Sets (lua data)'!$A$3:$C$9920,3,FALSE)</f>
        <v>#N/A</v>
      </c>
      <c r="C448" s="8" t="e">
        <f>VLOOKUP(A448,'Sets (lua data)'!$A$3:$C$9920,2,FALSE)</f>
        <v>#N/A</v>
      </c>
    </row>
    <row r="449" spans="1:3" x14ac:dyDescent="0.25">
      <c r="A449" s="11">
        <v>509</v>
      </c>
      <c r="B449" s="8" t="str">
        <f>VLOOKUP(A449,'Sets (lua data)'!$A$3:$C$9920,3,FALSE)</f>
        <v>Template_Drop_Healer P</v>
      </c>
      <c r="C449" s="8" t="str">
        <f>VLOOKUP(A449,'Sets (lua data)'!$A$3:$C$9920,2,FALSE)</f>
        <v>Template_Drop_Healer P</v>
      </c>
    </row>
    <row r="450" spans="1:3" x14ac:dyDescent="0.25">
      <c r="A450" s="11">
        <v>510</v>
      </c>
      <c r="B450" s="8" t="str">
        <f>VLOOKUP(A450,'Sets (lua data)'!$A$3:$C$9920,3,FALSE)</f>
        <v>Template_Drop_Tank P</v>
      </c>
      <c r="C450" s="8" t="str">
        <f>VLOOKUP(A450,'Sets (lua data)'!$A$3:$C$9920,2,FALSE)</f>
        <v>Template_Drop_Tank P</v>
      </c>
    </row>
    <row r="451" spans="1:3" x14ac:dyDescent="0.25">
      <c r="A451" s="11">
        <v>511</v>
      </c>
      <c r="B451" s="8" t="str">
        <f>VLOOKUP(A451,'Sets (lua data)'!$A$3:$C$9920,3,FALSE)</f>
        <v>Template_Drop_Stamina P</v>
      </c>
      <c r="C451" s="8" t="str">
        <f>VLOOKUP(A451,'Sets (lua data)'!$A$3:$C$9920,2,FALSE)</f>
        <v>Template_Drop_Stamina P</v>
      </c>
    </row>
    <row r="452" spans="1:3" x14ac:dyDescent="0.25">
      <c r="A452" s="11">
        <v>512</v>
      </c>
      <c r="B452" s="8" t="str">
        <f>VLOOKUP(A452,'Sets (lua data)'!$A$3:$C$9920,3,FALSE)</f>
        <v>Template_Drop_Magi P</v>
      </c>
      <c r="C452" s="8" t="str">
        <f>VLOOKUP(A452,'Sets (lua data)'!$A$3:$C$9920,2,FALSE)</f>
        <v>Template_Drop_Magi P</v>
      </c>
    </row>
    <row r="453" spans="1:3" x14ac:dyDescent="0.25">
      <c r="A453" s="11">
        <v>513</v>
      </c>
      <c r="B453" s="8" t="str">
        <f>VLOOKUP(A453,'Sets (lua data)'!$A$3:$C$9920,3,FALSE)</f>
        <v>Talfyg\'s Treachery</v>
      </c>
      <c r="C453" s="8" t="str">
        <f>VLOOKUP(A453,'Sets (lua data)'!$A$3:$C$9920,2,FALSE)</f>
        <v>Talfygs Verrat</v>
      </c>
    </row>
    <row r="454" spans="1:3" x14ac:dyDescent="0.25">
      <c r="A454" s="11">
        <v>513</v>
      </c>
      <c r="B454" s="8" t="str">
        <f>VLOOKUP(A454,'Sets (lua data)'!$A$3:$C$9920,3,FALSE)</f>
        <v>Talfyg\'s Treachery</v>
      </c>
      <c r="C454" s="8" t="str">
        <f>VLOOKUP(A454,'Sets (lua data)'!$A$3:$C$9920,2,FALSE)</f>
        <v>Talfygs Verrat</v>
      </c>
    </row>
    <row r="455" spans="1:3" x14ac:dyDescent="0.25">
      <c r="A455" s="11">
        <v>514</v>
      </c>
      <c r="B455" s="8" t="str">
        <f>VLOOKUP(A455,'Sets (lua data)'!$A$3:$C$9920,3,FALSE)</f>
        <v>Unleashed Terror</v>
      </c>
      <c r="C455" s="8" t="str">
        <f>VLOOKUP(A455,'Sets (lua data)'!$A$3:$C$9920,2,FALSE)</f>
        <v>Entfesselter Schrecken</v>
      </c>
    </row>
    <row r="456" spans="1:3" x14ac:dyDescent="0.25">
      <c r="A456" s="11">
        <v>514</v>
      </c>
      <c r="B456" s="8" t="str">
        <f>VLOOKUP(A456,'Sets (lua data)'!$A$3:$C$9920,3,FALSE)</f>
        <v>Unleashed Terror</v>
      </c>
      <c r="C456" s="8" t="str">
        <f>VLOOKUP(A456,'Sets (lua data)'!$A$3:$C$9920,2,FALSE)</f>
        <v>Entfesselter Schrecken</v>
      </c>
    </row>
    <row r="457" spans="1:3" x14ac:dyDescent="0.25">
      <c r="A457" s="11">
        <v>515</v>
      </c>
      <c r="B457" s="8" t="str">
        <f>VLOOKUP(A457,'Sets (lua data)'!$A$3:$C$9920,3,FALSE)</f>
        <v>Crimson Twilight</v>
      </c>
      <c r="C457" s="8" t="str">
        <f>VLOOKUP(A457,'Sets (lua data)'!$A$3:$C$9920,2,FALSE)</f>
        <v>Scharlachrotes Zwielicht</v>
      </c>
    </row>
    <row r="458" spans="1:3" x14ac:dyDescent="0.25">
      <c r="A458" s="11">
        <v>515</v>
      </c>
      <c r="B458" s="8" t="str">
        <f>VLOOKUP(A458,'Sets (lua data)'!$A$3:$C$9920,3,FALSE)</f>
        <v>Crimson Twilight</v>
      </c>
      <c r="C458" s="8" t="str">
        <f>VLOOKUP(A458,'Sets (lua data)'!$A$3:$C$9920,2,FALSE)</f>
        <v>Scharlachrotes Zwielicht</v>
      </c>
    </row>
    <row r="459" spans="1:3" x14ac:dyDescent="0.25">
      <c r="A459" s="11">
        <v>516</v>
      </c>
      <c r="B459" s="8" t="str">
        <f>VLOOKUP(A459,'Sets (lua data)'!$A$3:$C$9920,3,FALSE)</f>
        <v>Elemental Catalyst</v>
      </c>
      <c r="C459" s="8" t="str">
        <f>VLOOKUP(A459,'Sets (lua data)'!$A$3:$C$9920,2,FALSE)</f>
        <v>Elementarer Katalysator</v>
      </c>
    </row>
    <row r="460" spans="1:3" x14ac:dyDescent="0.25">
      <c r="A460" s="11">
        <v>516</v>
      </c>
      <c r="B460" s="8" t="str">
        <f>VLOOKUP(A460,'Sets (lua data)'!$A$3:$C$9920,3,FALSE)</f>
        <v>Elemental Catalyst</v>
      </c>
      <c r="C460" s="8" t="str">
        <f>VLOOKUP(A460,'Sets (lua data)'!$A$3:$C$9920,2,FALSE)</f>
        <v>Elementarer Katalysator</v>
      </c>
    </row>
    <row r="461" spans="1:3" x14ac:dyDescent="0.25">
      <c r="A461" s="11">
        <v>517</v>
      </c>
      <c r="B461" s="8" t="str">
        <f>VLOOKUP(A461,'Sets (lua data)'!$A$3:$C$9920,3,FALSE)</f>
        <v>Kraglen\'s Howl</v>
      </c>
      <c r="C461" s="8" t="str">
        <f>VLOOKUP(A461,'Sets (lua data)'!$A$3:$C$9920,2,FALSE)</f>
        <v>Kraglens Heulen</v>
      </c>
    </row>
    <row r="462" spans="1:3" x14ac:dyDescent="0.25">
      <c r="A462" s="11">
        <v>517</v>
      </c>
      <c r="B462" s="8" t="str">
        <f>VLOOKUP(A462,'Sets (lua data)'!$A$3:$C$9920,3,FALSE)</f>
        <v>Kraglen\'s Howl</v>
      </c>
      <c r="C462" s="8" t="str">
        <f>VLOOKUP(A462,'Sets (lua data)'!$A$3:$C$9920,2,FALSE)</f>
        <v>Kraglens Heulen</v>
      </c>
    </row>
    <row r="463" spans="1:3" x14ac:dyDescent="0.25">
      <c r="A463" s="11">
        <v>518</v>
      </c>
      <c r="B463" s="8" t="str">
        <f>VLOOKUP(A463,'Sets (lua data)'!$A$3:$C$9920,3,FALSE)</f>
        <v>Arkasis\'s Genius</v>
      </c>
      <c r="C463" s="8" t="str">
        <f>VLOOKUP(A463,'Sets (lua data)'!$A$3:$C$9920,2,FALSE)</f>
        <v>Arkasis' Genie</v>
      </c>
    </row>
    <row r="464" spans="1:3" x14ac:dyDescent="0.25">
      <c r="A464" s="11">
        <v>518</v>
      </c>
      <c r="B464" s="8" t="str">
        <f>VLOOKUP(A464,'Sets (lua data)'!$A$3:$C$9920,3,FALSE)</f>
        <v>Arkasis\'s Genius</v>
      </c>
      <c r="C464" s="8" t="str">
        <f>VLOOKUP(A464,'Sets (lua data)'!$A$3:$C$9920,2,FALSE)</f>
        <v>Arkasis' Genie</v>
      </c>
    </row>
    <row r="465" spans="1:3" x14ac:dyDescent="0.25">
      <c r="A465" s="11">
        <v>519</v>
      </c>
      <c r="B465" s="8" t="str">
        <f>VLOOKUP(A465,'Sets (lua data)'!$A$3:$C$9920,3,FALSE)</f>
        <v>Snow Treaders</v>
      </c>
      <c r="C465" s="8" t="str">
        <f>VLOOKUP(A465,'Sets (lua data)'!$A$3:$C$9920,2,FALSE)</f>
        <v>Schneetreter</v>
      </c>
    </row>
    <row r="466" spans="1:3" x14ac:dyDescent="0.25">
      <c r="A466" s="11">
        <v>520</v>
      </c>
      <c r="B466" s="8" t="str">
        <f>VLOOKUP(A466,'Sets (lua data)'!$A$3:$C$9920,3,FALSE)</f>
        <v>Malacath\'s Band of Brutality</v>
      </c>
      <c r="C466" s="8" t="str">
        <f>VLOOKUP(A466,'Sets (lua data)'!$A$3:$C$9920,2,FALSE)</f>
        <v>Malacaths Band der Brutalität</v>
      </c>
    </row>
    <row r="467" spans="1:3" x14ac:dyDescent="0.25">
      <c r="A467" s="11">
        <v>521</v>
      </c>
      <c r="B467" s="8" t="str">
        <f>VLOOKUP(A467,'Sets (lua data)'!$A$3:$C$9920,3,FALSE)</f>
        <v>Bloodlord\'s Embrace</v>
      </c>
      <c r="C467" s="8" t="str">
        <f>VLOOKUP(A467,'Sets (lua data)'!$A$3:$C$9920,2,FALSE)</f>
        <v>Umarmung des Blutfürsten</v>
      </c>
    </row>
    <row r="468" spans="1:3" x14ac:dyDescent="0.25">
      <c r="A468" s="11">
        <v>522</v>
      </c>
      <c r="B468" s="8" t="str">
        <f>VLOOKUP(A468,'Sets (lua data)'!$A$3:$C$9920,3,FALSE)</f>
        <v>Perfected Merciless Charge</v>
      </c>
      <c r="C468" s="8" t="str">
        <f>VLOOKUP(A468,'Sets (lua data)'!$A$3:$C$9920,2,FALSE)</f>
        <v>Perfektionierter gnadenloser Ansturm</v>
      </c>
    </row>
    <row r="469" spans="1:3" x14ac:dyDescent="0.25">
      <c r="A469" s="11">
        <v>523</v>
      </c>
      <c r="B469" s="8" t="str">
        <f>VLOOKUP(A469,'Sets (lua data)'!$A$3:$C$9920,3,FALSE)</f>
        <v>Perfected Rampaging Slash</v>
      </c>
      <c r="C469" s="8" t="str">
        <f>VLOOKUP(A469,'Sets (lua data)'!$A$3:$C$9920,2,FALSE)</f>
        <v>Perfektionierter tobender Schnitt</v>
      </c>
    </row>
    <row r="470" spans="1:3" x14ac:dyDescent="0.25">
      <c r="A470" s="11">
        <v>524</v>
      </c>
      <c r="B470" s="8" t="str">
        <f>VLOOKUP(A470,'Sets (lua data)'!$A$3:$C$9920,3,FALSE)</f>
        <v>Perfected Cruel Flurry</v>
      </c>
      <c r="C470" s="8" t="str">
        <f>VLOOKUP(A470,'Sets (lua data)'!$A$3:$C$9920,2,FALSE)</f>
        <v>Perfektionierter grausamer Schlaghagel</v>
      </c>
    </row>
    <row r="471" spans="1:3" x14ac:dyDescent="0.25">
      <c r="A471" s="11">
        <v>525</v>
      </c>
      <c r="B471" s="8" t="str">
        <f>VLOOKUP(A471,'Sets (lua data)'!$A$3:$C$9920,3,FALSE)</f>
        <v>Perfected Thunderous Volley</v>
      </c>
      <c r="C471" s="8" t="str">
        <f>VLOOKUP(A471,'Sets (lua data)'!$A$3:$C$9920,2,FALSE)</f>
        <v>Perfektionierte donnernde Salve</v>
      </c>
    </row>
    <row r="472" spans="1:3" x14ac:dyDescent="0.25">
      <c r="A472" s="11">
        <v>526</v>
      </c>
      <c r="B472" s="8" t="str">
        <f>VLOOKUP(A472,'Sets (lua data)'!$A$3:$C$9920,3,FALSE)</f>
        <v>Perfected Crushing Wall</v>
      </c>
      <c r="C472" s="8" t="str">
        <f>VLOOKUP(A472,'Sets (lua data)'!$A$3:$C$9920,2,FALSE)</f>
        <v>Perfektionierte zermalmende Mauer</v>
      </c>
    </row>
    <row r="473" spans="1:3" x14ac:dyDescent="0.25">
      <c r="A473" s="11">
        <v>527</v>
      </c>
      <c r="B473" s="8" t="str">
        <f>VLOOKUP(A473,'Sets (lua data)'!$A$3:$C$9920,3,FALSE)</f>
        <v>Perfected Precise Regeneration</v>
      </c>
      <c r="C473" s="8" t="str">
        <f>VLOOKUP(A473,'Sets (lua data)'!$A$3:$C$9920,2,FALSE)</f>
        <v>Perfektionierte präzise Regeneration</v>
      </c>
    </row>
    <row r="474" spans="1:3" x14ac:dyDescent="0.25">
      <c r="A474" s="11">
        <v>528</v>
      </c>
      <c r="B474" s="8" t="str">
        <f>VLOOKUP(A474,'Sets (lua data)'!$A$3:$C$9920,3,FALSE)</f>
        <v>Perfected Titanic Cleave</v>
      </c>
      <c r="C474" s="8" t="str">
        <f>VLOOKUP(A474,'Sets (lua data)'!$A$3:$C$9920,2,FALSE)</f>
        <v>Perfektioniertes titanisches Trennen</v>
      </c>
    </row>
    <row r="475" spans="1:3" x14ac:dyDescent="0.25">
      <c r="A475" s="11">
        <v>529</v>
      </c>
      <c r="B475" s="8" t="str">
        <f>VLOOKUP(A475,'Sets (lua data)'!$A$3:$C$9920,3,FALSE)</f>
        <v>Perfected Puncturing Remedy</v>
      </c>
      <c r="C475" s="8" t="str">
        <f>VLOOKUP(A475,'Sets (lua data)'!$A$3:$C$9920,2,FALSE)</f>
        <v>Perfektionierte durchschlagende Genesung</v>
      </c>
    </row>
    <row r="476" spans="1:3" x14ac:dyDescent="0.25">
      <c r="A476" s="11">
        <v>530</v>
      </c>
      <c r="B476" s="8" t="str">
        <f>VLOOKUP(A476,'Sets (lua data)'!$A$3:$C$9920,3,FALSE)</f>
        <v>Perfected Stinging Slashes</v>
      </c>
      <c r="C476" s="8" t="str">
        <f>VLOOKUP(A476,'Sets (lua data)'!$A$3:$C$9920,2,FALSE)</f>
        <v>Perfektionierte stechende Schnitte</v>
      </c>
    </row>
    <row r="477" spans="1:3" x14ac:dyDescent="0.25">
      <c r="A477" s="11">
        <v>531</v>
      </c>
      <c r="B477" s="8" t="str">
        <f>VLOOKUP(A477,'Sets (lua data)'!$A$3:$C$9920,3,FALSE)</f>
        <v>Perfected Caustic Arrow</v>
      </c>
      <c r="C477" s="8" t="str">
        <f>VLOOKUP(A477,'Sets (lua data)'!$A$3:$C$9920,2,FALSE)</f>
        <v>Perfektionierter beißender Pfeil</v>
      </c>
    </row>
    <row r="478" spans="1:3" x14ac:dyDescent="0.25">
      <c r="A478" s="11">
        <v>532</v>
      </c>
      <c r="B478" s="8" t="str">
        <f>VLOOKUP(A478,'Sets (lua data)'!$A$3:$C$9920,3,FALSE)</f>
        <v>Perfected Destructive Impact</v>
      </c>
      <c r="C478" s="8" t="str">
        <f>VLOOKUP(A478,'Sets (lua data)'!$A$3:$C$9920,2,FALSE)</f>
        <v>Perfektionierter zerstörerischer Einschlag</v>
      </c>
    </row>
    <row r="479" spans="1:3" x14ac:dyDescent="0.25">
      <c r="A479" s="11">
        <v>534</v>
      </c>
      <c r="B479" s="8" t="str">
        <f>VLOOKUP(A479,'Sets (lua data)'!$A$3:$C$9920,3,FALSE)</f>
        <v>Stone Husk</v>
      </c>
      <c r="C479" s="8" t="str">
        <f>VLOOKUP(A479,'Sets (lua data)'!$A$3:$C$9920,2,FALSE)</f>
        <v>Steinhülle</v>
      </c>
    </row>
    <row r="480" spans="1:3" x14ac:dyDescent="0.25">
      <c r="A480" s="11">
        <v>535</v>
      </c>
      <c r="B480" s="8" t="str">
        <f>VLOOKUP(A480,'Sets (lua data)'!$A$3:$C$9920,3,FALSE)</f>
        <v>Lady Thorn</v>
      </c>
      <c r="C480" s="8" t="str">
        <f>VLOOKUP(A480,'Sets (lua data)'!$A$3:$C$9920,2,FALSE)</f>
        <v>Fürstin Dorn</v>
      </c>
    </row>
    <row r="481" spans="1:3" x14ac:dyDescent="0.25">
      <c r="A481" s="11">
        <v>536</v>
      </c>
      <c r="B481" s="8" t="str">
        <f>VLOOKUP(A481,'Sets (lua data)'!$A$3:$C$9920,3,FALSE)</f>
        <v>Radiant Bastion</v>
      </c>
      <c r="C481" s="8" t="str">
        <f>VLOOKUP(A481,'Sets (lua data)'!$A$3:$C$9920,2,FALSE)</f>
        <v>Strahlende Bastion</v>
      </c>
    </row>
    <row r="482" spans="1:3" x14ac:dyDescent="0.25">
      <c r="A482" s="11">
        <v>537</v>
      </c>
      <c r="B482" s="8" t="str">
        <f>VLOOKUP(A482,'Sets (lua data)'!$A$3:$C$9920,3,FALSE)</f>
        <v>Voidcaller</v>
      </c>
      <c r="C482" s="8" t="str">
        <f>VLOOKUP(A482,'Sets (lua data)'!$A$3:$C$9920,2,FALSE)</f>
        <v>Leerenrufer</v>
      </c>
    </row>
    <row r="483" spans="1:3" x14ac:dyDescent="0.25">
      <c r="A483" s="11">
        <v>538</v>
      </c>
      <c r="B483" s="8" t="str">
        <f>VLOOKUP(A483,'Sets (lua data)'!$A$3:$C$9920,3,FALSE)</f>
        <v>Witch-Knight\'s Defiance</v>
      </c>
      <c r="C483" s="8" t="str">
        <f>VLOOKUP(A483,'Sets (lua data)'!$A$3:$C$9920,2,FALSE)</f>
        <v>Trotz des Hexenritters</v>
      </c>
    </row>
    <row r="484" spans="1:3" x14ac:dyDescent="0.25">
      <c r="A484" s="11">
        <v>539</v>
      </c>
      <c r="B484" s="8" t="str">
        <f>VLOOKUP(A484,'Sets (lua data)'!$A$3:$C$9920,3,FALSE)</f>
        <v>Red Eagle\'s Fury</v>
      </c>
      <c r="C484" s="8" t="str">
        <f>VLOOKUP(A484,'Sets (lua data)'!$A$3:$C$9920,2,FALSE)</f>
        <v>Zorn des Roten Adlers</v>
      </c>
    </row>
    <row r="485" spans="1:3" x14ac:dyDescent="0.25">
      <c r="A485" s="11">
        <v>540</v>
      </c>
      <c r="B485" s="8" t="str">
        <f>VLOOKUP(A485,'Sets (lua data)'!$A$3:$C$9920,3,FALSE)</f>
        <v>Legacy of Karth</v>
      </c>
      <c r="C485" s="8" t="str">
        <f>VLOOKUP(A485,'Sets (lua data)'!$A$3:$C$9920,2,FALSE)</f>
        <v>Erbe des Karth</v>
      </c>
    </row>
    <row r="486" spans="1:3" x14ac:dyDescent="0.25">
      <c r="A486" s="11">
        <v>541</v>
      </c>
      <c r="B486" s="8" t="str">
        <f>VLOOKUP(A486,'Sets (lua data)'!$A$3:$C$9920,3,FALSE)</f>
        <v>Aetherial Ascension</v>
      </c>
      <c r="C486" s="8" t="str">
        <f>VLOOKUP(A486,'Sets (lua data)'!$A$3:$C$9920,2,FALSE)</f>
        <v>Ätherischer Aufstieg</v>
      </c>
    </row>
    <row r="487" spans="1:3" x14ac:dyDescent="0.25">
      <c r="A487" s="11">
        <v>542</v>
      </c>
      <c r="B487" s="8" t="str">
        <f>VLOOKUP(A487,'Sets (lua data)'!$A$3:$C$9920,3,FALSE)</f>
        <v>Hex Siphon</v>
      </c>
      <c r="C487" s="8" t="str">
        <f>VLOOKUP(A487,'Sets (lua data)'!$A$3:$C$9920,2,FALSE)</f>
        <v>Fluchsiphon</v>
      </c>
    </row>
    <row r="488" spans="1:3" x14ac:dyDescent="0.25">
      <c r="A488" s="11">
        <v>543</v>
      </c>
      <c r="B488" s="8" t="str">
        <f>VLOOKUP(A488,'Sets (lua data)'!$A$3:$C$9920,3,FALSE)</f>
        <v>Pestilent Host</v>
      </c>
      <c r="C488" s="8" t="str">
        <f>VLOOKUP(A488,'Sets (lua data)'!$A$3:$C$9920,2,FALSE)</f>
        <v>Pestilenter Wirt</v>
      </c>
    </row>
    <row r="489" spans="1:3" x14ac:dyDescent="0.25">
      <c r="A489" s="11">
        <v>544</v>
      </c>
      <c r="B489" s="8" t="str">
        <f>VLOOKUP(A489,'Sets (lua data)'!$A$3:$C$9920,3,FALSE)</f>
        <v>Explosive Rebuke</v>
      </c>
      <c r="C489" s="8" t="str">
        <f>VLOOKUP(A489,'Sets (lua data)'!$A$3:$C$9920,2,FALSE)</f>
        <v>Explosiver Tadel</v>
      </c>
    </row>
    <row r="490" spans="1:3" x14ac:dyDescent="0.25">
      <c r="A490" s="11">
        <v>557</v>
      </c>
      <c r="B490" s="8" t="str">
        <f>VLOOKUP(A490,'Sets (lua data)'!$A$3:$C$9920,3,FALSE)</f>
        <v>Executioner\'s Blade</v>
      </c>
      <c r="C490" s="8" t="str">
        <f>VLOOKUP(A490,'Sets (lua data)'!$A$3:$C$9920,2,FALSE)</f>
        <v>Henkersklinge</v>
      </c>
    </row>
    <row r="491" spans="1:3" x14ac:dyDescent="0.25">
      <c r="A491" s="11">
        <v>558</v>
      </c>
      <c r="B491" s="8" t="str">
        <f>VLOOKUP(A491,'Sets (lua data)'!$A$3:$C$9920,3,FALSE)</f>
        <v>Void Bash</v>
      </c>
      <c r="C491" s="8" t="str">
        <f>VLOOKUP(A491,'Sets (lua data)'!$A$3:$C$9920,2,FALSE)</f>
        <v>LeerenWucht</v>
      </c>
    </row>
    <row r="492" spans="1:3" x14ac:dyDescent="0.25">
      <c r="A492" s="11">
        <v>559</v>
      </c>
      <c r="B492" s="8" t="str">
        <f>VLOOKUP(A492,'Sets (lua data)'!$A$3:$C$9920,3,FALSE)</f>
        <v>Frenzied Momentum</v>
      </c>
      <c r="C492" s="8" t="str">
        <f>VLOOKUP(A492,'Sets (lua data)'!$A$3:$C$9920,2,FALSE)</f>
        <v>Tobendes Momentum</v>
      </c>
    </row>
    <row r="493" spans="1:3" x14ac:dyDescent="0.25">
      <c r="A493" s="11">
        <v>560</v>
      </c>
      <c r="B493" s="8" t="str">
        <f>VLOOKUP(A493,'Sets (lua data)'!$A$3:$C$9920,3,FALSE)</f>
        <v>Point-Blank Snipe</v>
      </c>
      <c r="C493" s="8" t="str">
        <f>VLOOKUP(A493,'Sets (lua data)'!$A$3:$C$9920,2,FALSE)</f>
        <v>Volltreffer</v>
      </c>
    </row>
    <row r="494" spans="1:3" x14ac:dyDescent="0.25">
      <c r="A494" s="11">
        <v>561</v>
      </c>
      <c r="B494" s="8" t="str">
        <f>VLOOKUP(A494,'Sets (lua data)'!$A$3:$C$9920,3,FALSE)</f>
        <v>Wrath of Elements</v>
      </c>
      <c r="C494" s="8" t="str">
        <f>VLOOKUP(A494,'Sets (lua data)'!$A$3:$C$9920,2,FALSE)</f>
        <v>Zorn der Elemente</v>
      </c>
    </row>
    <row r="495" spans="1:3" x14ac:dyDescent="0.25">
      <c r="A495" s="11">
        <v>562</v>
      </c>
      <c r="B495" s="8" t="str">
        <f>VLOOKUP(A495,'Sets (lua data)'!$A$3:$C$9920,3,FALSE)</f>
        <v>Force Overflow</v>
      </c>
      <c r="C495" s="8" t="str">
        <f>VLOOKUP(A495,'Sets (lua data)'!$A$3:$C$9920,2,FALSE)</f>
        <v>Machtüberschuss</v>
      </c>
    </row>
    <row r="496" spans="1:3" x14ac:dyDescent="0.25">
      <c r="A496" s="11">
        <v>563</v>
      </c>
      <c r="B496" s="8" t="str">
        <f>VLOOKUP(A496,'Sets (lua data)'!$A$3:$C$9920,3,FALSE)</f>
        <v>Perfected Executioner\'s Blade</v>
      </c>
      <c r="C496" s="8" t="str">
        <f>VLOOKUP(A496,'Sets (lua data)'!$A$3:$C$9920,2,FALSE)</f>
        <v>Perfektionierte Klinge des Henkers</v>
      </c>
    </row>
    <row r="497" spans="1:3" x14ac:dyDescent="0.25">
      <c r="A497" s="11">
        <v>564</v>
      </c>
      <c r="B497" s="8" t="str">
        <f>VLOOKUP(A497,'Sets (lua data)'!$A$3:$C$9920,3,FALSE)</f>
        <v>Perfected Void Bash</v>
      </c>
      <c r="C497" s="8" t="str">
        <f>VLOOKUP(A497,'Sets (lua data)'!$A$3:$C$9920,2,FALSE)</f>
        <v>Perfektionierte Leerenwucht</v>
      </c>
    </row>
    <row r="498" spans="1:3" x14ac:dyDescent="0.25">
      <c r="A498" s="11">
        <v>565</v>
      </c>
      <c r="B498" s="8" t="str">
        <f>VLOOKUP(A498,'Sets (lua data)'!$A$3:$C$9920,3,FALSE)</f>
        <v>Perfected Frenzied Momentum</v>
      </c>
      <c r="C498" s="8" t="str">
        <f>VLOOKUP(A498,'Sets (lua data)'!$A$3:$C$9920,2,FALSE)</f>
        <v>Perfektioniertes tobendes Momentum</v>
      </c>
    </row>
    <row r="499" spans="1:3" x14ac:dyDescent="0.25">
      <c r="A499" s="11">
        <v>566</v>
      </c>
      <c r="B499" s="8" t="str">
        <f>VLOOKUP(A499,'Sets (lua data)'!$A$3:$C$9920,3,FALSE)</f>
        <v>Perfected Point-Blank Snipe</v>
      </c>
      <c r="C499" s="8" t="str">
        <f>VLOOKUP(A499,'Sets (lua data)'!$A$3:$C$9920,2,FALSE)</f>
        <v>Perfektionierter Volltreffer</v>
      </c>
    </row>
    <row r="500" spans="1:3" x14ac:dyDescent="0.25">
      <c r="A500" s="11">
        <v>567</v>
      </c>
      <c r="B500" s="8" t="str">
        <f>VLOOKUP(A500,'Sets (lua data)'!$A$3:$C$9920,3,FALSE)</f>
        <v>Perfected Wrath of Elements</v>
      </c>
      <c r="C500" s="8" t="str">
        <f>VLOOKUP(A500,'Sets (lua data)'!$A$3:$C$9920,2,FALSE)</f>
        <v>Perfektionierter Zorn der Elemente</v>
      </c>
    </row>
    <row r="501" spans="1:3" x14ac:dyDescent="0.25">
      <c r="A501" s="11">
        <v>568</v>
      </c>
      <c r="B501" s="8" t="str">
        <f>VLOOKUP(A501,'Sets (lua data)'!$A$3:$C$9920,3,FALSE)</f>
        <v>Perfected Force Overflow</v>
      </c>
      <c r="C501" s="8" t="str">
        <f>VLOOKUP(A501,'Sets (lua data)'!$A$3:$C$9920,2,FALSE)</f>
        <v>Perfektionierter Machtüberschuss</v>
      </c>
    </row>
    <row r="502" spans="1:3" x14ac:dyDescent="0.25">
      <c r="A502" s="11">
        <v>569</v>
      </c>
      <c r="B502" s="8" t="str">
        <f>VLOOKUP(A502,'Sets (lua data)'!$A$3:$C$9920,3,FALSE)</f>
        <v>True-Sworn Fury </v>
      </c>
      <c r="C502" s="8" t="str">
        <f>VLOOKUP(A502,'Sets (lua data)'!$A$3:$C$9920,2,FALSE)</f>
        <v>Wahrgeschworenen-Raserei</v>
      </c>
    </row>
    <row r="503" spans="1:3" x14ac:dyDescent="0.25">
      <c r="A503" s="11">
        <v>570</v>
      </c>
      <c r="B503" s="8" t="str">
        <f>VLOOKUP(A503,'Sets (lua data)'!$A$3:$C$9920,3,FALSE)</f>
        <v>Kinras\'s Wrath</v>
      </c>
      <c r="C503" s="8" t="str">
        <f>VLOOKUP(A503,'Sets (lua data)'!$A$3:$C$9920,2,FALSE)</f>
        <v>Kinra's Zorn</v>
      </c>
    </row>
    <row r="504" spans="1:3" x14ac:dyDescent="0.25">
      <c r="A504" s="11">
        <v>571</v>
      </c>
      <c r="B504" s="8" t="str">
        <f>VLOOKUP(A504,'Sets (lua data)'!$A$3:$C$9920,3,FALSE)</f>
        <v>Drake\'s Rush</v>
      </c>
      <c r="C504" s="8" t="str">
        <f>VLOOKUP(A504,'Sets (lua data)'!$A$3:$C$9920,2,FALSE)</f>
        <v>Dracheneile</v>
      </c>
    </row>
    <row r="505" spans="1:3" x14ac:dyDescent="0.25">
      <c r="A505" s="11">
        <v>572</v>
      </c>
      <c r="B505" s="8" t="str">
        <f>VLOOKUP(A505,'Sets (lua data)'!$A$3:$C$9920,3,FALSE)</f>
        <v>Unleashed Ritualist</v>
      </c>
      <c r="C505" s="8" t="str">
        <f>VLOOKUP(A505,'Sets (lua data)'!$A$3:$C$9920,2,FALSE)</f>
        <v>Entfesselter Ritualist</v>
      </c>
    </row>
    <row r="506" spans="1:3" x14ac:dyDescent="0.25">
      <c r="A506" s="11">
        <v>573</v>
      </c>
      <c r="B506" s="8" t="str">
        <f>VLOOKUP(A506,'Sets (lua data)'!$A$3:$C$9920,3,FALSE)</f>
        <v>Dagon\'s Dominion</v>
      </c>
      <c r="C506" s="8" t="str">
        <f>VLOOKUP(A506,'Sets (lua data)'!$A$3:$C$9920,2,FALSE)</f>
        <v>Dagons Herrschaft</v>
      </c>
    </row>
    <row r="507" spans="1:3" x14ac:dyDescent="0.25">
      <c r="A507" s="11">
        <v>574</v>
      </c>
      <c r="B507" s="8" t="str">
        <f>VLOOKUP(A507,'Sets (lua data)'!$A$3:$C$9920,3,FALSE)</f>
        <v>Foolkiller\'s Ward</v>
      </c>
      <c r="C507" s="8" t="str">
        <f>VLOOKUP(A507,'Sets (lua data)'!$A$3:$C$9920,2,FALSE)</f>
        <v>Schutz des Narrentöters</v>
      </c>
    </row>
    <row r="508" spans="1:3" x14ac:dyDescent="0.25">
      <c r="A508" s="11">
        <v>575</v>
      </c>
      <c r="B508" s="8" t="str">
        <f>VLOOKUP(A508,'Sets (lua data)'!$A$3:$C$9920,3,FALSE)</f>
        <v>Ring of the Pale Order</v>
      </c>
      <c r="C508" s="8" t="str">
        <f>VLOOKUP(A508,'Sets (lua data)'!$A$3:$C$9920,2,FALSE)</f>
        <v>Ring des Fahlen Ordens</v>
      </c>
    </row>
    <row r="509" spans="1:3" x14ac:dyDescent="0.25">
      <c r="A509" s="11">
        <v>576</v>
      </c>
      <c r="B509" s="8" t="str">
        <f>VLOOKUP(A509,'Sets (lua data)'!$A$3:$C$9920,3,FALSE)</f>
        <v>Pearls of Ehlnofey</v>
      </c>
      <c r="C509" s="8" t="str">
        <f>VLOOKUP(A509,'Sets (lua data)'!$A$3:$C$9920,2,FALSE)</f>
        <v>Perlen der Ehlnofey</v>
      </c>
    </row>
    <row r="510" spans="1:3" x14ac:dyDescent="0.25">
      <c r="A510" s="11">
        <v>577</v>
      </c>
      <c r="B510" s="8" t="str">
        <f>VLOOKUP(A510,'Sets (lua data)'!$A$3:$C$9920,3,FALSE)</f>
        <v>Encrati\'s Behemoth</v>
      </c>
      <c r="C510" s="8" t="str">
        <f>VLOOKUP(A510,'Sets (lua data)'!$A$3:$C$9920,2,FALSE)</f>
        <v>Encrati\'s Behemoth</v>
      </c>
    </row>
    <row r="511" spans="1:3" x14ac:dyDescent="0.25">
      <c r="A511" s="11">
        <v>578</v>
      </c>
      <c r="B511" s="8" t="str">
        <f>VLOOKUP(A511,'Sets (lua data)'!$A$3:$C$9920,3,FALSE)</f>
        <v>Baron Zaudrus</v>
      </c>
      <c r="C511" s="8" t="str">
        <f>VLOOKUP(A511,'Sets (lua data)'!$A$3:$C$9920,2,FALSE)</f>
        <v>Baron Zaudrus</v>
      </c>
    </row>
    <row r="512" spans="1:3" x14ac:dyDescent="0.25">
      <c r="A512" s="11">
        <v>579</v>
      </c>
      <c r="B512" s="8" t="str">
        <f>VLOOKUP(A512,'Sets (lua data)'!$A$3:$C$9920,3,FALSE)</f>
        <v>Frostbite</v>
      </c>
      <c r="C512" s="8" t="str">
        <f>VLOOKUP(A512,'Sets (lua data)'!$A$3:$C$9920,2,FALSE)</f>
        <v>Frostbiss</v>
      </c>
    </row>
    <row r="513" spans="1:3" x14ac:dyDescent="0.25">
      <c r="A513" s="11">
        <v>580</v>
      </c>
      <c r="B513" s="8" t="str">
        <f>VLOOKUP(A513,'Sets (lua data)'!$A$3:$C$9920,3,FALSE)</f>
        <v>Deadlands Assassin</v>
      </c>
      <c r="C513" s="8" t="str">
        <f>VLOOKUP(A513,'Sets (lua data)'!$A$3:$C$9920,2,FALSE)</f>
        <v>Totenländer-Assassine</v>
      </c>
    </row>
    <row r="514" spans="1:3" x14ac:dyDescent="0.25">
      <c r="A514" s="11">
        <v>581</v>
      </c>
      <c r="B514" s="8" t="str">
        <f>VLOOKUP(A514,'Sets (lua data)'!$A$3:$C$9920,3,FALSE)</f>
        <v>Bog Raider</v>
      </c>
      <c r="C514" s="8" t="str">
        <f>VLOOKUP(A514,'Sets (lua data)'!$A$3:$C$9920,2,FALSE)</f>
        <v>Moorräuber</v>
      </c>
    </row>
    <row r="515" spans="1:3" x14ac:dyDescent="0.25">
      <c r="A515" s="11">
        <v>582</v>
      </c>
      <c r="B515" s="8" t="str">
        <f>VLOOKUP(A515,'Sets (lua data)'!$A$3:$C$9920,3,FALSE)</f>
        <v>Hist Whisperer</v>
      </c>
      <c r="C515" s="8" t="str">
        <f>VLOOKUP(A515,'Sets (lua data)'!$A$3:$C$9920,2,FALSE)</f>
        <v>Histflüsterer</v>
      </c>
    </row>
    <row r="516" spans="1:3" x14ac:dyDescent="0.25">
      <c r="A516" s="11">
        <v>583</v>
      </c>
      <c r="B516" s="8" t="str">
        <f>VLOOKUP(A516,'Sets (lua data)'!$A$3:$C$9920,3,FALSE)</f>
        <v>Heartland Conqueror</v>
      </c>
      <c r="C516" s="8" t="str">
        <f>VLOOKUP(A516,'Sets (lua data)'!$A$3:$C$9920,2,FALSE)</f>
        <v>Herzlanderoberer</v>
      </c>
    </row>
    <row r="517" spans="1:3" x14ac:dyDescent="0.25">
      <c r="A517" s="11">
        <v>584</v>
      </c>
      <c r="B517" s="8" t="str">
        <f>VLOOKUP(A517,'Sets (lua data)'!$A$3:$C$9920,3,FALSE)</f>
        <v>Diamond\'s Victory</v>
      </c>
      <c r="C517" s="8" t="str">
        <f>VLOOKUP(A517,'Sets (lua data)'!$A$3:$C$9920,2,FALSE)</f>
        <v>Sieg des Diamanten</v>
      </c>
    </row>
    <row r="518" spans="1:3" x14ac:dyDescent="0.25">
      <c r="A518" s="11">
        <v>585</v>
      </c>
      <c r="B518" s="8" t="str">
        <f>VLOOKUP(A518,'Sets (lua data)'!$A$3:$C$9920,3,FALSE)</f>
        <v>Saxhleel Champion</v>
      </c>
      <c r="C518" s="8" t="str">
        <f>VLOOKUP(A518,'Sets (lua data)'!$A$3:$C$9920,2,FALSE)</f>
        <v>Saxhleel-Champion</v>
      </c>
    </row>
    <row r="519" spans="1:3" x14ac:dyDescent="0.25">
      <c r="A519" s="11">
        <v>586</v>
      </c>
      <c r="B519" s="8" t="str">
        <f>VLOOKUP(A519,'Sets (lua data)'!$A$3:$C$9920,3,FALSE)</f>
        <v>Sul-Xan\'s Torment</v>
      </c>
      <c r="C519" s="8" t="str">
        <f>VLOOKUP(A519,'Sets (lua data)'!$A$3:$C$9920,2,FALSE)</f>
        <v>Sul-Xans Folter</v>
      </c>
    </row>
    <row r="520" spans="1:3" x14ac:dyDescent="0.25">
      <c r="A520" s="11">
        <v>587</v>
      </c>
      <c r="B520" s="8" t="str">
        <f>VLOOKUP(A520,'Sets (lua data)'!$A$3:$C$9920,3,FALSE)</f>
        <v>Bahsei\'s Mania</v>
      </c>
      <c r="C520" s="8" t="str">
        <f>VLOOKUP(A520,'Sets (lua data)'!$A$3:$C$9920,2,FALSE)</f>
        <v>Bahseis Manie</v>
      </c>
    </row>
    <row r="521" spans="1:3" x14ac:dyDescent="0.25">
      <c r="A521" s="11">
        <v>588</v>
      </c>
      <c r="B521" s="8" t="str">
        <f>VLOOKUP(A521,'Sets (lua data)'!$A$3:$C$9920,3,FALSE)</f>
        <v>Stone-Talker\'s Oath</v>
      </c>
      <c r="C521" s="8" t="str">
        <f>VLOOKUP(A521,'Sets (lua data)'!$A$3:$C$9920,2,FALSE)</f>
        <v>Eid des Steinsprechers</v>
      </c>
    </row>
    <row r="522" spans="1:3" x14ac:dyDescent="0.25">
      <c r="A522" s="11">
        <v>589</v>
      </c>
      <c r="B522" s="8" t="str">
        <f>VLOOKUP(A522,'Sets (lua data)'!$A$3:$C$9920,3,FALSE)</f>
        <v>Perfected Saxhleel Champion</v>
      </c>
      <c r="C522" s="8" t="str">
        <f>VLOOKUP(A522,'Sets (lua data)'!$A$3:$C$9920,2,FALSE)</f>
        <v>Perfektionierter Saxhleel-Champion</v>
      </c>
    </row>
    <row r="523" spans="1:3" x14ac:dyDescent="0.25">
      <c r="A523" s="11">
        <v>590</v>
      </c>
      <c r="B523" s="8" t="str">
        <f>VLOOKUP(A523,'Sets (lua data)'!$A$3:$C$9920,3,FALSE)</f>
        <v>Perfected Sul-Xan\'s Torment</v>
      </c>
      <c r="C523" s="8" t="str">
        <f>VLOOKUP(A523,'Sets (lua data)'!$A$3:$C$9920,2,FALSE)</f>
        <v>Perfected Sul-Xan\'s Torment</v>
      </c>
    </row>
    <row r="524" spans="1:3" x14ac:dyDescent="0.25">
      <c r="A524" s="11">
        <v>591</v>
      </c>
      <c r="B524" s="8" t="str">
        <f>VLOOKUP(A524,'Sets (lua data)'!$A$3:$C$9920,3,FALSE)</f>
        <v>Perfected Bahsei\'s Mania</v>
      </c>
      <c r="C524" s="8" t="str">
        <f>VLOOKUP(A524,'Sets (lua data)'!$A$3:$C$9920,2,FALSE)</f>
        <v>Bahseis perfektionierte Manie</v>
      </c>
    </row>
    <row r="525" spans="1:3" x14ac:dyDescent="0.25">
      <c r="A525" s="11">
        <v>592</v>
      </c>
      <c r="B525" s="8" t="str">
        <f>VLOOKUP(A525,'Sets (lua data)'!$A$3:$C$9920,3,FALSE)</f>
        <v>Perfected Stone-Talker\'s Oath</v>
      </c>
      <c r="C525" s="8" t="str">
        <f>VLOOKUP(A525,'Sets (lua data)'!$A$3:$C$9920,2,FALSE)</f>
        <v>Perfektionierter Eid des Steinsprechers</v>
      </c>
    </row>
    <row r="526" spans="1:3" x14ac:dyDescent="0.25">
      <c r="A526" s="11">
        <v>593</v>
      </c>
      <c r="B526" s="8" t="str">
        <f>VLOOKUP(A526,'Sets (lua data)'!$A$3:$C$9920,3,FALSE)</f>
        <v>Gaze of Sithis</v>
      </c>
      <c r="C526" s="8" t="str">
        <f>VLOOKUP(A526,'Sets (lua data)'!$A$3:$C$9920,2,FALSE)</f>
        <v>Gaze of Sithis</v>
      </c>
    </row>
    <row r="527" spans="1:3" x14ac:dyDescent="0.25">
      <c r="A527" s="11">
        <v>594</v>
      </c>
      <c r="B527" s="8" t="str">
        <f>VLOOKUP(A527,'Sets (lua data)'!$A$3:$C$9920,3,FALSE)</f>
        <v>Harpooner\'s Wading Kilt</v>
      </c>
      <c r="C527" s="8" t="str">
        <f>VLOOKUP(A527,'Sets (lua data)'!$A$3:$C$9920,2,FALSE)</f>
        <v>Harpooner\'s Wading Kilt</v>
      </c>
    </row>
    <row r="528" spans="1:3" x14ac:dyDescent="0.25">
      <c r="A528" s="11">
        <v>595</v>
      </c>
      <c r="B528" s="8" t="e">
        <f>VLOOKUP(A528,'Sets (lua data)'!$A$3:$C$9920,3,FALSE)</f>
        <v>#N/A</v>
      </c>
      <c r="C528" s="8" t="e">
        <f>VLOOKUP(A528,'Sets (lua data)'!$A$3:$C$9920,2,FALSE)</f>
        <v>#N/A</v>
      </c>
    </row>
    <row r="529" spans="1:3" x14ac:dyDescent="0.25">
      <c r="A529" s="11">
        <v>596</v>
      </c>
      <c r="B529" s="8" t="str">
        <f>VLOOKUP(A529,'Sets (lua data)'!$A$3:$C$9920,3,FALSE)</f>
        <v>Death Dealer\'s Fete</v>
      </c>
      <c r="C529" s="8" t="str">
        <f>VLOOKUP(A529,'Sets (lua data)'!$A$3:$C$9920,2,FALSE)</f>
        <v>Death Dealer\'s Fete</v>
      </c>
    </row>
    <row r="530" spans="1:3" x14ac:dyDescent="0.25">
      <c r="A530" s="11">
        <v>597</v>
      </c>
      <c r="B530" s="8" t="str">
        <f>VLOOKUP(A530,'Sets (lua data)'!$A$3:$C$9920,3,FALSE)</f>
        <v>Shapeshifter\'s Chain</v>
      </c>
      <c r="C530" s="8" t="str">
        <f>VLOOKUP(A530,'Sets (lua data)'!$A$3:$C$9920,2,FALSE)</f>
        <v>Shapeshifter\'s Chain</v>
      </c>
    </row>
    <row r="531" spans="1:3" x14ac:dyDescent="0.25">
      <c r="A531" s="11">
        <v>598</v>
      </c>
      <c r="B531" s="8" t="str">
        <f>VLOOKUP(A531,'Sets (lua data)'!$A$3:$C$9920,3,FALSE)</f>
        <v>Zoal the Ever-Wakeful</v>
      </c>
      <c r="C531" s="8" t="str">
        <f>VLOOKUP(A531,'Sets (lua data)'!$A$3:$C$9920,2,FALSE)</f>
        <v>Zoal der Immerwache</v>
      </c>
    </row>
    <row r="532" spans="1:3" x14ac:dyDescent="0.25">
      <c r="A532" s="11">
        <v>599</v>
      </c>
      <c r="B532" s="8" t="str">
        <f>VLOOKUP(A532,'Sets (lua data)'!$A$3:$C$9920,3,FALSE)</f>
        <v>Immolator Charr</v>
      </c>
      <c r="C532" s="8" t="str">
        <f>VLOOKUP(A532,'Sets (lua data)'!$A$3:$C$9920,2,FALSE)</f>
        <v>Entflammer Charr</v>
      </c>
    </row>
    <row r="533" spans="1:3" x14ac:dyDescent="0.25">
      <c r="A533" s="11">
        <v>600</v>
      </c>
      <c r="B533" s="8" t="str">
        <f>VLOOKUP(A533,'Sets (lua data)'!$A$3:$C$9920,3,FALSE)</f>
        <v>Glorgoloch the Destroyer</v>
      </c>
      <c r="C533" s="8" t="str">
        <f>VLOOKUP(A533,'Sets (lua data)'!$A$3:$C$9920,2,FALSE)</f>
        <v>Glorgoloch der Zerstörer</v>
      </c>
    </row>
    <row r="534" spans="1:3" x14ac:dyDescent="0.25">
      <c r="A534" s="11">
        <v>602</v>
      </c>
      <c r="B534" s="8" t="str">
        <f>VLOOKUP(A534,'Sets (lua data)'!$A$3:$C$9920,3,FALSE)</f>
        <v>Crimson Oath\'s Rive</v>
      </c>
      <c r="C534" s="8" t="str">
        <f>VLOOKUP(A534,'Sets (lua data)'!$A$3:$C$9920,2,FALSE)</f>
        <v>Spalt des Karmesinschwurs</v>
      </c>
    </row>
    <row r="535" spans="1:3" x14ac:dyDescent="0.25">
      <c r="A535" s="11">
        <v>603</v>
      </c>
      <c r="B535" s="8" t="str">
        <f>VLOOKUP(A535,'Sets (lua data)'!$A$3:$C$9920,3,FALSE)</f>
        <v>Scorion\'s Feast </v>
      </c>
      <c r="C535" s="8" t="str">
        <f>VLOOKUP(A535,'Sets (lua data)'!$A$3:$C$9920,2,FALSE)</f>
        <v>Festmahl des Skorions</v>
      </c>
    </row>
    <row r="536" spans="1:3" x14ac:dyDescent="0.25">
      <c r="A536" s="11">
        <v>604</v>
      </c>
      <c r="B536" s="8" t="str">
        <f>VLOOKUP(A536,'Sets (lua data)'!$A$3:$C$9920,3,FALSE)</f>
        <v>Rush of Agony</v>
      </c>
      <c r="C536" s="8" t="str">
        <f>VLOOKUP(A536,'Sets (lua data)'!$A$3:$C$9920,2,FALSE)</f>
        <v>Auftreibende Agonie</v>
      </c>
    </row>
    <row r="537" spans="1:3" x14ac:dyDescent="0.25">
      <c r="A537" s="11">
        <v>605</v>
      </c>
      <c r="B537" s="8" t="str">
        <f>VLOOKUP(A537,'Sets (lua data)'!$A$3:$C$9920,3,FALSE)</f>
        <v>Silver Rose Vigil</v>
      </c>
      <c r="C537" s="8" t="str">
        <f>VLOOKUP(A537,'Sets (lua data)'!$A$3:$C$9920,2,FALSE)</f>
        <v>Silberrosen-Wacht</v>
      </c>
    </row>
    <row r="538" spans="1:3" x14ac:dyDescent="0.25">
      <c r="A538" s="11">
        <v>606</v>
      </c>
      <c r="B538" s="8" t="str">
        <f>VLOOKUP(A538,'Sets (lua data)'!$A$3:$C$9920,3,FALSE)</f>
        <v>Thunder Caller</v>
      </c>
      <c r="C538" s="8" t="str">
        <f>VLOOKUP(A538,'Sets (lua data)'!$A$3:$C$9920,2,FALSE)</f>
        <v>Donnerrufer</v>
      </c>
    </row>
    <row r="539" spans="1:3" x14ac:dyDescent="0.25">
      <c r="A539" s="11">
        <v>607</v>
      </c>
      <c r="B539" s="8" t="str">
        <f>VLOOKUP(A539,'Sets (lua data)'!$A$3:$C$9920,3,FALSE)</f>
        <v>Grisly Gourmet</v>
      </c>
      <c r="C539" s="8" t="str">
        <f>VLOOKUP(A539,'Sets (lua data)'!$A$3:$C$9920,2,FALSE)</f>
        <v>Grausiger Gourmet</v>
      </c>
    </row>
    <row r="540" spans="1:3" x14ac:dyDescent="0.25">
      <c r="A540" s="11">
        <v>608</v>
      </c>
      <c r="B540" s="8" t="str">
        <f>VLOOKUP(A540,'Sets (lua data)'!$A$3:$C$9920,3,FALSE)</f>
        <v>Prior Thierric</v>
      </c>
      <c r="C540" s="8" t="str">
        <f>VLOOKUP(A540,'Sets (lua data)'!$A$3:$C$9920,2,FALSE)</f>
        <v>Prior Thierric</v>
      </c>
    </row>
    <row r="541" spans="1:3" x14ac:dyDescent="0.25">
      <c r="A541" s="11">
        <v>609</v>
      </c>
      <c r="B541" s="8" t="str">
        <f>VLOOKUP(A541,'Sets (lua data)'!$A$3:$C$9920,3,FALSE)</f>
        <v>Magma Incarnate</v>
      </c>
      <c r="C541" s="8" t="str">
        <f>VLOOKUP(A541,'Sets (lua data)'!$A$3:$C$9920,2,FALSE)</f>
        <v>Magmaverkörperung</v>
      </c>
    </row>
    <row r="542" spans="1:3" x14ac:dyDescent="0.25">
      <c r="A542" s="11">
        <v>610</v>
      </c>
      <c r="B542" s="8" t="str">
        <f>VLOOKUP(A542,'Sets (lua data)'!$A$3:$C$9920,3,FALSE)</f>
        <v>Wretched Vitality</v>
      </c>
      <c r="C542" s="8" t="str">
        <f>VLOOKUP(A542,'Sets (lua data)'!$A$3:$C$9920,2,FALSE)</f>
        <v>Elendsvitalität</v>
      </c>
    </row>
    <row r="543" spans="1:3" x14ac:dyDescent="0.25">
      <c r="A543" s="11">
        <v>611</v>
      </c>
      <c r="B543" s="8" t="str">
        <f>VLOOKUP(A543,'Sets (lua data)'!$A$3:$C$9920,3,FALSE)</f>
        <v>Deadlands Demolisher</v>
      </c>
      <c r="C543" s="8" t="str">
        <f>VLOOKUP(A543,'Sets (lua data)'!$A$3:$C$9920,2,FALSE)</f>
        <v>Totenländer-Demolierer</v>
      </c>
    </row>
    <row r="544" spans="1:3" x14ac:dyDescent="0.25">
      <c r="A544" s="11">
        <v>612</v>
      </c>
      <c r="B544" s="8" t="str">
        <f>VLOOKUP(A544,'Sets (lua data)'!$A$3:$C$9920,3,FALSE)</f>
        <v>Iron Flask</v>
      </c>
      <c r="C544" s="8" t="str">
        <f>VLOOKUP(A544,'Sets (lua data)'!$A$3:$C$9920,2,FALSE)</f>
        <v>Eisenfläschchen</v>
      </c>
    </row>
    <row r="545" spans="1:3" x14ac:dyDescent="0.25">
      <c r="A545" s="11">
        <v>613</v>
      </c>
      <c r="B545" s="8" t="str">
        <f>VLOOKUP(A545,'Sets (lua data)'!$A$3:$C$9920,3,FALSE)</f>
        <v>Eye of the Grasp</v>
      </c>
      <c r="C545" s="8" t="str">
        <f>VLOOKUP(A545,'Sets (lua data)'!$A$3:$C$9920,2,FALSE)</f>
        <v>Griffblick</v>
      </c>
    </row>
    <row r="546" spans="1:3" x14ac:dyDescent="0.25">
      <c r="A546" s="11">
        <v>614</v>
      </c>
      <c r="B546" s="8" t="str">
        <f>VLOOKUP(A546,'Sets (lua data)'!$A$3:$C$9920,3,FALSE)</f>
        <v>Hexos' Ward</v>
      </c>
      <c r="C546" s="8" t="str">
        <f>VLOOKUP(A546,'Sets (lua data)'!$A$3:$C$9920,2,FALSE)</f>
        <v>Hexos-Abschirmung</v>
      </c>
    </row>
    <row r="547" spans="1:3" x14ac:dyDescent="0.25">
      <c r="A547" s="11">
        <v>615</v>
      </c>
      <c r="B547" s="8" t="str">
        <f>VLOOKUP(A547,'Sets (lua data)'!$A$3:$C$9920,3,FALSE)</f>
        <v>Kynmarcher's Cruelty</v>
      </c>
      <c r="C547" s="8" t="str">
        <f>VLOOKUP(A547,'Sets (lua data)'!$A$3:$C$9920,2,FALSE)</f>
        <v>Grausamkeit der Kynandantin</v>
      </c>
    </row>
    <row r="548" spans="1:3" x14ac:dyDescent="0.25">
      <c r="A548" s="11">
        <v>616</v>
      </c>
      <c r="B548" s="8" t="str">
        <f>VLOOKUP(A548,'Sets (lua data)'!$A$3:$C$9920,3,FALSE)</f>
        <v>Dark Convergence</v>
      </c>
      <c r="C548" s="8" t="str">
        <f>VLOOKUP(A548,'Sets (lua data)'!$A$3:$C$9920,2,FALSE)</f>
        <v>Dunkle Konvergenz</v>
      </c>
    </row>
    <row r="549" spans="1:3" x14ac:dyDescent="0.25">
      <c r="A549" s="11">
        <v>617</v>
      </c>
      <c r="B549" s="8" t="str">
        <f>VLOOKUP(A549,'Sets (lua data)'!$A$3:$C$9920,3,FALSE)</f>
        <v>Plaguebreak</v>
      </c>
      <c r="C549" s="8" t="str">
        <f>VLOOKUP(A549,'Sets (lua data)'!$A$3:$C$9920,2,FALSE)</f>
        <v>Seuchenbruch</v>
      </c>
    </row>
    <row r="550" spans="1:3" x14ac:dyDescent="0.25">
      <c r="A550" s="11">
        <v>618</v>
      </c>
      <c r="B550" s="8" t="str">
        <f>VLOOKUP(A550,'Sets (lua data)'!$A$3:$C$9920,3,FALSE)</f>
        <v>Hrothgar\'s Chill</v>
      </c>
      <c r="C550" s="8" t="str">
        <f>VLOOKUP(A550,'Sets (lua data)'!$A$3:$C$9920,2,FALSE)</f>
        <v>Hrothgars Kühle</v>
      </c>
    </row>
    <row r="551" spans="1:3" x14ac:dyDescent="0.25">
      <c r="A551" s="11">
        <v>619</v>
      </c>
      <c r="B551" s="8" t="str">
        <f>VLOOKUP(A551,'Sets (lua data)'!$A$3:$C$9920,3,FALSE)</f>
        <v>Maligalig\'s Maelstrom</v>
      </c>
      <c r="C551" s="8" t="str">
        <f>VLOOKUP(A551,'Sets (lua data)'!$A$3:$C$9920,2,FALSE)</f>
        <v>Maligaligs Mahlstrom</v>
      </c>
    </row>
    <row r="552" spans="1:3" x14ac:dyDescent="0.25">
      <c r="A552" s="11">
        <v>620</v>
      </c>
      <c r="B552" s="8" t="str">
        <f>VLOOKUP(A552,'Sets (lua data)'!$A$3:$C$9920,3,FALSE)</f>
        <v>Gryphon\'s Reprisal</v>
      </c>
      <c r="C552" s="8" t="str">
        <f>VLOOKUP(A552,'Sets (lua data)'!$A$3:$C$9920,2,FALSE)</f>
        <v>Vergeltung des Greifen</v>
      </c>
    </row>
    <row r="553" spans="1:3" x14ac:dyDescent="0.25">
      <c r="A553" s="11">
        <v>621</v>
      </c>
      <c r="B553" s="8" t="str">
        <f>VLOOKUP(A553,'Sets (lua data)'!$A$3:$C$9920,3,FALSE)</f>
        <v>Glacial Guardian</v>
      </c>
      <c r="C553" s="8" t="str">
        <f>VLOOKUP(A553,'Sets (lua data)'!$A$3:$C$9920,2,FALSE)</f>
        <v>Gletscherwächter</v>
      </c>
    </row>
    <row r="554" spans="1:3" x14ac:dyDescent="0.25">
      <c r="A554" s="11">
        <v>622</v>
      </c>
      <c r="B554" s="8" t="str">
        <f>VLOOKUP(A554,'Sets (lua data)'!$A$3:$C$9920,3,FALSE)</f>
        <v>Turning Tide</v>
      </c>
      <c r="C554" s="8" t="str">
        <f>VLOOKUP(A554,'Sets (lua data)'!$A$3:$C$9920,2,FALSE)</f>
        <v>Gezeitenwechsel</v>
      </c>
    </row>
    <row r="555" spans="1:3" x14ac:dyDescent="0.25">
      <c r="A555" s="11">
        <v>623</v>
      </c>
      <c r="B555" s="8" t="str">
        <f>VLOOKUP(A555,'Sets (lua data)'!$A$3:$C$9920,3,FALSE)</f>
        <v>Storm-Cursed\'s Revenge</v>
      </c>
      <c r="C555" s="8" t="str">
        <f>VLOOKUP(A555,'Sets (lua data)'!$A$3:$C$9920,2,FALSE)</f>
        <v>Rache des Sturmverfluchten</v>
      </c>
    </row>
    <row r="556" spans="1:3" x14ac:dyDescent="0.25">
      <c r="A556" s="11">
        <v>624</v>
      </c>
      <c r="B556" s="8" t="str">
        <f>VLOOKUP(A556,'Sets (lua data)'!$A$3:$C$9920,3,FALSE)</f>
        <v>Spriggan\’s Vigor</v>
      </c>
      <c r="C556" s="8" t="str">
        <f>VLOOKUP(A556,'Sets (lua data)'!$A$3:$C$9920,2,FALSE)</f>
        <v>Elan des Zweiglings</v>
      </c>
    </row>
    <row r="557" spans="1:3" x14ac:dyDescent="0.25">
      <c r="A557" s="11">
        <v>625</v>
      </c>
      <c r="B557" s="8" t="str">
        <f>VLOOKUP(A557,'Sets (lua data)'!$A$3:$C$9920,3,FALSE)</f>
        <v>Markyn Ring of Majesty</v>
      </c>
      <c r="C557" s="8" t="str">
        <f>VLOOKUP(A557,'Sets (lua data)'!$A$3:$C$9920,2,FALSE)</f>
        <v>Markyn-Ring der Erhabenheit</v>
      </c>
    </row>
    <row r="558" spans="1:3" x14ac:dyDescent="0.25">
      <c r="A558" s="11">
        <v>626</v>
      </c>
      <c r="B558" s="8" t="str">
        <f>VLOOKUP(A558,'Sets (lua data)'!$A$3:$C$9920,3,FALSE)</f>
        <v>Belharza's Band</v>
      </c>
      <c r="C558" s="8" t="str">
        <f>VLOOKUP(A558,'Sets (lua data)'!$A$3:$C$9920,2,FALSE)</f>
        <v>Belharzas Band</v>
      </c>
    </row>
    <row r="559" spans="1:3" x14ac:dyDescent="0.25">
      <c r="A559" s="11">
        <v>627</v>
      </c>
      <c r="B559" s="8" t="str">
        <f>VLOOKUP(A559,'Sets (lua data)'!$A$3:$C$9920,3,FALSE)</f>
        <v>Spaulder of Ruin</v>
      </c>
      <c r="C559" s="8" t="str">
        <f>VLOOKUP(A559,'Sets (lua data)'!$A$3:$C$9920,2,FALSE)</f>
        <v>Schulterbänder des Untergangs</v>
      </c>
    </row>
    <row r="560" spans="1:3" x14ac:dyDescent="0.25">
      <c r="A560" s="11">
        <v>629</v>
      </c>
      <c r="B560" s="8" t="str">
        <f>VLOOKUP(A560,'Sets (lua data)'!$A$3:$C$9920,3,FALSE)</f>
        <v>Rallying Cry</v>
      </c>
      <c r="C560" s="8" t="str">
        <f>VLOOKUP(A560,'Sets (lua data)'!$A$3:$C$9920,2,FALSE)</f>
        <v>Schlachtruf</v>
      </c>
    </row>
    <row r="561" spans="1:3" x14ac:dyDescent="0.25">
      <c r="A561" s="11">
        <v>630</v>
      </c>
      <c r="B561" s="8" t="str">
        <f>VLOOKUP(A561,'Sets (lua data)'!$A$3:$C$9920,3,FALSE)</f>
        <v>Hew and Sunder </v>
      </c>
      <c r="C561" s="8" t="str">
        <f>VLOOKUP(A561,'Sets (lua data)'!$A$3:$C$9920,2,FALSE)</f>
        <v>Kappspalter</v>
      </c>
    </row>
    <row r="562" spans="1:3" x14ac:dyDescent="0.25">
      <c r="A562" s="11">
        <v>631</v>
      </c>
      <c r="B562" s="8" t="str">
        <f>VLOOKUP(A562,'Sets (lua data)'!$A$3:$C$9920,3,FALSE)</f>
        <v>Enervating Aura </v>
      </c>
      <c r="C562" s="8" t="str">
        <f>VLOOKUP(A562,'Sets (lua data)'!$A$3:$C$9920,2,FALSE)</f>
        <v>Enervierende Aura</v>
      </c>
    </row>
    <row r="563" spans="1:3" x14ac:dyDescent="0.25">
      <c r="A563" s="11">
        <v>632</v>
      </c>
      <c r="B563" s="8" t="str">
        <f>VLOOKUP(A563,'Sets (lua data)'!$A$3:$C$9920,3,FALSE)</f>
        <v>Kargaeda</v>
      </c>
      <c r="C563" s="8" t="str">
        <f>VLOOKUP(A563,'Sets (lua data)'!$A$3:$C$9920,2,FALSE)</f>
        <v>Kargaeda</v>
      </c>
    </row>
    <row r="564" spans="1:3" x14ac:dyDescent="0.25">
      <c r="A564" s="11">
        <v>633</v>
      </c>
      <c r="B564" s="8" t="str">
        <f>VLOOKUP(A564,'Sets (lua data)'!$A$3:$C$9920,3,FALSE)</f>
        <v>Nazaray </v>
      </c>
      <c r="C564" s="8" t="str">
        <f>VLOOKUP(A564,'Sets (lua data)'!$A$3:$C$9920,2,FALSE)</f>
        <v>Nazaray </v>
      </c>
    </row>
    <row r="565" spans="1:3" x14ac:dyDescent="0.25">
      <c r="A565" s="11">
        <v>634</v>
      </c>
      <c r="B565" s="8" t="str">
        <f>VLOOKUP(A565,'Sets (lua data)'!$A$3:$C$9920,3,FALSE)</f>
        <v>Nunatak</v>
      </c>
      <c r="C565" s="8" t="str">
        <f>VLOOKUP(A565,'Sets (lua data)'!$A$3:$C$9920,2,FALSE)</f>
        <v>Nunatak</v>
      </c>
    </row>
    <row r="566" spans="1:3" x14ac:dyDescent="0.25">
      <c r="A566" s="11">
        <v>635</v>
      </c>
      <c r="B566" s="8" t="str">
        <f>VLOOKUP(A566,'Sets (lua data)'!$A$3:$C$9920,3,FALSE)</f>
        <v>Lady Malydga</v>
      </c>
      <c r="C566" s="8" t="str">
        <f>VLOOKUP(A566,'Sets (lua data)'!$A$3:$C$9920,2,FALSE)</f>
        <v>Fürstin Malygda</v>
      </c>
    </row>
    <row r="567" spans="1:3" x14ac:dyDescent="0.25">
      <c r="A567" s="11">
        <v>636</v>
      </c>
      <c r="B567" s="8" t="str">
        <f>VLOOKUP(A567,'Sets (lua data)'!$A$3:$C$9920,3,FALSE)</f>
        <v>Baron Thirsk</v>
      </c>
      <c r="C567" s="8" t="str">
        <f>VLOOKUP(A567,'Sets (lua data)'!$A$3:$C$9920,2,FALSE)</f>
        <v>Baron Thirsk</v>
      </c>
    </row>
    <row r="568" spans="1:3" x14ac:dyDescent="0.25">
      <c r="A568" s="11">
        <v>640</v>
      </c>
      <c r="B568" s="8" t="str">
        <f>VLOOKUP(A568,'Sets (lua data)'!$A$3:$C$9920,3,FALSE)</f>
        <v>Order\'s Wrath</v>
      </c>
      <c r="C568" s="8" t="str">
        <f>VLOOKUP(A568,'Sets (lua data)'!$A$3:$C$9920,2,FALSE)</f>
        <v>Zorn des Ordens</v>
      </c>
    </row>
    <row r="569" spans="1:3" x14ac:dyDescent="0.25">
      <c r="A569" s="11">
        <v>641</v>
      </c>
      <c r="B569" s="8" t="str">
        <f>VLOOKUP(A569,'Sets (lua data)'!$A$3:$C$9920,3,FALSE)</f>
        <v>Serpent\'s Disdain</v>
      </c>
      <c r="C569" s="8" t="str">
        <f>VLOOKUP(A569,'Sets (lua data)'!$A$3:$C$9920,2,FALSE)</f>
        <v>Verachtung der Schlange</v>
      </c>
    </row>
    <row r="570" spans="1:3" x14ac:dyDescent="0.25">
      <c r="A570" s="11">
        <v>642</v>
      </c>
      <c r="B570" s="8" t="str">
        <f>VLOOKUP(A570,'Sets (lua data)'!$A$3:$C$9920,3,FALSE)</f>
        <v>Druid\'s Braid</v>
      </c>
      <c r="C570" s="8" t="str">
        <f>VLOOKUP(A570,'Sets (lua data)'!$A$3:$C$9920,2,FALSE)</f>
        <v>Druidenflechte</v>
      </c>
    </row>
    <row r="571" spans="1:3" x14ac:dyDescent="0.25">
      <c r="A571" s="11">
        <v>643</v>
      </c>
      <c r="B571" s="8" t="str">
        <f>VLOOKUP(A571,'Sets (lua data)'!$A$3:$C$9920,3,FALSE)</f>
        <v>Blessing of High Isle</v>
      </c>
      <c r="C571" s="8" t="str">
        <f>VLOOKUP(A571,'Sets (lua data)'!$A$3:$C$9920,2,FALSE)</f>
        <v>Segen von Hochinsel</v>
      </c>
    </row>
    <row r="572" spans="1:3" x14ac:dyDescent="0.25">
      <c r="A572" s="11">
        <v>644</v>
      </c>
      <c r="B572" s="8" t="str">
        <f>VLOOKUP(A572,'Sets (lua data)'!$A$3:$C$9920,3,FALSE)</f>
        <v>Steadfast\'s Mettle</v>
      </c>
      <c r="C572" s="8" t="str">
        <f>VLOOKUP(A572,'Sets (lua data)'!$A$3:$C$9920,2,FALSE)</f>
        <v>Mut der Standhaften</v>
      </c>
    </row>
    <row r="573" spans="1:3" x14ac:dyDescent="0.25">
      <c r="A573" s="11">
        <v>645</v>
      </c>
      <c r="B573" s="8" t="str">
        <f>VLOOKUP(A573,'Sets (lua data)'!$A$3:$C$9920,3,FALSE)</f>
        <v>Systres\' Scowl</v>
      </c>
      <c r="C573" s="8" t="str">
        <f>VLOOKUP(A573,'Sets (lua data)'!$A$3:$C$9920,2,FALSE)</f>
        <v>Blick der Systren</v>
      </c>
    </row>
    <row r="574" spans="1:3" x14ac:dyDescent="0.25">
      <c r="A574" s="11">
        <v>646</v>
      </c>
      <c r="B574" s="8" t="str">
        <f>VLOOKUP(A574,'Sets (lua data)'!$A$3:$C$9920,3,FALSE)</f>
        <v>Whorl of the Depths</v>
      </c>
      <c r="C574" s="8" t="str">
        <f>VLOOKUP(A574,'Sets (lua data)'!$A$3:$C$9920,2,FALSE)</f>
        <v>Wirbel der Tiefen</v>
      </c>
    </row>
    <row r="575" spans="1:3" x14ac:dyDescent="0.25">
      <c r="A575" s="11">
        <v>647</v>
      </c>
      <c r="B575" s="8" t="str">
        <f>VLOOKUP(A575,'Sets (lua data)'!$A$3:$C$9920,3,FALSE)</f>
        <v>Coral Riptide</v>
      </c>
      <c r="C575" s="8" t="str">
        <f>VLOOKUP(A575,'Sets (lua data)'!$A$3:$C$9920,2,FALSE)</f>
        <v>Korallenbrandung</v>
      </c>
    </row>
    <row r="576" spans="1:3" x14ac:dyDescent="0.25">
      <c r="A576" s="11">
        <v>648</v>
      </c>
      <c r="B576" s="8" t="str">
        <f>VLOOKUP(A576,'Sets (lua data)'!$A$3:$C$9920,3,FALSE)</f>
        <v>Pearlescent Ward</v>
      </c>
      <c r="C576" s="8" t="str">
        <f>VLOOKUP(A576,'Sets (lua data)'!$A$3:$C$9920,2,FALSE)</f>
        <v>Perlenglanz-Schutz</v>
      </c>
    </row>
    <row r="577" spans="1:3" x14ac:dyDescent="0.25">
      <c r="A577" s="11">
        <v>649</v>
      </c>
      <c r="B577" s="8" t="str">
        <f>VLOOKUP(A577,'Sets (lua data)'!$A$3:$C$9920,3,FALSE)</f>
        <v>Pillager\'s Profit</v>
      </c>
      <c r="C577" s="8" t="str">
        <f>VLOOKUP(A577,'Sets (lua data)'!$A$3:$C$9920,2,FALSE)</f>
        <v>Profit des Brandschatzers</v>
      </c>
    </row>
    <row r="578" spans="1:3" x14ac:dyDescent="0.25">
      <c r="A578" s="11">
        <v>650</v>
      </c>
      <c r="B578" s="8" t="str">
        <f>VLOOKUP(A578,'Sets (lua data)'!$A$3:$C$9920,3,FALSE)</f>
        <v>Perfected Pillager\'s Profit</v>
      </c>
      <c r="C578" s="8" t="str">
        <f>VLOOKUP(A578,'Sets (lua data)'!$A$3:$C$9920,2,FALSE)</f>
        <v>Perfektionierter Profit des Brandschatzers</v>
      </c>
    </row>
    <row r="579" spans="1:3" x14ac:dyDescent="0.25">
      <c r="A579" s="11">
        <v>651</v>
      </c>
      <c r="B579" s="8" t="str">
        <f>VLOOKUP(A579,'Sets (lua data)'!$A$3:$C$9920,3,FALSE)</f>
        <v>Perfected Pearlescent Ward</v>
      </c>
      <c r="C579" s="8" t="str">
        <f>VLOOKUP(A579,'Sets (lua data)'!$A$3:$C$9920,2,FALSE)</f>
        <v>Perfektionierter Perlenglanz-Schutz</v>
      </c>
    </row>
    <row r="580" spans="1:3" x14ac:dyDescent="0.25">
      <c r="A580" s="11">
        <v>652</v>
      </c>
      <c r="B580" s="8" t="str">
        <f>VLOOKUP(A580,'Sets (lua data)'!$A$3:$C$9920,3,FALSE)</f>
        <v>Perfected Coral Riptide</v>
      </c>
      <c r="C580" s="8" t="str">
        <f>VLOOKUP(A580,'Sets (lua data)'!$A$3:$C$9920,2,FALSE)</f>
        <v>Perfektionierte Korallenbrandung</v>
      </c>
    </row>
    <row r="581" spans="1:3" x14ac:dyDescent="0.25">
      <c r="A581" s="11">
        <v>653</v>
      </c>
      <c r="B581" s="8" t="str">
        <f>VLOOKUP(A581,'Sets (lua data)'!$A$3:$C$9920,3,FALSE)</f>
        <v>Perfected Whorl of the Depths</v>
      </c>
      <c r="C581" s="8" t="str">
        <f>VLOOKUP(A581,'Sets (lua data)'!$A$3:$C$9920,2,FALSE)</f>
        <v>Perfektionierter Wirbel der Tiefen</v>
      </c>
    </row>
    <row r="582" spans="1:3" x14ac:dyDescent="0.25">
      <c r="A582" s="11">
        <v>654</v>
      </c>
      <c r="B582" s="8" t="str">
        <f>VLOOKUP(A582,'Sets (lua data)'!$A$3:$C$9920,3,FALSE)</f>
        <v>Mora\'s Whispers</v>
      </c>
      <c r="C582" s="8" t="str">
        <f>VLOOKUP(A582,'Sets (lua data)'!$A$3:$C$9920,2,FALSE)</f>
        <v>Moras Flüstern</v>
      </c>
    </row>
    <row r="583" spans="1:3" x14ac:dyDescent="0.25">
      <c r="A583" s="11">
        <v>655</v>
      </c>
      <c r="B583" s="8" t="str">
        <f>VLOOKUP(A583,'Sets (lua data)'!$A$3:$C$9920,3,FALSE)</f>
        <v>Dov-rha Sabatons</v>
      </c>
      <c r="C583" s="8" t="str">
        <f>VLOOKUP(A583,'Sets (lua data)'!$A$3:$C$9920,2,FALSE)</f>
        <v>Dov-rha-Panzerschuhe</v>
      </c>
    </row>
    <row r="584" spans="1:3" x14ac:dyDescent="0.25">
      <c r="A584" s="11">
        <v>656</v>
      </c>
      <c r="B584" s="8" t="str">
        <f>VLOOKUP(A584,'Sets (lua data)'!$A$3:$C$9920,3,FALSE)</f>
        <v>Lefthander\'s Aegis Belt</v>
      </c>
      <c r="C584" s="8" t="str">
        <f>VLOOKUP(A584,'Sets (lua data)'!$A$3:$C$9920,2,FALSE)</f>
        <v>Ägisriemen der Linkshänder</v>
      </c>
    </row>
    <row r="585" spans="1:3" x14ac:dyDescent="0.25">
      <c r="A585" s="11">
        <v>657</v>
      </c>
      <c r="B585" s="8" t="str">
        <f>VLOOKUP(A585,'Sets (lua data)'!$A$3:$C$9920,3,FALSE)</f>
        <v>Sea-Serpent\'s Coil</v>
      </c>
      <c r="C585" s="8" t="str">
        <f>VLOOKUP(A585,'Sets (lua data)'!$A$3:$C$9920,2,FALSE)</f>
        <v>Wicklung der Seeschlange</v>
      </c>
    </row>
    <row r="586" spans="1:3" x14ac:dyDescent="0.25">
      <c r="A586" s="11">
        <v>658</v>
      </c>
      <c r="B586" s="8" t="str">
        <f>VLOOKUP(A586,'Sets (lua data)'!$A$3:$C$9920,3,FALSE)</f>
        <v>Oakensoul Ring</v>
      </c>
      <c r="C586" s="8" t="str">
        <f>VLOOKUP(A586,'Sets (lua data)'!$A$3:$C$9920,2,FALSE)</f>
        <v>Eichenseelenring</v>
      </c>
    </row>
    <row r="587" spans="1:3" x14ac:dyDescent="0.25">
      <c r="A587" s="11">
        <v>660</v>
      </c>
      <c r="B587" s="8" t="str">
        <f>VLOOKUP(A587,'Sets (lua data)'!$A$3:$C$9920,3,FALSE)</f>
        <v>Deeproot Zeal</v>
      </c>
      <c r="C587" s="8" t="str">
        <f>VLOOKUP(A587,'Sets (lua data)'!$A$3:$C$9920,2,FALSE)</f>
        <v>Tiefwurz-Eifer</v>
      </c>
    </row>
    <row r="588" spans="1:3" x14ac:dyDescent="0.25">
      <c r="A588" s="11">
        <v>661</v>
      </c>
      <c r="B588" s="8" t="str">
        <f>VLOOKUP(A588,'Sets (lua data)'!$A$3:$C$9920,3,FALSE)</f>
        <v>Stone\'s Accord</v>
      </c>
      <c r="C588" s="8" t="str">
        <f>VLOOKUP(A588,'Sets (lua data)'!$A$3:$C$9920,2,FALSE)</f>
        <v>Steinabkommen</v>
      </c>
    </row>
    <row r="589" spans="1:3" x14ac:dyDescent="0.25">
      <c r="A589" s="11">
        <v>662</v>
      </c>
      <c r="B589" s="8" t="str">
        <f>VLOOKUP(A589,'Sets (lua data)'!$A$3:$C$9920,3,FALSE)</f>
        <v>Rage of the Ursauk </v>
      </c>
      <c r="C589" s="8" t="str">
        <f>VLOOKUP(A589,'Sets (lua data)'!$A$3:$C$9920,2,FALSE)</f>
        <v>Zorns des Ursauk</v>
      </c>
    </row>
    <row r="590" spans="1:3" x14ac:dyDescent="0.25">
      <c r="A590" s="11">
        <v>663</v>
      </c>
      <c r="B590" s="8" t="str">
        <f>VLOOKUP(A590,'Sets (lua data)'!$A$3:$C$9920,3,FALSE)</f>
        <v>Pangrit Denmother</v>
      </c>
      <c r="C590" s="8" t="str">
        <f>VLOOKUP(A590,'Sets (lua data)'!$A$3:$C$9920,2,FALSE)</f>
        <v>Pangrit-Baumutter</v>
      </c>
    </row>
    <row r="591" spans="1:3" x14ac:dyDescent="0.25">
      <c r="A591" s="11">
        <v>664</v>
      </c>
      <c r="B591" s="8" t="str">
        <f>VLOOKUP(A591,'Sets (lua data)'!$A$3:$C$9920,3,FALSE)</f>
        <v>Grave Inevitability</v>
      </c>
      <c r="C591" s="8" t="str">
        <f>VLOOKUP(A591,'Sets (lua data)'!$A$3:$C$9920,2,FALSE)</f>
        <v>Unvermeidlichkeit des Grabs</v>
      </c>
    </row>
    <row r="592" spans="1:3" x14ac:dyDescent="0.25">
      <c r="A592" s="11">
        <v>665</v>
      </c>
      <c r="B592" s="8" t="str">
        <f>VLOOKUP(A592,'Sets (lua data)'!$A$3:$C$9920,3,FALSE)</f>
        <v>Phylactery\'s Grasp</v>
      </c>
      <c r="C592" s="8" t="str">
        <f>VLOOKUP(A592,'Sets (lua data)'!$A$3:$C$9920,2,FALSE)</f>
        <v>Phylakteriumsgriff</v>
      </c>
    </row>
    <row r="593" spans="1:3" x14ac:dyDescent="0.25">
      <c r="A593" s="11">
        <v>666</v>
      </c>
      <c r="B593" s="8" t="str">
        <f>VLOOKUP(A593,'Sets (lua data)'!$A$3:$C$9920,3,FALSE)</f>
        <v>Archdruid Devyric</v>
      </c>
      <c r="C593" s="8" t="str">
        <f>VLOOKUP(A593,'Sets (lua data)'!$A$3:$C$9920,2,FALSE)</f>
        <v>Erzdruide Devyric</v>
      </c>
    </row>
    <row r="594" spans="1:3" x14ac:dyDescent="0.25">
      <c r="A594" s="11">
        <v>667</v>
      </c>
      <c r="B594" s="8" t="str">
        <f>VLOOKUP(A594,'Sets (lua data)'!$A$3:$C$9920,3,FALSE)</f>
        <v>Euphotic Gatekeeper</v>
      </c>
      <c r="C594" s="8" t="str">
        <f>VLOOKUP(A594,'Sets (lua data)'!$A$3:$C$9920,2,FALSE)</f>
        <v>Euphotischer Torhüter</v>
      </c>
    </row>
    <row r="595" spans="1:3" x14ac:dyDescent="0.25">
      <c r="A595" s="11">
        <v>668</v>
      </c>
      <c r="B595" s="8" t="str">
        <f>VLOOKUP(A595,'Sets (lua data)'!$A$3:$C$9920,3,FALSE)</f>
        <v>Langour of Peryite</v>
      </c>
      <c r="C595" s="8" t="str">
        <f>VLOOKUP(A595,'Sets (lua data)'!$A$3:$C$9920,2,FALSE)</f>
        <v>Peryites Entkräftung</v>
      </c>
    </row>
    <row r="596" spans="1:3" x14ac:dyDescent="0.25">
      <c r="A596" s="11">
        <v>669</v>
      </c>
      <c r="B596" s="8" t="str">
        <f>VLOOKUP(A596,'Sets (lua data)'!$A$3:$C$9920,3,FALSE)</f>
        <v>Nocturnal\'s Ploy </v>
      </c>
      <c r="C596" s="8" t="str">
        <f>VLOOKUP(A596,'Sets (lua data)'!$A$3:$C$9920,2,FALSE)</f>
        <v>Nocturnals List</v>
      </c>
    </row>
    <row r="597" spans="1:3" x14ac:dyDescent="0.25">
      <c r="A597" s="11">
        <v>670</v>
      </c>
      <c r="B597" s="8" t="str">
        <f>VLOOKUP(A597,'Sets (lua data)'!$A$3:$C$9920,3,FALSE)</f>
        <v>Mara\’s Balm</v>
      </c>
      <c r="C597" s="8" t="str">
        <f>VLOOKUP(A597,'Sets (lua data)'!$A$3:$C$9920,2,FALSE)</f>
        <v>Maras Trost</v>
      </c>
    </row>
    <row r="598" spans="1:3" x14ac:dyDescent="0.25">
      <c r="A598" s="11">
        <v>671</v>
      </c>
      <c r="B598" s="8" t="str">
        <f>VLOOKUP(A598,'Sets (lua data)'!$A$3:$C$9920,3,FALSE)</f>
        <v>Back-Alley Gourmand</v>
      </c>
      <c r="C598" s="8" t="str">
        <f>VLOOKUP(A598,'Sets (lua data)'!$A$3:$C$9920,2,FALSE)</f>
        <v>Hinterhof-Gourmet</v>
      </c>
    </row>
    <row r="599" spans="1:3" x14ac:dyDescent="0.25">
      <c r="A599" s="11">
        <v>672</v>
      </c>
      <c r="B599" s="8" t="str">
        <f>VLOOKUP(A599,'Sets (lua data)'!$A$3:$C$9920,3,FALSE)</f>
        <v>Phoenix Moth Theurge</v>
      </c>
      <c r="C599" s="8" t="str">
        <f>VLOOKUP(A599,'Sets (lua data)'!$A$3:$C$9920,2,FALSE)</f>
        <v>Phönixmotten-Theurg</v>
      </c>
    </row>
    <row r="600" spans="1:3" x14ac:dyDescent="0.25">
      <c r="A600" s="11">
        <v>673</v>
      </c>
      <c r="B600" s="8" t="str">
        <f>VLOOKUP(A600,'Sets (lua data)'!$A$3:$C$9920,3,FALSE)</f>
        <v>Bastion of Draoife</v>
      </c>
      <c r="C600" s="8" t="str">
        <f>VLOOKUP(A600,'Sets (lua data)'!$A$3:$C$9920,2,FALSE)</f>
        <v>Bastion des Draoife</v>
      </c>
    </row>
    <row r="601" spans="1:3" x14ac:dyDescent="0.25">
      <c r="A601" s="11">
        <v>674</v>
      </c>
      <c r="B601" s="8" t="str">
        <f>VLOOKUP(A601,'Sets (lua data)'!$A$3:$C$9920,3,FALSE)</f>
        <v>Faun\'s Lark Cladding</v>
      </c>
      <c r="C601" s="8" t="str">
        <f>VLOOKUP(A601,'Sets (lua data)'!$A$3:$C$9920,2,FALSE)</f>
        <v>Faunstreich</v>
      </c>
    </row>
    <row r="602" spans="1:3" x14ac:dyDescent="0.25">
      <c r="A602" s="11">
        <v>675</v>
      </c>
      <c r="B602" s="8" t="str">
        <f>VLOOKUP(A602,'Sets (lua data)'!$A$3:$C$9920,3,FALSE)</f>
        <v>Stormweaver\'s Cavort</v>
      </c>
      <c r="C602" s="8" t="str">
        <f>VLOOKUP(A602,'Sets (lua data)'!$A$3:$C$9920,2,FALSE)</f>
        <v>Sturmwebertollen</v>
      </c>
    </row>
    <row r="603" spans="1:3" x14ac:dyDescent="0.25">
      <c r="A603" s="11">
        <v>676</v>
      </c>
      <c r="B603" s="8" t="str">
        <f>VLOOKUP(A603,'Sets (lua data)'!$A$3:$C$9920,3,FALSE)</f>
        <v>Syrabane\'s Ward</v>
      </c>
      <c r="C603" s="8" t="str">
        <f>VLOOKUP(A603,'Sets (lua data)'!$A$3:$C$9920,2,FALSE)</f>
        <v>Syrabanns Schutz</v>
      </c>
    </row>
    <row r="604" spans="1:3" x14ac:dyDescent="0.25">
      <c r="A604" s="11">
        <v>677</v>
      </c>
      <c r="B604" s="8" t="str">
        <f>VLOOKUP(A604,'Sets (lua data)'!$A$3:$C$9920,3,FALSE)</f>
        <v>Chimera\'s Rebuke</v>
      </c>
      <c r="C604" s="8" t="str">
        <f>VLOOKUP(A604,'Sets (lua data)'!$A$3:$C$9920,2,FALSE)</f>
        <v>Zurechtweisung der Schimäre</v>
      </c>
    </row>
    <row r="605" spans="1:3" x14ac:dyDescent="0.25">
      <c r="A605" s="11">
        <v>678</v>
      </c>
      <c r="B605" s="8" t="str">
        <f>VLOOKUP(A605,'Sets (lua data)'!$A$3:$C$9920,3,FALSE)</f>
        <v>Old Growth Brewer</v>
      </c>
      <c r="C605" s="8" t="str">
        <f>VLOOKUP(A605,'Sets (lua data)'!$A$3:$C$9920,2,FALSE)</f>
        <v>Altwuchs-Brauer</v>
      </c>
    </row>
    <row r="606" spans="1:3" x14ac:dyDescent="0.25">
      <c r="A606" s="11">
        <v>679</v>
      </c>
      <c r="B606" s="8" t="str">
        <f>VLOOKUP(A606,'Sets (lua data)'!$A$3:$C$9920,3,FALSE)</f>
        <v>Claw of the Forest Wraith</v>
      </c>
      <c r="C606" s="8" t="str">
        <f>VLOOKUP(A606,'Sets (lua data)'!$A$3:$C$9920,2,FALSE)</f>
        <v>Kralle des Waldgespensts</v>
      </c>
    </row>
    <row r="607" spans="1:3" x14ac:dyDescent="0.25">
      <c r="A607" s="11">
        <v>680</v>
      </c>
      <c r="B607" s="8" t="str">
        <f>VLOOKUP(A607,'Sets (lua data)'!$A$3:$C$9920,3,FALSE)</f>
        <v>Ritemaster\'s Bond</v>
      </c>
      <c r="C607" s="8" t="str">
        <f>VLOOKUP(A607,'Sets (lua data)'!$A$3:$C$9920,2,FALSE)</f>
        <v>Bindung des Ritenmeisters</v>
      </c>
    </row>
    <row r="608" spans="1:3" x14ac:dyDescent="0.25">
      <c r="A608" s="11">
        <v>681</v>
      </c>
      <c r="B608" s="8" t="str">
        <f>VLOOKUP(A608,'Sets (lua data)'!$A$3:$C$9920,3,FALSE)</f>
        <v>Nix-Hound\'s Howl</v>
      </c>
      <c r="C608" s="8" t="str">
        <f>VLOOKUP(A608,'Sets (lua data)'!$A$3:$C$9920,2,FALSE)</f>
        <v>Nixhund-Heulen</v>
      </c>
    </row>
    <row r="609" spans="1:3" x14ac:dyDescent="0.25">
      <c r="A609" s="11">
        <v>682</v>
      </c>
      <c r="B609" s="8" t="str">
        <f>VLOOKUP(A609,'Sets (lua data)'!$A$3:$C$9920,3,FALSE)</f>
        <v>Telvanni Enforcer</v>
      </c>
      <c r="C609" s="8" t="str">
        <f>VLOOKUP(A609,'Sets (lua data)'!$A$3:$C$9920,2,FALSE)</f>
        <v>Telvanni-Vollstrecker</v>
      </c>
    </row>
    <row r="610" spans="1:3" x14ac:dyDescent="0.25">
      <c r="A610" s="11">
        <v>683</v>
      </c>
      <c r="B610" s="8" t="str">
        <f>VLOOKUP(A610,'Sets (lua data)'!$A$3:$C$9920,3,FALSE)</f>
        <v>Roksa the Warped</v>
      </c>
      <c r="C610" s="8" t="str">
        <f>VLOOKUP(A610,'Sets (lua data)'!$A$3:$C$9920,2,FALSE)</f>
        <v>Roksa die Verkrümmte</v>
      </c>
    </row>
    <row r="611" spans="1:3" x14ac:dyDescent="0.25">
      <c r="A611" s="11">
        <v>684</v>
      </c>
      <c r="B611" s="8" t="str">
        <f>VLOOKUP(A611,'Sets (lua data)'!$A$3:$C$9920,3,FALSE)</f>
        <v>Runecarver\’s Blaze</v>
      </c>
      <c r="C611" s="8" t="str">
        <f>VLOOKUP(A611,'Sets (lua data)'!$A$3:$C$9920,2,FALSE)</f>
        <v>Lodern des Runenschnitzers</v>
      </c>
    </row>
    <row r="612" spans="1:3" x14ac:dyDescent="0.25">
      <c r="A612" s="11">
        <v>685</v>
      </c>
      <c r="B612" s="8" t="str">
        <f>VLOOKUP(A612,'Sets (lua data)'!$A$3:$C$9920,3,FALSE)</f>
        <v>Apocryphal Inspiration</v>
      </c>
      <c r="C612" s="8" t="str">
        <f>VLOOKUP(A612,'Sets (lua data)'!$A$3:$C$9920,2,FALSE)</f>
        <v>Apocryphische Inspiration</v>
      </c>
    </row>
    <row r="613" spans="1:3" x14ac:dyDescent="0.25">
      <c r="A613" s="11">
        <v>686</v>
      </c>
      <c r="B613" s="8" t="str">
        <f>VLOOKUP(A613,'Sets (lua data)'!$A$3:$C$9920,3,FALSE)</f>
        <v>Abyssal Brace</v>
      </c>
      <c r="C613" s="8" t="str">
        <f>VLOOKUP(A613,'Sets (lua data)'!$A$3:$C$9920,2,FALSE)</f>
        <v>Abgründiges Wappnen</v>
      </c>
    </row>
    <row r="614" spans="1:3" x14ac:dyDescent="0.25">
      <c r="A614" s="11">
        <v>687</v>
      </c>
      <c r="B614" s="8" t="str">
        <f>VLOOKUP(A614,'Sets (lua data)'!$A$3:$C$9920,3,FALSE)</f>
        <v>Ozezan the Inferno</v>
      </c>
      <c r="C614" s="8" t="str">
        <f>VLOOKUP(A614,'Sets (lua data)'!$A$3:$C$9920,2,FALSE)</f>
        <v>Ozezan das Inferno</v>
      </c>
    </row>
    <row r="615" spans="1:3" x14ac:dyDescent="0.25">
      <c r="A615" s="5">
        <v>688</v>
      </c>
      <c r="B615" s="8" t="str">
        <f>VLOOKUP(A615,'Sets (lua data)'!$A$3:$C$9920,3,FALSE)</f>
        <v>Snake in the Stars</v>
      </c>
      <c r="C615" s="8" t="str">
        <f>VLOOKUP(A615,'Sets (lua data)'!$A$3:$C$9920,2,FALSE)</f>
        <v>Schlange inmitten der Sterne</v>
      </c>
    </row>
    <row r="616" spans="1:3" x14ac:dyDescent="0.25">
      <c r="A616" s="5">
        <v>689</v>
      </c>
      <c r="B616" s="8" t="str">
        <f>VLOOKUP(A616,'Sets (lua data)'!$A$3:$C$9920,3,FALSE)</f>
        <v>Shell Splitter</v>
      </c>
      <c r="C616" s="8" t="str">
        <f>VLOOKUP(A616,'Sets (lua data)'!$A$3:$C$9920,2,FALSE)</f>
        <v>Panzerspalten</v>
      </c>
    </row>
    <row r="617" spans="1:3" x14ac:dyDescent="0.25">
      <c r="A617" s="5">
        <v>690</v>
      </c>
      <c r="B617" s="8" t="str">
        <f>VLOOKUP(A617,'Sets (lua data)'!$A$3:$C$9920,3,FALSE)</f>
        <v>Judgement of Akatosh </v>
      </c>
      <c r="C617" s="8" t="str">
        <f>VLOOKUP(A617,'Sets (lua data)'!$A$3:$C$9920,2,FALSE)</f>
        <v>Urteil von Akatosh</v>
      </c>
    </row>
    <row r="618" spans="1:3" x14ac:dyDescent="0.25">
      <c r="A618" s="5">
        <v>691</v>
      </c>
      <c r="B618" s="8" t="str">
        <f>VLOOKUP(A618,'Sets (lua data)'!$A$3:$C$9920,3,FALSE)</f>
        <v>Cryptcanon Vestments</v>
      </c>
      <c r="C618" s="8" t="str">
        <f>VLOOKUP(A618,'Sets (lua data)'!$A$3:$C$9920,2,FALSE)</f>
        <v>Gewandung des Kryptenvogts</v>
      </c>
    </row>
    <row r="619" spans="1:3" x14ac:dyDescent="0.25">
      <c r="A619" s="5">
        <v>692</v>
      </c>
      <c r="B619" s="8" t="str">
        <f>VLOOKUP(A619,'Sets (lua data)'!$A$3:$C$9920,3,FALSE)</f>
        <v>Esoteric Environment Greaves</v>
      </c>
      <c r="C619" s="8" t="str">
        <f>VLOOKUP(A619,'Sets (lua data)'!$A$3:$C$9920,2,FALSE)</f>
        <v>Beinschienen der esoterischen Umgebung</v>
      </c>
    </row>
    <row r="620" spans="1:3" x14ac:dyDescent="0.25">
      <c r="A620" s="5">
        <v>693</v>
      </c>
      <c r="B620" s="8" t="str">
        <f>VLOOKUP(A620,'Sets (lua data)'!$A$3:$C$9920,3,FALSE)</f>
        <v>Torc of the Last Ayleid King</v>
      </c>
      <c r="C620" s="8" t="str">
        <f>VLOOKUP(A620,'Sets (lua data)'!$A$3:$C$9920,2,FALSE)</f>
        <v>Torc of the Last Ayleid King</v>
      </c>
    </row>
    <row r="621" spans="1:3" x14ac:dyDescent="0.25">
      <c r="A621" s="5">
        <v>694</v>
      </c>
      <c r="B621" s="8" t="str">
        <f>VLOOKUP(A621,'Sets (lua data)'!$A$3:$C$9920,3,FALSE)</f>
        <v>Velothi Ur-Mage\'s Amulet</v>
      </c>
      <c r="C621" s="8" t="str">
        <f>VLOOKUP(A621,'Sets (lua data)'!$A$3:$C$9920,2,FALSE)</f>
        <v>Velothi Ur-Mage\'s Amulet</v>
      </c>
    </row>
    <row r="622" spans="1:3" x14ac:dyDescent="0.25">
      <c r="A622" s="5">
        <v>695</v>
      </c>
      <c r="B622" s="8" t="str">
        <f>VLOOKUP(A622,'Sets (lua data)'!$A$3:$C$9920,3,FALSE)</f>
        <v>Shattered Fate</v>
      </c>
      <c r="C622" s="8" t="str">
        <f>VLOOKUP(A622,'Sets (lua data)'!$A$3:$C$9920,2,FALSE)</f>
        <v>Shattered Fate</v>
      </c>
    </row>
    <row r="623" spans="1:3" x14ac:dyDescent="0.25">
      <c r="A623" s="5">
        <v>696</v>
      </c>
      <c r="B623" s="8" t="str">
        <f>VLOOKUP(A623,'Sets (lua data)'!$A$3:$C$9920,3,FALSE)</f>
        <v>Telvanni Efficiency</v>
      </c>
      <c r="C623" s="8" t="str">
        <f>VLOOKUP(A623,'Sets (lua data)'!$A$3:$C$9920,2,FALSE)</f>
        <v>Telvanni Efficiency</v>
      </c>
    </row>
    <row r="624" spans="1:3" x14ac:dyDescent="0.25">
      <c r="A624" s="5">
        <v>697</v>
      </c>
      <c r="B624" s="8" t="str">
        <f>VLOOKUP(A624,'Sets (lua data)'!$A$3:$C$9920,3,FALSE)</f>
        <v>Seeker Synthesis</v>
      </c>
      <c r="C624" s="8" t="str">
        <f>VLOOKUP(A624,'Sets (lua data)'!$A$3:$C$9920,2,FALSE)</f>
        <v>Seeker Synthesis</v>
      </c>
    </row>
    <row r="625" spans="1:3" x14ac:dyDescent="0.25">
      <c r="A625" s="5">
        <v>698</v>
      </c>
      <c r="B625" s="8" t="str">
        <f>VLOOKUP(A625,'Sets (lua data)'!$A$3:$C$9920,3,FALSE)</f>
        <v>Vivec\'s Duality</v>
      </c>
      <c r="C625" s="8" t="str">
        <f>VLOOKUP(A625,'Sets (lua data)'!$A$3:$C$9920,2,FALSE)</f>
        <v>Vivec\'s Duality</v>
      </c>
    </row>
    <row r="626" spans="1:3" x14ac:dyDescent="0.25">
      <c r="A626" s="5">
        <v>699</v>
      </c>
      <c r="B626" s="8" t="str">
        <f>VLOOKUP(A626,'Sets (lua data)'!$A$3:$C$9920,3,FALSE)</f>
        <v>Camonna Tong</v>
      </c>
      <c r="C626" s="8" t="str">
        <f>VLOOKUP(A626,'Sets (lua data)'!$A$3:$C$9920,2,FALSE)</f>
        <v>Camonna Tong</v>
      </c>
    </row>
    <row r="627" spans="1:3" x14ac:dyDescent="0.25">
      <c r="A627" s="5">
        <v>700</v>
      </c>
      <c r="B627" s="8" t="str">
        <f>VLOOKUP(A627,'Sets (lua data)'!$A$3:$C$9920,3,FALSE)</f>
        <v>Adamant Lurker</v>
      </c>
      <c r="C627" s="8" t="str">
        <f>VLOOKUP(A627,'Sets (lua data)'!$A$3:$C$9920,2,FALSE)</f>
        <v>Adamant Lurker</v>
      </c>
    </row>
    <row r="628" spans="1:3" x14ac:dyDescent="0.25">
      <c r="A628" s="5">
        <v>701</v>
      </c>
      <c r="B628" s="8" t="str">
        <f>VLOOKUP(A628,'Sets (lua data)'!$A$3:$C$9920,3,FALSE)</f>
        <v>Peace and Serenity</v>
      </c>
      <c r="C628" s="8" t="str">
        <f>VLOOKUP(A628,'Sets (lua data)'!$A$3:$C$9920,2,FALSE)</f>
        <v>Peace and Serenity</v>
      </c>
    </row>
    <row r="629" spans="1:3" x14ac:dyDescent="0.25">
      <c r="A629" s="5">
        <v>702</v>
      </c>
      <c r="B629" s="8" t="str">
        <f>VLOOKUP(A629,'Sets (lua data)'!$A$3:$C$9920,3,FALSE)</f>
        <v>Ansuul\'s Torment</v>
      </c>
      <c r="C629" s="8" t="str">
        <f>VLOOKUP(A629,'Sets (lua data)'!$A$3:$C$9920,2,FALSE)</f>
        <v>Ansuul\'s Torment</v>
      </c>
    </row>
    <row r="630" spans="1:3" x14ac:dyDescent="0.25">
      <c r="A630" s="5">
        <v>703</v>
      </c>
      <c r="B630" s="8" t="str">
        <f>VLOOKUP(A630,'Sets (lua data)'!$A$3:$C$9920,3,FALSE)</f>
        <v>Test of Resolve</v>
      </c>
      <c r="C630" s="8" t="str">
        <f>VLOOKUP(A630,'Sets (lua data)'!$A$3:$C$9920,2,FALSE)</f>
        <v>Test of Resolve</v>
      </c>
    </row>
    <row r="631" spans="1:3" x14ac:dyDescent="0.25">
      <c r="A631" s="5">
        <v>704</v>
      </c>
      <c r="B631" s="8" t="str">
        <f>VLOOKUP(A631,'Sets (lua data)'!$A$3:$C$9920,3,FALSE)</f>
        <v>Transformative Hope</v>
      </c>
      <c r="C631" s="8" t="str">
        <f>VLOOKUP(A631,'Sets (lua data)'!$A$3:$C$9920,2,FALSE)</f>
        <v>Transformative Hope</v>
      </c>
    </row>
    <row r="632" spans="1:3" x14ac:dyDescent="0.25">
      <c r="A632" s="5">
        <v>705</v>
      </c>
      <c r="B632" s="8" t="str">
        <f>VLOOKUP(A632,'Sets (lua data)'!$A$3:$C$9920,3,FALSE)</f>
        <v>Perfected Transformative Hope</v>
      </c>
      <c r="C632" s="8" t="str">
        <f>VLOOKUP(A632,'Sets (lua data)'!$A$3:$C$9920,2,FALSE)</f>
        <v xml:space="preserve"> Perfected Transformative Hope</v>
      </c>
    </row>
    <row r="633" spans="1:3" x14ac:dyDescent="0.25">
      <c r="A633" s="5">
        <v>706</v>
      </c>
      <c r="B633" s="8" t="str">
        <f>VLOOKUP(A633,'Sets (lua data)'!$A$3:$C$9920,3,FALSE)</f>
        <v>Perfected Test of Resolve</v>
      </c>
      <c r="C633" s="8" t="str">
        <f>VLOOKUP(A633,'Sets (lua data)'!$A$3:$C$9920,2,FALSE)</f>
        <v>Perfected Test of Resolve</v>
      </c>
    </row>
    <row r="634" spans="1:3" x14ac:dyDescent="0.25">
      <c r="A634" s="5">
        <v>707</v>
      </c>
      <c r="B634" s="8" t="str">
        <f>VLOOKUP(A634,'Sets (lua data)'!$A$3:$C$9920,3,FALSE)</f>
        <v>Perfected Ansuul\'s Torment</v>
      </c>
      <c r="C634" s="8" t="str">
        <f>VLOOKUP(A634,'Sets (lua data)'!$A$3:$C$9920,2,FALSE)</f>
        <v>Perfected Ansuul\'s Torment</v>
      </c>
    </row>
    <row r="635" spans="1:3" x14ac:dyDescent="0.25">
      <c r="A635" s="5">
        <v>708</v>
      </c>
      <c r="B635" s="8" t="str">
        <f>VLOOKUP(A635,'Sets (lua data)'!$A$3:$C$9920,3,FALSE)</f>
        <v>Perfected Peace and Serenity</v>
      </c>
      <c r="C635" s="8" t="str">
        <f>VLOOKUP(A635,'Sets (lua data)'!$A$3:$C$9920,2,FALSE)</f>
        <v>Perfected Peace and Serenity</v>
      </c>
    </row>
    <row r="636" spans="1:3" x14ac:dyDescent="0.25">
      <c r="A636" s="5">
        <v>711</v>
      </c>
      <c r="B636" s="8" t="str">
        <f>VLOOKUP(A636,'Sets (lua data)'!$A$3:$C$9920,3,FALSE)</f>
        <v>Jerall Mountains Warchief</v>
      </c>
      <c r="C636" s="8" t="str">
        <f>VLOOKUP(A636,'Sets (lua data)'!$A$3:$C$9920,2,FALSE)</f>
        <v>Jerall Mountains Warchief</v>
      </c>
    </row>
    <row r="637" spans="1:3" x14ac:dyDescent="0.25">
      <c r="A637" s="5">
        <v>712</v>
      </c>
      <c r="B637" s="8" t="str">
        <f>VLOOKUP(A637,'Sets (lua data)'!$A$3:$C$9920,3,FALSE)</f>
        <v>Nibenay Bay Battlereeve</v>
      </c>
      <c r="C637" s="8" t="str">
        <f>VLOOKUP(A637,'Sets (lua data)'!$A$3:$C$9920,2,FALSE)</f>
        <v>Nibenay Bay Battlereeve</v>
      </c>
    </row>
    <row r="638" spans="1:3" x14ac:dyDescent="0.25">
      <c r="A638" s="5">
        <v>713</v>
      </c>
      <c r="B638" s="8" t="str">
        <f>VLOOKUP(A638,'Sets (lua data)'!$A$3:$C$9920,3,FALSE)</f>
        <v>Colovian Highlands General</v>
      </c>
      <c r="C638" s="8" t="str">
        <f>VLOOKUP(A638,'Sets (lua data)'!$A$3:$C$9920,2,FALSE)</f>
        <v>Colovian Highlands General</v>
      </c>
    </row>
    <row r="639" spans="1:3" x14ac:dyDescent="0.25">
      <c r="A639" s="5">
        <v>722</v>
      </c>
      <c r="B639" s="8" t="str">
        <f>VLOOKUP(A639,'Sets (lua data)'!$A$3:$C$9920,3,FALSE)</f>
        <v>Reawakened Hierophant</v>
      </c>
      <c r="C639" s="8" t="str">
        <f>VLOOKUP(A639,'Sets (lua data)'!$A$3:$C$9920,2,FALSE)</f>
        <v>Reawakened Hierophant</v>
      </c>
    </row>
    <row r="640" spans="1:3" x14ac:dyDescent="0.25">
      <c r="A640" s="5">
        <v>723</v>
      </c>
      <c r="B640" s="8" t="str">
        <f>VLOOKUP(A640,'Sets (lua data)'!$A$3:$C$9920,3,FALSE)</f>
        <v>Basalt-Blooded Warrior</v>
      </c>
      <c r="C640" s="8" t="str">
        <f>VLOOKUP(A640,'Sets (lua data)'!$A$3:$C$9920,2,FALSE)</f>
        <v>Basalt-Blooded Warrior</v>
      </c>
    </row>
    <row r="641" spans="1:3" x14ac:dyDescent="0.25">
      <c r="A641" s="5">
        <v>724</v>
      </c>
      <c r="B641" s="8" t="str">
        <f>VLOOKUP(A641,'Sets (lua data)'!$A$3:$C$9920,3,FALSE)</f>
        <v>Nobility in Decay</v>
      </c>
      <c r="C641" s="8" t="str">
        <f>VLOOKUP(A641,'Sets (lua data)'!$A$3:$C$9920,2,FALSE)</f>
        <v>Adel im Verfall</v>
      </c>
    </row>
    <row r="642" spans="1:3" x14ac:dyDescent="0.25">
      <c r="A642" s="5">
        <v>726</v>
      </c>
      <c r="B642" s="8" t="str">
        <f>VLOOKUP(A642,'Sets (lua data)'!$A$3:$C$9920,3,FALSE)</f>
        <v>Soulcleaver</v>
      </c>
      <c r="C642" s="8" t="str">
        <f>VLOOKUP(A642,'Sets (lua data)'!$A$3:$C$9920,2,FALSE)</f>
        <v>Seelenspalter</v>
      </c>
    </row>
    <row r="643" spans="1:3" x14ac:dyDescent="0.25">
      <c r="A643" s="5">
        <v>727</v>
      </c>
      <c r="B643" s="8" t="str">
        <f>VLOOKUP(A643,'Sets (lua data)'!$A$3:$C$9920,3,FALSE)</f>
        <v>Monolith of Storms</v>
      </c>
      <c r="C643" s="8" t="str">
        <f>VLOOKUP(A643,'Sets (lua data)'!$A$3:$C$9920,2,FALSE)</f>
        <v>Monolith der Stürme</v>
      </c>
    </row>
    <row r="644" spans="1:3" x14ac:dyDescent="0.25">
      <c r="A644" s="5">
        <v>728</v>
      </c>
      <c r="B644" s="8" t="str">
        <f>VLOOKUP(A644,'Sets (lua data)'!$A$3:$C$9920,3,FALSE)</f>
        <v>Wrathsun</v>
      </c>
      <c r="C644" s="8" t="str">
        <f>VLOOKUP(A644,'Sets (lua data)'!$A$3:$C$9920,2,FALSE)</f>
        <v>Wutsonne</v>
      </c>
    </row>
    <row r="645" spans="1:3" x14ac:dyDescent="0.25">
      <c r="A645" s="5">
        <v>729</v>
      </c>
      <c r="B645" s="8" t="str">
        <f>VLOOKUP(A645,'Sets (lua data)'!$A$3:$C$9920,3,FALSE)</f>
        <v>Gardener of Seasons</v>
      </c>
      <c r="C645" s="8" t="str">
        <f>VLOOKUP(A645,'Sets (lua data)'!$A$3:$C$9920,2,FALSE)</f>
        <v>Gärtner der Jahreszeiten</v>
      </c>
    </row>
    <row r="646" spans="1:3" x14ac:dyDescent="0.25">
      <c r="A646" s="5">
        <v>730</v>
      </c>
      <c r="B646" s="8" t="str">
        <f>VLOOKUP(A646,'Sets (lua data)'!$A$3:$C$9920,3,FALSE)</f>
        <v>Cinders of Anthelmir</v>
      </c>
      <c r="C646" s="8" t="str">
        <f>VLOOKUP(A646,'Sets (lua data)'!$A$3:$C$9920,2,FALSE)</f>
        <v>Cinders of Anthelmir</v>
      </c>
    </row>
    <row r="647" spans="1:3" x14ac:dyDescent="0.25">
      <c r="A647" s="5">
        <v>731</v>
      </c>
      <c r="B647" s="8" t="str">
        <f>VLOOKUP(A647,'Sets (lua data)'!$A$3:$C$9920,3,FALSE)</f>
        <v>Sluthrug\'s Hunger</v>
      </c>
      <c r="C647" s="8" t="str">
        <f>VLOOKUP(A647,'Sets (lua data)'!$A$3:$C$9920,2,FALSE)</f>
        <v>Sluthrug\'s Hunger</v>
      </c>
    </row>
    <row r="648" spans="1:3" x14ac:dyDescent="0.25">
      <c r="A648" s="5">
        <v>732</v>
      </c>
      <c r="B648" s="8" t="str">
        <f>VLOOKUP(A648,'Sets (lua data)'!$A$3:$C$9920,3,FALSE)</f>
        <v>Black-Grove Grounding</v>
      </c>
      <c r="C648" s="8" t="str">
        <f>VLOOKUP(A648,'Sets (lua data)'!$A$3:$C$9920,2,FALSE)</f>
        <v>Black-Grove Grounding</v>
      </c>
    </row>
    <row r="649" spans="1:3" x14ac:dyDescent="0.25">
      <c r="A649" s="5">
        <v>734</v>
      </c>
      <c r="B649" s="8" t="str">
        <f>VLOOKUP(A649,'Sets (lua data)'!$A$3:$C$9920,3,FALSE)</f>
        <v>Anthelmir\'s Construct</v>
      </c>
      <c r="C649" s="8" t="str">
        <f>VLOOKUP(A649,'Sets (lua data)'!$A$3:$C$9920,2,FALSE)</f>
        <v>Anthelmirs Konstrukt</v>
      </c>
    </row>
    <row r="650" spans="1:3" x14ac:dyDescent="0.25">
      <c r="A650" s="5">
        <v>735</v>
      </c>
      <c r="B650" s="8" t="str">
        <f>VLOOKUP(A650,'Sets (lua data)'!$A$3:$C$9920,3,FALSE)</f>
        <v>Blind Path Induction</v>
      </c>
      <c r="C650" s="8" t="str">
        <f>VLOOKUP(A650,'Sets (lua data)'!$A$3:$C$9920,2,FALSE)</f>
        <v>Blind Path Induction</v>
      </c>
    </row>
    <row r="651" spans="1:3" x14ac:dyDescent="0.25">
      <c r="A651" s="5">
        <v>736</v>
      </c>
      <c r="B651" s="8" t="str">
        <f>VLOOKUP(A651,'Sets (lua data)'!$A$3:$C$9920,3,FALSE)</f>
        <v>Tarnished Nightmare</v>
      </c>
      <c r="C651" s="8" t="str">
        <f>VLOOKUP(A651,'Sets (lua data)'!$A$3:$C$9920,2,FALSE)</f>
        <v>Tarnished Nightmare</v>
      </c>
    </row>
    <row r="652" spans="1:3" x14ac:dyDescent="0.25">
      <c r="A652" s="5">
        <v>737</v>
      </c>
      <c r="B652" s="8" t="str">
        <f>VLOOKUP(A652,'Sets (lua data)'!$A$3:$C$9920,3,FALSE)</f>
        <v>Reflected Fury</v>
      </c>
      <c r="C652" s="8" t="str">
        <f>VLOOKUP(A652,'Sets (lua data)'!$A$3:$C$9920,2,FALSE)</f>
        <v>Reflected Fury</v>
      </c>
    </row>
    <row r="653" spans="1:3" x14ac:dyDescent="0.25">
      <c r="A653" s="5">
        <v>738</v>
      </c>
      <c r="B653" s="8" t="str">
        <f>VLOOKUP(A653,'Sets (lua data)'!$A$3:$C$9920,3,FALSE)</f>
        <v>The Blind</v>
      </c>
      <c r="C653" s="8" t="str">
        <f>VLOOKUP(A653,'Sets (lua data)'!$A$3:$C$9920,2,FALSE)</f>
        <v>Der Blinde</v>
      </c>
    </row>
    <row r="654" spans="1:3" x14ac:dyDescent="0.25">
      <c r="A654" s="5">
        <v>754</v>
      </c>
      <c r="B654" s="8" t="str">
        <f>VLOOKUP(A654,'Sets (lua data)'!$A$3:$C$9920,3,FALSE)</f>
        <v>Oakfather\'s Retribution</v>
      </c>
      <c r="C654" s="8" t="str">
        <f>VLOOKUP(A654,'Sets (lua data)'!$A$3:$C$9920,2,FALSE)</f>
        <v>Oakfather\'s Retribution</v>
      </c>
    </row>
    <row r="655" spans="1:3" x14ac:dyDescent="0.25">
      <c r="A655" s="5">
        <v>755</v>
      </c>
      <c r="B655" s="8" t="str">
        <f>VLOOKUP(A655,'Sets (lua data)'!$A$3:$C$9920,3,FALSE)</f>
        <v>Blunted Blades</v>
      </c>
      <c r="C655" s="8" t="str">
        <f>VLOOKUP(A655,'Sets (lua data)'!$A$3:$C$9920,2,FALSE)</f>
        <v>Blunted Blades</v>
      </c>
    </row>
    <row r="656" spans="1:3" x14ac:dyDescent="0.25">
      <c r="A656" s="5">
        <v>756</v>
      </c>
      <c r="B656" s="8" t="str">
        <f>VLOOKUP(A656,'Sets (lua data)'!$A$3:$C$9920,3,FALSE)</f>
        <v>Baan Dar\'s Blessing</v>
      </c>
      <c r="C656" s="8" t="str">
        <f>VLOOKUP(A656,'Sets (lua data)'!$A$3:$C$9920,2,FALSE)</f>
        <v>Baan Dar\'s Blessing</v>
      </c>
    </row>
    <row r="657" spans="1:3" x14ac:dyDescent="0.25">
      <c r="A657" s="5">
        <v>757</v>
      </c>
      <c r="B657" s="8" t="str">
        <f>VLOOKUP(A657,'Sets (lua data)'!$A$3:$C$9920,3,FALSE)</f>
        <v>Symmetry of the Weald</v>
      </c>
      <c r="C657" s="8" t="str">
        <f>VLOOKUP(A657,'Sets (lua data)'!$A$3:$C$9920,2,FALSE)</f>
        <v>Symmetry of the Weald</v>
      </c>
    </row>
    <row r="658" spans="1:3" x14ac:dyDescent="0.25">
      <c r="A658" s="5">
        <v>758</v>
      </c>
      <c r="B658" s="8" t="str">
        <f>VLOOKUP(A658,'Sets (lua data)'!$A$3:$C$9920,3,FALSE)</f>
        <v>Macabre Vintage</v>
      </c>
      <c r="C658" s="8" t="str">
        <f>VLOOKUP(A658,'Sets (lua data)'!$A$3:$C$9920,2,FALSE)</f>
        <v>Macabre Vintage</v>
      </c>
    </row>
    <row r="659" spans="1:3" x14ac:dyDescent="0.25">
      <c r="A659" s="5">
        <v>759</v>
      </c>
      <c r="B659" s="8" t="str">
        <f>VLOOKUP(A659,'Sets (lua data)'!$A$3:$C$9920,3,FALSE)</f>
        <v>Ayleid Rufuge</v>
      </c>
      <c r="C659" s="8" t="str">
        <f>VLOOKUP(A659,'Sets (lua data)'!$A$3:$C$9920,2,FALSE)</f>
        <v>Ayleid Rufuge</v>
      </c>
    </row>
    <row r="660" spans="1:3" x14ac:dyDescent="0.25">
      <c r="A660" s="5">
        <v>760</v>
      </c>
      <c r="B660" s="8" t="str">
        <f>VLOOKUP(A660,'Sets (lua data)'!$A$3:$C$9920,3,FALSE)</f>
        <v>Rourken Steamguards</v>
      </c>
      <c r="C660" s="8" t="str">
        <f>VLOOKUP(A660,'Sets (lua data)'!$A$3:$C$9920,2,FALSE)</f>
        <v>Rourken Steamguards</v>
      </c>
    </row>
    <row r="661" spans="1:3" x14ac:dyDescent="0.25">
      <c r="A661" s="5">
        <v>761</v>
      </c>
      <c r="B661" s="8" t="str">
        <f>VLOOKUP(A661,'Sets (lua data)'!$A$3:$C$9920,3,FALSE)</f>
        <v>The Shadow Queen\'s Cowl</v>
      </c>
      <c r="C661" s="8" t="str">
        <f>VLOOKUP(A661,'Sets (lua data)'!$A$3:$C$9920,2,FALSE)</f>
        <v>The Shadow Queen\'s Cowl</v>
      </c>
    </row>
    <row r="662" spans="1:3" x14ac:dyDescent="0.25">
      <c r="A662" s="5">
        <v>762</v>
      </c>
      <c r="B662" s="8" t="str">
        <f>VLOOKUP(A662,'Sets (lua data)'!$A$3:$C$9920,3,FALSE)</f>
        <v>The Saint and the Seducer</v>
      </c>
      <c r="C662" s="8" t="str">
        <f>VLOOKUP(A662,'Sets (lua data)'!$A$3:$C$9920,2,FALSE)</f>
        <v>The Saint and the Seducer</v>
      </c>
    </row>
    <row r="663" spans="1:3" x14ac:dyDescent="0.25">
      <c r="A663" s="5">
        <v>763</v>
      </c>
      <c r="B663" s="8" t="str">
        <f>VLOOKUP(A663,'Sets (lua data)'!$A$3:$C$9920,3,FALSE)</f>
        <v>Tharriker\'s Strike</v>
      </c>
      <c r="C663" s="8" t="str">
        <f>VLOOKUP(A663,'Sets (lua data)'!$A$3:$C$9920,2,FALSE)</f>
        <v>Tharriker\'s Strike</v>
      </c>
    </row>
    <row r="664" spans="1:3" x14ac:dyDescent="0.25">
      <c r="A664" s="5">
        <v>763</v>
      </c>
      <c r="B664" s="8" t="str">
        <f>VLOOKUP(A664,'Sets (lua data)'!$A$3:$C$9920,3,FALSE)</f>
        <v>Tharriker\'s Strike</v>
      </c>
      <c r="C664" s="8" t="str">
        <f>VLOOKUP(A664,'Sets (lua data)'!$A$3:$C$9920,2,FALSE)</f>
        <v>Tharriker\'s Strike</v>
      </c>
    </row>
    <row r="665" spans="1:3" x14ac:dyDescent="0.25">
      <c r="A665" s="5">
        <v>764</v>
      </c>
      <c r="B665" s="8" t="str">
        <f>VLOOKUP(A665,'Sets (lua data)'!$A$3:$C$9920,3,FALSE)</f>
        <v>Highland Sentinel</v>
      </c>
      <c r="C665" s="8" t="str">
        <f>VLOOKUP(A665,'Sets (lua data)'!$A$3:$C$9920,2,FALSE)</f>
        <v>Highland Sentinel</v>
      </c>
    </row>
    <row r="666" spans="1:3" x14ac:dyDescent="0.25">
      <c r="A666" s="5">
        <v>764</v>
      </c>
      <c r="B666" s="8" t="str">
        <f>VLOOKUP(A666,'Sets (lua data)'!$A$3:$C$9920,3,FALSE)</f>
        <v>Highland Sentinel</v>
      </c>
      <c r="C666" s="8" t="str">
        <f>VLOOKUP(A666,'Sets (lua data)'!$A$3:$C$9920,2,FALSE)</f>
        <v>Highland Sentinel</v>
      </c>
    </row>
    <row r="667" spans="1:3" x14ac:dyDescent="0.25">
      <c r="A667" s="5">
        <v>765</v>
      </c>
      <c r="B667" s="8" t="str">
        <f>VLOOKUP(A667,'Sets (lua data)'!$A$3:$C$9920,3,FALSE)</f>
        <v>Threads of War</v>
      </c>
      <c r="C667" s="8" t="str">
        <f>VLOOKUP(A667,'Sets (lua data)'!$A$3:$C$9920,2,FALSE)</f>
        <v>Threads of War</v>
      </c>
    </row>
    <row r="668" spans="1:3" x14ac:dyDescent="0.25">
      <c r="A668" s="5">
        <v>765</v>
      </c>
      <c r="B668" s="8" t="str">
        <f>VLOOKUP(A668,'Sets (lua data)'!$A$3:$C$9920,3,FALSE)</f>
        <v>Threads of War</v>
      </c>
      <c r="C668" s="8" t="str">
        <f>VLOOKUP(A668,'Sets (lua data)'!$A$3:$C$9920,2,FALSE)</f>
        <v>Threads of War</v>
      </c>
    </row>
    <row r="669" spans="1:3" x14ac:dyDescent="0.25">
      <c r="A669" s="5">
        <v>766</v>
      </c>
      <c r="B669" s="8" t="str">
        <f>VLOOKUP(A669,'Sets (lua data)'!$A$3:$C$9920,3,FALSE)</f>
        <v>Mora Scribe\'s Thesis</v>
      </c>
      <c r="C669" s="8" t="str">
        <f>VLOOKUP(A669,'Sets (lua data)'!$A$3:$C$9920,2,FALSE)</f>
        <v>Mora Scribe\'s Thesis</v>
      </c>
    </row>
    <row r="670" spans="1:3" x14ac:dyDescent="0.25">
      <c r="A670" s="5">
        <v>766</v>
      </c>
      <c r="B670" s="8" t="str">
        <f>VLOOKUP(A670,'Sets (lua data)'!$A$3:$C$9920,3,FALSE)</f>
        <v>Mora Scribe\'s Thesis</v>
      </c>
      <c r="C670" s="8" t="str">
        <f>VLOOKUP(A670,'Sets (lua data)'!$A$3:$C$9920,2,FALSE)</f>
        <v>Mora Scribe\'s Thesis</v>
      </c>
    </row>
    <row r="671" spans="1:3" x14ac:dyDescent="0.25">
      <c r="A671" s="5">
        <v>767</v>
      </c>
      <c r="B671" s="8" t="str">
        <f>VLOOKUP(A671,'Sets (lua data)'!$A$3:$C$9920,3,FALSE)</f>
        <v>Slivers of the Null Arca</v>
      </c>
      <c r="C671" s="8" t="str">
        <f>VLOOKUP(A671,'Sets (lua data)'!$A$3:$C$9920,2,FALSE)</f>
        <v>Slivers of the Null Arca</v>
      </c>
    </row>
    <row r="672" spans="1:3" x14ac:dyDescent="0.25">
      <c r="A672" s="5">
        <v>767</v>
      </c>
      <c r="B672" s="8" t="str">
        <f>VLOOKUP(A672,'Sets (lua data)'!$A$3:$C$9920,3,FALSE)</f>
        <v>Slivers of the Null Arca</v>
      </c>
      <c r="C672" s="8" t="str">
        <f>VLOOKUP(A672,'Sets (lua data)'!$A$3:$C$9920,2,FALSE)</f>
        <v>Slivers of the Null Arca</v>
      </c>
    </row>
    <row r="673" spans="1:3" x14ac:dyDescent="0.25">
      <c r="A673" s="5">
        <v>768</v>
      </c>
      <c r="B673" s="8" t="str">
        <f>VLOOKUP(A673,'Sets (lua data)'!$A$3:$C$9920,3,FALSE)</f>
        <v>Lucent Echoes</v>
      </c>
      <c r="C673" s="8" t="str">
        <f>VLOOKUP(A673,'Sets (lua data)'!$A$3:$C$9920,2,FALSE)</f>
        <v>Lucent Echoes</v>
      </c>
    </row>
    <row r="674" spans="1:3" x14ac:dyDescent="0.25">
      <c r="A674" s="5">
        <v>768</v>
      </c>
      <c r="B674" s="8" t="str">
        <f>VLOOKUP(A674,'Sets (lua data)'!$A$3:$C$9920,3,FALSE)</f>
        <v>Lucent Echoes</v>
      </c>
      <c r="C674" s="8" t="str">
        <f>VLOOKUP(A674,'Sets (lua data)'!$A$3:$C$9920,2,FALSE)</f>
        <v>Lucent Echoes</v>
      </c>
    </row>
    <row r="675" spans="1:3" x14ac:dyDescent="0.25">
      <c r="A675" s="5">
        <v>769</v>
      </c>
      <c r="B675" s="8" t="str">
        <f>VLOOKUP(A675,'Sets (lua data)'!$A$3:$C$9920,3,FALSE)</f>
        <v>Xoryn\'s Masterpiece</v>
      </c>
      <c r="C675" s="8" t="str">
        <f>VLOOKUP(A675,'Sets (lua data)'!$A$3:$C$9920,2,FALSE)</f>
        <v>Xoryn\'s Masterpiece</v>
      </c>
    </row>
    <row r="676" spans="1:3" x14ac:dyDescent="0.25">
      <c r="A676" s="5">
        <v>769</v>
      </c>
      <c r="B676" s="8" t="str">
        <f>VLOOKUP(A676,'Sets (lua data)'!$A$3:$C$9920,3,FALSE)</f>
        <v>Xoryn\'s Masterpiece</v>
      </c>
      <c r="C676" s="8" t="str">
        <f>VLOOKUP(A676,'Sets (lua data)'!$A$3:$C$9920,2,FALSE)</f>
        <v>Xoryn\'s Masterpiece</v>
      </c>
    </row>
    <row r="677" spans="1:3" x14ac:dyDescent="0.25">
      <c r="A677" s="5">
        <v>770</v>
      </c>
      <c r="B677" s="8" t="str">
        <f>VLOOKUP(A677,'Sets (lua data)'!$A$3:$C$9920,3,FALSE)</f>
        <v>Perfected Xoryn\'s Masterpiece</v>
      </c>
      <c r="C677" s="8" t="str">
        <f>VLOOKUP(A677,'Sets (lua data)'!$A$3:$C$9920,2,FALSE)</f>
        <v>Perfected Xoryn\'s Masterpiece</v>
      </c>
    </row>
    <row r="678" spans="1:3" x14ac:dyDescent="0.25">
      <c r="A678" s="5">
        <v>770</v>
      </c>
      <c r="B678" s="8" t="str">
        <f>VLOOKUP(A678,'Sets (lua data)'!$A$3:$C$9920,3,FALSE)</f>
        <v>Perfected Xoryn\'s Masterpiece</v>
      </c>
      <c r="C678" s="8" t="str">
        <f>VLOOKUP(A678,'Sets (lua data)'!$A$3:$C$9920,2,FALSE)</f>
        <v>Perfected Xoryn\'s Masterpiece</v>
      </c>
    </row>
    <row r="679" spans="1:3" x14ac:dyDescent="0.25">
      <c r="A679" s="5">
        <v>771</v>
      </c>
      <c r="B679" s="8" t="str">
        <f>VLOOKUP(A679,'Sets (lua data)'!$A$3:$C$9920,3,FALSE)</f>
        <v>Perfected Lucent Echoes</v>
      </c>
      <c r="C679" s="8" t="str">
        <f>VLOOKUP(A679,'Sets (lua data)'!$A$3:$C$9920,2,FALSE)</f>
        <v>Perfected Lucent Echoes</v>
      </c>
    </row>
    <row r="680" spans="1:3" x14ac:dyDescent="0.25">
      <c r="A680" s="5">
        <v>772</v>
      </c>
      <c r="B680" s="8" t="str">
        <f>VLOOKUP(A680,'Sets (lua data)'!$A$3:$C$9920,3,FALSE)</f>
        <v>Perfected Slivers of the Null Arca</v>
      </c>
      <c r="C680" s="8" t="str">
        <f>VLOOKUP(A680,'Sets (lua data)'!$A$3:$C$9920,2,FALSE)</f>
        <v>Perfected Slivers of the Null Arca</v>
      </c>
    </row>
    <row r="681" spans="1:3" x14ac:dyDescent="0.25">
      <c r="A681" s="5">
        <v>773</v>
      </c>
      <c r="B681" s="8" t="str">
        <f>VLOOKUP(A681,'Sets (lua data)'!$A$3:$C$9920,3,FALSE)</f>
        <v>Perfected Mora Scribe\'s Thesis</v>
      </c>
      <c r="C681" s="8" t="str">
        <f>VLOOKUP(A681,'Sets (lua data)'!$A$3:$C$9920,2,FALSE)</f>
        <v>Perfected Mora Scribe\'s Thesis</v>
      </c>
    </row>
    <row r="682" spans="1:3" x14ac:dyDescent="0.25">
      <c r="A682" s="5">
        <v>774</v>
      </c>
      <c r="B682" s="8" t="e">
        <f>VLOOKUP(A682,'Sets (lua data)'!$A$3:$C$9920,3,FALSE)</f>
        <v>#N/A</v>
      </c>
      <c r="C682" s="8" t="e">
        <f>VLOOKUP(A682,'Sets (lua data)'!$A$3:$C$9920,2,FALSE)</f>
        <v>#N/A</v>
      </c>
    </row>
    <row r="683" spans="1:3" x14ac:dyDescent="0.25">
      <c r="A683" s="5">
        <v>775</v>
      </c>
      <c r="B683" s="8" t="str">
        <f>VLOOKUP(A683,'Sets (lua data)'!$A$3:$C$9920,3,FALSE)</f>
        <v>Spattering Disjunction</v>
      </c>
      <c r="C683" s="8" t="str">
        <f>VLOOKUP(A683,'Sets (lua data)'!$A$3:$C$9920,2,FALSE)</f>
        <v>Spattering Disjunction</v>
      </c>
    </row>
    <row r="684" spans="1:3" x14ac:dyDescent="0.25">
      <c r="A684" s="5">
        <v>776</v>
      </c>
      <c r="B684" s="8" t="str">
        <f>VLOOKUP(A684,'Sets (lua data)'!$A$3:$C$9920,3,FALSE)</f>
        <v>Pyrebrand</v>
      </c>
      <c r="C684" s="8" t="str">
        <f>VLOOKUP(A684,'Sets (lua data)'!$A$3:$C$9920,2,FALSE)</f>
        <v>Pyrebrand</v>
      </c>
    </row>
    <row r="685" spans="1:3" x14ac:dyDescent="0.25">
      <c r="A685" s="5">
        <v>777</v>
      </c>
      <c r="B685" s="8" t="str">
        <f>VLOOKUP(A685,'Sets (lua data)'!$A$3:$C$9920,3,FALSE)</f>
        <v>Corpseburster</v>
      </c>
      <c r="C685" s="8" t="str">
        <f>VLOOKUP(A685,'Sets (lua data)'!$A$3:$C$9920,2,FALSE)</f>
        <v>Corpseburster</v>
      </c>
    </row>
    <row r="686" spans="1:3" x14ac:dyDescent="0.25">
      <c r="A686" s="5">
        <v>778</v>
      </c>
      <c r="B686" s="8" t="str">
        <f>VLOOKUP(A686,'Sets (lua data)'!$A$3:$C$9920,3,FALSE)</f>
        <v>Umbral Edge</v>
      </c>
      <c r="C686" s="8" t="str">
        <f>VLOOKUP(A686,'Sets (lua data)'!$A$3:$C$9920,2,FALSE)</f>
        <v>Umbral Edge</v>
      </c>
    </row>
    <row r="687" spans="1:3" x14ac:dyDescent="0.25">
      <c r="A687" s="5">
        <v>779</v>
      </c>
      <c r="B687" s="8" t="str">
        <f>VLOOKUP(A687,'Sets (lua data)'!$A$3:$C$9920,3,FALSE)</f>
        <v>Beacon of Oblivion</v>
      </c>
      <c r="C687" s="8" t="str">
        <f>VLOOKUP(A687,'Sets (lua data)'!$A$3:$C$9920,2,FALSE)</f>
        <v>Beacon of Oblivion</v>
      </c>
    </row>
    <row r="688" spans="1:3" x14ac:dyDescent="0.25">
      <c r="A688" s="5">
        <v>780</v>
      </c>
      <c r="B688" s="8" t="str">
        <f>VLOOKUP(A688,'Sets (lua data)'!$A$3:$C$9920,3,FALSE)</f>
        <v>Aetheric Lance</v>
      </c>
      <c r="C688" s="8" t="str">
        <f>VLOOKUP(A688,'Sets (lua data)'!$A$3:$C$9920,2,FALSE)</f>
        <v>Aetheric Lance</v>
      </c>
    </row>
    <row r="689" spans="1:3" x14ac:dyDescent="0.25">
      <c r="A689" s="5">
        <v>781</v>
      </c>
      <c r="B689" s="8" t="str">
        <f>VLOOKUP(A689,'Sets (lua data)'!$A$3:$C$9920,3,FALSE)</f>
        <v>Aerie\'s Cry</v>
      </c>
      <c r="C689" s="8" t="str">
        <f>VLOOKUP(A689,'Sets (lua data)'!$A$3:$C$9920,2,FALSE)</f>
        <v>Aerie\'s Cry</v>
      </c>
    </row>
    <row r="690" spans="1:3" x14ac:dyDescent="0.25">
      <c r="A690" s="5">
        <v>782</v>
      </c>
      <c r="B690" s="8" t="str">
        <f>VLOOKUP(A690,'Sets (lua data)'!$A$3:$C$9920,3,FALSE)</f>
        <v>Tracker\'s Lash</v>
      </c>
      <c r="C690" s="8" t="str">
        <f>VLOOKUP(A690,'Sets (lua data)'!$A$3:$C$9920,2,FALSE)</f>
        <v>Tracker\'s Lash</v>
      </c>
    </row>
    <row r="691" spans="1:3" x14ac:dyDescent="0.25">
      <c r="A691" s="5">
        <v>783</v>
      </c>
      <c r="B691" s="8" t="str">
        <f>VLOOKUP(A691,'Sets (lua data)'!$A$3:$C$9920,3,FALSE)</f>
        <v>Shared Pain</v>
      </c>
      <c r="C691" s="8" t="str">
        <f>VLOOKUP(A691,'Sets (lua data)'!$A$3:$C$9920,2,FALSE)</f>
        <v>Shared Pain</v>
      </c>
    </row>
    <row r="692" spans="1:3" x14ac:dyDescent="0.25">
      <c r="A692" s="5">
        <v>784</v>
      </c>
      <c r="B692" s="8" t="str">
        <f>VLOOKUP(A692,'Sets (lua data)'!$A$3:$C$9920,3,FALSE)</f>
        <v>Siegemaster'\s Focus</v>
      </c>
      <c r="C692" s="8" t="str">
        <f>VLOOKUP(A692,'Sets (lua data)'!$A$3:$C$9920,2,FALSE)</f>
        <v>Siegemaster'\s Focus</v>
      </c>
    </row>
    <row r="693" spans="1:3" x14ac:dyDescent="0.25">
      <c r="A693" s="5">
        <v>791</v>
      </c>
      <c r="B693" s="8" t="str">
        <f>VLOOKUP(A693,'Sets (lua data)'!$A$3:$C$9920,3,FALSE)</f>
        <v>Bulwark Ruination</v>
      </c>
      <c r="C693" s="8" t="str">
        <f>VLOOKUP(A693,'Sets (lua data)'!$A$3:$C$9920,2,FALSE)</f>
        <v>Bulwark Ruination</v>
      </c>
    </row>
    <row r="694" spans="1:3" x14ac:dyDescent="0.25">
      <c r="A694" s="5">
        <v>792</v>
      </c>
      <c r="B694" s="8" t="str">
        <f>VLOOKUP(A694,'Sets (lua data)'!$A$3:$C$9920,3,FALSE)</f>
        <v>Farstrider</v>
      </c>
      <c r="C694" s="8" t="str">
        <f>VLOOKUP(A694,'Sets (lua data)'!$A$3:$C$9920,2,FALSE)</f>
        <v>Farstrider</v>
      </c>
    </row>
    <row r="695" spans="1:3" x14ac:dyDescent="0.25">
      <c r="A695" s="5">
        <v>793</v>
      </c>
      <c r="B695" s="8" t="str">
        <f>VLOOKUP(A695,'Sets (lua data)'!$A$3:$C$9920,3,FALSE)</f>
        <v>Netch Oil</v>
      </c>
      <c r="C695" s="8" t="str">
        <f>VLOOKUP(A695,'Sets (lua data)'!$A$3:$C$9920,2,FALSE)</f>
        <v>Netch Oil</v>
      </c>
    </row>
    <row r="696" spans="1:3" x14ac:dyDescent="0.25">
      <c r="A696" s="5">
        <v>794</v>
      </c>
      <c r="B696" s="8" t="str">
        <f>VLOOKUP(A696,'Sets (lua data)'!$A$3:$C$9920,3,FALSE)</f>
        <v>Vandorallen\'s Resonance</v>
      </c>
      <c r="C696" s="8" t="str">
        <f>VLOOKUP(A696,'Sets (lua data)'!$A$3:$C$9920,2,FALSE)</f>
        <v>Vandorallen\'s Resonance</v>
      </c>
    </row>
    <row r="697" spans="1:3" x14ac:dyDescent="0.25">
      <c r="A697" s="5">
        <v>795</v>
      </c>
      <c r="B697" s="8" t="str">
        <f>VLOOKUP(A697,'Sets (lua data)'!$A$3:$C$9920,3,FALSE)</f>
        <v>Jerensi\'s Bladestorm</v>
      </c>
      <c r="C697" s="8" t="str">
        <f>VLOOKUP(A697,'Sets (lua data)'!$A$3:$C$9920,2,FALSE)</f>
        <v>Jerensi\'s Bladestorm</v>
      </c>
    </row>
    <row r="698" spans="1:3" x14ac:dyDescent="0.25">
      <c r="A698" s="5">
        <v>796</v>
      </c>
      <c r="B698" s="8" t="str">
        <f>VLOOKUP(A698,'Sets (lua data)'!$A$3:$C$9920,3,FALSE)</f>
        <v>Lucilla\'s Windshield</v>
      </c>
      <c r="C698" s="8" t="str">
        <f>VLOOKUP(A698,'Sets (lua data)'!$A$3:$C$9920,2,FALSE)</f>
        <v>Lucilla\'s Windshield</v>
      </c>
    </row>
    <row r="699" spans="1:3" x14ac:dyDescent="0.25">
      <c r="A699" s="5">
        <v>797</v>
      </c>
      <c r="B699" s="8" t="str">
        <f>VLOOKUP(A699,'Sets (lua data)'!$A$3:$C$9920,3,FALSE)</f>
        <v>Squall of Retribution</v>
      </c>
      <c r="C699" s="8" t="str">
        <f>VLOOKUP(A699,'Sets (lua data)'!$A$3:$C$9920,2,FALSE)</f>
        <v>Squall of Retribution</v>
      </c>
    </row>
    <row r="700" spans="1:3" x14ac:dyDescent="0.25">
      <c r="A700" s="5">
        <v>798</v>
      </c>
      <c r="B700" s="8" t="str">
        <f>VLOOKUP(A700,'Sets (lua data)'!$A$3:$C$9920,3,FALSE)</f>
        <v>Heroic Unity</v>
      </c>
      <c r="C700" s="8" t="str">
        <f>VLOOKUP(A700,'Sets (lua data)'!$A$3:$C$9920,2,FALSE)</f>
        <v>Heroic Unity</v>
      </c>
    </row>
    <row r="701" spans="1:3" x14ac:dyDescent="0.25">
      <c r="A701" s="5">
        <v>799</v>
      </c>
      <c r="B701" s="8" t="str">
        <f>VLOOKUP(A701,'Sets (lua data)'!$A$3:$C$9920,3,FALSE)</f>
        <v>Fledgling\'s Nest</v>
      </c>
      <c r="C701" s="8" t="str">
        <f>VLOOKUP(A701,'Sets (lua data)'!$A$3:$C$9920,2,FALSE)</f>
        <v>Fledgling\'s Nest</v>
      </c>
    </row>
    <row r="702" spans="1:3" x14ac:dyDescent="0.25">
      <c r="A702" s="5">
        <v>800</v>
      </c>
      <c r="B702" s="8" t="str">
        <f>VLOOKUP(A702,'Sets (lua data)'!$A$3:$C$9920,3,FALSE)</f>
        <v>Noxious Boulder</v>
      </c>
      <c r="C702" s="8" t="str">
        <f>VLOOKUP(A702,'Sets (lua data)'!$A$3:$C$9920,2,FALSE)</f>
        <v>Noxious Boulder</v>
      </c>
    </row>
    <row r="703" spans="1:3" x14ac:dyDescent="0.25">
      <c r="A703" s="5">
        <v>801</v>
      </c>
      <c r="B703" s="8" t="str">
        <f>VLOOKUP(A703,'Sets (lua data)'!$A$3:$C$9920,3,FALSE)</f>
        <v>Orpheon the Tactician</v>
      </c>
      <c r="C703" s="8" t="str">
        <f>VLOOKUP(A703,'Sets (lua data)'!$A$3:$C$9920,2,FALSE)</f>
        <v>Orpheon the Tactician</v>
      </c>
    </row>
    <row r="704" spans="1:3" x14ac:dyDescent="0.25">
      <c r="A704" s="5">
        <v>802</v>
      </c>
      <c r="B704" s="8" t="str">
        <f>VLOOKUP(A704,'Sets (lua data)'!$A$3:$C$9920,3,FALSE)</f>
        <v>Arkay\'s Charity</v>
      </c>
      <c r="C704" s="8" t="str">
        <f>VLOOKUP(A704,'Sets (lua data)'!$A$3:$C$9920,2,FALSE)</f>
        <v>Arkay\'s Charity</v>
      </c>
    </row>
    <row r="705" spans="1:3" x14ac:dyDescent="0.25">
      <c r="A705" s="5">
        <v>803</v>
      </c>
      <c r="B705" s="8" t="str">
        <f>VLOOKUP(A705,'Sets (lua data)'!$A$3:$C$9920,3,FALSE)</f>
        <v xml:space="preserve">Lamp Knight\'s Art </v>
      </c>
      <c r="C705" s="8" t="str">
        <f>VLOOKUP(A705,'Sets (lua data)'!$A$3:$C$9920,2,FALSE)</f>
        <v xml:space="preserve">Lamp Knight\'s Art </v>
      </c>
    </row>
    <row r="706" spans="1:3" x14ac:dyDescent="0.25">
      <c r="A706" s="5">
        <v>804</v>
      </c>
      <c r="B706" s="8" t="str">
        <f>VLOOKUP(A706,'Sets (lua data)'!$A$3:$C$9920,3,FALSE)</f>
        <v>Blackfeather Flight</v>
      </c>
      <c r="C706" s="8" t="str">
        <f>VLOOKUP(A706,'Sets (lua data)'!$A$3:$C$9920,2,FALSE)</f>
        <v>Blackfeather Flight</v>
      </c>
    </row>
    <row r="707" spans="1:3" x14ac:dyDescent="0.25">
      <c r="A707" s="5">
        <v>805</v>
      </c>
      <c r="B707" s="8" t="str">
        <f>VLOOKUP(A707,'Sets (lua data)'!$A$3:$C$9920,3,FALSE)</f>
        <v>Three Queens Wellspring</v>
      </c>
      <c r="C707" s="8" t="str">
        <f>VLOOKUP(A707,'Sets (lua data)'!$A$3:$C$9920,2,FALSE)</f>
        <v>Three Queens Wellspring</v>
      </c>
    </row>
    <row r="708" spans="1:3" x14ac:dyDescent="0.25">
      <c r="A708" s="5">
        <v>806</v>
      </c>
      <c r="B708" s="8" t="str">
        <f>VLOOKUP(A708,'Sets (lua data)'!$A$3:$C$9920,3,FALSE)</f>
        <v>Death-Dancer</v>
      </c>
      <c r="C708" s="8" t="str">
        <f>VLOOKUP(A708,'Sets (lua data)'!$A$3:$C$9920,2,FALSE)</f>
        <v>Death-Dancer</v>
      </c>
    </row>
    <row r="709" spans="1:3" x14ac:dyDescent="0.25">
      <c r="A709" s="5">
        <v>807</v>
      </c>
      <c r="B709" s="8" t="str">
        <f>VLOOKUP(A709,'Sets (lua data)'!$A$3:$C$9920,3,FALSE)</f>
        <v>Full Belly Barricade</v>
      </c>
      <c r="C709" s="8" t="str">
        <f>VLOOKUP(A709,'Sets (lua data)'!$A$3:$C$9920,2,FALSE)</f>
        <v>Full Belly Barricade</v>
      </c>
    </row>
    <row r="710" spans="1:3" x14ac:dyDescent="0.25">
      <c r="A710" s="5">
        <v>808</v>
      </c>
      <c r="B710" s="8" t="str">
        <f>VLOOKUP(A710,'Sets (lua data)'!$A$3:$C$9920,3,FALSE)</f>
        <v>Shared Burden</v>
      </c>
      <c r="C710" s="8" t="str">
        <f>VLOOKUP(A710,'Sets (lua data)'!$A$3:$C$9920,2,FALSE)</f>
        <v>Shared Burden</v>
      </c>
    </row>
    <row r="711" spans="1:3" x14ac:dyDescent="0.25">
      <c r="A711" s="5">
        <v>809</v>
      </c>
      <c r="B711" s="8" t="str">
        <f>VLOOKUP(A711,'Sets (lua data)'!$A$3:$C$9920,3,FALSE)</f>
        <v>Tide-Born Wildstalker</v>
      </c>
      <c r="C711" s="8" t="str">
        <f>VLOOKUP(A711,'Sets (lua data)'!$A$3:$C$9920,2,FALSE)</f>
        <v>Tide-Born Wildstalker</v>
      </c>
    </row>
    <row r="712" spans="1:3" x14ac:dyDescent="0.25">
      <c r="A712" s="5">
        <v>810</v>
      </c>
      <c r="B712" s="8" t="str">
        <f>VLOOKUP(A712,'Sets (lua data)'!$A$3:$C$9920,3,FALSE)</f>
        <v>Fellowship's Fortitude</v>
      </c>
      <c r="C712" s="8" t="str">
        <f>VLOOKUP(A712,'Sets (lua data)'!$A$3:$C$9920,2,FALSE)</f>
        <v>Fellowship's Fortitude</v>
      </c>
    </row>
    <row r="713" spans="1:3" x14ac:dyDescent="0.25">
      <c r="A713" s="5">
        <v>811</v>
      </c>
      <c r="B713" s="8" t="str">
        <f>VLOOKUP(A713,'Sets (lua data)'!$A$3:$C$9920,3,FALSE)</f>
        <v>Mad God\'s Dancing Shoes</v>
      </c>
      <c r="C713" s="8" t="str">
        <f>VLOOKUP(A713,'Sets (lua data)'!$A$3:$C$9920,2,FALSE)</f>
        <v>Mad God\'s Dancing Shoes</v>
      </c>
    </row>
    <row r="714" spans="1:3" x14ac:dyDescent="0.25">
      <c r="A714" s="5">
        <v>812</v>
      </c>
      <c r="B714" s="8" t="str">
        <f>VLOOKUP(A714,'Sets (lua data)'!$A$3:$C$9920,3,FALSE)</f>
        <v>Rakkhat\'s Voidmantle</v>
      </c>
      <c r="C714" s="8" t="str">
        <f>VLOOKUP(A714,'Sets (lua data)'!$A$3:$C$9920,2,FALSE)</f>
        <v>Rakkhat\'s Voidmantle</v>
      </c>
    </row>
    <row r="715" spans="1:3" x14ac:dyDescent="0.25">
      <c r="A715" s="5">
        <v>813</v>
      </c>
      <c r="B715" s="8" t="str">
        <f>VLOOKUP(A715,'Sets (lua data)'!$A$3:$C$9920,3,FALSE)</f>
        <v>Monomyth Reforged</v>
      </c>
      <c r="C715" s="8" t="str">
        <f>VLOOKUP(A715,'Sets (lua data)'!$A$3:$C$9920,2,FALSE)</f>
        <v>Monomyth Reforged</v>
      </c>
    </row>
    <row r="716" spans="1:3" x14ac:dyDescent="0.25">
      <c r="A716" s="5">
        <v>814</v>
      </c>
      <c r="B716" s="8" t="str">
        <f>VLOOKUP(A716,'Sets (lua data)'!$A$3:$C$9920,3,FALSE)</f>
        <v>Harmony in Chaos</v>
      </c>
      <c r="C716" s="8" t="str">
        <f>VLOOKUP(A716,'Sets (lua data)'!$A$3:$C$9920,2,FALSE)</f>
        <v>Harmony in Chaos</v>
      </c>
    </row>
    <row r="717" spans="1:3" x14ac:dyDescent="0.25">
      <c r="A717" s="5">
        <v>815</v>
      </c>
      <c r="B717" s="8" t="str">
        <f>VLOOKUP(A717,'Sets (lua data)'!$A$3:$C$9920,3,FALSE)</f>
        <v>Kazpian\'s Cruel Signet</v>
      </c>
      <c r="C717" s="8" t="str">
        <f>VLOOKUP(A717,'Sets (lua data)'!$A$3:$C$9920,2,FALSE)</f>
        <v>Kazpian\'s Cruel Signet</v>
      </c>
    </row>
    <row r="718" spans="1:3" x14ac:dyDescent="0.25">
      <c r="A718" s="5">
        <v>816</v>
      </c>
      <c r="B718" s="8" t="str">
        <f>VLOOKUP(A718,'Sets (lua data)'!$A$3:$C$9920,3,FALSE)</f>
        <v>Dolorous Arena</v>
      </c>
      <c r="C718" s="8" t="str">
        <f>VLOOKUP(A718,'Sets (lua data)'!$A$3:$C$9920,2,FALSE)</f>
        <v>Dolorous Arena</v>
      </c>
    </row>
    <row r="719" spans="1:3" x14ac:dyDescent="0.25">
      <c r="A719" s="5">
        <v>817</v>
      </c>
      <c r="B719" s="8" t="str">
        <f>VLOOKUP(A719,'Sets (lua data)'!$A$3:$C$9920,3,FALSE)</f>
        <v>Recovery Convergence</v>
      </c>
      <c r="C719" s="8" t="str">
        <f>VLOOKUP(A719,'Sets (lua data)'!$A$3:$C$9920,2,FALSE)</f>
        <v>Recovery Convergence</v>
      </c>
    </row>
    <row r="720" spans="1:3" x14ac:dyDescent="0.25">
      <c r="A720" s="5">
        <v>818</v>
      </c>
      <c r="B720" s="8" t="str">
        <f>VLOOKUP(A720,'Sets (lua data)'!$A$3:$C$9920,3,FALSE)</f>
        <v>Perfected Recovery Convergence</v>
      </c>
      <c r="C720" s="8" t="str">
        <f>VLOOKUP(A720,'Sets (lua data)'!$A$3:$C$9920,2,FALSE)</f>
        <v>Perfected Recovery Convergence</v>
      </c>
    </row>
    <row r="721" spans="1:3" x14ac:dyDescent="0.25">
      <c r="A721" s="5">
        <v>819</v>
      </c>
      <c r="B721" s="8" t="str">
        <f>VLOOKUP(A721,'Sets (lua data)'!$A$3:$C$9920,3,FALSE)</f>
        <v>Perfected Dolorous Arena</v>
      </c>
      <c r="C721" s="8" t="str">
        <f>VLOOKUP(A721,'Sets (lua data)'!$A$3:$C$9920,2,FALSE)</f>
        <v>Perfected Dolorous Arena</v>
      </c>
    </row>
    <row r="722" spans="1:3" x14ac:dyDescent="0.25">
      <c r="A722" s="5">
        <v>820</v>
      </c>
      <c r="B722" s="8" t="str">
        <f>VLOOKUP(A722,'Sets (lua data)'!$A$3:$C$9920,3,FALSE)</f>
        <v>Perfected Kazpian\'s Cruel Signet</v>
      </c>
      <c r="C722" s="8" t="str">
        <f>VLOOKUP(A722,'Sets (lua data)'!$A$3:$C$9920,2,FALSE)</f>
        <v>Perfected Kazpian\'s Cruel Signet</v>
      </c>
    </row>
    <row r="723" spans="1:3" x14ac:dyDescent="0.25">
      <c r="A723" s="5">
        <v>821</v>
      </c>
      <c r="B723" s="8" t="str">
        <f>VLOOKUP(A723,'Sets (lua data)'!$A$3:$C$9920,3,FALSE)</f>
        <v>Perfected Harmony in Chaos</v>
      </c>
      <c r="C723" s="8" t="str">
        <f>VLOOKUP(A723,'Sets (lua data)'!$A$3:$C$9920,2,FALSE)</f>
        <v>Perfected Harmony in Chaos</v>
      </c>
    </row>
    <row r="724" spans="1:3" x14ac:dyDescent="0.25">
      <c r="A724" s="68">
        <v>822</v>
      </c>
      <c r="B724" s="8" t="str">
        <f>VLOOKUP(A724,'Sets (lua data)'!$A$3:$C$9920,3,FALSE)</f>
        <v>Lustrous Soulwell</v>
      </c>
      <c r="C724" s="8" t="str">
        <f>VLOOKUP(A724,'Sets (lua data)'!$A$3:$C$9920,2,FALSE)</f>
        <v>Lustrous Soulwell</v>
      </c>
    </row>
    <row r="725" spans="1:3" x14ac:dyDescent="0.25">
      <c r="A725" s="68">
        <v>823</v>
      </c>
      <c r="B725" s="8" t="str">
        <f>VLOOKUP(A725,'Sets (lua data)'!$A$3:$C$9920,3,FALSE)</f>
        <v>Vykand\'s Soulfury</v>
      </c>
      <c r="C725" s="8" t="str">
        <f>VLOOKUP(A725,'Sets (lua data)'!$A$3:$C$9920,2,FALSE)</f>
        <v>Vykand\'s Soulfury</v>
      </c>
    </row>
    <row r="726" spans="1:3" x14ac:dyDescent="0.25">
      <c r="A726" s="68">
        <v>824</v>
      </c>
      <c r="B726" s="8" t="str">
        <f>VLOOKUP(A726,'Sets (lua data)'!$A$3:$C$9920,3,FALSE)</f>
        <v>Black Foundry Steel</v>
      </c>
      <c r="C726" s="8" t="str">
        <f>VLOOKUP(A726,'Sets (lua data)'!$A$3:$C$9920,2,FALSE)</f>
        <v>Black Foundry Steel</v>
      </c>
    </row>
    <row r="727" spans="1:3" x14ac:dyDescent="0.25">
      <c r="A727" s="68">
        <v>825</v>
      </c>
      <c r="B727" s="8" t="str">
        <f>VLOOKUP(A727,'Sets (lua data)'!$A$3:$C$9920,3,FALSE)</f>
        <v>Xanmeer Spellweaver</v>
      </c>
      <c r="C727" s="8" t="str">
        <f>VLOOKUP(A727,'Sets (lua data)'!$A$3:$C$9920,2,FALSE)</f>
        <v>Xanmeer Spellweaver</v>
      </c>
    </row>
    <row r="728" spans="1:3" x14ac:dyDescent="0.25">
      <c r="A728" s="68">
        <v>826</v>
      </c>
      <c r="B728" s="8" t="str">
        <f>VLOOKUP(A728,'Sets (lua data)'!$A$3:$C$9920,3,FALSE)</f>
        <v>Tools of the Trapmaster</v>
      </c>
      <c r="C728" s="8" t="str">
        <f>VLOOKUP(A728,'Sets (lua data)'!$A$3:$C$9920,2,FALSE)</f>
        <v>Tools of the Trapmaster</v>
      </c>
    </row>
    <row r="729" spans="1:3" x14ac:dyDescent="0.25">
      <c r="A729" s="68">
        <v>827</v>
      </c>
      <c r="B729" s="8" t="str">
        <f>VLOOKUP(A729,'Sets (lua data)'!$A$3:$C$9920,3,FALSE)</f>
        <v>Stonehulk Domination</v>
      </c>
      <c r="C729" s="8" t="str">
        <f>VLOOKUP(A729,'Sets (lua data)'!$A$3:$C$9920,2,FALSE)</f>
        <v>Stonehulk Domination</v>
      </c>
    </row>
    <row r="730" spans="1:3" x14ac:dyDescent="0.25">
      <c r="A730" s="68">
        <v>828</v>
      </c>
      <c r="B730" s="8" t="str">
        <f>VLOOKUP(A730,'Sets (lua data)'!$A$3:$C$9920,3,FALSE)</f>
        <v>Black Gem Monstrosity</v>
      </c>
      <c r="C730" s="8" t="str">
        <f>VLOOKUP(A730,'Sets (lua data)'!$A$3:$C$9920,2,FALSE)</f>
        <v>Black Gem Monstrosity</v>
      </c>
    </row>
    <row r="731" spans="1:3" x14ac:dyDescent="0.25">
      <c r="A731" s="68">
        <v>829</v>
      </c>
      <c r="B731" s="8" t="str">
        <f>VLOOKUP(A731,'Sets (lua data)'!$A$3:$C$9920,3,FALSE)</f>
        <v>Bar-Sakka</v>
      </c>
      <c r="C731" s="8" t="str">
        <f>VLOOKUP(A731,'Sets (lua data)'!$A$3:$C$9920,2,FALSE)</f>
        <v>Bar-Sakka</v>
      </c>
    </row>
    <row r="732" spans="1:3" x14ac:dyDescent="0.25">
      <c r="A732" s="68">
        <v>830</v>
      </c>
      <c r="B732" s="8" t="str">
        <f>VLOOKUP(A732,'Sets (lua data)'!$A$3:$C$9920,3,FALSE)</f>
        <v>Spellshredder</v>
      </c>
      <c r="C732" s="8" t="str">
        <f>VLOOKUP(A732,'Sets (lua data)'!$A$3:$C$9920,2,FALSE)</f>
        <v>Spellshredder</v>
      </c>
    </row>
    <row r="733" spans="1:3" x14ac:dyDescent="0.25">
      <c r="A733" s="68">
        <v>831</v>
      </c>
      <c r="B733" s="8" t="str">
        <f>VLOOKUP(A733,'Sets (lua data)'!$A$3:$C$9920,3,FALSE)</f>
        <v>Coup De Grâce</v>
      </c>
      <c r="C733" s="8" t="str">
        <f>VLOOKUP(A733,'Sets (lua data)'!$A$3:$C$9920,2,FALSE)</f>
        <v>Coup De Grâce</v>
      </c>
    </row>
    <row r="734" spans="1:3" x14ac:dyDescent="0.25">
      <c r="A734" s="68">
        <v>832</v>
      </c>
      <c r="B734" s="8" t="str">
        <f>VLOOKUP(A734,'Sets (lua data)'!$A$3:$C$9920,3,FALSE)</f>
        <v>Unflinching Ultimate</v>
      </c>
      <c r="C734" s="8" t="str">
        <f>VLOOKUP(A734,'Sets (lua data)'!$A$3:$C$9920,2,FALSE)</f>
        <v>Unflinching Ultimate</v>
      </c>
    </row>
    <row r="735" spans="1:3" x14ac:dyDescent="0.25">
      <c r="A735" s="5">
        <v>845</v>
      </c>
      <c r="B735" s="8" t="str">
        <f>VLOOKUP(A735,'Sets (lua data)'!$A$3:$C$9920,3,FALSE)</f>
        <v>Huntsman's Warmask</v>
      </c>
      <c r="C735" s="8" t="str">
        <f>VLOOKUP(A735,'Sets (lua data)'!$A$3:$C$9920,2,FALSE)</f>
        <v>Huntsman's Warmask</v>
      </c>
    </row>
    <row r="736" spans="1:3" x14ac:dyDescent="0.25">
      <c r="A736" s="5">
        <v>846</v>
      </c>
      <c r="B736" s="8" t="str">
        <f>VLOOKUP(A736,'Sets (lua data)'!$A$3:$C$9920,3,FALSE)</f>
        <v>Xanmeer Genesis</v>
      </c>
      <c r="C736" s="8" t="str">
        <f>VLOOKUP(A736,'Sets (lua data)'!$A$3:$C$9920,2,FALSE)</f>
        <v>Xanmeer Genesis</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19"/>
  <sheetViews>
    <sheetView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34" t="s">
        <v>4222</v>
      </c>
      <c r="B1" s="134"/>
      <c r="C1" s="134"/>
      <c r="E1"/>
    </row>
    <row r="2" spans="1:6" x14ac:dyDescent="0.25">
      <c r="A2" s="1" t="s">
        <v>4219</v>
      </c>
      <c r="B2" s="1" t="s">
        <v>4220</v>
      </c>
      <c r="C2" s="1" t="s">
        <v>4221</v>
      </c>
      <c r="D2" s="1" t="s">
        <v>4298</v>
      </c>
      <c r="E2" s="3" t="s">
        <v>75</v>
      </c>
      <c r="F2" s="23" t="s">
        <v>1322</v>
      </c>
    </row>
    <row r="3" spans="1:6" x14ac:dyDescent="0.25">
      <c r="A3" s="11">
        <v>19</v>
      </c>
      <c r="B3" s="8" t="str">
        <f>VLOOKUP(A3,'Sets (lua data)'!$A$3:$C$9920,3,FALSE)</f>
        <v>Vestments of the Warlock</v>
      </c>
      <c r="C3" s="8" t="str">
        <f>VLOOKUP(A3,'Sets (lua data)'!$A$3:$C$9920,2,FALSE)</f>
        <v>Gewänder des Hexers</v>
      </c>
      <c r="D3" t="s">
        <v>1420</v>
      </c>
      <c r="E3" s="3" t="str">
        <f>IF(ISNA(VLOOKUP(D3,'&lt;Constants&gt;'!$B$4:$C$44,2,FALSE)),"",VLOOKUP(D3,'&lt;Constants&gt;'!$B$4:$C$44,2,FALSE))</f>
        <v>Included in base game</v>
      </c>
    </row>
    <row r="4" spans="1:6" x14ac:dyDescent="0.25">
      <c r="A4" s="11">
        <v>20</v>
      </c>
      <c r="B4" s="8" t="str">
        <f>VLOOKUP(A4,'Sets (lua data)'!$A$3:$C$9920,3,FALSE)</f>
        <v>Witchman Armor</v>
      </c>
      <c r="C4" s="8" t="str">
        <f>VLOOKUP(A4,'Sets (lua data)'!$A$3:$C$9920,2,FALSE)</f>
        <v>Hexenwerk</v>
      </c>
      <c r="D4" t="s">
        <v>1420</v>
      </c>
      <c r="E4" s="3" t="str">
        <f>IF(ISNA(VLOOKUP(D4,'&lt;Constants&gt;'!$B$4:$C$44,2,FALSE)),"",VLOOKUP(D4,'&lt;Constants&gt;'!$B$4:$C$44,2,FALSE))</f>
        <v>Included in base game</v>
      </c>
    </row>
    <row r="5" spans="1:6" x14ac:dyDescent="0.25">
      <c r="A5" s="11">
        <v>21</v>
      </c>
      <c r="B5" s="8" t="str">
        <f>VLOOKUP(A5,'Sets (lua data)'!$A$3:$C$9920,3,FALSE)</f>
        <v>Akaviri Dragonguard</v>
      </c>
      <c r="C5" s="8" t="str">
        <f>VLOOKUP(A5,'Sets (lua data)'!$A$3:$C$9920,2,FALSE)</f>
        <v>Akavirische Drachengarde</v>
      </c>
      <c r="D5" t="s">
        <v>1420</v>
      </c>
      <c r="E5" s="3" t="str">
        <f>IF(ISNA(VLOOKUP(D5,'&lt;Constants&gt;'!$B$4:$C$44,2,FALSE)),"",VLOOKUP(D5,'&lt;Constants&gt;'!$B$4:$C$44,2,FALSE))</f>
        <v>Included in base game</v>
      </c>
    </row>
    <row r="6" spans="1:6" x14ac:dyDescent="0.25">
      <c r="A6" s="11">
        <v>22</v>
      </c>
      <c r="B6" s="8" t="str">
        <f>VLOOKUP(A6,'Sets (lua data)'!$A$3:$C$9920,3,FALSE)</f>
        <v>Dreamer\'s Mantle</v>
      </c>
      <c r="C6" s="8" t="str">
        <f>VLOOKUP(A6,'Sets (lua data)'!$A$3:$C$9920,2,FALSE)</f>
        <v>Mantel des Träumers</v>
      </c>
      <c r="D6" t="s">
        <v>1420</v>
      </c>
      <c r="E6" s="3" t="str">
        <f>IF(ISNA(VLOOKUP(D6,'&lt;Constants&gt;'!$B$4:$C$44,2,FALSE)),"",VLOOKUP(D6,'&lt;Constants&gt;'!$B$4:$C$44,2,FALSE))</f>
        <v>Included in base game</v>
      </c>
    </row>
    <row r="7" spans="1:6" x14ac:dyDescent="0.25">
      <c r="A7" s="11">
        <v>23</v>
      </c>
      <c r="B7" s="8" t="str">
        <f>VLOOKUP(A7,'Sets (lua data)'!$A$3:$C$9920,3,FALSE)</f>
        <v>Archer\'s Mind</v>
      </c>
      <c r="C7" s="8" t="str">
        <f>VLOOKUP(A7,'Sets (lua data)'!$A$3:$C$9920,2,FALSE)</f>
        <v>Schützensinn</v>
      </c>
      <c r="D7" t="s">
        <v>1420</v>
      </c>
      <c r="E7" s="3" t="str">
        <f>IF(ISNA(VLOOKUP(D7,'&lt;Constants&gt;'!$B$4:$C$44,2,FALSE)),"",VLOOKUP(D7,'&lt;Constants&gt;'!$B$4:$C$44,2,FALSE))</f>
        <v>Included in base game</v>
      </c>
    </row>
    <row r="8" spans="1:6" x14ac:dyDescent="0.25">
      <c r="A8" s="11">
        <v>24</v>
      </c>
      <c r="B8" s="8" t="str">
        <f>VLOOKUP(A8,'Sets (lua data)'!$A$3:$C$9920,3,FALSE)</f>
        <v>Footman\'s Fortune</v>
      </c>
      <c r="C8" s="8" t="str">
        <f>VLOOKUP(A8,'Sets (lua data)'!$A$3:$C$9920,2,FALSE)</f>
        <v>Geschick des Fußsoldaten</v>
      </c>
      <c r="D8" t="s">
        <v>1420</v>
      </c>
      <c r="E8" s="3" t="str">
        <f>IF(ISNA(VLOOKUP(D8,'&lt;Constants&gt;'!$B$4:$C$44,2,FALSE)),"",VLOOKUP(D8,'&lt;Constants&gt;'!$B$4:$C$44,2,FALSE))</f>
        <v>Included in base game</v>
      </c>
    </row>
    <row r="9" spans="1:6" x14ac:dyDescent="0.25">
      <c r="A9" s="11">
        <v>25</v>
      </c>
      <c r="B9" s="8" t="str">
        <f>VLOOKUP(A9,'Sets (lua data)'!$A$3:$C$9920,3,FALSE)</f>
        <v>Desert Rose</v>
      </c>
      <c r="C9" s="8" t="str">
        <f>VLOOKUP(A9,'Sets (lua data)'!$A$3:$C$9920,2,FALSE)</f>
        <v>Wüstenrose</v>
      </c>
      <c r="D9" t="s">
        <v>1420</v>
      </c>
      <c r="E9" s="3" t="str">
        <f>IF(ISNA(VLOOKUP(D9,'&lt;Constants&gt;'!$B$4:$C$44,2,FALSE)),"",VLOOKUP(D9,'&lt;Constants&gt;'!$B$4:$C$44,2,FALSE))</f>
        <v>Included in base game</v>
      </c>
    </row>
    <row r="10" spans="1:6" x14ac:dyDescent="0.25">
      <c r="A10" s="11">
        <v>26</v>
      </c>
      <c r="B10" s="8" t="str">
        <f>VLOOKUP(A10,'Sets (lua data)'!$A$3:$C$9920,3,FALSE)</f>
        <v>Prisoner\'s Rags</v>
      </c>
      <c r="C10" s="8" t="str">
        <f>VLOOKUP(A10,'Sets (lua data)'!$A$3:$C$9920,2,FALSE)</f>
        <v>Lumpen des Gefangenen</v>
      </c>
      <c r="D10" t="s">
        <v>1420</v>
      </c>
      <c r="E10" s="3" t="str">
        <f>IF(ISNA(VLOOKUP(D10,'&lt;Constants&gt;'!$B$4:$C$44,2,FALSE)),"",VLOOKUP(D10,'&lt;Constants&gt;'!$B$4:$C$44,2,FALSE))</f>
        <v>Included in base game</v>
      </c>
    </row>
    <row r="11" spans="1:6" x14ac:dyDescent="0.25">
      <c r="A11" s="11">
        <v>27</v>
      </c>
      <c r="B11" s="8" t="str">
        <f>VLOOKUP(A11,'Sets (lua data)'!$A$3:$C$9920,3,FALSE)</f>
        <v>Fiord\'s Legacy</v>
      </c>
      <c r="C11" s="8" t="str">
        <f>VLOOKUP(A11,'Sets (lua data)'!$A$3:$C$9920,2,FALSE)</f>
        <v>Fiords Erbe</v>
      </c>
      <c r="D11" t="s">
        <v>1420</v>
      </c>
      <c r="E11" s="3" t="str">
        <f>IF(ISNA(VLOOKUP(D11,'&lt;Constants&gt;'!$B$4:$C$44,2,FALSE)),"",VLOOKUP(D11,'&lt;Constants&gt;'!$B$4:$C$44,2,FALSE))</f>
        <v>Included in base game</v>
      </c>
    </row>
    <row r="12" spans="1:6" x14ac:dyDescent="0.25">
      <c r="A12" s="11">
        <v>28</v>
      </c>
      <c r="B12" s="8" t="str">
        <f>VLOOKUP(A12,'Sets (lua data)'!$A$3:$C$9920,3,FALSE)</f>
        <v>Barkskin</v>
      </c>
      <c r="C12" s="8" t="str">
        <f>VLOOKUP(A12,'Sets (lua data)'!$A$3:$C$9920,2,FALSE)</f>
        <v>Borkenhaut</v>
      </c>
      <c r="D12" t="s">
        <v>1420</v>
      </c>
      <c r="E12" s="3" t="str">
        <f>IF(ISNA(VLOOKUP(D12,'&lt;Constants&gt;'!$B$4:$C$44,2,FALSE)),"",VLOOKUP(D12,'&lt;Constants&gt;'!$B$4:$C$44,2,FALSE))</f>
        <v>Included in base game</v>
      </c>
    </row>
    <row r="13" spans="1:6" x14ac:dyDescent="0.25">
      <c r="A13" s="11">
        <v>29</v>
      </c>
      <c r="B13" s="8" t="str">
        <f>VLOOKUP(A13,'Sets (lua data)'!$A$3:$C$9920,3,FALSE)</f>
        <v>Sergeant\'s Mail</v>
      </c>
      <c r="C13" s="8" t="str">
        <f>VLOOKUP(A13,'Sets (lua data)'!$A$3:$C$9920,2,FALSE)</f>
        <v>Rüstung des Feldwebels</v>
      </c>
      <c r="D13" t="s">
        <v>1420</v>
      </c>
      <c r="E13" s="3" t="str">
        <f>IF(ISNA(VLOOKUP(D13,'&lt;Constants&gt;'!$B$4:$C$44,2,FALSE)),"",VLOOKUP(D13,'&lt;Constants&gt;'!$B$4:$C$44,2,FALSE))</f>
        <v>Included in base game</v>
      </c>
    </row>
    <row r="14" spans="1:6" x14ac:dyDescent="0.25">
      <c r="A14" s="11">
        <v>30</v>
      </c>
      <c r="B14" s="8" t="str">
        <f>VLOOKUP(A14,'Sets (lua data)'!$A$3:$C$9920,3,FALSE)</f>
        <v>Thunderbug\'s Carapace</v>
      </c>
      <c r="C14" s="8" t="str">
        <f>VLOOKUP(A14,'Sets (lua data)'!$A$3:$C$9920,2,FALSE)</f>
        <v>Donnerkäferpanzer</v>
      </c>
      <c r="D14" t="s">
        <v>1420</v>
      </c>
      <c r="E14" s="3" t="str">
        <f>IF(ISNA(VLOOKUP(D14,'&lt;Constants&gt;'!$B$4:$C$44,2,FALSE)),"",VLOOKUP(D14,'&lt;Constants&gt;'!$B$4:$C$44,2,FALSE))</f>
        <v>Included in base game</v>
      </c>
    </row>
    <row r="15" spans="1:6" x14ac:dyDescent="0.25">
      <c r="A15" s="11">
        <v>31</v>
      </c>
      <c r="B15" s="8" t="str">
        <f>VLOOKUP(A15,'Sets (lua data)'!$A$3:$C$9920,3,FALSE)</f>
        <v>Silks of the Sun</v>
      </c>
      <c r="C15" s="8" t="str">
        <f>VLOOKUP(A15,'Sets (lua data)'!$A$3:$C$9920,2,FALSE)</f>
        <v>Sonnenseide</v>
      </c>
      <c r="D15" t="s">
        <v>1420</v>
      </c>
      <c r="E15" s="3" t="str">
        <f>IF(ISNA(VLOOKUP(D15,'&lt;Constants&gt;'!$B$4:$C$44,2,FALSE)),"",VLOOKUP(D15,'&lt;Constants&gt;'!$B$4:$C$44,2,FALSE))</f>
        <v>Included in base game</v>
      </c>
    </row>
    <row r="16" spans="1:6" x14ac:dyDescent="0.25">
      <c r="A16" s="11">
        <v>32</v>
      </c>
      <c r="B16" s="8" t="str">
        <f>VLOOKUP(A16,'Sets (lua data)'!$A$3:$C$9920,3,FALSE)</f>
        <v>Healer\'s Habit</v>
      </c>
      <c r="C16" s="8" t="str">
        <f>VLOOKUP(A16,'Sets (lua data)'!$A$3:$C$9920,2,FALSE)</f>
        <v>Bräuche des Heilers</v>
      </c>
      <c r="D16" t="s">
        <v>1420</v>
      </c>
      <c r="E16" s="3" t="str">
        <f>IF(ISNA(VLOOKUP(D16,'&lt;Constants&gt;'!$B$4:$C$44,2,FALSE)),"",VLOOKUP(D16,'&lt;Constants&gt;'!$B$4:$C$44,2,FALSE))</f>
        <v>Included in base game</v>
      </c>
    </row>
    <row r="17" spans="1:5" x14ac:dyDescent="0.25">
      <c r="A17" s="11">
        <v>33</v>
      </c>
      <c r="B17" s="8" t="str">
        <f>VLOOKUP(A17,'Sets (lua data)'!$A$3:$C$9920,3,FALSE)</f>
        <v>Viper\'s Sting</v>
      </c>
      <c r="C17" s="8" t="str">
        <f>VLOOKUP(A17,'Sets (lua data)'!$A$3:$C$9920,2,FALSE)</f>
        <v>Vipernbiss</v>
      </c>
      <c r="D17" t="s">
        <v>1420</v>
      </c>
      <c r="E17" s="3" t="str">
        <f>IF(ISNA(VLOOKUP(D17,'&lt;Constants&gt;'!$B$4:$C$44,2,FALSE)),"",VLOOKUP(D17,'&lt;Constants&gt;'!$B$4:$C$44,2,FALSE))</f>
        <v>Included in base game</v>
      </c>
    </row>
    <row r="18" spans="1:5" x14ac:dyDescent="0.25">
      <c r="A18" s="11">
        <v>34</v>
      </c>
      <c r="B18" s="8" t="str">
        <f>VLOOKUP(A18,'Sets (lua data)'!$A$3:$C$9920,3,FALSE)</f>
        <v>Night Mother\'s Embrace</v>
      </c>
      <c r="C18" s="8" t="str">
        <f>VLOOKUP(A18,'Sets (lua data)'!$A$3:$C$9920,2,FALSE)</f>
        <v>Umarmung der Mutter der Nacht</v>
      </c>
      <c r="D18" t="s">
        <v>1420</v>
      </c>
      <c r="E18" s="3" t="str">
        <f>IF(ISNA(VLOOKUP(D18,'&lt;Constants&gt;'!$B$4:$C$44,2,FALSE)),"",VLOOKUP(D18,'&lt;Constants&gt;'!$B$4:$C$44,2,FALSE))</f>
        <v>Included in base game</v>
      </c>
    </row>
    <row r="19" spans="1:5" x14ac:dyDescent="0.25">
      <c r="A19" s="11">
        <v>35</v>
      </c>
      <c r="B19" s="8" t="str">
        <f>VLOOKUP(A19,'Sets (lua data)'!$A$3:$C$9920,3,FALSE)</f>
        <v>Knightmare</v>
      </c>
      <c r="C19" s="8" t="str">
        <f>VLOOKUP(A19,'Sets (lua data)'!$A$3:$C$9920,2,FALSE)</f>
        <v>Albtraumritter</v>
      </c>
      <c r="D19" t="s">
        <v>1420</v>
      </c>
      <c r="E19" s="3" t="str">
        <f>IF(ISNA(VLOOKUP(D19,'&lt;Constants&gt;'!$B$4:$C$44,2,FALSE)),"",VLOOKUP(D19,'&lt;Constants&gt;'!$B$4:$C$44,2,FALSE))</f>
        <v>Included in base game</v>
      </c>
    </row>
    <row r="20" spans="1:5" x14ac:dyDescent="0.25">
      <c r="A20" s="11">
        <v>36</v>
      </c>
      <c r="B20" s="8" t="str">
        <f>VLOOKUP(A20,'Sets (lua data)'!$A$3:$C$9920,3,FALSE)</f>
        <v>Armor of the Veiled Heritance</v>
      </c>
      <c r="C20" s="8" t="str">
        <f>VLOOKUP(A20,'Sets (lua data)'!$A$3:$C$9920,2,FALSE)</f>
        <v>Rüstung des Schleiererbes</v>
      </c>
      <c r="D20" t="s">
        <v>1420</v>
      </c>
      <c r="E20" s="3" t="str">
        <f>IF(ISNA(VLOOKUP(D20,'&lt;Constants&gt;'!$B$4:$C$44,2,FALSE)),"",VLOOKUP(D20,'&lt;Constants&gt;'!$B$4:$C$44,2,FALSE))</f>
        <v>Included in base game</v>
      </c>
    </row>
    <row r="21" spans="1:5" x14ac:dyDescent="0.25">
      <c r="A21" s="5">
        <v>37</v>
      </c>
      <c r="B21" s="8" t="str">
        <f>VLOOKUP(A21,'Sets (lua data)'!$A$3:$C$9920,3,FALSE)</f>
        <v>Death\'s Wind</v>
      </c>
      <c r="C21" s="8" t="str">
        <f>VLOOKUP(A21,'Sets (lua data)'!$A$3:$C$9920,2,FALSE)</f>
        <v>Todeswind</v>
      </c>
      <c r="D21" t="s">
        <v>1420</v>
      </c>
      <c r="E21" s="3" t="str">
        <f>IF(ISNA(VLOOKUP(D21,'&lt;Constants&gt;'!$B$4:$C$44,2,FALSE)),"",VLOOKUP(D21,'&lt;Constants&gt;'!$B$4:$C$44,2,FALSE))</f>
        <v>Included in base game</v>
      </c>
    </row>
    <row r="22" spans="1:5" x14ac:dyDescent="0.25">
      <c r="A22" s="5">
        <v>38</v>
      </c>
      <c r="B22" s="8" t="str">
        <f>VLOOKUP(A22,'Sets (lua data)'!$A$3:$C$9920,3,FALSE)</f>
        <v>Twilight\'s Embrace</v>
      </c>
      <c r="C22" s="8" t="str">
        <f>VLOOKUP(A22,'Sets (lua data)'!$A$3:$C$9920,2,FALSE)</f>
        <v>Zwielichtkuss</v>
      </c>
      <c r="D22" t="s">
        <v>1420</v>
      </c>
      <c r="E22" s="3" t="str">
        <f>IF(ISNA(VLOOKUP(D22,'&lt;Constants&gt;'!$B$4:$C$44,2,FALSE)),"",VLOOKUP(D22,'&lt;Constants&gt;'!$B$4:$C$44,2,FALSE))</f>
        <v>Included in base game</v>
      </c>
    </row>
    <row r="23" spans="1:5" x14ac:dyDescent="0.25">
      <c r="A23" s="11">
        <v>39</v>
      </c>
      <c r="B23" s="8" t="str">
        <f>VLOOKUP(A23,'Sets (lua data)'!$A$3:$C$9920,3,FALSE)</f>
        <v>Alessian Order</v>
      </c>
      <c r="C23" s="8" t="str">
        <f>VLOOKUP(A23,'Sets (lua data)'!$A$3:$C$9920,2,FALSE)</f>
        <v>Alessianischer Orden</v>
      </c>
      <c r="D23" t="s">
        <v>1420</v>
      </c>
      <c r="E23" s="3" t="str">
        <f>IF(ISNA(VLOOKUP(D23,'&lt;Constants&gt;'!$B$4:$C$44,2,FALSE)),"",VLOOKUP(D23,'&lt;Constants&gt;'!$B$4:$C$44,2,FALSE))</f>
        <v>Included in base game</v>
      </c>
    </row>
    <row r="24" spans="1:5" x14ac:dyDescent="0.25">
      <c r="A24" s="5">
        <v>40</v>
      </c>
      <c r="B24" s="8" t="str">
        <f>VLOOKUP(A24,'Sets (lua data)'!$A$3:$C$9920,3,FALSE)</f>
        <v>Night\'s Silence</v>
      </c>
      <c r="C24" s="8" t="str">
        <f>VLOOKUP(A24,'Sets (lua data)'!$A$3:$C$9920,2,FALSE)</f>
        <v>Stille der Nacht</v>
      </c>
      <c r="D24" t="s">
        <v>1420</v>
      </c>
      <c r="E24" s="3" t="str">
        <f>IF(ISNA(VLOOKUP(D24,'&lt;Constants&gt;'!$B$4:$C$44,2,FALSE)),"",VLOOKUP(D24,'&lt;Constants&gt;'!$B$4:$C$44,2,FALSE))</f>
        <v>Included in base game</v>
      </c>
    </row>
    <row r="25" spans="1:5" x14ac:dyDescent="0.25">
      <c r="A25" s="5">
        <v>41</v>
      </c>
      <c r="B25" s="8" t="str">
        <f>VLOOKUP(A25,'Sets (lua data)'!$A$3:$C$9920,3,FALSE)</f>
        <v>Whitestrake\'s Retribution</v>
      </c>
      <c r="C25" s="8" t="str">
        <f>VLOOKUP(A25,'Sets (lua data)'!$A$3:$C$9920,2,FALSE)</f>
        <v>Weißplankes Vergeltung</v>
      </c>
      <c r="D25" t="s">
        <v>1420</v>
      </c>
      <c r="E25" s="3" t="str">
        <f>IF(ISNA(VLOOKUP(D25,'&lt;Constants&gt;'!$B$4:$C$44,2,FALSE)),"",VLOOKUP(D25,'&lt;Constants&gt;'!$B$4:$C$44,2,FALSE))</f>
        <v>Included in base game</v>
      </c>
    </row>
    <row r="26" spans="1:5" x14ac:dyDescent="0.25">
      <c r="A26" s="5">
        <v>43</v>
      </c>
      <c r="B26" s="8" t="str">
        <f>VLOOKUP(A26,'Sets (lua data)'!$A$3:$C$9920,3,FALSE)</f>
        <v>Armor of the Seducer</v>
      </c>
      <c r="C26" s="8" t="str">
        <f>VLOOKUP(A26,'Sets (lua data)'!$A$3:$C$9920,2,FALSE)</f>
        <v>Rüstung der Verführung</v>
      </c>
      <c r="D26" t="s">
        <v>1420</v>
      </c>
      <c r="E26" s="3" t="str">
        <f>IF(ISNA(VLOOKUP(D26,'&lt;Constants&gt;'!$B$4:$C$44,2,FALSE)),"",VLOOKUP(D26,'&lt;Constants&gt;'!$B$4:$C$44,2,FALSE))</f>
        <v>Included in base game</v>
      </c>
    </row>
    <row r="27" spans="1:5" x14ac:dyDescent="0.25">
      <c r="A27" s="5">
        <v>44</v>
      </c>
      <c r="B27" s="8" t="str">
        <f>VLOOKUP(A27,'Sets (lua data)'!$A$3:$C$9920,3,FALSE)</f>
        <v>Vampire\'s Kiss</v>
      </c>
      <c r="C27" s="8" t="str">
        <f>VLOOKUP(A27,'Sets (lua data)'!$A$3:$C$9920,2,FALSE)</f>
        <v>Kuss des Vampirs</v>
      </c>
      <c r="D27" t="s">
        <v>1420</v>
      </c>
      <c r="E27" s="3" t="str">
        <f>IF(ISNA(VLOOKUP(D27,'&lt;Constants&gt;'!$B$4:$C$44,2,FALSE)),"",VLOOKUP(D27,'&lt;Constants&gt;'!$B$4:$C$44,2,FALSE))</f>
        <v>Included in base game</v>
      </c>
    </row>
    <row r="28" spans="1:5" x14ac:dyDescent="0.25">
      <c r="A28" s="11">
        <v>46</v>
      </c>
      <c r="B28" s="8" t="str">
        <f>VLOOKUP(A28,'Sets (lua data)'!$A$3:$C$9920,3,FALSE)</f>
        <v>Noble Duelist\'s Silks</v>
      </c>
      <c r="C28" s="8" t="str">
        <f>VLOOKUP(A28,'Sets (lua data)'!$A$3:$C$9920,2,FALSE)</f>
        <v>Seide des edlen Duellanten</v>
      </c>
      <c r="D28" t="s">
        <v>1420</v>
      </c>
      <c r="E28" s="3" t="str">
        <f>IF(ISNA(VLOOKUP(D28,'&lt;Constants&gt;'!$B$4:$C$44,2,FALSE)),"",VLOOKUP(D28,'&lt;Constants&gt;'!$B$4:$C$44,2,FALSE))</f>
        <v>Included in base game</v>
      </c>
    </row>
    <row r="29" spans="1:5" x14ac:dyDescent="0.25">
      <c r="A29" s="11">
        <v>47</v>
      </c>
      <c r="B29" s="8" t="str">
        <f>VLOOKUP(A29,'Sets (lua data)'!$A$3:$C$9920,3,FALSE)</f>
        <v>Robes of the Withered Hand</v>
      </c>
      <c r="C29" s="8" t="str">
        <f>VLOOKUP(A29,'Sets (lua data)'!$A$3:$C$9920,2,FALSE)</f>
        <v>Roben der Verdorrten Hand</v>
      </c>
      <c r="D29" t="s">
        <v>1420</v>
      </c>
      <c r="E29" s="3" t="str">
        <f>IF(ISNA(VLOOKUP(D29,'&lt;Constants&gt;'!$B$4:$C$44,2,FALSE)),"",VLOOKUP(D29,'&lt;Constants&gt;'!$B$4:$C$44,2,FALSE))</f>
        <v>Included in base game</v>
      </c>
    </row>
    <row r="30" spans="1:5" x14ac:dyDescent="0.25">
      <c r="A30" s="5">
        <v>48</v>
      </c>
      <c r="B30" s="8" t="str">
        <f>VLOOKUP(A30,'Sets (lua data)'!$A$3:$C$9920,3,FALSE)</f>
        <v>Magnus\' Gift</v>
      </c>
      <c r="C30" s="8" t="str">
        <f>VLOOKUP(A30,'Sets (lua data)'!$A$3:$C$9920,2,FALSE)</f>
        <v>Magnus' Gabe</v>
      </c>
      <c r="D30" t="s">
        <v>1420</v>
      </c>
      <c r="E30" s="3" t="str">
        <f>IF(ISNA(VLOOKUP(D30,'&lt;Constants&gt;'!$B$4:$C$44,2,FALSE)),"",VLOOKUP(D30,'&lt;Constants&gt;'!$B$4:$C$44,2,FALSE))</f>
        <v>Included in base game</v>
      </c>
    </row>
    <row r="31" spans="1:5" x14ac:dyDescent="0.25">
      <c r="A31" s="11">
        <v>49</v>
      </c>
      <c r="B31" s="8" t="str">
        <f>VLOOKUP(A31,'Sets (lua data)'!$A$3:$C$9920,3,FALSE)</f>
        <v>Shadow of the Red Mountain</v>
      </c>
      <c r="C31" s="8" t="str">
        <f>VLOOKUP(A31,'Sets (lua data)'!$A$3:$C$9920,2,FALSE)</f>
        <v>Schatten des Roten Berges</v>
      </c>
      <c r="D31" t="s">
        <v>1420</v>
      </c>
      <c r="E31" s="3" t="str">
        <f>IF(ISNA(VLOOKUP(D31,'&lt;Constants&gt;'!$B$4:$C$44,2,FALSE)),"",VLOOKUP(D31,'&lt;Constants&gt;'!$B$4:$C$44,2,FALSE))</f>
        <v>Included in base game</v>
      </c>
    </row>
    <row r="32" spans="1:5" x14ac:dyDescent="0.25">
      <c r="A32" s="11">
        <v>50</v>
      </c>
      <c r="B32" s="8" t="str">
        <f>VLOOKUP(A32,'Sets (lua data)'!$A$3:$C$9920,3,FALSE)</f>
        <v>The Morag Tong</v>
      </c>
      <c r="C32" s="8" t="str">
        <f>VLOOKUP(A32,'Sets (lua data)'!$A$3:$C$9920,2,FALSE)</f>
        <v>Morag Tong</v>
      </c>
      <c r="D32" t="s">
        <v>1420</v>
      </c>
      <c r="E32" s="3" t="str">
        <f>IF(ISNA(VLOOKUP(D32,'&lt;Constants&gt;'!$B$4:$C$44,2,FALSE)),"",VLOOKUP(D32,'&lt;Constants&gt;'!$B$4:$C$44,2,FALSE))</f>
        <v>Included in base game</v>
      </c>
    </row>
    <row r="33" spans="1:5" x14ac:dyDescent="0.25">
      <c r="A33" s="5">
        <v>51</v>
      </c>
      <c r="B33" s="8" t="str">
        <f>VLOOKUP(A33,'Sets (lua data)'!$A$3:$C$9920,3,FALSE)</f>
        <v>Night Mother\'s Gaze</v>
      </c>
      <c r="C33" s="8" t="str">
        <f>VLOOKUP(A33,'Sets (lua data)'!$A$3:$C$9920,2,FALSE)</f>
        <v>Blick der Mutter der Nacht</v>
      </c>
      <c r="D33" t="s">
        <v>1420</v>
      </c>
      <c r="E33" s="3" t="str">
        <f>IF(ISNA(VLOOKUP(D33,'&lt;Constants&gt;'!$B$4:$C$44,2,FALSE)),"",VLOOKUP(D33,'&lt;Constants&gt;'!$B$4:$C$44,2,FALSE))</f>
        <v>Included in base game</v>
      </c>
    </row>
    <row r="34" spans="1:5" x14ac:dyDescent="0.25">
      <c r="A34" s="11">
        <v>52</v>
      </c>
      <c r="B34" s="8" t="str">
        <f>VLOOKUP(A34,'Sets (lua data)'!$A$3:$C$9920,3,FALSE)</f>
        <v>Beckoning Steel</v>
      </c>
      <c r="C34" s="8" t="str">
        <f>VLOOKUP(A34,'Sets (lua data)'!$A$3:$C$9920,2,FALSE)</f>
        <v>Klingender Stahl</v>
      </c>
      <c r="D34" t="s">
        <v>1420</v>
      </c>
      <c r="E34" s="3" t="str">
        <f>IF(ISNA(VLOOKUP(D34,'&lt;Constants&gt;'!$B$4:$C$44,2,FALSE)),"",VLOOKUP(D34,'&lt;Constants&gt;'!$B$4:$C$44,2,FALSE))</f>
        <v>Included in base game</v>
      </c>
    </row>
    <row r="35" spans="1:5" x14ac:dyDescent="0.25">
      <c r="A35" s="11">
        <v>53</v>
      </c>
      <c r="B35" s="8" t="str">
        <f>VLOOKUP(A35,'Sets (lua data)'!$A$3:$C$9920,3,FALSE)</f>
        <v>The Ice Furnace</v>
      </c>
      <c r="C35" s="8" t="str">
        <f>VLOOKUP(A35,'Sets (lua data)'!$A$3:$C$9920,2,FALSE)</f>
        <v>Eisschmiede</v>
      </c>
      <c r="D35" t="s">
        <v>1420</v>
      </c>
      <c r="E35" s="3" t="str">
        <f>IF(ISNA(VLOOKUP(D35,'&lt;Constants&gt;'!$B$4:$C$44,2,FALSE)),"",VLOOKUP(D35,'&lt;Constants&gt;'!$B$4:$C$44,2,FALSE))</f>
        <v>Included in base game</v>
      </c>
    </row>
    <row r="36" spans="1:5" x14ac:dyDescent="0.25">
      <c r="A36" s="5">
        <v>54</v>
      </c>
      <c r="B36" s="8" t="str">
        <f>VLOOKUP(A36,'Sets (lua data)'!$A$3:$C$9920,3,FALSE)</f>
        <v>Ashen Grip</v>
      </c>
      <c r="C36" s="8" t="str">
        <f>VLOOKUP(A36,'Sets (lua data)'!$A$3:$C$9920,2,FALSE)</f>
        <v>Aschengriff</v>
      </c>
      <c r="D36" t="s">
        <v>1420</v>
      </c>
      <c r="E36" s="3" t="str">
        <f>IF(ISNA(VLOOKUP(D36,'&lt;Constants&gt;'!$B$4:$C$44,2,FALSE)),"",VLOOKUP(D36,'&lt;Constants&gt;'!$B$4:$C$44,2,FALSE))</f>
        <v>Included in base game</v>
      </c>
    </row>
    <row r="37" spans="1:5" x14ac:dyDescent="0.25">
      <c r="A37" s="11">
        <v>55</v>
      </c>
      <c r="B37" s="8" t="str">
        <f>VLOOKUP(A37,'Sets (lua data)'!$A$3:$C$9920,3,FALSE)</f>
        <v>Prayer Shawl</v>
      </c>
      <c r="C37" s="8" t="str">
        <f>VLOOKUP(A37,'Sets (lua data)'!$A$3:$C$9920,2,FALSE)</f>
        <v>Gebetstuch</v>
      </c>
      <c r="D37" t="s">
        <v>1420</v>
      </c>
      <c r="E37" s="3" t="str">
        <f>IF(ISNA(VLOOKUP(D37,'&lt;Constants&gt;'!$B$4:$C$44,2,FALSE)),"",VLOOKUP(D37,'&lt;Constants&gt;'!$B$4:$C$44,2,FALSE))</f>
        <v>Included in base game</v>
      </c>
    </row>
    <row r="38" spans="1:5" x14ac:dyDescent="0.25">
      <c r="A38" s="11">
        <v>56</v>
      </c>
      <c r="B38" s="8" t="str">
        <f>VLOOKUP(A38,'Sets (lua data)'!$A$3:$C$9920,3,FALSE)</f>
        <v>Stendarr\'s Embrace</v>
      </c>
      <c r="C38" s="8" t="str">
        <f>VLOOKUP(A38,'Sets (lua data)'!$A$3:$C$9920,2,FALSE)</f>
        <v>Stendarrs Umarmung</v>
      </c>
      <c r="D38" t="s">
        <v>1420</v>
      </c>
      <c r="E38" s="3" t="str">
        <f>IF(ISNA(VLOOKUP(D38,'&lt;Constants&gt;'!$B$4:$C$44,2,FALSE)),"",VLOOKUP(D38,'&lt;Constants&gt;'!$B$4:$C$44,2,FALSE))</f>
        <v>Included in base game</v>
      </c>
    </row>
    <row r="39" spans="1:5" x14ac:dyDescent="0.25">
      <c r="A39" s="11">
        <v>57</v>
      </c>
      <c r="B39" s="8" t="str">
        <f>VLOOKUP(A39,'Sets (lua data)'!$A$3:$C$9920,3,FALSE)</f>
        <v>Syrabane\'s Grip</v>
      </c>
      <c r="C39" s="8" t="str">
        <f>VLOOKUP(A39,'Sets (lua data)'!$A$3:$C$9920,2,FALSE)</f>
        <v>Syrabanns Griff</v>
      </c>
      <c r="D39" t="s">
        <v>1420</v>
      </c>
      <c r="E39" s="3" t="str">
        <f>IF(ISNA(VLOOKUP(D39,'&lt;Constants&gt;'!$B$4:$C$44,2,FALSE)),"",VLOOKUP(D39,'&lt;Constants&gt;'!$B$4:$C$44,2,FALSE))</f>
        <v>Included in base game</v>
      </c>
    </row>
    <row r="40" spans="1:5" x14ac:dyDescent="0.25">
      <c r="A40" s="11">
        <v>58</v>
      </c>
      <c r="B40" s="8" t="str">
        <f>VLOOKUP(A40,'Sets (lua data)'!$A$3:$C$9920,3,FALSE)</f>
        <v>Hide of the Werewolf</v>
      </c>
      <c r="C40" s="8" t="str">
        <f>VLOOKUP(A40,'Sets (lua data)'!$A$3:$C$9920,2,FALSE)</f>
        <v>Fell des Werwolfs</v>
      </c>
      <c r="D40" t="s">
        <v>1420</v>
      </c>
      <c r="E40" s="3" t="str">
        <f>IF(ISNA(VLOOKUP(D40,'&lt;Constants&gt;'!$B$4:$C$44,2,FALSE)),"",VLOOKUP(D40,'&lt;Constants&gt;'!$B$4:$C$44,2,FALSE))</f>
        <v>Included in base game</v>
      </c>
    </row>
    <row r="41" spans="1:5" x14ac:dyDescent="0.25">
      <c r="A41" s="11">
        <v>59</v>
      </c>
      <c r="B41" s="8" t="str">
        <f>VLOOKUP(A41,'Sets (lua data)'!$A$3:$C$9920,3,FALSE)</f>
        <v>Kyne\'s Kiss</v>
      </c>
      <c r="C41" s="8" t="str">
        <f>VLOOKUP(A41,'Sets (lua data)'!$A$3:$C$9920,2,FALSE)</f>
        <v>Kynes Kuss</v>
      </c>
      <c r="D41" t="s">
        <v>1420</v>
      </c>
      <c r="E41" s="3" t="str">
        <f>IF(ISNA(VLOOKUP(D41,'&lt;Constants&gt;'!$B$4:$C$44,2,FALSE)),"",VLOOKUP(D41,'&lt;Constants&gt;'!$B$4:$C$44,2,FALSE))</f>
        <v>Included in base game</v>
      </c>
    </row>
    <row r="42" spans="1:5" x14ac:dyDescent="0.25">
      <c r="A42" s="11">
        <v>60</v>
      </c>
      <c r="B42" s="8" t="str">
        <f>VLOOKUP(A42,'Sets (lua data)'!$A$3:$C$9920,3,FALSE)</f>
        <v>Darkstride</v>
      </c>
      <c r="C42" s="8" t="str">
        <f>VLOOKUP(A42,'Sets (lua data)'!$A$3:$C$9920,2,FALSE)</f>
        <v>Dunkelschritt</v>
      </c>
      <c r="D42" t="s">
        <v>1420</v>
      </c>
      <c r="E42" s="3" t="str">
        <f>IF(ISNA(VLOOKUP(D42,'&lt;Constants&gt;'!$B$4:$C$44,2,FALSE)),"",VLOOKUP(D42,'&lt;Constants&gt;'!$B$4:$C$44,2,FALSE))</f>
        <v>Included in base game</v>
      </c>
    </row>
    <row r="43" spans="1:5" x14ac:dyDescent="0.25">
      <c r="A43" s="11">
        <v>61</v>
      </c>
      <c r="B43" s="8" t="str">
        <f>VLOOKUP(A43,'Sets (lua data)'!$A$3:$C$9920,3,FALSE)</f>
        <v>Dreugh King Slayer</v>
      </c>
      <c r="C43" s="8" t="str">
        <f>VLOOKUP(A43,'Sets (lua data)'!$A$3:$C$9920,2,FALSE)</f>
        <v>Dreughkönigsschlächter</v>
      </c>
      <c r="D43" t="s">
        <v>1420</v>
      </c>
      <c r="E43" s="3" t="str">
        <f>IF(ISNA(VLOOKUP(D43,'&lt;Constants&gt;'!$B$4:$C$44,2,FALSE)),"",VLOOKUP(D43,'&lt;Constants&gt;'!$B$4:$C$44,2,FALSE))</f>
        <v>Included in base game</v>
      </c>
    </row>
    <row r="44" spans="1:5" x14ac:dyDescent="0.25">
      <c r="A44" s="11">
        <v>62</v>
      </c>
      <c r="B44" s="8" t="str">
        <f>VLOOKUP(A44,'Sets (lua data)'!$A$3:$C$9920,3,FALSE)</f>
        <v>Hatchling\'s Shell</v>
      </c>
      <c r="C44" s="8" t="str">
        <f>VLOOKUP(A44,'Sets (lua data)'!$A$3:$C$9920,2,FALSE)</f>
        <v>Schlüpflingspanzer</v>
      </c>
      <c r="D44" t="s">
        <v>1420</v>
      </c>
      <c r="E44" s="3" t="str">
        <f>IF(ISNA(VLOOKUP(D44,'&lt;Constants&gt;'!$B$4:$C$44,2,FALSE)),"",VLOOKUP(D44,'&lt;Constants&gt;'!$B$4:$C$44,2,FALSE))</f>
        <v>Included in base game</v>
      </c>
    </row>
    <row r="45" spans="1:5" x14ac:dyDescent="0.25">
      <c r="A45" s="11">
        <v>63</v>
      </c>
      <c r="B45" s="8" t="str">
        <f>VLOOKUP(A45,'Sets (lua data)'!$A$3:$C$9920,3,FALSE)</f>
        <v>The Juggernaut</v>
      </c>
      <c r="C45" s="8" t="str">
        <f>VLOOKUP(A45,'Sets (lua data)'!$A$3:$C$9920,2,FALSE)</f>
        <v>Koloss</v>
      </c>
      <c r="D45" t="s">
        <v>1420</v>
      </c>
      <c r="E45" s="3" t="str">
        <f>IF(ISNA(VLOOKUP(D45,'&lt;Constants&gt;'!$B$4:$C$44,2,FALSE)),"",VLOOKUP(D45,'&lt;Constants&gt;'!$B$4:$C$44,2,FALSE))</f>
        <v>Included in base game</v>
      </c>
    </row>
    <row r="46" spans="1:5" x14ac:dyDescent="0.25">
      <c r="A46" s="11">
        <v>64</v>
      </c>
      <c r="B46" s="8" t="str">
        <f>VLOOKUP(A46,'Sets (lua data)'!$A$3:$C$9920,3,FALSE)</f>
        <v>Shadow Dancer\'s Raiment</v>
      </c>
      <c r="C46" s="8" t="str">
        <f>VLOOKUP(A46,'Sets (lua data)'!$A$3:$C$9920,2,FALSE)</f>
        <v>Kleidung des Schattentänzers</v>
      </c>
      <c r="D46" t="s">
        <v>1420</v>
      </c>
      <c r="E46" s="3" t="str">
        <f>IF(ISNA(VLOOKUP(D46,'&lt;Constants&gt;'!$B$4:$C$44,2,FALSE)),"",VLOOKUP(D46,'&lt;Constants&gt;'!$B$4:$C$44,2,FALSE))</f>
        <v>Included in base game</v>
      </c>
    </row>
    <row r="47" spans="1:5" x14ac:dyDescent="0.25">
      <c r="A47" s="11">
        <v>65</v>
      </c>
      <c r="B47" s="8" t="str">
        <f>VLOOKUP(A47,'Sets (lua data)'!$A$3:$C$9920,3,FALSE)</f>
        <v>Bloodthorn\'s Touch</v>
      </c>
      <c r="C47" s="8" t="str">
        <f>VLOOKUP(A47,'Sets (lua data)'!$A$3:$C$9920,2,FALSE)</f>
        <v>Spur eines Blutdorns</v>
      </c>
      <c r="D47" t="s">
        <v>1420</v>
      </c>
      <c r="E47" s="3" t="str">
        <f>IF(ISNA(VLOOKUP(D47,'&lt;Constants&gt;'!$B$4:$C$44,2,FALSE)),"",VLOOKUP(D47,'&lt;Constants&gt;'!$B$4:$C$44,2,FALSE))</f>
        <v>Included in base game</v>
      </c>
    </row>
    <row r="48" spans="1:5" x14ac:dyDescent="0.25">
      <c r="A48" s="11">
        <v>66</v>
      </c>
      <c r="B48" s="8" t="str">
        <f>VLOOKUP(A48,'Sets (lua data)'!$A$3:$C$9920,3,FALSE)</f>
        <v>Robes of the Hist</v>
      </c>
      <c r="C48" s="8" t="str">
        <f>VLOOKUP(A48,'Sets (lua data)'!$A$3:$C$9920,2,FALSE)</f>
        <v>Roben des Hist</v>
      </c>
      <c r="D48" t="s">
        <v>1420</v>
      </c>
      <c r="E48" s="3" t="str">
        <f>IF(ISNA(VLOOKUP(D48,'&lt;Constants&gt;'!$B$4:$C$44,2,FALSE)),"",VLOOKUP(D48,'&lt;Constants&gt;'!$B$4:$C$44,2,FALSE))</f>
        <v>Included in base game</v>
      </c>
    </row>
    <row r="49" spans="1:5" x14ac:dyDescent="0.25">
      <c r="A49" s="11">
        <v>67</v>
      </c>
      <c r="B49" s="8" t="str">
        <f>VLOOKUP(A49,'Sets (lua data)'!$A$3:$C$9920,3,FALSE)</f>
        <v>Shadow Walker</v>
      </c>
      <c r="C49" s="8" t="str">
        <f>VLOOKUP(A49,'Sets (lua data)'!$A$3:$C$9920,2,FALSE)</f>
        <v>Schattengänger</v>
      </c>
      <c r="D49" t="s">
        <v>1420</v>
      </c>
      <c r="E49" s="3" t="str">
        <f>IF(ISNA(VLOOKUP(D49,'&lt;Constants&gt;'!$B$4:$C$44,2,FALSE)),"",VLOOKUP(D49,'&lt;Constants&gt;'!$B$4:$C$44,2,FALSE))</f>
        <v>Included in base game</v>
      </c>
    </row>
    <row r="50" spans="1:5" x14ac:dyDescent="0.25">
      <c r="A50" s="11">
        <v>68</v>
      </c>
      <c r="B50" s="8" t="str">
        <f>VLOOKUP(A50,'Sets (lua data)'!$A$3:$C$9920,3,FALSE)</f>
        <v>Stygian</v>
      </c>
      <c r="C50" s="8" t="str">
        <f>VLOOKUP(A50,'Sets (lua data)'!$A$3:$C$9920,2,FALSE)</f>
        <v>Stygier</v>
      </c>
      <c r="D50" t="s">
        <v>1420</v>
      </c>
      <c r="E50" s="3" t="str">
        <f>IF(ISNA(VLOOKUP(D50,'&lt;Constants&gt;'!$B$4:$C$44,2,FALSE)),"",VLOOKUP(D50,'&lt;Constants&gt;'!$B$4:$C$44,2,FALSE))</f>
        <v>Included in base game</v>
      </c>
    </row>
    <row r="51" spans="1:5" x14ac:dyDescent="0.25">
      <c r="A51" s="11">
        <v>69</v>
      </c>
      <c r="B51" s="8" t="str">
        <f>VLOOKUP(A51,'Sets (lua data)'!$A$3:$C$9920,3,FALSE)</f>
        <v>Ranger\'s Gait</v>
      </c>
      <c r="C51" s="8" t="str">
        <f>VLOOKUP(A51,'Sets (lua data)'!$A$3:$C$9920,2,FALSE)</f>
        <v>Laufstil des Waldläufers</v>
      </c>
      <c r="D51" t="s">
        <v>1420</v>
      </c>
      <c r="E51" s="3" t="str">
        <f>IF(ISNA(VLOOKUP(D51,'&lt;Constants&gt;'!$B$4:$C$44,2,FALSE)),"",VLOOKUP(D51,'&lt;Constants&gt;'!$B$4:$C$44,2,FALSE))</f>
        <v>Included in base game</v>
      </c>
    </row>
    <row r="52" spans="1:5" x14ac:dyDescent="0.25">
      <c r="A52" s="11">
        <v>70</v>
      </c>
      <c r="B52" s="8" t="str">
        <f>VLOOKUP(A52,'Sets (lua data)'!$A$3:$C$9920,3,FALSE)</f>
        <v>Seventh Legion Brute</v>
      </c>
      <c r="C52" s="8" t="str">
        <f>VLOOKUP(A52,'Sets (lua data)'!$A$3:$C$9920,2,FALSE)</f>
        <v>Rohling der siebten Legion</v>
      </c>
      <c r="D52" t="s">
        <v>1420</v>
      </c>
      <c r="E52" s="3" t="str">
        <f>IF(ISNA(VLOOKUP(D52,'&lt;Constants&gt;'!$B$4:$C$44,2,FALSE)),"",VLOOKUP(D52,'&lt;Constants&gt;'!$B$4:$C$44,2,FALSE))</f>
        <v>Included in base game</v>
      </c>
    </row>
    <row r="53" spans="1:5" x14ac:dyDescent="0.25">
      <c r="A53" s="11">
        <v>71</v>
      </c>
      <c r="B53" s="8" t="str">
        <f>VLOOKUP(A53,'Sets (lua data)'!$A$3:$C$9920,3,FALSE)</f>
        <v>Durok\'s Bane</v>
      </c>
      <c r="C53" s="8" t="str">
        <f>VLOOKUP(A53,'Sets (lua data)'!$A$3:$C$9920,2,FALSE)</f>
        <v>Duroks Fluch</v>
      </c>
      <c r="D53" t="s">
        <v>1420</v>
      </c>
      <c r="E53" s="3" t="str">
        <f>IF(ISNA(VLOOKUP(D53,'&lt;Constants&gt;'!$B$4:$C$44,2,FALSE)),"",VLOOKUP(D53,'&lt;Constants&gt;'!$B$4:$C$44,2,FALSE))</f>
        <v>Included in base game</v>
      </c>
    </row>
    <row r="54" spans="1:5" x14ac:dyDescent="0.25">
      <c r="A54" s="11">
        <v>72</v>
      </c>
      <c r="B54" s="8" t="str">
        <f>VLOOKUP(A54,'Sets (lua data)'!$A$3:$C$9920,3,FALSE)</f>
        <v>Nikulas\' Heavy Armor</v>
      </c>
      <c r="C54" s="8" t="str">
        <f>VLOOKUP(A54,'Sets (lua data)'!$A$3:$C$9920,2,FALSE)</f>
        <v>Nikulas' schwere Rüstung</v>
      </c>
      <c r="D54" t="s">
        <v>1420</v>
      </c>
      <c r="E54" s="3" t="str">
        <f>IF(ISNA(VLOOKUP(D54,'&lt;Constants&gt;'!$B$4:$C$44,2,FALSE)),"",VLOOKUP(D54,'&lt;Constants&gt;'!$B$4:$C$44,2,FALSE))</f>
        <v>Included in base game</v>
      </c>
    </row>
    <row r="55" spans="1:5" x14ac:dyDescent="0.25">
      <c r="A55" s="5">
        <v>73</v>
      </c>
      <c r="B55" s="8" t="str">
        <f>VLOOKUP(A55,'Sets (lua data)'!$A$3:$C$9920,3,FALSE)</f>
        <v>Oblivion\'s Foe</v>
      </c>
      <c r="C55" s="8" t="str">
        <f>VLOOKUP(A55,'Sets (lua data)'!$A$3:$C$9920,2,FALSE)</f>
        <v>Erinnerung</v>
      </c>
      <c r="D55" t="s">
        <v>1420</v>
      </c>
      <c r="E55" s="3" t="str">
        <f>IF(ISNA(VLOOKUP(D55,'&lt;Constants&gt;'!$B$4:$C$44,2,FALSE)),"",VLOOKUP(D55,'&lt;Constants&gt;'!$B$4:$C$44,2,FALSE))</f>
        <v>Included in base game</v>
      </c>
    </row>
    <row r="56" spans="1:5" x14ac:dyDescent="0.25">
      <c r="A56" s="5">
        <v>74</v>
      </c>
      <c r="B56" s="8" t="str">
        <f>VLOOKUP(A56,'Sets (lua data)'!$A$3:$C$9920,3,FALSE)</f>
        <v>Spectre\'s Eye</v>
      </c>
      <c r="C56" s="8" t="str">
        <f>VLOOKUP(A56,'Sets (lua data)'!$A$3:$C$9920,2,FALSE)</f>
        <v>Schemenauge</v>
      </c>
      <c r="D56" t="s">
        <v>1420</v>
      </c>
      <c r="E56" s="3" t="str">
        <f>IF(ISNA(VLOOKUP(D56,'&lt;Constants&gt;'!$B$4:$C$44,2,FALSE)),"",VLOOKUP(D56,'&lt;Constants&gt;'!$B$4:$C$44,2,FALSE))</f>
        <v>Included in base game</v>
      </c>
    </row>
    <row r="57" spans="1:5" x14ac:dyDescent="0.25">
      <c r="A57" s="5">
        <v>75</v>
      </c>
      <c r="B57" s="8" t="str">
        <f>VLOOKUP(A57,'Sets (lua data)'!$A$3:$C$9920,3,FALSE)</f>
        <v>Torug\'s Pact</v>
      </c>
      <c r="C57" s="8" t="str">
        <f>VLOOKUP(A57,'Sets (lua data)'!$A$3:$C$9920,2,FALSE)</f>
        <v>Torugs Pakt</v>
      </c>
      <c r="D57" t="s">
        <v>1420</v>
      </c>
      <c r="E57" s="3" t="str">
        <f>IF(ISNA(VLOOKUP(D57,'&lt;Constants&gt;'!$B$4:$C$44,2,FALSE)),"",VLOOKUP(D57,'&lt;Constants&gt;'!$B$4:$C$44,2,FALSE))</f>
        <v>Included in base game</v>
      </c>
    </row>
    <row r="58" spans="1:5" x14ac:dyDescent="0.25">
      <c r="A58" s="11">
        <v>76</v>
      </c>
      <c r="B58" s="8" t="str">
        <f>VLOOKUP(A58,'Sets (lua data)'!$A$3:$C$9920,3,FALSE)</f>
        <v>Robes of Alteration Mastery</v>
      </c>
      <c r="C58" s="8" t="str">
        <f>VLOOKUP(A58,'Sets (lua data)'!$A$3:$C$9920,2,FALSE)</f>
        <v>Roben der Veränderungsbeherrschung</v>
      </c>
      <c r="D58" t="s">
        <v>1420</v>
      </c>
      <c r="E58" s="3" t="str">
        <f>IF(ISNA(VLOOKUP(D58,'&lt;Constants&gt;'!$B$4:$C$44,2,FALSE)),"",VLOOKUP(D58,'&lt;Constants&gt;'!$B$4:$C$44,2,FALSE))</f>
        <v>Included in base game</v>
      </c>
    </row>
    <row r="59" spans="1:5" x14ac:dyDescent="0.25">
      <c r="A59" s="11">
        <v>77</v>
      </c>
      <c r="B59" s="8" t="str">
        <f>VLOOKUP(A59,'Sets (lua data)'!$A$3:$C$9920,3,FALSE)</f>
        <v>Crusader</v>
      </c>
      <c r="C59" s="8" t="str">
        <f>VLOOKUP(A59,'Sets (lua data)'!$A$3:$C$9920,2,FALSE)</f>
        <v>Glaubenskrieger</v>
      </c>
      <c r="D59" t="s">
        <v>1420</v>
      </c>
      <c r="E59" s="3" t="str">
        <f>IF(ISNA(VLOOKUP(D59,'&lt;Constants&gt;'!$B$4:$C$44,2,FALSE)),"",VLOOKUP(D59,'&lt;Constants&gt;'!$B$4:$C$44,2,FALSE))</f>
        <v>Included in base game</v>
      </c>
    </row>
    <row r="60" spans="1:5" x14ac:dyDescent="0.25">
      <c r="A60" s="5">
        <v>78</v>
      </c>
      <c r="B60" s="8" t="str">
        <f>VLOOKUP(A60,'Sets (lua data)'!$A$3:$C$9920,3,FALSE)</f>
        <v>Hist Bark</v>
      </c>
      <c r="C60" s="8" t="str">
        <f>VLOOKUP(A60,'Sets (lua data)'!$A$3:$C$9920,2,FALSE)</f>
        <v>Histrinde</v>
      </c>
      <c r="D60" t="s">
        <v>1420</v>
      </c>
      <c r="E60" s="3" t="str">
        <f>IF(ISNA(VLOOKUP(D60,'&lt;Constants&gt;'!$B$4:$C$44,2,FALSE)),"",VLOOKUP(D60,'&lt;Constants&gt;'!$B$4:$C$44,2,FALSE))</f>
        <v>Included in base game</v>
      </c>
    </row>
    <row r="61" spans="1:5" x14ac:dyDescent="0.25">
      <c r="A61" s="5">
        <v>79</v>
      </c>
      <c r="B61" s="8" t="str">
        <f>VLOOKUP(A61,'Sets (lua data)'!$A$3:$C$9920,3,FALSE)</f>
        <v>Willow\'s Path</v>
      </c>
      <c r="C61" s="8" t="str">
        <f>VLOOKUP(A61,'Sets (lua data)'!$A$3:$C$9920,2,FALSE)</f>
        <v>Weidenpfad</v>
      </c>
      <c r="D61" t="s">
        <v>1420</v>
      </c>
      <c r="E61" s="3" t="str">
        <f>IF(ISNA(VLOOKUP(D61,'&lt;Constants&gt;'!$B$4:$C$44,2,FALSE)),"",VLOOKUP(D61,'&lt;Constants&gt;'!$B$4:$C$44,2,FALSE))</f>
        <v>Included in base game</v>
      </c>
    </row>
    <row r="62" spans="1:5" x14ac:dyDescent="0.25">
      <c r="A62" s="5">
        <v>80</v>
      </c>
      <c r="B62" s="8" t="str">
        <f>VLOOKUP(A62,'Sets (lua data)'!$A$3:$C$9920,3,FALSE)</f>
        <v>Hunding\'s Rage</v>
      </c>
      <c r="C62" s="8" t="str">
        <f>VLOOKUP(A62,'Sets (lua data)'!$A$3:$C$9920,2,FALSE)</f>
        <v>Hundings Zorn</v>
      </c>
      <c r="D62" t="s">
        <v>1420</v>
      </c>
      <c r="E62" s="3" t="str">
        <f>IF(ISNA(VLOOKUP(D62,'&lt;Constants&gt;'!$B$4:$C$44,2,FALSE)),"",VLOOKUP(D62,'&lt;Constants&gt;'!$B$4:$C$44,2,FALSE))</f>
        <v>Included in base game</v>
      </c>
    </row>
    <row r="63" spans="1:5" x14ac:dyDescent="0.25">
      <c r="A63" s="5">
        <v>81</v>
      </c>
      <c r="B63" s="8" t="str">
        <f>VLOOKUP(A63,'Sets (lua data)'!$A$3:$C$9920,3,FALSE)</f>
        <v>Song of Lamae</v>
      </c>
      <c r="C63" s="8" t="str">
        <f>VLOOKUP(A63,'Sets (lua data)'!$A$3:$C$9920,2,FALSE)</f>
        <v>Lied der Lamien</v>
      </c>
      <c r="D63" t="s">
        <v>1420</v>
      </c>
      <c r="E63" s="3" t="str">
        <f>IF(ISNA(VLOOKUP(D63,'&lt;Constants&gt;'!$B$4:$C$44,2,FALSE)),"",VLOOKUP(D63,'&lt;Constants&gt;'!$B$4:$C$44,2,FALSE))</f>
        <v>Included in base game</v>
      </c>
    </row>
    <row r="64" spans="1:5" x14ac:dyDescent="0.25">
      <c r="A64" s="5">
        <v>82</v>
      </c>
      <c r="B64" s="8" t="str">
        <f>VLOOKUP(A64,'Sets (lua data)'!$A$3:$C$9920,3,FALSE)</f>
        <v>Alessia\'s Bulwark</v>
      </c>
      <c r="C64" s="8" t="str">
        <f>VLOOKUP(A64,'Sets (lua data)'!$A$3:$C$9920,2,FALSE)</f>
        <v>Alessias Bollwerk</v>
      </c>
      <c r="D64" t="s">
        <v>1420</v>
      </c>
      <c r="E64" s="3" t="str">
        <f>IF(ISNA(VLOOKUP(D64,'&lt;Constants&gt;'!$B$4:$C$44,2,FALSE)),"",VLOOKUP(D64,'&lt;Constants&gt;'!$B$4:$C$44,2,FALSE))</f>
        <v>Included in base game</v>
      </c>
    </row>
    <row r="65" spans="1:5" x14ac:dyDescent="0.25">
      <c r="A65" s="11">
        <v>83</v>
      </c>
      <c r="B65" s="8" t="str">
        <f>VLOOKUP(A65,'Sets (lua data)'!$A$3:$C$9920,3,FALSE)</f>
        <v>Elf Bane</v>
      </c>
      <c r="C65" s="8" t="str">
        <f>VLOOKUP(A65,'Sets (lua data)'!$A$3:$C$9920,2,FALSE)</f>
        <v>Elfenfluch</v>
      </c>
      <c r="D65" t="s">
        <v>1420</v>
      </c>
      <c r="E65" s="3" t="str">
        <f>IF(ISNA(VLOOKUP(D65,'&lt;Constants&gt;'!$B$4:$C$44,2,FALSE)),"",VLOOKUP(D65,'&lt;Constants&gt;'!$B$4:$C$44,2,FALSE))</f>
        <v>Included in base game</v>
      </c>
    </row>
    <row r="66" spans="1:5" x14ac:dyDescent="0.25">
      <c r="A66" s="5">
        <v>84</v>
      </c>
      <c r="B66" s="8" t="str">
        <f>VLOOKUP(A66,'Sets (lua data)'!$A$3:$C$9920,3,FALSE)</f>
        <v>Orgnum\'s Scales</v>
      </c>
      <c r="C66" s="8" t="str">
        <f>VLOOKUP(A66,'Sets (lua data)'!$A$3:$C$9920,2,FALSE)</f>
        <v>Orgnums Schuppen</v>
      </c>
      <c r="D66" t="s">
        <v>1420</v>
      </c>
      <c r="E66" s="3" t="str">
        <f>IF(ISNA(VLOOKUP(D66,'&lt;Constants&gt;'!$B$4:$C$44,2,FALSE)),"",VLOOKUP(D66,'&lt;Constants&gt;'!$B$4:$C$44,2,FALSE))</f>
        <v>Included in base game</v>
      </c>
    </row>
    <row r="67" spans="1:5" x14ac:dyDescent="0.25">
      <c r="A67" s="11">
        <v>85</v>
      </c>
      <c r="B67" s="8" t="str">
        <f>VLOOKUP(A67,'Sets (lua data)'!$A$3:$C$9920,3,FALSE)</f>
        <v>Almalexia\'s Mercy</v>
      </c>
      <c r="C67" s="8" t="str">
        <f>VLOOKUP(A67,'Sets (lua data)'!$A$3:$C$9920,2,FALSE)</f>
        <v>Almalexias Gnade</v>
      </c>
      <c r="D67" t="s">
        <v>1420</v>
      </c>
      <c r="E67" s="3" t="str">
        <f>IF(ISNA(VLOOKUP(D67,'&lt;Constants&gt;'!$B$4:$C$44,2,FALSE)),"",VLOOKUP(D67,'&lt;Constants&gt;'!$B$4:$C$44,2,FALSE))</f>
        <v>Included in base game</v>
      </c>
    </row>
    <row r="68" spans="1:5" x14ac:dyDescent="0.25">
      <c r="A68" s="11">
        <v>86</v>
      </c>
      <c r="B68" s="8" t="str">
        <f>VLOOKUP(A68,'Sets (lua data)'!$A$3:$C$9920,3,FALSE)</f>
        <v>Queen\'s Elegance</v>
      </c>
      <c r="C68" s="8" t="str">
        <f>VLOOKUP(A68,'Sets (lua data)'!$A$3:$C$9920,2,FALSE)</f>
        <v>Eleganz der Königin</v>
      </c>
      <c r="D68" t="s">
        <v>1420</v>
      </c>
      <c r="E68" s="3" t="str">
        <f>IF(ISNA(VLOOKUP(D68,'&lt;Constants&gt;'!$B$4:$C$44,2,FALSE)),"",VLOOKUP(D68,'&lt;Constants&gt;'!$B$4:$C$44,2,FALSE))</f>
        <v>Included in base game</v>
      </c>
    </row>
    <row r="69" spans="1:5" x14ac:dyDescent="0.25">
      <c r="A69" s="5">
        <v>87</v>
      </c>
      <c r="B69" s="8" t="str">
        <f>VLOOKUP(A69,'Sets (lua data)'!$A$3:$C$9920,3,FALSE)</f>
        <v>Eyes of Mara</v>
      </c>
      <c r="C69" s="8" t="str">
        <f>VLOOKUP(A69,'Sets (lua data)'!$A$3:$C$9920,2,FALSE)</f>
        <v>Augen von Mara</v>
      </c>
      <c r="D69" t="s">
        <v>1420</v>
      </c>
      <c r="E69" s="3" t="str">
        <f>IF(ISNA(VLOOKUP(D69,'&lt;Constants&gt;'!$B$4:$C$44,2,FALSE)),"",VLOOKUP(D69,'&lt;Constants&gt;'!$B$4:$C$44,2,FALSE))</f>
        <v>Included in base game</v>
      </c>
    </row>
    <row r="70" spans="1:5" x14ac:dyDescent="0.25">
      <c r="A70" s="11">
        <v>88</v>
      </c>
      <c r="B70" s="8" t="str">
        <f>VLOOKUP(A70,'Sets (lua data)'!$A$3:$C$9920,3,FALSE)</f>
        <v>Robes of Destruction Mastery</v>
      </c>
      <c r="C70" s="8" t="str">
        <f>VLOOKUP(A70,'Sets (lua data)'!$A$3:$C$9920,2,FALSE)</f>
        <v>Roben der Zerstörungsbeherrschung</v>
      </c>
      <c r="D70" t="s">
        <v>1420</v>
      </c>
      <c r="E70" s="3" t="str">
        <f>IF(ISNA(VLOOKUP(D70,'&lt;Constants&gt;'!$B$4:$C$44,2,FALSE)),"",VLOOKUP(D70,'&lt;Constants&gt;'!$B$4:$C$44,2,FALSE))</f>
        <v>Included in base game</v>
      </c>
    </row>
    <row r="71" spans="1:5" x14ac:dyDescent="0.25">
      <c r="A71" s="11">
        <v>89</v>
      </c>
      <c r="B71" s="8" t="str">
        <f>VLOOKUP(A71,'Sets (lua data)'!$A$3:$C$9920,3,FALSE)</f>
        <v>Sentry</v>
      </c>
      <c r="C71" s="8" t="str">
        <f>VLOOKUP(A71,'Sets (lua data)'!$A$3:$C$9920,2,FALSE)</f>
        <v>Wachposten</v>
      </c>
      <c r="D71" t="s">
        <v>1420</v>
      </c>
      <c r="E71" s="3" t="str">
        <f>IF(ISNA(VLOOKUP(D71,'&lt;Constants&gt;'!$B$4:$C$44,2,FALSE)),"",VLOOKUP(D71,'&lt;Constants&gt;'!$B$4:$C$44,2,FALSE))</f>
        <v>Included in base game</v>
      </c>
    </row>
    <row r="72" spans="1:5" x14ac:dyDescent="0.25">
      <c r="A72" s="11">
        <v>90</v>
      </c>
      <c r="B72" s="8" t="str">
        <f>VLOOKUP(A72,'Sets (lua data)'!$A$3:$C$9920,3,FALSE)</f>
        <v>Senche\'s Bite</v>
      </c>
      <c r="C72" s="8" t="str">
        <f>VLOOKUP(A72,'Sets (lua data)'!$A$3:$C$9920,2,FALSE)</f>
        <v>Biss des Senche</v>
      </c>
      <c r="D72" t="s">
        <v>1420</v>
      </c>
      <c r="E72" s="3" t="str">
        <f>IF(ISNA(VLOOKUP(D72,'&lt;Constants&gt;'!$B$4:$C$44,2,FALSE)),"",VLOOKUP(D72,'&lt;Constants&gt;'!$B$4:$C$44,2,FALSE))</f>
        <v>Included in base game</v>
      </c>
    </row>
    <row r="73" spans="1:5" x14ac:dyDescent="0.25">
      <c r="A73" s="11">
        <v>91</v>
      </c>
      <c r="B73" s="8" t="str">
        <f>VLOOKUP(A73,'Sets (lua data)'!$A$3:$C$9920,3,FALSE)</f>
        <v>Oblivion\'s Edge</v>
      </c>
      <c r="C73" s="8" t="str">
        <f>VLOOKUP(A73,'Sets (lua data)'!$A$3:$C$9920,2,FALSE)</f>
        <v>Vorteil des Vergessens</v>
      </c>
      <c r="D73" t="s">
        <v>1420</v>
      </c>
      <c r="E73" s="3" t="str">
        <f>IF(ISNA(VLOOKUP(D73,'&lt;Constants&gt;'!$B$4:$C$44,2,FALSE)),"",VLOOKUP(D73,'&lt;Constants&gt;'!$B$4:$C$44,2,FALSE))</f>
        <v>Included in base game</v>
      </c>
    </row>
    <row r="74" spans="1:5" x14ac:dyDescent="0.25">
      <c r="A74" s="5">
        <v>92</v>
      </c>
      <c r="B74" s="8" t="str">
        <f>VLOOKUP(A74,'Sets (lua data)'!$A$3:$C$9920,3,FALSE)</f>
        <v>Kagrenac\'s Hope</v>
      </c>
      <c r="C74" s="8" t="str">
        <f>VLOOKUP(A74,'Sets (lua data)'!$A$3:$C$9920,2,FALSE)</f>
        <v>Kagrenacs Hoffnung</v>
      </c>
      <c r="D74" t="s">
        <v>1420</v>
      </c>
      <c r="E74" s="3" t="str">
        <f>IF(ISNA(VLOOKUP(D74,'&lt;Constants&gt;'!$B$4:$C$44,2,FALSE)),"",VLOOKUP(D74,'&lt;Constants&gt;'!$B$4:$C$44,2,FALSE))</f>
        <v>Included in base game</v>
      </c>
    </row>
    <row r="75" spans="1:5" x14ac:dyDescent="0.25">
      <c r="A75" s="11">
        <v>93</v>
      </c>
      <c r="B75" s="8" t="str">
        <f>VLOOKUP(A75,'Sets (lua data)'!$A$3:$C$9920,3,FALSE)</f>
        <v>Storm Knight\'s Plate</v>
      </c>
      <c r="C75" s="8" t="str">
        <f>VLOOKUP(A75,'Sets (lua data)'!$A$3:$C$9920,2,FALSE)</f>
        <v>Wut des Sturmritters</v>
      </c>
      <c r="D75" t="s">
        <v>1420</v>
      </c>
      <c r="E75" s="3" t="str">
        <f>IF(ISNA(VLOOKUP(D75,'&lt;Constants&gt;'!$B$4:$C$44,2,FALSE)),"",VLOOKUP(D75,'&lt;Constants&gt;'!$B$4:$C$44,2,FALSE))</f>
        <v>Included in base game</v>
      </c>
    </row>
    <row r="76" spans="1:5" x14ac:dyDescent="0.25">
      <c r="A76" s="11">
        <v>94</v>
      </c>
      <c r="B76" s="8" t="str">
        <f>VLOOKUP(A76,'Sets (lua data)'!$A$3:$C$9920,3,FALSE)</f>
        <v>Meridia\'s Blessed Armor</v>
      </c>
      <c r="C76" s="8" t="str">
        <f>VLOOKUP(A76,'Sets (lua data)'!$A$3:$C$9920,2,FALSE)</f>
        <v>Meridias gesegnete Rüstung</v>
      </c>
      <c r="D76" t="s">
        <v>1420</v>
      </c>
      <c r="E76" s="3" t="str">
        <f>IF(ISNA(VLOOKUP(D76,'&lt;Constants&gt;'!$B$4:$C$44,2,FALSE)),"",VLOOKUP(D76,'&lt;Constants&gt;'!$B$4:$C$44,2,FALSE))</f>
        <v>Included in base game</v>
      </c>
    </row>
    <row r="77" spans="1:5" x14ac:dyDescent="0.25">
      <c r="A77" s="5">
        <v>95</v>
      </c>
      <c r="B77" s="8" t="str">
        <f>VLOOKUP(A77,'Sets (lua data)'!$A$3:$C$9920,3,FALSE)</f>
        <v>Shalidor\'s Curse</v>
      </c>
      <c r="C77" s="8" t="str">
        <f>VLOOKUP(A77,'Sets (lua data)'!$A$3:$C$9920,2,FALSE)</f>
        <v>Shalidors Fluch</v>
      </c>
      <c r="D77" t="s">
        <v>1420</v>
      </c>
      <c r="E77" s="3" t="str">
        <f>IF(ISNA(VLOOKUP(D77,'&lt;Constants&gt;'!$B$4:$C$44,2,FALSE)),"",VLOOKUP(D77,'&lt;Constants&gt;'!$B$4:$C$44,2,FALSE))</f>
        <v>Included in base game</v>
      </c>
    </row>
    <row r="78" spans="1:5" x14ac:dyDescent="0.25">
      <c r="A78" s="11">
        <v>96</v>
      </c>
      <c r="B78" s="8" t="str">
        <f>VLOOKUP(A78,'Sets (lua data)'!$A$3:$C$9920,3,FALSE)</f>
        <v>Armor of Truth</v>
      </c>
      <c r="C78" s="8" t="str">
        <f>VLOOKUP(A78,'Sets (lua data)'!$A$3:$C$9920,2,FALSE)</f>
        <v>Rüstung der Wahrheit</v>
      </c>
      <c r="D78" t="s">
        <v>1420</v>
      </c>
      <c r="E78" s="3" t="str">
        <f>IF(ISNA(VLOOKUP(D78,'&lt;Constants&gt;'!$B$4:$C$44,2,FALSE)),"",VLOOKUP(D78,'&lt;Constants&gt;'!$B$4:$C$44,2,FALSE))</f>
        <v>Included in base game</v>
      </c>
    </row>
    <row r="79" spans="1:5" x14ac:dyDescent="0.25">
      <c r="A79" s="11">
        <v>97</v>
      </c>
      <c r="B79" s="8" t="str">
        <f>VLOOKUP(A79,'Sets (lua data)'!$A$3:$C$9920,3,FALSE)</f>
        <v>The Arch-Mage</v>
      </c>
      <c r="C79" s="8" t="str">
        <f>VLOOKUP(A79,'Sets (lua data)'!$A$3:$C$9920,2,FALSE)</f>
        <v>Erzmagier</v>
      </c>
      <c r="D79" t="s">
        <v>1420</v>
      </c>
      <c r="E79" s="3" t="str">
        <f>IF(ISNA(VLOOKUP(D79,'&lt;Constants&gt;'!$B$4:$C$44,2,FALSE)),"",VLOOKUP(D79,'&lt;Constants&gt;'!$B$4:$C$44,2,FALSE))</f>
        <v>Included in base game</v>
      </c>
    </row>
    <row r="80" spans="1:5" x14ac:dyDescent="0.25">
      <c r="A80" s="11">
        <v>98</v>
      </c>
      <c r="B80" s="8" t="str">
        <f>VLOOKUP(A80,'Sets (lua data)'!$A$3:$C$9920,3,FALSE)</f>
        <v>Necropotence</v>
      </c>
      <c r="C80" s="8" t="str">
        <f>VLOOKUP(A80,'Sets (lua data)'!$A$3:$C$9920,2,FALSE)</f>
        <v>Nekropotenz</v>
      </c>
      <c r="D80" t="s">
        <v>1420</v>
      </c>
      <c r="E80" s="3" t="str">
        <f>IF(ISNA(VLOOKUP(D80,'&lt;Constants&gt;'!$B$4:$C$44,2,FALSE)),"",VLOOKUP(D80,'&lt;Constants&gt;'!$B$4:$C$44,2,FALSE))</f>
        <v>Included in base game</v>
      </c>
    </row>
    <row r="81" spans="1:5" x14ac:dyDescent="0.25">
      <c r="A81" s="11">
        <v>99</v>
      </c>
      <c r="B81" s="8" t="str">
        <f>VLOOKUP(A81,'Sets (lua data)'!$A$3:$C$9920,3,FALSE)</f>
        <v>Salvation</v>
      </c>
      <c r="C81" s="8" t="str">
        <f>VLOOKUP(A81,'Sets (lua data)'!$A$3:$C$9920,2,FALSE)</f>
        <v>Erlösung</v>
      </c>
      <c r="D81" t="s">
        <v>1420</v>
      </c>
      <c r="E81" s="3" t="str">
        <f>IF(ISNA(VLOOKUP(D81,'&lt;Constants&gt;'!$B$4:$C$44,2,FALSE)),"",VLOOKUP(D81,'&lt;Constants&gt;'!$B$4:$C$44,2,FALSE))</f>
        <v>Included in base game</v>
      </c>
    </row>
    <row r="82" spans="1:5" x14ac:dyDescent="0.25">
      <c r="A82" s="11">
        <v>100</v>
      </c>
      <c r="B82" s="8" t="str">
        <f>VLOOKUP(A82,'Sets (lua data)'!$A$3:$C$9920,3,FALSE)</f>
        <v>Hawk\'s Eye</v>
      </c>
      <c r="C82" s="8" t="str">
        <f>VLOOKUP(A82,'Sets (lua data)'!$A$3:$C$9920,2,FALSE)</f>
        <v>Falkenauge</v>
      </c>
      <c r="D82" t="s">
        <v>1420</v>
      </c>
      <c r="E82" s="3" t="str">
        <f>IF(ISNA(VLOOKUP(D82,'&lt;Constants&gt;'!$B$4:$C$44,2,FALSE)),"",VLOOKUP(D82,'&lt;Constants&gt;'!$B$4:$C$44,2,FALSE))</f>
        <v>Included in base game</v>
      </c>
    </row>
    <row r="83" spans="1:5" x14ac:dyDescent="0.25">
      <c r="A83" s="11">
        <v>101</v>
      </c>
      <c r="B83" s="8" t="str">
        <f>VLOOKUP(A83,'Sets (lua data)'!$A$3:$C$9920,3,FALSE)</f>
        <v>Affliction</v>
      </c>
      <c r="C83" s="8" t="str">
        <f>VLOOKUP(A83,'Sets (lua data)'!$A$3:$C$9920,2,FALSE)</f>
        <v>Elend (Befallen)</v>
      </c>
      <c r="D83" t="s">
        <v>1420</v>
      </c>
      <c r="E83" s="3" t="str">
        <f>IF(ISNA(VLOOKUP(D83,'&lt;Constants&gt;'!$B$4:$C$44,2,FALSE)),"",VLOOKUP(D83,'&lt;Constants&gt;'!$B$4:$C$44,2,FALSE))</f>
        <v>Included in base game</v>
      </c>
    </row>
    <row r="84" spans="1:5" x14ac:dyDescent="0.25">
      <c r="A84" s="11">
        <v>102</v>
      </c>
      <c r="B84" s="8" t="str">
        <f>VLOOKUP(A84,'Sets (lua data)'!$A$3:$C$9920,3,FALSE)</f>
        <v>Duneripper\'s Scales</v>
      </c>
      <c r="C84" s="8" t="str">
        <f>VLOOKUP(A84,'Sets (lua data)'!$A$3:$C$9920,2,FALSE)</f>
        <v>Schuppen des Dünenbrechers</v>
      </c>
      <c r="D84" t="s">
        <v>1420</v>
      </c>
      <c r="E84" s="3" t="str">
        <f>IF(ISNA(VLOOKUP(D84,'&lt;Constants&gt;'!$B$4:$C$44,2,FALSE)),"",VLOOKUP(D84,'&lt;Constants&gt;'!$B$4:$C$44,2,FALSE))</f>
        <v>Included in base game</v>
      </c>
    </row>
    <row r="85" spans="1:5" x14ac:dyDescent="0.25">
      <c r="A85" s="11">
        <v>103</v>
      </c>
      <c r="B85" s="8" t="str">
        <f>VLOOKUP(A85,'Sets (lua data)'!$A$3:$C$9920,3,FALSE)</f>
        <v>Magicka Furnace</v>
      </c>
      <c r="C85" s="8" t="str">
        <f>VLOOKUP(A85,'Sets (lua data)'!$A$3:$C$9920,2,FALSE)</f>
        <v>Magickaschmiede</v>
      </c>
      <c r="D85" t="s">
        <v>1420</v>
      </c>
      <c r="E85" s="3" t="str">
        <f>IF(ISNA(VLOOKUP(D85,'&lt;Constants&gt;'!$B$4:$C$44,2,FALSE)),"",VLOOKUP(D85,'&lt;Constants&gt;'!$B$4:$C$44,2,FALSE))</f>
        <v>Included in base game</v>
      </c>
    </row>
    <row r="86" spans="1:5" x14ac:dyDescent="0.25">
      <c r="A86" s="11">
        <v>104</v>
      </c>
      <c r="B86" s="8" t="str">
        <f>VLOOKUP(A86,'Sets (lua data)'!$A$3:$C$9920,3,FALSE)</f>
        <v>Curse Eater</v>
      </c>
      <c r="C86" s="8" t="str">
        <f>VLOOKUP(A86,'Sets (lua data)'!$A$3:$C$9920,2,FALSE)</f>
        <v>Fluchfresser</v>
      </c>
      <c r="D86" t="s">
        <v>1420</v>
      </c>
      <c r="E86" s="3" t="str">
        <f>IF(ISNA(VLOOKUP(D86,'&lt;Constants&gt;'!$B$4:$C$44,2,FALSE)),"",VLOOKUP(D86,'&lt;Constants&gt;'!$B$4:$C$44,2,FALSE))</f>
        <v>Included in base game</v>
      </c>
    </row>
    <row r="87" spans="1:5" x14ac:dyDescent="0.25">
      <c r="A87" s="11">
        <v>105</v>
      </c>
      <c r="B87" s="8" t="str">
        <f>VLOOKUP(A87,'Sets (lua data)'!$A$3:$C$9920,3,FALSE)</f>
        <v>Twin Sisters</v>
      </c>
      <c r="C87" s="8" t="str">
        <f>VLOOKUP(A87,'Sets (lua data)'!$A$3:$C$9920,2,FALSE)</f>
        <v>Zwillingsschwestern</v>
      </c>
      <c r="D87" t="s">
        <v>1420</v>
      </c>
      <c r="E87" s="3" t="str">
        <f>IF(ISNA(VLOOKUP(D87,'&lt;Constants&gt;'!$B$4:$C$44,2,FALSE)),"",VLOOKUP(D87,'&lt;Constants&gt;'!$B$4:$C$44,2,FALSE))</f>
        <v>Included in base game</v>
      </c>
    </row>
    <row r="88" spans="1:5" x14ac:dyDescent="0.25">
      <c r="A88" s="11">
        <v>106</v>
      </c>
      <c r="B88" s="8" t="str">
        <f>VLOOKUP(A88,'Sets (lua data)'!$A$3:$C$9920,3,FALSE)</f>
        <v>Wilderqueen\'s Arch</v>
      </c>
      <c r="C88" s="8" t="str">
        <f>VLOOKUP(A88,'Sets (lua data)'!$A$3:$C$9920,2,FALSE)</f>
        <v>Bogen der Wildkönigin</v>
      </c>
      <c r="D88" t="s">
        <v>1420</v>
      </c>
      <c r="E88" s="3" t="str">
        <f>IF(ISNA(VLOOKUP(D88,'&lt;Constants&gt;'!$B$4:$C$44,2,FALSE)),"",VLOOKUP(D88,'&lt;Constants&gt;'!$B$4:$C$44,2,FALSE))</f>
        <v>Included in base game</v>
      </c>
    </row>
    <row r="89" spans="1:5" x14ac:dyDescent="0.25">
      <c r="A89" s="11">
        <v>107</v>
      </c>
      <c r="B89" s="8" t="str">
        <f>VLOOKUP(A89,'Sets (lua data)'!$A$3:$C$9920,3,FALSE)</f>
        <v>Wyrd Tree\'s Blessing</v>
      </c>
      <c r="C89" s="8" t="str">
        <f>VLOOKUP(A89,'Sets (lua data)'!$A$3:$C$9920,2,FALSE)</f>
        <v>Segen des Wyrdbaums</v>
      </c>
      <c r="D89" t="s">
        <v>1420</v>
      </c>
      <c r="E89" s="3" t="str">
        <f>IF(ISNA(VLOOKUP(D89,'&lt;Constants&gt;'!$B$4:$C$44,2,FALSE)),"",VLOOKUP(D89,'&lt;Constants&gt;'!$B$4:$C$44,2,FALSE))</f>
        <v>Included in base game</v>
      </c>
    </row>
    <row r="90" spans="1:5" x14ac:dyDescent="0.25">
      <c r="A90" s="11">
        <v>108</v>
      </c>
      <c r="B90" s="8" t="str">
        <f>VLOOKUP(A90,'Sets (lua data)'!$A$3:$C$9920,3,FALSE)</f>
        <v>Ravager</v>
      </c>
      <c r="C90" s="8" t="str">
        <f>VLOOKUP(A90,'Sets (lua data)'!$A$3:$C$9920,2,FALSE)</f>
        <v>Verwüster</v>
      </c>
      <c r="D90" t="s">
        <v>1420</v>
      </c>
      <c r="E90" s="3" t="str">
        <f>IF(ISNA(VLOOKUP(D90,'&lt;Constants&gt;'!$B$4:$C$44,2,FALSE)),"",VLOOKUP(D90,'&lt;Constants&gt;'!$B$4:$C$44,2,FALSE))</f>
        <v>Included in base game</v>
      </c>
    </row>
    <row r="91" spans="1:5" x14ac:dyDescent="0.25">
      <c r="A91" s="11">
        <v>109</v>
      </c>
      <c r="B91" s="8" t="str">
        <f>VLOOKUP(A91,'Sets (lua data)'!$A$3:$C$9920,3,FALSE)</f>
        <v>Light of Cyrodiil</v>
      </c>
      <c r="C91" s="8" t="str">
        <f>VLOOKUP(A91,'Sets (lua data)'!$A$3:$C$9920,2,FALSE)</f>
        <v>Licht von Cyrodiil</v>
      </c>
      <c r="D91" t="s">
        <v>1420</v>
      </c>
      <c r="E91" s="3" t="str">
        <f>IF(ISNA(VLOOKUP(D91,'&lt;Constants&gt;'!$B$4:$C$44,2,FALSE)),"",VLOOKUP(D91,'&lt;Constants&gt;'!$B$4:$C$44,2,FALSE))</f>
        <v>Included in base game</v>
      </c>
    </row>
    <row r="92" spans="1:5" x14ac:dyDescent="0.25">
      <c r="A92" s="11">
        <v>110</v>
      </c>
      <c r="B92" s="8" t="str">
        <f>VLOOKUP(A92,'Sets (lua data)'!$A$3:$C$9920,3,FALSE)</f>
        <v>Sanctuary</v>
      </c>
      <c r="C92" s="8" t="str">
        <f>VLOOKUP(A92,'Sets (lua data)'!$A$3:$C$9920,2,FALSE)</f>
        <v>Heiligtum</v>
      </c>
      <c r="D92" t="s">
        <v>1420</v>
      </c>
      <c r="E92" s="3" t="str">
        <f>IF(ISNA(VLOOKUP(D92,'&lt;Constants&gt;'!$B$4:$C$44,2,FALSE)),"",VLOOKUP(D92,'&lt;Constants&gt;'!$B$4:$C$44,2,FALSE))</f>
        <v>Included in base game</v>
      </c>
    </row>
    <row r="93" spans="1:5" x14ac:dyDescent="0.25">
      <c r="A93" s="11">
        <v>111</v>
      </c>
      <c r="B93" s="8" t="str">
        <f>VLOOKUP(A93,'Sets (lua data)'!$A$3:$C$9920,3,FALSE)</f>
        <v>Ward of Cyrodiil</v>
      </c>
      <c r="C93" s="8" t="str">
        <f>VLOOKUP(A93,'Sets (lua data)'!$A$3:$C$9920,2,FALSE)</f>
        <v>Schutz von Cyrodiil</v>
      </c>
      <c r="D93" t="s">
        <v>1420</v>
      </c>
      <c r="E93" s="3" t="str">
        <f>IF(ISNA(VLOOKUP(D93,'&lt;Constants&gt;'!$B$4:$C$44,2,FALSE)),"",VLOOKUP(D93,'&lt;Constants&gt;'!$B$4:$C$44,2,FALSE))</f>
        <v>Included in base game</v>
      </c>
    </row>
    <row r="94" spans="1:5" x14ac:dyDescent="0.25">
      <c r="A94" s="11">
        <v>112</v>
      </c>
      <c r="B94" s="8" t="str">
        <f>VLOOKUP(A94,'Sets (lua data)'!$A$3:$C$9920,3,FALSE)</f>
        <v>Night Terror</v>
      </c>
      <c r="C94" s="8" t="str">
        <f>VLOOKUP(A94,'Sets (lua data)'!$A$3:$C$9920,2,FALSE)</f>
        <v>Nachtschrecken</v>
      </c>
      <c r="D94" t="s">
        <v>1420</v>
      </c>
      <c r="E94" s="3" t="str">
        <f>IF(ISNA(VLOOKUP(D94,'&lt;Constants&gt;'!$B$4:$C$44,2,FALSE)),"",VLOOKUP(D94,'&lt;Constants&gt;'!$B$4:$C$44,2,FALSE))</f>
        <v>Included in base game</v>
      </c>
    </row>
    <row r="95" spans="1:5" x14ac:dyDescent="0.25">
      <c r="A95" s="11">
        <v>113</v>
      </c>
      <c r="B95" s="8" t="str">
        <f>VLOOKUP(A95,'Sets (lua data)'!$A$3:$C$9920,3,FALSE)</f>
        <v>Crest of Cyrodiil</v>
      </c>
      <c r="C95" s="8" t="str">
        <f>VLOOKUP(A95,'Sets (lua data)'!$A$3:$C$9920,2,FALSE)</f>
        <v>Wappen von Cyrodiil</v>
      </c>
      <c r="D95" t="s">
        <v>1420</v>
      </c>
      <c r="E95" s="3" t="str">
        <f>IF(ISNA(VLOOKUP(D95,'&lt;Constants&gt;'!$B$4:$C$44,2,FALSE)),"",VLOOKUP(D95,'&lt;Constants&gt;'!$B$4:$C$44,2,FALSE))</f>
        <v>Included in base game</v>
      </c>
    </row>
    <row r="96" spans="1:5" x14ac:dyDescent="0.25">
      <c r="A96" s="11">
        <v>114</v>
      </c>
      <c r="B96" s="8" t="str">
        <f>VLOOKUP(A96,'Sets (lua data)'!$A$3:$C$9920,3,FALSE)</f>
        <v>Soulshine</v>
      </c>
      <c r="C96" s="8" t="str">
        <f>VLOOKUP(A96,'Sets (lua data)'!$A$3:$C$9920,2,FALSE)</f>
        <v>Seelenschein</v>
      </c>
      <c r="D96" t="s">
        <v>1420</v>
      </c>
      <c r="E96" s="3" t="str">
        <f>IF(ISNA(VLOOKUP(D96,'&lt;Constants&gt;'!$B$4:$C$44,2,FALSE)),"",VLOOKUP(D96,'&lt;Constants&gt;'!$B$4:$C$44,2,FALSE))</f>
        <v>Included in base game</v>
      </c>
    </row>
    <row r="97" spans="1:5" x14ac:dyDescent="0.25">
      <c r="A97" s="11">
        <v>116</v>
      </c>
      <c r="B97" s="8" t="str">
        <f>VLOOKUP(A97,'Sets (lua data)'!$A$3:$C$9920,3,FALSE)</f>
        <v>The Destruction Suite</v>
      </c>
      <c r="C97" s="8" t="str">
        <f>VLOOKUP(A97,'Sets (lua data)'!$A$3:$C$9920,2,FALSE)</f>
        <v>Garnitur der Zerstörung</v>
      </c>
      <c r="D97" t="s">
        <v>1420</v>
      </c>
      <c r="E97" s="3" t="str">
        <f>IF(ISNA(VLOOKUP(D97,'&lt;Constants&gt;'!$B$4:$C$44,2,FALSE)),"",VLOOKUP(D97,'&lt;Constants&gt;'!$B$4:$C$44,2,FALSE))</f>
        <v>Included in base game</v>
      </c>
    </row>
    <row r="98" spans="1:5" x14ac:dyDescent="0.25">
      <c r="A98" s="11">
        <v>117</v>
      </c>
      <c r="B98" s="8" t="str">
        <f>VLOOKUP(A98,'Sets (lua data)'!$A$3:$C$9920,3,FALSE)</f>
        <v>Relics of the Physician, Ansur</v>
      </c>
      <c r="C98" s="8" t="str">
        <f>VLOOKUP(A98,'Sets (lua data)'!$A$3:$C$9920,2,FALSE)</f>
        <v>Relikte des Mediziners Ansur</v>
      </c>
      <c r="D98" t="s">
        <v>1420</v>
      </c>
      <c r="E98" s="3" t="str">
        <f>IF(ISNA(VLOOKUP(D98,'&lt;Constants&gt;'!$B$4:$C$44,2,FALSE)),"",VLOOKUP(D98,'&lt;Constants&gt;'!$B$4:$C$44,2,FALSE))</f>
        <v>Included in base game</v>
      </c>
    </row>
    <row r="99" spans="1:5" x14ac:dyDescent="0.25">
      <c r="A99" s="11">
        <v>118</v>
      </c>
      <c r="B99" s="8" t="str">
        <f>VLOOKUP(A99,'Sets (lua data)'!$A$3:$C$9920,3,FALSE)</f>
        <v>Treasures of the Earthforge</v>
      </c>
      <c r="C99" s="8" t="str">
        <f>VLOOKUP(A99,'Sets (lua data)'!$A$3:$C$9920,2,FALSE)</f>
        <v>Schätze der Erdenschmiede</v>
      </c>
      <c r="D99" t="s">
        <v>1420</v>
      </c>
      <c r="E99" s="3" t="str">
        <f>IF(ISNA(VLOOKUP(D99,'&lt;Constants&gt;'!$B$4:$C$44,2,FALSE)),"",VLOOKUP(D99,'&lt;Constants&gt;'!$B$4:$C$44,2,FALSE))</f>
        <v>Included in base game</v>
      </c>
    </row>
    <row r="100" spans="1:5" x14ac:dyDescent="0.25">
      <c r="A100" s="11">
        <v>119</v>
      </c>
      <c r="B100" s="8" t="str">
        <f>VLOOKUP(A100,'Sets (lua data)'!$A$3:$C$9920,3,FALSE)</f>
        <v>Relics of the Rebellion</v>
      </c>
      <c r="C100" s="8" t="str">
        <f>VLOOKUP(A100,'Sets (lua data)'!$A$3:$C$9920,2,FALSE)</f>
        <v>Relikte der Rebellion</v>
      </c>
      <c r="D100" t="s">
        <v>1420</v>
      </c>
      <c r="E100" s="3" t="str">
        <f>IF(ISNA(VLOOKUP(D100,'&lt;Constants&gt;'!$B$4:$C$44,2,FALSE)),"",VLOOKUP(D100,'&lt;Constants&gt;'!$B$4:$C$44,2,FALSE))</f>
        <v>Included in base game</v>
      </c>
    </row>
    <row r="101" spans="1:5" x14ac:dyDescent="0.25">
      <c r="A101" s="11">
        <v>120</v>
      </c>
      <c r="B101" s="8" t="str">
        <f>VLOOKUP(A101,'Sets (lua data)'!$A$3:$C$9920,3,FALSE)</f>
        <v>Arms of Infernace</v>
      </c>
      <c r="C101" s="8" t="str">
        <f>VLOOKUP(A101,'Sets (lua data)'!$A$3:$C$9920,2,FALSE)</f>
        <v>Waffen Infernals</v>
      </c>
      <c r="D101" t="s">
        <v>1420</v>
      </c>
      <c r="E101" s="3" t="str">
        <f>IF(ISNA(VLOOKUP(D101,'&lt;Constants&gt;'!$B$4:$C$44,2,FALSE)),"",VLOOKUP(D101,'&lt;Constants&gt;'!$B$4:$C$44,2,FALSE))</f>
        <v>Included in base game</v>
      </c>
    </row>
    <row r="102" spans="1:5" x14ac:dyDescent="0.25">
      <c r="A102" s="11">
        <v>121</v>
      </c>
      <c r="B102" s="8" t="str">
        <f>VLOOKUP(A102,'Sets (lua data)'!$A$3:$C$9920,3,FALSE)</f>
        <v>Arms of the Ancestors</v>
      </c>
      <c r="C102" s="8" t="str">
        <f>VLOOKUP(A102,'Sets (lua data)'!$A$3:$C$9920,2,FALSE)</f>
        <v>Waffen der Ahnen</v>
      </c>
      <c r="D102" t="s">
        <v>1420</v>
      </c>
      <c r="E102" s="3" t="str">
        <f>IF(ISNA(VLOOKUP(D102,'&lt;Constants&gt;'!$B$4:$C$44,2,FALSE)),"",VLOOKUP(D102,'&lt;Constants&gt;'!$B$4:$C$44,2,FALSE))</f>
        <v>Included in base game</v>
      </c>
    </row>
    <row r="103" spans="1:5" x14ac:dyDescent="0.25">
      <c r="A103" s="11">
        <v>122</v>
      </c>
      <c r="B103" s="8" t="str">
        <f>VLOOKUP(A103,'Sets (lua data)'!$A$3:$C$9920,3,FALSE)</f>
        <v>Ebon Armory</v>
      </c>
      <c r="C103" s="8" t="str">
        <f>VLOOKUP(A103,'Sets (lua data)'!$A$3:$C$9920,2,FALSE)</f>
        <v>Ebenerzarsenal</v>
      </c>
      <c r="D103" t="s">
        <v>1420</v>
      </c>
      <c r="E103" s="3" t="str">
        <f>IF(ISNA(VLOOKUP(D103,'&lt;Constants&gt;'!$B$4:$C$44,2,FALSE)),"",VLOOKUP(D103,'&lt;Constants&gt;'!$B$4:$C$44,2,FALSE))</f>
        <v>Included in base game</v>
      </c>
    </row>
    <row r="104" spans="1:5" x14ac:dyDescent="0.25">
      <c r="A104" s="11">
        <v>123</v>
      </c>
      <c r="B104" s="8" t="str">
        <f>VLOOKUP(A104,'Sets (lua data)'!$A$3:$C$9920,3,FALSE)</f>
        <v>Hircine\'s Veneer</v>
      </c>
      <c r="C104" s="8" t="str">
        <f>VLOOKUP(A104,'Sets (lua data)'!$A$3:$C$9920,2,FALSE)</f>
        <v>Hircines Schein</v>
      </c>
      <c r="D104" t="s">
        <v>1420</v>
      </c>
      <c r="E104" s="3" t="str">
        <f>IF(ISNA(VLOOKUP(D104,'&lt;Constants&gt;'!$B$4:$C$44,2,FALSE)),"",VLOOKUP(D104,'&lt;Constants&gt;'!$B$4:$C$44,2,FALSE))</f>
        <v>Included in base game</v>
      </c>
    </row>
    <row r="105" spans="1:5" x14ac:dyDescent="0.25">
      <c r="A105" s="11">
        <v>124</v>
      </c>
      <c r="B105" s="8" t="str">
        <f>VLOOKUP(A105,'Sets (lua data)'!$A$3:$C$9920,3,FALSE)</f>
        <v>The Worm\'s Raiment</v>
      </c>
      <c r="C105" s="8" t="str">
        <f>VLOOKUP(A105,'Sets (lua data)'!$A$3:$C$9920,2,FALSE)</f>
        <v>Garderobe des Wurms</v>
      </c>
      <c r="D105" t="s">
        <v>1420</v>
      </c>
      <c r="E105" s="3" t="str">
        <f>IF(ISNA(VLOOKUP(D105,'&lt;Constants&gt;'!$B$4:$C$44,2,FALSE)),"",VLOOKUP(D105,'&lt;Constants&gt;'!$B$4:$C$44,2,FALSE))</f>
        <v>Included in base game</v>
      </c>
    </row>
    <row r="106" spans="1:5" x14ac:dyDescent="0.25">
      <c r="A106" s="11">
        <v>125</v>
      </c>
      <c r="B106" s="8" t="str">
        <f>VLOOKUP(A106,'Sets (lua data)'!$A$3:$C$9920,3,FALSE)</f>
        <v>Wrath of the Imperium</v>
      </c>
      <c r="C106" s="8" t="str">
        <f>VLOOKUP(A106,'Sets (lua data)'!$A$3:$C$9920,2,FALSE)</f>
        <v>Zorn des Kaiserreichs</v>
      </c>
      <c r="D106" t="s">
        <v>1420</v>
      </c>
      <c r="E106" s="3" t="str">
        <f>IF(ISNA(VLOOKUP(D106,'&lt;Constants&gt;'!$B$4:$C$44,2,FALSE)),"",VLOOKUP(D106,'&lt;Constants&gt;'!$B$4:$C$44,2,FALSE))</f>
        <v>Included in base game</v>
      </c>
    </row>
    <row r="107" spans="1:5" x14ac:dyDescent="0.25">
      <c r="A107" s="11">
        <v>126</v>
      </c>
      <c r="B107" s="8" t="str">
        <f>VLOOKUP(A107,'Sets (lua data)'!$A$3:$C$9920,3,FALSE)</f>
        <v>Grace of the Ancients</v>
      </c>
      <c r="C107" s="8" t="str">
        <f>VLOOKUP(A107,'Sets (lua data)'!$A$3:$C$9920,2,FALSE)</f>
        <v>Anmut der Ahnen</v>
      </c>
      <c r="D107" t="s">
        <v>1420</v>
      </c>
      <c r="E107" s="3" t="str">
        <f>IF(ISNA(VLOOKUP(D107,'&lt;Constants&gt;'!$B$4:$C$44,2,FALSE)),"",VLOOKUP(D107,'&lt;Constants&gt;'!$B$4:$C$44,2,FALSE))</f>
        <v>Included in base game</v>
      </c>
    </row>
    <row r="108" spans="1:5" x14ac:dyDescent="0.25">
      <c r="A108" s="11">
        <v>127</v>
      </c>
      <c r="B108" s="8" t="str">
        <f>VLOOKUP(A108,'Sets (lua data)'!$A$3:$C$9920,3,FALSE)</f>
        <v>Deadly Strike</v>
      </c>
      <c r="C108" s="8" t="str">
        <f>VLOOKUP(A108,'Sets (lua data)'!$A$3:$C$9920,2,FALSE)</f>
        <v>Tödlicher Stoß</v>
      </c>
      <c r="D108" t="s">
        <v>1420</v>
      </c>
      <c r="E108" s="3" t="str">
        <f>IF(ISNA(VLOOKUP(D108,'&lt;Constants&gt;'!$B$4:$C$44,2,FALSE)),"",VLOOKUP(D108,'&lt;Constants&gt;'!$B$4:$C$44,2,FALSE))</f>
        <v>Included in base game</v>
      </c>
    </row>
    <row r="109" spans="1:5" x14ac:dyDescent="0.25">
      <c r="A109" s="11">
        <v>128</v>
      </c>
      <c r="B109" s="8" t="str">
        <f>VLOOKUP(A109,'Sets (lua data)'!$A$3:$C$9920,3,FALSE)</f>
        <v>Blessing of the Potentates</v>
      </c>
      <c r="C109" s="8" t="str">
        <f>VLOOKUP(A109,'Sets (lua data)'!$A$3:$C$9920,2,FALSE)</f>
        <v>Segen des Potentaten</v>
      </c>
      <c r="D109" t="s">
        <v>1420</v>
      </c>
      <c r="E109" s="3" t="str">
        <f>IF(ISNA(VLOOKUP(D109,'&lt;Constants&gt;'!$B$4:$C$44,2,FALSE)),"",VLOOKUP(D109,'&lt;Constants&gt;'!$B$4:$C$44,2,FALSE))</f>
        <v>Included in base game</v>
      </c>
    </row>
    <row r="110" spans="1:5" x14ac:dyDescent="0.25">
      <c r="A110" s="11">
        <v>129</v>
      </c>
      <c r="B110" s="8" t="str">
        <f>VLOOKUP(A110,'Sets (lua data)'!$A$3:$C$9920,3,FALSE)</f>
        <v>Vengeance Leech</v>
      </c>
      <c r="C110" s="8" t="str">
        <f>VLOOKUP(A110,'Sets (lua data)'!$A$3:$C$9920,2,FALSE)</f>
        <v>Saugende Vergeltung</v>
      </c>
      <c r="D110" t="s">
        <v>1420</v>
      </c>
      <c r="E110" s="3" t="str">
        <f>IF(ISNA(VLOOKUP(D110,'&lt;Constants&gt;'!$B$4:$C$44,2,FALSE)),"",VLOOKUP(D110,'&lt;Constants&gt;'!$B$4:$C$44,2,FALSE))</f>
        <v>Included in base game</v>
      </c>
    </row>
    <row r="111" spans="1:5" x14ac:dyDescent="0.25">
      <c r="A111" s="11">
        <v>130</v>
      </c>
      <c r="B111" s="8" t="str">
        <f>VLOOKUP(A111,'Sets (lua data)'!$A$3:$C$9920,3,FALSE)</f>
        <v>Eagle Eye</v>
      </c>
      <c r="C111" s="8" t="str">
        <f>VLOOKUP(A111,'Sets (lua data)'!$A$3:$C$9920,2,FALSE)</f>
        <v>Adlerauge</v>
      </c>
      <c r="D111" t="s">
        <v>1420</v>
      </c>
      <c r="E111" s="3" t="str">
        <f>IF(ISNA(VLOOKUP(D111,'&lt;Constants&gt;'!$B$4:$C$44,2,FALSE)),"",VLOOKUP(D111,'&lt;Constants&gt;'!$B$4:$C$44,2,FALSE))</f>
        <v>Included in base game</v>
      </c>
    </row>
    <row r="112" spans="1:5" x14ac:dyDescent="0.25">
      <c r="A112" s="11">
        <v>131</v>
      </c>
      <c r="B112" s="8" t="str">
        <f>VLOOKUP(A112,'Sets (lua data)'!$A$3:$C$9920,3,FALSE)</f>
        <v>Bastion of the Heartland</v>
      </c>
      <c r="C112" s="8" t="str">
        <f>VLOOKUP(A112,'Sets (lua data)'!$A$3:$C$9920,2,FALSE)</f>
        <v>Bastion des Herzlandes</v>
      </c>
      <c r="D112" t="s">
        <v>1420</v>
      </c>
      <c r="E112" s="3" t="str">
        <f>IF(ISNA(VLOOKUP(D112,'&lt;Constants&gt;'!$B$4:$C$44,2,FALSE)),"",VLOOKUP(D112,'&lt;Constants&gt;'!$B$4:$C$44,2,FALSE))</f>
        <v>Included in base game</v>
      </c>
    </row>
    <row r="113" spans="1:5" x14ac:dyDescent="0.25">
      <c r="A113" s="11">
        <v>132</v>
      </c>
      <c r="B113" s="8" t="str">
        <f>VLOOKUP(A113,'Sets (lua data)'!$A$3:$C$9920,3,FALSE)</f>
        <v>Shield of the Valiant</v>
      </c>
      <c r="C113" s="8" t="str">
        <f>VLOOKUP(A113,'Sets (lua data)'!$A$3:$C$9920,2,FALSE)</f>
        <v>Schild des Tapferen</v>
      </c>
      <c r="D113" t="s">
        <v>1420</v>
      </c>
      <c r="E113" s="3" t="str">
        <f>IF(ISNA(VLOOKUP(D113,'&lt;Constants&gt;'!$B$4:$C$44,2,FALSE)),"",VLOOKUP(D113,'&lt;Constants&gt;'!$B$4:$C$44,2,FALSE))</f>
        <v>Included in base game</v>
      </c>
    </row>
    <row r="114" spans="1:5" x14ac:dyDescent="0.25">
      <c r="A114" s="11">
        <v>133</v>
      </c>
      <c r="B114" s="8" t="str">
        <f>VLOOKUP(A114,'Sets (lua data)'!$A$3:$C$9920,3,FALSE)</f>
        <v>Buffer of the Swift</v>
      </c>
      <c r="C114" s="8" t="str">
        <f>VLOOKUP(A114,'Sets (lua data)'!$A$3:$C$9920,2,FALSE)</f>
        <v>Dämpfer des Geschwinden</v>
      </c>
      <c r="D114" t="s">
        <v>1420</v>
      </c>
      <c r="E114" s="3" t="str">
        <f>IF(ISNA(VLOOKUP(D114,'&lt;Constants&gt;'!$B$4:$C$44,2,FALSE)),"",VLOOKUP(D114,'&lt;Constants&gt;'!$B$4:$C$44,2,FALSE))</f>
        <v>Included in base game</v>
      </c>
    </row>
    <row r="115" spans="1:5" x14ac:dyDescent="0.25">
      <c r="A115" s="11">
        <v>134</v>
      </c>
      <c r="B115" s="8" t="str">
        <f>VLOOKUP(A115,'Sets (lua data)'!$A$3:$C$9920,3,FALSE)</f>
        <v>Shroud of the Lich</v>
      </c>
      <c r="C115" s="8" t="str">
        <f>VLOOKUP(A115,'Sets (lua data)'!$A$3:$C$9920,2,FALSE)</f>
        <v>Tuch des Lich</v>
      </c>
      <c r="D115" t="s">
        <v>1420</v>
      </c>
      <c r="E115" s="3" t="str">
        <f>IF(ISNA(VLOOKUP(D115,'&lt;Constants&gt;'!$B$4:$C$44,2,FALSE)),"",VLOOKUP(D115,'&lt;Constants&gt;'!$B$4:$C$44,2,FALSE))</f>
        <v>Included in base game</v>
      </c>
    </row>
    <row r="116" spans="1:5" x14ac:dyDescent="0.25">
      <c r="A116" s="11">
        <v>135</v>
      </c>
      <c r="B116" s="8" t="str">
        <f>VLOOKUP(A116,'Sets (lua data)'!$A$3:$C$9920,3,FALSE)</f>
        <v>Draugr\'s Heritage</v>
      </c>
      <c r="C116" s="8" t="str">
        <f>VLOOKUP(A116,'Sets (lua data)'!$A$3:$C$9920,2,FALSE)</f>
        <v>Erbe des Draugrs</v>
      </c>
      <c r="D116" t="s">
        <v>1420</v>
      </c>
      <c r="E116" s="3" t="str">
        <f>IF(ISNA(VLOOKUP(D116,'&lt;Constants&gt;'!$B$4:$C$44,2,FALSE)),"",VLOOKUP(D116,'&lt;Constants&gt;'!$B$4:$C$44,2,FALSE))</f>
        <v>Included in base game</v>
      </c>
    </row>
    <row r="117" spans="1:5" x14ac:dyDescent="0.25">
      <c r="A117" s="11">
        <v>136</v>
      </c>
      <c r="B117" s="8" t="str">
        <f>VLOOKUP(A117,'Sets (lua data)'!$A$3:$C$9920,3,FALSE)</f>
        <v>Immortal Warrior</v>
      </c>
      <c r="C117" s="8" t="str">
        <f>VLOOKUP(A117,'Sets (lua data)'!$A$3:$C$9920,2,FALSE)</f>
        <v>Unsterblicher Krieger</v>
      </c>
      <c r="D117" t="s">
        <v>1420</v>
      </c>
      <c r="E117" s="3" t="str">
        <f>IF(ISNA(VLOOKUP(D117,'&lt;Constants&gt;'!$B$4:$C$44,2,FALSE)),"",VLOOKUP(D117,'&lt;Constants&gt;'!$B$4:$C$44,2,FALSE))</f>
        <v>Included in base game</v>
      </c>
    </row>
    <row r="118" spans="1:5" x14ac:dyDescent="0.25">
      <c r="A118" s="11">
        <v>137</v>
      </c>
      <c r="B118" s="8" t="str">
        <f>VLOOKUP(A118,'Sets (lua data)'!$A$3:$C$9920,3,FALSE)</f>
        <v>Berserking Warrior</v>
      </c>
      <c r="C118" s="8" t="str">
        <f>VLOOKUP(A118,'Sets (lua data)'!$A$3:$C$9920,2,FALSE)</f>
        <v>Tobender Krieger</v>
      </c>
      <c r="D118" t="s">
        <v>1420</v>
      </c>
      <c r="E118" s="3" t="str">
        <f>IF(ISNA(VLOOKUP(D118,'&lt;Constants&gt;'!$B$4:$C$44,2,FALSE)),"",VLOOKUP(D118,'&lt;Constants&gt;'!$B$4:$C$44,2,FALSE))</f>
        <v>Included in base game</v>
      </c>
    </row>
    <row r="119" spans="1:5" x14ac:dyDescent="0.25">
      <c r="A119" s="11">
        <v>138</v>
      </c>
      <c r="B119" s="8" t="str">
        <f>VLOOKUP(A119,'Sets (lua data)'!$A$3:$C$9920,3,FALSE)</f>
        <v>Defending Warrior</v>
      </c>
      <c r="C119" s="8" t="str">
        <f>VLOOKUP(A119,'Sets (lua data)'!$A$3:$C$9920,2,FALSE)</f>
        <v>Verteidigender Krieger</v>
      </c>
      <c r="D119" t="s">
        <v>1420</v>
      </c>
      <c r="E119" s="3" t="str">
        <f>IF(ISNA(VLOOKUP(D119,'&lt;Constants&gt;'!$B$4:$C$44,2,FALSE)),"",VLOOKUP(D119,'&lt;Constants&gt;'!$B$4:$C$44,2,FALSE))</f>
        <v>Included in base game</v>
      </c>
    </row>
    <row r="120" spans="1:5" x14ac:dyDescent="0.25">
      <c r="A120" s="11">
        <v>139</v>
      </c>
      <c r="B120" s="8" t="str">
        <f>VLOOKUP(A120,'Sets (lua data)'!$A$3:$C$9920,3,FALSE)</f>
        <v>Wise Mage</v>
      </c>
      <c r="C120" s="8" t="str">
        <f>VLOOKUP(A120,'Sets (lua data)'!$A$3:$C$9920,2,FALSE)</f>
        <v>Weiser Magier</v>
      </c>
      <c r="D120" t="s">
        <v>1420</v>
      </c>
      <c r="E120" s="3" t="str">
        <f>IF(ISNA(VLOOKUP(D120,'&lt;Constants&gt;'!$B$4:$C$44,2,FALSE)),"",VLOOKUP(D120,'&lt;Constants&gt;'!$B$4:$C$44,2,FALSE))</f>
        <v>Included in base game</v>
      </c>
    </row>
    <row r="121" spans="1:5" x14ac:dyDescent="0.25">
      <c r="A121" s="11">
        <v>140</v>
      </c>
      <c r="B121" s="8" t="str">
        <f>VLOOKUP(A121,'Sets (lua data)'!$A$3:$C$9920,3,FALSE)</f>
        <v>Destructive Mage</v>
      </c>
      <c r="C121" s="8" t="str">
        <f>VLOOKUP(A121,'Sets (lua data)'!$A$3:$C$9920,2,FALSE)</f>
        <v>Zerstörerischer Magier</v>
      </c>
      <c r="D121" t="s">
        <v>1420</v>
      </c>
      <c r="E121" s="3" t="str">
        <f>IF(ISNA(VLOOKUP(D121,'&lt;Constants&gt;'!$B$4:$C$44,2,FALSE)),"",VLOOKUP(D121,'&lt;Constants&gt;'!$B$4:$C$44,2,FALSE))</f>
        <v>Included in base game</v>
      </c>
    </row>
    <row r="122" spans="1:5" x14ac:dyDescent="0.25">
      <c r="A122" s="11">
        <v>141</v>
      </c>
      <c r="B122" s="8" t="str">
        <f>VLOOKUP(A122,'Sets (lua data)'!$A$3:$C$9920,3,FALSE)</f>
        <v>Healing Mage</v>
      </c>
      <c r="C122" s="8" t="str">
        <f>VLOOKUP(A122,'Sets (lua data)'!$A$3:$C$9920,2,FALSE)</f>
        <v>Heilender Magier</v>
      </c>
      <c r="D122" t="s">
        <v>1420</v>
      </c>
      <c r="E122" s="3" t="str">
        <f>IF(ISNA(VLOOKUP(D122,'&lt;Constants&gt;'!$B$4:$C$44,2,FALSE)),"",VLOOKUP(D122,'&lt;Constants&gt;'!$B$4:$C$44,2,FALSE))</f>
        <v>Included in base game</v>
      </c>
    </row>
    <row r="123" spans="1:5" x14ac:dyDescent="0.25">
      <c r="A123" s="11">
        <v>142</v>
      </c>
      <c r="B123" s="8" t="str">
        <f>VLOOKUP(A123,'Sets (lua data)'!$A$3:$C$9920,3,FALSE)</f>
        <v>Quick Serpent</v>
      </c>
      <c r="C123" s="8" t="str">
        <f>VLOOKUP(A123,'Sets (lua data)'!$A$3:$C$9920,2,FALSE)</f>
        <v>Flinke Schlange</v>
      </c>
      <c r="D123" t="s">
        <v>1420</v>
      </c>
      <c r="E123" s="3" t="str">
        <f>IF(ISNA(VLOOKUP(D123,'&lt;Constants&gt;'!$B$4:$C$44,2,FALSE)),"",VLOOKUP(D123,'&lt;Constants&gt;'!$B$4:$C$44,2,FALSE))</f>
        <v>Included in base game</v>
      </c>
    </row>
    <row r="124" spans="1:5" x14ac:dyDescent="0.25">
      <c r="A124" s="11">
        <v>143</v>
      </c>
      <c r="B124" s="8" t="str">
        <f>VLOOKUP(A124,'Sets (lua data)'!$A$3:$C$9920,3,FALSE)</f>
        <v>Poisonous Serpent</v>
      </c>
      <c r="C124" s="8" t="str">
        <f>VLOOKUP(A124,'Sets (lua data)'!$A$3:$C$9920,2,FALSE)</f>
        <v>Giftschlange</v>
      </c>
      <c r="D124" t="s">
        <v>1420</v>
      </c>
      <c r="E124" s="3" t="str">
        <f>IF(ISNA(VLOOKUP(D124,'&lt;Constants&gt;'!$B$4:$C$44,2,FALSE)),"",VLOOKUP(D124,'&lt;Constants&gt;'!$B$4:$C$44,2,FALSE))</f>
        <v>Included in base game</v>
      </c>
    </row>
    <row r="125" spans="1:5" x14ac:dyDescent="0.25">
      <c r="A125" s="11">
        <v>144</v>
      </c>
      <c r="B125" s="8" t="str">
        <f>VLOOKUP(A125,'Sets (lua data)'!$A$3:$C$9920,3,FALSE)</f>
        <v>Twice-Fanged Serpent</v>
      </c>
      <c r="C125" s="8" t="str">
        <f>VLOOKUP(A125,'Sets (lua data)'!$A$3:$C$9920,2,FALSE)</f>
        <v>Doppelzüngige Schlange</v>
      </c>
      <c r="D125" t="s">
        <v>1420</v>
      </c>
      <c r="E125" s="3" t="str">
        <f>IF(ISNA(VLOOKUP(D125,'&lt;Constants&gt;'!$B$4:$C$44,2,FALSE)),"",VLOOKUP(D125,'&lt;Constants&gt;'!$B$4:$C$44,2,FALSE))</f>
        <v>Included in base game</v>
      </c>
    </row>
    <row r="126" spans="1:5" x14ac:dyDescent="0.25">
      <c r="A126" s="11">
        <v>145</v>
      </c>
      <c r="B126" s="8" t="str">
        <f>VLOOKUP(A126,'Sets (lua data)'!$A$3:$C$9920,3,FALSE)</f>
        <v>Way of Fire</v>
      </c>
      <c r="C126" s="8" t="str">
        <f>VLOOKUP(A126,'Sets (lua data)'!$A$3:$C$9920,2,FALSE)</f>
        <v>Weg des Feuers</v>
      </c>
      <c r="D126" t="s">
        <v>1420</v>
      </c>
      <c r="E126" s="3" t="str">
        <f>IF(ISNA(VLOOKUP(D126,'&lt;Constants&gt;'!$B$4:$C$44,2,FALSE)),"",VLOOKUP(D126,'&lt;Constants&gt;'!$B$4:$C$44,2,FALSE))</f>
        <v>Included in base game</v>
      </c>
    </row>
    <row r="127" spans="1:5" x14ac:dyDescent="0.25">
      <c r="A127" s="11">
        <v>146</v>
      </c>
      <c r="B127" s="8" t="str">
        <f>VLOOKUP(A127,'Sets (lua data)'!$A$3:$C$9920,3,FALSE)</f>
        <v>Way of Air</v>
      </c>
      <c r="C127" s="8" t="str">
        <f>VLOOKUP(A127,'Sets (lua data)'!$A$3:$C$9920,2,FALSE)</f>
        <v>Weg der Luft</v>
      </c>
      <c r="D127" t="s">
        <v>1420</v>
      </c>
      <c r="E127" s="3" t="str">
        <f>IF(ISNA(VLOOKUP(D127,'&lt;Constants&gt;'!$B$4:$C$44,2,FALSE)),"",VLOOKUP(D127,'&lt;Constants&gt;'!$B$4:$C$44,2,FALSE))</f>
        <v>Included in base game</v>
      </c>
    </row>
    <row r="128" spans="1:5" x14ac:dyDescent="0.25">
      <c r="A128" s="11">
        <v>147</v>
      </c>
      <c r="B128" s="8" t="str">
        <f>VLOOKUP(A128,'Sets (lua data)'!$A$3:$C$9920,3,FALSE)</f>
        <v>Way of Martial Knowledge</v>
      </c>
      <c r="C128" s="8" t="str">
        <f>VLOOKUP(A128,'Sets (lua data)'!$A$3:$C$9920,2,FALSE)</f>
        <v>Weg der Kampfkunst</v>
      </c>
      <c r="D128" t="s">
        <v>1420</v>
      </c>
      <c r="E128" s="3" t="str">
        <f>IF(ISNA(VLOOKUP(D128,'&lt;Constants&gt;'!$B$4:$C$44,2,FALSE)),"",VLOOKUP(D128,'&lt;Constants&gt;'!$B$4:$C$44,2,FALSE))</f>
        <v>Included in base game</v>
      </c>
    </row>
    <row r="129" spans="1:5" x14ac:dyDescent="0.25">
      <c r="A129" s="5">
        <v>148</v>
      </c>
      <c r="B129" s="8" t="str">
        <f>VLOOKUP(A129,'Sets (lua data)'!$A$3:$C$9920,3,FALSE)</f>
        <v>Way of the Arena</v>
      </c>
      <c r="C129" s="8" t="str">
        <f>VLOOKUP(A129,'Sets (lua data)'!$A$3:$C$9920,2,FALSE)</f>
        <v>Weg der Arena</v>
      </c>
      <c r="D129" t="s">
        <v>1420</v>
      </c>
      <c r="E129" s="3" t="str">
        <f>IF(ISNA(VLOOKUP(D129,'&lt;Constants&gt;'!$B$4:$C$44,2,FALSE)),"",VLOOKUP(D129,'&lt;Constants&gt;'!$B$4:$C$44,2,FALSE))</f>
        <v>Included in base game</v>
      </c>
    </row>
    <row r="130" spans="1:5" x14ac:dyDescent="0.25">
      <c r="A130" s="11">
        <v>155</v>
      </c>
      <c r="B130" s="8" t="str">
        <f>VLOOKUP(A130,'Sets (lua data)'!$A$3:$C$9920,3,FALSE)</f>
        <v>Undaunted Bastion</v>
      </c>
      <c r="C130" s="8" t="str">
        <f>VLOOKUP(A130,'Sets (lua data)'!$A$3:$C$9920,2,FALSE)</f>
        <v>Unerschrockenen-Bastion</v>
      </c>
      <c r="D130" t="s">
        <v>1420</v>
      </c>
      <c r="E130" s="3" t="str">
        <f>IF(ISNA(VLOOKUP(D130,'&lt;Constants&gt;'!$B$4:$C$44,2,FALSE)),"",VLOOKUP(D130,'&lt;Constants&gt;'!$B$4:$C$44,2,FALSE))</f>
        <v>Included in base game</v>
      </c>
    </row>
    <row r="131" spans="1:5" x14ac:dyDescent="0.25">
      <c r="A131" s="11">
        <v>156</v>
      </c>
      <c r="B131" s="8" t="str">
        <f>VLOOKUP(A131,'Sets (lua data)'!$A$3:$C$9920,3,FALSE)</f>
        <v>Undaunted Infiltrator</v>
      </c>
      <c r="C131" s="8" t="str">
        <f>VLOOKUP(A131,'Sets (lua data)'!$A$3:$C$9920,2,FALSE)</f>
        <v>Unerschrockener Infiltrator</v>
      </c>
      <c r="D131" t="s">
        <v>1420</v>
      </c>
      <c r="E131" s="3" t="str">
        <f>IF(ISNA(VLOOKUP(D131,'&lt;Constants&gt;'!$B$4:$C$44,2,FALSE)),"",VLOOKUP(D131,'&lt;Constants&gt;'!$B$4:$C$44,2,FALSE))</f>
        <v>Included in base game</v>
      </c>
    </row>
    <row r="132" spans="1:5" x14ac:dyDescent="0.25">
      <c r="A132" s="11">
        <v>157</v>
      </c>
      <c r="B132" s="8" t="str">
        <f>VLOOKUP(A132,'Sets (lua data)'!$A$3:$C$9920,3,FALSE)</f>
        <v>Undaunted Unweaver</v>
      </c>
      <c r="C132" s="8" t="str">
        <f>VLOOKUP(A132,'Sets (lua data)'!$A$3:$C$9920,2,FALSE)</f>
        <v>Unerschrockener Entflechter</v>
      </c>
      <c r="D132" t="s">
        <v>1420</v>
      </c>
      <c r="E132" s="3" t="str">
        <f>IF(ISNA(VLOOKUP(D132,'&lt;Constants&gt;'!$B$4:$C$44,2,FALSE)),"",VLOOKUP(D132,'&lt;Constants&gt;'!$B$4:$C$44,2,FALSE))</f>
        <v>Included in base game</v>
      </c>
    </row>
    <row r="133" spans="1:5" x14ac:dyDescent="0.25">
      <c r="A133" s="11">
        <v>158</v>
      </c>
      <c r="B133" s="8" t="str">
        <f>VLOOKUP(A133,'Sets (lua data)'!$A$3:$C$9920,3,FALSE)</f>
        <v>Embershield</v>
      </c>
      <c r="C133" s="8" t="str">
        <f>VLOOKUP(A133,'Sets (lua data)'!$A$3:$C$9920,2,FALSE)</f>
        <v>Glutschild</v>
      </c>
      <c r="D133" t="s">
        <v>1420</v>
      </c>
      <c r="E133" s="3" t="str">
        <f>IF(ISNA(VLOOKUP(D133,'&lt;Constants&gt;'!$B$4:$C$44,2,FALSE)),"",VLOOKUP(D133,'&lt;Constants&gt;'!$B$4:$C$44,2,FALSE))</f>
        <v>Included in base game</v>
      </c>
    </row>
    <row r="134" spans="1:5" x14ac:dyDescent="0.25">
      <c r="A134" s="11">
        <v>159</v>
      </c>
      <c r="B134" s="8" t="str">
        <f>VLOOKUP(A134,'Sets (lua data)'!$A$3:$C$9920,3,FALSE)</f>
        <v>Sunderflame</v>
      </c>
      <c r="C134" s="8" t="str">
        <f>VLOOKUP(A134,'Sets (lua data)'!$A$3:$C$9920,2,FALSE)</f>
        <v>Trennflamme</v>
      </c>
      <c r="D134" t="s">
        <v>1420</v>
      </c>
      <c r="E134" s="3" t="str">
        <f>IF(ISNA(VLOOKUP(D134,'&lt;Constants&gt;'!$B$4:$C$44,2,FALSE)),"",VLOOKUP(D134,'&lt;Constants&gt;'!$B$4:$C$44,2,FALSE))</f>
        <v>Included in base game</v>
      </c>
    </row>
    <row r="135" spans="1:5" x14ac:dyDescent="0.25">
      <c r="A135" s="11">
        <v>160</v>
      </c>
      <c r="B135" s="8" t="str">
        <f>VLOOKUP(A135,'Sets (lua data)'!$A$3:$C$9920,3,FALSE)</f>
        <v>Burning Spellweave</v>
      </c>
      <c r="C135" s="8" t="str">
        <f>VLOOKUP(A135,'Sets (lua data)'!$A$3:$C$9920,2,FALSE)</f>
        <v>Branntzauberweber</v>
      </c>
      <c r="D135" t="s">
        <v>1420</v>
      </c>
      <c r="E135" s="3" t="str">
        <f>IF(ISNA(VLOOKUP(D135,'&lt;Constants&gt;'!$B$4:$C$44,2,FALSE)),"",VLOOKUP(D135,'&lt;Constants&gt;'!$B$4:$C$44,2,FALSE))</f>
        <v>Included in base game</v>
      </c>
    </row>
    <row r="136" spans="1:5" x14ac:dyDescent="0.25">
      <c r="A136" s="5">
        <v>161</v>
      </c>
      <c r="B136" s="8" t="str">
        <f>VLOOKUP(A136,'Sets (lua data)'!$A$3:$C$9920,3,FALSE)</f>
        <v>Twice-Born Star</v>
      </c>
      <c r="C136" s="8" t="str">
        <f>VLOOKUP(A136,'Sets (lua data)'!$A$3:$C$9920,2,FALSE)</f>
        <v>Doppelstern</v>
      </c>
      <c r="D136" t="s">
        <v>1420</v>
      </c>
      <c r="E136" s="3" t="str">
        <f>IF(ISNA(VLOOKUP(D136,'&lt;Constants&gt;'!$B$4:$C$44,2,FALSE)),"",VLOOKUP(D136,'&lt;Constants&gt;'!$B$4:$C$44,2,FALSE))</f>
        <v>Included in base game</v>
      </c>
    </row>
    <row r="137" spans="1:5" x14ac:dyDescent="0.25">
      <c r="A137" s="5">
        <v>162</v>
      </c>
      <c r="B137" s="8" t="str">
        <f>VLOOKUP(A137,'Sets (lua data)'!$A$3:$C$9920,3,FALSE)</f>
        <v>Spawn of Mephala</v>
      </c>
      <c r="C137" s="8" t="str">
        <f>VLOOKUP(A137,'Sets (lua data)'!$A$3:$C$9920,2,FALSE)</f>
        <v>Mephalas Brut</v>
      </c>
      <c r="D137" t="s">
        <v>1420</v>
      </c>
      <c r="E137" s="3" t="str">
        <f>IF(ISNA(VLOOKUP(D137,'&lt;Constants&gt;'!$B$4:$C$44,2,FALSE)),"",VLOOKUP(D137,'&lt;Constants&gt;'!$B$4:$C$44,2,FALSE))</f>
        <v>Included in base game</v>
      </c>
    </row>
    <row r="138" spans="1:5" x14ac:dyDescent="0.25">
      <c r="A138" s="5">
        <v>163</v>
      </c>
      <c r="B138" s="8" t="str">
        <f>VLOOKUP(A138,'Sets (lua data)'!$A$3:$C$9920,3,FALSE)</f>
        <v>Blood Spawn</v>
      </c>
      <c r="C138" s="8" t="str">
        <f>VLOOKUP(A138,'Sets (lua data)'!$A$3:$C$9920,2,FALSE)</f>
        <v>Blutbrut</v>
      </c>
      <c r="D138" t="s">
        <v>1420</v>
      </c>
      <c r="E138" s="3" t="str">
        <f>IF(ISNA(VLOOKUP(D138,'&lt;Constants&gt;'!$B$4:$C$44,2,FALSE)),"",VLOOKUP(D138,'&lt;Constants&gt;'!$B$4:$C$44,2,FALSE))</f>
        <v>Included in base game</v>
      </c>
    </row>
    <row r="139" spans="1:5" x14ac:dyDescent="0.25">
      <c r="A139" s="5">
        <v>164</v>
      </c>
      <c r="B139" s="8" t="str">
        <f>VLOOKUP(A139,'Sets (lua data)'!$A$3:$C$9920,3,FALSE)</f>
        <v>Lord Warden</v>
      </c>
      <c r="C139" s="8" t="str">
        <f>VLOOKUP(A139,'Sets (lua data)'!$A$3:$C$9920,2,FALSE)</f>
        <v>Hochwärter</v>
      </c>
      <c r="D139" t="s">
        <v>1421</v>
      </c>
      <c r="E139" s="3" t="str">
        <f>IF(ISNA(VLOOKUP(D139,'&lt;Constants&gt;'!$B$4:$C$44,2,FALSE)),"",VLOOKUP(D139,'&lt;Constants&gt;'!$B$4:$C$44,2,FALSE))</f>
        <v>Imperial City</v>
      </c>
    </row>
    <row r="140" spans="1:5" x14ac:dyDescent="0.25">
      <c r="A140" s="5">
        <v>165</v>
      </c>
      <c r="B140" s="8" t="str">
        <f>VLOOKUP(A140,'Sets (lua data)'!$A$3:$C$9920,3,FALSE)</f>
        <v>Scourge Harvester</v>
      </c>
      <c r="C140" s="8" t="str">
        <f>VLOOKUP(A140,'Sets (lua data)'!$A$3:$C$9920,2,FALSE)</f>
        <v>Geißelernter</v>
      </c>
      <c r="D140" t="s">
        <v>1420</v>
      </c>
      <c r="E140" s="3" t="str">
        <f>IF(ISNA(VLOOKUP(D140,'&lt;Constants&gt;'!$B$4:$C$44,2,FALSE)),"",VLOOKUP(D140,'&lt;Constants&gt;'!$B$4:$C$44,2,FALSE))</f>
        <v>Included in base game</v>
      </c>
    </row>
    <row r="141" spans="1:5" x14ac:dyDescent="0.25">
      <c r="A141" s="5">
        <v>166</v>
      </c>
      <c r="B141" s="8" t="str">
        <f>VLOOKUP(A141,'Sets (lua data)'!$A$3:$C$9920,3,FALSE)</f>
        <v>Engine Guardian</v>
      </c>
      <c r="C141" s="8" t="str">
        <f>VLOOKUP(A141,'Sets (lua data)'!$A$3:$C$9920,2,FALSE)</f>
        <v>Maschinenwächter</v>
      </c>
      <c r="D141" t="s">
        <v>1420</v>
      </c>
      <c r="E141" s="3" t="str">
        <f>IF(ISNA(VLOOKUP(D141,'&lt;Constants&gt;'!$B$4:$C$44,2,FALSE)),"",VLOOKUP(D141,'&lt;Constants&gt;'!$B$4:$C$44,2,FALSE))</f>
        <v>Included in base game</v>
      </c>
    </row>
    <row r="142" spans="1:5" x14ac:dyDescent="0.25">
      <c r="A142" s="5">
        <v>167</v>
      </c>
      <c r="B142" s="8" t="str">
        <f>VLOOKUP(A142,'Sets (lua data)'!$A$3:$C$9920,3,FALSE)</f>
        <v>Nightflame</v>
      </c>
      <c r="C142" s="8" t="str">
        <f>VLOOKUP(A142,'Sets (lua data)'!$A$3:$C$9920,2,FALSE)</f>
        <v>Nachtflamme</v>
      </c>
      <c r="D142" t="s">
        <v>1420</v>
      </c>
      <c r="E142" s="3" t="str">
        <f>IF(ISNA(VLOOKUP(D142,'&lt;Constants&gt;'!$B$4:$C$44,2,FALSE)),"",VLOOKUP(D142,'&lt;Constants&gt;'!$B$4:$C$44,2,FALSE))</f>
        <v>Included in base game</v>
      </c>
    </row>
    <row r="143" spans="1:5" x14ac:dyDescent="0.25">
      <c r="A143" s="5">
        <v>168</v>
      </c>
      <c r="B143" s="8" t="str">
        <f>VLOOKUP(A143,'Sets (lua data)'!$A$3:$C$9920,3,FALSE)</f>
        <v>Nerien\'eth</v>
      </c>
      <c r="C143" s="8" t="str">
        <f>VLOOKUP(A143,'Sets (lua data)'!$A$3:$C$9920,2,FALSE)</f>
        <v>Nerien'eth</v>
      </c>
      <c r="D143" t="s">
        <v>1420</v>
      </c>
      <c r="E143" s="3" t="str">
        <f>IF(ISNA(VLOOKUP(D143,'&lt;Constants&gt;'!$B$4:$C$44,2,FALSE)),"",VLOOKUP(D143,'&lt;Constants&gt;'!$B$4:$C$44,2,FALSE))</f>
        <v>Included in base game</v>
      </c>
    </row>
    <row r="144" spans="1:5" x14ac:dyDescent="0.25">
      <c r="A144" s="5">
        <v>169</v>
      </c>
      <c r="B144" s="8" t="str">
        <f>VLOOKUP(A144,'Sets (lua data)'!$A$3:$C$9920,3,FALSE)</f>
        <v>Valkyn Skoria</v>
      </c>
      <c r="C144" s="8" t="str">
        <f>VLOOKUP(A144,'Sets (lua data)'!$A$3:$C$9920,2,FALSE)</f>
        <v>Valkyn Skoria</v>
      </c>
      <c r="D144" t="s">
        <v>1420</v>
      </c>
      <c r="E144" s="3" t="str">
        <f>IF(ISNA(VLOOKUP(D144,'&lt;Constants&gt;'!$B$4:$C$44,2,FALSE)),"",VLOOKUP(D144,'&lt;Constants&gt;'!$B$4:$C$44,2,FALSE))</f>
        <v>Included in base game</v>
      </c>
    </row>
    <row r="145" spans="1:5" x14ac:dyDescent="0.25">
      <c r="A145" s="5">
        <v>170</v>
      </c>
      <c r="B145" s="8" t="str">
        <f>VLOOKUP(A145,'Sets (lua data)'!$A$3:$C$9920,3,FALSE)</f>
        <v>Maw of the Infernal</v>
      </c>
      <c r="C145" s="8" t="str">
        <f>VLOOKUP(A145,'Sets (lua data)'!$A$3:$C$9920,2,FALSE)</f>
        <v>Schlund des Infernalen</v>
      </c>
      <c r="D145" t="s">
        <v>1420</v>
      </c>
      <c r="E145" s="3" t="str">
        <f>IF(ISNA(VLOOKUP(D145,'&lt;Constants&gt;'!$B$4:$C$44,2,FALSE)),"",VLOOKUP(D145,'&lt;Constants&gt;'!$B$4:$C$44,2,FALSE))</f>
        <v>Included in base game</v>
      </c>
    </row>
    <row r="146" spans="1:5" x14ac:dyDescent="0.25">
      <c r="A146" s="11">
        <v>171</v>
      </c>
      <c r="B146" s="8" t="str">
        <f>VLOOKUP(A146,'Sets (lua data)'!$A$3:$C$9920,3,FALSE)</f>
        <v>Eternal Warrior</v>
      </c>
      <c r="C146" s="8" t="str">
        <f>VLOOKUP(A146,'Sets (lua data)'!$A$3:$C$9920,2,FALSE)</f>
        <v>Ewiger Krieger</v>
      </c>
      <c r="D146" t="s">
        <v>1420</v>
      </c>
      <c r="E146" s="3" t="str">
        <f>IF(ISNA(VLOOKUP(D146,'&lt;Constants&gt;'!$B$4:$C$44,2,FALSE)),"",VLOOKUP(D146,'&lt;Constants&gt;'!$B$4:$C$44,2,FALSE))</f>
        <v>Included in base game</v>
      </c>
    </row>
    <row r="147" spans="1:5" x14ac:dyDescent="0.25">
      <c r="A147" s="11">
        <v>172</v>
      </c>
      <c r="B147" s="8" t="str">
        <f>VLOOKUP(A147,'Sets (lua data)'!$A$3:$C$9920,3,FALSE)</f>
        <v>Infallible Mage</v>
      </c>
      <c r="C147" s="8" t="str">
        <f>VLOOKUP(A147,'Sets (lua data)'!$A$3:$C$9920,2,FALSE)</f>
        <v>Unfehlbare Magierin</v>
      </c>
      <c r="D147" t="s">
        <v>1420</v>
      </c>
      <c r="E147" s="3" t="str">
        <f>IF(ISNA(VLOOKUP(D147,'&lt;Constants&gt;'!$B$4:$C$44,2,FALSE)),"",VLOOKUP(D147,'&lt;Constants&gt;'!$B$4:$C$44,2,FALSE))</f>
        <v>Included in base game</v>
      </c>
    </row>
    <row r="148" spans="1:5" x14ac:dyDescent="0.25">
      <c r="A148" s="11">
        <v>173</v>
      </c>
      <c r="B148" s="8" t="str">
        <f>VLOOKUP(A148,'Sets (lua data)'!$A$3:$C$9920,3,FALSE)</f>
        <v>Vicious Serpent</v>
      </c>
      <c r="C148" s="8" t="str">
        <f>VLOOKUP(A148,'Sets (lua data)'!$A$3:$C$9920,2,FALSE)</f>
        <v>Boshafte Schlange</v>
      </c>
      <c r="D148" t="s">
        <v>1420</v>
      </c>
      <c r="E148" s="3" t="str">
        <f>IF(ISNA(VLOOKUP(D148,'&lt;Constants&gt;'!$B$4:$C$44,2,FALSE)),"",VLOOKUP(D148,'&lt;Constants&gt;'!$B$4:$C$44,2,FALSE))</f>
        <v>Included in base game</v>
      </c>
    </row>
    <row r="149" spans="1:5" x14ac:dyDescent="0.25">
      <c r="A149" s="5">
        <v>176</v>
      </c>
      <c r="B149" s="8" t="str">
        <f>VLOOKUP(A149,'Sets (lua data)'!$A$3:$C$9920,3,FALSE)</f>
        <v>Noble\'s Conquest</v>
      </c>
      <c r="C149" s="8" t="str">
        <f>VLOOKUP(A149,'Sets (lua data)'!$A$3:$C$9920,2,FALSE)</f>
        <v>Adelssieg</v>
      </c>
      <c r="D149" t="s">
        <v>1421</v>
      </c>
      <c r="E149" s="3" t="str">
        <f>IF(ISNA(VLOOKUP(D149,'&lt;Constants&gt;'!$B$4:$C$44,2,FALSE)),"",VLOOKUP(D149,'&lt;Constants&gt;'!$B$4:$C$44,2,FALSE))</f>
        <v>Imperial City</v>
      </c>
    </row>
    <row r="150" spans="1:5" x14ac:dyDescent="0.25">
      <c r="A150" s="5">
        <v>177</v>
      </c>
      <c r="B150" s="8" t="str">
        <f>VLOOKUP(A150,'Sets (lua data)'!$A$3:$C$9920,3,FALSE)</f>
        <v>Redistributor</v>
      </c>
      <c r="C150" s="8" t="str">
        <f>VLOOKUP(A150,'Sets (lua data)'!$A$3:$C$9920,2,FALSE)</f>
        <v>Umverteilung</v>
      </c>
      <c r="D150" t="s">
        <v>1421</v>
      </c>
      <c r="E150" s="3" t="str">
        <f>IF(ISNA(VLOOKUP(D150,'&lt;Constants&gt;'!$B$4:$C$44,2,FALSE)),"",VLOOKUP(D150,'&lt;Constants&gt;'!$B$4:$C$44,2,FALSE))</f>
        <v>Imperial City</v>
      </c>
    </row>
    <row r="151" spans="1:5" x14ac:dyDescent="0.25">
      <c r="A151" s="5">
        <v>178</v>
      </c>
      <c r="B151" s="8" t="str">
        <f>VLOOKUP(A151,'Sets (lua data)'!$A$3:$C$9920,3,FALSE)</f>
        <v>Armor Master</v>
      </c>
      <c r="C151" s="8" t="str">
        <f>VLOOKUP(A151,'Sets (lua data)'!$A$3:$C$9920,2,FALSE)</f>
        <v>Rüstungsmeister</v>
      </c>
      <c r="D151" t="s">
        <v>1421</v>
      </c>
      <c r="E151" s="3" t="str">
        <f>IF(ISNA(VLOOKUP(D151,'&lt;Constants&gt;'!$B$4:$C$44,2,FALSE)),"",VLOOKUP(D151,'&lt;Constants&gt;'!$B$4:$C$44,2,FALSE))</f>
        <v>Imperial City</v>
      </c>
    </row>
    <row r="152" spans="1:5" x14ac:dyDescent="0.25">
      <c r="A152" s="11">
        <v>179</v>
      </c>
      <c r="B152" s="8" t="str">
        <f>VLOOKUP(A152,'Sets (lua data)'!$A$3:$C$9920,3,FALSE)</f>
        <v>Black Rose</v>
      </c>
      <c r="C152" s="8" t="str">
        <f>VLOOKUP(A152,'Sets (lua data)'!$A$3:$C$9920,2,FALSE)</f>
        <v>Schwarze Rose</v>
      </c>
      <c r="D152" t="s">
        <v>1421</v>
      </c>
      <c r="E152" s="3" t="str">
        <f>IF(ISNA(VLOOKUP(D152,'&lt;Constants&gt;'!$B$4:$C$44,2,FALSE)),"",VLOOKUP(D152,'&lt;Constants&gt;'!$B$4:$C$44,2,FALSE))</f>
        <v>Imperial City</v>
      </c>
    </row>
    <row r="153" spans="1:5" x14ac:dyDescent="0.25">
      <c r="A153" s="11">
        <v>180</v>
      </c>
      <c r="B153" s="8" t="str">
        <f>VLOOKUP(A153,'Sets (lua data)'!$A$3:$C$9920,3,FALSE)</f>
        <v>Powerful Assault</v>
      </c>
      <c r="C153" s="8" t="str">
        <f>VLOOKUP(A153,'Sets (lua data)'!$A$3:$C$9920,2,FALSE)</f>
        <v>Kraftvoller Ansturm</v>
      </c>
      <c r="D153" t="s">
        <v>1421</v>
      </c>
      <c r="E153" s="3" t="str">
        <f>IF(ISNA(VLOOKUP(D153,'&lt;Constants&gt;'!$B$4:$C$44,2,FALSE)),"",VLOOKUP(D153,'&lt;Constants&gt;'!$B$4:$C$44,2,FALSE))</f>
        <v>Imperial City</v>
      </c>
    </row>
    <row r="154" spans="1:5" x14ac:dyDescent="0.25">
      <c r="A154" s="11">
        <v>181</v>
      </c>
      <c r="B154" s="8" t="str">
        <f>VLOOKUP(A154,'Sets (lua data)'!$A$3:$C$9920,3,FALSE)</f>
        <v>Meritorious Service</v>
      </c>
      <c r="C154" s="8" t="str">
        <f>VLOOKUP(A154,'Sets (lua data)'!$A$3:$C$9920,2,FALSE)</f>
        <v>Meritorischer Dienst</v>
      </c>
      <c r="D154" t="s">
        <v>1421</v>
      </c>
      <c r="E154" s="3" t="str">
        <f>IF(ISNA(VLOOKUP(D154,'&lt;Constants&gt;'!$B$4:$C$44,2,FALSE)),"",VLOOKUP(D154,'&lt;Constants&gt;'!$B$4:$C$44,2,FALSE))</f>
        <v>Imperial City</v>
      </c>
    </row>
    <row r="155" spans="1:5" x14ac:dyDescent="0.25">
      <c r="A155" s="5">
        <v>183</v>
      </c>
      <c r="B155" s="8" t="str">
        <f>VLOOKUP(A155,'Sets (lua data)'!$A$3:$C$9920,3,FALSE)</f>
        <v>Molag Kena</v>
      </c>
      <c r="C155" s="8" t="str">
        <f>VLOOKUP(A155,'Sets (lua data)'!$A$3:$C$9920,2,FALSE)</f>
        <v>Molag Kena</v>
      </c>
      <c r="D155" t="s">
        <v>1421</v>
      </c>
      <c r="E155" s="3" t="str">
        <f>IF(ISNA(VLOOKUP(D155,'&lt;Constants&gt;'!$B$4:$C$44,2,FALSE)),"",VLOOKUP(D155,'&lt;Constants&gt;'!$B$4:$C$44,2,FALSE))</f>
        <v>Imperial City</v>
      </c>
    </row>
    <row r="156" spans="1:5" x14ac:dyDescent="0.25">
      <c r="A156" s="11">
        <v>184</v>
      </c>
      <c r="B156" s="8" t="str">
        <f>VLOOKUP(A156,'Sets (lua data)'!$A$3:$C$9920,3,FALSE)</f>
        <v>Brands of Imperium</v>
      </c>
      <c r="C156" s="8" t="str">
        <f>VLOOKUP(A156,'Sets (lua data)'!$A$3:$C$9920,2,FALSE)</f>
        <v>Male des Kaiserreichs</v>
      </c>
      <c r="D156" t="s">
        <v>1421</v>
      </c>
      <c r="E156" s="3" t="str">
        <f>IF(ISNA(VLOOKUP(D156,'&lt;Constants&gt;'!$B$4:$C$44,2,FALSE)),"",VLOOKUP(D156,'&lt;Constants&gt;'!$B$4:$C$44,2,FALSE))</f>
        <v>Imperial City</v>
      </c>
    </row>
    <row r="157" spans="1:5" x14ac:dyDescent="0.25">
      <c r="A157" s="11">
        <v>185</v>
      </c>
      <c r="B157" s="8" t="str">
        <f>VLOOKUP(A157,'Sets (lua data)'!$A$3:$C$9920,3,FALSE)</f>
        <v>Spell Power Cure</v>
      </c>
      <c r="C157" s="8" t="str">
        <f>VLOOKUP(A157,'Sets (lua data)'!$A$3:$C$9920,2,FALSE)</f>
        <v>Magiekraftheilung</v>
      </c>
      <c r="D157" t="s">
        <v>1421</v>
      </c>
      <c r="E157" s="3" t="str">
        <f>IF(ISNA(VLOOKUP(D157,'&lt;Constants&gt;'!$B$4:$C$44,2,FALSE)),"",VLOOKUP(D157,'&lt;Constants&gt;'!$B$4:$C$44,2,FALSE))</f>
        <v>Imperial City</v>
      </c>
    </row>
    <row r="158" spans="1:5" x14ac:dyDescent="0.25">
      <c r="A158" s="11">
        <v>186</v>
      </c>
      <c r="B158" s="8" t="str">
        <f>VLOOKUP(A158,'Sets (lua data)'!$A$3:$C$9920,3,FALSE)</f>
        <v>Jolting Arms</v>
      </c>
      <c r="C158" s="8" t="str">
        <f>VLOOKUP(A158,'Sets (lua data)'!$A$3:$C$9920,2,FALSE)</f>
        <v>Rüttelnde Rüstung</v>
      </c>
      <c r="D158" t="s">
        <v>1420</v>
      </c>
      <c r="E158" s="3" t="str">
        <f>IF(ISNA(VLOOKUP(D158,'&lt;Constants&gt;'!$B$4:$C$44,2,FALSE)),"",VLOOKUP(D158,'&lt;Constants&gt;'!$B$4:$C$44,2,FALSE))</f>
        <v>Included in base game</v>
      </c>
    </row>
    <row r="159" spans="1:5" x14ac:dyDescent="0.25">
      <c r="A159" s="11">
        <v>187</v>
      </c>
      <c r="B159" s="8" t="str">
        <f>VLOOKUP(A159,'Sets (lua data)'!$A$3:$C$9920,3,FALSE)</f>
        <v>Swamp Raider</v>
      </c>
      <c r="C159" s="8" t="str">
        <f>VLOOKUP(A159,'Sets (lua data)'!$A$3:$C$9920,2,FALSE)</f>
        <v>Sumpfräuber</v>
      </c>
      <c r="D159" t="s">
        <v>1420</v>
      </c>
      <c r="E159" s="3" t="str">
        <f>IF(ISNA(VLOOKUP(D159,'&lt;Constants&gt;'!$B$4:$C$44,2,FALSE)),"",VLOOKUP(D159,'&lt;Constants&gt;'!$B$4:$C$44,2,FALSE))</f>
        <v>Included in base game</v>
      </c>
    </row>
    <row r="160" spans="1:5" x14ac:dyDescent="0.25">
      <c r="A160" s="11">
        <v>188</v>
      </c>
      <c r="B160" s="8" t="str">
        <f>VLOOKUP(A160,'Sets (lua data)'!$A$3:$C$9920,3,FALSE)</f>
        <v>Storm Master</v>
      </c>
      <c r="C160" s="8" t="str">
        <f>VLOOKUP(A160,'Sets (lua data)'!$A$3:$C$9920,2,FALSE)</f>
        <v>Sturmmeister</v>
      </c>
      <c r="D160" t="s">
        <v>1420</v>
      </c>
      <c r="E160" s="3" t="str">
        <f>IF(ISNA(VLOOKUP(D160,'&lt;Constants&gt;'!$B$4:$C$44,2,FALSE)),"",VLOOKUP(D160,'&lt;Constants&gt;'!$B$4:$C$44,2,FALSE))</f>
        <v>Included in base game</v>
      </c>
    </row>
    <row r="161" spans="1:6" x14ac:dyDescent="0.25">
      <c r="A161" s="11">
        <v>190</v>
      </c>
      <c r="B161" s="8" t="str">
        <f>VLOOKUP(A161,'Sets (lua data)'!$A$3:$C$9920,3,FALSE)</f>
        <v>Scathing Mage</v>
      </c>
      <c r="C161" s="8" t="str">
        <f>VLOOKUP(A161,'Sets (lua data)'!$A$3:$C$9920,2,FALSE)</f>
        <v>Verletzender Magier</v>
      </c>
      <c r="D161" t="s">
        <v>1421</v>
      </c>
      <c r="E161" s="3" t="str">
        <f>IF(ISNA(VLOOKUP(D161,'&lt;Constants&gt;'!$B$4:$C$44,2,FALSE)),"",VLOOKUP(D161,'&lt;Constants&gt;'!$B$4:$C$44,2,FALSE))</f>
        <v>Imperial City</v>
      </c>
    </row>
    <row r="162" spans="1:6" x14ac:dyDescent="0.25">
      <c r="A162" s="11">
        <v>193</v>
      </c>
      <c r="B162" s="8" t="str">
        <f>VLOOKUP(A162,'Sets (lua data)'!$A$3:$C$9920,3,FALSE)</f>
        <v>Overwhelming Surge</v>
      </c>
      <c r="C162" s="8" t="str">
        <f>VLOOKUP(A162,'Sets (lua data)'!$A$3:$C$9920,2,FALSE)</f>
        <v>Überwältigende Woge</v>
      </c>
      <c r="D162" t="s">
        <v>1420</v>
      </c>
      <c r="E162" s="3" t="str">
        <f>IF(ISNA(VLOOKUP(D162,'&lt;Constants&gt;'!$B$4:$C$44,2,FALSE)),"",VLOOKUP(D162,'&lt;Constants&gt;'!$B$4:$C$44,2,FALSE))</f>
        <v>Included in base game</v>
      </c>
    </row>
    <row r="163" spans="1:6" x14ac:dyDescent="0.25">
      <c r="A163" s="11">
        <v>194</v>
      </c>
      <c r="B163" s="8" t="str">
        <f>VLOOKUP(A163,'Sets (lua data)'!$A$3:$C$9920,3,FALSE)</f>
        <v>Combat Physician</v>
      </c>
      <c r="C163" s="8" t="str">
        <f>VLOOKUP(A163,'Sets (lua data)'!$A$3:$C$9920,2,FALSE)</f>
        <v>Feldarzt</v>
      </c>
      <c r="D163" t="s">
        <v>1420</v>
      </c>
      <c r="E163" s="3" t="str">
        <f>IF(ISNA(VLOOKUP(D163,'&lt;Constants&gt;'!$B$4:$C$44,2,FALSE)),"",VLOOKUP(D163,'&lt;Constants&gt;'!$B$4:$C$44,2,FALSE))</f>
        <v>Included in base game</v>
      </c>
    </row>
    <row r="164" spans="1:6" x14ac:dyDescent="0.25">
      <c r="A164" s="11">
        <v>195</v>
      </c>
      <c r="B164" s="8" t="str">
        <f>VLOOKUP(A164,'Sets (lua data)'!$A$3:$C$9920,3,FALSE)</f>
        <v>Sheer Venom</v>
      </c>
      <c r="C164" s="8" t="str">
        <f>VLOOKUP(A164,'Sets (lua data)'!$A$3:$C$9920,2,FALSE)</f>
        <v>Reingift</v>
      </c>
      <c r="D164" t="s">
        <v>1421</v>
      </c>
      <c r="E164" s="3" t="str">
        <f>IF(ISNA(VLOOKUP(D164,'&lt;Constants&gt;'!$B$4:$C$44,2,FALSE)),"",VLOOKUP(D164,'&lt;Constants&gt;'!$B$4:$C$44,2,FALSE))</f>
        <v>Imperial City</v>
      </c>
    </row>
    <row r="165" spans="1:6" x14ac:dyDescent="0.25">
      <c r="A165" s="11">
        <v>196</v>
      </c>
      <c r="B165" s="8" t="str">
        <f>VLOOKUP(A165,'Sets (lua data)'!$A$3:$C$9920,3,FALSE)</f>
        <v>Leeching Plate</v>
      </c>
      <c r="C165" s="8" t="str">
        <f>VLOOKUP(A165,'Sets (lua data)'!$A$3:$C$9920,2,FALSE)</f>
        <v>Auslaugende Rüstung</v>
      </c>
      <c r="D165" t="s">
        <v>1421</v>
      </c>
      <c r="E165" s="3" t="str">
        <f>IF(ISNA(VLOOKUP(D165,'&lt;Constants&gt;'!$B$4:$C$44,2,FALSE)),"",VLOOKUP(D165,'&lt;Constants&gt;'!$B$4:$C$44,2,FALSE))</f>
        <v>Imperial City</v>
      </c>
    </row>
    <row r="166" spans="1:6" x14ac:dyDescent="0.25">
      <c r="A166" s="11">
        <v>197</v>
      </c>
      <c r="B166" s="8" t="str">
        <f>VLOOKUP(A166,'Sets (lua data)'!$A$3:$C$9920,3,FALSE)</f>
        <v>Tormentor</v>
      </c>
      <c r="C166" s="8" t="str">
        <f>VLOOKUP(A166,'Sets (lua data)'!$A$3:$C$9920,2,FALSE)</f>
        <v>Quälender</v>
      </c>
      <c r="D166" t="s">
        <v>1420</v>
      </c>
      <c r="E166" s="3" t="str">
        <f>IF(ISNA(VLOOKUP(D166,'&lt;Constants&gt;'!$B$4:$C$44,2,FALSE)),"",VLOOKUP(D166,'&lt;Constants&gt;'!$B$4:$C$44,2,FALSE))</f>
        <v>Included in base game</v>
      </c>
    </row>
    <row r="167" spans="1:6" x14ac:dyDescent="0.25">
      <c r="A167" s="11">
        <v>198</v>
      </c>
      <c r="B167" s="8" t="str">
        <f>VLOOKUP(A167,'Sets (lua data)'!$A$3:$C$9920,3,FALSE)</f>
        <v>Essence Thief</v>
      </c>
      <c r="C167" s="8" t="str">
        <f>VLOOKUP(A167,'Sets (lua data)'!$A$3:$C$9920,2,FALSE)</f>
        <v>Essenzdieb</v>
      </c>
      <c r="D167" t="s">
        <v>1421</v>
      </c>
      <c r="E167" s="3" t="str">
        <f>IF(ISNA(VLOOKUP(D167,'&lt;Constants&gt;'!$B$4:$C$44,2,FALSE)),"",VLOOKUP(D167,'&lt;Constants&gt;'!$B$4:$C$44,2,FALSE))</f>
        <v>Imperial City</v>
      </c>
    </row>
    <row r="168" spans="1:6" x14ac:dyDescent="0.25">
      <c r="A168" s="11">
        <v>199</v>
      </c>
      <c r="B168" s="8" t="str">
        <f>VLOOKUP(A168,'Sets (lua data)'!$A$3:$C$9920,3,FALSE)</f>
        <v>Shield Breaker</v>
      </c>
      <c r="C168" s="8" t="str">
        <f>VLOOKUP(A168,'Sets (lua data)'!$A$3:$C$9920,2,FALSE)</f>
        <v>Schildbrecher</v>
      </c>
      <c r="D168" t="s">
        <v>1421</v>
      </c>
      <c r="E168" s="3" t="str">
        <f>IF(ISNA(VLOOKUP(D168,'&lt;Constants&gt;'!$B$4:$C$44,2,FALSE)),"",VLOOKUP(D168,'&lt;Constants&gt;'!$B$4:$C$44,2,FALSE))</f>
        <v>Imperial City</v>
      </c>
    </row>
    <row r="169" spans="1:6" x14ac:dyDescent="0.25">
      <c r="A169" s="11">
        <v>200</v>
      </c>
      <c r="B169" s="8" t="str">
        <f>VLOOKUP(A169,'Sets (lua data)'!$A$3:$C$9920,3,FALSE)</f>
        <v>Phoenix</v>
      </c>
      <c r="C169" s="8" t="str">
        <f>VLOOKUP(A169,'Sets (lua data)'!$A$3:$C$9920,2,FALSE)</f>
        <v>Phönix</v>
      </c>
      <c r="D169" t="s">
        <v>1421</v>
      </c>
      <c r="E169" s="3" t="str">
        <f>IF(ISNA(VLOOKUP(D169,'&lt;Constants&gt;'!$B$4:$C$44,2,FALSE)),"",VLOOKUP(D169,'&lt;Constants&gt;'!$B$4:$C$44,2,FALSE))</f>
        <v>Imperial City</v>
      </c>
    </row>
    <row r="170" spans="1:6" x14ac:dyDescent="0.25">
      <c r="A170" s="11">
        <v>201</v>
      </c>
      <c r="B170" s="8" t="str">
        <f>VLOOKUP(A170,'Sets (lua data)'!$A$3:$C$9920,3,FALSE)</f>
        <v>Reactive Armor</v>
      </c>
      <c r="C170" s="8" t="str">
        <f>VLOOKUP(A170,'Sets (lua data)'!$A$3:$C$9920,2,FALSE)</f>
        <v>Reaktive Rüstung</v>
      </c>
      <c r="D170" t="s">
        <v>1421</v>
      </c>
      <c r="E170" s="3" t="str">
        <f>IF(ISNA(VLOOKUP(D170,'&lt;Constants&gt;'!$B$4:$C$44,2,FALSE)),"",VLOOKUP(D170,'&lt;Constants&gt;'!$B$4:$C$44,2,FALSE))</f>
        <v>Imperial City</v>
      </c>
    </row>
    <row r="171" spans="1:6" x14ac:dyDescent="0.25">
      <c r="A171" s="11">
        <v>204</v>
      </c>
      <c r="B171" s="8" t="str">
        <f>VLOOKUP(A171,'Sets (lua data)'!$A$3:$C$9920,3,FALSE)</f>
        <v>Endurance</v>
      </c>
      <c r="C171" s="8" t="str">
        <f>VLOOKUP(A171,'Sets (lua data)'!$A$3:$C$9920,2,FALSE)</f>
        <v>Beständigkeit</v>
      </c>
      <c r="D171" t="s">
        <v>1421</v>
      </c>
      <c r="E171" s="3" t="str">
        <f>IF(ISNA(VLOOKUP(D171,'&lt;Constants&gt;'!$B$4:$C$44,2,FALSE)),"",VLOOKUP(D171,'&lt;Constants&gt;'!$B$4:$C$44,2,FALSE))</f>
        <v>Imperial City</v>
      </c>
    </row>
    <row r="172" spans="1:6" x14ac:dyDescent="0.25">
      <c r="A172" s="11">
        <v>205</v>
      </c>
      <c r="B172" s="8" t="str">
        <f>VLOOKUP(A172,'Sets (lua data)'!$A$3:$C$9920,3,FALSE)</f>
        <v>Willpower</v>
      </c>
      <c r="C172" s="8" t="str">
        <f>VLOOKUP(A172,'Sets (lua data)'!$A$3:$C$9920,2,FALSE)</f>
        <v>Willenskraft</v>
      </c>
      <c r="D172" t="s">
        <v>1421</v>
      </c>
      <c r="E172" s="3" t="str">
        <f>IF(ISNA(VLOOKUP(D172,'&lt;Constants&gt;'!$B$4:$C$44,2,FALSE)),"",VLOOKUP(D172,'&lt;Constants&gt;'!$B$4:$C$44,2,FALSE))</f>
        <v>Imperial City</v>
      </c>
    </row>
    <row r="173" spans="1:6" x14ac:dyDescent="0.25">
      <c r="A173" s="11">
        <v>206</v>
      </c>
      <c r="B173" s="8" t="str">
        <f>VLOOKUP(A173,'Sets (lua data)'!$A$3:$C$9920,3,FALSE)</f>
        <v>Agility</v>
      </c>
      <c r="C173" s="8" t="str">
        <f>VLOOKUP(A173,'Sets (lua data)'!$A$3:$C$9920,2,FALSE)</f>
        <v>Agilität</v>
      </c>
      <c r="D173" t="s">
        <v>1421</v>
      </c>
      <c r="E173" s="3" t="str">
        <f>IF(ISNA(VLOOKUP(D173,'&lt;Constants&gt;'!$B$4:$C$44,2,FALSE)),"",VLOOKUP(D173,'&lt;Constants&gt;'!$B$4:$C$44,2,FALSE))</f>
        <v>Imperial City</v>
      </c>
    </row>
    <row r="174" spans="1:6" x14ac:dyDescent="0.25">
      <c r="A174" s="5">
        <v>207</v>
      </c>
      <c r="B174" s="8" t="str">
        <f>VLOOKUP(A174,'Sets (lua data)'!$A$3:$C$9920,3,FALSE)</f>
        <v>Law of Julianos</v>
      </c>
      <c r="C174" s="8" t="str">
        <f>VLOOKUP(A174,'Sets (lua data)'!$A$3:$C$9920,2,FALSE)</f>
        <v>Gesetz von Julianos</v>
      </c>
      <c r="D174" t="s">
        <v>1422</v>
      </c>
      <c r="E174" s="3" t="str">
        <f>IF(ISNA(VLOOKUP(D174,'&lt;Constants&gt;'!$B$4:$C$44,2,FALSE)),"",VLOOKUP(D174,'&lt;Constants&gt;'!$B$4:$C$44,2,FALSE))</f>
        <v>Orsinium</v>
      </c>
    </row>
    <row r="175" spans="1:6" x14ac:dyDescent="0.25">
      <c r="A175" s="5">
        <v>208</v>
      </c>
      <c r="B175" s="8" t="str">
        <f>VLOOKUP(A175,'Sets (lua data)'!$A$3:$C$9920,3,FALSE)</f>
        <v>Trial by Fire</v>
      </c>
      <c r="C175" s="8" t="str">
        <f>VLOOKUP(A175,'Sets (lua data)'!$A$3:$C$9920,2,FALSE)</f>
        <v>Feuertaufe</v>
      </c>
      <c r="D175" t="s">
        <v>1422</v>
      </c>
      <c r="E175" s="3" t="str">
        <f>IF(ISNA(VLOOKUP(D175,'&lt;Constants&gt;'!$B$4:$C$44,2,FALSE)),"",VLOOKUP(D175,'&lt;Constants&gt;'!$B$4:$C$44,2,FALSE))</f>
        <v>Orsinium</v>
      </c>
    </row>
    <row r="176" spans="1:6" x14ac:dyDescent="0.25">
      <c r="A176" s="21">
        <v>209</v>
      </c>
      <c r="B176" s="120" t="str">
        <f>VLOOKUP(A176,'Sets (lua data)'!$A$3:$C$9920,3,FALSE)</f>
        <v>Armor of the Code</v>
      </c>
      <c r="C176" s="120" t="str">
        <f>VLOOKUP(A176,'Sets (lua data)'!$A$3:$C$9920,2,FALSE)</f>
        <v>Armor of the Code</v>
      </c>
      <c r="E176" s="3" t="str">
        <f>IF(ISNA(VLOOKUP(D176,'&lt;Constants&gt;'!$B$4:$C$44,2,FALSE)),"",VLOOKUP(D176,'&lt;Constants&gt;'!$B$4:$C$44,2,FALSE))</f>
        <v/>
      </c>
      <c r="F176" t="s">
        <v>4223</v>
      </c>
    </row>
    <row r="177" spans="1:5" x14ac:dyDescent="0.25">
      <c r="A177" s="11">
        <v>210</v>
      </c>
      <c r="B177" s="8" t="str">
        <f>VLOOKUP(A177,'Sets (lua data)'!$A$3:$C$9920,3,FALSE)</f>
        <v>Mark of the Pariah</v>
      </c>
      <c r="C177" s="8" t="str">
        <f>VLOOKUP(A177,'Sets (lua data)'!$A$3:$C$9920,2,FALSE)</f>
        <v>Zeichen des Ausgestoßenen</v>
      </c>
      <c r="D177" t="s">
        <v>1422</v>
      </c>
      <c r="E177" s="3" t="str">
        <f>IF(ISNA(VLOOKUP(D177,'&lt;Constants&gt;'!$B$4:$C$44,2,FALSE)),"",VLOOKUP(D177,'&lt;Constants&gt;'!$B$4:$C$44,2,FALSE))</f>
        <v>Orsinium</v>
      </c>
    </row>
    <row r="178" spans="1:5" x14ac:dyDescent="0.25">
      <c r="A178" s="11">
        <v>211</v>
      </c>
      <c r="B178" s="8" t="str">
        <f>VLOOKUP(A178,'Sets (lua data)'!$A$3:$C$9920,3,FALSE)</f>
        <v>Permafrost</v>
      </c>
      <c r="C178" s="8" t="str">
        <f>VLOOKUP(A178,'Sets (lua data)'!$A$3:$C$9920,2,FALSE)</f>
        <v>Permafrost</v>
      </c>
      <c r="D178" t="s">
        <v>1422</v>
      </c>
      <c r="E178" s="3" t="str">
        <f>IF(ISNA(VLOOKUP(D178,'&lt;Constants&gt;'!$B$4:$C$44,2,FALSE)),"",VLOOKUP(D178,'&lt;Constants&gt;'!$B$4:$C$44,2,FALSE))</f>
        <v>Orsinium</v>
      </c>
    </row>
    <row r="179" spans="1:5" x14ac:dyDescent="0.25">
      <c r="A179" s="11">
        <v>212</v>
      </c>
      <c r="B179" s="8" t="str">
        <f>VLOOKUP(A179,'Sets (lua data)'!$A$3:$C$9920,3,FALSE)</f>
        <v>Briarheart</v>
      </c>
      <c r="C179" s="8" t="str">
        <f>VLOOKUP(A179,'Sets (lua data)'!$A$3:$C$9920,2,FALSE)</f>
        <v>Dornenherz</v>
      </c>
      <c r="D179" t="s">
        <v>1422</v>
      </c>
      <c r="E179" s="3" t="str">
        <f>IF(ISNA(VLOOKUP(D179,'&lt;Constants&gt;'!$B$4:$C$44,2,FALSE)),"",VLOOKUP(D179,'&lt;Constants&gt;'!$B$4:$C$44,2,FALSE))</f>
        <v>Orsinium</v>
      </c>
    </row>
    <row r="180" spans="1:5" x14ac:dyDescent="0.25">
      <c r="A180" s="11">
        <v>213</v>
      </c>
      <c r="B180" s="8" t="str">
        <f>VLOOKUP(A180,'Sets (lua data)'!$A$3:$C$9920,3,FALSE)</f>
        <v>Glorious Defender</v>
      </c>
      <c r="C180" s="8" t="str">
        <f>VLOOKUP(A180,'Sets (lua data)'!$A$3:$C$9920,2,FALSE)</f>
        <v>Ruhmreicher Verteidiger</v>
      </c>
      <c r="D180" t="s">
        <v>1422</v>
      </c>
      <c r="E180" s="3" t="str">
        <f>IF(ISNA(VLOOKUP(D180,'&lt;Constants&gt;'!$B$4:$C$44,2,FALSE)),"",VLOOKUP(D180,'&lt;Constants&gt;'!$B$4:$C$44,2,FALSE))</f>
        <v>Orsinium</v>
      </c>
    </row>
    <row r="181" spans="1:5" x14ac:dyDescent="0.25">
      <c r="A181" s="11">
        <v>214</v>
      </c>
      <c r="B181" s="8" t="str">
        <f>VLOOKUP(A181,'Sets (lua data)'!$A$3:$C$9920,3,FALSE)</f>
        <v>Para Bellum</v>
      </c>
      <c r="C181" s="8" t="str">
        <f>VLOOKUP(A181,'Sets (lua data)'!$A$3:$C$9920,2,FALSE)</f>
        <v>Para Bellum</v>
      </c>
      <c r="D181" t="s">
        <v>1422</v>
      </c>
      <c r="E181" s="3" t="str">
        <f>IF(ISNA(VLOOKUP(D181,'&lt;Constants&gt;'!$B$4:$C$44,2,FALSE)),"",VLOOKUP(D181,'&lt;Constants&gt;'!$B$4:$C$44,2,FALSE))</f>
        <v>Orsinium</v>
      </c>
    </row>
    <row r="182" spans="1:5" x14ac:dyDescent="0.25">
      <c r="A182" s="11">
        <v>215</v>
      </c>
      <c r="B182" s="8" t="str">
        <f>VLOOKUP(A182,'Sets (lua data)'!$A$3:$C$9920,3,FALSE)</f>
        <v>Elemental Succession</v>
      </c>
      <c r="C182" s="8" t="str">
        <f>VLOOKUP(A182,'Sets (lua data)'!$A$3:$C$9920,2,FALSE)</f>
        <v>Elementarfolge</v>
      </c>
      <c r="D182" t="s">
        <v>1422</v>
      </c>
      <c r="E182" s="3" t="str">
        <f>IF(ISNA(VLOOKUP(D182,'&lt;Constants&gt;'!$B$4:$C$44,2,FALSE)),"",VLOOKUP(D182,'&lt;Constants&gt;'!$B$4:$C$44,2,FALSE))</f>
        <v>Orsinium</v>
      </c>
    </row>
    <row r="183" spans="1:5" x14ac:dyDescent="0.25">
      <c r="A183" s="11">
        <v>216</v>
      </c>
      <c r="B183" s="8" t="str">
        <f>VLOOKUP(A183,'Sets (lua data)'!$A$3:$C$9920,3,FALSE)</f>
        <v>Hunt Leader</v>
      </c>
      <c r="C183" s="8" t="str">
        <f>VLOOKUP(A183,'Sets (lua data)'!$A$3:$C$9920,2,FALSE)</f>
        <v>Jagdleiter</v>
      </c>
      <c r="D183" t="s">
        <v>1422</v>
      </c>
      <c r="E183" s="3" t="str">
        <f>IF(ISNA(VLOOKUP(D183,'&lt;Constants&gt;'!$B$4:$C$44,2,FALSE)),"",VLOOKUP(D183,'&lt;Constants&gt;'!$B$4:$C$44,2,FALSE))</f>
        <v>Orsinium</v>
      </c>
    </row>
    <row r="184" spans="1:5" x14ac:dyDescent="0.25">
      <c r="A184" s="11">
        <v>217</v>
      </c>
      <c r="B184" s="8" t="str">
        <f>VLOOKUP(A184,'Sets (lua data)'!$A$3:$C$9920,3,FALSE)</f>
        <v>Winterborn</v>
      </c>
      <c r="C184" s="8" t="str">
        <f>VLOOKUP(A184,'Sets (lua data)'!$A$3:$C$9920,2,FALSE)</f>
        <v>Winterkind</v>
      </c>
      <c r="D184" t="s">
        <v>1422</v>
      </c>
      <c r="E184" s="3" t="str">
        <f>IF(ISNA(VLOOKUP(D184,'&lt;Constants&gt;'!$B$4:$C$44,2,FALSE)),"",VLOOKUP(D184,'&lt;Constants&gt;'!$B$4:$C$44,2,FALSE))</f>
        <v>Orsinium</v>
      </c>
    </row>
    <row r="185" spans="1:5" x14ac:dyDescent="0.25">
      <c r="A185" s="11">
        <v>218</v>
      </c>
      <c r="B185" s="8" t="str">
        <f>VLOOKUP(A185,'Sets (lua data)'!$A$3:$C$9920,3,FALSE)</f>
        <v>Trinimac\'s Valor</v>
      </c>
      <c r="C185" s="8" t="str">
        <f>VLOOKUP(A185,'Sets (lua data)'!$A$3:$C$9920,2,FALSE)</f>
        <v>Trinimacs Heldenmut</v>
      </c>
      <c r="D185" t="s">
        <v>1422</v>
      </c>
      <c r="E185" s="3" t="str">
        <f>IF(ISNA(VLOOKUP(D185,'&lt;Constants&gt;'!$B$4:$C$44,2,FALSE)),"",VLOOKUP(D185,'&lt;Constants&gt;'!$B$4:$C$44,2,FALSE))</f>
        <v>Orsinium</v>
      </c>
    </row>
    <row r="186" spans="1:5" x14ac:dyDescent="0.25">
      <c r="A186" s="5">
        <v>219</v>
      </c>
      <c r="B186" s="8" t="str">
        <f>VLOOKUP(A186,'Sets (lua data)'!$A$3:$C$9920,3,FALSE)</f>
        <v>Morkuldin</v>
      </c>
      <c r="C186" s="8" t="str">
        <f>VLOOKUP(A186,'Sets (lua data)'!$A$3:$C$9920,2,FALSE)</f>
        <v>Morkuldin</v>
      </c>
      <c r="D186" t="s">
        <v>1422</v>
      </c>
      <c r="E186" s="3" t="str">
        <f>IF(ISNA(VLOOKUP(D186,'&lt;Constants&gt;'!$B$4:$C$44,2,FALSE)),"",VLOOKUP(D186,'&lt;Constants&gt;'!$B$4:$C$44,2,FALSE))</f>
        <v>Orsinium</v>
      </c>
    </row>
    <row r="187" spans="1:5" x14ac:dyDescent="0.25">
      <c r="A187" s="5">
        <v>224</v>
      </c>
      <c r="B187" s="8" t="str">
        <f>VLOOKUP(A187,'Sets (lua data)'!$A$3:$C$9920,3,FALSE)</f>
        <v>Tava\'s Favor</v>
      </c>
      <c r="C187" s="8" t="str">
        <f>VLOOKUP(A187,'Sets (lua data)'!$A$3:$C$9920,2,FALSE)</f>
        <v>Tavas Gunst</v>
      </c>
      <c r="D187" s="101" t="s">
        <v>1423</v>
      </c>
      <c r="E187" s="3" t="str">
        <f>IF(ISNA(VLOOKUP(D187,'&lt;Constants&gt;'!$B$4:$C$44,2,FALSE)),"",VLOOKUP(D187,'&lt;Constants&gt;'!$B$4:$C$44,2,FALSE))</f>
        <v>Thieves Guild</v>
      </c>
    </row>
    <row r="188" spans="1:5" x14ac:dyDescent="0.25">
      <c r="A188" s="5">
        <v>225</v>
      </c>
      <c r="B188" s="8" t="str">
        <f>VLOOKUP(A188,'Sets (lua data)'!$A$3:$C$9920,3,FALSE)</f>
        <v>Clever Alchemist</v>
      </c>
      <c r="C188" s="8" t="str">
        <f>VLOOKUP(A188,'Sets (lua data)'!$A$3:$C$9920,2,FALSE)</f>
        <v>Schlauer Alchemist</v>
      </c>
      <c r="D188" s="101" t="s">
        <v>1423</v>
      </c>
      <c r="E188" s="3" t="str">
        <f>IF(ISNA(VLOOKUP(D188,'&lt;Constants&gt;'!$B$4:$C$44,2,FALSE)),"",VLOOKUP(D188,'&lt;Constants&gt;'!$B$4:$C$44,2,FALSE))</f>
        <v>Thieves Guild</v>
      </c>
    </row>
    <row r="189" spans="1:5" x14ac:dyDescent="0.25">
      <c r="A189" s="5">
        <v>226</v>
      </c>
      <c r="B189" s="8" t="str">
        <f>VLOOKUP(A189,'Sets (lua data)'!$A$3:$C$9920,3,FALSE)</f>
        <v>Eternal Hunt</v>
      </c>
      <c r="C189" s="8" t="str">
        <f>VLOOKUP(A189,'Sets (lua data)'!$A$3:$C$9920,2,FALSE)</f>
        <v>Ewige Jagd</v>
      </c>
      <c r="D189" s="101" t="s">
        <v>1423</v>
      </c>
      <c r="E189" s="3" t="str">
        <f>IF(ISNA(VLOOKUP(D189,'&lt;Constants&gt;'!$B$4:$C$44,2,FALSE)),"",VLOOKUP(D189,'&lt;Constants&gt;'!$B$4:$C$44,2,FALSE))</f>
        <v>Thieves Guild</v>
      </c>
    </row>
    <row r="190" spans="1:5" x14ac:dyDescent="0.25">
      <c r="A190" s="11">
        <v>227</v>
      </c>
      <c r="B190" s="8" t="str">
        <f>VLOOKUP(A190,'Sets (lua data)'!$A$3:$C$9920,3,FALSE)</f>
        <v>Bahraha\'s Curse</v>
      </c>
      <c r="C190" s="8" t="str">
        <f>VLOOKUP(A190,'Sets (lua data)'!$A$3:$C$9920,2,FALSE)</f>
        <v>Bahrahas Fluch</v>
      </c>
      <c r="D190" s="101" t="s">
        <v>1423</v>
      </c>
      <c r="E190" s="3" t="str">
        <f>IF(ISNA(VLOOKUP(D190,'&lt;Constants&gt;'!$B$4:$C$44,2,FALSE)),"",VLOOKUP(D190,'&lt;Constants&gt;'!$B$4:$C$44,2,FALSE))</f>
        <v>Thieves Guild</v>
      </c>
    </row>
    <row r="191" spans="1:5" x14ac:dyDescent="0.25">
      <c r="A191" s="11">
        <v>228</v>
      </c>
      <c r="B191" s="8" t="str">
        <f>VLOOKUP(A191,'Sets (lua data)'!$A$3:$C$9920,3,FALSE)</f>
        <v>Syvarra\'s Scales</v>
      </c>
      <c r="C191" s="8" t="str">
        <f>VLOOKUP(A191,'Sets (lua data)'!$A$3:$C$9920,2,FALSE)</f>
        <v>Syvarras Schuppen</v>
      </c>
      <c r="D191" s="101" t="s">
        <v>1423</v>
      </c>
      <c r="E191" s="3" t="str">
        <f>IF(ISNA(VLOOKUP(D191,'&lt;Constants&gt;'!$B$4:$C$44,2,FALSE)),"",VLOOKUP(D191,'&lt;Constants&gt;'!$B$4:$C$44,2,FALSE))</f>
        <v>Thieves Guild</v>
      </c>
    </row>
    <row r="192" spans="1:5" x14ac:dyDescent="0.25">
      <c r="A192" s="11">
        <v>229</v>
      </c>
      <c r="B192" s="8" t="str">
        <f>VLOOKUP(A192,'Sets (lua data)'!$A$3:$C$9920,3,FALSE)</f>
        <v>Twilight Remedy</v>
      </c>
      <c r="C192" s="8" t="str">
        <f>VLOOKUP(A192,'Sets (lua data)'!$A$3:$C$9920,2,FALSE)</f>
        <v>Zwielichtgenesung</v>
      </c>
      <c r="D192" s="101" t="s">
        <v>1423</v>
      </c>
      <c r="E192" s="3" t="str">
        <f>IF(ISNA(VLOOKUP(D192,'&lt;Constants&gt;'!$B$4:$C$44,2,FALSE)),"",VLOOKUP(D192,'&lt;Constants&gt;'!$B$4:$C$44,2,FALSE))</f>
        <v>Thieves Guild</v>
      </c>
    </row>
    <row r="193" spans="1:6" x14ac:dyDescent="0.25">
      <c r="A193" s="11">
        <v>230</v>
      </c>
      <c r="B193" s="8" t="str">
        <f>VLOOKUP(A193,'Sets (lua data)'!$A$3:$C$9920,3,FALSE)</f>
        <v>Moondancer</v>
      </c>
      <c r="C193" s="8" t="str">
        <f>VLOOKUP(A193,'Sets (lua data)'!$A$3:$C$9920,2,FALSE)</f>
        <v>Mondtänzer</v>
      </c>
      <c r="D193" t="s">
        <v>1423</v>
      </c>
      <c r="E193" s="3" t="str">
        <f>IF(ISNA(VLOOKUP(D193,'&lt;Constants&gt;'!$B$4:$C$44,2,FALSE)),"",VLOOKUP(D193,'&lt;Constants&gt;'!$B$4:$C$44,2,FALSE))</f>
        <v>Thieves Guild</v>
      </c>
    </row>
    <row r="194" spans="1:6" x14ac:dyDescent="0.25">
      <c r="A194" s="11">
        <v>231</v>
      </c>
      <c r="B194" s="8" t="str">
        <f>VLOOKUP(A194,'Sets (lua data)'!$A$3:$C$9920,3,FALSE)</f>
        <v>Lunar Bastion</v>
      </c>
      <c r="C194" s="8" t="str">
        <f>VLOOKUP(A194,'Sets (lua data)'!$A$3:$C$9920,2,FALSE)</f>
        <v>Mondbastion</v>
      </c>
      <c r="D194" t="s">
        <v>1423</v>
      </c>
      <c r="E194" s="3" t="str">
        <f>IF(ISNA(VLOOKUP(D194,'&lt;Constants&gt;'!$B$4:$C$44,2,FALSE)),"",VLOOKUP(D194,'&lt;Constants&gt;'!$B$4:$C$44,2,FALSE))</f>
        <v>Thieves Guild</v>
      </c>
    </row>
    <row r="195" spans="1:6" x14ac:dyDescent="0.25">
      <c r="A195" s="11">
        <v>232</v>
      </c>
      <c r="B195" s="8" t="str">
        <f>VLOOKUP(A195,'Sets (lua data)'!$A$3:$C$9920,3,FALSE)</f>
        <v>Roar of Alkosh</v>
      </c>
      <c r="C195" s="8" t="str">
        <f>VLOOKUP(A195,'Sets (lua data)'!$A$3:$C$9920,2,FALSE)</f>
        <v>Brüllen von Alkosh</v>
      </c>
      <c r="D195" t="s">
        <v>1423</v>
      </c>
      <c r="E195" s="3" t="str">
        <f>IF(ISNA(VLOOKUP(D195,'&lt;Constants&gt;'!$B$4:$C$44,2,FALSE)),"",VLOOKUP(D195,'&lt;Constants&gt;'!$B$4:$C$44,2,FALSE))</f>
        <v>Thieves Guild</v>
      </c>
    </row>
    <row r="196" spans="1:6" x14ac:dyDescent="0.25">
      <c r="A196" s="11">
        <v>234</v>
      </c>
      <c r="B196" s="8" t="str">
        <f>VLOOKUP(A196,'Sets (lua data)'!$A$3:$C$9920,3,FALSE)</f>
        <v>Marksman\'s Crest</v>
      </c>
      <c r="C196" s="8" t="str">
        <f>VLOOKUP(A196,'Sets (lua data)'!$A$3:$C$9920,2,FALSE)</f>
        <v>Wappen des Meisterschützen</v>
      </c>
      <c r="D196" t="s">
        <v>1420</v>
      </c>
      <c r="E196" s="3" t="str">
        <f>IF(ISNA(VLOOKUP(D196,'&lt;Constants&gt;'!$B$4:$C$44,2,FALSE)),"",VLOOKUP(D196,'&lt;Constants&gt;'!$B$4:$C$44,2,FALSE))</f>
        <v>Included in base game</v>
      </c>
    </row>
    <row r="197" spans="1:6" x14ac:dyDescent="0.25">
      <c r="A197" s="11">
        <v>235</v>
      </c>
      <c r="B197" s="8" t="str">
        <f>VLOOKUP(A197,'Sets (lua data)'!$A$3:$C$9920,3,FALSE)</f>
        <v>Robes of Transmutation</v>
      </c>
      <c r="C197" s="8" t="str">
        <f>VLOOKUP(A197,'Sets (lua data)'!$A$3:$C$9920,2,FALSE)</f>
        <v>Roben der Transmutation</v>
      </c>
      <c r="D197" t="s">
        <v>1420</v>
      </c>
      <c r="E197" s="3" t="str">
        <f>IF(ISNA(VLOOKUP(D197,'&lt;Constants&gt;'!$B$4:$C$44,2,FALSE)),"",VLOOKUP(D197,'&lt;Constants&gt;'!$B$4:$C$44,2,FALSE))</f>
        <v>Included in base game</v>
      </c>
    </row>
    <row r="198" spans="1:6" x14ac:dyDescent="0.25">
      <c r="A198" s="11">
        <v>236</v>
      </c>
      <c r="B198" s="8" t="str">
        <f>VLOOKUP(A198,'Sets (lua data)'!$A$3:$C$9920,3,FALSE)</f>
        <v>Vicious Death</v>
      </c>
      <c r="C198" s="8" t="str">
        <f>VLOOKUP(A198,'Sets (lua data)'!$A$3:$C$9920,2,FALSE)</f>
        <v>Grausamer Tod</v>
      </c>
      <c r="D198" t="s">
        <v>1420</v>
      </c>
      <c r="E198" s="3" t="str">
        <f>IF(ISNA(VLOOKUP(D198,'&lt;Constants&gt;'!$B$4:$C$44,2,FALSE)),"",VLOOKUP(D198,'&lt;Constants&gt;'!$B$4:$C$44,2,FALSE))</f>
        <v>Included in base game</v>
      </c>
    </row>
    <row r="199" spans="1:6" x14ac:dyDescent="0.25">
      <c r="A199" s="11">
        <v>237</v>
      </c>
      <c r="B199" s="8" t="str">
        <f>VLOOKUP(A199,'Sets (lua data)'!$A$3:$C$9920,3,FALSE)</f>
        <v>Leki\'s Focus</v>
      </c>
      <c r="C199" s="8" t="str">
        <f>VLOOKUP(A199,'Sets (lua data)'!$A$3:$C$9920,2,FALSE)</f>
        <v>Lekis Fokus</v>
      </c>
      <c r="D199" t="s">
        <v>1420</v>
      </c>
      <c r="E199" s="3" t="str">
        <f>IF(ISNA(VLOOKUP(D199,'&lt;Constants&gt;'!$B$4:$C$44,2,FALSE)),"",VLOOKUP(D199,'&lt;Constants&gt;'!$B$4:$C$44,2,FALSE))</f>
        <v>Included in base game</v>
      </c>
    </row>
    <row r="200" spans="1:6" x14ac:dyDescent="0.25">
      <c r="A200" s="11">
        <v>238</v>
      </c>
      <c r="B200" s="8" t="str">
        <f>VLOOKUP(A200,'Sets (lua data)'!$A$3:$C$9920,3,FALSE)</f>
        <v>Fasalla\'s Guile</v>
      </c>
      <c r="C200" s="8" t="str">
        <f>VLOOKUP(A200,'Sets (lua data)'!$A$3:$C$9920,2,FALSE)</f>
        <v>Fasallas List</v>
      </c>
      <c r="D200" t="s">
        <v>1420</v>
      </c>
      <c r="E200" s="3" t="str">
        <f>IF(ISNA(VLOOKUP(D200,'&lt;Constants&gt;'!$B$4:$C$44,2,FALSE)),"",VLOOKUP(D200,'&lt;Constants&gt;'!$B$4:$C$44,2,FALSE))</f>
        <v>Included in base game</v>
      </c>
    </row>
    <row r="201" spans="1:6" x14ac:dyDescent="0.25">
      <c r="A201" s="11">
        <v>239</v>
      </c>
      <c r="B201" s="8" t="str">
        <f>VLOOKUP(A201,'Sets (lua data)'!$A$3:$C$9920,3,FALSE)</f>
        <v>Warrior\'s Fury</v>
      </c>
      <c r="C201" s="8" t="str">
        <f>VLOOKUP(A201,'Sets (lua data)'!$A$3:$C$9920,2,FALSE)</f>
        <v>Raserei des Kriegers</v>
      </c>
      <c r="D201" t="s">
        <v>1420</v>
      </c>
      <c r="E201" s="3" t="str">
        <f>IF(ISNA(VLOOKUP(D201,'&lt;Constants&gt;'!$B$4:$C$44,2,FALSE)),"",VLOOKUP(D201,'&lt;Constants&gt;'!$B$4:$C$44,2,FALSE))</f>
        <v>Included in base game</v>
      </c>
    </row>
    <row r="202" spans="1:6" x14ac:dyDescent="0.25">
      <c r="A202" s="5">
        <v>240</v>
      </c>
      <c r="B202" s="8" t="str">
        <f>VLOOKUP(A202,'Sets (lua data)'!$A$3:$C$9920,3,FALSE)</f>
        <v>Kvatch Gladiator</v>
      </c>
      <c r="C202" s="8" t="str">
        <f>VLOOKUP(A202,'Sets (lua data)'!$A$3:$C$9920,2,FALSE)</f>
        <v>Gladiator von Kvatch</v>
      </c>
      <c r="D202" t="s">
        <v>1424</v>
      </c>
      <c r="E202" s="3" t="str">
        <f>IF(ISNA(VLOOKUP(D202,'&lt;Constants&gt;'!$B$4:$C$44,2,FALSE)),"",VLOOKUP(D202,'&lt;Constants&gt;'!$B$4:$C$44,2,FALSE))</f>
        <v>Dark Brotherhood</v>
      </c>
    </row>
    <row r="203" spans="1:6" x14ac:dyDescent="0.25">
      <c r="A203" s="5">
        <v>241</v>
      </c>
      <c r="B203" s="8" t="str">
        <f>VLOOKUP(A203,'Sets (lua data)'!$A$3:$C$9920,3,FALSE)</f>
        <v>Varen\'s Legacy</v>
      </c>
      <c r="C203" s="8" t="str">
        <f>VLOOKUP(A203,'Sets (lua data)'!$A$3:$C$9920,2,FALSE)</f>
        <v>Varens Erbe</v>
      </c>
      <c r="D203" s="101" t="s">
        <v>1424</v>
      </c>
      <c r="E203" s="3" t="str">
        <f>IF(ISNA(VLOOKUP(D203,'&lt;Constants&gt;'!$B$4:$C$44,2,FALSE)),"",VLOOKUP(D203,'&lt;Constants&gt;'!$B$4:$C$44,2,FALSE))</f>
        <v>Dark Brotherhood</v>
      </c>
    </row>
    <row r="204" spans="1:6" x14ac:dyDescent="0.25">
      <c r="A204" s="5">
        <v>242</v>
      </c>
      <c r="B204" s="8" t="str">
        <f>VLOOKUP(A204,'Sets (lua data)'!$A$3:$C$9920,3,FALSE)</f>
        <v>Pelinal\'s Wrath</v>
      </c>
      <c r="C204" s="8" t="str">
        <f>VLOOKUP(A204,'Sets (lua data)'!$A$3:$C$9920,2,FALSE)</f>
        <v>Pelinals Talent</v>
      </c>
      <c r="D204" s="101" t="s">
        <v>1424</v>
      </c>
      <c r="E204" s="3" t="str">
        <f>IF(ISNA(VLOOKUP(D204,'&lt;Constants&gt;'!$B$4:$C$44,2,FALSE)),"",VLOOKUP(D204,'&lt;Constants&gt;'!$B$4:$C$44,2,FALSE))</f>
        <v>Dark Brotherhood</v>
      </c>
      <c r="F204" t="s">
        <v>4295</v>
      </c>
    </row>
    <row r="205" spans="1:6" x14ac:dyDescent="0.25">
      <c r="A205" s="11">
        <v>243</v>
      </c>
      <c r="B205" s="8" t="str">
        <f>VLOOKUP(A205,'Sets (lua data)'!$A$3:$C$9920,3,FALSE)</f>
        <v>Hide of Morihaus</v>
      </c>
      <c r="C205" s="8" t="str">
        <f>VLOOKUP(A205,'Sets (lua data)'!$A$3:$C$9920,2,FALSE)</f>
        <v>Haut von Morihaus</v>
      </c>
      <c r="D205" t="s">
        <v>1424</v>
      </c>
      <c r="E205" s="3" t="str">
        <f>IF(ISNA(VLOOKUP(D205,'&lt;Constants&gt;'!$B$4:$C$44,2,FALSE)),"",VLOOKUP(D205,'&lt;Constants&gt;'!$B$4:$C$44,2,FALSE))</f>
        <v>Dark Brotherhood</v>
      </c>
    </row>
    <row r="206" spans="1:6" x14ac:dyDescent="0.25">
      <c r="A206" s="11">
        <v>244</v>
      </c>
      <c r="B206" s="8" t="str">
        <f>VLOOKUP(A206,'Sets (lua data)'!$A$3:$C$9920,3,FALSE)</f>
        <v>Flanking Strategist</v>
      </c>
      <c r="C206" s="8" t="str">
        <f>VLOOKUP(A206,'Sets (lua data)'!$A$3:$C$9920,2,FALSE)</f>
        <v>Flankierender Stratege</v>
      </c>
      <c r="D206" t="s">
        <v>1424</v>
      </c>
      <c r="E206" s="3" t="str">
        <f>IF(ISNA(VLOOKUP(D206,'&lt;Constants&gt;'!$B$4:$C$44,2,FALSE)),"",VLOOKUP(D206,'&lt;Constants&gt;'!$B$4:$C$44,2,FALSE))</f>
        <v>Dark Brotherhood</v>
      </c>
    </row>
    <row r="207" spans="1:6" x14ac:dyDescent="0.25">
      <c r="A207" s="11">
        <v>245</v>
      </c>
      <c r="B207" s="8" t="str">
        <f>VLOOKUP(A207,'Sets (lua data)'!$A$3:$C$9920,3,FALSE)</f>
        <v>Sithis\' Touch</v>
      </c>
      <c r="C207" s="8" t="str">
        <f>VLOOKUP(A207,'Sets (lua data)'!$A$3:$C$9920,2,FALSE)</f>
        <v>Sithis' Berührung</v>
      </c>
      <c r="D207" s="101" t="s">
        <v>1424</v>
      </c>
      <c r="E207" s="3" t="str">
        <f>IF(ISNA(VLOOKUP(D207,'&lt;Constants&gt;'!$B$4:$C$44,2,FALSE)),"",VLOOKUP(D207,'&lt;Constants&gt;'!$B$4:$C$44,2,FALSE))</f>
        <v>Dark Brotherhood</v>
      </c>
    </row>
    <row r="208" spans="1:6" x14ac:dyDescent="0.25">
      <c r="A208" s="11">
        <v>246</v>
      </c>
      <c r="B208" s="8" t="str">
        <f>VLOOKUP(A208,'Sets (lua data)'!$A$3:$C$9920,3,FALSE)</f>
        <v>Galerion\'s Revenge</v>
      </c>
      <c r="C208" s="8" t="str">
        <f>VLOOKUP(A208,'Sets (lua data)'!$A$3:$C$9920,2,FALSE)</f>
        <v>Galerions Revanche</v>
      </c>
      <c r="D208" t="s">
        <v>1421</v>
      </c>
      <c r="E208" s="3" t="str">
        <f>IF(ISNA(VLOOKUP(D208,'&lt;Constants&gt;'!$B$4:$C$44,2,FALSE)),"",VLOOKUP(D208,'&lt;Constants&gt;'!$B$4:$C$44,2,FALSE))</f>
        <v>Imperial City</v>
      </c>
    </row>
    <row r="209" spans="1:6" x14ac:dyDescent="0.25">
      <c r="A209" s="11">
        <v>247</v>
      </c>
      <c r="B209" s="8" t="str">
        <f>VLOOKUP(A209,'Sets (lua data)'!$A$3:$C$9920,3,FALSE)</f>
        <v>Vicecanon of Venom</v>
      </c>
      <c r="C209" s="8" t="str">
        <f>VLOOKUP(A209,'Sets (lua data)'!$A$3:$C$9920,2,FALSE)</f>
        <v>Vizekanoniker des Gifts</v>
      </c>
      <c r="D209" t="s">
        <v>1421</v>
      </c>
      <c r="E209" s="3" t="str">
        <f>IF(ISNA(VLOOKUP(D209,'&lt;Constants&gt;'!$B$4:$C$44,2,FALSE)),"",VLOOKUP(D209,'&lt;Constants&gt;'!$B$4:$C$44,2,FALSE))</f>
        <v>Imperial City</v>
      </c>
    </row>
    <row r="210" spans="1:6" x14ac:dyDescent="0.25">
      <c r="A210" s="11">
        <v>248</v>
      </c>
      <c r="B210" s="8" t="str">
        <f>VLOOKUP(A210,'Sets (lua data)'!$A$3:$C$9920,3,FALSE)</f>
        <v>Thews of the Harbinger</v>
      </c>
      <c r="C210" s="8" t="str">
        <f>VLOOKUP(A210,'Sets (lua data)'!$A$3:$C$9920,2,FALSE)</f>
        <v>Muskeln des Vorboten</v>
      </c>
      <c r="D210" t="s">
        <v>1421</v>
      </c>
      <c r="E210" s="3" t="str">
        <f>IF(ISNA(VLOOKUP(D210,'&lt;Constants&gt;'!$B$4:$C$44,2,FALSE)),"",VLOOKUP(D210,'&lt;Constants&gt;'!$B$4:$C$44,2,FALSE))</f>
        <v>Imperial City</v>
      </c>
    </row>
    <row r="211" spans="1:6" x14ac:dyDescent="0.25">
      <c r="A211" s="11">
        <v>253</v>
      </c>
      <c r="B211" s="8" t="str">
        <f>VLOOKUP(A211,'Sets (lua data)'!$A$3:$C$9920,3,FALSE)</f>
        <v>Imperial Physique</v>
      </c>
      <c r="C211" s="8" t="str">
        <f>VLOOKUP(A211,'Sets (lua data)'!$A$3:$C$9920,2,FALSE)</f>
        <v>Kaiserliche Physis</v>
      </c>
      <c r="D211" t="s">
        <v>1421</v>
      </c>
      <c r="E211" s="3" t="str">
        <f>IF(ISNA(VLOOKUP(D211,'&lt;Constants&gt;'!$B$4:$C$44,2,FALSE)),"",VLOOKUP(D211,'&lt;Constants&gt;'!$B$4:$C$44,2,FALSE))</f>
        <v>Imperial City</v>
      </c>
    </row>
    <row r="212" spans="1:6" x14ac:dyDescent="0.25">
      <c r="A212" s="5">
        <v>256</v>
      </c>
      <c r="B212" s="8" t="str">
        <f>VLOOKUP(A212,'Sets (lua data)'!$A$3:$C$9920,3,FALSE)</f>
        <v>Mighty Chudan</v>
      </c>
      <c r="C212" s="8" t="str">
        <f>VLOOKUP(A212,'Sets (lua data)'!$A$3:$C$9920,2,FALSE)</f>
        <v>Mächtiger Chudan</v>
      </c>
      <c r="D212" t="s">
        <v>1425</v>
      </c>
      <c r="E212" s="3" t="str">
        <f>IF(ISNA(VLOOKUP(D212,'&lt;Constants&gt;'!$B$4:$C$44,2,FALSE)),"",VLOOKUP(D212,'&lt;Constants&gt;'!$B$4:$C$44,2,FALSE))</f>
        <v>Shadows of the Hist</v>
      </c>
    </row>
    <row r="213" spans="1:6" x14ac:dyDescent="0.25">
      <c r="A213" s="5">
        <v>257</v>
      </c>
      <c r="B213" s="8" t="str">
        <f>VLOOKUP(A213,'Sets (lua data)'!$A$3:$C$9920,3,FALSE)</f>
        <v>Velidreth</v>
      </c>
      <c r="C213" s="8" t="str">
        <f>VLOOKUP(A213,'Sets (lua data)'!$A$3:$C$9920,2,FALSE)</f>
        <v>Velidreth</v>
      </c>
      <c r="D213" t="s">
        <v>1425</v>
      </c>
      <c r="E213" s="3" t="str">
        <f>IF(ISNA(VLOOKUP(D213,'&lt;Constants&gt;'!$B$4:$C$44,2,FALSE)),"",VLOOKUP(D213,'&lt;Constants&gt;'!$B$4:$C$44,2,FALSE))</f>
        <v>Shadows of the Hist</v>
      </c>
    </row>
    <row r="214" spans="1:6" x14ac:dyDescent="0.25">
      <c r="A214" s="11">
        <v>258</v>
      </c>
      <c r="B214" s="8" t="str">
        <f>VLOOKUP(A214,'Sets (lua data)'!$A$3:$C$9920,3,FALSE)</f>
        <v>Amber Plasm</v>
      </c>
      <c r="C214" s="8" t="str">
        <f>VLOOKUP(A214,'Sets (lua data)'!$A$3:$C$9920,2,FALSE)</f>
        <v>Bernsteinplasma</v>
      </c>
      <c r="D214" t="s">
        <v>1425</v>
      </c>
      <c r="E214" s="3" t="str">
        <f>IF(ISNA(VLOOKUP(D214,'&lt;Constants&gt;'!$B$4:$C$44,2,FALSE)),"",VLOOKUP(D214,'&lt;Constants&gt;'!$B$4:$C$44,2,FALSE))</f>
        <v>Shadows of the Hist</v>
      </c>
    </row>
    <row r="215" spans="1:6" x14ac:dyDescent="0.25">
      <c r="A215" s="11">
        <v>259</v>
      </c>
      <c r="B215" s="8" t="str">
        <f>VLOOKUP(A215,'Sets (lua data)'!$A$3:$C$9920,3,FALSE)</f>
        <v>Heem-Jas\' Retribution</v>
      </c>
      <c r="C215" s="8" t="str">
        <f>VLOOKUP(A215,'Sets (lua data)'!$A$3:$C$9920,2,FALSE)</f>
        <v>Heem-Jas' Vergeltung</v>
      </c>
      <c r="D215" t="s">
        <v>1425</v>
      </c>
      <c r="E215" s="3" t="str">
        <f>IF(ISNA(VLOOKUP(D215,'&lt;Constants&gt;'!$B$4:$C$44,2,FALSE)),"",VLOOKUP(D215,'&lt;Constants&gt;'!$B$4:$C$44,2,FALSE))</f>
        <v>Shadows of the Hist</v>
      </c>
    </row>
    <row r="216" spans="1:6" x14ac:dyDescent="0.25">
      <c r="A216" s="11">
        <v>260</v>
      </c>
      <c r="B216" s="8" t="str">
        <f>VLOOKUP(A216,'Sets (lua data)'!$A$3:$C$9920,3,FALSE)</f>
        <v>Aspect of Mazzatun</v>
      </c>
      <c r="C216" s="8" t="str">
        <f>VLOOKUP(A216,'Sets (lua data)'!$A$3:$C$9920,2,FALSE)</f>
        <v>Aspekt von Mazzatun</v>
      </c>
      <c r="D216" t="s">
        <v>1425</v>
      </c>
      <c r="E216" s="3" t="str">
        <f>IF(ISNA(VLOOKUP(D216,'&lt;Constants&gt;'!$B$4:$C$44,2,FALSE)),"",VLOOKUP(D216,'&lt;Constants&gt;'!$B$4:$C$44,2,FALSE))</f>
        <v>Shadows of the Hist</v>
      </c>
    </row>
    <row r="217" spans="1:6" x14ac:dyDescent="0.25">
      <c r="A217" s="11">
        <v>261</v>
      </c>
      <c r="B217" s="8" t="str">
        <f>VLOOKUP(A217,'Sets (lua data)'!$A$3:$C$9920,3,FALSE)</f>
        <v>Gossamer</v>
      </c>
      <c r="C217" s="8" t="str">
        <f>VLOOKUP(A217,'Sets (lua data)'!$A$3:$C$9920,2,FALSE)</f>
        <v>Gespinst</v>
      </c>
      <c r="D217" t="s">
        <v>1425</v>
      </c>
      <c r="E217" s="3" t="str">
        <f>IF(ISNA(VLOOKUP(D217,'&lt;Constants&gt;'!$B$4:$C$44,2,FALSE)),"",VLOOKUP(D217,'&lt;Constants&gt;'!$B$4:$C$44,2,FALSE))</f>
        <v>Shadows of the Hist</v>
      </c>
    </row>
    <row r="218" spans="1:6" x14ac:dyDescent="0.25">
      <c r="A218" s="11">
        <v>262</v>
      </c>
      <c r="B218" s="8" t="str">
        <f>VLOOKUP(A218,'Sets (lua data)'!$A$3:$C$9920,3,FALSE)</f>
        <v>Widowmaker</v>
      </c>
      <c r="C218" s="8" t="str">
        <f>VLOOKUP(A218,'Sets (lua data)'!$A$3:$C$9920,2,FALSE)</f>
        <v>Witwenmacher</v>
      </c>
      <c r="D218" t="s">
        <v>1425</v>
      </c>
      <c r="E218" s="3" t="str">
        <f>IF(ISNA(VLOOKUP(D218,'&lt;Constants&gt;'!$B$4:$C$44,2,FALSE)),"",VLOOKUP(D218,'&lt;Constants&gt;'!$B$4:$C$44,2,FALSE))</f>
        <v>Shadows of the Hist</v>
      </c>
    </row>
    <row r="219" spans="1:6" x14ac:dyDescent="0.25">
      <c r="A219" s="11">
        <v>263</v>
      </c>
      <c r="B219" s="8" t="str">
        <f>VLOOKUP(A219,'Sets (lua data)'!$A$3:$C$9920,3,FALSE)</f>
        <v>Hand of Mephala</v>
      </c>
      <c r="C219" s="8" t="str">
        <f>VLOOKUP(A219,'Sets (lua data)'!$A$3:$C$9920,2,FALSE)</f>
        <v>Hand von Mephala</v>
      </c>
      <c r="D219" t="s">
        <v>1425</v>
      </c>
      <c r="E219" s="3" t="str">
        <f>IF(ISNA(VLOOKUP(D219,'&lt;Constants&gt;'!$B$4:$C$44,2,FALSE)),"",VLOOKUP(D219,'&lt;Constants&gt;'!$B$4:$C$44,2,FALSE))</f>
        <v>Shadows of the Hist</v>
      </c>
    </row>
    <row r="220" spans="1:6" x14ac:dyDescent="0.25">
      <c r="A220" s="14">
        <v>264</v>
      </c>
      <c r="B220" s="120" t="str">
        <f>VLOOKUP(A220,'Sets (lua data)'!$A$3:$C$9920,3,FALSE)</f>
        <v>Giant Spider</v>
      </c>
      <c r="C220" s="120" t="str">
        <f>VLOOKUP(A220,'Sets (lua data)'!$A$3:$C$9920,2,FALSE)</f>
        <v>Riesenspinne</v>
      </c>
      <c r="E220" s="3" t="str">
        <f>IF(ISNA(VLOOKUP(D220,'&lt;Constants&gt;'!$B$4:$C$44,2,FALSE)),"",VLOOKUP(D220,'&lt;Constants&gt;'!$B$4:$C$44,2,FALSE))</f>
        <v/>
      </c>
      <c r="F220" t="s">
        <v>4223</v>
      </c>
    </row>
    <row r="221" spans="1:6" x14ac:dyDescent="0.25">
      <c r="A221" s="5">
        <v>265</v>
      </c>
      <c r="B221" s="8" t="str">
        <f>VLOOKUP(A221,'Sets (lua data)'!$A$3:$C$9920,3,FALSE)</f>
        <v>Shadowrend</v>
      </c>
      <c r="C221" s="8" t="str">
        <f>VLOOKUP(A221,'Sets (lua data)'!$A$3:$C$9920,2,FALSE)</f>
        <v>Schattenriss</v>
      </c>
      <c r="D221" t="s">
        <v>1420</v>
      </c>
      <c r="E221" s="3" t="str">
        <f>IF(ISNA(VLOOKUP(D221,'&lt;Constants&gt;'!$B$4:$C$44,2,FALSE)),"",VLOOKUP(D221,'&lt;Constants&gt;'!$B$4:$C$44,2,FALSE))</f>
        <v>Included in base game</v>
      </c>
    </row>
    <row r="222" spans="1:6" x14ac:dyDescent="0.25">
      <c r="A222" s="5">
        <v>266</v>
      </c>
      <c r="B222" s="8" t="str">
        <f>VLOOKUP(A222,'Sets (lua data)'!$A$3:$C$9920,3,FALSE)</f>
        <v>Kra\'gh</v>
      </c>
      <c r="C222" s="8" t="str">
        <f>VLOOKUP(A222,'Sets (lua data)'!$A$3:$C$9920,2,FALSE)</f>
        <v>Kra'gh</v>
      </c>
      <c r="D222" t="s">
        <v>1420</v>
      </c>
      <c r="E222" s="3" t="str">
        <f>IF(ISNA(VLOOKUP(D222,'&lt;Constants&gt;'!$B$4:$C$44,2,FALSE)),"",VLOOKUP(D222,'&lt;Constants&gt;'!$B$4:$C$44,2,FALSE))</f>
        <v>Included in base game</v>
      </c>
    </row>
    <row r="223" spans="1:6" x14ac:dyDescent="0.25">
      <c r="A223" s="5">
        <v>267</v>
      </c>
      <c r="B223" s="8" t="str">
        <f>VLOOKUP(A223,'Sets (lua data)'!$A$3:$C$9920,3,FALSE)</f>
        <v>Swarm Mother</v>
      </c>
      <c r="C223" s="8" t="str">
        <f>VLOOKUP(A223,'Sets (lua data)'!$A$3:$C$9920,2,FALSE)</f>
        <v>Schwarmmutter</v>
      </c>
      <c r="D223" t="s">
        <v>1420</v>
      </c>
      <c r="E223" s="3" t="str">
        <f>IF(ISNA(VLOOKUP(D223,'&lt;Constants&gt;'!$B$4:$C$44,2,FALSE)),"",VLOOKUP(D223,'&lt;Constants&gt;'!$B$4:$C$44,2,FALSE))</f>
        <v>Included in base game</v>
      </c>
    </row>
    <row r="224" spans="1:6" x14ac:dyDescent="0.25">
      <c r="A224" s="5">
        <v>268</v>
      </c>
      <c r="B224" s="8" t="str">
        <f>VLOOKUP(A224,'Sets (lua data)'!$A$3:$C$9920,3,FALSE)</f>
        <v>Sentinel of Rkugamz</v>
      </c>
      <c r="C224" s="8" t="str">
        <f>VLOOKUP(A224,'Sets (lua data)'!$A$3:$C$9920,2,FALSE)</f>
        <v>Wachposten von Rkugamz</v>
      </c>
      <c r="D224" t="s">
        <v>1420</v>
      </c>
      <c r="E224" s="3" t="str">
        <f>IF(ISNA(VLOOKUP(D224,'&lt;Constants&gt;'!$B$4:$C$44,2,FALSE)),"",VLOOKUP(D224,'&lt;Constants&gt;'!$B$4:$C$44,2,FALSE))</f>
        <v>Included in base game</v>
      </c>
    </row>
    <row r="225" spans="1:5" x14ac:dyDescent="0.25">
      <c r="A225" s="5">
        <v>269</v>
      </c>
      <c r="B225" s="8" t="str">
        <f>VLOOKUP(A225,'Sets (lua data)'!$A$3:$C$9920,3,FALSE)</f>
        <v>Chokethorn</v>
      </c>
      <c r="C225" s="8" t="str">
        <f>VLOOKUP(A225,'Sets (lua data)'!$A$3:$C$9920,2,FALSE)</f>
        <v>Würgedorn</v>
      </c>
      <c r="D225" t="s">
        <v>1420</v>
      </c>
      <c r="E225" s="3" t="str">
        <f>IF(ISNA(VLOOKUP(D225,'&lt;Constants&gt;'!$B$4:$C$44,2,FALSE)),"",VLOOKUP(D225,'&lt;Constants&gt;'!$B$4:$C$44,2,FALSE))</f>
        <v>Included in base game</v>
      </c>
    </row>
    <row r="226" spans="1:5" x14ac:dyDescent="0.25">
      <c r="A226" s="5">
        <v>270</v>
      </c>
      <c r="B226" s="8" t="str">
        <f>VLOOKUP(A226,'Sets (lua data)'!$A$3:$C$9920,3,FALSE)</f>
        <v>Slimecraw</v>
      </c>
      <c r="C226" s="8" t="str">
        <f>VLOOKUP(A226,'Sets (lua data)'!$A$3:$C$9920,2,FALSE)</f>
        <v>Schleimkropf</v>
      </c>
      <c r="D226" t="s">
        <v>1420</v>
      </c>
      <c r="E226" s="3" t="str">
        <f>IF(ISNA(VLOOKUP(D226,'&lt;Constants&gt;'!$B$4:$C$44,2,FALSE)),"",VLOOKUP(D226,'&lt;Constants&gt;'!$B$4:$C$44,2,FALSE))</f>
        <v>Included in base game</v>
      </c>
    </row>
    <row r="227" spans="1:5" x14ac:dyDescent="0.25">
      <c r="A227" s="5">
        <v>271</v>
      </c>
      <c r="B227" s="8" t="str">
        <f>VLOOKUP(A227,'Sets (lua data)'!$A$3:$C$9920,3,FALSE)</f>
        <v>Sellistrix</v>
      </c>
      <c r="C227" s="8" t="str">
        <f>VLOOKUP(A227,'Sets (lua data)'!$A$3:$C$9920,2,FALSE)</f>
        <v>Sellistrix</v>
      </c>
      <c r="D227" t="s">
        <v>1420</v>
      </c>
      <c r="E227" s="3" t="str">
        <f>IF(ISNA(VLOOKUP(D227,'&lt;Constants&gt;'!$B$4:$C$44,2,FALSE)),"",VLOOKUP(D227,'&lt;Constants&gt;'!$B$4:$C$44,2,FALSE))</f>
        <v>Included in base game</v>
      </c>
    </row>
    <row r="228" spans="1:5" x14ac:dyDescent="0.25">
      <c r="A228" s="5">
        <v>272</v>
      </c>
      <c r="B228" s="8" t="str">
        <f>VLOOKUP(A228,'Sets (lua data)'!$A$3:$C$9920,3,FALSE)</f>
        <v>Infernal Guardian</v>
      </c>
      <c r="C228" s="8" t="str">
        <f>VLOOKUP(A228,'Sets (lua data)'!$A$3:$C$9920,2,FALSE)</f>
        <v>Infernaler Wächter</v>
      </c>
      <c r="D228" t="s">
        <v>1420</v>
      </c>
      <c r="E228" s="3" t="str">
        <f>IF(ISNA(VLOOKUP(D228,'&lt;Constants&gt;'!$B$4:$C$44,2,FALSE)),"",VLOOKUP(D228,'&lt;Constants&gt;'!$B$4:$C$44,2,FALSE))</f>
        <v>Included in base game</v>
      </c>
    </row>
    <row r="229" spans="1:5" x14ac:dyDescent="0.25">
      <c r="A229" s="5">
        <v>273</v>
      </c>
      <c r="B229" s="8" t="str">
        <f>VLOOKUP(A229,'Sets (lua data)'!$A$3:$C$9920,3,FALSE)</f>
        <v>Ilambris</v>
      </c>
      <c r="C229" s="8" t="str">
        <f>VLOOKUP(A229,'Sets (lua data)'!$A$3:$C$9920,2,FALSE)</f>
        <v>Ilambris</v>
      </c>
      <c r="D229" t="s">
        <v>1420</v>
      </c>
      <c r="E229" s="3" t="str">
        <f>IF(ISNA(VLOOKUP(D229,'&lt;Constants&gt;'!$B$4:$C$44,2,FALSE)),"",VLOOKUP(D229,'&lt;Constants&gt;'!$B$4:$C$44,2,FALSE))</f>
        <v>Included in base game</v>
      </c>
    </row>
    <row r="230" spans="1:5" x14ac:dyDescent="0.25">
      <c r="A230" s="5">
        <v>274</v>
      </c>
      <c r="B230" s="8" t="str">
        <f>VLOOKUP(A230,'Sets (lua data)'!$A$3:$C$9920,3,FALSE)</f>
        <v>Iceheart</v>
      </c>
      <c r="C230" s="8" t="str">
        <f>VLOOKUP(A230,'Sets (lua data)'!$A$3:$C$9920,2,FALSE)</f>
        <v>Eisherz</v>
      </c>
      <c r="D230" t="s">
        <v>1420</v>
      </c>
      <c r="E230" s="3" t="str">
        <f>IF(ISNA(VLOOKUP(D230,'&lt;Constants&gt;'!$B$4:$C$44,2,FALSE)),"",VLOOKUP(D230,'&lt;Constants&gt;'!$B$4:$C$44,2,FALSE))</f>
        <v>Included in base game</v>
      </c>
    </row>
    <row r="231" spans="1:5" x14ac:dyDescent="0.25">
      <c r="A231" s="5">
        <v>275</v>
      </c>
      <c r="B231" s="8" t="str">
        <f>VLOOKUP(A231,'Sets (lua data)'!$A$3:$C$9920,3,FALSE)</f>
        <v>Stormfist</v>
      </c>
      <c r="C231" s="8" t="str">
        <f>VLOOKUP(A231,'Sets (lua data)'!$A$3:$C$9920,2,FALSE)</f>
        <v>Sturmfaust</v>
      </c>
      <c r="D231" t="s">
        <v>1420</v>
      </c>
      <c r="E231" s="3" t="str">
        <f>IF(ISNA(VLOOKUP(D231,'&lt;Constants&gt;'!$B$4:$C$44,2,FALSE)),"",VLOOKUP(D231,'&lt;Constants&gt;'!$B$4:$C$44,2,FALSE))</f>
        <v>Included in base game</v>
      </c>
    </row>
    <row r="232" spans="1:5" x14ac:dyDescent="0.25">
      <c r="A232" s="5">
        <v>276</v>
      </c>
      <c r="B232" s="8" t="str">
        <f>VLOOKUP(A232,'Sets (lua data)'!$A$3:$C$9920,3,FALSE)</f>
        <v>Tremorscale</v>
      </c>
      <c r="C232" s="8" t="str">
        <f>VLOOKUP(A232,'Sets (lua data)'!$A$3:$C$9920,2,FALSE)</f>
        <v>Bebenschuppe</v>
      </c>
      <c r="D232" t="s">
        <v>1420</v>
      </c>
      <c r="E232" s="3" t="str">
        <f>IF(ISNA(VLOOKUP(D232,'&lt;Constants&gt;'!$B$4:$C$44,2,FALSE)),"",VLOOKUP(D232,'&lt;Constants&gt;'!$B$4:$C$44,2,FALSE))</f>
        <v>Included in base game</v>
      </c>
    </row>
    <row r="233" spans="1:5" x14ac:dyDescent="0.25">
      <c r="A233" s="5">
        <v>277</v>
      </c>
      <c r="B233" s="8" t="str">
        <f>VLOOKUP(A233,'Sets (lua data)'!$A$3:$C$9920,3,FALSE)</f>
        <v>Pirate Skeleton</v>
      </c>
      <c r="C233" s="8" t="str">
        <f>VLOOKUP(A233,'Sets (lua data)'!$A$3:$C$9920,2,FALSE)</f>
        <v>Piratenskelett</v>
      </c>
      <c r="D233" t="s">
        <v>1420</v>
      </c>
      <c r="E233" s="3" t="str">
        <f>IF(ISNA(VLOOKUP(D233,'&lt;Constants&gt;'!$B$4:$C$44,2,FALSE)),"",VLOOKUP(D233,'&lt;Constants&gt;'!$B$4:$C$44,2,FALSE))</f>
        <v>Included in base game</v>
      </c>
    </row>
    <row r="234" spans="1:5" x14ac:dyDescent="0.25">
      <c r="A234" s="5">
        <v>278</v>
      </c>
      <c r="B234" s="8" t="str">
        <f>VLOOKUP(A234,'Sets (lua data)'!$A$3:$C$9920,3,FALSE)</f>
        <v>The Troll King</v>
      </c>
      <c r="C234" s="8" t="str">
        <f>VLOOKUP(A234,'Sets (lua data)'!$A$3:$C$9920,2,FALSE)</f>
        <v>Trollkönig</v>
      </c>
      <c r="D234" t="s">
        <v>1420</v>
      </c>
      <c r="E234" s="3" t="str">
        <f>IF(ISNA(VLOOKUP(D234,'&lt;Constants&gt;'!$B$4:$C$44,2,FALSE)),"",VLOOKUP(D234,'&lt;Constants&gt;'!$B$4:$C$44,2,FALSE))</f>
        <v>Included in base game</v>
      </c>
    </row>
    <row r="235" spans="1:5" x14ac:dyDescent="0.25">
      <c r="A235" s="5">
        <v>279</v>
      </c>
      <c r="B235" s="8" t="str">
        <f>VLOOKUP(A235,'Sets (lua data)'!$A$3:$C$9920,3,FALSE)</f>
        <v>Selene</v>
      </c>
      <c r="C235" s="8" t="str">
        <f>VLOOKUP(A235,'Sets (lua data)'!$A$3:$C$9920,2,FALSE)</f>
        <v>Selene</v>
      </c>
      <c r="D235" t="s">
        <v>1420</v>
      </c>
      <c r="E235" s="3" t="str">
        <f>IF(ISNA(VLOOKUP(D235,'&lt;Constants&gt;'!$B$4:$C$44,2,FALSE)),"",VLOOKUP(D235,'&lt;Constants&gt;'!$B$4:$C$44,2,FALSE))</f>
        <v>Included in base game</v>
      </c>
    </row>
    <row r="236" spans="1:5" x14ac:dyDescent="0.25">
      <c r="A236" s="5">
        <v>280</v>
      </c>
      <c r="B236" s="8" t="str">
        <f>VLOOKUP(A236,'Sets (lua data)'!$A$3:$C$9920,3,FALSE)</f>
        <v>Grothdarr</v>
      </c>
      <c r="C236" s="8" t="str">
        <f>VLOOKUP(A236,'Sets (lua data)'!$A$3:$C$9920,2,FALSE)</f>
        <v>Grothdarr</v>
      </c>
      <c r="D236" t="s">
        <v>1420</v>
      </c>
      <c r="E236" s="3" t="str">
        <f>IF(ISNA(VLOOKUP(D236,'&lt;Constants&gt;'!$B$4:$C$44,2,FALSE)),"",VLOOKUP(D236,'&lt;Constants&gt;'!$B$4:$C$44,2,FALSE))</f>
        <v>Included in base game</v>
      </c>
    </row>
    <row r="237" spans="1:5" x14ac:dyDescent="0.25">
      <c r="A237" s="11">
        <v>281</v>
      </c>
      <c r="B237" s="8" t="str">
        <f>VLOOKUP(A237,'Sets (lua data)'!$A$3:$C$9920,3,FALSE)</f>
        <v>Armor of the Trainee</v>
      </c>
      <c r="C237" s="8" t="str">
        <f>VLOOKUP(A237,'Sets (lua data)'!$A$3:$C$9920,2,FALSE)</f>
        <v>Rüstung des Auszubildenden</v>
      </c>
      <c r="D237" t="s">
        <v>1420</v>
      </c>
      <c r="E237" s="3" t="str">
        <f>IF(ISNA(VLOOKUP(D237,'&lt;Constants&gt;'!$B$4:$C$44,2,FALSE)),"",VLOOKUP(D237,'&lt;Constants&gt;'!$B$4:$C$44,2,FALSE))</f>
        <v>Included in base game</v>
      </c>
    </row>
    <row r="238" spans="1:5" x14ac:dyDescent="0.25">
      <c r="A238" s="11">
        <v>282</v>
      </c>
      <c r="B238" s="8" t="str">
        <f>VLOOKUP(A238,'Sets (lua data)'!$A$3:$C$9920,3,FALSE)</f>
        <v>Vampire Cloak</v>
      </c>
      <c r="C238" s="8" t="str">
        <f>VLOOKUP(A238,'Sets (lua data)'!$A$3:$C$9920,2,FALSE)</f>
        <v>Vampirumhang</v>
      </c>
      <c r="D238" t="s">
        <v>1420</v>
      </c>
      <c r="E238" s="3" t="str">
        <f>IF(ISNA(VLOOKUP(D238,'&lt;Constants&gt;'!$B$4:$C$44,2,FALSE)),"",VLOOKUP(D238,'&lt;Constants&gt;'!$B$4:$C$44,2,FALSE))</f>
        <v>Included in base game</v>
      </c>
    </row>
    <row r="239" spans="1:5" x14ac:dyDescent="0.25">
      <c r="A239" s="11">
        <v>283</v>
      </c>
      <c r="B239" s="8" t="str">
        <f>VLOOKUP(A239,'Sets (lua data)'!$A$3:$C$9920,3,FALSE)</f>
        <v>Sword-Singer</v>
      </c>
      <c r="C239" s="8" t="str">
        <f>VLOOKUP(A239,'Sets (lua data)'!$A$3:$C$9920,2,FALSE)</f>
        <v>Schwertsänger</v>
      </c>
      <c r="D239" t="s">
        <v>1420</v>
      </c>
      <c r="E239" s="3" t="str">
        <f>IF(ISNA(VLOOKUP(D239,'&lt;Constants&gt;'!$B$4:$C$44,2,FALSE)),"",VLOOKUP(D239,'&lt;Constants&gt;'!$B$4:$C$44,2,FALSE))</f>
        <v>Included in base game</v>
      </c>
    </row>
    <row r="240" spans="1:5" x14ac:dyDescent="0.25">
      <c r="A240" s="11">
        <v>284</v>
      </c>
      <c r="B240" s="8" t="str">
        <f>VLOOKUP(A240,'Sets (lua data)'!$A$3:$C$9920,3,FALSE)</f>
        <v>Order of Diagna</v>
      </c>
      <c r="C240" s="8" t="str">
        <f>VLOOKUP(A240,'Sets (lua data)'!$A$3:$C$9920,2,FALSE)</f>
        <v>Orden von Diagna</v>
      </c>
      <c r="D240" t="s">
        <v>1420</v>
      </c>
      <c r="E240" s="3" t="str">
        <f>IF(ISNA(VLOOKUP(D240,'&lt;Constants&gt;'!$B$4:$C$44,2,FALSE)),"",VLOOKUP(D240,'&lt;Constants&gt;'!$B$4:$C$44,2,FALSE))</f>
        <v>Included in base game</v>
      </c>
    </row>
    <row r="241" spans="1:5" x14ac:dyDescent="0.25">
      <c r="A241" s="11">
        <v>285</v>
      </c>
      <c r="B241" s="8" t="str">
        <f>VLOOKUP(A241,'Sets (lua data)'!$A$3:$C$9920,3,FALSE)</f>
        <v>Vampire Lord</v>
      </c>
      <c r="C241" s="8" t="str">
        <f>VLOOKUP(A241,'Sets (lua data)'!$A$3:$C$9920,2,FALSE)</f>
        <v>Vampirfürst</v>
      </c>
      <c r="D241" t="s">
        <v>1420</v>
      </c>
      <c r="E241" s="3" t="str">
        <f>IF(ISNA(VLOOKUP(D241,'&lt;Constants&gt;'!$B$4:$C$44,2,FALSE)),"",VLOOKUP(D241,'&lt;Constants&gt;'!$B$4:$C$44,2,FALSE))</f>
        <v>Included in base game</v>
      </c>
    </row>
    <row r="242" spans="1:5" x14ac:dyDescent="0.25">
      <c r="A242" s="11">
        <v>286</v>
      </c>
      <c r="B242" s="8" t="str">
        <f>VLOOKUP(A242,'Sets (lua data)'!$A$3:$C$9920,3,FALSE)</f>
        <v>Spriggan\'s Thorns</v>
      </c>
      <c r="C242" s="8" t="str">
        <f>VLOOKUP(A242,'Sets (lua data)'!$A$3:$C$9920,2,FALSE)</f>
        <v>Dornen des Zweiglings</v>
      </c>
      <c r="D242" t="s">
        <v>1420</v>
      </c>
      <c r="E242" s="3" t="str">
        <f>IF(ISNA(VLOOKUP(D242,'&lt;Constants&gt;'!$B$4:$C$44,2,FALSE)),"",VLOOKUP(D242,'&lt;Constants&gt;'!$B$4:$C$44,2,FALSE))</f>
        <v>Included in base game</v>
      </c>
    </row>
    <row r="243" spans="1:5" x14ac:dyDescent="0.25">
      <c r="A243" s="11">
        <v>287</v>
      </c>
      <c r="B243" s="8" t="str">
        <f>VLOOKUP(A243,'Sets (lua data)'!$A$3:$C$9920,3,FALSE)</f>
        <v>Green Pact</v>
      </c>
      <c r="C243" s="8" t="str">
        <f>VLOOKUP(A243,'Sets (lua data)'!$A$3:$C$9920,2,FALSE)</f>
        <v>Der Grüne Pakt</v>
      </c>
      <c r="D243" t="s">
        <v>1420</v>
      </c>
      <c r="E243" s="3" t="str">
        <f>IF(ISNA(VLOOKUP(D243,'&lt;Constants&gt;'!$B$4:$C$44,2,FALSE)),"",VLOOKUP(D243,'&lt;Constants&gt;'!$B$4:$C$44,2,FALSE))</f>
        <v>Included in base game</v>
      </c>
    </row>
    <row r="244" spans="1:5" x14ac:dyDescent="0.25">
      <c r="A244" s="11">
        <v>288</v>
      </c>
      <c r="B244" s="8" t="str">
        <f>VLOOKUP(A244,'Sets (lua data)'!$A$3:$C$9920,3,FALSE)</f>
        <v>Beekeeper\'s Gear</v>
      </c>
      <c r="C244" s="8" t="str">
        <f>VLOOKUP(A244,'Sets (lua data)'!$A$3:$C$9920,2,FALSE)</f>
        <v>Werkzeug des Bienenhüters</v>
      </c>
      <c r="D244" t="s">
        <v>1420</v>
      </c>
      <c r="E244" s="3" t="str">
        <f>IF(ISNA(VLOOKUP(D244,'&lt;Constants&gt;'!$B$4:$C$44,2,FALSE)),"",VLOOKUP(D244,'&lt;Constants&gt;'!$B$4:$C$44,2,FALSE))</f>
        <v>Included in base game</v>
      </c>
    </row>
    <row r="245" spans="1:5" x14ac:dyDescent="0.25">
      <c r="A245" s="11">
        <v>289</v>
      </c>
      <c r="B245" s="8" t="str">
        <f>VLOOKUP(A245,'Sets (lua data)'!$A$3:$C$9920,3,FALSE)</f>
        <v>Spinner\'s Garments</v>
      </c>
      <c r="C245" s="8" t="str">
        <f>VLOOKUP(A245,'Sets (lua data)'!$A$3:$C$9920,2,FALSE)</f>
        <v>Gewänder des Webers</v>
      </c>
      <c r="D245" t="s">
        <v>1420</v>
      </c>
      <c r="E245" s="3" t="str">
        <f>IF(ISNA(VLOOKUP(D245,'&lt;Constants&gt;'!$B$4:$C$44,2,FALSE)),"",VLOOKUP(D245,'&lt;Constants&gt;'!$B$4:$C$44,2,FALSE))</f>
        <v>Included in base game</v>
      </c>
    </row>
    <row r="246" spans="1:5" x14ac:dyDescent="0.25">
      <c r="A246" s="11">
        <v>290</v>
      </c>
      <c r="B246" s="8" t="str">
        <f>VLOOKUP(A246,'Sets (lua data)'!$A$3:$C$9920,3,FALSE)</f>
        <v>Skooma Smuggler</v>
      </c>
      <c r="C246" s="8" t="str">
        <f>VLOOKUP(A246,'Sets (lua data)'!$A$3:$C$9920,2,FALSE)</f>
        <v>Skoomaschmuggler</v>
      </c>
      <c r="D246" t="s">
        <v>1420</v>
      </c>
      <c r="E246" s="3" t="str">
        <f>IF(ISNA(VLOOKUP(D246,'&lt;Constants&gt;'!$B$4:$C$44,2,FALSE)),"",VLOOKUP(D246,'&lt;Constants&gt;'!$B$4:$C$44,2,FALSE))</f>
        <v>Included in base game</v>
      </c>
    </row>
    <row r="247" spans="1:5" x14ac:dyDescent="0.25">
      <c r="A247" s="11">
        <v>291</v>
      </c>
      <c r="B247" s="8" t="str">
        <f>VLOOKUP(A247,'Sets (lua data)'!$A$3:$C$9920,3,FALSE)</f>
        <v>Shalk Exoskeleton</v>
      </c>
      <c r="C247" s="8" t="str">
        <f>VLOOKUP(A247,'Sets (lua data)'!$A$3:$C$9920,2,FALSE)</f>
        <v>Schröterpanzer</v>
      </c>
      <c r="D247" t="s">
        <v>1420</v>
      </c>
      <c r="E247" s="3" t="str">
        <f>IF(ISNA(VLOOKUP(D247,'&lt;Constants&gt;'!$B$4:$C$44,2,FALSE)),"",VLOOKUP(D247,'&lt;Constants&gt;'!$B$4:$C$44,2,FALSE))</f>
        <v>Included in base game</v>
      </c>
    </row>
    <row r="248" spans="1:5" x14ac:dyDescent="0.25">
      <c r="A248" s="11">
        <v>292</v>
      </c>
      <c r="B248" s="8" t="str">
        <f>VLOOKUP(A248,'Sets (lua data)'!$A$3:$C$9920,3,FALSE)</f>
        <v>Mother\'s Sorrow</v>
      </c>
      <c r="C248" s="8" t="str">
        <f>VLOOKUP(A248,'Sets (lua data)'!$A$3:$C$9920,2,FALSE)</f>
        <v>Muttertränen</v>
      </c>
      <c r="D248" t="s">
        <v>1420</v>
      </c>
      <c r="E248" s="3" t="str">
        <f>IF(ISNA(VLOOKUP(D248,'&lt;Constants&gt;'!$B$4:$C$44,2,FALSE)),"",VLOOKUP(D248,'&lt;Constants&gt;'!$B$4:$C$44,2,FALSE))</f>
        <v>Included in base game</v>
      </c>
    </row>
    <row r="249" spans="1:5" x14ac:dyDescent="0.25">
      <c r="A249" s="11">
        <v>293</v>
      </c>
      <c r="B249" s="8" t="str">
        <f>VLOOKUP(A249,'Sets (lua data)'!$A$3:$C$9920,3,FALSE)</f>
        <v>Plague Doctor</v>
      </c>
      <c r="C249" s="8" t="str">
        <f>VLOOKUP(A249,'Sets (lua data)'!$A$3:$C$9920,2,FALSE)</f>
        <v>Seuchendoktor</v>
      </c>
      <c r="D249" t="s">
        <v>1420</v>
      </c>
      <c r="E249" s="3" t="str">
        <f>IF(ISNA(VLOOKUP(D249,'&lt;Constants&gt;'!$B$4:$C$44,2,FALSE)),"",VLOOKUP(D249,'&lt;Constants&gt;'!$B$4:$C$44,2,FALSE))</f>
        <v>Included in base game</v>
      </c>
    </row>
    <row r="250" spans="1:5" x14ac:dyDescent="0.25">
      <c r="A250" s="11">
        <v>294</v>
      </c>
      <c r="B250" s="8" t="str">
        <f>VLOOKUP(A250,'Sets (lua data)'!$A$3:$C$9920,3,FALSE)</f>
        <v>Ysgramor\'s Birthright</v>
      </c>
      <c r="C250" s="8" t="str">
        <f>VLOOKUP(A250,'Sets (lua data)'!$A$3:$C$9920,2,FALSE)</f>
        <v>Ysgramors Geburtsrecht</v>
      </c>
      <c r="D250" t="s">
        <v>1420</v>
      </c>
      <c r="E250" s="3" t="str">
        <f>IF(ISNA(VLOOKUP(D250,'&lt;Constants&gt;'!$B$4:$C$44,2,FALSE)),"",VLOOKUP(D250,'&lt;Constants&gt;'!$B$4:$C$44,2,FALSE))</f>
        <v>Included in base game</v>
      </c>
    </row>
    <row r="251" spans="1:5" x14ac:dyDescent="0.25">
      <c r="A251" s="11">
        <v>295</v>
      </c>
      <c r="B251" s="8" t="str">
        <f>VLOOKUP(A251,'Sets (lua data)'!$A$3:$C$9920,3,FALSE)</f>
        <v>Jailbreaker</v>
      </c>
      <c r="C251" s="8" t="str">
        <f>VLOOKUP(A251,'Sets (lua data)'!$A$3:$C$9920,2,FALSE)</f>
        <v>Ausbrecher</v>
      </c>
      <c r="D251" t="s">
        <v>1420</v>
      </c>
      <c r="E251" s="3" t="str">
        <f>IF(ISNA(VLOOKUP(D251,'&lt;Constants&gt;'!$B$4:$C$44,2,FALSE)),"",VLOOKUP(D251,'&lt;Constants&gt;'!$B$4:$C$44,2,FALSE))</f>
        <v>Included in base game</v>
      </c>
    </row>
    <row r="252" spans="1:5" x14ac:dyDescent="0.25">
      <c r="A252" s="11">
        <v>296</v>
      </c>
      <c r="B252" s="8" t="str">
        <f>VLOOKUP(A252,'Sets (lua data)'!$A$3:$C$9920,3,FALSE)</f>
        <v>Spelunker</v>
      </c>
      <c r="C252" s="8" t="str">
        <f>VLOOKUP(A252,'Sets (lua data)'!$A$3:$C$9920,2,FALSE)</f>
        <v>Höhlenforscher</v>
      </c>
      <c r="D252" t="s">
        <v>1420</v>
      </c>
      <c r="E252" s="3" t="str">
        <f>IF(ISNA(VLOOKUP(D252,'&lt;Constants&gt;'!$B$4:$C$44,2,FALSE)),"",VLOOKUP(D252,'&lt;Constants&gt;'!$B$4:$C$44,2,FALSE))</f>
        <v>Included in base game</v>
      </c>
    </row>
    <row r="253" spans="1:5" x14ac:dyDescent="0.25">
      <c r="A253" s="11">
        <v>297</v>
      </c>
      <c r="B253" s="8" t="str">
        <f>VLOOKUP(A253,'Sets (lua data)'!$A$3:$C$9920,3,FALSE)</f>
        <v>Spider Cultist Cowl</v>
      </c>
      <c r="C253" s="8" t="str">
        <f>VLOOKUP(A253,'Sets (lua data)'!$A$3:$C$9920,2,FALSE)</f>
        <v>Spinnenkultistenkutte</v>
      </c>
      <c r="D253" t="s">
        <v>1420</v>
      </c>
      <c r="E253" s="3" t="str">
        <f>IF(ISNA(VLOOKUP(D253,'&lt;Constants&gt;'!$B$4:$C$44,2,FALSE)),"",VLOOKUP(D253,'&lt;Constants&gt;'!$B$4:$C$44,2,FALSE))</f>
        <v>Included in base game</v>
      </c>
    </row>
    <row r="254" spans="1:5" x14ac:dyDescent="0.25">
      <c r="A254" s="11">
        <v>298</v>
      </c>
      <c r="B254" s="8" t="str">
        <f>VLOOKUP(A254,'Sets (lua data)'!$A$3:$C$9920,3,FALSE)</f>
        <v>Light Speaker</v>
      </c>
      <c r="C254" s="8" t="str">
        <f>VLOOKUP(A254,'Sets (lua data)'!$A$3:$C$9920,2,FALSE)</f>
        <v>Lichtsprecher</v>
      </c>
      <c r="D254" t="s">
        <v>1420</v>
      </c>
      <c r="E254" s="3" t="str">
        <f>IF(ISNA(VLOOKUP(D254,'&lt;Constants&gt;'!$B$4:$C$44,2,FALSE)),"",VLOOKUP(D254,'&lt;Constants&gt;'!$B$4:$C$44,2,FALSE))</f>
        <v>Included in base game</v>
      </c>
    </row>
    <row r="255" spans="1:5" x14ac:dyDescent="0.25">
      <c r="A255" s="11">
        <v>299</v>
      </c>
      <c r="B255" s="8" t="str">
        <f>VLOOKUP(A255,'Sets (lua data)'!$A$3:$C$9920,3,FALSE)</f>
        <v>Toothrow</v>
      </c>
      <c r="C255" s="8" t="str">
        <f>VLOOKUP(A255,'Sets (lua data)'!$A$3:$C$9920,2,FALSE)</f>
        <v>Zahnreihe</v>
      </c>
      <c r="D255" t="s">
        <v>1420</v>
      </c>
      <c r="E255" s="3" t="str">
        <f>IF(ISNA(VLOOKUP(D255,'&lt;Constants&gt;'!$B$4:$C$44,2,FALSE)),"",VLOOKUP(D255,'&lt;Constants&gt;'!$B$4:$C$44,2,FALSE))</f>
        <v>Included in base game</v>
      </c>
    </row>
    <row r="256" spans="1:5" x14ac:dyDescent="0.25">
      <c r="A256" s="11">
        <v>300</v>
      </c>
      <c r="B256" s="8" t="str">
        <f>VLOOKUP(A256,'Sets (lua data)'!$A$3:$C$9920,3,FALSE)</f>
        <v>Netch\'s Touch</v>
      </c>
      <c r="C256" s="8" t="str">
        <f>VLOOKUP(A256,'Sets (lua data)'!$A$3:$C$9920,2,FALSE)</f>
        <v>Berührung des Netch</v>
      </c>
      <c r="D256" t="s">
        <v>1420</v>
      </c>
      <c r="E256" s="3" t="str">
        <f>IF(ISNA(VLOOKUP(D256,'&lt;Constants&gt;'!$B$4:$C$44,2,FALSE)),"",VLOOKUP(D256,'&lt;Constants&gt;'!$B$4:$C$44,2,FALSE))</f>
        <v>Included in base game</v>
      </c>
    </row>
    <row r="257" spans="1:5" x14ac:dyDescent="0.25">
      <c r="A257" s="11">
        <v>301</v>
      </c>
      <c r="B257" s="8" t="str">
        <f>VLOOKUP(A257,'Sets (lua data)'!$A$3:$C$9920,3,FALSE)</f>
        <v>Strength of the Automaton</v>
      </c>
      <c r="C257" s="8" t="str">
        <f>VLOOKUP(A257,'Sets (lua data)'!$A$3:$C$9920,2,FALSE)</f>
        <v>Stärke des Automaten</v>
      </c>
      <c r="D257" t="s">
        <v>1420</v>
      </c>
      <c r="E257" s="3" t="str">
        <f>IF(ISNA(VLOOKUP(D257,'&lt;Constants&gt;'!$B$4:$C$44,2,FALSE)),"",VLOOKUP(D257,'&lt;Constants&gt;'!$B$4:$C$44,2,FALSE))</f>
        <v>Included in base game</v>
      </c>
    </row>
    <row r="258" spans="1:5" x14ac:dyDescent="0.25">
      <c r="A258" s="11">
        <v>302</v>
      </c>
      <c r="B258" s="8" t="str">
        <f>VLOOKUP(A258,'Sets (lua data)'!$A$3:$C$9920,3,FALSE)</f>
        <v>Leviathan</v>
      </c>
      <c r="C258" s="8" t="str">
        <f>VLOOKUP(A258,'Sets (lua data)'!$A$3:$C$9920,2,FALSE)</f>
        <v>Leviathan</v>
      </c>
      <c r="D258" t="s">
        <v>1420</v>
      </c>
      <c r="E258" s="3" t="str">
        <f>IF(ISNA(VLOOKUP(D258,'&lt;Constants&gt;'!$B$4:$C$44,2,FALSE)),"",VLOOKUP(D258,'&lt;Constants&gt;'!$B$4:$C$44,2,FALSE))</f>
        <v>Included in base game</v>
      </c>
    </row>
    <row r="259" spans="1:5" x14ac:dyDescent="0.25">
      <c r="A259" s="11">
        <v>303</v>
      </c>
      <c r="B259" s="8" t="str">
        <f>VLOOKUP(A259,'Sets (lua data)'!$A$3:$C$9920,3,FALSE)</f>
        <v>Lamia\'s Song</v>
      </c>
      <c r="C259" s="8" t="str">
        <f>VLOOKUP(A259,'Sets (lua data)'!$A$3:$C$9920,2,FALSE)</f>
        <v>Lied der Lamie</v>
      </c>
      <c r="D259" t="s">
        <v>1420</v>
      </c>
      <c r="E259" s="3" t="str">
        <f>IF(ISNA(VLOOKUP(D259,'&lt;Constants&gt;'!$B$4:$C$44,2,FALSE)),"",VLOOKUP(D259,'&lt;Constants&gt;'!$B$4:$C$44,2,FALSE))</f>
        <v>Included in base game</v>
      </c>
    </row>
    <row r="260" spans="1:5" x14ac:dyDescent="0.25">
      <c r="A260" s="11">
        <v>304</v>
      </c>
      <c r="B260" s="8" t="str">
        <f>VLOOKUP(A260,'Sets (lua data)'!$A$3:$C$9920,3,FALSE)</f>
        <v>Medusa</v>
      </c>
      <c r="C260" s="8" t="str">
        <f>VLOOKUP(A260,'Sets (lua data)'!$A$3:$C$9920,2,FALSE)</f>
        <v>Versteinernder Blick</v>
      </c>
      <c r="D260" t="s">
        <v>1420</v>
      </c>
      <c r="E260" s="3" t="str">
        <f>IF(ISNA(VLOOKUP(D260,'&lt;Constants&gt;'!$B$4:$C$44,2,FALSE)),"",VLOOKUP(D260,'&lt;Constants&gt;'!$B$4:$C$44,2,FALSE))</f>
        <v>Included in base game</v>
      </c>
    </row>
    <row r="261" spans="1:5" x14ac:dyDescent="0.25">
      <c r="A261" s="11">
        <v>305</v>
      </c>
      <c r="B261" s="8" t="str">
        <f>VLOOKUP(A261,'Sets (lua data)'!$A$3:$C$9920,3,FALSE)</f>
        <v>Treasure Hunter</v>
      </c>
      <c r="C261" s="8" t="str">
        <f>VLOOKUP(A261,'Sets (lua data)'!$A$3:$C$9920,2,FALSE)</f>
        <v>Schatzjäger</v>
      </c>
      <c r="D261" t="s">
        <v>1420</v>
      </c>
      <c r="E261" s="3" t="str">
        <f>IF(ISNA(VLOOKUP(D261,'&lt;Constants&gt;'!$B$4:$C$44,2,FALSE)),"",VLOOKUP(D261,'&lt;Constants&gt;'!$B$4:$C$44,2,FALSE))</f>
        <v>Included in base game</v>
      </c>
    </row>
    <row r="262" spans="1:5" x14ac:dyDescent="0.25">
      <c r="A262" s="11">
        <v>307</v>
      </c>
      <c r="B262" s="8" t="str">
        <f>VLOOKUP(A262,'Sets (lua data)'!$A$3:$C$9920,3,FALSE)</f>
        <v>Draugr Hulk</v>
      </c>
      <c r="C262" s="8" t="str">
        <f>VLOOKUP(A262,'Sets (lua data)'!$A$3:$C$9920,2,FALSE)</f>
        <v>Schwerfälliger Draugr</v>
      </c>
      <c r="D262" t="s">
        <v>1420</v>
      </c>
      <c r="E262" s="3" t="str">
        <f>IF(ISNA(VLOOKUP(D262,'&lt;Constants&gt;'!$B$4:$C$44,2,FALSE)),"",VLOOKUP(D262,'&lt;Constants&gt;'!$B$4:$C$44,2,FALSE))</f>
        <v>Included in base game</v>
      </c>
    </row>
    <row r="263" spans="1:5" x14ac:dyDescent="0.25">
      <c r="A263" s="11">
        <v>308</v>
      </c>
      <c r="B263" s="8" t="str">
        <f>VLOOKUP(A263,'Sets (lua data)'!$A$3:$C$9920,3,FALSE)</f>
        <v>Bone Pirate\'s Tatters</v>
      </c>
      <c r="C263" s="8" t="str">
        <f>VLOOKUP(A263,'Sets (lua data)'!$A$3:$C$9920,2,FALSE)</f>
        <v>Lumpen des Knochenpiraten</v>
      </c>
      <c r="D263" t="s">
        <v>1420</v>
      </c>
      <c r="E263" s="3" t="str">
        <f>IF(ISNA(VLOOKUP(D263,'&lt;Constants&gt;'!$B$4:$C$44,2,FALSE)),"",VLOOKUP(D263,'&lt;Constants&gt;'!$B$4:$C$44,2,FALSE))</f>
        <v>Included in base game</v>
      </c>
    </row>
    <row r="264" spans="1:5" x14ac:dyDescent="0.25">
      <c r="A264" s="11">
        <v>309</v>
      </c>
      <c r="B264" s="8" t="str">
        <f>VLOOKUP(A264,'Sets (lua data)'!$A$3:$C$9920,3,FALSE)</f>
        <v>Knight-errant\'s Mail</v>
      </c>
      <c r="C264" s="8" t="str">
        <f>VLOOKUP(A264,'Sets (lua data)'!$A$3:$C$9920,2,FALSE)</f>
        <v>Platten des Wanderritters</v>
      </c>
      <c r="D264" t="s">
        <v>1420</v>
      </c>
      <c r="E264" s="3" t="str">
        <f>IF(ISNA(VLOOKUP(D264,'&lt;Constants&gt;'!$B$4:$C$44,2,FALSE)),"",VLOOKUP(D264,'&lt;Constants&gt;'!$B$4:$C$44,2,FALSE))</f>
        <v>Included in base game</v>
      </c>
    </row>
    <row r="265" spans="1:5" x14ac:dyDescent="0.25">
      <c r="A265" s="11">
        <v>310</v>
      </c>
      <c r="B265" s="8" t="str">
        <f>VLOOKUP(A265,'Sets (lua data)'!$A$3:$C$9920,3,FALSE)</f>
        <v>Sword Dancer</v>
      </c>
      <c r="C265" s="8" t="str">
        <f>VLOOKUP(A265,'Sets (lua data)'!$A$3:$C$9920,2,FALSE)</f>
        <v>Schwerttänzer</v>
      </c>
      <c r="D265" t="s">
        <v>1420</v>
      </c>
      <c r="E265" s="3" t="str">
        <f>IF(ISNA(VLOOKUP(D265,'&lt;Constants&gt;'!$B$4:$C$44,2,FALSE)),"",VLOOKUP(D265,'&lt;Constants&gt;'!$B$4:$C$44,2,FALSE))</f>
        <v>Included in base game</v>
      </c>
    </row>
    <row r="266" spans="1:5" x14ac:dyDescent="0.25">
      <c r="A266" s="11">
        <v>311</v>
      </c>
      <c r="B266" s="8" t="str">
        <f>VLOOKUP(A266,'Sets (lua data)'!$A$3:$C$9920,3,FALSE)</f>
        <v>Rattlecage</v>
      </c>
      <c r="C266" s="8" t="str">
        <f>VLOOKUP(A266,'Sets (lua data)'!$A$3:$C$9920,2,FALSE)</f>
        <v>Klapperkäfig</v>
      </c>
      <c r="D266" t="s">
        <v>1420</v>
      </c>
      <c r="E266" s="3" t="str">
        <f>IF(ISNA(VLOOKUP(D266,'&lt;Constants&gt;'!$B$4:$C$44,2,FALSE)),"",VLOOKUP(D266,'&lt;Constants&gt;'!$B$4:$C$44,2,FALSE))</f>
        <v>Included in base game</v>
      </c>
    </row>
    <row r="267" spans="1:5" x14ac:dyDescent="0.25">
      <c r="A267" s="11">
        <v>313</v>
      </c>
      <c r="B267" s="8" t="str">
        <f>VLOOKUP(A267,'Sets (lua data)'!$A$3:$C$9920,3,FALSE)</f>
        <v>Titanic Cleave</v>
      </c>
      <c r="C267" s="8" t="str">
        <f>VLOOKUP(A267,'Sets (lua data)'!$A$3:$C$9920,2,FALSE)</f>
        <v>Titanisches Trennen</v>
      </c>
      <c r="D267" t="s">
        <v>1420</v>
      </c>
      <c r="E267" s="3" t="str">
        <f>IF(ISNA(VLOOKUP(D267,'&lt;Constants&gt;'!$B$4:$C$44,2,FALSE)),"",VLOOKUP(D267,'&lt;Constants&gt;'!$B$4:$C$44,2,FALSE))</f>
        <v>Included in base game</v>
      </c>
    </row>
    <row r="268" spans="1:5" x14ac:dyDescent="0.25">
      <c r="A268" s="11">
        <v>314</v>
      </c>
      <c r="B268" s="8" t="str">
        <f>VLOOKUP(A268,'Sets (lua data)'!$A$3:$C$9920,3,FALSE)</f>
        <v>Puncturing Remedy</v>
      </c>
      <c r="C268" s="8" t="str">
        <f>VLOOKUP(A268,'Sets (lua data)'!$A$3:$C$9920,2,FALSE)</f>
        <v>Durchschlagende Genesung</v>
      </c>
      <c r="D268" t="s">
        <v>1420</v>
      </c>
      <c r="E268" s="3" t="str">
        <f>IF(ISNA(VLOOKUP(D268,'&lt;Constants&gt;'!$B$4:$C$44,2,FALSE)),"",VLOOKUP(D268,'&lt;Constants&gt;'!$B$4:$C$44,2,FALSE))</f>
        <v>Included in base game</v>
      </c>
    </row>
    <row r="269" spans="1:5" x14ac:dyDescent="0.25">
      <c r="A269" s="11">
        <v>315</v>
      </c>
      <c r="B269" s="8" t="str">
        <f>VLOOKUP(A269,'Sets (lua data)'!$A$3:$C$9920,3,FALSE)</f>
        <v>Stinging Slashes</v>
      </c>
      <c r="C269" s="8" t="str">
        <f>VLOOKUP(A269,'Sets (lua data)'!$A$3:$C$9920,2,FALSE)</f>
        <v>Stechende Schnitte</v>
      </c>
      <c r="D269" t="s">
        <v>1420</v>
      </c>
      <c r="E269" s="3" t="str">
        <f>IF(ISNA(VLOOKUP(D269,'&lt;Constants&gt;'!$B$4:$C$44,2,FALSE)),"",VLOOKUP(D269,'&lt;Constants&gt;'!$B$4:$C$44,2,FALSE))</f>
        <v>Included in base game</v>
      </c>
    </row>
    <row r="270" spans="1:5" x14ac:dyDescent="0.25">
      <c r="A270" s="11">
        <v>316</v>
      </c>
      <c r="B270" s="8" t="str">
        <f>VLOOKUP(A270,'Sets (lua data)'!$A$3:$C$9920,3,FALSE)</f>
        <v>Caustic Arrow</v>
      </c>
      <c r="C270" s="8" t="str">
        <f>VLOOKUP(A270,'Sets (lua data)'!$A$3:$C$9920,2,FALSE)</f>
        <v>Beißender Pfeil</v>
      </c>
      <c r="D270" t="s">
        <v>1420</v>
      </c>
      <c r="E270" s="3" t="str">
        <f>IF(ISNA(VLOOKUP(D270,'&lt;Constants&gt;'!$B$4:$C$44,2,FALSE)),"",VLOOKUP(D270,'&lt;Constants&gt;'!$B$4:$C$44,2,FALSE))</f>
        <v>Included in base game</v>
      </c>
    </row>
    <row r="271" spans="1:5" x14ac:dyDescent="0.25">
      <c r="A271" s="11">
        <v>317</v>
      </c>
      <c r="B271" s="8" t="str">
        <f>VLOOKUP(A271,'Sets (lua data)'!$A$3:$C$9920,3,FALSE)</f>
        <v>Destructive Impact</v>
      </c>
      <c r="C271" s="8" t="str">
        <f>VLOOKUP(A271,'Sets (lua data)'!$A$3:$C$9920,2,FALSE)</f>
        <v>Zerstörerischer Einschlag</v>
      </c>
      <c r="D271" t="s">
        <v>1420</v>
      </c>
      <c r="E271" s="3" t="str">
        <f>IF(ISNA(VLOOKUP(D271,'&lt;Constants&gt;'!$B$4:$C$44,2,FALSE)),"",VLOOKUP(D271,'&lt;Constants&gt;'!$B$4:$C$44,2,FALSE))</f>
        <v>Included in base game</v>
      </c>
    </row>
    <row r="272" spans="1:5" x14ac:dyDescent="0.25">
      <c r="A272" s="11">
        <v>318</v>
      </c>
      <c r="B272" s="8" t="str">
        <f>VLOOKUP(A272,'Sets (lua data)'!$A$3:$C$9920,3,FALSE)</f>
        <v>Grand Rejuvenation</v>
      </c>
      <c r="C272" s="8" t="str">
        <f>VLOOKUP(A272,'Sets (lua data)'!$A$3:$C$9920,2,FALSE)</f>
        <v>Große Verjüngung</v>
      </c>
      <c r="D272" t="s">
        <v>1420</v>
      </c>
      <c r="E272" s="3" t="str">
        <f>IF(ISNA(VLOOKUP(D272,'&lt;Constants&gt;'!$B$4:$C$44,2,FALSE)),"",VLOOKUP(D272,'&lt;Constants&gt;'!$B$4:$C$44,2,FALSE))</f>
        <v>Included in base game</v>
      </c>
    </row>
    <row r="273" spans="1:5" x14ac:dyDescent="0.25">
      <c r="A273" s="11">
        <v>320</v>
      </c>
      <c r="B273" s="8" t="str">
        <f>VLOOKUP(A273,'Sets (lua data)'!$A$3:$C$9920,3,FALSE)</f>
        <v>War Maiden</v>
      </c>
      <c r="C273" s="8" t="str">
        <f>VLOOKUP(A273,'Sets (lua data)'!$A$3:$C$9920,2,FALSE)</f>
        <v>Kriegsjungfer</v>
      </c>
      <c r="D273" t="s">
        <v>1426</v>
      </c>
      <c r="E273" s="3" t="str">
        <f>IF(ISNA(VLOOKUP(D273,'&lt;Constants&gt;'!$B$4:$C$44,2,FALSE)),"",VLOOKUP(D273,'&lt;Constants&gt;'!$B$4:$C$44,2,FALSE))</f>
        <v>Morrowind</v>
      </c>
    </row>
    <row r="274" spans="1:5" x14ac:dyDescent="0.25">
      <c r="A274" s="11">
        <v>321</v>
      </c>
      <c r="B274" s="8" t="str">
        <f>VLOOKUP(A274,'Sets (lua data)'!$A$3:$C$9920,3,FALSE)</f>
        <v>Defiler</v>
      </c>
      <c r="C274" s="8" t="str">
        <f>VLOOKUP(A274,'Sets (lua data)'!$A$3:$C$9920,2,FALSE)</f>
        <v>Schänder</v>
      </c>
      <c r="D274" t="s">
        <v>1426</v>
      </c>
      <c r="E274" s="3" t="str">
        <f>IF(ISNA(VLOOKUP(D274,'&lt;Constants&gt;'!$B$4:$C$44,2,FALSE)),"",VLOOKUP(D274,'&lt;Constants&gt;'!$B$4:$C$44,2,FALSE))</f>
        <v>Morrowind</v>
      </c>
    </row>
    <row r="275" spans="1:5" x14ac:dyDescent="0.25">
      <c r="A275" s="11">
        <v>322</v>
      </c>
      <c r="B275" s="8" t="str">
        <f>VLOOKUP(A275,'Sets (lua data)'!$A$3:$C$9920,3,FALSE)</f>
        <v>Warrior-Poet</v>
      </c>
      <c r="C275" s="8" t="str">
        <f>VLOOKUP(A275,'Sets (lua data)'!$A$3:$C$9920,2,FALSE)</f>
        <v>Kriegerpoet</v>
      </c>
      <c r="D275" t="s">
        <v>1426</v>
      </c>
      <c r="E275" s="3" t="str">
        <f>IF(ISNA(VLOOKUP(D275,'&lt;Constants&gt;'!$B$4:$C$44,2,FALSE)),"",VLOOKUP(D275,'&lt;Constants&gt;'!$B$4:$C$44,2,FALSE))</f>
        <v>Morrowind</v>
      </c>
    </row>
    <row r="276" spans="1:5" x14ac:dyDescent="0.25">
      <c r="A276" s="5">
        <v>323</v>
      </c>
      <c r="B276" s="8" t="str">
        <f>VLOOKUP(A276,'Sets (lua data)'!$A$3:$C$9920,3,FALSE)</f>
        <v>Assassin\'s Guile</v>
      </c>
      <c r="C276" s="8" t="str">
        <f>VLOOKUP(A276,'Sets (lua data)'!$A$3:$C$9920,2,FALSE)</f>
        <v>Assassinenlist</v>
      </c>
      <c r="D276" t="s">
        <v>1426</v>
      </c>
      <c r="E276" s="3" t="str">
        <f>IF(ISNA(VLOOKUP(D276,'&lt;Constants&gt;'!$B$4:$C$44,2,FALSE)),"",VLOOKUP(D276,'&lt;Constants&gt;'!$B$4:$C$44,2,FALSE))</f>
        <v>Morrowind</v>
      </c>
    </row>
    <row r="277" spans="1:5" x14ac:dyDescent="0.25">
      <c r="A277" s="5">
        <v>324</v>
      </c>
      <c r="B277" s="8" t="str">
        <f>VLOOKUP(A277,'Sets (lua data)'!$A$3:$C$9920,3,FALSE)</f>
        <v>Daedric Trickery</v>
      </c>
      <c r="C277" s="8" t="str">
        <f>VLOOKUP(A277,'Sets (lua data)'!$A$3:$C$9920,2,FALSE)</f>
        <v>Daedrische Gaunerei</v>
      </c>
      <c r="D277" t="s">
        <v>1426</v>
      </c>
      <c r="E277" s="3" t="str">
        <f>IF(ISNA(VLOOKUP(D277,'&lt;Constants&gt;'!$B$4:$C$44,2,FALSE)),"",VLOOKUP(D277,'&lt;Constants&gt;'!$B$4:$C$44,2,FALSE))</f>
        <v>Morrowind</v>
      </c>
    </row>
    <row r="278" spans="1:5" x14ac:dyDescent="0.25">
      <c r="A278" s="5">
        <v>325</v>
      </c>
      <c r="B278" s="8" t="str">
        <f>VLOOKUP(A278,'Sets (lua data)'!$A$3:$C$9920,3,FALSE)</f>
        <v>Shacklebreaker</v>
      </c>
      <c r="C278" s="8" t="str">
        <f>VLOOKUP(A278,'Sets (lua data)'!$A$3:$C$9920,2,FALSE)</f>
        <v>Kettensprenger</v>
      </c>
      <c r="D278" t="s">
        <v>1426</v>
      </c>
      <c r="E278" s="3" t="str">
        <f>IF(ISNA(VLOOKUP(D278,'&lt;Constants&gt;'!$B$4:$C$44,2,FALSE)),"",VLOOKUP(D278,'&lt;Constants&gt;'!$B$4:$C$44,2,FALSE))</f>
        <v>Morrowind</v>
      </c>
    </row>
    <row r="279" spans="1:5" x14ac:dyDescent="0.25">
      <c r="A279" s="11">
        <v>326</v>
      </c>
      <c r="B279" s="8" t="str">
        <f>VLOOKUP(A279,'Sets (lua data)'!$A$3:$C$9920,3,FALSE)</f>
        <v>Vanguard\'s Challenge</v>
      </c>
      <c r="C279" s="8" t="str">
        <f>VLOOKUP(A279,'Sets (lua data)'!$A$3:$C$9920,2,FALSE)</f>
        <v>Vorhutdisput</v>
      </c>
      <c r="D279" t="s">
        <v>1420</v>
      </c>
      <c r="E279" s="3" t="str">
        <f>IF(ISNA(VLOOKUP(D279,'&lt;Constants&gt;'!$B$4:$C$44,2,FALSE)),"",VLOOKUP(D279,'&lt;Constants&gt;'!$B$4:$C$44,2,FALSE))</f>
        <v>Included in base game</v>
      </c>
    </row>
    <row r="280" spans="1:5" x14ac:dyDescent="0.25">
      <c r="A280" s="11">
        <v>327</v>
      </c>
      <c r="B280" s="8" t="str">
        <f>VLOOKUP(A280,'Sets (lua data)'!$A$3:$C$9920,3,FALSE)</f>
        <v>Coward\'s Gear</v>
      </c>
      <c r="C280" s="8" t="str">
        <f>VLOOKUP(A280,'Sets (lua data)'!$A$3:$C$9920,2,FALSE)</f>
        <v>Feiglingstracht</v>
      </c>
      <c r="D280" t="s">
        <v>1420</v>
      </c>
      <c r="E280" s="3" t="str">
        <f>IF(ISNA(VLOOKUP(D280,'&lt;Constants&gt;'!$B$4:$C$44,2,FALSE)),"",VLOOKUP(D280,'&lt;Constants&gt;'!$B$4:$C$44,2,FALSE))</f>
        <v>Included in base game</v>
      </c>
    </row>
    <row r="281" spans="1:5" x14ac:dyDescent="0.25">
      <c r="A281" s="11">
        <v>328</v>
      </c>
      <c r="B281" s="8" t="str">
        <f>VLOOKUP(A281,'Sets (lua data)'!$A$3:$C$9920,3,FALSE)</f>
        <v>Knight Slayer</v>
      </c>
      <c r="C281" s="8" t="str">
        <f>VLOOKUP(A281,'Sets (lua data)'!$A$3:$C$9920,2,FALSE)</f>
        <v>Ritterschlächter</v>
      </c>
      <c r="D281" t="s">
        <v>1420</v>
      </c>
      <c r="E281" s="3" t="str">
        <f>IF(ISNA(VLOOKUP(D281,'&lt;Constants&gt;'!$B$4:$C$44,2,FALSE)),"",VLOOKUP(D281,'&lt;Constants&gt;'!$B$4:$C$44,2,FALSE))</f>
        <v>Included in base game</v>
      </c>
    </row>
    <row r="282" spans="1:5" x14ac:dyDescent="0.25">
      <c r="A282" s="11">
        <v>329</v>
      </c>
      <c r="B282" s="8" t="str">
        <f>VLOOKUP(A282,'Sets (lua data)'!$A$3:$C$9920,3,FALSE)</f>
        <v>Wizard\'s Riposte</v>
      </c>
      <c r="C282" s="8" t="str">
        <f>VLOOKUP(A282,'Sets (lua data)'!$A$3:$C$9920,2,FALSE)</f>
        <v>Zaubererreplik</v>
      </c>
      <c r="D282" t="s">
        <v>1420</v>
      </c>
      <c r="E282" s="3" t="str">
        <f>IF(ISNA(VLOOKUP(D282,'&lt;Constants&gt;'!$B$4:$C$44,2,FALSE)),"",VLOOKUP(D282,'&lt;Constants&gt;'!$B$4:$C$44,2,FALSE))</f>
        <v>Included in base game</v>
      </c>
    </row>
    <row r="283" spans="1:5" x14ac:dyDescent="0.25">
      <c r="A283" s="11">
        <v>330</v>
      </c>
      <c r="B283" s="8" t="str">
        <f>VLOOKUP(A283,'Sets (lua data)'!$A$3:$C$9920,3,FALSE)</f>
        <v>Automated Defense</v>
      </c>
      <c r="C283" s="8" t="str">
        <f>VLOOKUP(A283,'Sets (lua data)'!$A$3:$C$9920,2,FALSE)</f>
        <v>Automatisierte Verteidigung</v>
      </c>
      <c r="D283" t="s">
        <v>1426</v>
      </c>
      <c r="E283" s="3" t="str">
        <f>IF(ISNA(VLOOKUP(D283,'&lt;Constants&gt;'!$B$4:$C$44,2,FALSE)),"",VLOOKUP(D283,'&lt;Constants&gt;'!$B$4:$C$44,2,FALSE))</f>
        <v>Morrowind</v>
      </c>
    </row>
    <row r="284" spans="1:5" x14ac:dyDescent="0.25">
      <c r="A284" s="11">
        <v>331</v>
      </c>
      <c r="B284" s="8" t="str">
        <f>VLOOKUP(A284,'Sets (lua data)'!$A$3:$C$9920,3,FALSE)</f>
        <v>War Machine</v>
      </c>
      <c r="C284" s="8" t="str">
        <f>VLOOKUP(A284,'Sets (lua data)'!$A$3:$C$9920,2,FALSE)</f>
        <v>Kriegsmaschine</v>
      </c>
      <c r="D284" t="s">
        <v>1426</v>
      </c>
      <c r="E284" s="3" t="str">
        <f>IF(ISNA(VLOOKUP(D284,'&lt;Constants&gt;'!$B$4:$C$44,2,FALSE)),"",VLOOKUP(D284,'&lt;Constants&gt;'!$B$4:$C$44,2,FALSE))</f>
        <v>Morrowind</v>
      </c>
    </row>
    <row r="285" spans="1:5" x14ac:dyDescent="0.25">
      <c r="A285" s="11">
        <v>332</v>
      </c>
      <c r="B285" s="8" t="str">
        <f>VLOOKUP(A285,'Sets (lua data)'!$A$3:$C$9920,3,FALSE)</f>
        <v>Master Architect</v>
      </c>
      <c r="C285" s="8" t="str">
        <f>VLOOKUP(A285,'Sets (lua data)'!$A$3:$C$9920,2,FALSE)</f>
        <v>Meisterarchitekt</v>
      </c>
      <c r="D285" t="s">
        <v>1426</v>
      </c>
      <c r="E285" s="3" t="str">
        <f>IF(ISNA(VLOOKUP(D285,'&lt;Constants&gt;'!$B$4:$C$44,2,FALSE)),"",VLOOKUP(D285,'&lt;Constants&gt;'!$B$4:$C$44,2,FALSE))</f>
        <v>Morrowind</v>
      </c>
    </row>
    <row r="286" spans="1:5" x14ac:dyDescent="0.25">
      <c r="A286" s="11">
        <v>333</v>
      </c>
      <c r="B286" s="8" t="str">
        <f>VLOOKUP(A286,'Sets (lua data)'!$A$3:$C$9920,3,FALSE)</f>
        <v>Inventor\'s Guard</v>
      </c>
      <c r="C286" s="8" t="str">
        <f>VLOOKUP(A286,'Sets (lua data)'!$A$3:$C$9920,2,FALSE)</f>
        <v>Erfindergarde</v>
      </c>
      <c r="D286" t="s">
        <v>1426</v>
      </c>
      <c r="E286" s="3" t="str">
        <f>IF(ISNA(VLOOKUP(D286,'&lt;Constants&gt;'!$B$4:$C$44,2,FALSE)),"",VLOOKUP(D286,'&lt;Constants&gt;'!$B$4:$C$44,2,FALSE))</f>
        <v>Morrowind</v>
      </c>
    </row>
    <row r="287" spans="1:5" x14ac:dyDescent="0.25">
      <c r="A287" s="11">
        <v>334</v>
      </c>
      <c r="B287" s="8" t="str">
        <f>VLOOKUP(A287,'Sets (lua data)'!$A$3:$C$9920,3,FALSE)</f>
        <v>Impregnable Armor</v>
      </c>
      <c r="C287" s="8" t="str">
        <f>VLOOKUP(A287,'Sets (lua data)'!$A$3:$C$9920,2,FALSE)</f>
        <v>Unüberwindliche Rüstung</v>
      </c>
      <c r="D287" t="s">
        <v>1426</v>
      </c>
      <c r="E287" s="3" t="str">
        <f>IF(ISNA(VLOOKUP(D287,'&lt;Constants&gt;'!$B$4:$C$44,2,FALSE)),"",VLOOKUP(D287,'&lt;Constants&gt;'!$B$4:$C$44,2,FALSE))</f>
        <v>Morrowind</v>
      </c>
    </row>
    <row r="288" spans="1:5" x14ac:dyDescent="0.25">
      <c r="A288" s="11">
        <v>335</v>
      </c>
      <c r="B288" s="8" t="str">
        <f>VLOOKUP(A288,'Sets (lua data)'!$A$3:$C$9920,3,FALSE)</f>
        <v>Draugr\'s Rest</v>
      </c>
      <c r="C288" s="8" t="str">
        <f>VLOOKUP(A288,'Sets (lua data)'!$A$3:$C$9920,2,FALSE)</f>
        <v>Draugrruhe</v>
      </c>
      <c r="D288" t="s">
        <v>1427</v>
      </c>
      <c r="E288" s="3" t="str">
        <f>IF(ISNA(VLOOKUP(D288,'&lt;Constants&gt;'!$B$4:$C$44,2,FALSE)),"",VLOOKUP(D288,'&lt;Constants&gt;'!$B$4:$C$44,2,FALSE))</f>
        <v>Horns of the Reach</v>
      </c>
    </row>
    <row r="289" spans="1:5" x14ac:dyDescent="0.25">
      <c r="A289" s="11">
        <v>336</v>
      </c>
      <c r="B289" s="8" t="str">
        <f>VLOOKUP(A289,'Sets (lua data)'!$A$3:$C$9920,3,FALSE)</f>
        <v>Pillar of Nirn</v>
      </c>
      <c r="C289" s="8" t="str">
        <f>VLOOKUP(A289,'Sets (lua data)'!$A$3:$C$9920,2,FALSE)</f>
        <v>Säulen von Nirn</v>
      </c>
      <c r="D289" t="s">
        <v>1427</v>
      </c>
      <c r="E289" s="3" t="str">
        <f>IF(ISNA(VLOOKUP(D289,'&lt;Constants&gt;'!$B$4:$C$44,2,FALSE)),"",VLOOKUP(D289,'&lt;Constants&gt;'!$B$4:$C$44,2,FALSE))</f>
        <v>Horns of the Reach</v>
      </c>
    </row>
    <row r="290" spans="1:5" x14ac:dyDescent="0.25">
      <c r="A290" s="11">
        <v>337</v>
      </c>
      <c r="B290" s="8" t="str">
        <f>VLOOKUP(A290,'Sets (lua data)'!$A$3:$C$9920,3,FALSE)</f>
        <v>Ironblood</v>
      </c>
      <c r="C290" s="8" t="str">
        <f>VLOOKUP(A290,'Sets (lua data)'!$A$3:$C$9920,2,FALSE)</f>
        <v>Eisenblut</v>
      </c>
      <c r="D290" t="s">
        <v>1427</v>
      </c>
      <c r="E290" s="3" t="str">
        <f>IF(ISNA(VLOOKUP(D290,'&lt;Constants&gt;'!$B$4:$C$44,2,FALSE)),"",VLOOKUP(D290,'&lt;Constants&gt;'!$B$4:$C$44,2,FALSE))</f>
        <v>Horns of the Reach</v>
      </c>
    </row>
    <row r="291" spans="1:5" x14ac:dyDescent="0.25">
      <c r="A291" s="11">
        <v>338</v>
      </c>
      <c r="B291" s="8" t="str">
        <f>VLOOKUP(A291,'Sets (lua data)'!$A$3:$C$9920,3,FALSE)</f>
        <v>Flame Blossom</v>
      </c>
      <c r="C291" s="8" t="str">
        <f>VLOOKUP(A291,'Sets (lua data)'!$A$3:$C$9920,2,FALSE)</f>
        <v>Flammenblüte</v>
      </c>
      <c r="D291" t="s">
        <v>1427</v>
      </c>
      <c r="E291" s="3" t="str">
        <f>IF(ISNA(VLOOKUP(D291,'&lt;Constants&gt;'!$B$4:$C$44,2,FALSE)),"",VLOOKUP(D291,'&lt;Constants&gt;'!$B$4:$C$44,2,FALSE))</f>
        <v>Horns of the Reach</v>
      </c>
    </row>
    <row r="292" spans="1:5" x14ac:dyDescent="0.25">
      <c r="A292" s="11">
        <v>339</v>
      </c>
      <c r="B292" s="8" t="str">
        <f>VLOOKUP(A292,'Sets (lua data)'!$A$3:$C$9920,3,FALSE)</f>
        <v>Blooddrinker</v>
      </c>
      <c r="C292" s="8" t="str">
        <f>VLOOKUP(A292,'Sets (lua data)'!$A$3:$C$9920,2,FALSE)</f>
        <v>Bluttrinker</v>
      </c>
      <c r="D292" t="s">
        <v>1427</v>
      </c>
      <c r="E292" s="3" t="str">
        <f>IF(ISNA(VLOOKUP(D292,'&lt;Constants&gt;'!$B$4:$C$44,2,FALSE)),"",VLOOKUP(D292,'&lt;Constants&gt;'!$B$4:$C$44,2,FALSE))</f>
        <v>Horns of the Reach</v>
      </c>
    </row>
    <row r="293" spans="1:5" x14ac:dyDescent="0.25">
      <c r="A293" s="11">
        <v>340</v>
      </c>
      <c r="B293" s="8" t="str">
        <f>VLOOKUP(A293,'Sets (lua data)'!$A$3:$C$9920,3,FALSE)</f>
        <v>Hagraven\'s Garden</v>
      </c>
      <c r="C293" s="8" t="str">
        <f>VLOOKUP(A293,'Sets (lua data)'!$A$3:$C$9920,2,FALSE)</f>
        <v>Vettelgarten</v>
      </c>
      <c r="D293" t="s">
        <v>1427</v>
      </c>
      <c r="E293" s="3" t="str">
        <f>IF(ISNA(VLOOKUP(D293,'&lt;Constants&gt;'!$B$4:$C$44,2,FALSE)),"",VLOOKUP(D293,'&lt;Constants&gt;'!$B$4:$C$44,2,FALSE))</f>
        <v>Horns of the Reach</v>
      </c>
    </row>
    <row r="294" spans="1:5" x14ac:dyDescent="0.25">
      <c r="A294" s="5">
        <v>341</v>
      </c>
      <c r="B294" s="8" t="str">
        <f>VLOOKUP(A294,'Sets (lua data)'!$A$3:$C$9920,3,FALSE)</f>
        <v>Earthgore</v>
      </c>
      <c r="C294" s="8" t="str">
        <f>VLOOKUP(A294,'Sets (lua data)'!$A$3:$C$9920,2,FALSE)</f>
        <v>Erdbluter</v>
      </c>
      <c r="D294" t="s">
        <v>1427</v>
      </c>
      <c r="E294" s="3" t="str">
        <f>IF(ISNA(VLOOKUP(D294,'&lt;Constants&gt;'!$B$4:$C$44,2,FALSE)),"",VLOOKUP(D294,'&lt;Constants&gt;'!$B$4:$C$44,2,FALSE))</f>
        <v>Horns of the Reach</v>
      </c>
    </row>
    <row r="295" spans="1:5" x14ac:dyDescent="0.25">
      <c r="A295" s="5">
        <v>342</v>
      </c>
      <c r="B295" s="8" t="str">
        <f>VLOOKUP(A295,'Sets (lua data)'!$A$3:$C$9920,3,FALSE)</f>
        <v>Domihaus</v>
      </c>
      <c r="C295" s="8" t="str">
        <f>VLOOKUP(A295,'Sets (lua data)'!$A$3:$C$9920,2,FALSE)</f>
        <v>Domihaus</v>
      </c>
      <c r="D295" t="s">
        <v>1427</v>
      </c>
      <c r="E295" s="3" t="str">
        <f>IF(ISNA(VLOOKUP(D295,'&lt;Constants&gt;'!$B$4:$C$44,2,FALSE)),"",VLOOKUP(D295,'&lt;Constants&gt;'!$B$4:$C$44,2,FALSE))</f>
        <v>Horns of the Reach</v>
      </c>
    </row>
    <row r="296" spans="1:5" x14ac:dyDescent="0.25">
      <c r="A296" s="11">
        <v>343</v>
      </c>
      <c r="B296" s="8" t="str">
        <f>VLOOKUP(A296,'Sets (lua data)'!$A$3:$C$9920,3,FALSE)</f>
        <v>Caluurion\'s Legacy</v>
      </c>
      <c r="C296" s="8" t="str">
        <f>VLOOKUP(A296,'Sets (lua data)'!$A$3:$C$9920,2,FALSE)</f>
        <v>Caluurions Erbe</v>
      </c>
      <c r="D296" t="s">
        <v>1429</v>
      </c>
      <c r="E296" s="3" t="str">
        <f>IF(ISNA(VLOOKUP(D296,'&lt;Constants&gt;'!$B$4:$C$44,2,FALSE)),"",VLOOKUP(D296,'&lt;Constants&gt;'!$B$4:$C$44,2,FALSE))</f>
        <v>Dragon Bones</v>
      </c>
    </row>
    <row r="297" spans="1:5" x14ac:dyDescent="0.25">
      <c r="A297" s="11">
        <v>344</v>
      </c>
      <c r="B297" s="8" t="str">
        <f>VLOOKUP(A297,'Sets (lua data)'!$A$3:$C$9920,3,FALSE)</f>
        <v>Trappings of Invigoration</v>
      </c>
      <c r="C297" s="8" t="str">
        <f>VLOOKUP(A297,'Sets (lua data)'!$A$3:$C$9920,2,FALSE)</f>
        <v>Stärkungsprunk</v>
      </c>
      <c r="D297" t="s">
        <v>1429</v>
      </c>
      <c r="E297" s="3" t="str">
        <f>IF(ISNA(VLOOKUP(D297,'&lt;Constants&gt;'!$B$4:$C$44,2,FALSE)),"",VLOOKUP(D297,'&lt;Constants&gt;'!$B$4:$C$44,2,FALSE))</f>
        <v>Dragon Bones</v>
      </c>
    </row>
    <row r="298" spans="1:5" x14ac:dyDescent="0.25">
      <c r="A298" s="11">
        <v>345</v>
      </c>
      <c r="B298" s="8" t="str">
        <f>VLOOKUP(A298,'Sets (lua data)'!$A$3:$C$9920,3,FALSE)</f>
        <v>Ulfnor\'s Favor</v>
      </c>
      <c r="C298" s="8" t="str">
        <f>VLOOKUP(A298,'Sets (lua data)'!$A$3:$C$9920,2,FALSE)</f>
        <v>Ulfnors Gunst</v>
      </c>
      <c r="D298" t="s">
        <v>1429</v>
      </c>
      <c r="E298" s="3" t="str">
        <f>IF(ISNA(VLOOKUP(D298,'&lt;Constants&gt;'!$B$4:$C$44,2,FALSE)),"",VLOOKUP(D298,'&lt;Constants&gt;'!$B$4:$C$44,2,FALSE))</f>
        <v>Dragon Bones</v>
      </c>
    </row>
    <row r="299" spans="1:5" x14ac:dyDescent="0.25">
      <c r="A299" s="11">
        <v>346</v>
      </c>
      <c r="B299" s="8" t="str">
        <f>VLOOKUP(A299,'Sets (lua data)'!$A$3:$C$9920,3,FALSE)</f>
        <v>Jorvuld\'s Guidance</v>
      </c>
      <c r="C299" s="8" t="str">
        <f>VLOOKUP(A299,'Sets (lua data)'!$A$3:$C$9920,2,FALSE)</f>
        <v>Jorvulds Führung</v>
      </c>
      <c r="D299" t="s">
        <v>1429</v>
      </c>
      <c r="E299" s="3" t="str">
        <f>IF(ISNA(VLOOKUP(D299,'&lt;Constants&gt;'!$B$4:$C$44,2,FALSE)),"",VLOOKUP(D299,'&lt;Constants&gt;'!$B$4:$C$44,2,FALSE))</f>
        <v>Dragon Bones</v>
      </c>
    </row>
    <row r="300" spans="1:5" x14ac:dyDescent="0.25">
      <c r="A300" s="11">
        <v>347</v>
      </c>
      <c r="B300" s="8" t="str">
        <f>VLOOKUP(A300,'Sets (lua data)'!$A$3:$C$9920,3,FALSE)</f>
        <v>Plague Slinger</v>
      </c>
      <c r="C300" s="8" t="str">
        <f>VLOOKUP(A300,'Sets (lua data)'!$A$3:$C$9920,2,FALSE)</f>
        <v>Seuchenschleuder</v>
      </c>
      <c r="D300" t="s">
        <v>1429</v>
      </c>
      <c r="E300" s="3" t="str">
        <f>IF(ISNA(VLOOKUP(D300,'&lt;Constants&gt;'!$B$4:$C$44,2,FALSE)),"",VLOOKUP(D300,'&lt;Constants&gt;'!$B$4:$C$44,2,FALSE))</f>
        <v>Dragon Bones</v>
      </c>
    </row>
    <row r="301" spans="1:5" x14ac:dyDescent="0.25">
      <c r="A301" s="11">
        <v>348</v>
      </c>
      <c r="B301" s="8" t="str">
        <f>VLOOKUP(A301,'Sets (lua data)'!$A$3:$C$9920,3,FALSE)</f>
        <v>Curse of Doylemish</v>
      </c>
      <c r="C301" s="8" t="str">
        <f>VLOOKUP(A301,'Sets (lua data)'!$A$3:$C$9920,2,FALSE)</f>
        <v>Fluch von Doylemish</v>
      </c>
      <c r="D301" t="s">
        <v>1429</v>
      </c>
      <c r="E301" s="3" t="str">
        <f>IF(ISNA(VLOOKUP(D301,'&lt;Constants&gt;'!$B$4:$C$44,2,FALSE)),"",VLOOKUP(D301,'&lt;Constants&gt;'!$B$4:$C$44,2,FALSE))</f>
        <v>Dragon Bones</v>
      </c>
    </row>
    <row r="302" spans="1:5" x14ac:dyDescent="0.25">
      <c r="A302" s="5">
        <v>349</v>
      </c>
      <c r="B302" s="8" t="str">
        <f>VLOOKUP(A302,'Sets (lua data)'!$A$3:$C$9920,3,FALSE)</f>
        <v>Thurvokun</v>
      </c>
      <c r="C302" s="8" t="str">
        <f>VLOOKUP(A302,'Sets (lua data)'!$A$3:$C$9920,2,FALSE)</f>
        <v>Thurvokun</v>
      </c>
      <c r="D302" t="s">
        <v>1429</v>
      </c>
      <c r="E302" s="3" t="str">
        <f>IF(ISNA(VLOOKUP(D302,'&lt;Constants&gt;'!$B$4:$C$44,2,FALSE)),"",VLOOKUP(D302,'&lt;Constants&gt;'!$B$4:$C$44,2,FALSE))</f>
        <v>Dragon Bones</v>
      </c>
    </row>
    <row r="303" spans="1:5" x14ac:dyDescent="0.25">
      <c r="A303" s="5">
        <v>350</v>
      </c>
      <c r="B303" s="8" t="str">
        <f>VLOOKUP(A303,'Sets (lua data)'!$A$3:$C$9920,3,FALSE)</f>
        <v>Zaan</v>
      </c>
      <c r="C303" s="8" t="str">
        <f>VLOOKUP(A303,'Sets (lua data)'!$A$3:$C$9920,2,FALSE)</f>
        <v>Zaan</v>
      </c>
      <c r="D303" t="s">
        <v>1429</v>
      </c>
      <c r="E303" s="3" t="str">
        <f>IF(ISNA(VLOOKUP(D303,'&lt;Constants&gt;'!$B$4:$C$44,2,FALSE)),"",VLOOKUP(D303,'&lt;Constants&gt;'!$B$4:$C$44,2,FALSE))</f>
        <v>Dragon Bones</v>
      </c>
    </row>
    <row r="304" spans="1:5" x14ac:dyDescent="0.25">
      <c r="A304" s="5">
        <v>351</v>
      </c>
      <c r="B304" s="8" t="str">
        <f>VLOOKUP(A304,'Sets (lua data)'!$A$3:$C$9920,3,FALSE)</f>
        <v>Innate Axiom</v>
      </c>
      <c r="C304" s="8" t="str">
        <f>VLOOKUP(A304,'Sets (lua data)'!$A$3:$C$9920,2,FALSE)</f>
        <v>Kernaxiom</v>
      </c>
      <c r="D304" t="s">
        <v>1428</v>
      </c>
      <c r="E304" s="3" t="str">
        <f>IF(ISNA(VLOOKUP(D304,'&lt;Constants&gt;'!$B$4:$C$44,2,FALSE)),"",VLOOKUP(D304,'&lt;Constants&gt;'!$B$4:$C$44,2,FALSE))</f>
        <v>Clockwork City</v>
      </c>
    </row>
    <row r="305" spans="1:5" x14ac:dyDescent="0.25">
      <c r="A305" s="5">
        <v>352</v>
      </c>
      <c r="B305" s="8" t="str">
        <f>VLOOKUP(A305,'Sets (lua data)'!$A$3:$C$9920,3,FALSE)</f>
        <v>Fortified Brass</v>
      </c>
      <c r="C305" s="8" t="str">
        <f>VLOOKUP(A305,'Sets (lua data)'!$A$3:$C$9920,2,FALSE)</f>
        <v>Messingpanzer</v>
      </c>
      <c r="D305" t="s">
        <v>1428</v>
      </c>
      <c r="E305" s="3" t="str">
        <f>IF(ISNA(VLOOKUP(D305,'&lt;Constants&gt;'!$B$4:$C$44,2,FALSE)),"",VLOOKUP(D305,'&lt;Constants&gt;'!$B$4:$C$44,2,FALSE))</f>
        <v>Clockwork City</v>
      </c>
    </row>
    <row r="306" spans="1:5" x14ac:dyDescent="0.25">
      <c r="A306" s="5">
        <v>353</v>
      </c>
      <c r="B306" s="8" t="str">
        <f>VLOOKUP(A306,'Sets (lua data)'!$A$3:$C$9920,3,FALSE)</f>
        <v>Mechanical Acuity</v>
      </c>
      <c r="C306" s="8" t="str">
        <f>VLOOKUP(A306,'Sets (lua data)'!$A$3:$C$9920,2,FALSE)</f>
        <v>Mechanikblick</v>
      </c>
      <c r="D306" t="s">
        <v>1428</v>
      </c>
      <c r="E306" s="3" t="str">
        <f>IF(ISNA(VLOOKUP(D306,'&lt;Constants&gt;'!$B$4:$C$44,2,FALSE)),"",VLOOKUP(D306,'&lt;Constants&gt;'!$B$4:$C$44,2,FALSE))</f>
        <v>Clockwork City</v>
      </c>
    </row>
    <row r="307" spans="1:5" x14ac:dyDescent="0.25">
      <c r="A307" s="11">
        <v>354</v>
      </c>
      <c r="B307" s="8" t="str">
        <f>VLOOKUP(A307,'Sets (lua data)'!$A$3:$C$9920,3,FALSE)</f>
        <v>Mad Tinkerer</v>
      </c>
      <c r="C307" s="8" t="str">
        <f>VLOOKUP(A307,'Sets (lua data)'!$A$3:$C$9920,2,FALSE)</f>
        <v>Wahntüftler</v>
      </c>
      <c r="D307" t="s">
        <v>1428</v>
      </c>
      <c r="E307" s="3" t="str">
        <f>IF(ISNA(VLOOKUP(D307,'&lt;Constants&gt;'!$B$4:$C$44,2,FALSE)),"",VLOOKUP(D307,'&lt;Constants&gt;'!$B$4:$C$44,2,FALSE))</f>
        <v>Clockwork City</v>
      </c>
    </row>
    <row r="308" spans="1:5" x14ac:dyDescent="0.25">
      <c r="A308" s="11">
        <v>355</v>
      </c>
      <c r="B308" s="8" t="str">
        <f>VLOOKUP(A308,'Sets (lua data)'!$A$3:$C$9920,3,FALSE)</f>
        <v>Unfathomable Darkness</v>
      </c>
      <c r="C308" s="8" t="str">
        <f>VLOOKUP(A308,'Sets (lua data)'!$A$3:$C$9920,2,FALSE)</f>
        <v>Unermessliche Dunkelheit</v>
      </c>
      <c r="D308" t="s">
        <v>1428</v>
      </c>
      <c r="E308" s="3" t="str">
        <f>IF(ISNA(VLOOKUP(D308,'&lt;Constants&gt;'!$B$4:$C$44,2,FALSE)),"",VLOOKUP(D308,'&lt;Constants&gt;'!$B$4:$C$44,2,FALSE))</f>
        <v>Clockwork City</v>
      </c>
    </row>
    <row r="309" spans="1:5" x14ac:dyDescent="0.25">
      <c r="A309" s="11">
        <v>356</v>
      </c>
      <c r="B309" s="8" t="str">
        <f>VLOOKUP(A309,'Sets (lua data)'!$A$3:$C$9920,3,FALSE)</f>
        <v>Livewire</v>
      </c>
      <c r="C309" s="8" t="str">
        <f>VLOOKUP(A309,'Sets (lua data)'!$A$3:$C$9920,2,FALSE)</f>
        <v>Stromschlag</v>
      </c>
      <c r="D309" t="s">
        <v>1428</v>
      </c>
      <c r="E309" s="3" t="str">
        <f>IF(ISNA(VLOOKUP(D309,'&lt;Constants&gt;'!$B$4:$C$44,2,FALSE)),"",VLOOKUP(D309,'&lt;Constants&gt;'!$B$4:$C$44,2,FALSE))</f>
        <v>Clockwork City</v>
      </c>
    </row>
    <row r="310" spans="1:5" x14ac:dyDescent="0.25">
      <c r="A310" s="11">
        <v>357</v>
      </c>
      <c r="B310" s="8" t="str">
        <f>VLOOKUP(A310,'Sets (lua data)'!$A$3:$C$9920,3,FALSE)</f>
        <v>Perfected Disciplined Slash</v>
      </c>
      <c r="C310" s="8" t="str">
        <f>VLOOKUP(A310,'Sets (lua data)'!$A$3:$C$9920,2,FALSE)</f>
        <v>Vollendeter Disziplinierter Schnitt</v>
      </c>
      <c r="D310" t="s">
        <v>1428</v>
      </c>
      <c r="E310" s="3" t="str">
        <f>IF(ISNA(VLOOKUP(D310,'&lt;Constants&gt;'!$B$4:$C$44,2,FALSE)),"",VLOOKUP(D310,'&lt;Constants&gt;'!$B$4:$C$44,2,FALSE))</f>
        <v>Clockwork City</v>
      </c>
    </row>
    <row r="311" spans="1:5" x14ac:dyDescent="0.25">
      <c r="A311" s="11">
        <v>358</v>
      </c>
      <c r="B311" s="8" t="str">
        <f>VLOOKUP(A311,'Sets (lua data)'!$A$3:$C$9920,3,FALSE)</f>
        <v>Perfected Defensive Position</v>
      </c>
      <c r="C311" s="8" t="str">
        <f>VLOOKUP(A311,'Sets (lua data)'!$A$3:$C$9920,2,FALSE)</f>
        <v>Vollendete Defensive Position</v>
      </c>
      <c r="D311" t="s">
        <v>1428</v>
      </c>
      <c r="E311" s="3" t="str">
        <f>IF(ISNA(VLOOKUP(D311,'&lt;Constants&gt;'!$B$4:$C$44,2,FALSE)),"",VLOOKUP(D311,'&lt;Constants&gt;'!$B$4:$C$44,2,FALSE))</f>
        <v>Clockwork City</v>
      </c>
    </row>
    <row r="312" spans="1:5" x14ac:dyDescent="0.25">
      <c r="A312" s="11">
        <v>359</v>
      </c>
      <c r="B312" s="8" t="str">
        <f>VLOOKUP(A312,'Sets (lua data)'!$A$3:$C$9920,3,FALSE)</f>
        <v>Perfected Chaotic Whirlwind</v>
      </c>
      <c r="C312" s="8" t="str">
        <f>VLOOKUP(A312,'Sets (lua data)'!$A$3:$C$9920,2,FALSE)</f>
        <v>Vollendeter Chaotischer Wirbelwind</v>
      </c>
      <c r="D312" t="s">
        <v>1428</v>
      </c>
      <c r="E312" s="3" t="str">
        <f>IF(ISNA(VLOOKUP(D312,'&lt;Constants&gt;'!$B$4:$C$44,2,FALSE)),"",VLOOKUP(D312,'&lt;Constants&gt;'!$B$4:$C$44,2,FALSE))</f>
        <v>Clockwork City</v>
      </c>
    </row>
    <row r="313" spans="1:5" x14ac:dyDescent="0.25">
      <c r="A313" s="11">
        <v>360</v>
      </c>
      <c r="B313" s="8" t="str">
        <f>VLOOKUP(A313,'Sets (lua data)'!$A$3:$C$9920,3,FALSE)</f>
        <v>Perfected Piercing Spray</v>
      </c>
      <c r="C313" s="8" t="str">
        <f>VLOOKUP(A313,'Sets (lua data)'!$A$3:$C$9920,2,FALSE)</f>
        <v>Vollendete Durchdringende Salve</v>
      </c>
      <c r="D313" t="s">
        <v>1428</v>
      </c>
      <c r="E313" s="3" t="str">
        <f>IF(ISNA(VLOOKUP(D313,'&lt;Constants&gt;'!$B$4:$C$44,2,FALSE)),"",VLOOKUP(D313,'&lt;Constants&gt;'!$B$4:$C$44,2,FALSE))</f>
        <v>Clockwork City</v>
      </c>
    </row>
    <row r="314" spans="1:5" x14ac:dyDescent="0.25">
      <c r="A314" s="11">
        <v>361</v>
      </c>
      <c r="B314" s="8" t="str">
        <f>VLOOKUP(A314,'Sets (lua data)'!$A$3:$C$9920,3,FALSE)</f>
        <v>Perfected Concentrated Force</v>
      </c>
      <c r="C314" s="8" t="str">
        <f>VLOOKUP(A314,'Sets (lua data)'!$A$3:$C$9920,2,FALSE)</f>
        <v>Vollendete Konzentrierte Kraft</v>
      </c>
      <c r="D314" t="s">
        <v>1428</v>
      </c>
      <c r="E314" s="3" t="str">
        <f>IF(ISNA(VLOOKUP(D314,'&lt;Constants&gt;'!$B$4:$C$44,2,FALSE)),"",VLOOKUP(D314,'&lt;Constants&gt;'!$B$4:$C$44,2,FALSE))</f>
        <v>Clockwork City</v>
      </c>
    </row>
    <row r="315" spans="1:5" x14ac:dyDescent="0.25">
      <c r="A315" s="11">
        <v>362</v>
      </c>
      <c r="B315" s="8" t="str">
        <f>VLOOKUP(A315,'Sets (lua data)'!$A$3:$C$9920,3,FALSE)</f>
        <v>Perfected Timeless Blessing</v>
      </c>
      <c r="C315" s="8" t="str">
        <f>VLOOKUP(A315,'Sets (lua data)'!$A$3:$C$9920,2,FALSE)</f>
        <v>Vollendeter Zeitloser Segen</v>
      </c>
      <c r="D315" t="s">
        <v>1428</v>
      </c>
      <c r="E315" s="3" t="str">
        <f>IF(ISNA(VLOOKUP(D315,'&lt;Constants&gt;'!$B$4:$C$44,2,FALSE)),"",VLOOKUP(D315,'&lt;Constants&gt;'!$B$4:$C$44,2,FALSE))</f>
        <v>Clockwork City</v>
      </c>
    </row>
    <row r="316" spans="1:5" x14ac:dyDescent="0.25">
      <c r="A316" s="11">
        <v>363</v>
      </c>
      <c r="B316" s="8" t="str">
        <f>VLOOKUP(A316,'Sets (lua data)'!$A$3:$C$9920,3,FALSE)</f>
        <v>Disciplined Slash</v>
      </c>
      <c r="C316" s="8" t="str">
        <f>VLOOKUP(A316,'Sets (lua data)'!$A$3:$C$9920,2,FALSE)</f>
        <v>Disziplinierter Schnitt</v>
      </c>
      <c r="D316" t="s">
        <v>1428</v>
      </c>
      <c r="E316" s="3" t="str">
        <f>IF(ISNA(VLOOKUP(D316,'&lt;Constants&gt;'!$B$4:$C$44,2,FALSE)),"",VLOOKUP(D316,'&lt;Constants&gt;'!$B$4:$C$44,2,FALSE))</f>
        <v>Clockwork City</v>
      </c>
    </row>
    <row r="317" spans="1:5" x14ac:dyDescent="0.25">
      <c r="A317" s="11">
        <v>364</v>
      </c>
      <c r="B317" s="8" t="str">
        <f>VLOOKUP(A317,'Sets (lua data)'!$A$3:$C$9920,3,FALSE)</f>
        <v>Defensive Position</v>
      </c>
      <c r="C317" s="8" t="str">
        <f>VLOOKUP(A317,'Sets (lua data)'!$A$3:$C$9920,2,FALSE)</f>
        <v>Defensive Position</v>
      </c>
      <c r="D317" t="s">
        <v>1428</v>
      </c>
      <c r="E317" s="3" t="str">
        <f>IF(ISNA(VLOOKUP(D317,'&lt;Constants&gt;'!$B$4:$C$44,2,FALSE)),"",VLOOKUP(D317,'&lt;Constants&gt;'!$B$4:$C$44,2,FALSE))</f>
        <v>Clockwork City</v>
      </c>
    </row>
    <row r="318" spans="1:5" x14ac:dyDescent="0.25">
      <c r="A318" s="11">
        <v>365</v>
      </c>
      <c r="B318" s="8" t="str">
        <f>VLOOKUP(A318,'Sets (lua data)'!$A$3:$C$9920,3,FALSE)</f>
        <v>Chaotic Whirlwind</v>
      </c>
      <c r="C318" s="8" t="str">
        <f>VLOOKUP(A318,'Sets (lua data)'!$A$3:$C$9920,2,FALSE)</f>
        <v>Chaotischer Wirbelwind</v>
      </c>
      <c r="D318" t="s">
        <v>1428</v>
      </c>
      <c r="E318" s="3" t="str">
        <f>IF(ISNA(VLOOKUP(D318,'&lt;Constants&gt;'!$B$4:$C$44,2,FALSE)),"",VLOOKUP(D318,'&lt;Constants&gt;'!$B$4:$C$44,2,FALSE))</f>
        <v>Clockwork City</v>
      </c>
    </row>
    <row r="319" spans="1:5" x14ac:dyDescent="0.25">
      <c r="A319" s="11">
        <v>366</v>
      </c>
      <c r="B319" s="8" t="str">
        <f>VLOOKUP(A319,'Sets (lua data)'!$A$3:$C$9920,3,FALSE)</f>
        <v>Piercing Spray</v>
      </c>
      <c r="C319" s="8" t="str">
        <f>VLOOKUP(A319,'Sets (lua data)'!$A$3:$C$9920,2,FALSE)</f>
        <v>Durchdringende Salve</v>
      </c>
      <c r="D319" t="s">
        <v>1428</v>
      </c>
      <c r="E319" s="3" t="str">
        <f>IF(ISNA(VLOOKUP(D319,'&lt;Constants&gt;'!$B$4:$C$44,2,FALSE)),"",VLOOKUP(D319,'&lt;Constants&gt;'!$B$4:$C$44,2,FALSE))</f>
        <v>Clockwork City</v>
      </c>
    </row>
    <row r="320" spans="1:5" x14ac:dyDescent="0.25">
      <c r="A320" s="11">
        <v>367</v>
      </c>
      <c r="B320" s="8" t="str">
        <f>VLOOKUP(A320,'Sets (lua data)'!$A$3:$C$9920,3,FALSE)</f>
        <v>Concentrated Force</v>
      </c>
      <c r="C320" s="8" t="str">
        <f>VLOOKUP(A320,'Sets (lua data)'!$A$3:$C$9920,2,FALSE)</f>
        <v>Konzentrierte Kraft</v>
      </c>
      <c r="D320" t="s">
        <v>1428</v>
      </c>
      <c r="E320" s="3" t="str">
        <f>IF(ISNA(VLOOKUP(D320,'&lt;Constants&gt;'!$B$4:$C$44,2,FALSE)),"",VLOOKUP(D320,'&lt;Constants&gt;'!$B$4:$C$44,2,FALSE))</f>
        <v>Clockwork City</v>
      </c>
    </row>
    <row r="321" spans="1:5" x14ac:dyDescent="0.25">
      <c r="A321" s="11">
        <v>368</v>
      </c>
      <c r="B321" s="8" t="str">
        <f>VLOOKUP(A321,'Sets (lua data)'!$A$3:$C$9920,3,FALSE)</f>
        <v>Timeless Blessing</v>
      </c>
      <c r="C321" s="8" t="str">
        <f>VLOOKUP(A321,'Sets (lua data)'!$A$3:$C$9920,2,FALSE)</f>
        <v>Zeitloser Segen</v>
      </c>
      <c r="D321" t="s">
        <v>1428</v>
      </c>
      <c r="E321" s="3" t="str">
        <f>IF(ISNA(VLOOKUP(D321,'&lt;Constants&gt;'!$B$4:$C$44,2,FALSE)),"",VLOOKUP(D321,'&lt;Constants&gt;'!$B$4:$C$44,2,FALSE))</f>
        <v>Clockwork City</v>
      </c>
    </row>
    <row r="322" spans="1:5" x14ac:dyDescent="0.25">
      <c r="A322" s="11">
        <v>369</v>
      </c>
      <c r="B322" s="8" t="str">
        <f>VLOOKUP(A322,'Sets (lua data)'!$A$3:$C$9920,3,FALSE)</f>
        <v>Merciless Charge</v>
      </c>
      <c r="C322" s="8" t="str">
        <f>VLOOKUP(A322,'Sets (lua data)'!$A$3:$C$9920,2,FALSE)</f>
        <v>Gnadenloser Ansturm</v>
      </c>
      <c r="D322" t="s">
        <v>1422</v>
      </c>
      <c r="E322" s="3" t="str">
        <f>IF(ISNA(VLOOKUP(D322,'&lt;Constants&gt;'!$B$4:$C$44,2,FALSE)),"",VLOOKUP(D322,'&lt;Constants&gt;'!$B$4:$C$44,2,FALSE))</f>
        <v>Orsinium</v>
      </c>
    </row>
    <row r="323" spans="1:5" x14ac:dyDescent="0.25">
      <c r="A323" s="11">
        <v>370</v>
      </c>
      <c r="B323" s="8" t="str">
        <f>VLOOKUP(A323,'Sets (lua data)'!$A$3:$C$9920,3,FALSE)</f>
        <v>Rampaging Slash</v>
      </c>
      <c r="C323" s="8" t="str">
        <f>VLOOKUP(A323,'Sets (lua data)'!$A$3:$C$9920,2,FALSE)</f>
        <v>Tobender Schnitt</v>
      </c>
      <c r="D323" t="s">
        <v>1422</v>
      </c>
      <c r="E323" s="3" t="str">
        <f>IF(ISNA(VLOOKUP(D323,'&lt;Constants&gt;'!$B$4:$C$44,2,FALSE)),"",VLOOKUP(D323,'&lt;Constants&gt;'!$B$4:$C$44,2,FALSE))</f>
        <v>Orsinium</v>
      </c>
    </row>
    <row r="324" spans="1:5" x14ac:dyDescent="0.25">
      <c r="A324" s="11">
        <v>371</v>
      </c>
      <c r="B324" s="8" t="str">
        <f>VLOOKUP(A324,'Sets (lua data)'!$A$3:$C$9920,3,FALSE)</f>
        <v>Cruel Flurry</v>
      </c>
      <c r="C324" s="8" t="str">
        <f>VLOOKUP(A324,'Sets (lua data)'!$A$3:$C$9920,2,FALSE)</f>
        <v>Grausamer Schlaghagel</v>
      </c>
      <c r="D324" t="s">
        <v>1422</v>
      </c>
      <c r="E324" s="3" t="str">
        <f>IF(ISNA(VLOOKUP(D324,'&lt;Constants&gt;'!$B$4:$C$44,2,FALSE)),"",VLOOKUP(D324,'&lt;Constants&gt;'!$B$4:$C$44,2,FALSE))</f>
        <v>Orsinium</v>
      </c>
    </row>
    <row r="325" spans="1:5" x14ac:dyDescent="0.25">
      <c r="A325" s="11">
        <v>372</v>
      </c>
      <c r="B325" s="8" t="str">
        <f>VLOOKUP(A325,'Sets (lua data)'!$A$3:$C$9920,3,FALSE)</f>
        <v>Thunderous Volley</v>
      </c>
      <c r="C325" s="8" t="str">
        <f>VLOOKUP(A325,'Sets (lua data)'!$A$3:$C$9920,2,FALSE)</f>
        <v>Donnernde Salve</v>
      </c>
      <c r="D325" t="s">
        <v>1422</v>
      </c>
      <c r="E325" s="3" t="str">
        <f>IF(ISNA(VLOOKUP(D325,'&lt;Constants&gt;'!$B$4:$C$44,2,FALSE)),"",VLOOKUP(D325,'&lt;Constants&gt;'!$B$4:$C$44,2,FALSE))</f>
        <v>Orsinium</v>
      </c>
    </row>
    <row r="326" spans="1:5" x14ac:dyDescent="0.25">
      <c r="A326" s="11">
        <v>373</v>
      </c>
      <c r="B326" s="8" t="str">
        <f>VLOOKUP(A326,'Sets (lua data)'!$A$3:$C$9920,3,FALSE)</f>
        <v>Crushing Wall</v>
      </c>
      <c r="C326" s="8" t="str">
        <f>VLOOKUP(A326,'Sets (lua data)'!$A$3:$C$9920,2,FALSE)</f>
        <v>Zermalmende Mauer</v>
      </c>
      <c r="D326" t="s">
        <v>1422</v>
      </c>
      <c r="E326" s="3" t="str">
        <f>IF(ISNA(VLOOKUP(D326,'&lt;Constants&gt;'!$B$4:$C$44,2,FALSE)),"",VLOOKUP(D326,'&lt;Constants&gt;'!$B$4:$C$44,2,FALSE))</f>
        <v>Orsinium</v>
      </c>
    </row>
    <row r="327" spans="1:5" x14ac:dyDescent="0.25">
      <c r="A327" s="11">
        <v>374</v>
      </c>
      <c r="B327" s="8" t="str">
        <f>VLOOKUP(A327,'Sets (lua data)'!$A$3:$C$9920,3,FALSE)</f>
        <v>Precise Regeneration</v>
      </c>
      <c r="C327" s="8" t="str">
        <f>VLOOKUP(A327,'Sets (lua data)'!$A$3:$C$9920,2,FALSE)</f>
        <v>Präzise Regeneration</v>
      </c>
      <c r="D327" t="s">
        <v>1422</v>
      </c>
      <c r="E327" s="3" t="str">
        <f>IF(ISNA(VLOOKUP(D327,'&lt;Constants&gt;'!$B$4:$C$44,2,FALSE)),"",VLOOKUP(D327,'&lt;Constants&gt;'!$B$4:$C$44,2,FALSE))</f>
        <v>Orsinium</v>
      </c>
    </row>
    <row r="328" spans="1:5" x14ac:dyDescent="0.25">
      <c r="A328" s="11">
        <v>380</v>
      </c>
      <c r="B328" s="8" t="str">
        <f>VLOOKUP(A328,'Sets (lua data)'!$A$3:$C$9920,3,FALSE)</f>
        <v>Prophet\'s</v>
      </c>
      <c r="C328" s="8" t="str">
        <f>VLOOKUP(A328,'Sets (lua data)'!$A$3:$C$9920,2,FALSE)</f>
        <v>Prophet</v>
      </c>
      <c r="D328" t="s">
        <v>1420</v>
      </c>
      <c r="E328" s="3" t="str">
        <f>IF(ISNA(VLOOKUP(D328,'&lt;Constants&gt;'!$B$4:$C$44,2,FALSE)),"",VLOOKUP(D328,'&lt;Constants&gt;'!$B$4:$C$44,2,FALSE))</f>
        <v>Included in base game</v>
      </c>
    </row>
    <row r="329" spans="1:5" x14ac:dyDescent="0.25">
      <c r="A329" s="11">
        <v>381</v>
      </c>
      <c r="B329" s="8" t="str">
        <f>VLOOKUP(A329,'Sets (lua data)'!$A$3:$C$9920,3,FALSE)</f>
        <v>Broken Soul</v>
      </c>
      <c r="C329" s="8" t="str">
        <f>VLOOKUP(A329,'Sets (lua data)'!$A$3:$C$9920,2,FALSE)</f>
        <v>Zerbrochene Seele</v>
      </c>
      <c r="D329" t="s">
        <v>1420</v>
      </c>
      <c r="E329" s="3" t="str">
        <f>IF(ISNA(VLOOKUP(D329,'&lt;Constants&gt;'!$B$4:$C$44,2,FALSE)),"",VLOOKUP(D329,'&lt;Constants&gt;'!$B$4:$C$44,2,FALSE))</f>
        <v>Included in base game</v>
      </c>
    </row>
    <row r="330" spans="1:5" x14ac:dyDescent="0.25">
      <c r="A330" s="11">
        <v>382</v>
      </c>
      <c r="B330" s="8" t="str">
        <f>VLOOKUP(A330,'Sets (lua data)'!$A$3:$C$9920,3,FALSE)</f>
        <v>Grace of Gloom</v>
      </c>
      <c r="C330" s="8" t="str">
        <f>VLOOKUP(A330,'Sets (lua data)'!$A$3:$C$9920,2,FALSE)</f>
        <v>Anmut der Gräue</v>
      </c>
      <c r="D330" t="s">
        <v>1430</v>
      </c>
      <c r="E330" s="3" t="str">
        <f>IF(ISNA(VLOOKUP(D330,'&lt;Constants&gt;'!$B$4:$C$44,2,FALSE)),"",VLOOKUP(D330,'&lt;Constants&gt;'!$B$4:$C$44,2,FALSE))</f>
        <v>Summerset</v>
      </c>
    </row>
    <row r="331" spans="1:5" x14ac:dyDescent="0.25">
      <c r="A331" s="11">
        <v>383</v>
      </c>
      <c r="B331" s="8" t="str">
        <f>VLOOKUP(A331,'Sets (lua data)'!$A$3:$C$9920,3,FALSE)</f>
        <v>Gryphon\'s Ferocity</v>
      </c>
      <c r="C331" s="8" t="str">
        <f>VLOOKUP(A331,'Sets (lua data)'!$A$3:$C$9920,2,FALSE)</f>
        <v>Wildheit des Greifen</v>
      </c>
      <c r="D331" t="s">
        <v>1430</v>
      </c>
      <c r="E331" s="3" t="str">
        <f>IF(ISNA(VLOOKUP(D331,'&lt;Constants&gt;'!$B$4:$C$44,2,FALSE)),"",VLOOKUP(D331,'&lt;Constants&gt;'!$B$4:$C$44,2,FALSE))</f>
        <v>Summerset</v>
      </c>
    </row>
    <row r="332" spans="1:5" x14ac:dyDescent="0.25">
      <c r="A332" s="11">
        <v>384</v>
      </c>
      <c r="B332" s="8" t="str">
        <f>VLOOKUP(A332,'Sets (lua data)'!$A$3:$C$9920,3,FALSE)</f>
        <v>Wisdom of Vanus</v>
      </c>
      <c r="C332" s="8" t="str">
        <f>VLOOKUP(A332,'Sets (lua data)'!$A$3:$C$9920,2,FALSE)</f>
        <v>Weisheit von Vanus</v>
      </c>
      <c r="D332" t="s">
        <v>1430</v>
      </c>
      <c r="E332" s="3" t="str">
        <f>IF(ISNA(VLOOKUP(D332,'&lt;Constants&gt;'!$B$4:$C$44,2,FALSE)),"",VLOOKUP(D332,'&lt;Constants&gt;'!$B$4:$C$44,2,FALSE))</f>
        <v>Summerset</v>
      </c>
    </row>
    <row r="333" spans="1:5" x14ac:dyDescent="0.25">
      <c r="A333" s="5">
        <v>385</v>
      </c>
      <c r="B333" s="8" t="str">
        <f>VLOOKUP(A333,'Sets (lua data)'!$A$3:$C$9920,3,FALSE)</f>
        <v>Adept Rider</v>
      </c>
      <c r="C333" s="8" t="str">
        <f>VLOOKUP(A333,'Sets (lua data)'!$A$3:$C$9920,2,FALSE)</f>
        <v>Versierter Reiter</v>
      </c>
      <c r="D333" t="s">
        <v>1430</v>
      </c>
      <c r="E333" s="3" t="str">
        <f>IF(ISNA(VLOOKUP(D333,'&lt;Constants&gt;'!$B$4:$C$44,2,FALSE)),"",VLOOKUP(D333,'&lt;Constants&gt;'!$B$4:$C$44,2,FALSE))</f>
        <v>Summerset</v>
      </c>
    </row>
    <row r="334" spans="1:5" x14ac:dyDescent="0.25">
      <c r="A334" s="5">
        <v>386</v>
      </c>
      <c r="B334" s="8" t="str">
        <f>VLOOKUP(A334,'Sets (lua data)'!$A$3:$C$9920,3,FALSE)</f>
        <v>Sload\'s Semblance</v>
      </c>
      <c r="C334" s="8" t="str">
        <f>VLOOKUP(A334,'Sets (lua data)'!$A$3:$C$9920,2,FALSE)</f>
        <v>Kreckenantlitz</v>
      </c>
      <c r="D334" t="s">
        <v>1430</v>
      </c>
      <c r="E334" s="3" t="str">
        <f>IF(ISNA(VLOOKUP(D334,'&lt;Constants&gt;'!$B$4:$C$44,2,FALSE)),"",VLOOKUP(D334,'&lt;Constants&gt;'!$B$4:$C$44,2,FALSE))</f>
        <v>Summerset</v>
      </c>
    </row>
    <row r="335" spans="1:5" x14ac:dyDescent="0.25">
      <c r="A335" s="5">
        <v>387</v>
      </c>
      <c r="B335" s="8" t="str">
        <f>VLOOKUP(A335,'Sets (lua data)'!$A$3:$C$9920,3,FALSE)</f>
        <v>Nocturnal\'s Favor</v>
      </c>
      <c r="C335" s="8" t="str">
        <f>VLOOKUP(A335,'Sets (lua data)'!$A$3:$C$9920,2,FALSE)</f>
        <v>Nocturnals Gunst</v>
      </c>
      <c r="D335" t="s">
        <v>1430</v>
      </c>
      <c r="E335" s="3" t="str">
        <f>IF(ISNA(VLOOKUP(D335,'&lt;Constants&gt;'!$B$4:$C$44,2,FALSE)),"",VLOOKUP(D335,'&lt;Constants&gt;'!$B$4:$C$44,2,FALSE))</f>
        <v>Summerset</v>
      </c>
    </row>
    <row r="336" spans="1:5" x14ac:dyDescent="0.25">
      <c r="A336" s="11">
        <v>388</v>
      </c>
      <c r="B336" s="8" t="str">
        <f>VLOOKUP(A336,'Sets (lua data)'!$A$3:$C$9920,3,FALSE)</f>
        <v>Aegis of Galenwe</v>
      </c>
      <c r="C336" s="8" t="str">
        <f>VLOOKUP(A336,'Sets (lua data)'!$A$3:$C$9920,2,FALSE)</f>
        <v>Ägis von Galenwe</v>
      </c>
      <c r="D336" t="s">
        <v>1430</v>
      </c>
      <c r="E336" s="3" t="str">
        <f>IF(ISNA(VLOOKUP(D336,'&lt;Constants&gt;'!$B$4:$C$44,2,FALSE)),"",VLOOKUP(D336,'&lt;Constants&gt;'!$B$4:$C$44,2,FALSE))</f>
        <v>Summerset</v>
      </c>
    </row>
    <row r="337" spans="1:5" x14ac:dyDescent="0.25">
      <c r="A337" s="11">
        <v>389</v>
      </c>
      <c r="B337" s="8" t="str">
        <f>VLOOKUP(A337,'Sets (lua data)'!$A$3:$C$9920,3,FALSE)</f>
        <v>Arms of Relequen</v>
      </c>
      <c r="C337" s="8" t="str">
        <f>VLOOKUP(A337,'Sets (lua data)'!$A$3:$C$9920,2,FALSE)</f>
        <v>Waffen von Relequen</v>
      </c>
      <c r="D337" t="s">
        <v>1430</v>
      </c>
      <c r="E337" s="3" t="str">
        <f>IF(ISNA(VLOOKUP(D337,'&lt;Constants&gt;'!$B$4:$C$44,2,FALSE)),"",VLOOKUP(D337,'&lt;Constants&gt;'!$B$4:$C$44,2,FALSE))</f>
        <v>Summerset</v>
      </c>
    </row>
    <row r="338" spans="1:5" x14ac:dyDescent="0.25">
      <c r="A338" s="11">
        <v>390</v>
      </c>
      <c r="B338" s="8" t="str">
        <f>VLOOKUP(A338,'Sets (lua data)'!$A$3:$C$9920,3,FALSE)</f>
        <v>Mantle of Siroria</v>
      </c>
      <c r="C338" s="8" t="str">
        <f>VLOOKUP(A338,'Sets (lua data)'!$A$3:$C$9920,2,FALSE)</f>
        <v>Mantel von Siroria</v>
      </c>
      <c r="D338" t="s">
        <v>1430</v>
      </c>
      <c r="E338" s="3" t="str">
        <f>IF(ISNA(VLOOKUP(D338,'&lt;Constants&gt;'!$B$4:$C$44,2,FALSE)),"",VLOOKUP(D338,'&lt;Constants&gt;'!$B$4:$C$44,2,FALSE))</f>
        <v>Summerset</v>
      </c>
    </row>
    <row r="339" spans="1:5" x14ac:dyDescent="0.25">
      <c r="A339" s="11">
        <v>391</v>
      </c>
      <c r="B339" s="8" t="str">
        <f>VLOOKUP(A339,'Sets (lua data)'!$A$3:$C$9920,3,FALSE)</f>
        <v>Vestment of Olorime</v>
      </c>
      <c r="C339" s="8" t="str">
        <f>VLOOKUP(A339,'Sets (lua data)'!$A$3:$C$9920,2,FALSE)</f>
        <v>Gewandung von Olorime</v>
      </c>
      <c r="D339" t="s">
        <v>1430</v>
      </c>
      <c r="E339" s="3" t="str">
        <f>IF(ISNA(VLOOKUP(D339,'&lt;Constants&gt;'!$B$4:$C$44,2,FALSE)),"",VLOOKUP(D339,'&lt;Constants&gt;'!$B$4:$C$44,2,FALSE))</f>
        <v>Summerset</v>
      </c>
    </row>
    <row r="340" spans="1:5" x14ac:dyDescent="0.25">
      <c r="A340" s="11">
        <v>392</v>
      </c>
      <c r="B340" s="8" t="str">
        <f>VLOOKUP(A340,'Sets (lua data)'!$A$3:$C$9920,3,FALSE)</f>
        <v>Perfect Aegis of Galenwe</v>
      </c>
      <c r="C340" s="8" t="str">
        <f>VLOOKUP(A340,'Sets (lua data)'!$A$3:$C$9920,2,FALSE)</f>
        <v>Perfekte Ägis von Galenwe</v>
      </c>
      <c r="D340" t="s">
        <v>1430</v>
      </c>
      <c r="E340" s="3" t="str">
        <f>IF(ISNA(VLOOKUP(D340,'&lt;Constants&gt;'!$B$4:$C$44,2,FALSE)),"",VLOOKUP(D340,'&lt;Constants&gt;'!$B$4:$C$44,2,FALSE))</f>
        <v>Summerset</v>
      </c>
    </row>
    <row r="341" spans="1:5" x14ac:dyDescent="0.25">
      <c r="A341" s="40">
        <v>393</v>
      </c>
      <c r="B341" s="8" t="str">
        <f>VLOOKUP(A341,'Sets (lua data)'!$A$3:$C$9920,3,FALSE)</f>
        <v>Perfect Arms of Relequen</v>
      </c>
      <c r="C341" s="8" t="str">
        <f>VLOOKUP(A341,'Sets (lua data)'!$A$3:$C$9920,2,FALSE)</f>
        <v>Perfekte Waffen von Relequen</v>
      </c>
      <c r="D341" t="s">
        <v>1430</v>
      </c>
      <c r="E341" s="3" t="str">
        <f>IF(ISNA(VLOOKUP(D341,'&lt;Constants&gt;'!$B$4:$C$44,2,FALSE)),"",VLOOKUP(D341,'&lt;Constants&gt;'!$B$4:$C$44,2,FALSE))</f>
        <v>Summerset</v>
      </c>
    </row>
    <row r="342" spans="1:5" x14ac:dyDescent="0.25">
      <c r="A342" s="11">
        <v>394</v>
      </c>
      <c r="B342" s="8" t="str">
        <f>VLOOKUP(A342,'Sets (lua data)'!$A$3:$C$9920,3,FALSE)</f>
        <v>Perfect Mantle of Siroria</v>
      </c>
      <c r="C342" s="8" t="str">
        <f>VLOOKUP(A342,'Sets (lua data)'!$A$3:$C$9920,2,FALSE)</f>
        <v>Perfekter Mantel von Siroria</v>
      </c>
      <c r="D342" t="s">
        <v>1430</v>
      </c>
      <c r="E342" s="3" t="str">
        <f>IF(ISNA(VLOOKUP(D342,'&lt;Constants&gt;'!$B$4:$C$44,2,FALSE)),"",VLOOKUP(D342,'&lt;Constants&gt;'!$B$4:$C$44,2,FALSE))</f>
        <v>Summerset</v>
      </c>
    </row>
    <row r="343" spans="1:5" x14ac:dyDescent="0.25">
      <c r="A343" s="11">
        <v>395</v>
      </c>
      <c r="B343" s="8" t="str">
        <f>VLOOKUP(A343,'Sets (lua data)'!$A$3:$C$9920,3,FALSE)</f>
        <v>Perfect Vestment of Olorime</v>
      </c>
      <c r="C343" s="8" t="str">
        <f>VLOOKUP(A343,'Sets (lua data)'!$A$3:$C$9920,2,FALSE)</f>
        <v>Perfekte Gewandung von Olorime</v>
      </c>
      <c r="D343" t="s">
        <v>1430</v>
      </c>
      <c r="E343" s="3" t="str">
        <f>IF(ISNA(VLOOKUP(D343,'&lt;Constants&gt;'!$B$4:$C$44,2,FALSE)),"",VLOOKUP(D343,'&lt;Constants&gt;'!$B$4:$C$44,2,FALSE))</f>
        <v>Summerset</v>
      </c>
    </row>
    <row r="344" spans="1:5" x14ac:dyDescent="0.25">
      <c r="A344" s="5">
        <v>397</v>
      </c>
      <c r="B344" s="8" t="str">
        <f>VLOOKUP(A344,'Sets (lua data)'!$A$3:$C$9920,3,FALSE)</f>
        <v>Balorgh</v>
      </c>
      <c r="C344" s="8" t="str">
        <f>VLOOKUP(A344,'Sets (lua data)'!$A$3:$C$9920,2,FALSE)</f>
        <v>Balorgh</v>
      </c>
      <c r="D344" t="s">
        <v>1431</v>
      </c>
      <c r="E344" s="3" t="str">
        <f>IF(ISNA(VLOOKUP(D344,'&lt;Constants&gt;'!$B$4:$C$44,2,FALSE)),"",VLOOKUP(D344,'&lt;Constants&gt;'!$B$4:$C$44,2,FALSE))</f>
        <v>Wolfhunter</v>
      </c>
    </row>
    <row r="345" spans="1:5" x14ac:dyDescent="0.25">
      <c r="A345" s="5">
        <v>398</v>
      </c>
      <c r="B345" s="8" t="str">
        <f>VLOOKUP(A345,'Sets (lua data)'!$A$3:$C$9920,3,FALSE)</f>
        <v>Vykosa</v>
      </c>
      <c r="C345" s="8" t="str">
        <f>VLOOKUP(A345,'Sets (lua data)'!$A$3:$C$9920,2,FALSE)</f>
        <v>Vykosa</v>
      </c>
      <c r="D345" t="s">
        <v>1431</v>
      </c>
      <c r="E345" s="3" t="str">
        <f>IF(ISNA(VLOOKUP(D345,'&lt;Constants&gt;'!$B$4:$C$44,2,FALSE)),"",VLOOKUP(D345,'&lt;Constants&gt;'!$B$4:$C$44,2,FALSE))</f>
        <v>Wolfhunter</v>
      </c>
    </row>
    <row r="346" spans="1:5" x14ac:dyDescent="0.25">
      <c r="A346" s="11">
        <v>399</v>
      </c>
      <c r="B346" s="8" t="str">
        <f>VLOOKUP(A346,'Sets (lua data)'!$A$3:$C$9920,3,FALSE)</f>
        <v>Hanu\'s Compassion</v>
      </c>
      <c r="C346" s="8" t="str">
        <f>VLOOKUP(A346,'Sets (lua data)'!$A$3:$C$9920,2,FALSE)</f>
        <v>Hanus Mitgefühl</v>
      </c>
      <c r="D346" t="s">
        <v>1431</v>
      </c>
      <c r="E346" s="3" t="str">
        <f>IF(ISNA(VLOOKUP(D346,'&lt;Constants&gt;'!$B$4:$C$44,2,FALSE)),"",VLOOKUP(D346,'&lt;Constants&gt;'!$B$4:$C$44,2,FALSE))</f>
        <v>Wolfhunter</v>
      </c>
    </row>
    <row r="347" spans="1:5" x14ac:dyDescent="0.25">
      <c r="A347" s="11">
        <v>400</v>
      </c>
      <c r="B347" s="8" t="str">
        <f>VLOOKUP(A347,'Sets (lua data)'!$A$3:$C$9920,3,FALSE)</f>
        <v>Blood Moon</v>
      </c>
      <c r="C347" s="8" t="str">
        <f>VLOOKUP(A347,'Sets (lua data)'!$A$3:$C$9920,2,FALSE)</f>
        <v>Blutmond</v>
      </c>
      <c r="D347" t="s">
        <v>1431</v>
      </c>
      <c r="E347" s="3" t="str">
        <f>IF(ISNA(VLOOKUP(D347,'&lt;Constants&gt;'!$B$4:$C$44,2,FALSE)),"",VLOOKUP(D347,'&lt;Constants&gt;'!$B$4:$C$44,2,FALSE))</f>
        <v>Wolfhunter</v>
      </c>
    </row>
    <row r="348" spans="1:5" x14ac:dyDescent="0.25">
      <c r="A348" s="11">
        <v>401</v>
      </c>
      <c r="B348" s="8" t="str">
        <f>VLOOKUP(A348,'Sets (lua data)'!$A$3:$C$9920,3,FALSE)</f>
        <v>Haven of Ursus</v>
      </c>
      <c r="C348" s="8" t="str">
        <f>VLOOKUP(A348,'Sets (lua data)'!$A$3:$C$9920,2,FALSE)</f>
        <v>Zuflucht von Ursus</v>
      </c>
      <c r="D348" t="s">
        <v>1431</v>
      </c>
      <c r="E348" s="3" t="str">
        <f>IF(ISNA(VLOOKUP(D348,'&lt;Constants&gt;'!$B$4:$C$44,2,FALSE)),"",VLOOKUP(D348,'&lt;Constants&gt;'!$B$4:$C$44,2,FALSE))</f>
        <v>Wolfhunter</v>
      </c>
    </row>
    <row r="349" spans="1:5" x14ac:dyDescent="0.25">
      <c r="A349" s="11">
        <v>402</v>
      </c>
      <c r="B349" s="8" t="str">
        <f>VLOOKUP(A349,'Sets (lua data)'!$A$3:$C$9920,3,FALSE)</f>
        <v>Moon Hunter</v>
      </c>
      <c r="C349" s="8" t="str">
        <f>VLOOKUP(A349,'Sets (lua data)'!$A$3:$C$9920,2,FALSE)</f>
        <v>Mondjäger</v>
      </c>
      <c r="D349" t="s">
        <v>1431</v>
      </c>
      <c r="E349" s="3" t="str">
        <f>IF(ISNA(VLOOKUP(D349,'&lt;Constants&gt;'!$B$4:$C$44,2,FALSE)),"",VLOOKUP(D349,'&lt;Constants&gt;'!$B$4:$C$44,2,FALSE))</f>
        <v>Wolfhunter</v>
      </c>
    </row>
    <row r="350" spans="1:5" x14ac:dyDescent="0.25">
      <c r="A350" s="11">
        <v>403</v>
      </c>
      <c r="B350" s="8" t="str">
        <f>VLOOKUP(A350,'Sets (lua data)'!$A$3:$C$9920,3,FALSE)</f>
        <v>Savage Werewolf</v>
      </c>
      <c r="C350" s="8" t="str">
        <f>VLOOKUP(A350,'Sets (lua data)'!$A$3:$C$9920,2,FALSE)</f>
        <v>Wilder Werwolf</v>
      </c>
      <c r="D350" t="s">
        <v>1431</v>
      </c>
      <c r="E350" s="3" t="str">
        <f>IF(ISNA(VLOOKUP(D350,'&lt;Constants&gt;'!$B$4:$C$44,2,FALSE)),"",VLOOKUP(D350,'&lt;Constants&gt;'!$B$4:$C$44,2,FALSE))</f>
        <v>Wolfhunter</v>
      </c>
    </row>
    <row r="351" spans="1:5" x14ac:dyDescent="0.25">
      <c r="A351" s="11">
        <v>404</v>
      </c>
      <c r="B351" s="8" t="str">
        <f>VLOOKUP(A351,'Sets (lua data)'!$A$3:$C$9920,3,FALSE)</f>
        <v>Jailer\'s Tenacity</v>
      </c>
      <c r="C351" s="8" t="str">
        <f>VLOOKUP(A351,'Sets (lua data)'!$A$3:$C$9920,2,FALSE)</f>
        <v>Tenazität des Kerkermeisters</v>
      </c>
      <c r="D351" t="s">
        <v>1431</v>
      </c>
      <c r="E351" s="3" t="str">
        <f>IF(ISNA(VLOOKUP(D351,'&lt;Constants&gt;'!$B$4:$C$44,2,FALSE)),"",VLOOKUP(D351,'&lt;Constants&gt;'!$B$4:$C$44,2,FALSE))</f>
        <v>Wolfhunter</v>
      </c>
    </row>
    <row r="352" spans="1:5" x14ac:dyDescent="0.25">
      <c r="A352" s="11">
        <v>405</v>
      </c>
      <c r="B352" s="8" t="str">
        <f>VLOOKUP(A352,'Sets (lua data)'!$A$3:$C$9920,3,FALSE)</f>
        <v>Bright-Throat\'s Boast</v>
      </c>
      <c r="C352" s="8" t="str">
        <f>VLOOKUP(A352,'Sets (lua data)'!$A$3:$C$9920,2,FALSE)</f>
        <v>Hellhalsstolz</v>
      </c>
      <c r="D352" t="s">
        <v>1432</v>
      </c>
      <c r="E352" s="3" t="str">
        <f>IF(ISNA(VLOOKUP(D352,'&lt;Constants&gt;'!$B$4:$C$44,2,FALSE)),"",VLOOKUP(D352,'&lt;Constants&gt;'!$B$4:$C$44,2,FALSE))</f>
        <v>Murkmire</v>
      </c>
    </row>
    <row r="353" spans="1:5" x14ac:dyDescent="0.25">
      <c r="A353" s="11">
        <v>406</v>
      </c>
      <c r="B353" s="8" t="str">
        <f>VLOOKUP(A353,'Sets (lua data)'!$A$3:$C$9920,3,FALSE)</f>
        <v>Dead-Water\'s Guile</v>
      </c>
      <c r="C353" s="8" t="str">
        <f>VLOOKUP(A353,'Sets (lua data)'!$A$3:$C$9920,2,FALSE)</f>
        <v>Totwassertücke</v>
      </c>
      <c r="D353" t="s">
        <v>1432</v>
      </c>
      <c r="E353" s="3" t="str">
        <f>IF(ISNA(VLOOKUP(D353,'&lt;Constants&gt;'!$B$4:$C$44,2,FALSE)),"",VLOOKUP(D353,'&lt;Constants&gt;'!$B$4:$C$44,2,FALSE))</f>
        <v>Murkmire</v>
      </c>
    </row>
    <row r="354" spans="1:5" x14ac:dyDescent="0.25">
      <c r="A354" s="11">
        <v>407</v>
      </c>
      <c r="B354" s="8" t="str">
        <f>VLOOKUP(A354,'Sets (lua data)'!$A$3:$C$9920,3,FALSE)</f>
        <v>Champion of the Hist</v>
      </c>
      <c r="C354" s="8" t="str">
        <f>VLOOKUP(A354,'Sets (lua data)'!$A$3:$C$9920,2,FALSE)</f>
        <v>Histchampion</v>
      </c>
      <c r="D354" t="s">
        <v>1432</v>
      </c>
      <c r="E354" s="3" t="str">
        <f>IF(ISNA(VLOOKUP(D354,'&lt;Constants&gt;'!$B$4:$C$44,2,FALSE)),"",VLOOKUP(D354,'&lt;Constants&gt;'!$B$4:$C$44,2,FALSE))</f>
        <v>Murkmire</v>
      </c>
    </row>
    <row r="355" spans="1:5" x14ac:dyDescent="0.25">
      <c r="A355" s="5">
        <v>408</v>
      </c>
      <c r="B355" s="8" t="str">
        <f>VLOOKUP(A355,'Sets (lua data)'!$A$3:$C$9920,3,FALSE)</f>
        <v>Grave-Stake Collector</v>
      </c>
      <c r="C355" s="8" t="str">
        <f>VLOOKUP(A355,'Sets (lua data)'!$A$3:$C$9920,2,FALSE)</f>
        <v>Grabpflocksammler</v>
      </c>
      <c r="D355" t="s">
        <v>1432</v>
      </c>
      <c r="E355" s="3" t="str">
        <f>IF(ISNA(VLOOKUP(D355,'&lt;Constants&gt;'!$B$4:$C$44,2,FALSE)),"",VLOOKUP(D355,'&lt;Constants&gt;'!$B$4:$C$44,2,FALSE))</f>
        <v>Murkmire</v>
      </c>
    </row>
    <row r="356" spans="1:5" x14ac:dyDescent="0.25">
      <c r="A356" s="5">
        <v>409</v>
      </c>
      <c r="B356" s="8" t="str">
        <f>VLOOKUP(A356,'Sets (lua data)'!$A$3:$C$9920,3,FALSE)</f>
        <v>Naga Shaman</v>
      </c>
      <c r="C356" s="8" t="str">
        <f>VLOOKUP(A356,'Sets (lua data)'!$A$3:$C$9920,2,FALSE)</f>
        <v>Nagaschamane</v>
      </c>
      <c r="D356" t="s">
        <v>1432</v>
      </c>
      <c r="E356" s="3" t="str">
        <f>IF(ISNA(VLOOKUP(D356,'&lt;Constants&gt;'!$B$4:$C$44,2,FALSE)),"",VLOOKUP(D356,'&lt;Constants&gt;'!$B$4:$C$44,2,FALSE))</f>
        <v>Murkmire</v>
      </c>
    </row>
    <row r="357" spans="1:5" x14ac:dyDescent="0.25">
      <c r="A357" s="5">
        <v>410</v>
      </c>
      <c r="B357" s="8" t="str">
        <f>VLOOKUP(A357,'Sets (lua data)'!$A$3:$C$9920,3,FALSE)</f>
        <v>Might of the Lost Legion</v>
      </c>
      <c r="C357" s="8" t="str">
        <f>VLOOKUP(A357,'Sets (lua data)'!$A$3:$C$9920,2,FALSE)</f>
        <v>Macht der Verlorenen Legion</v>
      </c>
      <c r="D357" t="s">
        <v>1432</v>
      </c>
      <c r="E357" s="3" t="str">
        <f>IF(ISNA(VLOOKUP(D357,'&lt;Constants&gt;'!$B$4:$C$44,2,FALSE)),"",VLOOKUP(D357,'&lt;Constants&gt;'!$B$4:$C$44,2,FALSE))</f>
        <v>Murkmire</v>
      </c>
    </row>
    <row r="358" spans="1:5" x14ac:dyDescent="0.25">
      <c r="A358" s="11">
        <v>411</v>
      </c>
      <c r="B358" s="8" t="str">
        <f>VLOOKUP(A358,'Sets (lua data)'!$A$3:$C$9920,3,FALSE)</f>
        <v>Gallant Charge</v>
      </c>
      <c r="C358" s="8" t="str">
        <f>VLOOKUP(A358,'Sets (lua data)'!$A$3:$C$9920,2,FALSE)</f>
        <v>Galanter Ansturm</v>
      </c>
      <c r="D358" t="s">
        <v>1432</v>
      </c>
      <c r="E358" s="3" t="str">
        <f>IF(ISNA(VLOOKUP(D358,'&lt;Constants&gt;'!$B$4:$C$44,2,FALSE)),"",VLOOKUP(D358,'&lt;Constants&gt;'!$B$4:$C$44,2,FALSE))</f>
        <v>Murkmire</v>
      </c>
    </row>
    <row r="359" spans="1:5" x14ac:dyDescent="0.25">
      <c r="A359" s="11">
        <v>412</v>
      </c>
      <c r="B359" s="8" t="str">
        <f>VLOOKUP(A359,'Sets (lua data)'!$A$3:$C$9920,3,FALSE)</f>
        <v>Radial Uppercut</v>
      </c>
      <c r="C359" s="8" t="str">
        <f>VLOOKUP(A359,'Sets (lua data)'!$A$3:$C$9920,2,FALSE)</f>
        <v>Rundum-Aufwärtsschnitt</v>
      </c>
      <c r="D359" t="s">
        <v>1432</v>
      </c>
      <c r="E359" s="3" t="str">
        <f>IF(ISNA(VLOOKUP(D359,'&lt;Constants&gt;'!$B$4:$C$44,2,FALSE)),"",VLOOKUP(D359,'&lt;Constants&gt;'!$B$4:$C$44,2,FALSE))</f>
        <v>Murkmire</v>
      </c>
    </row>
    <row r="360" spans="1:5" x14ac:dyDescent="0.25">
      <c r="A360" s="11">
        <v>413</v>
      </c>
      <c r="B360" s="8" t="str">
        <f>VLOOKUP(A360,'Sets (lua data)'!$A$3:$C$9920,3,FALSE)</f>
        <v>Spectral Cloak</v>
      </c>
      <c r="C360" s="8" t="str">
        <f>VLOOKUP(A360,'Sets (lua data)'!$A$3:$C$9920,2,FALSE)</f>
        <v>Spektraler Mantel</v>
      </c>
      <c r="D360" t="s">
        <v>1432</v>
      </c>
      <c r="E360" s="3" t="str">
        <f>IF(ISNA(VLOOKUP(D360,'&lt;Constants&gt;'!$B$4:$C$44,2,FALSE)),"",VLOOKUP(D360,'&lt;Constants&gt;'!$B$4:$C$44,2,FALSE))</f>
        <v>Murkmire</v>
      </c>
    </row>
    <row r="361" spans="1:5" x14ac:dyDescent="0.25">
      <c r="A361" s="11">
        <v>414</v>
      </c>
      <c r="B361" s="8" t="str">
        <f>VLOOKUP(A361,'Sets (lua data)'!$A$3:$C$9920,3,FALSE)</f>
        <v>Virulent Shot</v>
      </c>
      <c r="C361" s="8" t="str">
        <f>VLOOKUP(A361,'Sets (lua data)'!$A$3:$C$9920,2,FALSE)</f>
        <v>Virulenter Schuss</v>
      </c>
      <c r="D361" t="s">
        <v>1432</v>
      </c>
      <c r="E361" s="3" t="str">
        <f>IF(ISNA(VLOOKUP(D361,'&lt;Constants&gt;'!$B$4:$C$44,2,FALSE)),"",VLOOKUP(D361,'&lt;Constants&gt;'!$B$4:$C$44,2,FALSE))</f>
        <v>Murkmire</v>
      </c>
    </row>
    <row r="362" spans="1:5" x14ac:dyDescent="0.25">
      <c r="A362" s="11">
        <v>415</v>
      </c>
      <c r="B362" s="8" t="str">
        <f>VLOOKUP(A362,'Sets (lua data)'!$A$3:$C$9920,3,FALSE)</f>
        <v>Wild Impulse</v>
      </c>
      <c r="C362" s="8" t="str">
        <f>VLOOKUP(A362,'Sets (lua data)'!$A$3:$C$9920,2,FALSE)</f>
        <v>Wilder Impuls</v>
      </c>
      <c r="D362" t="s">
        <v>1432</v>
      </c>
      <c r="E362" s="3" t="str">
        <f>IF(ISNA(VLOOKUP(D362,'&lt;Constants&gt;'!$B$4:$C$44,2,FALSE)),"",VLOOKUP(D362,'&lt;Constants&gt;'!$B$4:$C$44,2,FALSE))</f>
        <v>Murkmire</v>
      </c>
    </row>
    <row r="363" spans="1:5" x14ac:dyDescent="0.25">
      <c r="A363" s="11">
        <v>416</v>
      </c>
      <c r="B363" s="8" t="str">
        <f>VLOOKUP(A363,'Sets (lua data)'!$A$3:$C$9920,3,FALSE)</f>
        <v>Mender\'s Ward</v>
      </c>
      <c r="C363" s="8" t="str">
        <f>VLOOKUP(A363,'Sets (lua data)'!$A$3:$C$9920,2,FALSE)</f>
        <v>Schutz des Pflegers</v>
      </c>
      <c r="D363" t="s">
        <v>1432</v>
      </c>
      <c r="E363" s="3" t="str">
        <f>IF(ISNA(VLOOKUP(D363,'&lt;Constants&gt;'!$B$4:$C$44,2,FALSE)),"",VLOOKUP(D363,'&lt;Constants&gt;'!$B$4:$C$44,2,FALSE))</f>
        <v>Murkmire</v>
      </c>
    </row>
    <row r="364" spans="1:5" x14ac:dyDescent="0.25">
      <c r="A364" s="11">
        <v>417</v>
      </c>
      <c r="B364" s="8" t="str">
        <f>VLOOKUP(A364,'Sets (lua data)'!$A$3:$C$9920,3,FALSE)</f>
        <v>Indomitable Fury</v>
      </c>
      <c r="C364" s="8" t="str">
        <f>VLOOKUP(A364,'Sets (lua data)'!$A$3:$C$9920,2,FALSE)</f>
        <v>Unbeugsamer Zorn</v>
      </c>
      <c r="D364" t="s">
        <v>1420</v>
      </c>
      <c r="E364" s="3" t="str">
        <f>IF(ISNA(VLOOKUP(D364,'&lt;Constants&gt;'!$B$4:$C$44,2,FALSE)),"",VLOOKUP(D364,'&lt;Constants&gt;'!$B$4:$C$44,2,FALSE))</f>
        <v>Included in base game</v>
      </c>
    </row>
    <row r="365" spans="1:5" x14ac:dyDescent="0.25">
      <c r="A365" s="11">
        <v>418</v>
      </c>
      <c r="B365" s="8" t="str">
        <f>VLOOKUP(A365,'Sets (lua data)'!$A$3:$C$9920,3,FALSE)</f>
        <v>Spell Strategist</v>
      </c>
      <c r="C365" s="8" t="str">
        <f>VLOOKUP(A365,'Sets (lua data)'!$A$3:$C$9920,2,FALSE)</f>
        <v>Zauberstratege</v>
      </c>
      <c r="D365" t="s">
        <v>1420</v>
      </c>
      <c r="E365" s="3" t="str">
        <f>IF(ISNA(VLOOKUP(D365,'&lt;Constants&gt;'!$B$4:$C$44,2,FALSE)),"",VLOOKUP(D365,'&lt;Constants&gt;'!$B$4:$C$44,2,FALSE))</f>
        <v>Included in base game</v>
      </c>
    </row>
    <row r="366" spans="1:5" x14ac:dyDescent="0.25">
      <c r="A366" s="11">
        <v>419</v>
      </c>
      <c r="B366" s="8" t="str">
        <f>VLOOKUP(A366,'Sets (lua data)'!$A$3:$C$9920,3,FALSE)</f>
        <v>Battlefield Acrobat</v>
      </c>
      <c r="C366" s="8" t="str">
        <f>VLOOKUP(A366,'Sets (lua data)'!$A$3:$C$9920,2,FALSE)</f>
        <v>Schlachtfeldakrobat</v>
      </c>
      <c r="D366" t="s">
        <v>1420</v>
      </c>
      <c r="E366" s="3" t="str">
        <f>IF(ISNA(VLOOKUP(D366,'&lt;Constants&gt;'!$B$4:$C$44,2,FALSE)),"",VLOOKUP(D366,'&lt;Constants&gt;'!$B$4:$C$44,2,FALSE))</f>
        <v>Included in base game</v>
      </c>
    </row>
    <row r="367" spans="1:5" x14ac:dyDescent="0.25">
      <c r="A367" s="11">
        <v>420</v>
      </c>
      <c r="B367" s="8" t="str">
        <f>VLOOKUP(A367,'Sets (lua data)'!$A$3:$C$9920,3,FALSE)</f>
        <v>Soldier of Anguish</v>
      </c>
      <c r="C367" s="8" t="str">
        <f>VLOOKUP(A367,'Sets (lua data)'!$A$3:$C$9920,2,FALSE)</f>
        <v>Soldat der Pein</v>
      </c>
      <c r="D367" t="s">
        <v>1420</v>
      </c>
      <c r="E367" s="3" t="str">
        <f>IF(ISNA(VLOOKUP(D367,'&lt;Constants&gt;'!$B$4:$C$44,2,FALSE)),"",VLOOKUP(D367,'&lt;Constants&gt;'!$B$4:$C$44,2,FALSE))</f>
        <v>Included in base game</v>
      </c>
    </row>
    <row r="368" spans="1:5" x14ac:dyDescent="0.25">
      <c r="A368" s="11">
        <v>421</v>
      </c>
      <c r="B368" s="8" t="str">
        <f>VLOOKUP(A368,'Sets (lua data)'!$A$3:$C$9920,3,FALSE)</f>
        <v>Steadfast Hero</v>
      </c>
      <c r="C368" s="8" t="str">
        <f>VLOOKUP(A368,'Sets (lua data)'!$A$3:$C$9920,2,FALSE)</f>
        <v>Standhafter Held</v>
      </c>
      <c r="D368" t="s">
        <v>1420</v>
      </c>
      <c r="E368" s="3" t="str">
        <f>IF(ISNA(VLOOKUP(D368,'&lt;Constants&gt;'!$B$4:$C$44,2,FALSE)),"",VLOOKUP(D368,'&lt;Constants&gt;'!$B$4:$C$44,2,FALSE))</f>
        <v>Included in base game</v>
      </c>
    </row>
    <row r="369" spans="1:5" x14ac:dyDescent="0.25">
      <c r="A369" s="11">
        <v>422</v>
      </c>
      <c r="B369" s="8" t="str">
        <f>VLOOKUP(A369,'Sets (lua data)'!$A$3:$C$9920,3,FALSE)</f>
        <v>Battalion Defender</v>
      </c>
      <c r="C369" s="8" t="str">
        <f>VLOOKUP(A369,'Sets (lua data)'!$A$3:$C$9920,2,FALSE)</f>
        <v>Bataillonsverteidiger</v>
      </c>
      <c r="D369" t="s">
        <v>1420</v>
      </c>
      <c r="E369" s="3" t="str">
        <f>IF(ISNA(VLOOKUP(D369,'&lt;Constants&gt;'!$B$4:$C$44,2,FALSE)),"",VLOOKUP(D369,'&lt;Constants&gt;'!$B$4:$C$44,2,FALSE))</f>
        <v>Included in base game</v>
      </c>
    </row>
    <row r="370" spans="1:5" x14ac:dyDescent="0.25">
      <c r="A370" s="11">
        <v>423</v>
      </c>
      <c r="B370" s="8" t="str">
        <f>VLOOKUP(A370,'Sets (lua data)'!$A$3:$C$9920,3,FALSE)</f>
        <v>Perfect Gallant Charge</v>
      </c>
      <c r="C370" s="8" t="str">
        <f>VLOOKUP(A370,'Sets (lua data)'!$A$3:$C$9920,2,FALSE)</f>
        <v>Perfekter galanter Ansturm</v>
      </c>
      <c r="D370" t="s">
        <v>1432</v>
      </c>
      <c r="E370" s="3" t="str">
        <f>IF(ISNA(VLOOKUP(D370,'&lt;Constants&gt;'!$B$4:$C$44,2,FALSE)),"",VLOOKUP(D370,'&lt;Constants&gt;'!$B$4:$C$44,2,FALSE))</f>
        <v>Murkmire</v>
      </c>
    </row>
    <row r="371" spans="1:5" x14ac:dyDescent="0.25">
      <c r="A371" s="11">
        <v>424</v>
      </c>
      <c r="B371" s="8" t="str">
        <f>VLOOKUP(A371,'Sets (lua data)'!$A$3:$C$9920,3,FALSE)</f>
        <v>Perfect Radial Uppercut</v>
      </c>
      <c r="C371" s="8" t="str">
        <f>VLOOKUP(A371,'Sets (lua data)'!$A$3:$C$9920,2,FALSE)</f>
        <v>Perfekter Rundum-Aufwärtsschnitt</v>
      </c>
      <c r="D371" t="s">
        <v>1432</v>
      </c>
      <c r="E371" s="3" t="str">
        <f>IF(ISNA(VLOOKUP(D371,'&lt;Constants&gt;'!$B$4:$C$44,2,FALSE)),"",VLOOKUP(D371,'&lt;Constants&gt;'!$B$4:$C$44,2,FALSE))</f>
        <v>Murkmire</v>
      </c>
    </row>
    <row r="372" spans="1:5" x14ac:dyDescent="0.25">
      <c r="A372" s="11">
        <v>425</v>
      </c>
      <c r="B372" s="8" t="str">
        <f>VLOOKUP(A372,'Sets (lua data)'!$A$3:$C$9920,3,FALSE)</f>
        <v>Perfect Spectral Cloak</v>
      </c>
      <c r="C372" s="8" t="str">
        <f>VLOOKUP(A372,'Sets (lua data)'!$A$3:$C$9920,2,FALSE)</f>
        <v>Perfekter spektraler Mantel</v>
      </c>
      <c r="D372" t="s">
        <v>1432</v>
      </c>
      <c r="E372" s="3" t="str">
        <f>IF(ISNA(VLOOKUP(D372,'&lt;Constants&gt;'!$B$4:$C$44,2,FALSE)),"",VLOOKUP(D372,'&lt;Constants&gt;'!$B$4:$C$44,2,FALSE))</f>
        <v>Murkmire</v>
      </c>
    </row>
    <row r="373" spans="1:5" x14ac:dyDescent="0.25">
      <c r="A373" s="11">
        <v>426</v>
      </c>
      <c r="B373" s="8" t="str">
        <f>VLOOKUP(A373,'Sets (lua data)'!$A$3:$C$9920,3,FALSE)</f>
        <v>Perfect Virulent Shot</v>
      </c>
      <c r="C373" s="8" t="str">
        <f>VLOOKUP(A373,'Sets (lua data)'!$A$3:$C$9920,2,FALSE)</f>
        <v>Perfekter virulenter Schuss</v>
      </c>
      <c r="D373" t="s">
        <v>1432</v>
      </c>
      <c r="E373" s="3" t="str">
        <f>IF(ISNA(VLOOKUP(D373,'&lt;Constants&gt;'!$B$4:$C$44,2,FALSE)),"",VLOOKUP(D373,'&lt;Constants&gt;'!$B$4:$C$44,2,FALSE))</f>
        <v>Murkmire</v>
      </c>
    </row>
    <row r="374" spans="1:5" x14ac:dyDescent="0.25">
      <c r="A374" s="11">
        <v>427</v>
      </c>
      <c r="B374" s="8" t="str">
        <f>VLOOKUP(A374,'Sets (lua data)'!$A$3:$C$9920,3,FALSE)</f>
        <v>Perfect Wild Impulse</v>
      </c>
      <c r="C374" s="8" t="str">
        <f>VLOOKUP(A374,'Sets (lua data)'!$A$3:$C$9920,2,FALSE)</f>
        <v>Perfekter wilder Impuls</v>
      </c>
      <c r="D374" t="s">
        <v>1432</v>
      </c>
      <c r="E374" s="3" t="str">
        <f>IF(ISNA(VLOOKUP(D374,'&lt;Constants&gt;'!$B$4:$C$44,2,FALSE)),"",VLOOKUP(D374,'&lt;Constants&gt;'!$B$4:$C$44,2,FALSE))</f>
        <v>Murkmire</v>
      </c>
    </row>
    <row r="375" spans="1:5" x14ac:dyDescent="0.25">
      <c r="A375" s="11">
        <v>428</v>
      </c>
      <c r="B375" s="8" t="str">
        <f>VLOOKUP(A375,'Sets (lua data)'!$A$3:$C$9920,3,FALSE)</f>
        <v>Perfect Mender\'s Ward</v>
      </c>
      <c r="C375" s="8" t="str">
        <f>VLOOKUP(A375,'Sets (lua data)'!$A$3:$C$9920,2,FALSE)</f>
        <v>Perfekter Schutz des Pflegers</v>
      </c>
      <c r="D375" t="s">
        <v>1432</v>
      </c>
      <c r="E375" s="3" t="str">
        <f>IF(ISNA(VLOOKUP(D375,'&lt;Constants&gt;'!$B$4:$C$44,2,FALSE)),"",VLOOKUP(D375,'&lt;Constants&gt;'!$B$4:$C$44,2,FALSE))</f>
        <v>Murkmire</v>
      </c>
    </row>
    <row r="376" spans="1:5" x14ac:dyDescent="0.25">
      <c r="A376" s="11">
        <v>429</v>
      </c>
      <c r="B376" s="8" t="str">
        <f>VLOOKUP(A376,'Sets (lua data)'!$A$3:$C$9920,3,FALSE)</f>
        <v>Mighty Glacier</v>
      </c>
      <c r="C376" s="8" t="str">
        <f>VLOOKUP(A376,'Sets (lua data)'!$A$3:$C$9920,2,FALSE)</f>
        <v>Mächtiger Gletscher</v>
      </c>
      <c r="D376" t="s">
        <v>1433</v>
      </c>
      <c r="E376" s="3" t="str">
        <f>IF(ISNA(VLOOKUP(D376,'&lt;Constants&gt;'!$B$4:$C$44,2,FALSE)),"",VLOOKUP(D376,'&lt;Constants&gt;'!$B$4:$C$44,2,FALSE))</f>
        <v>Wrathstone</v>
      </c>
    </row>
    <row r="377" spans="1:5" x14ac:dyDescent="0.25">
      <c r="A377" s="11">
        <v>430</v>
      </c>
      <c r="B377" s="8" t="str">
        <f>VLOOKUP(A377,'Sets (lua data)'!$A$3:$C$9920,3,FALSE)</f>
        <v>Tzogvin\'s Warband</v>
      </c>
      <c r="C377" s="8" t="str">
        <f>VLOOKUP(A377,'Sets (lua data)'!$A$3:$C$9920,2,FALSE)</f>
        <v>Tzogvins Kriegstrupp</v>
      </c>
      <c r="D377" t="s">
        <v>1433</v>
      </c>
      <c r="E377" s="3" t="str">
        <f>IF(ISNA(VLOOKUP(D377,'&lt;Constants&gt;'!$B$4:$C$44,2,FALSE)),"",VLOOKUP(D377,'&lt;Constants&gt;'!$B$4:$C$44,2,FALSE))</f>
        <v>Wrathstone</v>
      </c>
    </row>
    <row r="378" spans="1:5" x14ac:dyDescent="0.25">
      <c r="A378" s="11">
        <v>431</v>
      </c>
      <c r="B378" s="8" t="str">
        <f>VLOOKUP(A378,'Sets (lua data)'!$A$3:$C$9920,3,FALSE)</f>
        <v>Icy Conjuror</v>
      </c>
      <c r="C378" s="8" t="str">
        <f>VLOOKUP(A378,'Sets (lua data)'!$A$3:$C$9920,2,FALSE)</f>
        <v>Eisiger Anrufer</v>
      </c>
      <c r="D378" t="s">
        <v>1433</v>
      </c>
      <c r="E378" s="3" t="str">
        <f>IF(ISNA(VLOOKUP(D378,'&lt;Constants&gt;'!$B$4:$C$44,2,FALSE)),"",VLOOKUP(D378,'&lt;Constants&gt;'!$B$4:$C$44,2,FALSE))</f>
        <v>Wrathstone</v>
      </c>
    </row>
    <row r="379" spans="1:5" x14ac:dyDescent="0.25">
      <c r="A379" s="5">
        <v>432</v>
      </c>
      <c r="B379" s="8" t="str">
        <f>VLOOKUP(A379,'Sets (lua data)'!$A$3:$C$9920,3,FALSE)</f>
        <v>Stonekeeper</v>
      </c>
      <c r="C379" s="8" t="str">
        <f>VLOOKUP(A379,'Sets (lua data)'!$A$3:$C$9920,2,FALSE)</f>
        <v>Steinwahrer</v>
      </c>
      <c r="D379" t="s">
        <v>1433</v>
      </c>
      <c r="E379" s="3" t="str">
        <f>IF(ISNA(VLOOKUP(D379,'&lt;Constants&gt;'!$B$4:$C$44,2,FALSE)),"",VLOOKUP(D379,'&lt;Constants&gt;'!$B$4:$C$44,2,FALSE))</f>
        <v>Wrathstone</v>
      </c>
    </row>
    <row r="380" spans="1:5" x14ac:dyDescent="0.25">
      <c r="A380" s="11">
        <v>433</v>
      </c>
      <c r="B380" s="8" t="str">
        <f>VLOOKUP(A380,'Sets (lua data)'!$A$3:$C$9920,3,FALSE)</f>
        <v>Frozen Watcher</v>
      </c>
      <c r="C380" s="8" t="str">
        <f>VLOOKUP(A380,'Sets (lua data)'!$A$3:$C$9920,2,FALSE)</f>
        <v>Gefrorener Beobachter</v>
      </c>
      <c r="D380" t="s">
        <v>1433</v>
      </c>
      <c r="E380" s="3" t="str">
        <f>IF(ISNA(VLOOKUP(D380,'&lt;Constants&gt;'!$B$4:$C$44,2,FALSE)),"",VLOOKUP(D380,'&lt;Constants&gt;'!$B$4:$C$44,2,FALSE))</f>
        <v>Wrathstone</v>
      </c>
    </row>
    <row r="381" spans="1:5" x14ac:dyDescent="0.25">
      <c r="A381" s="11">
        <v>434</v>
      </c>
      <c r="B381" s="8" t="str">
        <f>VLOOKUP(A381,'Sets (lua data)'!$A$3:$C$9920,3,FALSE)</f>
        <v>Scavenging Demise</v>
      </c>
      <c r="C381" s="8" t="str">
        <f>VLOOKUP(A381,'Sets (lua data)'!$A$3:$C$9920,2,FALSE)</f>
        <v>Ausbeutender Niedergang</v>
      </c>
      <c r="D381" t="s">
        <v>1433</v>
      </c>
      <c r="E381" s="3" t="str">
        <f>IF(ISNA(VLOOKUP(D381,'&lt;Constants&gt;'!$B$4:$C$44,2,FALSE)),"",VLOOKUP(D381,'&lt;Constants&gt;'!$B$4:$C$44,2,FALSE))</f>
        <v>Wrathstone</v>
      </c>
    </row>
    <row r="382" spans="1:5" x14ac:dyDescent="0.25">
      <c r="A382" s="11">
        <v>435</v>
      </c>
      <c r="B382" s="8" t="str">
        <f>VLOOKUP(A382,'Sets (lua data)'!$A$3:$C$9920,3,FALSE)</f>
        <v>Auroran\'s Thunder</v>
      </c>
      <c r="C382" s="8" t="str">
        <f>VLOOKUP(A382,'Sets (lua data)'!$A$3:$C$9920,2,FALSE)</f>
        <v>Donner des Auroraners</v>
      </c>
      <c r="D382" t="s">
        <v>1433</v>
      </c>
      <c r="E382" s="3" t="str">
        <f>IF(ISNA(VLOOKUP(D382,'&lt;Constants&gt;'!$B$4:$C$44,2,FALSE)),"",VLOOKUP(D382,'&lt;Constants&gt;'!$B$4:$C$44,2,FALSE))</f>
        <v>Wrathstone</v>
      </c>
    </row>
    <row r="383" spans="1:5" x14ac:dyDescent="0.25">
      <c r="A383" s="5">
        <v>436</v>
      </c>
      <c r="B383" s="8" t="str">
        <f>VLOOKUP(A383,'Sets (lua data)'!$A$3:$C$9920,3,FALSE)</f>
        <v>Symphony of Blades</v>
      </c>
      <c r="C383" s="8" t="str">
        <f>VLOOKUP(A383,'Sets (lua data)'!$A$3:$C$9920,2,FALSE)</f>
        <v>Sinfonie der Klingen</v>
      </c>
      <c r="D383" t="s">
        <v>1433</v>
      </c>
      <c r="E383" s="3" t="str">
        <f>IF(ISNA(VLOOKUP(D383,'&lt;Constants&gt;'!$B$4:$C$44,2,FALSE)),"",VLOOKUP(D383,'&lt;Constants&gt;'!$B$4:$C$44,2,FALSE))</f>
        <v>Wrathstone</v>
      </c>
    </row>
    <row r="384" spans="1:5" x14ac:dyDescent="0.25">
      <c r="A384" s="11">
        <v>437</v>
      </c>
      <c r="B384" s="8" t="str">
        <f>VLOOKUP(A384,'Sets (lua data)'!$A$3:$C$9920,3,FALSE)</f>
        <v>Coldharbour\'s Favorite</v>
      </c>
      <c r="C384" s="8" t="str">
        <f>VLOOKUP(A384,'Sets (lua data)'!$A$3:$C$9920,2,FALSE)</f>
        <v>Kalthafens Günstling</v>
      </c>
      <c r="D384" t="s">
        <v>1434</v>
      </c>
      <c r="E384" s="3" t="str">
        <f>IF(ISNA(VLOOKUP(D384,'&lt;Constants&gt;'!$B$4:$C$44,2,FALSE)),"",VLOOKUP(D384,'&lt;Constants&gt;'!$B$4:$C$44,2,FALSE))</f>
        <v>Elsweyr</v>
      </c>
    </row>
    <row r="385" spans="1:5" x14ac:dyDescent="0.25">
      <c r="A385" s="11">
        <v>438</v>
      </c>
      <c r="B385" s="8" t="str">
        <f>VLOOKUP(A385,'Sets (lua data)'!$A$3:$C$9920,3,FALSE)</f>
        <v>Senche-raht\'s Grit</v>
      </c>
      <c r="C385" s="8" t="str">
        <f>VLOOKUP(A385,'Sets (lua data)'!$A$3:$C$9920,2,FALSE)</f>
        <v>Mut des Senche-raht</v>
      </c>
      <c r="D385" t="s">
        <v>1424</v>
      </c>
      <c r="E385" s="3" t="str">
        <f>IF(ISNA(VLOOKUP(D385,'&lt;Constants&gt;'!$B$4:$C$44,2,FALSE)),"",VLOOKUP(D385,'&lt;Constants&gt;'!$B$4:$C$44,2,FALSE))</f>
        <v>Dark Brotherhood</v>
      </c>
    </row>
    <row r="386" spans="1:5" x14ac:dyDescent="0.25">
      <c r="A386" s="5">
        <v>439</v>
      </c>
      <c r="B386" s="8" t="str">
        <f>VLOOKUP(A386,'Sets (lua data)'!$A$3:$C$9920,3,FALSE)</f>
        <v>Vastarie\'s Tutelage</v>
      </c>
      <c r="C386" s="8" t="str">
        <f>VLOOKUP(A386,'Sets (lua data)'!$A$3:$C$9920,2,FALSE)</f>
        <v>Vastaries Vormundschaft</v>
      </c>
      <c r="D386" t="s">
        <v>1434</v>
      </c>
      <c r="E386" s="3" t="str">
        <f>IF(ISNA(VLOOKUP(D386,'&lt;Constants&gt;'!$B$4:$C$44,2,FALSE)),"",VLOOKUP(D386,'&lt;Constants&gt;'!$B$4:$C$44,2,FALSE))</f>
        <v>Elsweyr</v>
      </c>
    </row>
    <row r="387" spans="1:5" x14ac:dyDescent="0.25">
      <c r="A387" s="5">
        <v>440</v>
      </c>
      <c r="B387" s="8" t="str">
        <f>VLOOKUP(A387,'Sets (lua data)'!$A$3:$C$9920,3,FALSE)</f>
        <v>Crafty Alfiq</v>
      </c>
      <c r="C387" s="8" t="str">
        <f>VLOOKUP(A387,'Sets (lua data)'!$A$3:$C$9920,2,FALSE)</f>
        <v>Listiger Alfiq</v>
      </c>
      <c r="D387" t="s">
        <v>1434</v>
      </c>
      <c r="E387" s="3" t="str">
        <f>IF(ISNA(VLOOKUP(D387,'&lt;Constants&gt;'!$B$4:$C$44,2,FALSE)),"",VLOOKUP(D387,'&lt;Constants&gt;'!$B$4:$C$44,2,FALSE))</f>
        <v>Elsweyr</v>
      </c>
    </row>
    <row r="388" spans="1:5" x14ac:dyDescent="0.25">
      <c r="A388" s="5">
        <v>441</v>
      </c>
      <c r="B388" s="8" t="str">
        <f>VLOOKUP(A388,'Sets (lua data)'!$A$3:$C$9920,3,FALSE)</f>
        <v>Vesture of Darloc Brae</v>
      </c>
      <c r="C388" s="8" t="str">
        <f>VLOOKUP(A388,'Sets (lua data)'!$A$3:$C$9920,2,FALSE)</f>
        <v>Gewandung von Darloc Brae</v>
      </c>
      <c r="D388" t="s">
        <v>1434</v>
      </c>
      <c r="E388" s="3" t="str">
        <f>IF(ISNA(VLOOKUP(D388,'&lt;Constants&gt;'!$B$4:$C$44,2,FALSE)),"",VLOOKUP(D388,'&lt;Constants&gt;'!$B$4:$C$44,2,FALSE))</f>
        <v>Elsweyr</v>
      </c>
    </row>
    <row r="389" spans="1:5" x14ac:dyDescent="0.25">
      <c r="A389" s="5">
        <v>442</v>
      </c>
      <c r="B389" s="8" t="str">
        <f>VLOOKUP(A389,'Sets (lua data)'!$A$3:$C$9920,3,FALSE)</f>
        <v>Call of the Undertaker</v>
      </c>
      <c r="C389" s="8" t="str">
        <f>VLOOKUP(A389,'Sets (lua data)'!$A$3:$C$9920,2,FALSE)</f>
        <v>Ruf des Totengräbers</v>
      </c>
      <c r="D389" t="s">
        <v>1434</v>
      </c>
      <c r="E389" s="3" t="str">
        <f>IF(ISNA(VLOOKUP(D389,'&lt;Constants&gt;'!$B$4:$C$44,2,FALSE)),"",VLOOKUP(D389,'&lt;Constants&gt;'!$B$4:$C$44,2,FALSE))</f>
        <v>Elsweyr</v>
      </c>
    </row>
    <row r="390" spans="1:5" x14ac:dyDescent="0.25">
      <c r="A390" s="5">
        <v>443</v>
      </c>
      <c r="B390" s="8" t="str">
        <f>VLOOKUP(A390,'Sets (lua data)'!$A$3:$C$9920,3,FALSE)</f>
        <v>Eye of Nahviintaas</v>
      </c>
      <c r="C390" s="8" t="str">
        <f>VLOOKUP(A390,'Sets (lua data)'!$A$3:$C$9920,2,FALSE)</f>
        <v>Auge von Nahviintaas</v>
      </c>
      <c r="D390" t="s">
        <v>1434</v>
      </c>
      <c r="E390" s="3" t="str">
        <f>IF(ISNA(VLOOKUP(D390,'&lt;Constants&gt;'!$B$4:$C$44,2,FALSE)),"",VLOOKUP(D390,'&lt;Constants&gt;'!$B$4:$C$44,2,FALSE))</f>
        <v>Elsweyr</v>
      </c>
    </row>
    <row r="391" spans="1:5" x14ac:dyDescent="0.25">
      <c r="A391" s="5">
        <v>444</v>
      </c>
      <c r="B391" s="8" t="str">
        <f>VLOOKUP(A391,'Sets (lua data)'!$A$3:$C$9920,3,FALSE)</f>
        <v>False God\'s Devotion</v>
      </c>
      <c r="C391" s="8" t="str">
        <f>VLOOKUP(A391,'Sets (lua data)'!$A$3:$C$9920,2,FALSE)</f>
        <v>Ergebenheit des falschen Gottes</v>
      </c>
      <c r="D391" t="s">
        <v>1434</v>
      </c>
      <c r="E391" s="3" t="str">
        <f>IF(ISNA(VLOOKUP(D391,'&lt;Constants&gt;'!$B$4:$C$44,2,FALSE)),"",VLOOKUP(D391,'&lt;Constants&gt;'!$B$4:$C$44,2,FALSE))</f>
        <v>Elsweyr</v>
      </c>
    </row>
    <row r="392" spans="1:5" x14ac:dyDescent="0.25">
      <c r="A392" s="5">
        <v>445</v>
      </c>
      <c r="B392" s="8" t="str">
        <f>VLOOKUP(A392,'Sets (lua data)'!$A$3:$C$9920,3,FALSE)</f>
        <v>Tooth of Lokkestiiz</v>
      </c>
      <c r="C392" s="8" t="str">
        <f>VLOOKUP(A392,'Sets (lua data)'!$A$3:$C$9920,2,FALSE)</f>
        <v>Zahn von Lokkestiiz</v>
      </c>
      <c r="D392" t="s">
        <v>1434</v>
      </c>
      <c r="E392" s="3" t="str">
        <f>IF(ISNA(VLOOKUP(D392,'&lt;Constants&gt;'!$B$4:$C$44,2,FALSE)),"",VLOOKUP(D392,'&lt;Constants&gt;'!$B$4:$C$44,2,FALSE))</f>
        <v>Elsweyr</v>
      </c>
    </row>
    <row r="393" spans="1:5" x14ac:dyDescent="0.25">
      <c r="A393" s="11">
        <v>446</v>
      </c>
      <c r="B393" s="8" t="str">
        <f>VLOOKUP(A393,'Sets (lua data)'!$A$3:$C$9920,3,FALSE)</f>
        <v>Claw of Yolnakhriin</v>
      </c>
      <c r="C393" s="8" t="str">
        <f>VLOOKUP(A393,'Sets (lua data)'!$A$3:$C$9920,2,FALSE)</f>
        <v>Kralle von Yolnahkriin</v>
      </c>
      <c r="D393" t="s">
        <v>1434</v>
      </c>
      <c r="E393" s="3" t="str">
        <f>IF(ISNA(VLOOKUP(D393,'&lt;Constants&gt;'!$B$4:$C$44,2,FALSE)),"",VLOOKUP(D393,'&lt;Constants&gt;'!$B$4:$C$44,2,FALSE))</f>
        <v>Elsweyr</v>
      </c>
    </row>
    <row r="394" spans="1:5" x14ac:dyDescent="0.25">
      <c r="A394" s="5">
        <v>448</v>
      </c>
      <c r="B394" s="8" t="str">
        <f>VLOOKUP(A394,'Sets (lua data)'!$A$3:$C$9920,3,FALSE)</f>
        <v>Perfected Eye of Nahviintaas</v>
      </c>
      <c r="C394" s="8" t="str">
        <f>VLOOKUP(A394,'Sets (lua data)'!$A$3:$C$9920,2,FALSE)</f>
        <v>Perfektioniertes Auge von Nahviintaas</v>
      </c>
      <c r="D394" t="s">
        <v>1434</v>
      </c>
      <c r="E394" s="3" t="str">
        <f>IF(ISNA(VLOOKUP(D394,'&lt;Constants&gt;'!$B$4:$C$44,2,FALSE)),"",VLOOKUP(D394,'&lt;Constants&gt;'!$B$4:$C$44,2,FALSE))</f>
        <v>Elsweyr</v>
      </c>
    </row>
    <row r="395" spans="1:5" x14ac:dyDescent="0.25">
      <c r="A395" s="5">
        <v>449</v>
      </c>
      <c r="B395" s="8" t="str">
        <f>VLOOKUP(A395,'Sets (lua data)'!$A$3:$C$9920,3,FALSE)</f>
        <v>Perfected False God\'s Devotion</v>
      </c>
      <c r="C395" s="8" t="str">
        <f>VLOOKUP(A395,'Sets (lua data)'!$A$3:$C$9920,2,FALSE)</f>
        <v>Perfektionierte Ergebenheit zum falschen Gott</v>
      </c>
      <c r="D395" t="s">
        <v>1434</v>
      </c>
      <c r="E395" s="3" t="str">
        <f>IF(ISNA(VLOOKUP(D395,'&lt;Constants&gt;'!$B$4:$C$44,2,FALSE)),"",VLOOKUP(D395,'&lt;Constants&gt;'!$B$4:$C$44,2,FALSE))</f>
        <v>Elsweyr</v>
      </c>
    </row>
    <row r="396" spans="1:5" x14ac:dyDescent="0.25">
      <c r="A396" s="5">
        <v>450</v>
      </c>
      <c r="B396" s="8" t="str">
        <f>VLOOKUP(A396,'Sets (lua data)'!$A$3:$C$9920,3,FALSE)</f>
        <v>Perfected Tooth of Lokkestiiz</v>
      </c>
      <c r="C396" s="8" t="str">
        <f>VLOOKUP(A396,'Sets (lua data)'!$A$3:$C$9920,2,FALSE)</f>
        <v>Perfektionierter Zahn von Lokkestiiz</v>
      </c>
      <c r="D396" t="s">
        <v>1434</v>
      </c>
      <c r="E396" s="3" t="str">
        <f>IF(ISNA(VLOOKUP(D396,'&lt;Constants&gt;'!$B$4:$C$44,2,FALSE)),"",VLOOKUP(D396,'&lt;Constants&gt;'!$B$4:$C$44,2,FALSE))</f>
        <v>Elsweyr</v>
      </c>
    </row>
    <row r="397" spans="1:5" x14ac:dyDescent="0.25">
      <c r="A397" s="5">
        <v>451</v>
      </c>
      <c r="B397" s="8" t="str">
        <f>VLOOKUP(A397,'Sets (lua data)'!$A$3:$C$9920,3,FALSE)</f>
        <v>Perfected Claw of Yolnakhriin</v>
      </c>
      <c r="C397" s="8" t="str">
        <f>VLOOKUP(A397,'Sets (lua data)'!$A$3:$C$9920,2,FALSE)</f>
        <v>Perfektionierte Kralle von Yolnahkriin</v>
      </c>
      <c r="D397" t="s">
        <v>1434</v>
      </c>
      <c r="E397" s="3" t="str">
        <f>IF(ISNA(VLOOKUP(D397,'&lt;Constants&gt;'!$B$4:$C$44,2,FALSE)),"",VLOOKUP(D397,'&lt;Constants&gt;'!$B$4:$C$44,2,FALSE))</f>
        <v>Elsweyr</v>
      </c>
    </row>
    <row r="398" spans="1:5" x14ac:dyDescent="0.25">
      <c r="A398" s="5">
        <v>452</v>
      </c>
      <c r="B398" s="8" t="str">
        <f>VLOOKUP(A398,'Sets (lua data)'!$A$3:$C$9920,3,FALSE)</f>
        <v>Hollowfang Thirst</v>
      </c>
      <c r="C398" s="8" t="str">
        <f>VLOOKUP(A398,'Sets (lua data)'!$A$3:$C$9920,2,FALSE)</f>
        <v>Hohlzahndurst</v>
      </c>
      <c r="D398" t="s">
        <v>1485</v>
      </c>
      <c r="E398" s="3" t="str">
        <f>IF(ISNA(VLOOKUP(D398,'&lt;Constants&gt;'!$B$4:$C$44,2,FALSE)),"",VLOOKUP(D398,'&lt;Constants&gt;'!$B$4:$C$44,2,FALSE))</f>
        <v>Scalebraker</v>
      </c>
    </row>
    <row r="399" spans="1:5" x14ac:dyDescent="0.25">
      <c r="A399" s="5">
        <v>453</v>
      </c>
      <c r="B399" s="8" t="str">
        <f>VLOOKUP(A399,'Sets (lua data)'!$A$3:$C$9920,3,FALSE)</f>
        <v>Dro\'Zakar\'s Claws</v>
      </c>
      <c r="C399" s="8" t="str">
        <f>VLOOKUP(A399,'Sets (lua data)'!$A$3:$C$9920,2,FALSE)</f>
        <v>Dro'Zakars Krallen</v>
      </c>
      <c r="D399" t="s">
        <v>1485</v>
      </c>
      <c r="E399" s="3" t="str">
        <f>IF(ISNA(VLOOKUP(D399,'&lt;Constants&gt;'!$B$4:$C$44,2,FALSE)),"",VLOOKUP(D399,'&lt;Constants&gt;'!$B$4:$C$44,2,FALSE))</f>
        <v>Scalebraker</v>
      </c>
    </row>
    <row r="400" spans="1:5" x14ac:dyDescent="0.25">
      <c r="A400" s="5">
        <v>454</v>
      </c>
      <c r="B400" s="8" t="str">
        <f>VLOOKUP(A400,'Sets (lua data)'!$A$3:$C$9920,3,FALSE)</f>
        <v>Renald\'s Resolve</v>
      </c>
      <c r="C400" s="8" t="str">
        <f>VLOOKUP(A400,'Sets (lua data)'!$A$3:$C$9920,2,FALSE)</f>
        <v>Renalds Entschlossenheit</v>
      </c>
      <c r="D400" t="s">
        <v>1485</v>
      </c>
      <c r="E400" s="3" t="str">
        <f>IF(ISNA(VLOOKUP(D400,'&lt;Constants&gt;'!$B$4:$C$44,2,FALSE)),"",VLOOKUP(D400,'&lt;Constants&gt;'!$B$4:$C$44,2,FALSE))</f>
        <v>Scalebraker</v>
      </c>
    </row>
    <row r="401" spans="1:5" x14ac:dyDescent="0.25">
      <c r="A401" s="5">
        <v>455</v>
      </c>
      <c r="B401" s="8" t="str">
        <f>VLOOKUP(A401,'Sets (lua data)'!$A$3:$C$9920,3,FALSE)</f>
        <v>Z\'en\'s Redress</v>
      </c>
      <c r="C401" s="8" t="str">
        <f>VLOOKUP(A401,'Sets (lua data)'!$A$3:$C$9920,2,FALSE)</f>
        <v>Z'ens Wiedergutmachung</v>
      </c>
      <c r="D401" t="s">
        <v>1485</v>
      </c>
      <c r="E401" s="3" t="str">
        <f>IF(ISNA(VLOOKUP(D401,'&lt;Constants&gt;'!$B$4:$C$44,2,FALSE)),"",VLOOKUP(D401,'&lt;Constants&gt;'!$B$4:$C$44,2,FALSE))</f>
        <v>Scalebraker</v>
      </c>
    </row>
    <row r="402" spans="1:5" x14ac:dyDescent="0.25">
      <c r="A402" s="5">
        <v>456</v>
      </c>
      <c r="B402" s="8" t="str">
        <f>VLOOKUP(A402,'Sets (lua data)'!$A$3:$C$9920,3,FALSE)</f>
        <v>Azureblight Reaper</v>
      </c>
      <c r="C402" s="8" t="str">
        <f>VLOOKUP(A402,'Sets (lua data)'!$A$3:$C$9920,2,FALSE)</f>
        <v>Azurfäuleschnitter</v>
      </c>
      <c r="D402" t="s">
        <v>1485</v>
      </c>
      <c r="E402" s="3" t="str">
        <f>IF(ISNA(VLOOKUP(D402,'&lt;Constants&gt;'!$B$4:$C$44,2,FALSE)),"",VLOOKUP(D402,'&lt;Constants&gt;'!$B$4:$C$44,2,FALSE))</f>
        <v>Scalebraker</v>
      </c>
    </row>
    <row r="403" spans="1:5" x14ac:dyDescent="0.25">
      <c r="A403" s="5">
        <v>457</v>
      </c>
      <c r="B403" s="8" t="str">
        <f>VLOOKUP(A403,'Sets (lua data)'!$A$3:$C$9920,3,FALSE)</f>
        <v>Dragon\'s Defilement</v>
      </c>
      <c r="C403" s="8" t="str">
        <f>VLOOKUP(A403,'Sets (lua data)'!$A$3:$C$9920,2,FALSE)</f>
        <v>Drachenschändung</v>
      </c>
      <c r="D403" t="s">
        <v>1485</v>
      </c>
      <c r="E403" s="3" t="str">
        <f>IF(ISNA(VLOOKUP(D403,'&lt;Constants&gt;'!$B$4:$C$44,2,FALSE)),"",VLOOKUP(D403,'&lt;Constants&gt;'!$B$4:$C$44,2,FALSE))</f>
        <v>Scalebraker</v>
      </c>
    </row>
    <row r="404" spans="1:5" x14ac:dyDescent="0.25">
      <c r="A404" s="5">
        <v>458</v>
      </c>
      <c r="B404" s="8" t="str">
        <f>VLOOKUP(A404,'Sets (lua data)'!$A$3:$C$9920,3,FALSE)</f>
        <v>Grundwulf</v>
      </c>
      <c r="C404" s="8" t="str">
        <f>VLOOKUP(A404,'Sets (lua data)'!$A$3:$C$9920,2,FALSE)</f>
        <v>Grundwulf</v>
      </c>
      <c r="D404" t="s">
        <v>1485</v>
      </c>
      <c r="E404" s="3" t="str">
        <f>IF(ISNA(VLOOKUP(D404,'&lt;Constants&gt;'!$B$4:$C$44,2,FALSE)),"",VLOOKUP(D404,'&lt;Constants&gt;'!$B$4:$C$44,2,FALSE))</f>
        <v>Scalebraker</v>
      </c>
    </row>
    <row r="405" spans="1:5" x14ac:dyDescent="0.25">
      <c r="A405" s="5">
        <v>459</v>
      </c>
      <c r="B405" s="8" t="str">
        <f>VLOOKUP(A405,'Sets (lua data)'!$A$3:$C$9920,3,FALSE)</f>
        <v>Maarselok</v>
      </c>
      <c r="C405" s="8" t="str">
        <f>VLOOKUP(A405,'Sets (lua data)'!$A$3:$C$9920,2,FALSE)</f>
        <v>Maarselok</v>
      </c>
      <c r="D405" t="s">
        <v>1485</v>
      </c>
      <c r="E405" s="3" t="str">
        <f>IF(ISNA(VLOOKUP(D405,'&lt;Constants&gt;'!$B$4:$C$44,2,FALSE)),"",VLOOKUP(D405,'&lt;Constants&gt;'!$B$4:$C$44,2,FALSE))</f>
        <v>Scalebraker</v>
      </c>
    </row>
    <row r="406" spans="1:5" x14ac:dyDescent="0.25">
      <c r="A406" s="5">
        <v>465</v>
      </c>
      <c r="B406" s="8" t="str">
        <f>VLOOKUP(A406,'Sets (lua data)'!$A$3:$C$9920,3,FALSE)</f>
        <v>Senchal Defender</v>
      </c>
      <c r="C406" s="8" t="str">
        <f>VLOOKUP(A406,'Sets (lua data)'!$A$3:$C$9920,2,FALSE)</f>
        <v>Verteidiger von Senchal</v>
      </c>
      <c r="D406" s="101" t="s">
        <v>1465</v>
      </c>
      <c r="E406" s="3" t="str">
        <f>IF(ISNA(VLOOKUP(D406,'&lt;Constants&gt;'!$B$4:$C$44,2,FALSE)),"",VLOOKUP(D406,'&lt;Constants&gt;'!$B$4:$C$44,2,FALSE))</f>
        <v>Dragonhold</v>
      </c>
    </row>
    <row r="407" spans="1:5" x14ac:dyDescent="0.25">
      <c r="A407" s="5">
        <v>466</v>
      </c>
      <c r="B407" s="8" t="str">
        <f>VLOOKUP(A407,'Sets (lua data)'!$A$3:$C$9920,3,FALSE)</f>
        <v>Marauder\'s Haste</v>
      </c>
      <c r="C407" s="8" t="str">
        <f>VLOOKUP(A407,'Sets (lua data)'!$A$3:$C$9920,2,FALSE)</f>
        <v>Marodeurshast</v>
      </c>
      <c r="D407" s="101" t="s">
        <v>1465</v>
      </c>
      <c r="E407" s="3" t="str">
        <f>IF(ISNA(VLOOKUP(D407,'&lt;Constants&gt;'!$B$4:$C$44,2,FALSE)),"",VLOOKUP(D407,'&lt;Constants&gt;'!$B$4:$C$44,2,FALSE))</f>
        <v>Dragonhold</v>
      </c>
    </row>
    <row r="408" spans="1:5" x14ac:dyDescent="0.25">
      <c r="A408" s="5">
        <v>467</v>
      </c>
      <c r="B408" s="8" t="str">
        <f>VLOOKUP(A408,'Sets (lua data)'!$A$3:$C$9920,3,FALSE)</f>
        <v>Dragonguard Elite</v>
      </c>
      <c r="C408" s="8" t="str">
        <f>VLOOKUP(A408,'Sets (lua data)'!$A$3:$C$9920,2,FALSE)</f>
        <v>Drachengardeelite</v>
      </c>
      <c r="D408" s="101" t="s">
        <v>1465</v>
      </c>
      <c r="E408" s="3" t="str">
        <f>IF(ISNA(VLOOKUP(D408,'&lt;Constants&gt;'!$B$4:$C$44,2,FALSE)),"",VLOOKUP(D408,'&lt;Constants&gt;'!$B$4:$C$44,2,FALSE))</f>
        <v>Dragonhold</v>
      </c>
    </row>
    <row r="409" spans="1:5" x14ac:dyDescent="0.25">
      <c r="A409" s="5">
        <v>468</v>
      </c>
      <c r="B409" s="8" t="str">
        <f>VLOOKUP(A409,'Sets (lua data)'!$A$3:$C$9920,3,FALSE)</f>
        <v>Daring Corsair</v>
      </c>
      <c r="C409" s="8" t="str">
        <f>VLOOKUP(A409,'Sets (lua data)'!$A$3:$C$9920,2,FALSE)</f>
        <v>Kühner Korsar</v>
      </c>
      <c r="D409" s="101" t="s">
        <v>1465</v>
      </c>
      <c r="E409" s="3" t="str">
        <f>IF(ISNA(VLOOKUP(D409,'&lt;Constants&gt;'!$B$4:$C$44,2,FALSE)),"",VLOOKUP(D409,'&lt;Constants&gt;'!$B$4:$C$44,2,FALSE))</f>
        <v>Dragonhold</v>
      </c>
    </row>
    <row r="410" spans="1:5" x14ac:dyDescent="0.25">
      <c r="A410" s="5">
        <v>469</v>
      </c>
      <c r="B410" s="8" t="str">
        <f>VLOOKUP(A410,'Sets (lua data)'!$A$3:$C$9920,3,FALSE)</f>
        <v>Ancient Dragonguard</v>
      </c>
      <c r="C410" s="8" t="str">
        <f>VLOOKUP(A410,'Sets (lua data)'!$A$3:$C$9920,2,FALSE)</f>
        <v>Alte Drachengarde</v>
      </c>
      <c r="D410" t="s">
        <v>1465</v>
      </c>
      <c r="E410" s="3" t="str">
        <f>IF(ISNA(VLOOKUP(D410,'&lt;Constants&gt;'!$B$4:$C$44,2,FALSE)),"",VLOOKUP(D410,'&lt;Constants&gt;'!$B$4:$C$44,2,FALSE))</f>
        <v>Dragonhold</v>
      </c>
    </row>
    <row r="411" spans="1:5" x14ac:dyDescent="0.25">
      <c r="A411" s="5">
        <v>470</v>
      </c>
      <c r="B411" s="8" t="str">
        <f>VLOOKUP(A411,'Sets (lua data)'!$A$3:$C$9920,3,FALSE)</f>
        <v>New Moon Acolyte</v>
      </c>
      <c r="C411" s="8" t="str">
        <f>VLOOKUP(A411,'Sets (lua data)'!$A$3:$C$9920,2,FALSE)</f>
        <v>Akolythin des Neuen Mondes</v>
      </c>
      <c r="D411" s="101" t="s">
        <v>1465</v>
      </c>
      <c r="E411" s="3" t="str">
        <f>IF(ISNA(VLOOKUP(D411,'&lt;Constants&gt;'!$B$4:$C$44,2,FALSE)),"",VLOOKUP(D411,'&lt;Constants&gt;'!$B$4:$C$44,2,FALSE))</f>
        <v>Dragonhold</v>
      </c>
    </row>
    <row r="412" spans="1:5" x14ac:dyDescent="0.25">
      <c r="A412" s="5">
        <v>471</v>
      </c>
      <c r="B412" s="8" t="str">
        <f>VLOOKUP(A412,'Sets (lua data)'!$A$3:$C$9920,3,FALSE)</f>
        <v>Hiti\'s Hearth</v>
      </c>
      <c r="C412" s="8" t="str">
        <f>VLOOKUP(A412,'Sets (lua data)'!$A$3:$C$9920,2,FALSE)</f>
        <v>Hitis Feuerstelle</v>
      </c>
      <c r="D412" t="s">
        <v>1618</v>
      </c>
      <c r="E412" s="3" t="str">
        <f>IF(ISNA(VLOOKUP(D412,'&lt;Constants&gt;'!$B$4:$C$44,2,FALSE)),"",VLOOKUP(D412,'&lt;Constants&gt;'!$B$4:$C$44,2,FALSE))</f>
        <v>Harrowstorm</v>
      </c>
    </row>
    <row r="413" spans="1:5" x14ac:dyDescent="0.25">
      <c r="A413" s="5">
        <v>472</v>
      </c>
      <c r="B413" s="8" t="str">
        <f>VLOOKUP(A413,'Sets (lua data)'!$A$3:$C$9920,3,FALSE)</f>
        <v>Titanborn Strength</v>
      </c>
      <c r="C413" s="8" t="str">
        <f>VLOOKUP(A413,'Sets (lua data)'!$A$3:$C$9920,2,FALSE)</f>
        <v>Titanenkinds Stärke</v>
      </c>
      <c r="D413" t="s">
        <v>1618</v>
      </c>
      <c r="E413" s="3" t="str">
        <f>IF(ISNA(VLOOKUP(D413,'&lt;Constants&gt;'!$B$4:$C$44,2,FALSE)),"",VLOOKUP(D413,'&lt;Constants&gt;'!$B$4:$C$44,2,FALSE))</f>
        <v>Harrowstorm</v>
      </c>
    </row>
    <row r="414" spans="1:5" x14ac:dyDescent="0.25">
      <c r="A414" s="5">
        <v>473</v>
      </c>
      <c r="B414" s="8" t="str">
        <f>VLOOKUP(A414,'Sets (lua data)'!$A$3:$C$9920,3,FALSE)</f>
        <v>Bani\'s Torment</v>
      </c>
      <c r="C414" s="8" t="str">
        <f>VLOOKUP(A414,'Sets (lua data)'!$A$3:$C$9920,2,FALSE)</f>
        <v>Banis Qual</v>
      </c>
      <c r="D414" t="s">
        <v>1618</v>
      </c>
      <c r="E414" s="3" t="str">
        <f>IF(ISNA(VLOOKUP(D414,'&lt;Constants&gt;'!$B$4:$C$44,2,FALSE)),"",VLOOKUP(D414,'&lt;Constants&gt;'!$B$4:$C$44,2,FALSE))</f>
        <v>Harrowstorm</v>
      </c>
    </row>
    <row r="415" spans="1:5" x14ac:dyDescent="0.25">
      <c r="A415" s="5">
        <v>474</v>
      </c>
      <c r="B415" s="8" t="str">
        <f>VLOOKUP(A415,'Sets (lua data)'!$A$3:$C$9920,3,FALSE)</f>
        <v>Draugrkin\'s Grip</v>
      </c>
      <c r="C415" s="8" t="str">
        <f>VLOOKUP(A415,'Sets (lua data)'!$A$3:$C$9920,2,FALSE)</f>
        <v>Griff der Draugrbrut</v>
      </c>
      <c r="D415" t="s">
        <v>1618</v>
      </c>
      <c r="E415" s="3" t="str">
        <f>IF(ISNA(VLOOKUP(D415,'&lt;Constants&gt;'!$B$4:$C$44,2,FALSE)),"",VLOOKUP(D415,'&lt;Constants&gt;'!$B$4:$C$44,2,FALSE))</f>
        <v>Harrowstorm</v>
      </c>
    </row>
    <row r="416" spans="1:5" x14ac:dyDescent="0.25">
      <c r="A416" s="5">
        <v>475</v>
      </c>
      <c r="B416" s="8" t="str">
        <f>VLOOKUP(A416,'Sets (lua data)'!$A$3:$C$9920,3,FALSE)</f>
        <v>Aegis Caller</v>
      </c>
      <c r="C416" s="8" t="str">
        <f>VLOOKUP(A416,'Sets (lua data)'!$A$3:$C$9920,2,FALSE)</f>
        <v>Ägisrufer</v>
      </c>
      <c r="D416" t="s">
        <v>1618</v>
      </c>
      <c r="E416" s="3" t="str">
        <f>IF(ISNA(VLOOKUP(D416,'&lt;Constants&gt;'!$B$4:$C$44,2,FALSE)),"",VLOOKUP(D416,'&lt;Constants&gt;'!$B$4:$C$44,2,FALSE))</f>
        <v>Harrowstorm</v>
      </c>
    </row>
    <row r="417" spans="1:6" x14ac:dyDescent="0.25">
      <c r="A417" s="5">
        <v>476</v>
      </c>
      <c r="B417" s="8" t="str">
        <f>VLOOKUP(A417,'Sets (lua data)'!$A$3:$C$9920,3,FALSE)</f>
        <v>Grave Guardian </v>
      </c>
      <c r="C417" s="8" t="str">
        <f>VLOOKUP(A417,'Sets (lua data)'!$A$3:$C$9920,2,FALSE)</f>
        <v>Grabwächter</v>
      </c>
      <c r="D417" t="s">
        <v>1618</v>
      </c>
      <c r="E417" s="3" t="str">
        <f>IF(ISNA(VLOOKUP(D417,'&lt;Constants&gt;'!$B$4:$C$44,2,FALSE)),"",VLOOKUP(D417,'&lt;Constants&gt;'!$B$4:$C$44,2,FALSE))</f>
        <v>Harrowstorm</v>
      </c>
    </row>
    <row r="418" spans="1:6" x14ac:dyDescent="0.25">
      <c r="A418" s="5">
        <v>478</v>
      </c>
      <c r="B418" s="8" t="str">
        <f>VLOOKUP(A418,'Sets (lua data)'!$A$3:$C$9920,3,FALSE)</f>
        <v>Mother Ciannait</v>
      </c>
      <c r="C418" s="8" t="str">
        <f>VLOOKUP(A418,'Sets (lua data)'!$A$3:$C$9920,2,FALSE)</f>
        <v>Mutter Ciannait</v>
      </c>
      <c r="D418" t="s">
        <v>1618</v>
      </c>
      <c r="E418" s="3" t="str">
        <f>IF(ISNA(VLOOKUP(D418,'&lt;Constants&gt;'!$B$4:$C$44,2,FALSE)),"",VLOOKUP(D418,'&lt;Constants&gt;'!$B$4:$C$44,2,FALSE))</f>
        <v>Harrowstorm</v>
      </c>
    </row>
    <row r="419" spans="1:6" x14ac:dyDescent="0.25">
      <c r="A419" s="5">
        <v>479</v>
      </c>
      <c r="B419" s="8" t="str">
        <f>VLOOKUP(A419,'Sets (lua data)'!$A$3:$C$9920,3,FALSE)</f>
        <v>Kjalnar\'s Nightmare</v>
      </c>
      <c r="C419" s="8" t="str">
        <f>VLOOKUP(A419,'Sets (lua data)'!$A$3:$C$9920,2,FALSE)</f>
        <v>Kjalnar\'s Albtraum</v>
      </c>
      <c r="D419" t="s">
        <v>1618</v>
      </c>
      <c r="E419" s="3" t="str">
        <f>IF(ISNA(VLOOKUP(D419,'&lt;Constants&gt;'!$B$4:$C$44,2,FALSE)),"",VLOOKUP(D419,'&lt;Constants&gt;'!$B$4:$C$44,2,FALSE))</f>
        <v>Harrowstorm</v>
      </c>
    </row>
    <row r="420" spans="1:6" x14ac:dyDescent="0.25">
      <c r="A420" s="5">
        <v>480</v>
      </c>
      <c r="B420" s="8" t="str">
        <f>VLOOKUP(A420,'Sets (lua data)'!$A$3:$C$9920,3,FALSE)</f>
        <v>Critical Riposte</v>
      </c>
      <c r="C420" s="8" t="str">
        <f>VLOOKUP(A420,'Sets (lua data)'!$A$3:$C$9920,2,FALSE)</f>
        <v>Kritischer Konter</v>
      </c>
      <c r="D420" t="s">
        <v>1420</v>
      </c>
      <c r="E420" s="3" t="str">
        <f>IF(ISNA(VLOOKUP(D420,'&lt;Constants&gt;'!$B$4:$C$44,2,FALSE)),"",VLOOKUP(D420,'&lt;Constants&gt;'!$B$4:$C$44,2,FALSE))</f>
        <v>Included in base game</v>
      </c>
    </row>
    <row r="421" spans="1:6" x14ac:dyDescent="0.25">
      <c r="A421" s="5">
        <v>481</v>
      </c>
      <c r="B421" s="8" t="str">
        <f>VLOOKUP(A421,'Sets (lua data)'!$A$3:$C$9920,3,FALSE)</f>
        <v>Unchained Aggressor</v>
      </c>
      <c r="C421" s="8" t="str">
        <f>VLOOKUP(A421,'Sets (lua data)'!$A$3:$C$9920,2,FALSE)</f>
        <v>Entfesselter Aggressor</v>
      </c>
      <c r="D421" t="s">
        <v>1420</v>
      </c>
      <c r="E421" s="3" t="str">
        <f>IF(ISNA(VLOOKUP(D421,'&lt;Constants&gt;'!$B$4:$C$44,2,FALSE)),"",VLOOKUP(D421,'&lt;Constants&gt;'!$B$4:$C$44,2,FALSE))</f>
        <v>Included in base game</v>
      </c>
    </row>
    <row r="422" spans="1:6" x14ac:dyDescent="0.25">
      <c r="A422" s="5">
        <v>482</v>
      </c>
      <c r="B422" s="8" t="str">
        <f>VLOOKUP(A422,'Sets (lua data)'!$A$3:$C$9920,3,FALSE)</f>
        <v>Dauntless Combatant</v>
      </c>
      <c r="C422" s="8" t="str">
        <f>VLOOKUP(A422,'Sets (lua data)'!$A$3:$C$9920,2,FALSE)</f>
        <v>Furchtloser Kombattant</v>
      </c>
      <c r="D422" t="s">
        <v>1420</v>
      </c>
      <c r="E422" s="3" t="str">
        <f>IF(ISNA(VLOOKUP(D422,'&lt;Constants&gt;'!$B$4:$C$44,2,FALSE)),"",VLOOKUP(D422,'&lt;Constants&gt;'!$B$4:$C$44,2,FALSE))</f>
        <v>Included in base game</v>
      </c>
    </row>
    <row r="423" spans="1:6" x14ac:dyDescent="0.25">
      <c r="A423" s="121">
        <v>483</v>
      </c>
      <c r="B423" s="47" t="str">
        <f>VLOOKUP(A423,'Sets (lua data)'!$A$3:$C$9920,3,FALSE)</f>
        <v>Template_Drop_Magi</v>
      </c>
      <c r="C423" s="47" t="str">
        <f>VLOOKUP(A423,'Sets (lua data)'!$A$3:$C$9920,2,FALSE)</f>
        <v>Template_Drop_Magi</v>
      </c>
      <c r="E423" s="3" t="str">
        <f>IF(ISNA(VLOOKUP(D423,'&lt;Constants&gt;'!$B$4:$C$44,2,FALSE)),"",VLOOKUP(D423,'&lt;Constants&gt;'!$B$4:$C$44,2,FALSE))</f>
        <v/>
      </c>
      <c r="F423" t="s">
        <v>4224</v>
      </c>
    </row>
    <row r="424" spans="1:6" x14ac:dyDescent="0.25">
      <c r="A424" s="121">
        <v>484</v>
      </c>
      <c r="B424" s="47" t="str">
        <f>VLOOKUP(A424,'Sets (lua data)'!$A$3:$C$9920,3,FALSE)</f>
        <v>Template_Drop_Stamina</v>
      </c>
      <c r="C424" s="47" t="str">
        <f>VLOOKUP(A424,'Sets (lua data)'!$A$3:$C$9920,2,FALSE)</f>
        <v>Template_Drop_Stamina</v>
      </c>
      <c r="E424" s="3" t="str">
        <f>IF(ISNA(VLOOKUP(D424,'&lt;Constants&gt;'!$B$4:$C$44,2,FALSE)),"",VLOOKUP(D424,'&lt;Constants&gt;'!$B$4:$C$44,2,FALSE))</f>
        <v/>
      </c>
      <c r="F424" t="s">
        <v>4224</v>
      </c>
    </row>
    <row r="425" spans="1:6" x14ac:dyDescent="0.25">
      <c r="A425" s="121">
        <v>485</v>
      </c>
      <c r="B425" s="47" t="str">
        <f>VLOOKUP(A425,'Sets (lua data)'!$A$3:$C$9920,3,FALSE)</f>
        <v>Template_Drop_Tank</v>
      </c>
      <c r="C425" s="47" t="str">
        <f>VLOOKUP(A425,'Sets (lua data)'!$A$3:$C$9920,2,FALSE)</f>
        <v>Template_Drop_Tank</v>
      </c>
      <c r="E425" s="3" t="str">
        <f>IF(ISNA(VLOOKUP(D425,'&lt;Constants&gt;'!$B$4:$C$44,2,FALSE)),"",VLOOKUP(D425,'&lt;Constants&gt;'!$B$4:$C$44,2,FALSE))</f>
        <v/>
      </c>
      <c r="F425" t="s">
        <v>4224</v>
      </c>
    </row>
    <row r="426" spans="1:6" x14ac:dyDescent="0.25">
      <c r="A426" s="121">
        <v>486</v>
      </c>
      <c r="B426" s="47" t="str">
        <f>VLOOKUP(A426,'Sets (lua data)'!$A$3:$C$9920,3,FALSE)</f>
        <v>Template_Drop_Healer</v>
      </c>
      <c r="C426" s="47" t="str">
        <f>VLOOKUP(A426,'Sets (lua data)'!$A$3:$C$9920,2,FALSE)</f>
        <v>Template_Drop_Healer</v>
      </c>
      <c r="D426" s="101"/>
      <c r="E426" s="3" t="str">
        <f>IF(ISNA(VLOOKUP(D426,'&lt;Constants&gt;'!$B$4:$C$44,2,FALSE)),"",VLOOKUP(D426,'&lt;Constants&gt;'!$B$4:$C$44,2,FALSE))</f>
        <v/>
      </c>
      <c r="F426" t="s">
        <v>4224</v>
      </c>
    </row>
    <row r="427" spans="1:6" x14ac:dyDescent="0.25">
      <c r="A427" s="5">
        <v>487</v>
      </c>
      <c r="B427" s="8" t="str">
        <f>VLOOKUP(A427,'Sets (lua data)'!$A$3:$C$9920,3,FALSE)</f>
        <v>Winter\'s Respite</v>
      </c>
      <c r="C427" s="8" t="str">
        <f>VLOOKUP(A427,'Sets (lua data)'!$A$3:$C$9920,2,FALSE)</f>
        <v>Winterruhe</v>
      </c>
      <c r="D427" t="s">
        <v>1586</v>
      </c>
      <c r="E427" s="3" t="str">
        <f>IF(ISNA(VLOOKUP(D427,'&lt;Constants&gt;'!$B$4:$C$44,2,FALSE)),"",VLOOKUP(D427,'&lt;Constants&gt;'!$B$4:$C$44,2,FALSE))</f>
        <v>Greymoor</v>
      </c>
    </row>
    <row r="428" spans="1:6" x14ac:dyDescent="0.25">
      <c r="A428" s="5">
        <v>488</v>
      </c>
      <c r="B428" s="8" t="str">
        <f>VLOOKUP(A428,'Sets (lua data)'!$A$3:$C$9920,3,FALSE)</f>
        <v>Venomous Smite</v>
      </c>
      <c r="C428" s="8" t="str">
        <f>VLOOKUP(A428,'Sets (lua data)'!$A$3:$C$9920,2,FALSE)</f>
        <v>Giftschlag</v>
      </c>
      <c r="D428" s="101" t="s">
        <v>1586</v>
      </c>
      <c r="E428" s="3" t="str">
        <f>IF(ISNA(VLOOKUP(D428,'&lt;Constants&gt;'!$B$4:$C$44,2,FALSE)),"",VLOOKUP(D428,'&lt;Constants&gt;'!$B$4:$C$44,2,FALSE))</f>
        <v>Greymoor</v>
      </c>
    </row>
    <row r="429" spans="1:6" x14ac:dyDescent="0.25">
      <c r="A429" s="5">
        <v>489</v>
      </c>
      <c r="B429" s="8" t="str">
        <f>VLOOKUP(A429,'Sets (lua data)'!$A$3:$C$9920,3,FALSE)</f>
        <v>Eternal Vigor</v>
      </c>
      <c r="C429" s="8" t="str">
        <f>VLOOKUP(A429,'Sets (lua data)'!$A$3:$C$9920,2,FALSE)</f>
        <v>Ewiger Elan</v>
      </c>
      <c r="D429" t="s">
        <v>1586</v>
      </c>
      <c r="E429" s="3" t="str">
        <f>IF(ISNA(VLOOKUP(D429,'&lt;Constants&gt;'!$B$4:$C$44,2,FALSE)),"",VLOOKUP(D429,'&lt;Constants&gt;'!$B$4:$C$44,2,FALSE))</f>
        <v>Greymoor</v>
      </c>
    </row>
    <row r="430" spans="1:6" x14ac:dyDescent="0.25">
      <c r="A430" s="5">
        <v>490</v>
      </c>
      <c r="B430" s="8" t="str">
        <f>VLOOKUP(A430,'Sets (lua data)'!$A$3:$C$9920,3,FALSE)</f>
        <v>Stuhn\'s Favor</v>
      </c>
      <c r="C430" s="8" t="str">
        <f>VLOOKUP(A430,'Sets (lua data)'!$A$3:$C$9920,2,FALSE)</f>
        <v>Stuhns Gunst</v>
      </c>
      <c r="D430" t="s">
        <v>1586</v>
      </c>
      <c r="E430" s="3" t="str">
        <f>IF(ISNA(VLOOKUP(D430,'&lt;Constants&gt;'!$B$4:$C$44,2,FALSE)),"",VLOOKUP(D430,'&lt;Constants&gt;'!$B$4:$C$44,2,FALSE))</f>
        <v>Greymoor</v>
      </c>
    </row>
    <row r="431" spans="1:6" x14ac:dyDescent="0.25">
      <c r="A431" s="5">
        <v>491</v>
      </c>
      <c r="B431" s="8" t="str">
        <f>VLOOKUP(A431,'Sets (lua data)'!$A$3:$C$9920,3,FALSE)</f>
        <v>Dragon\'s Appetite</v>
      </c>
      <c r="C431" s="8" t="str">
        <f>VLOOKUP(A431,'Sets (lua data)'!$A$3:$C$9920,2,FALSE)</f>
        <v>Appetit des Drachen</v>
      </c>
      <c r="D431" t="s">
        <v>1586</v>
      </c>
      <c r="E431" s="3" t="str">
        <f>IF(ISNA(VLOOKUP(D431,'&lt;Constants&gt;'!$B$4:$C$44,2,FALSE)),"",VLOOKUP(D431,'&lt;Constants&gt;'!$B$4:$C$44,2,FALSE))</f>
        <v>Greymoor</v>
      </c>
    </row>
    <row r="432" spans="1:6" x14ac:dyDescent="0.25">
      <c r="A432" s="5">
        <v>492</v>
      </c>
      <c r="B432" s="8" t="str">
        <f>VLOOKUP(A432,'Sets (lua data)'!$A$3:$C$9920,3,FALSE)</f>
        <v>Kyne\'s Wind</v>
      </c>
      <c r="C432" s="8" t="str">
        <f>VLOOKUP(A432,'Sets (lua data)'!$A$3:$C$9920,2,FALSE)</f>
        <v>Kynes Wind</v>
      </c>
      <c r="D432" t="s">
        <v>1586</v>
      </c>
      <c r="E432" s="3" t="str">
        <f>IF(ISNA(VLOOKUP(D432,'&lt;Constants&gt;'!$B$4:$C$44,2,FALSE)),"",VLOOKUP(D432,'&lt;Constants&gt;'!$B$4:$C$44,2,FALSE))</f>
        <v>Greymoor</v>
      </c>
    </row>
    <row r="433" spans="1:6" x14ac:dyDescent="0.25">
      <c r="A433" s="5">
        <v>493</v>
      </c>
      <c r="B433" s="8" t="str">
        <f>VLOOKUP(A433,'Sets (lua data)'!$A$3:$C$9920,3,FALSE)</f>
        <v>Perfected Kyne\'s Wind</v>
      </c>
      <c r="C433" s="8" t="str">
        <f>VLOOKUP(A433,'Sets (lua data)'!$A$3:$C$9920,2,FALSE)</f>
        <v>Kynes perfektionierter Wind</v>
      </c>
      <c r="D433" t="s">
        <v>1586</v>
      </c>
      <c r="E433" s="3" t="str">
        <f>IF(ISNA(VLOOKUP(D433,'&lt;Constants&gt;'!$B$4:$C$44,2,FALSE)),"",VLOOKUP(D433,'&lt;Constants&gt;'!$B$4:$C$44,2,FALSE))</f>
        <v>Greymoor</v>
      </c>
    </row>
    <row r="434" spans="1:6" x14ac:dyDescent="0.25">
      <c r="A434" s="5">
        <v>494</v>
      </c>
      <c r="B434" s="8" t="str">
        <f>VLOOKUP(A434,'Sets (lua data)'!$A$3:$C$9920,3,FALSE)</f>
        <v>Vrol\'s Command</v>
      </c>
      <c r="C434" s="8" t="str">
        <f>VLOOKUP(A434,'Sets (lua data)'!$A$3:$C$9920,2,FALSE)</f>
        <v>Vrols Befehl</v>
      </c>
      <c r="D434" t="s">
        <v>1586</v>
      </c>
      <c r="E434" s="3" t="str">
        <f>IF(ISNA(VLOOKUP(D434,'&lt;Constants&gt;'!$B$4:$C$44,2,FALSE)),"",VLOOKUP(D434,'&lt;Constants&gt;'!$B$4:$C$44,2,FALSE))</f>
        <v>Greymoor</v>
      </c>
    </row>
    <row r="435" spans="1:6" x14ac:dyDescent="0.25">
      <c r="A435" s="5">
        <v>495</v>
      </c>
      <c r="B435" s="8" t="str">
        <f>VLOOKUP(A435,'Sets (lua data)'!$A$3:$C$9920,3,FALSE)</f>
        <v>Perfected Vrol\'s Command</v>
      </c>
      <c r="C435" s="8" t="str">
        <f>VLOOKUP(A435,'Sets (lua data)'!$A$3:$C$9920,2,FALSE)</f>
        <v>Vrols perfektionierter Befehl</v>
      </c>
      <c r="D435" t="s">
        <v>1586</v>
      </c>
      <c r="E435" s="3" t="str">
        <f>IF(ISNA(VLOOKUP(D435,'&lt;Constants&gt;'!$B$4:$C$44,2,FALSE)),"",VLOOKUP(D435,'&lt;Constants&gt;'!$B$4:$C$44,2,FALSE))</f>
        <v>Greymoor</v>
      </c>
    </row>
    <row r="436" spans="1:6" x14ac:dyDescent="0.25">
      <c r="A436" s="5">
        <v>496</v>
      </c>
      <c r="B436" s="8" t="str">
        <f>VLOOKUP(A436,'Sets (lua data)'!$A$3:$C$9920,3,FALSE)</f>
        <v>Roaring Opportunist</v>
      </c>
      <c r="C436" s="8" t="str">
        <f>VLOOKUP(A436,'Sets (lua data)'!$A$3:$C$9920,2,FALSE)</f>
        <v>Brüllender Opportunist</v>
      </c>
      <c r="D436" t="s">
        <v>1586</v>
      </c>
      <c r="E436" s="3" t="str">
        <f>IF(ISNA(VLOOKUP(D436,'&lt;Constants&gt;'!$B$4:$C$44,2,FALSE)),"",VLOOKUP(D436,'&lt;Constants&gt;'!$B$4:$C$44,2,FALSE))</f>
        <v>Greymoor</v>
      </c>
    </row>
    <row r="437" spans="1:6" x14ac:dyDescent="0.25">
      <c r="A437" s="5">
        <v>497</v>
      </c>
      <c r="B437" s="8" t="str">
        <f>VLOOKUP(A437,'Sets (lua data)'!$A$3:$C$9920,3,FALSE)</f>
        <v>Perfected Roaring Opportunist</v>
      </c>
      <c r="C437" s="8" t="str">
        <f>VLOOKUP(A437,'Sets (lua data)'!$A$3:$C$9920,2,FALSE)</f>
        <v>Perfektionierter brüllender Opportunist</v>
      </c>
      <c r="D437" t="s">
        <v>1586</v>
      </c>
      <c r="E437" s="3" t="str">
        <f>IF(ISNA(VLOOKUP(D437,'&lt;Constants&gt;'!$B$4:$C$44,2,FALSE)),"",VLOOKUP(D437,'&lt;Constants&gt;'!$B$4:$C$44,2,FALSE))</f>
        <v>Greymoor</v>
      </c>
    </row>
    <row r="438" spans="1:6" x14ac:dyDescent="0.25">
      <c r="A438" s="5">
        <v>498</v>
      </c>
      <c r="B438" s="8" t="str">
        <f>VLOOKUP(A438,'Sets (lua data)'!$A$3:$C$9920,3,FALSE)</f>
        <v>Yandir\'s Might</v>
      </c>
      <c r="C438" s="8" t="str">
        <f>VLOOKUP(A438,'Sets (lua data)'!$A$3:$C$9920,2,FALSE)</f>
        <v>Yandirs Macht</v>
      </c>
      <c r="D438" t="s">
        <v>1586</v>
      </c>
      <c r="E438" s="3" t="str">
        <f>IF(ISNA(VLOOKUP(D438,'&lt;Constants&gt;'!$B$4:$C$44,2,FALSE)),"",VLOOKUP(D438,'&lt;Constants&gt;'!$B$4:$C$44,2,FALSE))</f>
        <v>Greymoor</v>
      </c>
    </row>
    <row r="439" spans="1:6" x14ac:dyDescent="0.25">
      <c r="A439" s="5">
        <v>499</v>
      </c>
      <c r="B439" s="8" t="str">
        <f>VLOOKUP(A439,'Sets (lua data)'!$A$3:$C$9920,3,FALSE)</f>
        <v>Perfected Yandir\'s Might</v>
      </c>
      <c r="C439" s="8" t="str">
        <f>VLOOKUP(A439,'Sets (lua data)'!$A$3:$C$9920,2,FALSE)</f>
        <v>Yandirs perfektionierte Macht</v>
      </c>
      <c r="D439" t="s">
        <v>1586</v>
      </c>
      <c r="E439" s="3" t="str">
        <f>IF(ISNA(VLOOKUP(D439,'&lt;Constants&gt;'!$B$4:$C$44,2,FALSE)),"",VLOOKUP(D439,'&lt;Constants&gt;'!$B$4:$C$44,2,FALSE))</f>
        <v>Greymoor</v>
      </c>
    </row>
    <row r="440" spans="1:6" x14ac:dyDescent="0.25">
      <c r="A440" s="5">
        <v>500</v>
      </c>
      <c r="B440" s="47" t="str">
        <f>VLOOKUP(A440,'Sets (lua data)'!$A$3:$C$9920,3,FALSE)</f>
        <v>Bloodlord\'s Embrace (OLD)</v>
      </c>
      <c r="C440" s="47" t="str">
        <f>VLOOKUP(A440,'Sets (lua data)'!$A$3:$C$9920,2,FALSE)</f>
        <v>Bloodlord's Embrace (OLD)</v>
      </c>
      <c r="D440" t="s">
        <v>1586</v>
      </c>
      <c r="E440" s="3" t="str">
        <f>IF(ISNA(VLOOKUP(D440,'&lt;Constants&gt;'!$B$4:$C$44,2,FALSE)),"",VLOOKUP(D440,'&lt;Constants&gt;'!$B$4:$C$44,2,FALSE))</f>
        <v>Greymoor</v>
      </c>
      <c r="F440" t="s">
        <v>4281</v>
      </c>
    </row>
    <row r="441" spans="1:6" x14ac:dyDescent="0.25">
      <c r="A441" s="5">
        <v>501</v>
      </c>
      <c r="B441" s="8" t="str">
        <f>VLOOKUP(A441,'Sets (lua data)'!$A$3:$C$9920,3,FALSE)</f>
        <v>Thrassian Stranglers</v>
      </c>
      <c r="C441" s="8" t="str">
        <f>VLOOKUP(A441,'Sets (lua data)'!$A$3:$C$9920,2,FALSE)</f>
        <v>Thrassische Würger</v>
      </c>
      <c r="D441" t="s">
        <v>1586</v>
      </c>
      <c r="E441" s="3" t="str">
        <f>IF(ISNA(VLOOKUP(D441,'&lt;Constants&gt;'!$B$4:$C$44,2,FALSE)),"",VLOOKUP(D441,'&lt;Constants&gt;'!$B$4:$C$44,2,FALSE))</f>
        <v>Greymoor</v>
      </c>
    </row>
    <row r="442" spans="1:6" x14ac:dyDescent="0.25">
      <c r="A442" s="5">
        <v>502</v>
      </c>
      <c r="B442" s="47" t="str">
        <f>VLOOKUP(A442,'Sets (lua data)'!$A$3:$C$9920,3,FALSE)</f>
        <v>Snow Treaders (OLD)</v>
      </c>
      <c r="C442" s="47" t="str">
        <f>VLOOKUP(A442,'Sets (lua data)'!$A$3:$C$9920,2,FALSE)</f>
        <v>Snow Treaders (OLD)</v>
      </c>
      <c r="D442" t="s">
        <v>1586</v>
      </c>
      <c r="E442" s="3" t="str">
        <f>IF(ISNA(VLOOKUP(D442,'&lt;Constants&gt;'!$B$4:$C$44,2,FALSE)),"",VLOOKUP(D442,'&lt;Constants&gt;'!$B$4:$C$44,2,FALSE))</f>
        <v>Greymoor</v>
      </c>
      <c r="F442" t="s">
        <v>4280</v>
      </c>
    </row>
    <row r="443" spans="1:6" x14ac:dyDescent="0.25">
      <c r="A443" s="5">
        <v>503</v>
      </c>
      <c r="B443" s="8" t="str">
        <f>VLOOKUP(A443,'Sets (lua data)'!$A$3:$C$9920,3,FALSE)</f>
        <v>Ring of the Wild Hunt</v>
      </c>
      <c r="C443" s="8" t="str">
        <f>VLOOKUP(A443,'Sets (lua data)'!$A$3:$C$9920,2,FALSE)</f>
        <v>Ring der Wilden Jagd</v>
      </c>
      <c r="D443" t="s">
        <v>1586</v>
      </c>
      <c r="E443" s="3" t="str">
        <f>IF(ISNA(VLOOKUP(D443,'&lt;Constants&gt;'!$B$4:$C$44,2,FALSE)),"",VLOOKUP(D443,'&lt;Constants&gt;'!$B$4:$C$44,2,FALSE))</f>
        <v>Greymoor</v>
      </c>
    </row>
    <row r="444" spans="1:6" x14ac:dyDescent="0.25">
      <c r="A444" s="5">
        <v>504</v>
      </c>
      <c r="B444" s="8" t="str">
        <f>VLOOKUP(A444,'Sets (lua data)'!$A$3:$C$9920,3,FALSE)</f>
        <v>Malacath\'s Band of Brutality X</v>
      </c>
      <c r="C444" s="8" t="str">
        <f>VLOOKUP(A444,'Sets (lua data)'!$A$3:$C$9920,2,FALSE)</f>
        <v>Malacath's Band der Brutalität X</v>
      </c>
      <c r="D444" t="s">
        <v>1586</v>
      </c>
      <c r="E444" s="3" t="str">
        <f>IF(ISNA(VLOOKUP(D444,'&lt;Constants&gt;'!$B$4:$C$44,2,FALSE)),"",VLOOKUP(D444,'&lt;Constants&gt;'!$B$4:$C$44,2,FALSE))</f>
        <v>Greymoor</v>
      </c>
    </row>
    <row r="445" spans="1:6" x14ac:dyDescent="0.25">
      <c r="A445" s="5">
        <v>505</v>
      </c>
      <c r="B445" s="8" t="str">
        <f>VLOOKUP(A445,'Sets (lua data)'!$A$3:$C$9920,3,FALSE)</f>
        <v>Torc of Tonal Constancy</v>
      </c>
      <c r="C445" s="8" t="str">
        <f>VLOOKUP(A445,'Sets (lua data)'!$A$3:$C$9920,2,FALSE)</f>
        <v>Torques der Klangkonstanz</v>
      </c>
      <c r="D445" t="s">
        <v>1586</v>
      </c>
      <c r="E445" s="3" t="str">
        <f>IF(ISNA(VLOOKUP(D445,'&lt;Constants&gt;'!$B$4:$C$44,2,FALSE)),"",VLOOKUP(D445,'&lt;Constants&gt;'!$B$4:$C$44,2,FALSE))</f>
        <v>Greymoor</v>
      </c>
    </row>
    <row r="446" spans="1:6" x14ac:dyDescent="0.25">
      <c r="A446" s="5">
        <v>506</v>
      </c>
      <c r="B446" s="8" t="str">
        <f>VLOOKUP(A446,'Sets (lua data)'!$A$3:$C$9920,3,FALSE)</f>
        <v>Spell Parasite</v>
      </c>
      <c r="C446" s="8" t="str">
        <f>VLOOKUP(A446,'Sets (lua data)'!$A$3:$C$9920,2,FALSE)</f>
        <v>Magieparasit</v>
      </c>
      <c r="D446" t="s">
        <v>1586</v>
      </c>
      <c r="E446" s="3" t="str">
        <f>IF(ISNA(VLOOKUP(D446,'&lt;Constants&gt;'!$B$4:$C$44,2,FALSE)),"",VLOOKUP(D446,'&lt;Constants&gt;'!$B$4:$C$44,2,FALSE))</f>
        <v>Greymoor</v>
      </c>
    </row>
    <row r="447" spans="1:6" x14ac:dyDescent="0.25">
      <c r="A447" s="73">
        <v>509</v>
      </c>
      <c r="B447" s="8" t="str">
        <f>VLOOKUP(A447,'Sets (lua data)'!$A$3:$C$9920,3,FALSE)</f>
        <v>Template_Drop_Healer P</v>
      </c>
      <c r="C447" s="8" t="str">
        <f>VLOOKUP(A447,'Sets (lua data)'!$A$3:$C$9920,2,FALSE)</f>
        <v>Template_Drop_Healer P</v>
      </c>
      <c r="D447" t="s">
        <v>1420</v>
      </c>
      <c r="E447" s="3" t="str">
        <f>IF(ISNA(VLOOKUP(D447,'&lt;Constants&gt;'!$B$4:$C$44,2,FALSE)),"",VLOOKUP(D447,'&lt;Constants&gt;'!$B$4:$C$44,2,FALSE))</f>
        <v>Included in base game</v>
      </c>
    </row>
    <row r="448" spans="1:6" x14ac:dyDescent="0.25">
      <c r="A448" s="73">
        <v>510</v>
      </c>
      <c r="B448" s="8" t="str">
        <f>VLOOKUP(A448,'Sets (lua data)'!$A$3:$C$9920,3,FALSE)</f>
        <v>Template_Drop_Tank P</v>
      </c>
      <c r="C448" s="8" t="str">
        <f>VLOOKUP(A448,'Sets (lua data)'!$A$3:$C$9920,2,FALSE)</f>
        <v>Template_Drop_Tank P</v>
      </c>
      <c r="D448" t="s">
        <v>1420</v>
      </c>
      <c r="E448" s="3" t="str">
        <f>IF(ISNA(VLOOKUP(D448,'&lt;Constants&gt;'!$B$4:$C$44,2,FALSE)),"",VLOOKUP(D448,'&lt;Constants&gt;'!$B$4:$C$44,2,FALSE))</f>
        <v>Included in base game</v>
      </c>
    </row>
    <row r="449" spans="1:5" x14ac:dyDescent="0.25">
      <c r="A449" s="73">
        <v>511</v>
      </c>
      <c r="B449" s="8" t="str">
        <f>VLOOKUP(A449,'Sets (lua data)'!$A$3:$C$9920,3,FALSE)</f>
        <v>Template_Drop_Stamina P</v>
      </c>
      <c r="C449" s="8" t="str">
        <f>VLOOKUP(A449,'Sets (lua data)'!$A$3:$C$9920,2,FALSE)</f>
        <v>Template_Drop_Stamina P</v>
      </c>
      <c r="D449" t="s">
        <v>1420</v>
      </c>
      <c r="E449" s="3" t="str">
        <f>IF(ISNA(VLOOKUP(D449,'&lt;Constants&gt;'!$B$4:$C$44,2,FALSE)),"",VLOOKUP(D449,'&lt;Constants&gt;'!$B$4:$C$44,2,FALSE))</f>
        <v>Included in base game</v>
      </c>
    </row>
    <row r="450" spans="1:5" x14ac:dyDescent="0.25">
      <c r="A450" s="73">
        <v>512</v>
      </c>
      <c r="B450" s="8" t="str">
        <f>VLOOKUP(A450,'Sets (lua data)'!$A$3:$C$9920,3,FALSE)</f>
        <v>Template_Drop_Magi P</v>
      </c>
      <c r="C450" s="8" t="str">
        <f>VLOOKUP(A450,'Sets (lua data)'!$A$3:$C$9920,2,FALSE)</f>
        <v>Template_Drop_Magi P</v>
      </c>
      <c r="D450" t="s">
        <v>1420</v>
      </c>
      <c r="E450" s="3" t="str">
        <f>IF(ISNA(VLOOKUP(D450,'&lt;Constants&gt;'!$B$4:$C$44,2,FALSE)),"",VLOOKUP(D450,'&lt;Constants&gt;'!$B$4:$C$44,2,FALSE))</f>
        <v>Included in base game</v>
      </c>
    </row>
    <row r="451" spans="1:5" x14ac:dyDescent="0.25">
      <c r="A451" s="5">
        <v>513</v>
      </c>
      <c r="B451" s="8" t="str">
        <f>VLOOKUP(A451,'Sets (lua data)'!$A$3:$C$9920,3,FALSE)</f>
        <v>Talfyg\'s Treachery</v>
      </c>
      <c r="C451" s="8" t="str">
        <f>VLOOKUP(A451,'Sets (lua data)'!$A$3:$C$9920,2,FALSE)</f>
        <v>Talfygs Verrat</v>
      </c>
      <c r="D451" t="s">
        <v>1771</v>
      </c>
      <c r="E451" s="3" t="str">
        <f>IF(ISNA(VLOOKUP(D451,'&lt;Constants&gt;'!$B$4:$C$44,2,FALSE)),"",VLOOKUP(D451,'&lt;Constants&gt;'!$B$4:$C$44,2,FALSE))</f>
        <v>Stonethorn</v>
      </c>
    </row>
    <row r="452" spans="1:5" x14ac:dyDescent="0.25">
      <c r="A452" s="5">
        <v>514</v>
      </c>
      <c r="B452" s="8" t="str">
        <f>VLOOKUP(A452,'Sets (lua data)'!$A$3:$C$9920,3,FALSE)</f>
        <v>Unleashed Terror</v>
      </c>
      <c r="C452" s="8" t="str">
        <f>VLOOKUP(A452,'Sets (lua data)'!$A$3:$C$9920,2,FALSE)</f>
        <v>Entfesselter Schrecken</v>
      </c>
      <c r="D452" t="s">
        <v>1771</v>
      </c>
      <c r="E452" s="3" t="str">
        <f>IF(ISNA(VLOOKUP(D452,'&lt;Constants&gt;'!$B$4:$C$44,2,FALSE)),"",VLOOKUP(D452,'&lt;Constants&gt;'!$B$4:$C$44,2,FALSE))</f>
        <v>Stonethorn</v>
      </c>
    </row>
    <row r="453" spans="1:5" x14ac:dyDescent="0.25">
      <c r="A453" s="5">
        <v>515</v>
      </c>
      <c r="B453" s="8" t="str">
        <f>VLOOKUP(A453,'Sets (lua data)'!$A$3:$C$9920,3,FALSE)</f>
        <v>Crimson Twilight</v>
      </c>
      <c r="C453" s="8" t="str">
        <f>VLOOKUP(A453,'Sets (lua data)'!$A$3:$C$9920,2,FALSE)</f>
        <v>Scharlachrotes Zwielicht</v>
      </c>
      <c r="D453" t="s">
        <v>1771</v>
      </c>
      <c r="E453" s="3" t="str">
        <f>IF(ISNA(VLOOKUP(D453,'&lt;Constants&gt;'!$B$4:$C$44,2,FALSE)),"",VLOOKUP(D453,'&lt;Constants&gt;'!$B$4:$C$44,2,FALSE))</f>
        <v>Stonethorn</v>
      </c>
    </row>
    <row r="454" spans="1:5" x14ac:dyDescent="0.25">
      <c r="A454" s="5">
        <v>516</v>
      </c>
      <c r="B454" s="8" t="str">
        <f>VLOOKUP(A454,'Sets (lua data)'!$A$3:$C$9920,3,FALSE)</f>
        <v>Elemental Catalyst</v>
      </c>
      <c r="C454" s="8" t="str">
        <f>VLOOKUP(A454,'Sets (lua data)'!$A$3:$C$9920,2,FALSE)</f>
        <v>Elementarer Katalysator</v>
      </c>
      <c r="D454" t="s">
        <v>1771</v>
      </c>
      <c r="E454" s="3" t="str">
        <f>IF(ISNA(VLOOKUP(D454,'&lt;Constants&gt;'!$B$4:$C$44,2,FALSE)),"",VLOOKUP(D454,'&lt;Constants&gt;'!$B$4:$C$44,2,FALSE))</f>
        <v>Stonethorn</v>
      </c>
    </row>
    <row r="455" spans="1:5" x14ac:dyDescent="0.25">
      <c r="A455" s="5">
        <v>517</v>
      </c>
      <c r="B455" s="8" t="str">
        <f>VLOOKUP(A455,'Sets (lua data)'!$A$3:$C$9920,3,FALSE)</f>
        <v>Kraglen\'s Howl</v>
      </c>
      <c r="C455" s="8" t="str">
        <f>VLOOKUP(A455,'Sets (lua data)'!$A$3:$C$9920,2,FALSE)</f>
        <v>Kraglens Heulen</v>
      </c>
      <c r="D455" t="s">
        <v>1771</v>
      </c>
      <c r="E455" s="3" t="str">
        <f>IF(ISNA(VLOOKUP(D455,'&lt;Constants&gt;'!$B$4:$C$44,2,FALSE)),"",VLOOKUP(D455,'&lt;Constants&gt;'!$B$4:$C$44,2,FALSE))</f>
        <v>Stonethorn</v>
      </c>
    </row>
    <row r="456" spans="1:5" x14ac:dyDescent="0.25">
      <c r="A456" s="5">
        <v>518</v>
      </c>
      <c r="B456" s="8" t="str">
        <f>VLOOKUP(A456,'Sets (lua data)'!$A$3:$C$9920,3,FALSE)</f>
        <v>Arkasis\'s Genius</v>
      </c>
      <c r="C456" s="8" t="str">
        <f>VLOOKUP(A456,'Sets (lua data)'!$A$3:$C$9920,2,FALSE)</f>
        <v>Arkasis' Genie</v>
      </c>
      <c r="D456" t="s">
        <v>1771</v>
      </c>
      <c r="E456" s="3" t="str">
        <f>IF(ISNA(VLOOKUP(D456,'&lt;Constants&gt;'!$B$4:$C$44,2,FALSE)),"",VLOOKUP(D456,'&lt;Constants&gt;'!$B$4:$C$44,2,FALSE))</f>
        <v>Stonethorn</v>
      </c>
    </row>
    <row r="457" spans="1:5" x14ac:dyDescent="0.25">
      <c r="A457" s="5">
        <v>519</v>
      </c>
      <c r="B457" s="8" t="str">
        <f>VLOOKUP(A457,'Sets (lua data)'!$A$3:$C$9920,3,FALSE)</f>
        <v>Snow Treaders</v>
      </c>
      <c r="C457" s="8" t="str">
        <f>VLOOKUP(A457,'Sets (lua data)'!$A$3:$C$9920,2,FALSE)</f>
        <v>Schneetreter</v>
      </c>
      <c r="D457" t="s">
        <v>1586</v>
      </c>
      <c r="E457" s="3" t="str">
        <f>IF(ISNA(VLOOKUP(D457,'&lt;Constants&gt;'!$B$4:$C$44,2,FALSE)),"",VLOOKUP(D457,'&lt;Constants&gt;'!$B$4:$C$44,2,FALSE))</f>
        <v>Greymoor</v>
      </c>
    </row>
    <row r="458" spans="1:5" x14ac:dyDescent="0.25">
      <c r="A458" s="5">
        <v>520</v>
      </c>
      <c r="B458" s="8" t="str">
        <f>VLOOKUP(A458,'Sets (lua data)'!$A$3:$C$9920,3,FALSE)</f>
        <v>Malacath\'s Band of Brutality</v>
      </c>
      <c r="C458" s="8" t="str">
        <f>VLOOKUP(A458,'Sets (lua data)'!$A$3:$C$9920,2,FALSE)</f>
        <v>Malacaths Band der Brutalität</v>
      </c>
      <c r="D458" t="s">
        <v>1586</v>
      </c>
      <c r="E458" s="3" t="str">
        <f>IF(ISNA(VLOOKUP(D458,'&lt;Constants&gt;'!$B$4:$C$44,2,FALSE)),"",VLOOKUP(D458,'&lt;Constants&gt;'!$B$4:$C$44,2,FALSE))</f>
        <v>Greymoor</v>
      </c>
    </row>
    <row r="459" spans="1:5" x14ac:dyDescent="0.25">
      <c r="A459" s="5">
        <v>521</v>
      </c>
      <c r="B459" s="8" t="str">
        <f>VLOOKUP(A459,'Sets (lua data)'!$A$3:$C$9920,3,FALSE)</f>
        <v>Bloodlord\'s Embrace</v>
      </c>
      <c r="C459" s="8" t="str">
        <f>VLOOKUP(A459,'Sets (lua data)'!$A$3:$C$9920,2,FALSE)</f>
        <v>Umarmung des Blutfürsten</v>
      </c>
      <c r="D459" t="s">
        <v>1586</v>
      </c>
      <c r="E459" s="3" t="str">
        <f>IF(ISNA(VLOOKUP(D459,'&lt;Constants&gt;'!$B$4:$C$44,2,FALSE)),"",VLOOKUP(D459,'&lt;Constants&gt;'!$B$4:$C$44,2,FALSE))</f>
        <v>Greymoor</v>
      </c>
    </row>
    <row r="460" spans="1:5" x14ac:dyDescent="0.25">
      <c r="A460" s="5">
        <v>522</v>
      </c>
      <c r="B460" s="8" t="str">
        <f>VLOOKUP(A460,'Sets (lua data)'!$A$3:$C$9920,3,FALSE)</f>
        <v>Perfected Merciless Charge</v>
      </c>
      <c r="C460" s="8" t="str">
        <f>VLOOKUP(A460,'Sets (lua data)'!$A$3:$C$9920,2,FALSE)</f>
        <v>Perfektionierter gnadenloser Ansturm</v>
      </c>
      <c r="D460" t="s">
        <v>1422</v>
      </c>
      <c r="E460" s="3" t="str">
        <f>IF(ISNA(VLOOKUP(D460,'&lt;Constants&gt;'!$B$4:$C$44,2,FALSE)),"",VLOOKUP(D460,'&lt;Constants&gt;'!$B$4:$C$44,2,FALSE))</f>
        <v>Orsinium</v>
      </c>
    </row>
    <row r="461" spans="1:5" x14ac:dyDescent="0.25">
      <c r="A461" s="5">
        <v>523</v>
      </c>
      <c r="B461" s="8" t="str">
        <f>VLOOKUP(A461,'Sets (lua data)'!$A$3:$C$9920,3,FALSE)</f>
        <v>Perfected Rampaging Slash</v>
      </c>
      <c r="C461" s="8" t="str">
        <f>VLOOKUP(A461,'Sets (lua data)'!$A$3:$C$9920,2,FALSE)</f>
        <v>Perfektionierter tobender Schnitt</v>
      </c>
      <c r="D461" t="s">
        <v>1422</v>
      </c>
      <c r="E461" s="3" t="str">
        <f>IF(ISNA(VLOOKUP(D461,'&lt;Constants&gt;'!$B$4:$C$44,2,FALSE)),"",VLOOKUP(D461,'&lt;Constants&gt;'!$B$4:$C$44,2,FALSE))</f>
        <v>Orsinium</v>
      </c>
    </row>
    <row r="462" spans="1:5" x14ac:dyDescent="0.25">
      <c r="A462" s="5">
        <v>524</v>
      </c>
      <c r="B462" s="8" t="str">
        <f>VLOOKUP(A462,'Sets (lua data)'!$A$3:$C$9920,3,FALSE)</f>
        <v>Perfected Cruel Flurry</v>
      </c>
      <c r="C462" s="8" t="str">
        <f>VLOOKUP(A462,'Sets (lua data)'!$A$3:$C$9920,2,FALSE)</f>
        <v>Perfektionierter grausamer Schlaghagel</v>
      </c>
      <c r="D462" t="s">
        <v>1422</v>
      </c>
      <c r="E462" s="3" t="str">
        <f>IF(ISNA(VLOOKUP(D462,'&lt;Constants&gt;'!$B$4:$C$44,2,FALSE)),"",VLOOKUP(D462,'&lt;Constants&gt;'!$B$4:$C$44,2,FALSE))</f>
        <v>Orsinium</v>
      </c>
    </row>
    <row r="463" spans="1:5" x14ac:dyDescent="0.25">
      <c r="A463" s="5">
        <v>525</v>
      </c>
      <c r="B463" s="8" t="str">
        <f>VLOOKUP(A463,'Sets (lua data)'!$A$3:$C$9920,3,FALSE)</f>
        <v>Perfected Thunderous Volley</v>
      </c>
      <c r="C463" s="8" t="str">
        <f>VLOOKUP(A463,'Sets (lua data)'!$A$3:$C$9920,2,FALSE)</f>
        <v>Perfektionierte donnernde Salve</v>
      </c>
      <c r="D463" t="s">
        <v>1422</v>
      </c>
      <c r="E463" s="3" t="str">
        <f>IF(ISNA(VLOOKUP(D463,'&lt;Constants&gt;'!$B$4:$C$44,2,FALSE)),"",VLOOKUP(D463,'&lt;Constants&gt;'!$B$4:$C$44,2,FALSE))</f>
        <v>Orsinium</v>
      </c>
    </row>
    <row r="464" spans="1:5" x14ac:dyDescent="0.25">
      <c r="A464" s="5">
        <v>526</v>
      </c>
      <c r="B464" s="8" t="str">
        <f>VLOOKUP(A464,'Sets (lua data)'!$A$3:$C$9920,3,FALSE)</f>
        <v>Perfected Crushing Wall</v>
      </c>
      <c r="C464" s="8" t="str">
        <f>VLOOKUP(A464,'Sets (lua data)'!$A$3:$C$9920,2,FALSE)</f>
        <v>Perfektionierte zermalmende Mauer</v>
      </c>
      <c r="D464" t="s">
        <v>1422</v>
      </c>
      <c r="E464" s="3" t="str">
        <f>IF(ISNA(VLOOKUP(D464,'&lt;Constants&gt;'!$B$4:$C$44,2,FALSE)),"",VLOOKUP(D464,'&lt;Constants&gt;'!$B$4:$C$44,2,FALSE))</f>
        <v>Orsinium</v>
      </c>
    </row>
    <row r="465" spans="1:5" x14ac:dyDescent="0.25">
      <c r="A465" s="5">
        <v>527</v>
      </c>
      <c r="B465" s="8" t="str">
        <f>VLOOKUP(A465,'Sets (lua data)'!$A$3:$C$9920,3,FALSE)</f>
        <v>Perfected Precise Regeneration</v>
      </c>
      <c r="C465" s="8" t="str">
        <f>VLOOKUP(A465,'Sets (lua data)'!$A$3:$C$9920,2,FALSE)</f>
        <v>Perfektionierte präzise Regeneration</v>
      </c>
      <c r="D465" t="s">
        <v>1422</v>
      </c>
      <c r="E465" s="3" t="str">
        <f>IF(ISNA(VLOOKUP(D465,'&lt;Constants&gt;'!$B$4:$C$44,2,FALSE)),"",VLOOKUP(D465,'&lt;Constants&gt;'!$B$4:$C$44,2,FALSE))</f>
        <v>Orsinium</v>
      </c>
    </row>
    <row r="466" spans="1:5" x14ac:dyDescent="0.25">
      <c r="A466" s="5">
        <v>528</v>
      </c>
      <c r="B466" s="8" t="str">
        <f>VLOOKUP(A466,'Sets (lua data)'!$A$3:$C$9920,3,FALSE)</f>
        <v>Perfected Titanic Cleave</v>
      </c>
      <c r="C466" s="8" t="str">
        <f>VLOOKUP(A466,'Sets (lua data)'!$A$3:$C$9920,2,FALSE)</f>
        <v>Perfektioniertes titanisches Trennen</v>
      </c>
      <c r="D466" t="s">
        <v>1420</v>
      </c>
      <c r="E466" s="3" t="str">
        <f>IF(ISNA(VLOOKUP(D466,'&lt;Constants&gt;'!$B$4:$C$44,2,FALSE)),"",VLOOKUP(D466,'&lt;Constants&gt;'!$B$4:$C$44,2,FALSE))</f>
        <v>Included in base game</v>
      </c>
    </row>
    <row r="467" spans="1:5" x14ac:dyDescent="0.25">
      <c r="A467" s="5">
        <v>529</v>
      </c>
      <c r="B467" s="8" t="str">
        <f>VLOOKUP(A467,'Sets (lua data)'!$A$3:$C$9920,3,FALSE)</f>
        <v>Perfected Puncturing Remedy</v>
      </c>
      <c r="C467" s="8" t="str">
        <f>VLOOKUP(A467,'Sets (lua data)'!$A$3:$C$9920,2,FALSE)</f>
        <v>Perfektionierte durchschlagende Genesung</v>
      </c>
      <c r="D467" t="s">
        <v>1420</v>
      </c>
      <c r="E467" s="3" t="str">
        <f>IF(ISNA(VLOOKUP(D467,'&lt;Constants&gt;'!$B$4:$C$44,2,FALSE)),"",VLOOKUP(D467,'&lt;Constants&gt;'!$B$4:$C$44,2,FALSE))</f>
        <v>Included in base game</v>
      </c>
    </row>
    <row r="468" spans="1:5" x14ac:dyDescent="0.25">
      <c r="A468" s="5">
        <v>530</v>
      </c>
      <c r="B468" s="8" t="str">
        <f>VLOOKUP(A468,'Sets (lua data)'!$A$3:$C$9920,3,FALSE)</f>
        <v>Perfected Stinging Slashes</v>
      </c>
      <c r="C468" s="8" t="str">
        <f>VLOOKUP(A468,'Sets (lua data)'!$A$3:$C$9920,2,FALSE)</f>
        <v>Perfektionierte stechende Schnitte</v>
      </c>
      <c r="D468" t="s">
        <v>1420</v>
      </c>
      <c r="E468" s="3" t="str">
        <f>IF(ISNA(VLOOKUP(D468,'&lt;Constants&gt;'!$B$4:$C$44,2,FALSE)),"",VLOOKUP(D468,'&lt;Constants&gt;'!$B$4:$C$44,2,FALSE))</f>
        <v>Included in base game</v>
      </c>
    </row>
    <row r="469" spans="1:5" x14ac:dyDescent="0.25">
      <c r="A469" s="5">
        <v>531</v>
      </c>
      <c r="B469" s="8" t="str">
        <f>VLOOKUP(A469,'Sets (lua data)'!$A$3:$C$9920,3,FALSE)</f>
        <v>Perfected Caustic Arrow</v>
      </c>
      <c r="C469" s="8" t="str">
        <f>VLOOKUP(A469,'Sets (lua data)'!$A$3:$C$9920,2,FALSE)</f>
        <v>Perfektionierter beißender Pfeil</v>
      </c>
      <c r="D469" t="s">
        <v>1420</v>
      </c>
      <c r="E469" s="3" t="str">
        <f>IF(ISNA(VLOOKUP(D469,'&lt;Constants&gt;'!$B$4:$C$44,2,FALSE)),"",VLOOKUP(D469,'&lt;Constants&gt;'!$B$4:$C$44,2,FALSE))</f>
        <v>Included in base game</v>
      </c>
    </row>
    <row r="470" spans="1:5" x14ac:dyDescent="0.25">
      <c r="A470" s="5">
        <v>532</v>
      </c>
      <c r="B470" s="8" t="str">
        <f>VLOOKUP(A470,'Sets (lua data)'!$A$3:$C$9920,3,FALSE)</f>
        <v>Perfected Destructive Impact</v>
      </c>
      <c r="C470" s="8" t="str">
        <f>VLOOKUP(A470,'Sets (lua data)'!$A$3:$C$9920,2,FALSE)</f>
        <v>Perfektionierter zerstörerischer Einschlag</v>
      </c>
      <c r="D470" t="s">
        <v>1420</v>
      </c>
      <c r="E470" s="3" t="str">
        <f>IF(ISNA(VLOOKUP(D470,'&lt;Constants&gt;'!$B$4:$C$44,2,FALSE)),"",VLOOKUP(D470,'&lt;Constants&gt;'!$B$4:$C$44,2,FALSE))</f>
        <v>Included in base game</v>
      </c>
    </row>
    <row r="471" spans="1:5" x14ac:dyDescent="0.25">
      <c r="A471" s="5">
        <v>533</v>
      </c>
      <c r="B471" s="8" t="str">
        <f>VLOOKUP(A471,'Sets (lua data)'!$A$3:$C$9920,3,FALSE)</f>
        <v>Perfected Grand Rejuvenation</v>
      </c>
      <c r="C471" s="8" t="str">
        <f>VLOOKUP(A471,'Sets (lua data)'!$A$3:$C$9920,2,FALSE)</f>
        <v>Pefektionierte Große Verjüngung</v>
      </c>
      <c r="D471" t="s">
        <v>1420</v>
      </c>
      <c r="E471" s="3" t="str">
        <f>IF(ISNA(VLOOKUP(D471,'&lt;Constants&gt;'!$B$4:$C$44,2,FALSE)),"",VLOOKUP(D471,'&lt;Constants&gt;'!$B$4:$C$44,2,FALSE))</f>
        <v>Included in base game</v>
      </c>
    </row>
    <row r="472" spans="1:5" x14ac:dyDescent="0.25">
      <c r="A472" s="5">
        <v>534</v>
      </c>
      <c r="B472" s="8" t="str">
        <f>VLOOKUP(A472,'Sets (lua data)'!$A$3:$C$9920,3,FALSE)</f>
        <v>Stone Husk</v>
      </c>
      <c r="C472" s="8" t="str">
        <f>VLOOKUP(A472,'Sets (lua data)'!$A$3:$C$9920,2,FALSE)</f>
        <v>Steinhülle</v>
      </c>
      <c r="D472" t="s">
        <v>1771</v>
      </c>
      <c r="E472" s="3" t="str">
        <f>IF(ISNA(VLOOKUP(D472,'&lt;Constants&gt;'!$B$4:$C$44,2,FALSE)),"",VLOOKUP(D472,'&lt;Constants&gt;'!$B$4:$C$44,2,FALSE))</f>
        <v>Stonethorn</v>
      </c>
    </row>
    <row r="473" spans="1:5" x14ac:dyDescent="0.25">
      <c r="A473" s="5">
        <v>535</v>
      </c>
      <c r="B473" s="8" t="str">
        <f>VLOOKUP(A473,'Sets (lua data)'!$A$3:$C$9920,3,FALSE)</f>
        <v>Lady Thorn</v>
      </c>
      <c r="C473" s="8" t="str">
        <f>VLOOKUP(A473,'Sets (lua data)'!$A$3:$C$9920,2,FALSE)</f>
        <v>Fürstin Dorn</v>
      </c>
      <c r="D473" t="s">
        <v>1771</v>
      </c>
      <c r="E473" s="3" t="str">
        <f>IF(ISNA(VLOOKUP(D473,'&lt;Constants&gt;'!$B$4:$C$44,2,FALSE)),"",VLOOKUP(D473,'&lt;Constants&gt;'!$B$4:$C$44,2,FALSE))</f>
        <v>Stonethorn</v>
      </c>
    </row>
    <row r="474" spans="1:5" x14ac:dyDescent="0.25">
      <c r="A474" s="5">
        <v>536</v>
      </c>
      <c r="B474" s="8" t="str">
        <f>VLOOKUP(A474,'Sets (lua data)'!$A$3:$C$9920,3,FALSE)</f>
        <v>Radiant Bastion</v>
      </c>
      <c r="C474" s="8" t="str">
        <f>VLOOKUP(A474,'Sets (lua data)'!$A$3:$C$9920,2,FALSE)</f>
        <v>Strahlende Bastion</v>
      </c>
      <c r="D474" t="s">
        <v>2137</v>
      </c>
      <c r="E474" s="3" t="str">
        <f>IF(ISNA(VLOOKUP(D474,'&lt;Constants&gt;'!$B$4:$C$44,2,FALSE)),"",VLOOKUP(D474,'&lt;Constants&gt;'!$B$4:$C$44,2,FALSE))</f>
        <v>Markarth</v>
      </c>
    </row>
    <row r="475" spans="1:5" x14ac:dyDescent="0.25">
      <c r="A475" s="5">
        <v>537</v>
      </c>
      <c r="B475" s="8" t="str">
        <f>VLOOKUP(A475,'Sets (lua data)'!$A$3:$C$9920,3,FALSE)</f>
        <v>Voidcaller</v>
      </c>
      <c r="C475" s="8" t="str">
        <f>VLOOKUP(A475,'Sets (lua data)'!$A$3:$C$9920,2,FALSE)</f>
        <v>Leerenrufer</v>
      </c>
      <c r="D475" t="s">
        <v>2137</v>
      </c>
      <c r="E475" s="3" t="str">
        <f>IF(ISNA(VLOOKUP(D475,'&lt;Constants&gt;'!$B$4:$C$44,2,FALSE)),"",VLOOKUP(D475,'&lt;Constants&gt;'!$B$4:$C$44,2,FALSE))</f>
        <v>Markarth</v>
      </c>
    </row>
    <row r="476" spans="1:5" x14ac:dyDescent="0.25">
      <c r="A476" s="5">
        <v>538</v>
      </c>
      <c r="B476" s="8" t="str">
        <f>VLOOKUP(A476,'Sets (lua data)'!$A$3:$C$9920,3,FALSE)</f>
        <v>Witch-Knight\'s Defiance</v>
      </c>
      <c r="C476" s="8" t="str">
        <f>VLOOKUP(A476,'Sets (lua data)'!$A$3:$C$9920,2,FALSE)</f>
        <v>Trotz des Hexenritters</v>
      </c>
      <c r="D476" s="101" t="s">
        <v>2137</v>
      </c>
      <c r="E476" s="3" t="str">
        <f>IF(ISNA(VLOOKUP(D476,'&lt;Constants&gt;'!$B$4:$C$44,2,FALSE)),"",VLOOKUP(D476,'&lt;Constants&gt;'!$B$4:$C$44,2,FALSE))</f>
        <v>Markarth</v>
      </c>
    </row>
    <row r="477" spans="1:5" x14ac:dyDescent="0.25">
      <c r="A477" s="5">
        <v>539</v>
      </c>
      <c r="B477" s="8" t="str">
        <f>VLOOKUP(A477,'Sets (lua data)'!$A$3:$C$9920,3,FALSE)</f>
        <v>Red Eagle\'s Fury</v>
      </c>
      <c r="C477" s="8" t="str">
        <f>VLOOKUP(A477,'Sets (lua data)'!$A$3:$C$9920,2,FALSE)</f>
        <v>Zorn des Roten Adlers</v>
      </c>
      <c r="D477" t="s">
        <v>2137</v>
      </c>
      <c r="E477" s="3" t="str">
        <f>IF(ISNA(VLOOKUP(D477,'&lt;Constants&gt;'!$B$4:$C$44,2,FALSE)),"",VLOOKUP(D477,'&lt;Constants&gt;'!$B$4:$C$44,2,FALSE))</f>
        <v>Markarth</v>
      </c>
    </row>
    <row r="478" spans="1:5" x14ac:dyDescent="0.25">
      <c r="A478" s="5">
        <v>540</v>
      </c>
      <c r="B478" s="8" t="str">
        <f>VLOOKUP(A478,'Sets (lua data)'!$A$3:$C$9920,3,FALSE)</f>
        <v>Legacy of Karth</v>
      </c>
      <c r="C478" s="8" t="str">
        <f>VLOOKUP(A478,'Sets (lua data)'!$A$3:$C$9920,2,FALSE)</f>
        <v>Erbe des Karth</v>
      </c>
      <c r="D478" t="s">
        <v>2137</v>
      </c>
      <c r="E478" s="3" t="str">
        <f>IF(ISNA(VLOOKUP(D478,'&lt;Constants&gt;'!$B$4:$C$44,2,FALSE)),"",VLOOKUP(D478,'&lt;Constants&gt;'!$B$4:$C$44,2,FALSE))</f>
        <v>Markarth</v>
      </c>
    </row>
    <row r="479" spans="1:5" x14ac:dyDescent="0.25">
      <c r="A479" s="5">
        <v>541</v>
      </c>
      <c r="B479" s="8" t="str">
        <f>VLOOKUP(A479,'Sets (lua data)'!$A$3:$C$9920,3,FALSE)</f>
        <v>Aetherial Ascension</v>
      </c>
      <c r="C479" s="8" t="str">
        <f>VLOOKUP(A479,'Sets (lua data)'!$A$3:$C$9920,2,FALSE)</f>
        <v>Ätherischer Aufstieg</v>
      </c>
      <c r="D479" t="s">
        <v>2137</v>
      </c>
      <c r="E479" s="3" t="str">
        <f>IF(ISNA(VLOOKUP(D479,'&lt;Constants&gt;'!$B$4:$C$44,2,FALSE)),"",VLOOKUP(D479,'&lt;Constants&gt;'!$B$4:$C$44,2,FALSE))</f>
        <v>Markarth</v>
      </c>
    </row>
    <row r="480" spans="1:5" x14ac:dyDescent="0.25">
      <c r="A480" s="5">
        <v>542</v>
      </c>
      <c r="B480" s="8" t="str">
        <f>VLOOKUP(A480,'Sets (lua data)'!$A$3:$C$9920,3,FALSE)</f>
        <v>Hex Siphon</v>
      </c>
      <c r="C480" s="8" t="str">
        <f>VLOOKUP(A480,'Sets (lua data)'!$A$3:$C$9920,2,FALSE)</f>
        <v>Fluchsiphon</v>
      </c>
      <c r="D480" t="s">
        <v>2137</v>
      </c>
      <c r="E480" s="3" t="str">
        <f>IF(ISNA(VLOOKUP(D480,'&lt;Constants&gt;'!$B$4:$C$44,2,FALSE)),"",VLOOKUP(D480,'&lt;Constants&gt;'!$B$4:$C$44,2,FALSE))</f>
        <v>Markarth</v>
      </c>
    </row>
    <row r="481" spans="1:5" x14ac:dyDescent="0.25">
      <c r="A481" s="5">
        <v>543</v>
      </c>
      <c r="B481" s="8" t="str">
        <f>VLOOKUP(A481,'Sets (lua data)'!$A$3:$C$9920,3,FALSE)</f>
        <v>Pestilent Host</v>
      </c>
      <c r="C481" s="8" t="str">
        <f>VLOOKUP(A481,'Sets (lua data)'!$A$3:$C$9920,2,FALSE)</f>
        <v>Pestilenter Wirt</v>
      </c>
      <c r="D481" t="s">
        <v>2137</v>
      </c>
      <c r="E481" s="3" t="str">
        <f>IF(ISNA(VLOOKUP(D481,'&lt;Constants&gt;'!$B$4:$C$44,2,FALSE)),"",VLOOKUP(D481,'&lt;Constants&gt;'!$B$4:$C$44,2,FALSE))</f>
        <v>Markarth</v>
      </c>
    </row>
    <row r="482" spans="1:5" x14ac:dyDescent="0.25">
      <c r="A482" s="5">
        <v>544</v>
      </c>
      <c r="B482" s="8" t="str">
        <f>VLOOKUP(A482,'Sets (lua data)'!$A$3:$C$9920,3,FALSE)</f>
        <v>Explosive Rebuke</v>
      </c>
      <c r="C482" s="8" t="str">
        <f>VLOOKUP(A482,'Sets (lua data)'!$A$3:$C$9920,2,FALSE)</f>
        <v>Explosiver Tadel</v>
      </c>
      <c r="D482" t="s">
        <v>2137</v>
      </c>
      <c r="E482" s="3" t="str">
        <f>IF(ISNA(VLOOKUP(D482,'&lt;Constants&gt;'!$B$4:$C$44,2,FALSE)),"",VLOOKUP(D482,'&lt;Constants&gt;'!$B$4:$C$44,2,FALSE))</f>
        <v>Markarth</v>
      </c>
    </row>
    <row r="483" spans="1:5" x14ac:dyDescent="0.25">
      <c r="A483" s="5">
        <v>557</v>
      </c>
      <c r="B483" s="8" t="str">
        <f>VLOOKUP(A483,'Sets (lua data)'!$A$3:$C$9920,3,FALSE)</f>
        <v>Executioner\'s Blade</v>
      </c>
      <c r="C483" s="8" t="str">
        <f>VLOOKUP(A483,'Sets (lua data)'!$A$3:$C$9920,2,FALSE)</f>
        <v>Henkersklinge</v>
      </c>
      <c r="D483" t="s">
        <v>2137</v>
      </c>
      <c r="E483" s="3" t="str">
        <f>IF(ISNA(VLOOKUP(D483,'&lt;Constants&gt;'!$B$4:$C$44,2,FALSE)),"",VLOOKUP(D483,'&lt;Constants&gt;'!$B$4:$C$44,2,FALSE))</f>
        <v>Markarth</v>
      </c>
    </row>
    <row r="484" spans="1:5" x14ac:dyDescent="0.25">
      <c r="A484" s="5">
        <v>558</v>
      </c>
      <c r="B484" s="8" t="str">
        <f>VLOOKUP(A484,'Sets (lua data)'!$A$3:$C$9920,3,FALSE)</f>
        <v>Void Bash</v>
      </c>
      <c r="C484" s="8" t="str">
        <f>VLOOKUP(A484,'Sets (lua data)'!$A$3:$C$9920,2,FALSE)</f>
        <v>LeerenWucht</v>
      </c>
      <c r="D484" t="s">
        <v>2137</v>
      </c>
      <c r="E484" s="3" t="str">
        <f>IF(ISNA(VLOOKUP(D484,'&lt;Constants&gt;'!$B$4:$C$44,2,FALSE)),"",VLOOKUP(D484,'&lt;Constants&gt;'!$B$4:$C$44,2,FALSE))</f>
        <v>Markarth</v>
      </c>
    </row>
    <row r="485" spans="1:5" x14ac:dyDescent="0.25">
      <c r="A485" s="5">
        <v>559</v>
      </c>
      <c r="B485" s="8" t="str">
        <f>VLOOKUP(A485,'Sets (lua data)'!$A$3:$C$9920,3,FALSE)</f>
        <v>Frenzied Momentum</v>
      </c>
      <c r="C485" s="8" t="str">
        <f>VLOOKUP(A485,'Sets (lua data)'!$A$3:$C$9920,2,FALSE)</f>
        <v>Tobendes Momentum</v>
      </c>
      <c r="D485" t="s">
        <v>2137</v>
      </c>
      <c r="E485" s="3" t="str">
        <f>IF(ISNA(VLOOKUP(D485,'&lt;Constants&gt;'!$B$4:$C$44,2,FALSE)),"",VLOOKUP(D485,'&lt;Constants&gt;'!$B$4:$C$44,2,FALSE))</f>
        <v>Markarth</v>
      </c>
    </row>
    <row r="486" spans="1:5" x14ac:dyDescent="0.25">
      <c r="A486" s="5">
        <v>560</v>
      </c>
      <c r="B486" s="8" t="str">
        <f>VLOOKUP(A486,'Sets (lua data)'!$A$3:$C$9920,3,FALSE)</f>
        <v>Point-Blank Snipe</v>
      </c>
      <c r="C486" s="8" t="str">
        <f>VLOOKUP(A486,'Sets (lua data)'!$A$3:$C$9920,2,FALSE)</f>
        <v>Volltreffer</v>
      </c>
      <c r="D486" t="s">
        <v>2137</v>
      </c>
      <c r="E486" s="3" t="str">
        <f>IF(ISNA(VLOOKUP(D486,'&lt;Constants&gt;'!$B$4:$C$44,2,FALSE)),"",VLOOKUP(D486,'&lt;Constants&gt;'!$B$4:$C$44,2,FALSE))</f>
        <v>Markarth</v>
      </c>
    </row>
    <row r="487" spans="1:5" x14ac:dyDescent="0.25">
      <c r="A487" s="5">
        <v>561</v>
      </c>
      <c r="B487" s="8" t="str">
        <f>VLOOKUP(A487,'Sets (lua data)'!$A$3:$C$9920,3,FALSE)</f>
        <v>Wrath of Elements</v>
      </c>
      <c r="C487" s="8" t="str">
        <f>VLOOKUP(A487,'Sets (lua data)'!$A$3:$C$9920,2,FALSE)</f>
        <v>Zorn der Elemente</v>
      </c>
      <c r="D487" t="s">
        <v>2137</v>
      </c>
      <c r="E487" s="3" t="str">
        <f>IF(ISNA(VLOOKUP(D487,'&lt;Constants&gt;'!$B$4:$C$44,2,FALSE)),"",VLOOKUP(D487,'&lt;Constants&gt;'!$B$4:$C$44,2,FALSE))</f>
        <v>Markarth</v>
      </c>
    </row>
    <row r="488" spans="1:5" x14ac:dyDescent="0.25">
      <c r="A488" s="5">
        <v>562</v>
      </c>
      <c r="B488" s="8" t="str">
        <f>VLOOKUP(A488,'Sets (lua data)'!$A$3:$C$9920,3,FALSE)</f>
        <v>Force Overflow</v>
      </c>
      <c r="C488" s="8" t="str">
        <f>VLOOKUP(A488,'Sets (lua data)'!$A$3:$C$9920,2,FALSE)</f>
        <v>Machtüberschuss</v>
      </c>
      <c r="D488" t="s">
        <v>2137</v>
      </c>
      <c r="E488" s="3" t="str">
        <f>IF(ISNA(VLOOKUP(D488,'&lt;Constants&gt;'!$B$4:$C$44,2,FALSE)),"",VLOOKUP(D488,'&lt;Constants&gt;'!$B$4:$C$44,2,FALSE))</f>
        <v>Markarth</v>
      </c>
    </row>
    <row r="489" spans="1:5" x14ac:dyDescent="0.25">
      <c r="A489" s="5">
        <v>563</v>
      </c>
      <c r="B489" s="8" t="str">
        <f>VLOOKUP(A489,'Sets (lua data)'!$A$3:$C$9920,3,FALSE)</f>
        <v>Perfected Executioner\'s Blade</v>
      </c>
      <c r="C489" s="8" t="str">
        <f>VLOOKUP(A489,'Sets (lua data)'!$A$3:$C$9920,2,FALSE)</f>
        <v>Perfektionierte Klinge des Henkers</v>
      </c>
      <c r="D489" t="s">
        <v>2137</v>
      </c>
      <c r="E489" s="3" t="str">
        <f>IF(ISNA(VLOOKUP(D489,'&lt;Constants&gt;'!$B$4:$C$44,2,FALSE)),"",VLOOKUP(D489,'&lt;Constants&gt;'!$B$4:$C$44,2,FALSE))</f>
        <v>Markarth</v>
      </c>
    </row>
    <row r="490" spans="1:5" x14ac:dyDescent="0.25">
      <c r="A490" s="5">
        <v>564</v>
      </c>
      <c r="B490" s="8" t="str">
        <f>VLOOKUP(A490,'Sets (lua data)'!$A$3:$C$9920,3,FALSE)</f>
        <v>Perfected Void Bash</v>
      </c>
      <c r="C490" s="8" t="str">
        <f>VLOOKUP(A490,'Sets (lua data)'!$A$3:$C$9920,2,FALSE)</f>
        <v>Perfektionierte Leerenwucht</v>
      </c>
      <c r="D490" t="s">
        <v>2137</v>
      </c>
      <c r="E490" s="3" t="str">
        <f>IF(ISNA(VLOOKUP(D490,'&lt;Constants&gt;'!$B$4:$C$44,2,FALSE)),"",VLOOKUP(D490,'&lt;Constants&gt;'!$B$4:$C$44,2,FALSE))</f>
        <v>Markarth</v>
      </c>
    </row>
    <row r="491" spans="1:5" x14ac:dyDescent="0.25">
      <c r="A491" s="5">
        <v>565</v>
      </c>
      <c r="B491" s="8" t="str">
        <f>VLOOKUP(A491,'Sets (lua data)'!$A$3:$C$9920,3,FALSE)</f>
        <v>Perfected Frenzied Momentum</v>
      </c>
      <c r="C491" s="8" t="str">
        <f>VLOOKUP(A491,'Sets (lua data)'!$A$3:$C$9920,2,FALSE)</f>
        <v>Perfektioniertes tobendes Momentum</v>
      </c>
      <c r="D491" t="s">
        <v>2137</v>
      </c>
      <c r="E491" s="3" t="str">
        <f>IF(ISNA(VLOOKUP(D491,'&lt;Constants&gt;'!$B$4:$C$44,2,FALSE)),"",VLOOKUP(D491,'&lt;Constants&gt;'!$B$4:$C$44,2,FALSE))</f>
        <v>Markarth</v>
      </c>
    </row>
    <row r="492" spans="1:5" x14ac:dyDescent="0.25">
      <c r="A492" s="5">
        <v>566</v>
      </c>
      <c r="B492" s="8" t="str">
        <f>VLOOKUP(A492,'Sets (lua data)'!$A$3:$C$9920,3,FALSE)</f>
        <v>Perfected Point-Blank Snipe</v>
      </c>
      <c r="C492" s="8" t="str">
        <f>VLOOKUP(A492,'Sets (lua data)'!$A$3:$C$9920,2,FALSE)</f>
        <v>Perfektionierter Volltreffer</v>
      </c>
      <c r="D492" t="s">
        <v>2137</v>
      </c>
      <c r="E492" s="3" t="str">
        <f>IF(ISNA(VLOOKUP(D492,'&lt;Constants&gt;'!$B$4:$C$44,2,FALSE)),"",VLOOKUP(D492,'&lt;Constants&gt;'!$B$4:$C$44,2,FALSE))</f>
        <v>Markarth</v>
      </c>
    </row>
    <row r="493" spans="1:5" x14ac:dyDescent="0.25">
      <c r="A493" s="5">
        <v>567</v>
      </c>
      <c r="B493" s="8" t="str">
        <f>VLOOKUP(A493,'Sets (lua data)'!$A$3:$C$9920,3,FALSE)</f>
        <v>Perfected Wrath of Elements</v>
      </c>
      <c r="C493" s="8" t="str">
        <f>VLOOKUP(A493,'Sets (lua data)'!$A$3:$C$9920,2,FALSE)</f>
        <v>Perfektionierter Zorn der Elemente</v>
      </c>
      <c r="D493" t="s">
        <v>2137</v>
      </c>
      <c r="E493" s="3" t="str">
        <f>IF(ISNA(VLOOKUP(D493,'&lt;Constants&gt;'!$B$4:$C$44,2,FALSE)),"",VLOOKUP(D493,'&lt;Constants&gt;'!$B$4:$C$44,2,FALSE))</f>
        <v>Markarth</v>
      </c>
    </row>
    <row r="494" spans="1:5" x14ac:dyDescent="0.25">
      <c r="A494" s="5">
        <v>568</v>
      </c>
      <c r="B494" s="8" t="str">
        <f>VLOOKUP(A494,'Sets (lua data)'!$A$3:$C$9920,3,FALSE)</f>
        <v>Perfected Force Overflow</v>
      </c>
      <c r="C494" s="8" t="str">
        <f>VLOOKUP(A494,'Sets (lua data)'!$A$3:$C$9920,2,FALSE)</f>
        <v>Perfektionierter Machtüberschuss</v>
      </c>
      <c r="D494" t="s">
        <v>2137</v>
      </c>
      <c r="E494" s="3" t="str">
        <f>IF(ISNA(VLOOKUP(D494,'&lt;Constants&gt;'!$B$4:$C$44,2,FALSE)),"",VLOOKUP(D494,'&lt;Constants&gt;'!$B$4:$C$44,2,FALSE))</f>
        <v>Markarth</v>
      </c>
    </row>
    <row r="495" spans="1:5" x14ac:dyDescent="0.25">
      <c r="A495" s="5">
        <v>569</v>
      </c>
      <c r="B495" s="8" t="str">
        <f>VLOOKUP(A495,'Sets (lua data)'!$A$3:$C$9920,3,FALSE)</f>
        <v>True-Sworn Fury </v>
      </c>
      <c r="C495" s="8" t="str">
        <f>VLOOKUP(A495,'Sets (lua data)'!$A$3:$C$9920,2,FALSE)</f>
        <v>Wahrgeschworenen-Raserei</v>
      </c>
      <c r="D495" t="s">
        <v>2361</v>
      </c>
      <c r="E495" s="3" t="str">
        <f>IF(ISNA(VLOOKUP(D495,'&lt;Constants&gt;'!$B$4:$C$44,2,FALSE)),"",VLOOKUP(D495,'&lt;Constants&gt;'!$B$4:$C$44,2,FALSE))</f>
        <v>Flames of Ambition</v>
      </c>
    </row>
    <row r="496" spans="1:5" x14ac:dyDescent="0.25">
      <c r="A496" s="5">
        <v>570</v>
      </c>
      <c r="B496" s="8" t="str">
        <f>VLOOKUP(A496,'Sets (lua data)'!$A$3:$C$9920,3,FALSE)</f>
        <v>Kinras\'s Wrath</v>
      </c>
      <c r="C496" s="8" t="str">
        <f>VLOOKUP(A496,'Sets (lua data)'!$A$3:$C$9920,2,FALSE)</f>
        <v>Kinra's Zorn</v>
      </c>
      <c r="D496" t="s">
        <v>2361</v>
      </c>
      <c r="E496" s="3" t="str">
        <f>IF(ISNA(VLOOKUP(D496,'&lt;Constants&gt;'!$B$4:$C$44,2,FALSE)),"",VLOOKUP(D496,'&lt;Constants&gt;'!$B$4:$C$44,2,FALSE))</f>
        <v>Flames of Ambition</v>
      </c>
    </row>
    <row r="497" spans="1:5" x14ac:dyDescent="0.25">
      <c r="A497" s="5">
        <v>571</v>
      </c>
      <c r="B497" s="8" t="str">
        <f>VLOOKUP(A497,'Sets (lua data)'!$A$3:$C$9920,3,FALSE)</f>
        <v>Drake\'s Rush</v>
      </c>
      <c r="C497" s="8" t="str">
        <f>VLOOKUP(A497,'Sets (lua data)'!$A$3:$C$9920,2,FALSE)</f>
        <v>Dracheneile</v>
      </c>
      <c r="D497" t="s">
        <v>2361</v>
      </c>
      <c r="E497" s="3" t="str">
        <f>IF(ISNA(VLOOKUP(D497,'&lt;Constants&gt;'!$B$4:$C$44,2,FALSE)),"",VLOOKUP(D497,'&lt;Constants&gt;'!$B$4:$C$44,2,FALSE))</f>
        <v>Flames of Ambition</v>
      </c>
    </row>
    <row r="498" spans="1:5" x14ac:dyDescent="0.25">
      <c r="A498" s="5">
        <v>572</v>
      </c>
      <c r="B498" s="8" t="str">
        <f>VLOOKUP(A498,'Sets (lua data)'!$A$3:$C$9920,3,FALSE)</f>
        <v>Unleashed Ritualist</v>
      </c>
      <c r="C498" s="8" t="str">
        <f>VLOOKUP(A498,'Sets (lua data)'!$A$3:$C$9920,2,FALSE)</f>
        <v>Entfesselter Ritualist</v>
      </c>
      <c r="D498" t="s">
        <v>2361</v>
      </c>
      <c r="E498" s="3" t="str">
        <f>IF(ISNA(VLOOKUP(D498,'&lt;Constants&gt;'!$B$4:$C$44,2,FALSE)),"",VLOOKUP(D498,'&lt;Constants&gt;'!$B$4:$C$44,2,FALSE))</f>
        <v>Flames of Ambition</v>
      </c>
    </row>
    <row r="499" spans="1:5" x14ac:dyDescent="0.25">
      <c r="A499" s="5">
        <v>573</v>
      </c>
      <c r="B499" s="8" t="str">
        <f>VLOOKUP(A499,'Sets (lua data)'!$A$3:$C$9920,3,FALSE)</f>
        <v>Dagon\'s Dominion</v>
      </c>
      <c r="C499" s="8" t="str">
        <f>VLOOKUP(A499,'Sets (lua data)'!$A$3:$C$9920,2,FALSE)</f>
        <v>Dagons Herrschaft</v>
      </c>
      <c r="D499" t="s">
        <v>2361</v>
      </c>
      <c r="E499" s="3" t="str">
        <f>IF(ISNA(VLOOKUP(D499,'&lt;Constants&gt;'!$B$4:$C$44,2,FALSE)),"",VLOOKUP(D499,'&lt;Constants&gt;'!$B$4:$C$44,2,FALSE))</f>
        <v>Flames of Ambition</v>
      </c>
    </row>
    <row r="500" spans="1:5" x14ac:dyDescent="0.25">
      <c r="A500" s="5">
        <v>574</v>
      </c>
      <c r="B500" s="8" t="str">
        <f>VLOOKUP(A500,'Sets (lua data)'!$A$3:$C$9920,3,FALSE)</f>
        <v>Foolkiller\'s Ward</v>
      </c>
      <c r="C500" s="8" t="str">
        <f>VLOOKUP(A500,'Sets (lua data)'!$A$3:$C$9920,2,FALSE)</f>
        <v>Schutz des Narrentöters</v>
      </c>
      <c r="D500" t="s">
        <v>2361</v>
      </c>
      <c r="E500" s="3" t="str">
        <f>IF(ISNA(VLOOKUP(D500,'&lt;Constants&gt;'!$B$4:$C$44,2,FALSE)),"",VLOOKUP(D500,'&lt;Constants&gt;'!$B$4:$C$44,2,FALSE))</f>
        <v>Flames of Ambition</v>
      </c>
    </row>
    <row r="501" spans="1:5" x14ac:dyDescent="0.25">
      <c r="A501" s="5">
        <v>575</v>
      </c>
      <c r="B501" s="8" t="str">
        <f>VLOOKUP(A501,'Sets (lua data)'!$A$3:$C$9920,3,FALSE)</f>
        <v>Ring of the Pale Order</v>
      </c>
      <c r="C501" s="8" t="str">
        <f>VLOOKUP(A501,'Sets (lua data)'!$A$3:$C$9920,2,FALSE)</f>
        <v>Ring des Fahlen Ordens</v>
      </c>
      <c r="D501" t="s">
        <v>2137</v>
      </c>
      <c r="E501" s="3" t="str">
        <f>IF(ISNA(VLOOKUP(D501,'&lt;Constants&gt;'!$B$4:$C$44,2,FALSE)),"",VLOOKUP(D501,'&lt;Constants&gt;'!$B$4:$C$44,2,FALSE))</f>
        <v>Markarth</v>
      </c>
    </row>
    <row r="502" spans="1:5" x14ac:dyDescent="0.25">
      <c r="A502" s="5">
        <v>576</v>
      </c>
      <c r="B502" s="8" t="str">
        <f>VLOOKUP(A502,'Sets (lua data)'!$A$3:$C$9920,3,FALSE)</f>
        <v>Pearls of Ehlnofey</v>
      </c>
      <c r="C502" s="8" t="str">
        <f>VLOOKUP(A502,'Sets (lua data)'!$A$3:$C$9920,2,FALSE)</f>
        <v>Perlen der Ehlnofey</v>
      </c>
      <c r="D502" t="s">
        <v>2137</v>
      </c>
      <c r="E502" s="3" t="str">
        <f>IF(ISNA(VLOOKUP(D502,'&lt;Constants&gt;'!$B$4:$C$44,2,FALSE)),"",VLOOKUP(D502,'&lt;Constants&gt;'!$B$4:$C$44,2,FALSE))</f>
        <v>Markarth</v>
      </c>
    </row>
    <row r="503" spans="1:5" x14ac:dyDescent="0.25">
      <c r="A503" s="5">
        <v>577</v>
      </c>
      <c r="B503" s="8" t="str">
        <f>VLOOKUP(A503,'Sets (lua data)'!$A$3:$C$9920,3,FALSE)</f>
        <v>Encrati\'s Behemoth</v>
      </c>
      <c r="C503" s="8" t="str">
        <f>VLOOKUP(A503,'Sets (lua data)'!$A$3:$C$9920,2,FALSE)</f>
        <v>Encrati\'s Behemoth</v>
      </c>
      <c r="D503" t="s">
        <v>2361</v>
      </c>
      <c r="E503" s="3" t="str">
        <f>IF(ISNA(VLOOKUP(D503,'&lt;Constants&gt;'!$B$4:$C$44,2,FALSE)),"",VLOOKUP(D503,'&lt;Constants&gt;'!$B$4:$C$44,2,FALSE))</f>
        <v>Flames of Ambition</v>
      </c>
    </row>
    <row r="504" spans="1:5" x14ac:dyDescent="0.25">
      <c r="A504" s="5">
        <v>578</v>
      </c>
      <c r="B504" s="8" t="str">
        <f>VLOOKUP(A504,'Sets (lua data)'!$A$3:$C$9920,3,FALSE)</f>
        <v>Baron Zaudrus</v>
      </c>
      <c r="C504" s="8" t="str">
        <f>VLOOKUP(A504,'Sets (lua data)'!$A$3:$C$9920,2,FALSE)</f>
        <v>Baron Zaudrus</v>
      </c>
      <c r="D504" t="s">
        <v>2361</v>
      </c>
      <c r="E504" s="3" t="str">
        <f>IF(ISNA(VLOOKUP(D504,'&lt;Constants&gt;'!$B$4:$C$44,2,FALSE)),"",VLOOKUP(D504,'&lt;Constants&gt;'!$B$4:$C$44,2,FALSE))</f>
        <v>Flames of Ambition</v>
      </c>
    </row>
    <row r="505" spans="1:5" x14ac:dyDescent="0.25">
      <c r="A505" s="5">
        <v>579</v>
      </c>
      <c r="B505" s="8" t="str">
        <f>VLOOKUP(A505,'Sets (lua data)'!$A$3:$C$9920,3,FALSE)</f>
        <v>Frostbite</v>
      </c>
      <c r="C505" s="8" t="str">
        <f>VLOOKUP(A505,'Sets (lua data)'!$A$3:$C$9920,2,FALSE)</f>
        <v>Frostbiss</v>
      </c>
      <c r="D505" s="101" t="s">
        <v>2359</v>
      </c>
      <c r="E505" s="3" t="str">
        <f>IF(ISNA(VLOOKUP(D505,'&lt;Constants&gt;'!$B$4:$C$44,2,FALSE)),"",VLOOKUP(D505,'&lt;Constants&gt;'!$B$4:$C$44,2,FALSE))</f>
        <v>Blackwood</v>
      </c>
    </row>
    <row r="506" spans="1:5" x14ac:dyDescent="0.25">
      <c r="A506" s="5">
        <v>580</v>
      </c>
      <c r="B506" s="8" t="str">
        <f>VLOOKUP(A506,'Sets (lua data)'!$A$3:$C$9920,3,FALSE)</f>
        <v>Deadlands Assassin</v>
      </c>
      <c r="C506" s="8" t="str">
        <f>VLOOKUP(A506,'Sets (lua data)'!$A$3:$C$9920,2,FALSE)</f>
        <v>Totenländer-Assassine</v>
      </c>
      <c r="D506" s="101" t="s">
        <v>2359</v>
      </c>
      <c r="E506" s="3" t="str">
        <f>IF(ISNA(VLOOKUP(D506,'&lt;Constants&gt;'!$B$4:$C$44,2,FALSE)),"",VLOOKUP(D506,'&lt;Constants&gt;'!$B$4:$C$44,2,FALSE))</f>
        <v>Blackwood</v>
      </c>
    </row>
    <row r="507" spans="1:5" x14ac:dyDescent="0.25">
      <c r="A507" s="5">
        <v>581</v>
      </c>
      <c r="B507" s="8" t="str">
        <f>VLOOKUP(A507,'Sets (lua data)'!$A$3:$C$9920,3,FALSE)</f>
        <v>Bog Raider</v>
      </c>
      <c r="C507" s="8" t="str">
        <f>VLOOKUP(A507,'Sets (lua data)'!$A$3:$C$9920,2,FALSE)</f>
        <v>Moorräuber</v>
      </c>
      <c r="D507" s="101" t="s">
        <v>2359</v>
      </c>
      <c r="E507" s="3" t="str">
        <f>IF(ISNA(VLOOKUP(D507,'&lt;Constants&gt;'!$B$4:$C$44,2,FALSE)),"",VLOOKUP(D507,'&lt;Constants&gt;'!$B$4:$C$44,2,FALSE))</f>
        <v>Blackwood</v>
      </c>
    </row>
    <row r="508" spans="1:5" x14ac:dyDescent="0.25">
      <c r="A508" s="5">
        <v>582</v>
      </c>
      <c r="B508" s="8" t="str">
        <f>VLOOKUP(A508,'Sets (lua data)'!$A$3:$C$9920,3,FALSE)</f>
        <v>Hist Whisperer</v>
      </c>
      <c r="C508" s="8" t="str">
        <f>VLOOKUP(A508,'Sets (lua data)'!$A$3:$C$9920,2,FALSE)</f>
        <v>Histflüsterer</v>
      </c>
      <c r="D508" s="101" t="s">
        <v>2359</v>
      </c>
      <c r="E508" s="3" t="str">
        <f>IF(ISNA(VLOOKUP(D508,'&lt;Constants&gt;'!$B$4:$C$44,2,FALSE)),"",VLOOKUP(D508,'&lt;Constants&gt;'!$B$4:$C$44,2,FALSE))</f>
        <v>Blackwood</v>
      </c>
    </row>
    <row r="509" spans="1:5" x14ac:dyDescent="0.25">
      <c r="A509" s="5">
        <v>583</v>
      </c>
      <c r="B509" s="8" t="str">
        <f>VLOOKUP(A509,'Sets (lua data)'!$A$3:$C$9920,3,FALSE)</f>
        <v>Heartland Conqueror</v>
      </c>
      <c r="C509" s="8" t="str">
        <f>VLOOKUP(A509,'Sets (lua data)'!$A$3:$C$9920,2,FALSE)</f>
        <v>Herzlanderoberer</v>
      </c>
      <c r="D509" t="s">
        <v>2359</v>
      </c>
      <c r="E509" s="3" t="str">
        <f>IF(ISNA(VLOOKUP(D509,'&lt;Constants&gt;'!$B$4:$C$44,2,FALSE)),"",VLOOKUP(D509,'&lt;Constants&gt;'!$B$4:$C$44,2,FALSE))</f>
        <v>Blackwood</v>
      </c>
    </row>
    <row r="510" spans="1:5" x14ac:dyDescent="0.25">
      <c r="A510" s="5">
        <v>584</v>
      </c>
      <c r="B510" s="8" t="str">
        <f>VLOOKUP(A510,'Sets (lua data)'!$A$3:$C$9920,3,FALSE)</f>
        <v>Diamond\'s Victory</v>
      </c>
      <c r="C510" s="8" t="str">
        <f>VLOOKUP(A510,'Sets (lua data)'!$A$3:$C$9920,2,FALSE)</f>
        <v>Sieg des Diamanten</v>
      </c>
      <c r="D510" s="101" t="s">
        <v>2359</v>
      </c>
      <c r="E510" s="3" t="str">
        <f>IF(ISNA(VLOOKUP(D510,'&lt;Constants&gt;'!$B$4:$C$44,2,FALSE)),"",VLOOKUP(D510,'&lt;Constants&gt;'!$B$4:$C$44,2,FALSE))</f>
        <v>Blackwood</v>
      </c>
    </row>
    <row r="511" spans="1:5" x14ac:dyDescent="0.25">
      <c r="A511" s="5">
        <v>585</v>
      </c>
      <c r="B511" s="8" t="str">
        <f>VLOOKUP(A511,'Sets (lua data)'!$A$3:$C$9920,3,FALSE)</f>
        <v>Saxhleel Champion</v>
      </c>
      <c r="C511" s="8" t="str">
        <f>VLOOKUP(A511,'Sets (lua data)'!$A$3:$C$9920,2,FALSE)</f>
        <v>Saxhleel-Champion</v>
      </c>
      <c r="D511" t="s">
        <v>2359</v>
      </c>
      <c r="E511" s="3" t="str">
        <f>IF(ISNA(VLOOKUP(D511,'&lt;Constants&gt;'!$B$4:$C$44,2,FALSE)),"",VLOOKUP(D511,'&lt;Constants&gt;'!$B$4:$C$44,2,FALSE))</f>
        <v>Blackwood</v>
      </c>
    </row>
    <row r="512" spans="1:5" x14ac:dyDescent="0.25">
      <c r="A512" s="5">
        <v>586</v>
      </c>
      <c r="B512" s="8" t="str">
        <f>VLOOKUP(A512,'Sets (lua data)'!$A$3:$C$9920,3,FALSE)</f>
        <v>Sul-Xan\'s Torment</v>
      </c>
      <c r="C512" s="8" t="str">
        <f>VLOOKUP(A512,'Sets (lua data)'!$A$3:$C$9920,2,FALSE)</f>
        <v>Sul-Xans Folter</v>
      </c>
      <c r="D512" t="s">
        <v>2359</v>
      </c>
      <c r="E512" s="3" t="str">
        <f>IF(ISNA(VLOOKUP(D512,'&lt;Constants&gt;'!$B$4:$C$44,2,FALSE)),"",VLOOKUP(D512,'&lt;Constants&gt;'!$B$4:$C$44,2,FALSE))</f>
        <v>Blackwood</v>
      </c>
    </row>
    <row r="513" spans="1:5" x14ac:dyDescent="0.25">
      <c r="A513" s="5">
        <v>587</v>
      </c>
      <c r="B513" s="8" t="str">
        <f>VLOOKUP(A513,'Sets (lua data)'!$A$3:$C$9920,3,FALSE)</f>
        <v>Bahsei\'s Mania</v>
      </c>
      <c r="C513" s="8" t="str">
        <f>VLOOKUP(A513,'Sets (lua data)'!$A$3:$C$9920,2,FALSE)</f>
        <v>Bahseis Manie</v>
      </c>
      <c r="D513" t="s">
        <v>2359</v>
      </c>
      <c r="E513" s="3" t="str">
        <f>IF(ISNA(VLOOKUP(D513,'&lt;Constants&gt;'!$B$4:$C$44,2,FALSE)),"",VLOOKUP(D513,'&lt;Constants&gt;'!$B$4:$C$44,2,FALSE))</f>
        <v>Blackwood</v>
      </c>
    </row>
    <row r="514" spans="1:5" x14ac:dyDescent="0.25">
      <c r="A514" s="5">
        <v>588</v>
      </c>
      <c r="B514" s="8" t="str">
        <f>VLOOKUP(A514,'Sets (lua data)'!$A$3:$C$9920,3,FALSE)</f>
        <v>Stone-Talker\'s Oath</v>
      </c>
      <c r="C514" s="8" t="str">
        <f>VLOOKUP(A514,'Sets (lua data)'!$A$3:$C$9920,2,FALSE)</f>
        <v>Eid des Steinsprechers</v>
      </c>
      <c r="D514" t="s">
        <v>2359</v>
      </c>
      <c r="E514" s="3" t="str">
        <f>IF(ISNA(VLOOKUP(D514,'&lt;Constants&gt;'!$B$4:$C$44,2,FALSE)),"",VLOOKUP(D514,'&lt;Constants&gt;'!$B$4:$C$44,2,FALSE))</f>
        <v>Blackwood</v>
      </c>
    </row>
    <row r="515" spans="1:5" x14ac:dyDescent="0.25">
      <c r="A515" s="5">
        <v>589</v>
      </c>
      <c r="B515" s="8" t="str">
        <f>VLOOKUP(A515,'Sets (lua data)'!$A$3:$C$9920,3,FALSE)</f>
        <v>Perfected Saxhleel Champion</v>
      </c>
      <c r="C515" s="8" t="str">
        <f>VLOOKUP(A515,'Sets (lua data)'!$A$3:$C$9920,2,FALSE)</f>
        <v>Perfektionierter Saxhleel-Champion</v>
      </c>
      <c r="D515" t="s">
        <v>2359</v>
      </c>
      <c r="E515" s="3" t="str">
        <f>IF(ISNA(VLOOKUP(D515,'&lt;Constants&gt;'!$B$4:$C$44,2,FALSE)),"",VLOOKUP(D515,'&lt;Constants&gt;'!$B$4:$C$44,2,FALSE))</f>
        <v>Blackwood</v>
      </c>
    </row>
    <row r="516" spans="1:5" x14ac:dyDescent="0.25">
      <c r="A516" s="5">
        <v>590</v>
      </c>
      <c r="B516" s="8" t="str">
        <f>VLOOKUP(A516,'Sets (lua data)'!$A$3:$C$9920,3,FALSE)</f>
        <v>Perfected Sul-Xan\'s Torment</v>
      </c>
      <c r="C516" s="8" t="str">
        <f>VLOOKUP(A516,'Sets (lua data)'!$A$3:$C$9920,2,FALSE)</f>
        <v>Perfected Sul-Xan\'s Torment</v>
      </c>
      <c r="D516" t="s">
        <v>2359</v>
      </c>
      <c r="E516" s="3" t="str">
        <f>IF(ISNA(VLOOKUP(D516,'&lt;Constants&gt;'!$B$4:$C$44,2,FALSE)),"",VLOOKUP(D516,'&lt;Constants&gt;'!$B$4:$C$44,2,FALSE))</f>
        <v>Blackwood</v>
      </c>
    </row>
    <row r="517" spans="1:5" x14ac:dyDescent="0.25">
      <c r="A517" s="5">
        <v>591</v>
      </c>
      <c r="B517" s="8" t="str">
        <f>VLOOKUP(A517,'Sets (lua data)'!$A$3:$C$9920,3,FALSE)</f>
        <v>Perfected Bahsei\'s Mania</v>
      </c>
      <c r="C517" s="8" t="str">
        <f>VLOOKUP(A517,'Sets (lua data)'!$A$3:$C$9920,2,FALSE)</f>
        <v>Bahseis perfektionierte Manie</v>
      </c>
      <c r="D517" t="s">
        <v>2359</v>
      </c>
      <c r="E517" s="3" t="str">
        <f>IF(ISNA(VLOOKUP(D517,'&lt;Constants&gt;'!$B$4:$C$44,2,FALSE)),"",VLOOKUP(D517,'&lt;Constants&gt;'!$B$4:$C$44,2,FALSE))</f>
        <v>Blackwood</v>
      </c>
    </row>
    <row r="518" spans="1:5" x14ac:dyDescent="0.25">
      <c r="A518" s="5">
        <v>592</v>
      </c>
      <c r="B518" s="8" t="str">
        <f>VLOOKUP(A518,'Sets (lua data)'!$A$3:$C$9920,3,FALSE)</f>
        <v>Perfected Stone-Talker\'s Oath</v>
      </c>
      <c r="C518" s="8" t="str">
        <f>VLOOKUP(A518,'Sets (lua data)'!$A$3:$C$9920,2,FALSE)</f>
        <v>Perfektionierter Eid des Steinsprechers</v>
      </c>
      <c r="D518" t="s">
        <v>2359</v>
      </c>
      <c r="E518" s="3" t="str">
        <f>IF(ISNA(VLOOKUP(D518,'&lt;Constants&gt;'!$B$4:$C$44,2,FALSE)),"",VLOOKUP(D518,'&lt;Constants&gt;'!$B$4:$C$44,2,FALSE))</f>
        <v>Blackwood</v>
      </c>
    </row>
    <row r="519" spans="1:5" x14ac:dyDescent="0.25">
      <c r="A519" s="5">
        <v>593</v>
      </c>
      <c r="B519" s="8" t="str">
        <f>VLOOKUP(A519,'Sets (lua data)'!$A$3:$C$9920,3,FALSE)</f>
        <v>Gaze of Sithis</v>
      </c>
      <c r="C519" s="8" t="str">
        <f>VLOOKUP(A519,'Sets (lua data)'!$A$3:$C$9920,2,FALSE)</f>
        <v>Gaze of Sithis</v>
      </c>
      <c r="D519" t="s">
        <v>2359</v>
      </c>
      <c r="E519" s="3" t="str">
        <f>IF(ISNA(VLOOKUP(D519,'&lt;Constants&gt;'!$B$4:$C$44,2,FALSE)),"",VLOOKUP(D519,'&lt;Constants&gt;'!$B$4:$C$44,2,FALSE))</f>
        <v>Blackwood</v>
      </c>
    </row>
    <row r="520" spans="1:5" x14ac:dyDescent="0.25">
      <c r="A520" s="5">
        <v>594</v>
      </c>
      <c r="B520" s="8" t="str">
        <f>VLOOKUP(A520,'Sets (lua data)'!$A$3:$C$9920,3,FALSE)</f>
        <v>Harpooner\'s Wading Kilt</v>
      </c>
      <c r="C520" s="8" t="str">
        <f>VLOOKUP(A520,'Sets (lua data)'!$A$3:$C$9920,2,FALSE)</f>
        <v>Harpooner\'s Wading Kilt</v>
      </c>
      <c r="D520" t="s">
        <v>2359</v>
      </c>
      <c r="E520" s="3" t="str">
        <f>IF(ISNA(VLOOKUP(D520,'&lt;Constants&gt;'!$B$4:$C$44,2,FALSE)),"",VLOOKUP(D520,'&lt;Constants&gt;'!$B$4:$C$44,2,FALSE))</f>
        <v>Blackwood</v>
      </c>
    </row>
    <row r="521" spans="1:5" x14ac:dyDescent="0.25">
      <c r="A521" s="5">
        <v>596</v>
      </c>
      <c r="B521" s="8" t="str">
        <f>VLOOKUP(A521,'Sets (lua data)'!$A$3:$C$9920,3,FALSE)</f>
        <v>Death Dealer\'s Fete</v>
      </c>
      <c r="C521" s="8" t="str">
        <f>VLOOKUP(A521,'Sets (lua data)'!$A$3:$C$9920,2,FALSE)</f>
        <v>Death Dealer\'s Fete</v>
      </c>
      <c r="D521" t="s">
        <v>2359</v>
      </c>
      <c r="E521" s="3" t="str">
        <f>IF(ISNA(VLOOKUP(D521,'&lt;Constants&gt;'!$B$4:$C$44,2,FALSE)),"",VLOOKUP(D521,'&lt;Constants&gt;'!$B$4:$C$44,2,FALSE))</f>
        <v>Blackwood</v>
      </c>
    </row>
    <row r="522" spans="1:5" x14ac:dyDescent="0.25">
      <c r="A522" s="5">
        <v>597</v>
      </c>
      <c r="B522" s="8" t="str">
        <f>VLOOKUP(A522,'Sets (lua data)'!$A$3:$C$9920,3,FALSE)</f>
        <v>Shapeshifter\'s Chain</v>
      </c>
      <c r="C522" s="8" t="str">
        <f>VLOOKUP(A522,'Sets (lua data)'!$A$3:$C$9920,2,FALSE)</f>
        <v>Shapeshifter\'s Chain</v>
      </c>
      <c r="D522" t="s">
        <v>2359</v>
      </c>
      <c r="E522" s="3" t="str">
        <f>IF(ISNA(VLOOKUP(D522,'&lt;Constants&gt;'!$B$4:$C$44,2,FALSE)),"",VLOOKUP(D522,'&lt;Constants&gt;'!$B$4:$C$44,2,FALSE))</f>
        <v>Blackwood</v>
      </c>
    </row>
    <row r="523" spans="1:5" x14ac:dyDescent="0.25">
      <c r="A523" s="5">
        <v>598</v>
      </c>
      <c r="B523" s="8" t="str">
        <f>VLOOKUP(A523,'Sets (lua data)'!$A$3:$C$9920,3,FALSE)</f>
        <v>Zoal the Ever-Wakeful</v>
      </c>
      <c r="C523" s="8" t="str">
        <f>VLOOKUP(A523,'Sets (lua data)'!$A$3:$C$9920,2,FALSE)</f>
        <v>Zoal der Immerwache</v>
      </c>
      <c r="D523" t="s">
        <v>1421</v>
      </c>
      <c r="E523" s="3" t="str">
        <f>IF(ISNA(VLOOKUP(D523,'&lt;Constants&gt;'!$B$4:$C$44,2,FALSE)),"",VLOOKUP(D523,'&lt;Constants&gt;'!$B$4:$C$44,2,FALSE))</f>
        <v>Imperial City</v>
      </c>
    </row>
    <row r="524" spans="1:5" x14ac:dyDescent="0.25">
      <c r="A524" s="5">
        <v>599</v>
      </c>
      <c r="B524" s="8" t="str">
        <f>VLOOKUP(A524,'Sets (lua data)'!$A$3:$C$9920,3,FALSE)</f>
        <v>Immolator Charr</v>
      </c>
      <c r="C524" s="8" t="str">
        <f>VLOOKUP(A524,'Sets (lua data)'!$A$3:$C$9920,2,FALSE)</f>
        <v>Entflammer Charr</v>
      </c>
      <c r="D524" s="101" t="s">
        <v>1421</v>
      </c>
      <c r="E524" s="3" t="str">
        <f>IF(ISNA(VLOOKUP(D524,'&lt;Constants&gt;'!$B$4:$C$44,2,FALSE)),"",VLOOKUP(D524,'&lt;Constants&gt;'!$B$4:$C$44,2,FALSE))</f>
        <v>Imperial City</v>
      </c>
    </row>
    <row r="525" spans="1:5" x14ac:dyDescent="0.25">
      <c r="A525" s="5">
        <v>600</v>
      </c>
      <c r="B525" s="8" t="str">
        <f>VLOOKUP(A525,'Sets (lua data)'!$A$3:$C$9920,3,FALSE)</f>
        <v>Glorgoloch the Destroyer</v>
      </c>
      <c r="C525" s="8" t="str">
        <f>VLOOKUP(A525,'Sets (lua data)'!$A$3:$C$9920,2,FALSE)</f>
        <v>Glorgoloch der Zerstörer</v>
      </c>
      <c r="D525" s="101" t="s">
        <v>1421</v>
      </c>
      <c r="E525" s="3" t="str">
        <f>IF(ISNA(VLOOKUP(D525,'&lt;Constants&gt;'!$B$4:$C$44,2,FALSE)),"",VLOOKUP(D525,'&lt;Constants&gt;'!$B$4:$C$44,2,FALSE))</f>
        <v>Imperial City</v>
      </c>
    </row>
    <row r="526" spans="1:5" x14ac:dyDescent="0.25">
      <c r="A526" s="5">
        <v>602</v>
      </c>
      <c r="B526" s="8" t="str">
        <f>VLOOKUP(A526,'Sets (lua data)'!$A$3:$C$9920,3,FALSE)</f>
        <v>Crimson Oath\'s Rive</v>
      </c>
      <c r="C526" s="8" t="str">
        <f>VLOOKUP(A526,'Sets (lua data)'!$A$3:$C$9920,2,FALSE)</f>
        <v>Spalt des Karmesinschwurs</v>
      </c>
      <c r="D526" s="101" t="s">
        <v>2501</v>
      </c>
      <c r="E526" s="3" t="str">
        <f>IF(ISNA(VLOOKUP(D526,'&lt;Constants&gt;'!$B$4:$C$44,2,FALSE)),"",VLOOKUP(D526,'&lt;Constants&gt;'!$B$4:$C$44,2,FALSE))</f>
        <v>Waking Flame</v>
      </c>
    </row>
    <row r="527" spans="1:5" x14ac:dyDescent="0.25">
      <c r="A527" s="5">
        <v>603</v>
      </c>
      <c r="B527" s="8" t="str">
        <f>VLOOKUP(A527,'Sets (lua data)'!$A$3:$C$9920,3,FALSE)</f>
        <v>Scorion\'s Feast </v>
      </c>
      <c r="C527" s="8" t="str">
        <f>VLOOKUP(A527,'Sets (lua data)'!$A$3:$C$9920,2,FALSE)</f>
        <v>Festmahl des Skorions</v>
      </c>
      <c r="D527" s="101" t="s">
        <v>2501</v>
      </c>
      <c r="E527" s="3" t="str">
        <f>IF(ISNA(VLOOKUP(D527,'&lt;Constants&gt;'!$B$4:$C$44,2,FALSE)),"",VLOOKUP(D527,'&lt;Constants&gt;'!$B$4:$C$44,2,FALSE))</f>
        <v>Waking Flame</v>
      </c>
    </row>
    <row r="528" spans="1:5" x14ac:dyDescent="0.25">
      <c r="A528" s="5">
        <v>604</v>
      </c>
      <c r="B528" s="8" t="str">
        <f>VLOOKUP(A528,'Sets (lua data)'!$A$3:$C$9920,3,FALSE)</f>
        <v>Rush of Agony</v>
      </c>
      <c r="C528" s="8" t="str">
        <f>VLOOKUP(A528,'Sets (lua data)'!$A$3:$C$9920,2,FALSE)</f>
        <v>Auftreibende Agonie</v>
      </c>
      <c r="D528" s="101" t="s">
        <v>2501</v>
      </c>
      <c r="E528" s="3" t="str">
        <f>IF(ISNA(VLOOKUP(D528,'&lt;Constants&gt;'!$B$4:$C$44,2,FALSE)),"",VLOOKUP(D528,'&lt;Constants&gt;'!$B$4:$C$44,2,FALSE))</f>
        <v>Waking Flame</v>
      </c>
    </row>
    <row r="529" spans="1:5" x14ac:dyDescent="0.25">
      <c r="A529" s="5">
        <v>605</v>
      </c>
      <c r="B529" s="8" t="str">
        <f>VLOOKUP(A529,'Sets (lua data)'!$A$3:$C$9920,3,FALSE)</f>
        <v>Silver Rose Vigil</v>
      </c>
      <c r="C529" s="8" t="str">
        <f>VLOOKUP(A529,'Sets (lua data)'!$A$3:$C$9920,2,FALSE)</f>
        <v>Silberrosen-Wacht</v>
      </c>
      <c r="D529" t="s">
        <v>2501</v>
      </c>
      <c r="E529" s="3" t="str">
        <f>IF(ISNA(VLOOKUP(D529,'&lt;Constants&gt;'!$B$4:$C$44,2,FALSE)),"",VLOOKUP(D529,'&lt;Constants&gt;'!$B$4:$C$44,2,FALSE))</f>
        <v>Waking Flame</v>
      </c>
    </row>
    <row r="530" spans="1:5" x14ac:dyDescent="0.25">
      <c r="A530" s="5">
        <v>606</v>
      </c>
      <c r="B530" s="8" t="str">
        <f>VLOOKUP(A530,'Sets (lua data)'!$A$3:$C$9920,3,FALSE)</f>
        <v>Thunder Caller</v>
      </c>
      <c r="C530" s="8" t="str">
        <f>VLOOKUP(A530,'Sets (lua data)'!$A$3:$C$9920,2,FALSE)</f>
        <v>Donnerrufer</v>
      </c>
      <c r="D530" s="101" t="s">
        <v>2501</v>
      </c>
      <c r="E530" s="3" t="str">
        <f>IF(ISNA(VLOOKUP(D530,'&lt;Constants&gt;'!$B$4:$C$44,2,FALSE)),"",VLOOKUP(D530,'&lt;Constants&gt;'!$B$4:$C$44,2,FALSE))</f>
        <v>Waking Flame</v>
      </c>
    </row>
    <row r="531" spans="1:5" x14ac:dyDescent="0.25">
      <c r="A531" s="5">
        <v>607</v>
      </c>
      <c r="B531" s="8" t="str">
        <f>VLOOKUP(A531,'Sets (lua data)'!$A$3:$C$9920,3,FALSE)</f>
        <v>Grisly Gourmet</v>
      </c>
      <c r="C531" s="8" t="str">
        <f>VLOOKUP(A531,'Sets (lua data)'!$A$3:$C$9920,2,FALSE)</f>
        <v>Grausiger Gourmet</v>
      </c>
      <c r="D531" t="s">
        <v>2501</v>
      </c>
      <c r="E531" s="3" t="str">
        <f>IF(ISNA(VLOOKUP(D531,'&lt;Constants&gt;'!$B$4:$C$44,2,FALSE)),"",VLOOKUP(D531,'&lt;Constants&gt;'!$B$4:$C$44,2,FALSE))</f>
        <v>Waking Flame</v>
      </c>
    </row>
    <row r="532" spans="1:5" x14ac:dyDescent="0.25">
      <c r="A532" s="5">
        <v>608</v>
      </c>
      <c r="B532" s="8" t="str">
        <f>VLOOKUP(A532,'Sets (lua data)'!$A$3:$C$9920,3,FALSE)</f>
        <v>Prior Thierric</v>
      </c>
      <c r="C532" s="8" t="str">
        <f>VLOOKUP(A532,'Sets (lua data)'!$A$3:$C$9920,2,FALSE)</f>
        <v>Prior Thierric</v>
      </c>
      <c r="D532" t="s">
        <v>2501</v>
      </c>
      <c r="E532" s="3" t="str">
        <f>IF(ISNA(VLOOKUP(D532,'&lt;Constants&gt;'!$B$4:$C$44,2,FALSE)),"",VLOOKUP(D532,'&lt;Constants&gt;'!$B$4:$C$44,2,FALSE))</f>
        <v>Waking Flame</v>
      </c>
    </row>
    <row r="533" spans="1:5" x14ac:dyDescent="0.25">
      <c r="A533" s="5">
        <v>609</v>
      </c>
      <c r="B533" s="8" t="str">
        <f>VLOOKUP(A533,'Sets (lua data)'!$A$3:$C$9920,3,FALSE)</f>
        <v>Magma Incarnate</v>
      </c>
      <c r="C533" s="8" t="str">
        <f>VLOOKUP(A533,'Sets (lua data)'!$A$3:$C$9920,2,FALSE)</f>
        <v>Magmaverkörperung</v>
      </c>
      <c r="D533" s="101" t="s">
        <v>2501</v>
      </c>
      <c r="E533" s="3" t="str">
        <f>IF(ISNA(VLOOKUP(D533,'&lt;Constants&gt;'!$B$4:$C$44,2,FALSE)),"",VLOOKUP(D533,'&lt;Constants&gt;'!$B$4:$C$44,2,FALSE))</f>
        <v>Waking Flame</v>
      </c>
    </row>
    <row r="534" spans="1:5" x14ac:dyDescent="0.25">
      <c r="A534" s="5">
        <v>610</v>
      </c>
      <c r="B534" s="8" t="str">
        <f>VLOOKUP(A534,'Sets (lua data)'!$A$3:$C$9920,3,FALSE)</f>
        <v>Wretched Vitality</v>
      </c>
      <c r="C534" s="8" t="str">
        <f>VLOOKUP(A534,'Sets (lua data)'!$A$3:$C$9920,2,FALSE)</f>
        <v>Elendsvitalität</v>
      </c>
      <c r="D534" t="s">
        <v>2629</v>
      </c>
      <c r="E534" s="3" t="str">
        <f>IF(ISNA(VLOOKUP(D534,'&lt;Constants&gt;'!$B$4:$C$44,2,FALSE)),"",VLOOKUP(D534,'&lt;Constants&gt;'!$B$4:$C$44,2,FALSE))</f>
        <v>The Deadlands</v>
      </c>
    </row>
    <row r="535" spans="1:5" x14ac:dyDescent="0.25">
      <c r="A535" s="5">
        <v>611</v>
      </c>
      <c r="B535" s="8" t="str">
        <f>VLOOKUP(A535,'Sets (lua data)'!$A$3:$C$9920,3,FALSE)</f>
        <v>Deadlands Demolisher</v>
      </c>
      <c r="C535" s="8" t="str">
        <f>VLOOKUP(A535,'Sets (lua data)'!$A$3:$C$9920,2,FALSE)</f>
        <v>Totenländer-Demolierer</v>
      </c>
      <c r="D535" s="101" t="s">
        <v>2629</v>
      </c>
      <c r="E535" s="3" t="str">
        <f>IF(ISNA(VLOOKUP(D535,'&lt;Constants&gt;'!$B$4:$C$44,2,FALSE)),"",VLOOKUP(D535,'&lt;Constants&gt;'!$B$4:$C$44,2,FALSE))</f>
        <v>The Deadlands</v>
      </c>
    </row>
    <row r="536" spans="1:5" x14ac:dyDescent="0.25">
      <c r="A536" s="5">
        <v>612</v>
      </c>
      <c r="B536" s="8" t="str">
        <f>VLOOKUP(A536,'Sets (lua data)'!$A$3:$C$9920,3,FALSE)</f>
        <v>Iron Flask</v>
      </c>
      <c r="C536" s="8" t="str">
        <f>VLOOKUP(A536,'Sets (lua data)'!$A$3:$C$9920,2,FALSE)</f>
        <v>Eisenfläschchen</v>
      </c>
      <c r="D536" t="s">
        <v>2629</v>
      </c>
      <c r="E536" s="3" t="str">
        <f>IF(ISNA(VLOOKUP(D536,'&lt;Constants&gt;'!$B$4:$C$44,2,FALSE)),"",VLOOKUP(D536,'&lt;Constants&gt;'!$B$4:$C$44,2,FALSE))</f>
        <v>The Deadlands</v>
      </c>
    </row>
    <row r="537" spans="1:5" x14ac:dyDescent="0.25">
      <c r="A537" s="5">
        <v>613</v>
      </c>
      <c r="B537" s="8" t="str">
        <f>VLOOKUP(A537,'Sets (lua data)'!$A$3:$C$9920,3,FALSE)</f>
        <v>Eye of the Grasp</v>
      </c>
      <c r="C537" s="8" t="str">
        <f>VLOOKUP(A537,'Sets (lua data)'!$A$3:$C$9920,2,FALSE)</f>
        <v>Griffblick</v>
      </c>
      <c r="D537" s="101" t="s">
        <v>2629</v>
      </c>
      <c r="E537" s="3" t="str">
        <f>IF(ISNA(VLOOKUP(D537,'&lt;Constants&gt;'!$B$4:$C$44,2,FALSE)),"",VLOOKUP(D537,'&lt;Constants&gt;'!$B$4:$C$44,2,FALSE))</f>
        <v>The Deadlands</v>
      </c>
    </row>
    <row r="538" spans="1:5" x14ac:dyDescent="0.25">
      <c r="A538" s="5">
        <v>614</v>
      </c>
      <c r="B538" s="8" t="str">
        <f>VLOOKUP(A538,'Sets (lua data)'!$A$3:$C$9920,3,FALSE)</f>
        <v>Hexos' Ward</v>
      </c>
      <c r="C538" s="8" t="str">
        <f>VLOOKUP(A538,'Sets (lua data)'!$A$3:$C$9920,2,FALSE)</f>
        <v>Hexos-Abschirmung</v>
      </c>
      <c r="D538" s="101" t="s">
        <v>2629</v>
      </c>
      <c r="E538" s="3" t="str">
        <f>IF(ISNA(VLOOKUP(D538,'&lt;Constants&gt;'!$B$4:$C$44,2,FALSE)),"",VLOOKUP(D538,'&lt;Constants&gt;'!$B$4:$C$44,2,FALSE))</f>
        <v>The Deadlands</v>
      </c>
    </row>
    <row r="539" spans="1:5" x14ac:dyDescent="0.25">
      <c r="A539" s="5">
        <v>615</v>
      </c>
      <c r="B539" s="8" t="str">
        <f>VLOOKUP(A539,'Sets (lua data)'!$A$3:$C$9920,3,FALSE)</f>
        <v>Kynmarcher's Cruelty</v>
      </c>
      <c r="C539" s="8" t="str">
        <f>VLOOKUP(A539,'Sets (lua data)'!$A$3:$C$9920,2,FALSE)</f>
        <v>Grausamkeit der Kynandantin</v>
      </c>
      <c r="D539" s="101" t="s">
        <v>2629</v>
      </c>
      <c r="E539" s="3" t="str">
        <f>IF(ISNA(VLOOKUP(D539,'&lt;Constants&gt;'!$B$4:$C$44,2,FALSE)),"",VLOOKUP(D539,'&lt;Constants&gt;'!$B$4:$C$44,2,FALSE))</f>
        <v>The Deadlands</v>
      </c>
    </row>
    <row r="540" spans="1:5" x14ac:dyDescent="0.25">
      <c r="A540" s="5">
        <v>616</v>
      </c>
      <c r="B540" s="8" t="str">
        <f>VLOOKUP(A540,'Sets (lua data)'!$A$3:$C$9920,3,FALSE)</f>
        <v>Dark Convergence</v>
      </c>
      <c r="C540" s="8" t="str">
        <f>VLOOKUP(A540,'Sets (lua data)'!$A$3:$C$9920,2,FALSE)</f>
        <v>Dunkle Konvergenz</v>
      </c>
      <c r="D540" t="s">
        <v>1420</v>
      </c>
      <c r="E540" s="3" t="str">
        <f>IF(ISNA(VLOOKUP(D540,'&lt;Constants&gt;'!$B$4:$C$44,2,FALSE)),"",VLOOKUP(D540,'&lt;Constants&gt;'!$B$4:$C$44,2,FALSE))</f>
        <v>Included in base game</v>
      </c>
    </row>
    <row r="541" spans="1:5" x14ac:dyDescent="0.25">
      <c r="A541" s="5">
        <v>617</v>
      </c>
      <c r="B541" s="8" t="str">
        <f>VLOOKUP(A541,'Sets (lua data)'!$A$3:$C$9920,3,FALSE)</f>
        <v>Plaguebreak</v>
      </c>
      <c r="C541" s="8" t="str">
        <f>VLOOKUP(A541,'Sets (lua data)'!$A$3:$C$9920,2,FALSE)</f>
        <v>Seuchenbruch</v>
      </c>
      <c r="D541" t="s">
        <v>1420</v>
      </c>
      <c r="E541" s="3" t="str">
        <f>IF(ISNA(VLOOKUP(D541,'&lt;Constants&gt;'!$B$4:$C$44,2,FALSE)),"",VLOOKUP(D541,'&lt;Constants&gt;'!$B$4:$C$44,2,FALSE))</f>
        <v>Included in base game</v>
      </c>
    </row>
    <row r="542" spans="1:5" x14ac:dyDescent="0.25">
      <c r="A542" s="5">
        <v>618</v>
      </c>
      <c r="B542" s="8" t="str">
        <f>VLOOKUP(A542,'Sets (lua data)'!$A$3:$C$9920,3,FALSE)</f>
        <v>Hrothgar\'s Chill</v>
      </c>
      <c r="C542" s="8" t="str">
        <f>VLOOKUP(A542,'Sets (lua data)'!$A$3:$C$9920,2,FALSE)</f>
        <v>Hrothgars Kühle</v>
      </c>
      <c r="D542" t="s">
        <v>1420</v>
      </c>
      <c r="E542" s="3" t="str">
        <f>IF(ISNA(VLOOKUP(D542,'&lt;Constants&gt;'!$B$4:$C$44,2,FALSE)),"",VLOOKUP(D542,'&lt;Constants&gt;'!$B$4:$C$44,2,FALSE))</f>
        <v>Included in base game</v>
      </c>
    </row>
    <row r="543" spans="1:5" x14ac:dyDescent="0.25">
      <c r="A543" s="5">
        <v>619</v>
      </c>
      <c r="B543" s="8" t="str">
        <f>VLOOKUP(A543,'Sets (lua data)'!$A$3:$C$9920,3,FALSE)</f>
        <v>Maligalig\'s Maelstrom</v>
      </c>
      <c r="C543" s="8" t="str">
        <f>VLOOKUP(A543,'Sets (lua data)'!$A$3:$C$9920,2,FALSE)</f>
        <v>Maligaligs Mahlstrom</v>
      </c>
      <c r="D543" t="s">
        <v>2683</v>
      </c>
      <c r="E543" s="3" t="str">
        <f>IF(ISNA(VLOOKUP(D543,'&lt;Constants&gt;'!$B$4:$C$44,2,FALSE)),"",VLOOKUP(D543,'&lt;Constants&gt;'!$B$4:$C$44,2,FALSE))</f>
        <v>Ascending Tide</v>
      </c>
    </row>
    <row r="544" spans="1:5" x14ac:dyDescent="0.25">
      <c r="A544" s="5">
        <v>620</v>
      </c>
      <c r="B544" s="8" t="str">
        <f>VLOOKUP(A544,'Sets (lua data)'!$A$3:$C$9920,3,FALSE)</f>
        <v>Gryphon\'s Reprisal</v>
      </c>
      <c r="C544" s="8" t="str">
        <f>VLOOKUP(A544,'Sets (lua data)'!$A$3:$C$9920,2,FALSE)</f>
        <v>Vergeltung des Greifen</v>
      </c>
      <c r="D544" t="s">
        <v>2683</v>
      </c>
      <c r="E544" s="3" t="str">
        <f>IF(ISNA(VLOOKUP(D544,'&lt;Constants&gt;'!$B$4:$C$44,2,FALSE)),"",VLOOKUP(D544,'&lt;Constants&gt;'!$B$4:$C$44,2,FALSE))</f>
        <v>Ascending Tide</v>
      </c>
    </row>
    <row r="545" spans="1:5" x14ac:dyDescent="0.25">
      <c r="A545" s="5">
        <v>621</v>
      </c>
      <c r="B545" s="8" t="str">
        <f>VLOOKUP(A545,'Sets (lua data)'!$A$3:$C$9920,3,FALSE)</f>
        <v>Glacial Guardian</v>
      </c>
      <c r="C545" s="8" t="str">
        <f>VLOOKUP(A545,'Sets (lua data)'!$A$3:$C$9920,2,FALSE)</f>
        <v>Gletscherwächter</v>
      </c>
      <c r="D545" t="s">
        <v>2683</v>
      </c>
      <c r="E545" s="3" t="str">
        <f>IF(ISNA(VLOOKUP(D545,'&lt;Constants&gt;'!$B$4:$C$44,2,FALSE)),"",VLOOKUP(D545,'&lt;Constants&gt;'!$B$4:$C$44,2,FALSE))</f>
        <v>Ascending Tide</v>
      </c>
    </row>
    <row r="546" spans="1:5" x14ac:dyDescent="0.25">
      <c r="A546" s="5">
        <v>622</v>
      </c>
      <c r="B546" s="8" t="str">
        <f>VLOOKUP(A546,'Sets (lua data)'!$A$3:$C$9920,3,FALSE)</f>
        <v>Turning Tide</v>
      </c>
      <c r="C546" s="8" t="str">
        <f>VLOOKUP(A546,'Sets (lua data)'!$A$3:$C$9920,2,FALSE)</f>
        <v>Gezeitenwechsel</v>
      </c>
      <c r="D546" t="s">
        <v>2683</v>
      </c>
      <c r="E546" s="3" t="str">
        <f>IF(ISNA(VLOOKUP(D546,'&lt;Constants&gt;'!$B$4:$C$44,2,FALSE)),"",VLOOKUP(D546,'&lt;Constants&gt;'!$B$4:$C$44,2,FALSE))</f>
        <v>Ascending Tide</v>
      </c>
    </row>
    <row r="547" spans="1:5" x14ac:dyDescent="0.25">
      <c r="A547" s="5">
        <v>623</v>
      </c>
      <c r="B547" s="8" t="str">
        <f>VLOOKUP(A547,'Sets (lua data)'!$A$3:$C$9920,3,FALSE)</f>
        <v>Storm-Cursed\'s Revenge</v>
      </c>
      <c r="C547" s="8" t="str">
        <f>VLOOKUP(A547,'Sets (lua data)'!$A$3:$C$9920,2,FALSE)</f>
        <v>Rache des Sturmverfluchten</v>
      </c>
      <c r="D547" t="s">
        <v>2683</v>
      </c>
      <c r="E547" s="3" t="str">
        <f>IF(ISNA(VLOOKUP(D547,'&lt;Constants&gt;'!$B$4:$C$44,2,FALSE)),"",VLOOKUP(D547,'&lt;Constants&gt;'!$B$4:$C$44,2,FALSE))</f>
        <v>Ascending Tide</v>
      </c>
    </row>
    <row r="548" spans="1:5" x14ac:dyDescent="0.25">
      <c r="A548" s="5">
        <v>624</v>
      </c>
      <c r="B548" s="8" t="str">
        <f>VLOOKUP(A548,'Sets (lua data)'!$A$3:$C$9920,3,FALSE)</f>
        <v>Spriggan\’s Vigor</v>
      </c>
      <c r="C548" s="8" t="str">
        <f>VLOOKUP(A548,'Sets (lua data)'!$A$3:$C$9920,2,FALSE)</f>
        <v>Elan des Zweiglings</v>
      </c>
      <c r="D548" t="s">
        <v>2683</v>
      </c>
      <c r="E548" s="3" t="str">
        <f>IF(ISNA(VLOOKUP(D548,'&lt;Constants&gt;'!$B$4:$C$44,2,FALSE)),"",VLOOKUP(D548,'&lt;Constants&gt;'!$B$4:$C$44,2,FALSE))</f>
        <v>Ascending Tide</v>
      </c>
    </row>
    <row r="549" spans="1:5" x14ac:dyDescent="0.25">
      <c r="A549" s="5">
        <v>625</v>
      </c>
      <c r="B549" s="8" t="str">
        <f>VLOOKUP(A549,'Sets (lua data)'!$A$3:$C$9920,3,FALSE)</f>
        <v>Markyn Ring of Majesty</v>
      </c>
      <c r="C549" s="8" t="str">
        <f>VLOOKUP(A549,'Sets (lua data)'!$A$3:$C$9920,2,FALSE)</f>
        <v>Markyn-Ring der Erhabenheit</v>
      </c>
      <c r="D549" t="s">
        <v>2629</v>
      </c>
      <c r="E549" s="3" t="str">
        <f>IF(ISNA(VLOOKUP(D549,'&lt;Constants&gt;'!$B$4:$C$44,2,FALSE)),"",VLOOKUP(D549,'&lt;Constants&gt;'!$B$4:$C$44,2,FALSE))</f>
        <v>The Deadlands</v>
      </c>
    </row>
    <row r="550" spans="1:5" x14ac:dyDescent="0.25">
      <c r="A550" s="5">
        <v>626</v>
      </c>
      <c r="B550" s="8" t="str">
        <f>VLOOKUP(A550,'Sets (lua data)'!$A$3:$C$9920,3,FALSE)</f>
        <v>Belharza's Band</v>
      </c>
      <c r="C550" s="8" t="str">
        <f>VLOOKUP(A550,'Sets (lua data)'!$A$3:$C$9920,2,FALSE)</f>
        <v>Belharzas Band</v>
      </c>
      <c r="D550" t="s">
        <v>2629</v>
      </c>
      <c r="E550" s="3" t="str">
        <f>IF(ISNA(VLOOKUP(D550,'&lt;Constants&gt;'!$B$4:$C$44,2,FALSE)),"",VLOOKUP(D550,'&lt;Constants&gt;'!$B$4:$C$44,2,FALSE))</f>
        <v>The Deadlands</v>
      </c>
    </row>
    <row r="551" spans="1:5" x14ac:dyDescent="0.25">
      <c r="A551" s="5">
        <v>627</v>
      </c>
      <c r="B551" s="8" t="str">
        <f>VLOOKUP(A551,'Sets (lua data)'!$A$3:$C$9920,3,FALSE)</f>
        <v>Spaulder of Ruin</v>
      </c>
      <c r="C551" s="8" t="str">
        <f>VLOOKUP(A551,'Sets (lua data)'!$A$3:$C$9920,2,FALSE)</f>
        <v>Schulterbänder des Untergangs</v>
      </c>
      <c r="D551" t="s">
        <v>2629</v>
      </c>
      <c r="E551" s="3" t="str">
        <f>IF(ISNA(VLOOKUP(D551,'&lt;Constants&gt;'!$B$4:$C$44,2,FALSE)),"",VLOOKUP(D551,'&lt;Constants&gt;'!$B$4:$C$44,2,FALSE))</f>
        <v>The Deadlands</v>
      </c>
    </row>
    <row r="552" spans="1:5" x14ac:dyDescent="0.25">
      <c r="A552" s="5">
        <v>629</v>
      </c>
      <c r="B552" s="8" t="str">
        <f>VLOOKUP(A552,'Sets (lua data)'!$A$3:$C$9920,3,FALSE)</f>
        <v>Rallying Cry</v>
      </c>
      <c r="C552" s="8" t="str">
        <f>VLOOKUP(A552,'Sets (lua data)'!$A$3:$C$9920,2,FALSE)</f>
        <v>Schlachtruf</v>
      </c>
      <c r="D552" t="s">
        <v>1420</v>
      </c>
      <c r="E552" s="3" t="str">
        <f>IF(ISNA(VLOOKUP(D552,'&lt;Constants&gt;'!$B$4:$C$44,2,FALSE)),"",VLOOKUP(D552,'&lt;Constants&gt;'!$B$4:$C$44,2,FALSE))</f>
        <v>Included in base game</v>
      </c>
    </row>
    <row r="553" spans="1:5" x14ac:dyDescent="0.25">
      <c r="A553" s="5">
        <v>630</v>
      </c>
      <c r="B553" s="8" t="str">
        <f>VLOOKUP(A553,'Sets (lua data)'!$A$3:$C$9920,3,FALSE)</f>
        <v>Hew and Sunder </v>
      </c>
      <c r="C553" s="8" t="str">
        <f>VLOOKUP(A553,'Sets (lua data)'!$A$3:$C$9920,2,FALSE)</f>
        <v>Kappspalter</v>
      </c>
      <c r="D553" t="s">
        <v>1420</v>
      </c>
      <c r="E553" s="3" t="str">
        <f>IF(ISNA(VLOOKUP(D553,'&lt;Constants&gt;'!$B$4:$C$44,2,FALSE)),"",VLOOKUP(D553,'&lt;Constants&gt;'!$B$4:$C$44,2,FALSE))</f>
        <v>Included in base game</v>
      </c>
    </row>
    <row r="554" spans="1:5" x14ac:dyDescent="0.25">
      <c r="A554" s="5">
        <v>631</v>
      </c>
      <c r="B554" s="8" t="str">
        <f>VLOOKUP(A554,'Sets (lua data)'!$A$3:$C$9920,3,FALSE)</f>
        <v>Enervating Aura </v>
      </c>
      <c r="C554" s="8" t="str">
        <f>VLOOKUP(A554,'Sets (lua data)'!$A$3:$C$9920,2,FALSE)</f>
        <v>Enervierende Aura</v>
      </c>
      <c r="D554" t="s">
        <v>1420</v>
      </c>
      <c r="E554" s="3" t="str">
        <f>IF(ISNA(VLOOKUP(D554,'&lt;Constants&gt;'!$B$4:$C$44,2,FALSE)),"",VLOOKUP(D554,'&lt;Constants&gt;'!$B$4:$C$44,2,FALSE))</f>
        <v>Included in base game</v>
      </c>
    </row>
    <row r="555" spans="1:5" x14ac:dyDescent="0.25">
      <c r="A555" s="5">
        <v>632</v>
      </c>
      <c r="B555" s="8" t="str">
        <f>VLOOKUP(A555,'Sets (lua data)'!$A$3:$C$9920,3,FALSE)</f>
        <v>Kargaeda</v>
      </c>
      <c r="C555" s="8" t="str">
        <f>VLOOKUP(A555,'Sets (lua data)'!$A$3:$C$9920,2,FALSE)</f>
        <v>Kargaeda</v>
      </c>
      <c r="D555" t="s">
        <v>2683</v>
      </c>
      <c r="E555" s="3" t="str">
        <f>IF(ISNA(VLOOKUP(D555,'&lt;Constants&gt;'!$B$4:$C$44,2,FALSE)),"",VLOOKUP(D555,'&lt;Constants&gt;'!$B$4:$C$44,2,FALSE))</f>
        <v>Ascending Tide</v>
      </c>
    </row>
    <row r="556" spans="1:5" x14ac:dyDescent="0.25">
      <c r="A556" s="5">
        <v>633</v>
      </c>
      <c r="B556" s="8" t="str">
        <f>VLOOKUP(A556,'Sets (lua data)'!$A$3:$C$9920,3,FALSE)</f>
        <v>Nazaray </v>
      </c>
      <c r="C556" s="8" t="str">
        <f>VLOOKUP(A556,'Sets (lua data)'!$A$3:$C$9920,2,FALSE)</f>
        <v>Nazaray </v>
      </c>
      <c r="D556" t="s">
        <v>2683</v>
      </c>
      <c r="E556" s="3" t="str">
        <f>IF(ISNA(VLOOKUP(D556,'&lt;Constants&gt;'!$B$4:$C$44,2,FALSE)),"",VLOOKUP(D556,'&lt;Constants&gt;'!$B$4:$C$44,2,FALSE))</f>
        <v>Ascending Tide</v>
      </c>
    </row>
    <row r="557" spans="1:5" x14ac:dyDescent="0.25">
      <c r="A557" s="5">
        <v>634</v>
      </c>
      <c r="B557" s="8" t="str">
        <f>VLOOKUP(A557,'Sets (lua data)'!$A$3:$C$9920,3,FALSE)</f>
        <v>Nunatak</v>
      </c>
      <c r="C557" s="8" t="str">
        <f>VLOOKUP(A557,'Sets (lua data)'!$A$3:$C$9920,2,FALSE)</f>
        <v>Nunatak</v>
      </c>
      <c r="D557" t="s">
        <v>1421</v>
      </c>
      <c r="E557" s="3" t="str">
        <f>IF(ISNA(VLOOKUP(D557,'&lt;Constants&gt;'!$B$4:$C$44,2,FALSE)),"",VLOOKUP(D557,'&lt;Constants&gt;'!$B$4:$C$44,2,FALSE))</f>
        <v>Imperial City</v>
      </c>
    </row>
    <row r="558" spans="1:5" x14ac:dyDescent="0.25">
      <c r="A558" s="5">
        <v>635</v>
      </c>
      <c r="B558" s="8" t="str">
        <f>VLOOKUP(A558,'Sets (lua data)'!$A$3:$C$9920,3,FALSE)</f>
        <v>Lady Malydga</v>
      </c>
      <c r="C558" s="8" t="str">
        <f>VLOOKUP(A558,'Sets (lua data)'!$A$3:$C$9920,2,FALSE)</f>
        <v>Fürstin Malygda</v>
      </c>
      <c r="D558" s="101" t="s">
        <v>1421</v>
      </c>
      <c r="E558" s="3" t="str">
        <f>IF(ISNA(VLOOKUP(D558,'&lt;Constants&gt;'!$B$4:$C$44,2,FALSE)),"",VLOOKUP(D558,'&lt;Constants&gt;'!$B$4:$C$44,2,FALSE))</f>
        <v>Imperial City</v>
      </c>
    </row>
    <row r="559" spans="1:5" x14ac:dyDescent="0.25">
      <c r="A559" s="5">
        <v>636</v>
      </c>
      <c r="B559" s="8" t="str">
        <f>VLOOKUP(A559,'Sets (lua data)'!$A$3:$C$9920,3,FALSE)</f>
        <v>Baron Thirsk</v>
      </c>
      <c r="C559" s="8" t="str">
        <f>VLOOKUP(A559,'Sets (lua data)'!$A$3:$C$9920,2,FALSE)</f>
        <v>Baron Thirsk</v>
      </c>
      <c r="D559" s="101" t="s">
        <v>1421</v>
      </c>
      <c r="E559" s="3" t="str">
        <f>IF(ISNA(VLOOKUP(D559,'&lt;Constants&gt;'!$B$4:$C$44,2,FALSE)),"",VLOOKUP(D559,'&lt;Constants&gt;'!$B$4:$C$44,2,FALSE))</f>
        <v>Imperial City</v>
      </c>
    </row>
    <row r="560" spans="1:5" x14ac:dyDescent="0.25">
      <c r="A560" s="5">
        <v>640</v>
      </c>
      <c r="B560" s="8" t="str">
        <f>VLOOKUP(A560,'Sets (lua data)'!$A$3:$C$9920,3,FALSE)</f>
        <v>Order\'s Wrath</v>
      </c>
      <c r="C560" s="8" t="str">
        <f>VLOOKUP(A560,'Sets (lua data)'!$A$3:$C$9920,2,FALSE)</f>
        <v>Zorn des Ordens</v>
      </c>
      <c r="D560" s="101" t="s">
        <v>3296</v>
      </c>
      <c r="E560" s="3" t="str">
        <f>IF(ISNA(VLOOKUP(D560,'&lt;Constants&gt;'!$B$4:$C$44,2,FALSE)),"",VLOOKUP(D560,'&lt;Constants&gt;'!$B$4:$C$44,2,FALSE))</f>
        <v>High Isle</v>
      </c>
    </row>
    <row r="561" spans="1:5" x14ac:dyDescent="0.25">
      <c r="A561" s="5">
        <v>641</v>
      </c>
      <c r="B561" s="8" t="str">
        <f>VLOOKUP(A561,'Sets (lua data)'!$A$3:$C$9920,3,FALSE)</f>
        <v>Serpent\'s Disdain</v>
      </c>
      <c r="C561" s="8" t="str">
        <f>VLOOKUP(A561,'Sets (lua data)'!$A$3:$C$9920,2,FALSE)</f>
        <v>Verachtung der Schlange</v>
      </c>
      <c r="D561" s="101" t="s">
        <v>3296</v>
      </c>
      <c r="E561" s="3" t="str">
        <f>IF(ISNA(VLOOKUP(D561,'&lt;Constants&gt;'!$B$4:$C$44,2,FALSE)),"",VLOOKUP(D561,'&lt;Constants&gt;'!$B$4:$C$44,2,FALSE))</f>
        <v>High Isle</v>
      </c>
    </row>
    <row r="562" spans="1:5" x14ac:dyDescent="0.25">
      <c r="A562" s="5">
        <v>642</v>
      </c>
      <c r="B562" s="8" t="str">
        <f>VLOOKUP(A562,'Sets (lua data)'!$A$3:$C$9920,3,FALSE)</f>
        <v>Druid\'s Braid</v>
      </c>
      <c r="C562" s="8" t="str">
        <f>VLOOKUP(A562,'Sets (lua data)'!$A$3:$C$9920,2,FALSE)</f>
        <v>Druidenflechte</v>
      </c>
      <c r="D562" s="101" t="s">
        <v>3296</v>
      </c>
      <c r="E562" s="3" t="str">
        <f>IF(ISNA(VLOOKUP(D562,'&lt;Constants&gt;'!$B$4:$C$44,2,FALSE)),"",VLOOKUP(D562,'&lt;Constants&gt;'!$B$4:$C$44,2,FALSE))</f>
        <v>High Isle</v>
      </c>
    </row>
    <row r="563" spans="1:5" x14ac:dyDescent="0.25">
      <c r="A563" s="5">
        <v>643</v>
      </c>
      <c r="B563" s="8" t="str">
        <f>VLOOKUP(A563,'Sets (lua data)'!$A$3:$C$9920,3,FALSE)</f>
        <v>Blessing of High Isle</v>
      </c>
      <c r="C563" s="8" t="str">
        <f>VLOOKUP(A563,'Sets (lua data)'!$A$3:$C$9920,2,FALSE)</f>
        <v>Segen von Hochinsel</v>
      </c>
      <c r="D563" s="101" t="s">
        <v>3296</v>
      </c>
      <c r="E563" s="3" t="str">
        <f>IF(ISNA(VLOOKUP(D563,'&lt;Constants&gt;'!$B$4:$C$44,2,FALSE)),"",VLOOKUP(D563,'&lt;Constants&gt;'!$B$4:$C$44,2,FALSE))</f>
        <v>High Isle</v>
      </c>
    </row>
    <row r="564" spans="1:5" x14ac:dyDescent="0.25">
      <c r="A564" s="5">
        <v>644</v>
      </c>
      <c r="B564" s="8" t="str">
        <f>VLOOKUP(A564,'Sets (lua data)'!$A$3:$C$9920,3,FALSE)</f>
        <v>Steadfast\'s Mettle</v>
      </c>
      <c r="C564" s="8" t="str">
        <f>VLOOKUP(A564,'Sets (lua data)'!$A$3:$C$9920,2,FALSE)</f>
        <v>Mut der Standhaften</v>
      </c>
      <c r="D564" s="101" t="s">
        <v>3296</v>
      </c>
      <c r="E564" s="3" t="str">
        <f>IF(ISNA(VLOOKUP(D564,'&lt;Constants&gt;'!$B$4:$C$44,2,FALSE)),"",VLOOKUP(D564,'&lt;Constants&gt;'!$B$4:$C$44,2,FALSE))</f>
        <v>High Isle</v>
      </c>
    </row>
    <row r="565" spans="1:5" x14ac:dyDescent="0.25">
      <c r="A565" s="5">
        <v>645</v>
      </c>
      <c r="B565" s="8" t="str">
        <f>VLOOKUP(A565,'Sets (lua data)'!$A$3:$C$9920,3,FALSE)</f>
        <v>Systres\' Scowl</v>
      </c>
      <c r="C565" s="8" t="str">
        <f>VLOOKUP(A565,'Sets (lua data)'!$A$3:$C$9920,2,FALSE)</f>
        <v>Blick der Systren</v>
      </c>
      <c r="D565" s="101" t="s">
        <v>3296</v>
      </c>
      <c r="E565" s="3" t="str">
        <f>IF(ISNA(VLOOKUP(D565,'&lt;Constants&gt;'!$B$4:$C$44,2,FALSE)),"",VLOOKUP(D565,'&lt;Constants&gt;'!$B$4:$C$44,2,FALSE))</f>
        <v>High Isle</v>
      </c>
    </row>
    <row r="566" spans="1:5" x14ac:dyDescent="0.25">
      <c r="A566" s="5">
        <v>646</v>
      </c>
      <c r="B566" s="8" t="str">
        <f>VLOOKUP(A566,'Sets (lua data)'!$A$3:$C$9920,3,FALSE)</f>
        <v>Whorl of the Depths</v>
      </c>
      <c r="C566" s="8" t="str">
        <f>VLOOKUP(A566,'Sets (lua data)'!$A$3:$C$9920,2,FALSE)</f>
        <v>Wirbel der Tiefen</v>
      </c>
      <c r="D566" t="s">
        <v>3296</v>
      </c>
      <c r="E566" s="3" t="str">
        <f>IF(ISNA(VLOOKUP(D566,'&lt;Constants&gt;'!$B$4:$C$44,2,FALSE)),"",VLOOKUP(D566,'&lt;Constants&gt;'!$B$4:$C$44,2,FALSE))</f>
        <v>High Isle</v>
      </c>
    </row>
    <row r="567" spans="1:5" x14ac:dyDescent="0.25">
      <c r="A567" s="5">
        <v>647</v>
      </c>
      <c r="B567" s="8" t="str">
        <f>VLOOKUP(A567,'Sets (lua data)'!$A$3:$C$9920,3,FALSE)</f>
        <v>Coral Riptide</v>
      </c>
      <c r="C567" s="8" t="str">
        <f>VLOOKUP(A567,'Sets (lua data)'!$A$3:$C$9920,2,FALSE)</f>
        <v>Korallenbrandung</v>
      </c>
      <c r="D567" t="s">
        <v>3296</v>
      </c>
      <c r="E567" s="3" t="str">
        <f>IF(ISNA(VLOOKUP(D567,'&lt;Constants&gt;'!$B$4:$C$44,2,FALSE)),"",VLOOKUP(D567,'&lt;Constants&gt;'!$B$4:$C$44,2,FALSE))</f>
        <v>High Isle</v>
      </c>
    </row>
    <row r="568" spans="1:5" x14ac:dyDescent="0.25">
      <c r="A568" s="5">
        <v>648</v>
      </c>
      <c r="B568" s="8" t="str">
        <f>VLOOKUP(A568,'Sets (lua data)'!$A$3:$C$9920,3,FALSE)</f>
        <v>Pearlescent Ward</v>
      </c>
      <c r="C568" s="8" t="str">
        <f>VLOOKUP(A568,'Sets (lua data)'!$A$3:$C$9920,2,FALSE)</f>
        <v>Perlenglanz-Schutz</v>
      </c>
      <c r="D568" t="s">
        <v>3296</v>
      </c>
      <c r="E568" s="3" t="str">
        <f>IF(ISNA(VLOOKUP(D568,'&lt;Constants&gt;'!$B$4:$C$44,2,FALSE)),"",VLOOKUP(D568,'&lt;Constants&gt;'!$B$4:$C$44,2,FALSE))</f>
        <v>High Isle</v>
      </c>
    </row>
    <row r="569" spans="1:5" x14ac:dyDescent="0.25">
      <c r="A569" s="5">
        <v>649</v>
      </c>
      <c r="B569" s="8" t="str">
        <f>VLOOKUP(A569,'Sets (lua data)'!$A$3:$C$9920,3,FALSE)</f>
        <v>Pillager\'s Profit</v>
      </c>
      <c r="C569" s="8" t="str">
        <f>VLOOKUP(A569,'Sets (lua data)'!$A$3:$C$9920,2,FALSE)</f>
        <v>Profit des Brandschatzers</v>
      </c>
      <c r="D569" t="s">
        <v>3296</v>
      </c>
      <c r="E569" s="3" t="str">
        <f>IF(ISNA(VLOOKUP(D569,'&lt;Constants&gt;'!$B$4:$C$44,2,FALSE)),"",VLOOKUP(D569,'&lt;Constants&gt;'!$B$4:$C$44,2,FALSE))</f>
        <v>High Isle</v>
      </c>
    </row>
    <row r="570" spans="1:5" x14ac:dyDescent="0.25">
      <c r="A570" s="5">
        <v>650</v>
      </c>
      <c r="B570" s="8" t="str">
        <f>VLOOKUP(A570,'Sets (lua data)'!$A$3:$C$9920,3,FALSE)</f>
        <v>Perfected Pillager\'s Profit</v>
      </c>
      <c r="C570" s="8" t="str">
        <f>VLOOKUP(A570,'Sets (lua data)'!$A$3:$C$9920,2,FALSE)</f>
        <v>Perfektionierter Profit des Brandschatzers</v>
      </c>
      <c r="D570" t="s">
        <v>3296</v>
      </c>
      <c r="E570" s="3" t="str">
        <f>IF(ISNA(VLOOKUP(D570,'&lt;Constants&gt;'!$B$4:$C$44,2,FALSE)),"",VLOOKUP(D570,'&lt;Constants&gt;'!$B$4:$C$44,2,FALSE))</f>
        <v>High Isle</v>
      </c>
    </row>
    <row r="571" spans="1:5" x14ac:dyDescent="0.25">
      <c r="A571" s="5">
        <v>651</v>
      </c>
      <c r="B571" s="8" t="str">
        <f>VLOOKUP(A571,'Sets (lua data)'!$A$3:$C$9920,3,FALSE)</f>
        <v>Perfected Pearlescent Ward</v>
      </c>
      <c r="C571" s="8" t="str">
        <f>VLOOKUP(A571,'Sets (lua data)'!$A$3:$C$9920,2,FALSE)</f>
        <v>Perfektionierter Perlenglanz-Schutz</v>
      </c>
      <c r="D571" t="s">
        <v>3296</v>
      </c>
      <c r="E571" s="3" t="str">
        <f>IF(ISNA(VLOOKUP(D571,'&lt;Constants&gt;'!$B$4:$C$44,2,FALSE)),"",VLOOKUP(D571,'&lt;Constants&gt;'!$B$4:$C$44,2,FALSE))</f>
        <v>High Isle</v>
      </c>
    </row>
    <row r="572" spans="1:5" x14ac:dyDescent="0.25">
      <c r="A572" s="5">
        <v>652</v>
      </c>
      <c r="B572" s="8" t="str">
        <f>VLOOKUP(A572,'Sets (lua data)'!$A$3:$C$9920,3,FALSE)</f>
        <v>Perfected Coral Riptide</v>
      </c>
      <c r="C572" s="8" t="str">
        <f>VLOOKUP(A572,'Sets (lua data)'!$A$3:$C$9920,2,FALSE)</f>
        <v>Perfektionierte Korallenbrandung</v>
      </c>
      <c r="D572" t="s">
        <v>3296</v>
      </c>
      <c r="E572" s="3" t="str">
        <f>IF(ISNA(VLOOKUP(D572,'&lt;Constants&gt;'!$B$4:$C$44,2,FALSE)),"",VLOOKUP(D572,'&lt;Constants&gt;'!$B$4:$C$44,2,FALSE))</f>
        <v>High Isle</v>
      </c>
    </row>
    <row r="573" spans="1:5" x14ac:dyDescent="0.25">
      <c r="A573" s="5">
        <v>653</v>
      </c>
      <c r="B573" s="8" t="str">
        <f>VLOOKUP(A573,'Sets (lua data)'!$A$3:$C$9920,3,FALSE)</f>
        <v>Perfected Whorl of the Depths</v>
      </c>
      <c r="C573" s="8" t="str">
        <f>VLOOKUP(A573,'Sets (lua data)'!$A$3:$C$9920,2,FALSE)</f>
        <v>Perfektionierter Wirbel der Tiefen</v>
      </c>
      <c r="D573" t="s">
        <v>3296</v>
      </c>
      <c r="E573" s="3" t="str">
        <f>IF(ISNA(VLOOKUP(D573,'&lt;Constants&gt;'!$B$4:$C$44,2,FALSE)),"",VLOOKUP(D573,'&lt;Constants&gt;'!$B$4:$C$44,2,FALSE))</f>
        <v>High Isle</v>
      </c>
    </row>
    <row r="574" spans="1:5" x14ac:dyDescent="0.25">
      <c r="A574" s="5">
        <v>654</v>
      </c>
      <c r="B574" s="8" t="str">
        <f>VLOOKUP(A574,'Sets (lua data)'!$A$3:$C$9920,3,FALSE)</f>
        <v>Mora\'s Whispers</v>
      </c>
      <c r="C574" s="8" t="str">
        <f>VLOOKUP(A574,'Sets (lua data)'!$A$3:$C$9920,2,FALSE)</f>
        <v>Moras Flüstern</v>
      </c>
      <c r="D574" t="s">
        <v>3296</v>
      </c>
      <c r="E574" s="3" t="str">
        <f>IF(ISNA(VLOOKUP(D574,'&lt;Constants&gt;'!$B$4:$C$44,2,FALSE)),"",VLOOKUP(D574,'&lt;Constants&gt;'!$B$4:$C$44,2,FALSE))</f>
        <v>High Isle</v>
      </c>
    </row>
    <row r="575" spans="1:5" x14ac:dyDescent="0.25">
      <c r="A575" s="5">
        <v>655</v>
      </c>
      <c r="B575" s="8" t="str">
        <f>VLOOKUP(A575,'Sets (lua data)'!$A$3:$C$9920,3,FALSE)</f>
        <v>Dov-rha Sabatons</v>
      </c>
      <c r="C575" s="8" t="str">
        <f>VLOOKUP(A575,'Sets (lua data)'!$A$3:$C$9920,2,FALSE)</f>
        <v>Dov-rha-Panzerschuhe</v>
      </c>
      <c r="D575" t="s">
        <v>3296</v>
      </c>
      <c r="E575" s="3" t="str">
        <f>IF(ISNA(VLOOKUP(D575,'&lt;Constants&gt;'!$B$4:$C$44,2,FALSE)),"",VLOOKUP(D575,'&lt;Constants&gt;'!$B$4:$C$44,2,FALSE))</f>
        <v>High Isle</v>
      </c>
    </row>
    <row r="576" spans="1:5" x14ac:dyDescent="0.25">
      <c r="A576" s="5">
        <v>656</v>
      </c>
      <c r="B576" s="8" t="str">
        <f>VLOOKUP(A576,'Sets (lua data)'!$A$3:$C$9920,3,FALSE)</f>
        <v>Lefthander\'s Aegis Belt</v>
      </c>
      <c r="C576" s="8" t="str">
        <f>VLOOKUP(A576,'Sets (lua data)'!$A$3:$C$9920,2,FALSE)</f>
        <v>Ägisriemen der Linkshänder</v>
      </c>
      <c r="D576" t="s">
        <v>3296</v>
      </c>
      <c r="E576" s="3" t="str">
        <f>IF(ISNA(VLOOKUP(D576,'&lt;Constants&gt;'!$B$4:$C$44,2,FALSE)),"",VLOOKUP(D576,'&lt;Constants&gt;'!$B$4:$C$44,2,FALSE))</f>
        <v>High Isle</v>
      </c>
    </row>
    <row r="577" spans="1:5" x14ac:dyDescent="0.25">
      <c r="A577" s="5">
        <v>657</v>
      </c>
      <c r="B577" s="8" t="str">
        <f>VLOOKUP(A577,'Sets (lua data)'!$A$3:$C$9920,3,FALSE)</f>
        <v>Sea-Serpent\'s Coil</v>
      </c>
      <c r="C577" s="8" t="str">
        <f>VLOOKUP(A577,'Sets (lua data)'!$A$3:$C$9920,2,FALSE)</f>
        <v>Wicklung der Seeschlange</v>
      </c>
      <c r="D577" t="s">
        <v>3296</v>
      </c>
      <c r="E577" s="3" t="str">
        <f>IF(ISNA(VLOOKUP(D577,'&lt;Constants&gt;'!$B$4:$C$44,2,FALSE)),"",VLOOKUP(D577,'&lt;Constants&gt;'!$B$4:$C$44,2,FALSE))</f>
        <v>High Isle</v>
      </c>
    </row>
    <row r="578" spans="1:5" x14ac:dyDescent="0.25">
      <c r="A578" s="5">
        <v>658</v>
      </c>
      <c r="B578" s="8" t="str">
        <f>VLOOKUP(A578,'Sets (lua data)'!$A$3:$C$9920,3,FALSE)</f>
        <v>Oakensoul Ring</v>
      </c>
      <c r="C578" s="8" t="str">
        <f>VLOOKUP(A578,'Sets (lua data)'!$A$3:$C$9920,2,FALSE)</f>
        <v>Eichenseelenring</v>
      </c>
      <c r="D578" t="s">
        <v>3296</v>
      </c>
      <c r="E578" s="3" t="str">
        <f>IF(ISNA(VLOOKUP(D578,'&lt;Constants&gt;'!$B$4:$C$44,2,FALSE)),"",VLOOKUP(D578,'&lt;Constants&gt;'!$B$4:$C$44,2,FALSE))</f>
        <v>High Isle</v>
      </c>
    </row>
    <row r="579" spans="1:5" x14ac:dyDescent="0.25">
      <c r="A579" s="5">
        <v>660</v>
      </c>
      <c r="B579" s="8" t="str">
        <f>VLOOKUP(A579,'Sets (lua data)'!$A$3:$C$9920,3,FALSE)</f>
        <v>Deeproot Zeal</v>
      </c>
      <c r="C579" s="8" t="str">
        <f>VLOOKUP(A579,'Sets (lua data)'!$A$3:$C$9920,2,FALSE)</f>
        <v>Tiefwurz-Eifer</v>
      </c>
      <c r="D579" t="s">
        <v>3352</v>
      </c>
      <c r="E579" s="3" t="str">
        <f>IF(ISNA(VLOOKUP(D579,'&lt;Constants&gt;'!$B$4:$C$44,2,FALSE)),"",VLOOKUP(D579,'&lt;Constants&gt;'!$B$4:$C$44,2,FALSE))</f>
        <v>Lost Depths</v>
      </c>
    </row>
    <row r="580" spans="1:5" x14ac:dyDescent="0.25">
      <c r="A580" s="5">
        <v>661</v>
      </c>
      <c r="B580" s="8" t="str">
        <f>VLOOKUP(A580,'Sets (lua data)'!$A$3:$C$9920,3,FALSE)</f>
        <v>Stone\'s Accord</v>
      </c>
      <c r="C580" s="8" t="str">
        <f>VLOOKUP(A580,'Sets (lua data)'!$A$3:$C$9920,2,FALSE)</f>
        <v>Steinabkommen</v>
      </c>
      <c r="D580" t="s">
        <v>3352</v>
      </c>
      <c r="E580" s="3" t="str">
        <f>IF(ISNA(VLOOKUP(D580,'&lt;Constants&gt;'!$B$4:$C$44,2,FALSE)),"",VLOOKUP(D580,'&lt;Constants&gt;'!$B$4:$C$44,2,FALSE))</f>
        <v>Lost Depths</v>
      </c>
    </row>
    <row r="581" spans="1:5" x14ac:dyDescent="0.25">
      <c r="A581" s="5">
        <v>662</v>
      </c>
      <c r="B581" s="8" t="str">
        <f>VLOOKUP(A581,'Sets (lua data)'!$A$3:$C$9920,3,FALSE)</f>
        <v>Rage of the Ursauk </v>
      </c>
      <c r="C581" s="8" t="str">
        <f>VLOOKUP(A581,'Sets (lua data)'!$A$3:$C$9920,2,FALSE)</f>
        <v>Zorns des Ursauk</v>
      </c>
      <c r="D581" t="s">
        <v>3352</v>
      </c>
      <c r="E581" s="3" t="str">
        <f>IF(ISNA(VLOOKUP(D581,'&lt;Constants&gt;'!$B$4:$C$44,2,FALSE)),"",VLOOKUP(D581,'&lt;Constants&gt;'!$B$4:$C$44,2,FALSE))</f>
        <v>Lost Depths</v>
      </c>
    </row>
    <row r="582" spans="1:5" x14ac:dyDescent="0.25">
      <c r="A582" s="5">
        <v>663</v>
      </c>
      <c r="B582" s="8" t="str">
        <f>VLOOKUP(A582,'Sets (lua data)'!$A$3:$C$9920,3,FALSE)</f>
        <v>Pangrit Denmother</v>
      </c>
      <c r="C582" s="8" t="str">
        <f>VLOOKUP(A582,'Sets (lua data)'!$A$3:$C$9920,2,FALSE)</f>
        <v>Pangrit-Baumutter</v>
      </c>
      <c r="D582" s="101" t="s">
        <v>3352</v>
      </c>
      <c r="E582" s="3" t="str">
        <f>IF(ISNA(VLOOKUP(D582,'&lt;Constants&gt;'!$B$4:$C$44,2,FALSE)),"",VLOOKUP(D582,'&lt;Constants&gt;'!$B$4:$C$44,2,FALSE))</f>
        <v>Lost Depths</v>
      </c>
    </row>
    <row r="583" spans="1:5" x14ac:dyDescent="0.25">
      <c r="A583" s="5">
        <v>664</v>
      </c>
      <c r="B583" s="8" t="str">
        <f>VLOOKUP(A583,'Sets (lua data)'!$A$3:$C$9920,3,FALSE)</f>
        <v>Grave Inevitability</v>
      </c>
      <c r="C583" s="8" t="str">
        <f>VLOOKUP(A583,'Sets (lua data)'!$A$3:$C$9920,2,FALSE)</f>
        <v>Unvermeidlichkeit des Grabs</v>
      </c>
      <c r="D583" t="s">
        <v>3352</v>
      </c>
      <c r="E583" s="3" t="str">
        <f>IF(ISNA(VLOOKUP(D583,'&lt;Constants&gt;'!$B$4:$C$44,2,FALSE)),"",VLOOKUP(D583,'&lt;Constants&gt;'!$B$4:$C$44,2,FALSE))</f>
        <v>Lost Depths</v>
      </c>
    </row>
    <row r="584" spans="1:5" x14ac:dyDescent="0.25">
      <c r="A584" s="5">
        <v>665</v>
      </c>
      <c r="B584" s="8" t="str">
        <f>VLOOKUP(A584,'Sets (lua data)'!$A$3:$C$9920,3,FALSE)</f>
        <v>Phylactery\'s Grasp</v>
      </c>
      <c r="C584" s="8" t="str">
        <f>VLOOKUP(A584,'Sets (lua data)'!$A$3:$C$9920,2,FALSE)</f>
        <v>Phylakteriumsgriff</v>
      </c>
      <c r="D584" s="101" t="s">
        <v>3352</v>
      </c>
      <c r="E584" s="3" t="str">
        <f>IF(ISNA(VLOOKUP(D584,'&lt;Constants&gt;'!$B$4:$C$44,2,FALSE)),"",VLOOKUP(D584,'&lt;Constants&gt;'!$B$4:$C$44,2,FALSE))</f>
        <v>Lost Depths</v>
      </c>
    </row>
    <row r="585" spans="1:5" x14ac:dyDescent="0.25">
      <c r="A585" s="5">
        <v>666</v>
      </c>
      <c r="B585" s="8" t="str">
        <f>VLOOKUP(A585,'Sets (lua data)'!$A$3:$C$9920,3,FALSE)</f>
        <v>Archdruid Devyric</v>
      </c>
      <c r="C585" s="8" t="str">
        <f>VLOOKUP(A585,'Sets (lua data)'!$A$3:$C$9920,2,FALSE)</f>
        <v>Erzdruide Devyric</v>
      </c>
      <c r="D585" t="s">
        <v>3352</v>
      </c>
      <c r="E585" s="3" t="str">
        <f>IF(ISNA(VLOOKUP(D585,'&lt;Constants&gt;'!$B$4:$C$44,2,FALSE)),"",VLOOKUP(D585,'&lt;Constants&gt;'!$B$4:$C$44,2,FALSE))</f>
        <v>Lost Depths</v>
      </c>
    </row>
    <row r="586" spans="1:5" x14ac:dyDescent="0.25">
      <c r="A586" s="5">
        <v>667</v>
      </c>
      <c r="B586" s="8" t="str">
        <f>VLOOKUP(A586,'Sets (lua data)'!$A$3:$C$9920,3,FALSE)</f>
        <v>Euphotic Gatekeeper</v>
      </c>
      <c r="C586" s="8" t="str">
        <f>VLOOKUP(A586,'Sets (lua data)'!$A$3:$C$9920,2,FALSE)</f>
        <v>Euphotischer Torhüter</v>
      </c>
      <c r="D586" t="s">
        <v>3352</v>
      </c>
      <c r="E586" s="3" t="str">
        <f>IF(ISNA(VLOOKUP(D586,'&lt;Constants&gt;'!$B$4:$C$44,2,FALSE)),"",VLOOKUP(D586,'&lt;Constants&gt;'!$B$4:$C$44,2,FALSE))</f>
        <v>Lost Depths</v>
      </c>
    </row>
    <row r="587" spans="1:5" x14ac:dyDescent="0.25">
      <c r="A587" s="5">
        <v>668</v>
      </c>
      <c r="B587" s="8" t="str">
        <f>VLOOKUP(A587,'Sets (lua data)'!$A$3:$C$9920,3,FALSE)</f>
        <v>Langour of Peryite</v>
      </c>
      <c r="C587" s="8" t="str">
        <f>VLOOKUP(A587,'Sets (lua data)'!$A$3:$C$9920,2,FALSE)</f>
        <v>Peryites Entkräftung</v>
      </c>
      <c r="D587" t="s">
        <v>1420</v>
      </c>
      <c r="E587" s="3" t="str">
        <f>IF(ISNA(VLOOKUP(D587,'&lt;Constants&gt;'!$B$4:$C$44,2,FALSE)),"",VLOOKUP(D587,'&lt;Constants&gt;'!$B$4:$C$44,2,FALSE))</f>
        <v>Included in base game</v>
      </c>
    </row>
    <row r="588" spans="1:5" x14ac:dyDescent="0.25">
      <c r="A588" s="5">
        <v>669</v>
      </c>
      <c r="B588" s="8" t="str">
        <f>VLOOKUP(A588,'Sets (lua data)'!$A$3:$C$9920,3,FALSE)</f>
        <v>Nocturnal\'s Ploy </v>
      </c>
      <c r="C588" s="8" t="str">
        <f>VLOOKUP(A588,'Sets (lua data)'!$A$3:$C$9920,2,FALSE)</f>
        <v>Nocturnals List</v>
      </c>
      <c r="D588" t="s">
        <v>1420</v>
      </c>
      <c r="E588" s="3" t="str">
        <f>IF(ISNA(VLOOKUP(D588,'&lt;Constants&gt;'!$B$4:$C$44,2,FALSE)),"",VLOOKUP(D588,'&lt;Constants&gt;'!$B$4:$C$44,2,FALSE))</f>
        <v>Included in base game</v>
      </c>
    </row>
    <row r="589" spans="1:5" x14ac:dyDescent="0.25">
      <c r="A589" s="5">
        <v>670</v>
      </c>
      <c r="B589" s="8" t="str">
        <f>VLOOKUP(A589,'Sets (lua data)'!$A$3:$C$9920,3,FALSE)</f>
        <v>Mara\’s Balm</v>
      </c>
      <c r="C589" s="8" t="str">
        <f>VLOOKUP(A589,'Sets (lua data)'!$A$3:$C$9920,2,FALSE)</f>
        <v>Maras Trost</v>
      </c>
      <c r="D589" t="s">
        <v>1420</v>
      </c>
      <c r="E589" s="3" t="str">
        <f>IF(ISNA(VLOOKUP(D589,'&lt;Constants&gt;'!$B$4:$C$44,2,FALSE)),"",VLOOKUP(D589,'&lt;Constants&gt;'!$B$4:$C$44,2,FALSE))</f>
        <v>Included in base game</v>
      </c>
    </row>
    <row r="590" spans="1:5" x14ac:dyDescent="0.25">
      <c r="A590" s="5">
        <v>671</v>
      </c>
      <c r="B590" s="8" t="str">
        <f>VLOOKUP(A590,'Sets (lua data)'!$A$3:$C$9920,3,FALSE)</f>
        <v>Back-Alley Gourmand</v>
      </c>
      <c r="C590" s="8" t="str">
        <f>VLOOKUP(A590,'Sets (lua data)'!$A$3:$C$9920,2,FALSE)</f>
        <v>Hinterhof-Gourmet</v>
      </c>
      <c r="D590" t="s">
        <v>3387</v>
      </c>
      <c r="E590" s="3" t="str">
        <f>IF(ISNA(VLOOKUP(D590,'&lt;Constants&gt;'!$B$4:$C$44,2,FALSE)),"",VLOOKUP(D590,'&lt;Constants&gt;'!$B$4:$C$44,2,FALSE))</f>
        <v>Firesong</v>
      </c>
    </row>
    <row r="591" spans="1:5" x14ac:dyDescent="0.25">
      <c r="A591" s="5">
        <v>672</v>
      </c>
      <c r="B591" s="8" t="str">
        <f>VLOOKUP(A591,'Sets (lua data)'!$A$3:$C$9920,3,FALSE)</f>
        <v>Phoenix Moth Theurge</v>
      </c>
      <c r="C591" s="8" t="str">
        <f>VLOOKUP(A591,'Sets (lua data)'!$A$3:$C$9920,2,FALSE)</f>
        <v>Phönixmotten-Theurg</v>
      </c>
      <c r="D591" t="s">
        <v>3387</v>
      </c>
      <c r="E591" s="3" t="str">
        <f>IF(ISNA(VLOOKUP(D591,'&lt;Constants&gt;'!$B$4:$C$44,2,FALSE)),"",VLOOKUP(D591,'&lt;Constants&gt;'!$B$4:$C$44,2,FALSE))</f>
        <v>Firesong</v>
      </c>
    </row>
    <row r="592" spans="1:5" x14ac:dyDescent="0.25">
      <c r="A592" s="5">
        <v>673</v>
      </c>
      <c r="B592" s="8" t="str">
        <f>VLOOKUP(A592,'Sets (lua data)'!$A$3:$C$9920,3,FALSE)</f>
        <v>Bastion of Draoife</v>
      </c>
      <c r="C592" s="8" t="str">
        <f>VLOOKUP(A592,'Sets (lua data)'!$A$3:$C$9920,2,FALSE)</f>
        <v>Bastion des Draoife</v>
      </c>
      <c r="D592" t="s">
        <v>3387</v>
      </c>
      <c r="E592" s="3" t="str">
        <f>IF(ISNA(VLOOKUP(D592,'&lt;Constants&gt;'!$B$4:$C$44,2,FALSE)),"",VLOOKUP(D592,'&lt;Constants&gt;'!$B$4:$C$44,2,FALSE))</f>
        <v>Firesong</v>
      </c>
    </row>
    <row r="593" spans="1:5" x14ac:dyDescent="0.25">
      <c r="A593" s="5">
        <v>674</v>
      </c>
      <c r="B593" s="8" t="str">
        <f>VLOOKUP(A593,'Sets (lua data)'!$A$3:$C$9920,3,FALSE)</f>
        <v>Faun\'s Lark Cladding</v>
      </c>
      <c r="C593" s="8" t="str">
        <f>VLOOKUP(A593,'Sets (lua data)'!$A$3:$C$9920,2,FALSE)</f>
        <v>Faunstreich</v>
      </c>
      <c r="D593" t="s">
        <v>3387</v>
      </c>
      <c r="E593" s="3" t="str">
        <f>IF(ISNA(VLOOKUP(D593,'&lt;Constants&gt;'!$B$4:$C$44,2,FALSE)),"",VLOOKUP(D593,'&lt;Constants&gt;'!$B$4:$C$44,2,FALSE))</f>
        <v>Firesong</v>
      </c>
    </row>
    <row r="594" spans="1:5" x14ac:dyDescent="0.25">
      <c r="A594" s="5">
        <v>675</v>
      </c>
      <c r="B594" s="8" t="str">
        <f>VLOOKUP(A594,'Sets (lua data)'!$A$3:$C$9920,3,FALSE)</f>
        <v>Stormweaver\'s Cavort</v>
      </c>
      <c r="C594" s="8" t="str">
        <f>VLOOKUP(A594,'Sets (lua data)'!$A$3:$C$9920,2,FALSE)</f>
        <v>Sturmwebertollen</v>
      </c>
      <c r="D594" t="s">
        <v>3387</v>
      </c>
      <c r="E594" s="3" t="str">
        <f>IF(ISNA(VLOOKUP(D594,'&lt;Constants&gt;'!$B$4:$C$44,2,FALSE)),"",VLOOKUP(D594,'&lt;Constants&gt;'!$B$4:$C$44,2,FALSE))</f>
        <v>Firesong</v>
      </c>
    </row>
    <row r="595" spans="1:5" x14ac:dyDescent="0.25">
      <c r="A595" s="5">
        <v>676</v>
      </c>
      <c r="B595" s="8" t="str">
        <f>VLOOKUP(A595,'Sets (lua data)'!$A$3:$C$9920,3,FALSE)</f>
        <v>Syrabane\'s Ward</v>
      </c>
      <c r="C595" s="8" t="str">
        <f>VLOOKUP(A595,'Sets (lua data)'!$A$3:$C$9920,2,FALSE)</f>
        <v>Syrabanns Schutz</v>
      </c>
      <c r="D595" t="s">
        <v>3387</v>
      </c>
      <c r="E595" s="3" t="str">
        <f>IF(ISNA(VLOOKUP(D595,'&lt;Constants&gt;'!$B$4:$C$44,2,FALSE)),"",VLOOKUP(D595,'&lt;Constants&gt;'!$B$4:$C$44,2,FALSE))</f>
        <v>Firesong</v>
      </c>
    </row>
    <row r="596" spans="1:5" x14ac:dyDescent="0.25">
      <c r="A596" s="5">
        <v>677</v>
      </c>
      <c r="B596" s="8" t="str">
        <f>VLOOKUP(A596,'Sets (lua data)'!$A$3:$C$9920,3,FALSE)</f>
        <v>Chimera\'s Rebuke</v>
      </c>
      <c r="C596" s="8" t="str">
        <f>VLOOKUP(A596,'Sets (lua data)'!$A$3:$C$9920,2,FALSE)</f>
        <v>Zurechtweisung der Schimäre</v>
      </c>
      <c r="D596" t="s">
        <v>3387</v>
      </c>
      <c r="E596" s="3" t="str">
        <f>IF(ISNA(VLOOKUP(D596,'&lt;Constants&gt;'!$B$4:$C$44,2,FALSE)),"",VLOOKUP(D596,'&lt;Constants&gt;'!$B$4:$C$44,2,FALSE))</f>
        <v>Firesong</v>
      </c>
    </row>
    <row r="597" spans="1:5" x14ac:dyDescent="0.25">
      <c r="A597" s="5">
        <v>678</v>
      </c>
      <c r="B597" s="8" t="str">
        <f>VLOOKUP(A597,'Sets (lua data)'!$A$3:$C$9920,3,FALSE)</f>
        <v>Old Growth Brewer</v>
      </c>
      <c r="C597" s="8" t="str">
        <f>VLOOKUP(A597,'Sets (lua data)'!$A$3:$C$9920,2,FALSE)</f>
        <v>Altwuchs-Brauer</v>
      </c>
      <c r="D597" t="s">
        <v>3387</v>
      </c>
      <c r="E597" s="3" t="str">
        <f>IF(ISNA(VLOOKUP(D597,'&lt;Constants&gt;'!$B$4:$C$44,2,FALSE)),"",VLOOKUP(D597,'&lt;Constants&gt;'!$B$4:$C$44,2,FALSE))</f>
        <v>Firesong</v>
      </c>
    </row>
    <row r="598" spans="1:5" x14ac:dyDescent="0.25">
      <c r="A598" s="5">
        <v>679</v>
      </c>
      <c r="B598" s="8" t="str">
        <f>VLOOKUP(A598,'Sets (lua data)'!$A$3:$C$9920,3,FALSE)</f>
        <v>Claw of the Forest Wraith</v>
      </c>
      <c r="C598" s="8" t="str">
        <f>VLOOKUP(A598,'Sets (lua data)'!$A$3:$C$9920,2,FALSE)</f>
        <v>Kralle des Waldgespensts</v>
      </c>
      <c r="D598" t="s">
        <v>3387</v>
      </c>
      <c r="E598" s="3" t="str">
        <f>IF(ISNA(VLOOKUP(D598,'&lt;Constants&gt;'!$B$4:$C$44,2,FALSE)),"",VLOOKUP(D598,'&lt;Constants&gt;'!$B$4:$C$44,2,FALSE))</f>
        <v>Firesong</v>
      </c>
    </row>
    <row r="599" spans="1:5" x14ac:dyDescent="0.25">
      <c r="A599" s="5">
        <v>680</v>
      </c>
      <c r="B599" s="8" t="str">
        <f>VLOOKUP(A599,'Sets (lua data)'!$A$3:$C$9920,3,FALSE)</f>
        <v>Ritemaster\'s Bond</v>
      </c>
      <c r="C599" s="8" t="str">
        <f>VLOOKUP(A599,'Sets (lua data)'!$A$3:$C$9920,2,FALSE)</f>
        <v>Bindung des Ritenmeisters</v>
      </c>
      <c r="D599" s="101" t="s">
        <v>3525</v>
      </c>
      <c r="E599" s="3" t="str">
        <f>IF(ISNA(VLOOKUP(D599,'&lt;Constants&gt;'!$B$4:$C$44,2,FALSE)),"",VLOOKUP(D599,'&lt;Constants&gt;'!$B$4:$C$44,2,FALSE))</f>
        <v>Scribes of Fate</v>
      </c>
    </row>
    <row r="600" spans="1:5" x14ac:dyDescent="0.25">
      <c r="A600" s="5">
        <v>681</v>
      </c>
      <c r="B600" s="8" t="str">
        <f>VLOOKUP(A600,'Sets (lua data)'!$A$3:$C$9920,3,FALSE)</f>
        <v>Nix-Hound\'s Howl</v>
      </c>
      <c r="C600" s="8" t="str">
        <f>VLOOKUP(A600,'Sets (lua data)'!$A$3:$C$9920,2,FALSE)</f>
        <v>Nixhund-Heulen</v>
      </c>
      <c r="D600" t="s">
        <v>3525</v>
      </c>
      <c r="E600" s="3" t="str">
        <f>IF(ISNA(VLOOKUP(D600,'&lt;Constants&gt;'!$B$4:$C$44,2,FALSE)),"",VLOOKUP(D600,'&lt;Constants&gt;'!$B$4:$C$44,2,FALSE))</f>
        <v>Scribes of Fate</v>
      </c>
    </row>
    <row r="601" spans="1:5" x14ac:dyDescent="0.25">
      <c r="A601" s="5">
        <v>682</v>
      </c>
      <c r="B601" s="8" t="str">
        <f>VLOOKUP(A601,'Sets (lua data)'!$A$3:$C$9920,3,FALSE)</f>
        <v>Telvanni Enforcer</v>
      </c>
      <c r="C601" s="8" t="str">
        <f>VLOOKUP(A601,'Sets (lua data)'!$A$3:$C$9920,2,FALSE)</f>
        <v>Telvanni-Vollstrecker</v>
      </c>
      <c r="D601" s="101" t="s">
        <v>3525</v>
      </c>
      <c r="E601" s="3" t="str">
        <f>IF(ISNA(VLOOKUP(D601,'&lt;Constants&gt;'!$B$4:$C$44,2,FALSE)),"",VLOOKUP(D601,'&lt;Constants&gt;'!$B$4:$C$44,2,FALSE))</f>
        <v>Scribes of Fate</v>
      </c>
    </row>
    <row r="602" spans="1:5" x14ac:dyDescent="0.25">
      <c r="A602" s="5">
        <v>683</v>
      </c>
      <c r="B602" s="8" t="str">
        <f>VLOOKUP(A602,'Sets (lua data)'!$A$3:$C$9920,3,FALSE)</f>
        <v>Roksa the Warped</v>
      </c>
      <c r="C602" s="8" t="str">
        <f>VLOOKUP(A602,'Sets (lua data)'!$A$3:$C$9920,2,FALSE)</f>
        <v>Roksa die Verkrümmte</v>
      </c>
      <c r="D602" s="101" t="s">
        <v>3525</v>
      </c>
      <c r="E602" s="3" t="str">
        <f>IF(ISNA(VLOOKUP(D602,'&lt;Constants&gt;'!$B$4:$C$44,2,FALSE)),"",VLOOKUP(D602,'&lt;Constants&gt;'!$B$4:$C$44,2,FALSE))</f>
        <v>Scribes of Fate</v>
      </c>
    </row>
    <row r="603" spans="1:5" x14ac:dyDescent="0.25">
      <c r="A603" s="5">
        <v>684</v>
      </c>
      <c r="B603" s="8" t="str">
        <f>VLOOKUP(A603,'Sets (lua data)'!$A$3:$C$9920,3,FALSE)</f>
        <v>Runecarver\’s Blaze</v>
      </c>
      <c r="C603" s="8" t="str">
        <f>VLOOKUP(A603,'Sets (lua data)'!$A$3:$C$9920,2,FALSE)</f>
        <v>Lodern des Runenschnitzers</v>
      </c>
      <c r="D603" s="101" t="s">
        <v>3525</v>
      </c>
      <c r="E603" s="3" t="str">
        <f>IF(ISNA(VLOOKUP(D603,'&lt;Constants&gt;'!$B$4:$C$44,2,FALSE)),"",VLOOKUP(D603,'&lt;Constants&gt;'!$B$4:$C$44,2,FALSE))</f>
        <v>Scribes of Fate</v>
      </c>
    </row>
    <row r="604" spans="1:5" x14ac:dyDescent="0.25">
      <c r="A604" s="5">
        <v>685</v>
      </c>
      <c r="B604" s="8" t="str">
        <f>VLOOKUP(A604,'Sets (lua data)'!$A$3:$C$9920,3,FALSE)</f>
        <v>Apocryphal Inspiration</v>
      </c>
      <c r="C604" s="8" t="str">
        <f>VLOOKUP(A604,'Sets (lua data)'!$A$3:$C$9920,2,FALSE)</f>
        <v>Apocryphische Inspiration</v>
      </c>
      <c r="D604" s="101" t="s">
        <v>3525</v>
      </c>
      <c r="E604" s="3" t="str">
        <f>IF(ISNA(VLOOKUP(D604,'&lt;Constants&gt;'!$B$4:$C$44,2,FALSE)),"",VLOOKUP(D604,'&lt;Constants&gt;'!$B$4:$C$44,2,FALSE))</f>
        <v>Scribes of Fate</v>
      </c>
    </row>
    <row r="605" spans="1:5" x14ac:dyDescent="0.25">
      <c r="A605" s="5">
        <v>686</v>
      </c>
      <c r="B605" s="8" t="str">
        <f>VLOOKUP(A605,'Sets (lua data)'!$A$3:$C$9920,3,FALSE)</f>
        <v>Abyssal Brace</v>
      </c>
      <c r="C605" s="8" t="str">
        <f>VLOOKUP(A605,'Sets (lua data)'!$A$3:$C$9920,2,FALSE)</f>
        <v>Abgründiges Wappnen</v>
      </c>
      <c r="D605" s="101" t="s">
        <v>3525</v>
      </c>
      <c r="E605" s="3" t="str">
        <f>IF(ISNA(VLOOKUP(D605,'&lt;Constants&gt;'!$B$4:$C$44,2,FALSE)),"",VLOOKUP(D605,'&lt;Constants&gt;'!$B$4:$C$44,2,FALSE))</f>
        <v>Scribes of Fate</v>
      </c>
    </row>
    <row r="606" spans="1:5" x14ac:dyDescent="0.25">
      <c r="A606" s="5">
        <v>687</v>
      </c>
      <c r="B606" s="8" t="str">
        <f>VLOOKUP(A606,'Sets (lua data)'!$A$3:$C$9920,3,FALSE)</f>
        <v>Ozezan the Inferno</v>
      </c>
      <c r="C606" s="8" t="str">
        <f>VLOOKUP(A606,'Sets (lua data)'!$A$3:$C$9920,2,FALSE)</f>
        <v>Ozezan das Inferno</v>
      </c>
      <c r="D606" s="101" t="s">
        <v>3525</v>
      </c>
      <c r="E606" s="3" t="str">
        <f>IF(ISNA(VLOOKUP(D606,'&lt;Constants&gt;'!$B$4:$C$44,2,FALSE)),"",VLOOKUP(D606,'&lt;Constants&gt;'!$B$4:$C$44,2,FALSE))</f>
        <v>Scribes of Fate</v>
      </c>
    </row>
    <row r="607" spans="1:5" x14ac:dyDescent="0.25">
      <c r="A607" s="5">
        <v>688</v>
      </c>
      <c r="B607" s="8" t="str">
        <f>VLOOKUP(A607,'Sets (lua data)'!$A$3:$C$9920,3,FALSE)</f>
        <v>Snake in the Stars</v>
      </c>
      <c r="C607" s="8" t="str">
        <f>VLOOKUP(A607,'Sets (lua data)'!$A$3:$C$9920,2,FALSE)</f>
        <v>Schlange inmitten der Sterne</v>
      </c>
      <c r="D607" s="101" t="s">
        <v>3525</v>
      </c>
      <c r="E607" s="3" t="str">
        <f>IF(ISNA(VLOOKUP(D607,'&lt;Constants&gt;'!$B$4:$C$44,2,FALSE)),"",VLOOKUP(D607,'&lt;Constants&gt;'!$B$4:$C$44,2,FALSE))</f>
        <v>Scribes of Fate</v>
      </c>
    </row>
    <row r="608" spans="1:5" x14ac:dyDescent="0.25">
      <c r="A608" s="5">
        <v>689</v>
      </c>
      <c r="B608" s="8" t="str">
        <f>VLOOKUP(A608,'Sets (lua data)'!$A$3:$C$9920,3,FALSE)</f>
        <v>Shell Splitter</v>
      </c>
      <c r="C608" s="8" t="str">
        <f>VLOOKUP(A608,'Sets (lua data)'!$A$3:$C$9920,2,FALSE)</f>
        <v>Panzerspalten</v>
      </c>
      <c r="D608" s="101" t="s">
        <v>3525</v>
      </c>
      <c r="E608" s="3" t="str">
        <f>IF(ISNA(VLOOKUP(D608,'&lt;Constants&gt;'!$B$4:$C$44,2,FALSE)),"",VLOOKUP(D608,'&lt;Constants&gt;'!$B$4:$C$44,2,FALSE))</f>
        <v>Scribes of Fate</v>
      </c>
    </row>
    <row r="609" spans="1:5" x14ac:dyDescent="0.25">
      <c r="A609" s="5">
        <v>690</v>
      </c>
      <c r="B609" s="8" t="str">
        <f>VLOOKUP(A609,'Sets (lua data)'!$A$3:$C$9920,3,FALSE)</f>
        <v>Judgement of Akatosh </v>
      </c>
      <c r="C609" s="8" t="str">
        <f>VLOOKUP(A609,'Sets (lua data)'!$A$3:$C$9920,2,FALSE)</f>
        <v>Urteil von Akatosh</v>
      </c>
      <c r="D609" t="s">
        <v>3525</v>
      </c>
      <c r="E609" s="3" t="str">
        <f>IF(ISNA(VLOOKUP(D609,'&lt;Constants&gt;'!$B$4:$C$44,2,FALSE)),"",VLOOKUP(D609,'&lt;Constants&gt;'!$B$4:$C$44,2,FALSE))</f>
        <v>Scribes of Fate</v>
      </c>
    </row>
    <row r="610" spans="1:5" x14ac:dyDescent="0.25">
      <c r="A610" s="5">
        <v>691</v>
      </c>
      <c r="B610" s="8" t="str">
        <f>VLOOKUP(A610,'Sets (lua data)'!$A$3:$C$9920,3,FALSE)</f>
        <v>Cryptcanon Vestments</v>
      </c>
      <c r="C610" s="8" t="str">
        <f>VLOOKUP(A610,'Sets (lua data)'!$A$3:$C$9920,2,FALSE)</f>
        <v>Gewandung des Kryptenvogts</v>
      </c>
      <c r="D610" t="s">
        <v>3608</v>
      </c>
      <c r="E610" s="3" t="str">
        <f>IF(ISNA(VLOOKUP(D610,'&lt;Constants&gt;'!$B$4:$C$44,2,FALSE)),"",VLOOKUP(D610,'&lt;Constants&gt;'!$B$4:$C$44,2,FALSE))</f>
        <v>Necrom</v>
      </c>
    </row>
    <row r="611" spans="1:5" x14ac:dyDescent="0.25">
      <c r="A611" s="5">
        <v>692</v>
      </c>
      <c r="B611" s="8" t="str">
        <f>VLOOKUP(A611,'Sets (lua data)'!$A$3:$C$9920,3,FALSE)</f>
        <v>Esoteric Environment Greaves</v>
      </c>
      <c r="C611" s="8" t="str">
        <f>VLOOKUP(A611,'Sets (lua data)'!$A$3:$C$9920,2,FALSE)</f>
        <v>Beinschienen der esoterischen Umgebung</v>
      </c>
      <c r="D611" t="s">
        <v>3608</v>
      </c>
      <c r="E611" s="3" t="str">
        <f>IF(ISNA(VLOOKUP(D611,'&lt;Constants&gt;'!$B$4:$C$44,2,FALSE)),"",VLOOKUP(D611,'&lt;Constants&gt;'!$B$4:$C$44,2,FALSE))</f>
        <v>Necrom</v>
      </c>
    </row>
    <row r="612" spans="1:5" x14ac:dyDescent="0.25">
      <c r="A612" s="5">
        <v>693</v>
      </c>
      <c r="B612" s="8" t="str">
        <f>VLOOKUP(A612,'Sets (lua data)'!$A$3:$C$9920,3,FALSE)</f>
        <v>Torc of the Last Ayleid King</v>
      </c>
      <c r="C612" s="8" t="str">
        <f>VLOOKUP(A612,'Sets (lua data)'!$A$3:$C$9920,2,FALSE)</f>
        <v>Torc of the Last Ayleid King</v>
      </c>
      <c r="D612" t="s">
        <v>3608</v>
      </c>
      <c r="E612" s="3" t="str">
        <f>IF(ISNA(VLOOKUP(D612,'&lt;Constants&gt;'!$B$4:$C$44,2,FALSE)),"",VLOOKUP(D612,'&lt;Constants&gt;'!$B$4:$C$44,2,FALSE))</f>
        <v>Necrom</v>
      </c>
    </row>
    <row r="613" spans="1:5" x14ac:dyDescent="0.25">
      <c r="A613" s="5">
        <v>694</v>
      </c>
      <c r="B613" s="8" t="str">
        <f>VLOOKUP(A613,'Sets (lua data)'!$A$3:$C$9920,3,FALSE)</f>
        <v>Velothi Ur-Mage\'s Amulet</v>
      </c>
      <c r="C613" s="8" t="str">
        <f>VLOOKUP(A613,'Sets (lua data)'!$A$3:$C$9920,2,FALSE)</f>
        <v>Velothi Ur-Mage\'s Amulet</v>
      </c>
      <c r="D613" t="s">
        <v>3608</v>
      </c>
      <c r="E613" s="3" t="str">
        <f>IF(ISNA(VLOOKUP(D613,'&lt;Constants&gt;'!$B$4:$C$44,2,FALSE)),"",VLOOKUP(D613,'&lt;Constants&gt;'!$B$4:$C$44,2,FALSE))</f>
        <v>Necrom</v>
      </c>
    </row>
    <row r="614" spans="1:5" x14ac:dyDescent="0.25">
      <c r="A614" s="5">
        <v>695</v>
      </c>
      <c r="B614" s="8" t="str">
        <f>VLOOKUP(A614,'Sets (lua data)'!$A$3:$C$9920,3,FALSE)</f>
        <v>Shattered Fate</v>
      </c>
      <c r="C614" s="8" t="str">
        <f>VLOOKUP(A614,'Sets (lua data)'!$A$3:$C$9920,2,FALSE)</f>
        <v>Shattered Fate</v>
      </c>
      <c r="D614" t="s">
        <v>3608</v>
      </c>
      <c r="E614" s="3" t="str">
        <f>IF(ISNA(VLOOKUP(D614,'&lt;Constants&gt;'!$B$4:$C$44,2,FALSE)),"",VLOOKUP(D614,'&lt;Constants&gt;'!$B$4:$C$44,2,FALSE))</f>
        <v>Necrom</v>
      </c>
    </row>
    <row r="615" spans="1:5" x14ac:dyDescent="0.25">
      <c r="A615" s="5">
        <v>696</v>
      </c>
      <c r="B615" s="8" t="str">
        <f>VLOOKUP(A615,'Sets (lua data)'!$A$3:$C$9920,3,FALSE)</f>
        <v>Telvanni Efficiency</v>
      </c>
      <c r="C615" s="8" t="str">
        <f>VLOOKUP(A615,'Sets (lua data)'!$A$3:$C$9920,2,FALSE)</f>
        <v>Telvanni Efficiency</v>
      </c>
      <c r="D615" t="s">
        <v>3608</v>
      </c>
      <c r="E615" s="3" t="str">
        <f>IF(ISNA(VLOOKUP(D615,'&lt;Constants&gt;'!$B$4:$C$44,2,FALSE)),"",VLOOKUP(D615,'&lt;Constants&gt;'!$B$4:$C$44,2,FALSE))</f>
        <v>Necrom</v>
      </c>
    </row>
    <row r="616" spans="1:5" x14ac:dyDescent="0.25">
      <c r="A616" s="5">
        <v>697</v>
      </c>
      <c r="B616" s="8" t="str">
        <f>VLOOKUP(A616,'Sets (lua data)'!$A$3:$C$9920,3,FALSE)</f>
        <v>Seeker Synthesis</v>
      </c>
      <c r="C616" s="8" t="str">
        <f>VLOOKUP(A616,'Sets (lua data)'!$A$3:$C$9920,2,FALSE)</f>
        <v>Seeker Synthesis</v>
      </c>
      <c r="D616" t="s">
        <v>3608</v>
      </c>
      <c r="E616" s="3" t="str">
        <f>IF(ISNA(VLOOKUP(D616,'&lt;Constants&gt;'!$B$4:$C$44,2,FALSE)),"",VLOOKUP(D616,'&lt;Constants&gt;'!$B$4:$C$44,2,FALSE))</f>
        <v>Necrom</v>
      </c>
    </row>
    <row r="617" spans="1:5" x14ac:dyDescent="0.25">
      <c r="A617" s="5">
        <v>698</v>
      </c>
      <c r="B617" s="8" t="str">
        <f>VLOOKUP(A617,'Sets (lua data)'!$A$3:$C$9920,3,FALSE)</f>
        <v>Vivec\'s Duality</v>
      </c>
      <c r="C617" s="8" t="str">
        <f>VLOOKUP(A617,'Sets (lua data)'!$A$3:$C$9920,2,FALSE)</f>
        <v>Vivec\'s Duality</v>
      </c>
      <c r="D617" t="s">
        <v>3608</v>
      </c>
      <c r="E617" s="3" t="str">
        <f>IF(ISNA(VLOOKUP(D617,'&lt;Constants&gt;'!$B$4:$C$44,2,FALSE)),"",VLOOKUP(D617,'&lt;Constants&gt;'!$B$4:$C$44,2,FALSE))</f>
        <v>Necrom</v>
      </c>
    </row>
    <row r="618" spans="1:5" x14ac:dyDescent="0.25">
      <c r="A618" s="5">
        <v>699</v>
      </c>
      <c r="B618" s="8" t="str">
        <f>VLOOKUP(A618,'Sets (lua data)'!$A$3:$C$9920,3,FALSE)</f>
        <v>Camonna Tong</v>
      </c>
      <c r="C618" s="8" t="str">
        <f>VLOOKUP(A618,'Sets (lua data)'!$A$3:$C$9920,2,FALSE)</f>
        <v>Camonna Tong</v>
      </c>
      <c r="D618" t="s">
        <v>3608</v>
      </c>
      <c r="E618" s="3" t="str">
        <f>IF(ISNA(VLOOKUP(D618,'&lt;Constants&gt;'!$B$4:$C$44,2,FALSE)),"",VLOOKUP(D618,'&lt;Constants&gt;'!$B$4:$C$44,2,FALSE))</f>
        <v>Necrom</v>
      </c>
    </row>
    <row r="619" spans="1:5" x14ac:dyDescent="0.25">
      <c r="A619" s="5">
        <v>700</v>
      </c>
      <c r="B619" s="8" t="str">
        <f>VLOOKUP(A619,'Sets (lua data)'!$A$3:$C$9920,3,FALSE)</f>
        <v>Adamant Lurker</v>
      </c>
      <c r="C619" s="8" t="str">
        <f>VLOOKUP(A619,'Sets (lua data)'!$A$3:$C$9920,2,FALSE)</f>
        <v>Adamant Lurker</v>
      </c>
      <c r="D619" t="s">
        <v>3608</v>
      </c>
      <c r="E619" s="3" t="str">
        <f>IF(ISNA(VLOOKUP(D619,'&lt;Constants&gt;'!$B$4:$C$44,2,FALSE)),"",VLOOKUP(D619,'&lt;Constants&gt;'!$B$4:$C$44,2,FALSE))</f>
        <v>Necrom</v>
      </c>
    </row>
    <row r="620" spans="1:5" x14ac:dyDescent="0.25">
      <c r="A620" s="5">
        <v>701</v>
      </c>
      <c r="B620" s="8" t="str">
        <f>VLOOKUP(A620,'Sets (lua data)'!$A$3:$C$9920,3,FALSE)</f>
        <v>Peace and Serenity</v>
      </c>
      <c r="C620" s="8" t="str">
        <f>VLOOKUP(A620,'Sets (lua data)'!$A$3:$C$9920,2,FALSE)</f>
        <v>Peace and Serenity</v>
      </c>
      <c r="D620" t="s">
        <v>3608</v>
      </c>
      <c r="E620" s="3" t="str">
        <f>IF(ISNA(VLOOKUP(D620,'&lt;Constants&gt;'!$B$4:$C$44,2,FALSE)),"",VLOOKUP(D620,'&lt;Constants&gt;'!$B$4:$C$44,2,FALSE))</f>
        <v>Necrom</v>
      </c>
    </row>
    <row r="621" spans="1:5" x14ac:dyDescent="0.25">
      <c r="A621" s="5">
        <v>702</v>
      </c>
      <c r="B621" s="8" t="str">
        <f>VLOOKUP(A621,'Sets (lua data)'!$A$3:$C$9920,3,FALSE)</f>
        <v>Ansuul\'s Torment</v>
      </c>
      <c r="C621" s="8" t="str">
        <f>VLOOKUP(A621,'Sets (lua data)'!$A$3:$C$9920,2,FALSE)</f>
        <v>Ansuul\'s Torment</v>
      </c>
      <c r="D621" t="s">
        <v>3608</v>
      </c>
      <c r="E621" s="3" t="str">
        <f>IF(ISNA(VLOOKUP(D621,'&lt;Constants&gt;'!$B$4:$C$44,2,FALSE)),"",VLOOKUP(D621,'&lt;Constants&gt;'!$B$4:$C$44,2,FALSE))</f>
        <v>Necrom</v>
      </c>
    </row>
    <row r="622" spans="1:5" x14ac:dyDescent="0.25">
      <c r="A622" s="5">
        <v>703</v>
      </c>
      <c r="B622" s="8" t="str">
        <f>VLOOKUP(A622,'Sets (lua data)'!$A$3:$C$9920,3,FALSE)</f>
        <v>Test of Resolve</v>
      </c>
      <c r="C622" s="8" t="str">
        <f>VLOOKUP(A622,'Sets (lua data)'!$A$3:$C$9920,2,FALSE)</f>
        <v>Test of Resolve</v>
      </c>
      <c r="D622" t="s">
        <v>3608</v>
      </c>
      <c r="E622" s="3" t="str">
        <f>IF(ISNA(VLOOKUP(D622,'&lt;Constants&gt;'!$B$4:$C$44,2,FALSE)),"",VLOOKUP(D622,'&lt;Constants&gt;'!$B$4:$C$44,2,FALSE))</f>
        <v>Necrom</v>
      </c>
    </row>
    <row r="623" spans="1:5" x14ac:dyDescent="0.25">
      <c r="A623" s="5">
        <v>704</v>
      </c>
      <c r="B623" s="8" t="str">
        <f>VLOOKUP(A623,'Sets (lua data)'!$A$3:$C$9920,3,FALSE)</f>
        <v>Transformative Hope</v>
      </c>
      <c r="C623" s="8" t="str">
        <f>VLOOKUP(A623,'Sets (lua data)'!$A$3:$C$9920,2,FALSE)</f>
        <v>Transformative Hope</v>
      </c>
      <c r="D623" t="s">
        <v>3608</v>
      </c>
      <c r="E623" s="3" t="str">
        <f>IF(ISNA(VLOOKUP(D623,'&lt;Constants&gt;'!$B$4:$C$44,2,FALSE)),"",VLOOKUP(D623,'&lt;Constants&gt;'!$B$4:$C$44,2,FALSE))</f>
        <v>Necrom</v>
      </c>
    </row>
    <row r="624" spans="1:5" x14ac:dyDescent="0.25">
      <c r="A624" s="5">
        <v>705</v>
      </c>
      <c r="B624" s="8" t="str">
        <f>VLOOKUP(A624,'Sets (lua data)'!$A$3:$C$9920,3,FALSE)</f>
        <v>Perfected Transformative Hope</v>
      </c>
      <c r="C624" s="8" t="str">
        <f>VLOOKUP(A624,'Sets (lua data)'!$A$3:$C$9920,2,FALSE)</f>
        <v xml:space="preserve"> Perfected Transformative Hope</v>
      </c>
      <c r="D624" t="s">
        <v>3608</v>
      </c>
      <c r="E624" s="3" t="str">
        <f>IF(ISNA(VLOOKUP(D624,'&lt;Constants&gt;'!$B$4:$C$44,2,FALSE)),"",VLOOKUP(D624,'&lt;Constants&gt;'!$B$4:$C$44,2,FALSE))</f>
        <v>Necrom</v>
      </c>
    </row>
    <row r="625" spans="1:5" x14ac:dyDescent="0.25">
      <c r="A625" s="5">
        <v>706</v>
      </c>
      <c r="B625" s="8" t="str">
        <f>VLOOKUP(A625,'Sets (lua data)'!$A$3:$C$9920,3,FALSE)</f>
        <v>Perfected Test of Resolve</v>
      </c>
      <c r="C625" s="8" t="str">
        <f>VLOOKUP(A625,'Sets (lua data)'!$A$3:$C$9920,2,FALSE)</f>
        <v>Perfected Test of Resolve</v>
      </c>
      <c r="D625" t="s">
        <v>3608</v>
      </c>
      <c r="E625" s="3" t="str">
        <f>IF(ISNA(VLOOKUP(D625,'&lt;Constants&gt;'!$B$4:$C$44,2,FALSE)),"",VLOOKUP(D625,'&lt;Constants&gt;'!$B$4:$C$44,2,FALSE))</f>
        <v>Necrom</v>
      </c>
    </row>
    <row r="626" spans="1:5" x14ac:dyDescent="0.25">
      <c r="A626" s="5">
        <v>707</v>
      </c>
      <c r="B626" s="8" t="str">
        <f>VLOOKUP(A626,'Sets (lua data)'!$A$3:$C$9920,3,FALSE)</f>
        <v>Perfected Ansuul\'s Torment</v>
      </c>
      <c r="C626" s="8" t="str">
        <f>VLOOKUP(A626,'Sets (lua data)'!$A$3:$C$9920,2,FALSE)</f>
        <v>Perfected Ansuul\'s Torment</v>
      </c>
      <c r="D626" t="s">
        <v>3608</v>
      </c>
      <c r="E626" s="3" t="str">
        <f>IF(ISNA(VLOOKUP(D626,'&lt;Constants&gt;'!$B$4:$C$44,2,FALSE)),"",VLOOKUP(D626,'&lt;Constants&gt;'!$B$4:$C$44,2,FALSE))</f>
        <v>Necrom</v>
      </c>
    </row>
    <row r="627" spans="1:5" x14ac:dyDescent="0.25">
      <c r="A627" s="5">
        <v>708</v>
      </c>
      <c r="B627" s="8" t="str">
        <f>VLOOKUP(A627,'Sets (lua data)'!$A$3:$C$9920,3,FALSE)</f>
        <v>Perfected Peace and Serenity</v>
      </c>
      <c r="C627" s="8" t="str">
        <f>VLOOKUP(A627,'Sets (lua data)'!$A$3:$C$9920,2,FALSE)</f>
        <v>Perfected Peace and Serenity</v>
      </c>
      <c r="D627" t="s">
        <v>3608</v>
      </c>
      <c r="E627" s="3" t="str">
        <f>IF(ISNA(VLOOKUP(D627,'&lt;Constants&gt;'!$B$4:$C$44,2,FALSE)),"",VLOOKUP(D627,'&lt;Constants&gt;'!$B$4:$C$44,2,FALSE))</f>
        <v>Necrom</v>
      </c>
    </row>
    <row r="628" spans="1:5" x14ac:dyDescent="0.25">
      <c r="A628" s="5">
        <v>711</v>
      </c>
      <c r="B628" s="8" t="str">
        <f>VLOOKUP(A628,'Sets (lua data)'!$A$3:$C$9920,3,FALSE)</f>
        <v>Jerall Mountains Warchief</v>
      </c>
      <c r="C628" s="8" t="str">
        <f>VLOOKUP(A628,'Sets (lua data)'!$A$3:$C$9920,2,FALSE)</f>
        <v>Jerall Mountains Warchief</v>
      </c>
      <c r="D628" s="101" t="s">
        <v>1420</v>
      </c>
      <c r="E628" s="3" t="str">
        <f>IF(ISNA(VLOOKUP(D628,'&lt;Constants&gt;'!$B$4:$C$44,2,FALSE)),"",VLOOKUP(D628,'&lt;Constants&gt;'!$B$4:$C$44,2,FALSE))</f>
        <v>Included in base game</v>
      </c>
    </row>
    <row r="629" spans="1:5" x14ac:dyDescent="0.25">
      <c r="A629" s="5">
        <v>712</v>
      </c>
      <c r="B629" s="8" t="str">
        <f>VLOOKUP(A629,'Sets (lua data)'!$A$3:$C$9920,3,FALSE)</f>
        <v>Nibenay Bay Battlereeve</v>
      </c>
      <c r="C629" s="8" t="str">
        <f>VLOOKUP(A629,'Sets (lua data)'!$A$3:$C$9920,2,FALSE)</f>
        <v>Nibenay Bay Battlereeve</v>
      </c>
      <c r="D629" s="101" t="s">
        <v>1420</v>
      </c>
      <c r="E629" s="3" t="str">
        <f>IF(ISNA(VLOOKUP(D629,'&lt;Constants&gt;'!$B$4:$C$44,2,FALSE)),"",VLOOKUP(D629,'&lt;Constants&gt;'!$B$4:$C$44,2,FALSE))</f>
        <v>Included in base game</v>
      </c>
    </row>
    <row r="630" spans="1:5" x14ac:dyDescent="0.25">
      <c r="A630" s="5">
        <v>713</v>
      </c>
      <c r="B630" s="8" t="str">
        <f>VLOOKUP(A630,'Sets (lua data)'!$A$3:$C$9920,3,FALSE)</f>
        <v>Colovian Highlands General</v>
      </c>
      <c r="C630" s="8" t="str">
        <f>VLOOKUP(A630,'Sets (lua data)'!$A$3:$C$9920,2,FALSE)</f>
        <v>Colovian Highlands General</v>
      </c>
      <c r="D630" s="101" t="s">
        <v>1420</v>
      </c>
      <c r="E630" s="3" t="str">
        <f>IF(ISNA(VLOOKUP(D630,'&lt;Constants&gt;'!$B$4:$C$44,2,FALSE)),"",VLOOKUP(D630,'&lt;Constants&gt;'!$B$4:$C$44,2,FALSE))</f>
        <v>Included in base game</v>
      </c>
    </row>
    <row r="631" spans="1:5" x14ac:dyDescent="0.25">
      <c r="A631" s="5">
        <v>722</v>
      </c>
      <c r="B631" s="8" t="str">
        <f>VLOOKUP(A631,'Sets (lua data)'!$A$3:$C$9920,3,FALSE)</f>
        <v>Reawakened Hierophant</v>
      </c>
      <c r="C631" s="8" t="str">
        <f>VLOOKUP(A631,'Sets (lua data)'!$A$3:$C$9920,2,FALSE)</f>
        <v>Reawakened Hierophant</v>
      </c>
      <c r="D631" s="101" t="s">
        <v>1420</v>
      </c>
      <c r="E631" s="3" t="str">
        <f>IF(ISNA(VLOOKUP(D631,'&lt;Constants&gt;'!$B$4:$C$44,2,FALSE)),"",VLOOKUP(D631,'&lt;Constants&gt;'!$B$4:$C$44,2,FALSE))</f>
        <v>Included in base game</v>
      </c>
    </row>
    <row r="632" spans="1:5" x14ac:dyDescent="0.25">
      <c r="A632" s="5">
        <v>723</v>
      </c>
      <c r="B632" s="8" t="str">
        <f>VLOOKUP(A632,'Sets (lua data)'!$A$3:$C$9920,3,FALSE)</f>
        <v>Basalt-Blooded Warrior</v>
      </c>
      <c r="C632" s="8" t="str">
        <f>VLOOKUP(A632,'Sets (lua data)'!$A$3:$C$9920,2,FALSE)</f>
        <v>Basalt-Blooded Warrior</v>
      </c>
      <c r="D632" s="101" t="s">
        <v>1420</v>
      </c>
      <c r="E632" s="3" t="str">
        <f>IF(ISNA(VLOOKUP(D632,'&lt;Constants&gt;'!$B$4:$C$44,2,FALSE)),"",VLOOKUP(D632,'&lt;Constants&gt;'!$B$4:$C$44,2,FALSE))</f>
        <v>Included in base game</v>
      </c>
    </row>
    <row r="633" spans="1:5" x14ac:dyDescent="0.25">
      <c r="A633" s="5">
        <v>724</v>
      </c>
      <c r="B633" s="8" t="str">
        <f>VLOOKUP(A633,'Sets (lua data)'!$A$3:$C$9920,3,FALSE)</f>
        <v>Nobility in Decay</v>
      </c>
      <c r="C633" s="8" t="str">
        <f>VLOOKUP(A633,'Sets (lua data)'!$A$3:$C$9920,2,FALSE)</f>
        <v>Adel im Verfall</v>
      </c>
      <c r="D633" s="101" t="s">
        <v>1420</v>
      </c>
      <c r="E633" s="3" t="str">
        <f>IF(ISNA(VLOOKUP(D633,'&lt;Constants&gt;'!$B$4:$C$44,2,FALSE)),"",VLOOKUP(D633,'&lt;Constants&gt;'!$B$4:$C$44,2,FALSE))</f>
        <v>Included in base game</v>
      </c>
    </row>
    <row r="634" spans="1:5" x14ac:dyDescent="0.25">
      <c r="A634" s="5">
        <v>726</v>
      </c>
      <c r="B634" s="8" t="str">
        <f>VLOOKUP(A634,'Sets (lua data)'!$A$3:$C$9920,3,FALSE)</f>
        <v>Soulcleaver</v>
      </c>
      <c r="C634" s="8" t="str">
        <f>VLOOKUP(A634,'Sets (lua data)'!$A$3:$C$9920,2,FALSE)</f>
        <v>Seelenspalter</v>
      </c>
      <c r="D634" s="101" t="s">
        <v>1420</v>
      </c>
      <c r="E634" s="3" t="str">
        <f>IF(ISNA(VLOOKUP(D634,'&lt;Constants&gt;'!$B$4:$C$44,2,FALSE)),"",VLOOKUP(D634,'&lt;Constants&gt;'!$B$4:$C$44,2,FALSE))</f>
        <v>Included in base game</v>
      </c>
    </row>
    <row r="635" spans="1:5" x14ac:dyDescent="0.25">
      <c r="A635" s="5">
        <v>727</v>
      </c>
      <c r="B635" s="8" t="str">
        <f>VLOOKUP(A635,'Sets (lua data)'!$A$3:$C$9920,3,FALSE)</f>
        <v>Monolith of Storms</v>
      </c>
      <c r="C635" s="8" t="str">
        <f>VLOOKUP(A635,'Sets (lua data)'!$A$3:$C$9920,2,FALSE)</f>
        <v>Monolith der Stürme</v>
      </c>
      <c r="D635" s="101" t="s">
        <v>1420</v>
      </c>
      <c r="E635" s="3" t="str">
        <f>IF(ISNA(VLOOKUP(D635,'&lt;Constants&gt;'!$B$4:$C$44,2,FALSE)),"",VLOOKUP(D635,'&lt;Constants&gt;'!$B$4:$C$44,2,FALSE))</f>
        <v>Included in base game</v>
      </c>
    </row>
    <row r="636" spans="1:5" x14ac:dyDescent="0.25">
      <c r="A636" s="5">
        <v>728</v>
      </c>
      <c r="B636" s="8" t="str">
        <f>VLOOKUP(A636,'Sets (lua data)'!$A$3:$C$9920,3,FALSE)</f>
        <v>Wrathsun</v>
      </c>
      <c r="C636" s="8" t="str">
        <f>VLOOKUP(A636,'Sets (lua data)'!$A$3:$C$9920,2,FALSE)</f>
        <v>Wutsonne</v>
      </c>
      <c r="D636" s="101" t="s">
        <v>1420</v>
      </c>
      <c r="E636" s="3" t="str">
        <f>IF(ISNA(VLOOKUP(D636,'&lt;Constants&gt;'!$B$4:$C$44,2,FALSE)),"",VLOOKUP(D636,'&lt;Constants&gt;'!$B$4:$C$44,2,FALSE))</f>
        <v>Included in base game</v>
      </c>
    </row>
    <row r="637" spans="1:5" x14ac:dyDescent="0.25">
      <c r="A637" s="5">
        <v>729</v>
      </c>
      <c r="B637" s="8" t="str">
        <f>VLOOKUP(A637,'Sets (lua data)'!$A$3:$C$9920,3,FALSE)</f>
        <v>Gardener of Seasons</v>
      </c>
      <c r="C637" s="8" t="str">
        <f>VLOOKUP(A637,'Sets (lua data)'!$A$3:$C$9920,2,FALSE)</f>
        <v>Gärtner der Jahreszeiten</v>
      </c>
      <c r="D637" s="101" t="s">
        <v>1420</v>
      </c>
      <c r="E637" s="3" t="str">
        <f>IF(ISNA(VLOOKUP(D637,'&lt;Constants&gt;'!$B$4:$C$44,2,FALSE)),"",VLOOKUP(D637,'&lt;Constants&gt;'!$B$4:$C$44,2,FALSE))</f>
        <v>Included in base game</v>
      </c>
    </row>
    <row r="638" spans="1:5" x14ac:dyDescent="0.25">
      <c r="A638" s="5">
        <v>730</v>
      </c>
      <c r="B638" s="8" t="str">
        <f>VLOOKUP(A638,'Sets (lua data)'!$A$3:$C$9920,3,FALSE)</f>
        <v>Cinders of Anthelmir</v>
      </c>
      <c r="C638" s="8" t="str">
        <f>VLOOKUP(A638,'Sets (lua data)'!$A$3:$C$9920,2,FALSE)</f>
        <v>Cinders of Anthelmir</v>
      </c>
      <c r="D638" t="s">
        <v>3836</v>
      </c>
      <c r="E638" s="3" t="str">
        <f>IF(ISNA(VLOOKUP(D638,'&lt;Constants&gt;'!$B$4:$C$44,2,FALSE)),"",VLOOKUP(D638,'&lt;Constants&gt;'!$B$4:$C$44,2,FALSE))</f>
        <v>Scions of Ithelia</v>
      </c>
    </row>
    <row r="639" spans="1:5" x14ac:dyDescent="0.25">
      <c r="A639" s="5">
        <v>731</v>
      </c>
      <c r="B639" s="8" t="str">
        <f>VLOOKUP(A639,'Sets (lua data)'!$A$3:$C$9920,3,FALSE)</f>
        <v>Sluthrug\'s Hunger</v>
      </c>
      <c r="C639" s="8" t="str">
        <f>VLOOKUP(A639,'Sets (lua data)'!$A$3:$C$9920,2,FALSE)</f>
        <v>Sluthrug\'s Hunger</v>
      </c>
      <c r="D639" t="s">
        <v>3836</v>
      </c>
      <c r="E639" s="3" t="str">
        <f>IF(ISNA(VLOOKUP(D639,'&lt;Constants&gt;'!$B$4:$C$44,2,FALSE)),"",VLOOKUP(D639,'&lt;Constants&gt;'!$B$4:$C$44,2,FALSE))</f>
        <v>Scions of Ithelia</v>
      </c>
    </row>
    <row r="640" spans="1:5" x14ac:dyDescent="0.25">
      <c r="A640" s="5">
        <v>732</v>
      </c>
      <c r="B640" s="8" t="str">
        <f>VLOOKUP(A640,'Sets (lua data)'!$A$3:$C$9920,3,FALSE)</f>
        <v>Black-Grove Grounding</v>
      </c>
      <c r="C640" s="8" t="str">
        <f>VLOOKUP(A640,'Sets (lua data)'!$A$3:$C$9920,2,FALSE)</f>
        <v>Black-Grove Grounding</v>
      </c>
      <c r="D640" t="s">
        <v>3836</v>
      </c>
      <c r="E640" s="3" t="str">
        <f>IF(ISNA(VLOOKUP(D640,'&lt;Constants&gt;'!$B$4:$C$44,2,FALSE)),"",VLOOKUP(D640,'&lt;Constants&gt;'!$B$4:$C$44,2,FALSE))</f>
        <v>Scions of Ithelia</v>
      </c>
    </row>
    <row r="641" spans="1:5" x14ac:dyDescent="0.25">
      <c r="A641" s="5">
        <v>734</v>
      </c>
      <c r="B641" s="8" t="str">
        <f>VLOOKUP(A641,'Sets (lua data)'!$A$3:$C$9920,3,FALSE)</f>
        <v>Anthelmir\'s Construct</v>
      </c>
      <c r="C641" s="8" t="str">
        <f>VLOOKUP(A641,'Sets (lua data)'!$A$3:$C$9920,2,FALSE)</f>
        <v>Anthelmirs Konstrukt</v>
      </c>
      <c r="D641" t="s">
        <v>3836</v>
      </c>
      <c r="E641" s="3" t="str">
        <f>IF(ISNA(VLOOKUP(D641,'&lt;Constants&gt;'!$B$4:$C$44,2,FALSE)),"",VLOOKUP(D641,'&lt;Constants&gt;'!$B$4:$C$44,2,FALSE))</f>
        <v>Scions of Ithelia</v>
      </c>
    </row>
    <row r="642" spans="1:5" x14ac:dyDescent="0.25">
      <c r="A642" s="5">
        <v>735</v>
      </c>
      <c r="B642" s="8" t="str">
        <f>VLOOKUP(A642,'Sets (lua data)'!$A$3:$C$9920,3,FALSE)</f>
        <v>Blind Path Induction</v>
      </c>
      <c r="C642" s="8" t="str">
        <f>VLOOKUP(A642,'Sets (lua data)'!$A$3:$C$9920,2,FALSE)</f>
        <v>Blind Path Induction</v>
      </c>
      <c r="D642" t="s">
        <v>3836</v>
      </c>
      <c r="E642" s="3" t="str">
        <f>IF(ISNA(VLOOKUP(D642,'&lt;Constants&gt;'!$B$4:$C$44,2,FALSE)),"",VLOOKUP(D642,'&lt;Constants&gt;'!$B$4:$C$44,2,FALSE))</f>
        <v>Scions of Ithelia</v>
      </c>
    </row>
    <row r="643" spans="1:5" x14ac:dyDescent="0.25">
      <c r="A643" s="5">
        <v>736</v>
      </c>
      <c r="B643" s="8" t="str">
        <f>VLOOKUP(A643,'Sets (lua data)'!$A$3:$C$9920,3,FALSE)</f>
        <v>Tarnished Nightmare</v>
      </c>
      <c r="C643" s="8" t="str">
        <f>VLOOKUP(A643,'Sets (lua data)'!$A$3:$C$9920,2,FALSE)</f>
        <v>Tarnished Nightmare</v>
      </c>
      <c r="D643" t="s">
        <v>3836</v>
      </c>
      <c r="E643" s="3" t="str">
        <f>IF(ISNA(VLOOKUP(D643,'&lt;Constants&gt;'!$B$4:$C$44,2,FALSE)),"",VLOOKUP(D643,'&lt;Constants&gt;'!$B$4:$C$44,2,FALSE))</f>
        <v>Scions of Ithelia</v>
      </c>
    </row>
    <row r="644" spans="1:5" x14ac:dyDescent="0.25">
      <c r="A644" s="5">
        <v>737</v>
      </c>
      <c r="B644" s="8" t="str">
        <f>VLOOKUP(A644,'Sets (lua data)'!$A$3:$C$9920,3,FALSE)</f>
        <v>Reflected Fury</v>
      </c>
      <c r="C644" s="8" t="str">
        <f>VLOOKUP(A644,'Sets (lua data)'!$A$3:$C$9920,2,FALSE)</f>
        <v>Reflected Fury</v>
      </c>
      <c r="D644" s="101" t="s">
        <v>3836</v>
      </c>
      <c r="E644" s="3" t="str">
        <f>IF(ISNA(VLOOKUP(D644,'&lt;Constants&gt;'!$B$4:$C$44,2,FALSE)),"",VLOOKUP(D644,'&lt;Constants&gt;'!$B$4:$C$44,2,FALSE))</f>
        <v>Scions of Ithelia</v>
      </c>
    </row>
    <row r="645" spans="1:5" x14ac:dyDescent="0.25">
      <c r="A645" s="5">
        <v>738</v>
      </c>
      <c r="B645" s="8" t="str">
        <f>VLOOKUP(A645,'Sets (lua data)'!$A$3:$C$9920,3,FALSE)</f>
        <v>The Blind</v>
      </c>
      <c r="C645" s="8" t="str">
        <f>VLOOKUP(A645,'Sets (lua data)'!$A$3:$C$9920,2,FALSE)</f>
        <v>Der Blinde</v>
      </c>
      <c r="D645" t="s">
        <v>3836</v>
      </c>
      <c r="E645" s="3" t="str">
        <f>IF(ISNA(VLOOKUP(D645,'&lt;Constants&gt;'!$B$4:$C$44,2,FALSE)),"",VLOOKUP(D645,'&lt;Constants&gt;'!$B$4:$C$44,2,FALSE))</f>
        <v>Scions of Ithelia</v>
      </c>
    </row>
    <row r="646" spans="1:5" x14ac:dyDescent="0.25">
      <c r="A646" s="5">
        <v>754</v>
      </c>
      <c r="B646" s="8" t="str">
        <f>VLOOKUP(A646,'Sets (lua data)'!$A$3:$C$9920,3,FALSE)</f>
        <v>Oakfather\'s Retribution</v>
      </c>
      <c r="C646" s="8" t="str">
        <f>VLOOKUP(A646,'Sets (lua data)'!$A$3:$C$9920,2,FALSE)</f>
        <v>Oakfather\'s Retribution</v>
      </c>
      <c r="D646" t="s">
        <v>1420</v>
      </c>
      <c r="E646" s="3" t="str">
        <f>IF(ISNA(VLOOKUP(D646,'&lt;Constants&gt;'!$B$4:$C$44,2,FALSE)),"",VLOOKUP(D646,'&lt;Constants&gt;'!$B$4:$C$44,2,FALSE))</f>
        <v>Included in base game</v>
      </c>
    </row>
    <row r="647" spans="1:5" x14ac:dyDescent="0.25">
      <c r="A647" s="5">
        <v>755</v>
      </c>
      <c r="B647" s="8" t="str">
        <f>VLOOKUP(A647,'Sets (lua data)'!$A$3:$C$9920,3,FALSE)</f>
        <v>Blunted Blades</v>
      </c>
      <c r="C647" s="8" t="str">
        <f>VLOOKUP(A647,'Sets (lua data)'!$A$3:$C$9920,2,FALSE)</f>
        <v>Blunted Blades</v>
      </c>
      <c r="D647" t="s">
        <v>1420</v>
      </c>
      <c r="E647" s="3" t="str">
        <f>IF(ISNA(VLOOKUP(D647,'&lt;Constants&gt;'!$B$4:$C$44,2,FALSE)),"",VLOOKUP(D647,'&lt;Constants&gt;'!$B$4:$C$44,2,FALSE))</f>
        <v>Included in base game</v>
      </c>
    </row>
    <row r="648" spans="1:5" x14ac:dyDescent="0.25">
      <c r="A648" s="5">
        <v>756</v>
      </c>
      <c r="B648" s="8" t="str">
        <f>VLOOKUP(A648,'Sets (lua data)'!$A$3:$C$9920,3,FALSE)</f>
        <v>Baan Dar\'s Blessing</v>
      </c>
      <c r="C648" s="8" t="str">
        <f>VLOOKUP(A648,'Sets (lua data)'!$A$3:$C$9920,2,FALSE)</f>
        <v>Baan Dar\'s Blessing</v>
      </c>
      <c r="D648" t="s">
        <v>1420</v>
      </c>
      <c r="E648" s="3" t="str">
        <f>IF(ISNA(VLOOKUP(D648,'&lt;Constants&gt;'!$B$4:$C$44,2,FALSE)),"",VLOOKUP(D648,'&lt;Constants&gt;'!$B$4:$C$44,2,FALSE))</f>
        <v>Included in base game</v>
      </c>
    </row>
    <row r="649" spans="1:5" x14ac:dyDescent="0.25">
      <c r="A649" s="5">
        <v>757</v>
      </c>
      <c r="B649" s="8" t="str">
        <f>VLOOKUP(A649,'Sets (lua data)'!$A$3:$C$9920,3,FALSE)</f>
        <v>Symmetry of the Weald</v>
      </c>
      <c r="C649" s="8" t="str">
        <f>VLOOKUP(A649,'Sets (lua data)'!$A$3:$C$9920,2,FALSE)</f>
        <v>Symmetry of the Weald</v>
      </c>
      <c r="D649" t="s">
        <v>3879</v>
      </c>
      <c r="E649" s="3" t="str">
        <f>IF(ISNA(VLOOKUP(D649,'&lt;Constants&gt;'!$B$4:$C$44,2,FALSE)),"",VLOOKUP(D649,'&lt;Constants&gt;'!$B$4:$C$44,2,FALSE))</f>
        <v>Gold Road</v>
      </c>
    </row>
    <row r="650" spans="1:5" x14ac:dyDescent="0.25">
      <c r="A650" s="5">
        <v>758</v>
      </c>
      <c r="B650" s="8" t="str">
        <f>VLOOKUP(A650,'Sets (lua data)'!$A$3:$C$9920,3,FALSE)</f>
        <v>Macabre Vintage</v>
      </c>
      <c r="C650" s="8" t="str">
        <f>VLOOKUP(A650,'Sets (lua data)'!$A$3:$C$9920,2,FALSE)</f>
        <v>Macabre Vintage</v>
      </c>
      <c r="D650" t="s">
        <v>3879</v>
      </c>
      <c r="E650" s="3" t="str">
        <f>IF(ISNA(VLOOKUP(D650,'&lt;Constants&gt;'!$B$4:$C$44,2,FALSE)),"",VLOOKUP(D650,'&lt;Constants&gt;'!$B$4:$C$44,2,FALSE))</f>
        <v>Gold Road</v>
      </c>
    </row>
    <row r="651" spans="1:5" x14ac:dyDescent="0.25">
      <c r="A651" s="5">
        <v>759</v>
      </c>
      <c r="B651" s="8" t="str">
        <f>VLOOKUP(A651,'Sets (lua data)'!$A$3:$C$9920,3,FALSE)</f>
        <v>Ayleid Rufuge</v>
      </c>
      <c r="C651" s="8" t="str">
        <f>VLOOKUP(A651,'Sets (lua data)'!$A$3:$C$9920,2,FALSE)</f>
        <v>Ayleid Rufuge</v>
      </c>
      <c r="D651" t="s">
        <v>3879</v>
      </c>
      <c r="E651" s="3" t="str">
        <f>IF(ISNA(VLOOKUP(D651,'&lt;Constants&gt;'!$B$4:$C$44,2,FALSE)),"",VLOOKUP(D651,'&lt;Constants&gt;'!$B$4:$C$44,2,FALSE))</f>
        <v>Gold Road</v>
      </c>
    </row>
    <row r="652" spans="1:5" x14ac:dyDescent="0.25">
      <c r="A652" s="5">
        <v>760</v>
      </c>
      <c r="B652" s="8" t="str">
        <f>VLOOKUP(A652,'Sets (lua data)'!$A$3:$C$9920,3,FALSE)</f>
        <v>Rourken Steamguards</v>
      </c>
      <c r="C652" s="8" t="str">
        <f>VLOOKUP(A652,'Sets (lua data)'!$A$3:$C$9920,2,FALSE)</f>
        <v>Rourken Steamguards</v>
      </c>
      <c r="D652" t="s">
        <v>3879</v>
      </c>
      <c r="E652" s="3" t="str">
        <f>IF(ISNA(VLOOKUP(D652,'&lt;Constants&gt;'!$B$4:$C$44,2,FALSE)),"",VLOOKUP(D652,'&lt;Constants&gt;'!$B$4:$C$44,2,FALSE))</f>
        <v>Gold Road</v>
      </c>
    </row>
    <row r="653" spans="1:5" x14ac:dyDescent="0.25">
      <c r="A653" s="5">
        <v>761</v>
      </c>
      <c r="B653" s="8" t="str">
        <f>VLOOKUP(A653,'Sets (lua data)'!$A$3:$C$9920,3,FALSE)</f>
        <v>The Shadow Queen\'s Cowl</v>
      </c>
      <c r="C653" s="8" t="str">
        <f>VLOOKUP(A653,'Sets (lua data)'!$A$3:$C$9920,2,FALSE)</f>
        <v>The Shadow Queen\'s Cowl</v>
      </c>
      <c r="D653" t="s">
        <v>3879</v>
      </c>
      <c r="E653" s="3" t="str">
        <f>IF(ISNA(VLOOKUP(D653,'&lt;Constants&gt;'!$B$4:$C$44,2,FALSE)),"",VLOOKUP(D653,'&lt;Constants&gt;'!$B$4:$C$44,2,FALSE))</f>
        <v>Gold Road</v>
      </c>
    </row>
    <row r="654" spans="1:5" x14ac:dyDescent="0.25">
      <c r="A654" s="5">
        <v>762</v>
      </c>
      <c r="B654" s="8" t="str">
        <f>VLOOKUP(A654,'Sets (lua data)'!$A$3:$C$9920,3,FALSE)</f>
        <v>The Saint and the Seducer</v>
      </c>
      <c r="C654" s="8" t="str">
        <f>VLOOKUP(A654,'Sets (lua data)'!$A$3:$C$9920,2,FALSE)</f>
        <v>The Saint and the Seducer</v>
      </c>
      <c r="D654" t="s">
        <v>3879</v>
      </c>
      <c r="E654" s="3" t="str">
        <f>IF(ISNA(VLOOKUP(D654,'&lt;Constants&gt;'!$B$4:$C$44,2,FALSE)),"",VLOOKUP(D654,'&lt;Constants&gt;'!$B$4:$C$44,2,FALSE))</f>
        <v>Gold Road</v>
      </c>
    </row>
    <row r="655" spans="1:5" x14ac:dyDescent="0.25">
      <c r="A655" s="5">
        <v>763</v>
      </c>
      <c r="B655" s="8" t="str">
        <f>VLOOKUP(A655,'Sets (lua data)'!$A$3:$C$9920,3,FALSE)</f>
        <v>Tharriker\'s Strike</v>
      </c>
      <c r="C655" s="8" t="str">
        <f>VLOOKUP(A655,'Sets (lua data)'!$A$3:$C$9920,2,FALSE)</f>
        <v>Tharriker\'s Strike</v>
      </c>
      <c r="D655" t="s">
        <v>3879</v>
      </c>
      <c r="E655" s="3" t="str">
        <f>IF(ISNA(VLOOKUP(D655,'&lt;Constants&gt;'!$B$4:$C$44,2,FALSE)),"",VLOOKUP(D655,'&lt;Constants&gt;'!$B$4:$C$44,2,FALSE))</f>
        <v>Gold Road</v>
      </c>
    </row>
    <row r="656" spans="1:5" x14ac:dyDescent="0.25">
      <c r="A656" s="5">
        <v>764</v>
      </c>
      <c r="B656" s="8" t="str">
        <f>VLOOKUP(A656,'Sets (lua data)'!$A$3:$C$9920,3,FALSE)</f>
        <v>Highland Sentinel</v>
      </c>
      <c r="C656" s="8" t="str">
        <f>VLOOKUP(A656,'Sets (lua data)'!$A$3:$C$9920,2,FALSE)</f>
        <v>Highland Sentinel</v>
      </c>
      <c r="D656" t="s">
        <v>3879</v>
      </c>
      <c r="E656" s="3" t="str">
        <f>IF(ISNA(VLOOKUP(D656,'&lt;Constants&gt;'!$B$4:$C$44,2,FALSE)),"",VLOOKUP(D656,'&lt;Constants&gt;'!$B$4:$C$44,2,FALSE))</f>
        <v>Gold Road</v>
      </c>
    </row>
    <row r="657" spans="1:5" x14ac:dyDescent="0.25">
      <c r="A657" s="5">
        <v>765</v>
      </c>
      <c r="B657" s="8" t="str">
        <f>VLOOKUP(A657,'Sets (lua data)'!$A$3:$C$9920,3,FALSE)</f>
        <v>Threads of War</v>
      </c>
      <c r="C657" s="8" t="str">
        <f>VLOOKUP(A657,'Sets (lua data)'!$A$3:$C$9920,2,FALSE)</f>
        <v>Threads of War</v>
      </c>
      <c r="D657" t="s">
        <v>3879</v>
      </c>
      <c r="E657" s="3" t="str">
        <f>IF(ISNA(VLOOKUP(D657,'&lt;Constants&gt;'!$B$4:$C$44,2,FALSE)),"",VLOOKUP(D657,'&lt;Constants&gt;'!$B$4:$C$44,2,FALSE))</f>
        <v>Gold Road</v>
      </c>
    </row>
    <row r="658" spans="1:5" x14ac:dyDescent="0.25">
      <c r="A658" s="5">
        <v>766</v>
      </c>
      <c r="B658" s="8" t="str">
        <f>VLOOKUP(A658,'Sets (lua data)'!$A$3:$C$9920,3,FALSE)</f>
        <v>Mora Scribe\'s Thesis</v>
      </c>
      <c r="C658" s="8" t="str">
        <f>VLOOKUP(A658,'Sets (lua data)'!$A$3:$C$9920,2,FALSE)</f>
        <v>Mora Scribe\'s Thesis</v>
      </c>
      <c r="D658" t="s">
        <v>3879</v>
      </c>
      <c r="E658" s="3" t="str">
        <f>IF(ISNA(VLOOKUP(D658,'&lt;Constants&gt;'!$B$4:$C$44,2,FALSE)),"",VLOOKUP(D658,'&lt;Constants&gt;'!$B$4:$C$44,2,FALSE))</f>
        <v>Gold Road</v>
      </c>
    </row>
    <row r="659" spans="1:5" x14ac:dyDescent="0.25">
      <c r="A659" s="5">
        <v>767</v>
      </c>
      <c r="B659" s="8" t="str">
        <f>VLOOKUP(A659,'Sets (lua data)'!$A$3:$C$9920,3,FALSE)</f>
        <v>Slivers of the Null Arca</v>
      </c>
      <c r="C659" s="8" t="str">
        <f>VLOOKUP(A659,'Sets (lua data)'!$A$3:$C$9920,2,FALSE)</f>
        <v>Slivers of the Null Arca</v>
      </c>
      <c r="D659" t="s">
        <v>3879</v>
      </c>
      <c r="E659" s="3" t="str">
        <f>IF(ISNA(VLOOKUP(D659,'&lt;Constants&gt;'!$B$4:$C$44,2,FALSE)),"",VLOOKUP(D659,'&lt;Constants&gt;'!$B$4:$C$44,2,FALSE))</f>
        <v>Gold Road</v>
      </c>
    </row>
    <row r="660" spans="1:5" x14ac:dyDescent="0.25">
      <c r="A660" s="5">
        <v>768</v>
      </c>
      <c r="B660" s="8" t="str">
        <f>VLOOKUP(A660,'Sets (lua data)'!$A$3:$C$9920,3,FALSE)</f>
        <v>Lucent Echoes</v>
      </c>
      <c r="C660" s="8" t="str">
        <f>VLOOKUP(A660,'Sets (lua data)'!$A$3:$C$9920,2,FALSE)</f>
        <v>Lucent Echoes</v>
      </c>
      <c r="D660" t="s">
        <v>3879</v>
      </c>
      <c r="E660" s="3" t="str">
        <f>IF(ISNA(VLOOKUP(D660,'&lt;Constants&gt;'!$B$4:$C$44,2,FALSE)),"",VLOOKUP(D660,'&lt;Constants&gt;'!$B$4:$C$44,2,FALSE))</f>
        <v>Gold Road</v>
      </c>
    </row>
    <row r="661" spans="1:5" x14ac:dyDescent="0.25">
      <c r="A661" s="5">
        <v>769</v>
      </c>
      <c r="B661" s="8" t="str">
        <f>VLOOKUP(A661,'Sets (lua data)'!$A$3:$C$9920,3,FALSE)</f>
        <v>Xoryn\'s Masterpiece</v>
      </c>
      <c r="C661" s="8" t="str">
        <f>VLOOKUP(A661,'Sets (lua data)'!$A$3:$C$9920,2,FALSE)</f>
        <v>Xoryn\'s Masterpiece</v>
      </c>
      <c r="D661" t="s">
        <v>3879</v>
      </c>
      <c r="E661" s="3" t="str">
        <f>IF(ISNA(VLOOKUP(D661,'&lt;Constants&gt;'!$B$4:$C$44,2,FALSE)),"",VLOOKUP(D661,'&lt;Constants&gt;'!$B$4:$C$44,2,FALSE))</f>
        <v>Gold Road</v>
      </c>
    </row>
    <row r="662" spans="1:5" x14ac:dyDescent="0.25">
      <c r="A662" s="5">
        <v>770</v>
      </c>
      <c r="B662" s="8" t="str">
        <f>VLOOKUP(A662,'Sets (lua data)'!$A$3:$C$9920,3,FALSE)</f>
        <v>Perfected Xoryn\'s Masterpiece</v>
      </c>
      <c r="C662" s="8" t="str">
        <f>VLOOKUP(A662,'Sets (lua data)'!$A$3:$C$9920,2,FALSE)</f>
        <v>Perfected Xoryn\'s Masterpiece</v>
      </c>
      <c r="D662" t="s">
        <v>3879</v>
      </c>
      <c r="E662" s="3" t="str">
        <f>IF(ISNA(VLOOKUP(D662,'&lt;Constants&gt;'!$B$4:$C$44,2,FALSE)),"",VLOOKUP(D662,'&lt;Constants&gt;'!$B$4:$C$44,2,FALSE))</f>
        <v>Gold Road</v>
      </c>
    </row>
    <row r="663" spans="1:5" x14ac:dyDescent="0.25">
      <c r="A663" s="5">
        <v>771</v>
      </c>
      <c r="B663" s="8" t="str">
        <f>VLOOKUP(A663,'Sets (lua data)'!$A$3:$C$9920,3,FALSE)</f>
        <v>Perfected Lucent Echoes</v>
      </c>
      <c r="C663" s="8" t="str">
        <f>VLOOKUP(A663,'Sets (lua data)'!$A$3:$C$9920,2,FALSE)</f>
        <v>Perfected Lucent Echoes</v>
      </c>
      <c r="D663" t="s">
        <v>3879</v>
      </c>
      <c r="E663" s="3" t="str">
        <f>IF(ISNA(VLOOKUP(D663,'&lt;Constants&gt;'!$B$4:$C$44,2,FALSE)),"",VLOOKUP(D663,'&lt;Constants&gt;'!$B$4:$C$44,2,FALSE))</f>
        <v>Gold Road</v>
      </c>
    </row>
    <row r="664" spans="1:5" x14ac:dyDescent="0.25">
      <c r="A664" s="5">
        <v>772</v>
      </c>
      <c r="B664" s="8" t="str">
        <f>VLOOKUP(A664,'Sets (lua data)'!$A$3:$C$9920,3,FALSE)</f>
        <v>Perfected Slivers of the Null Arca</v>
      </c>
      <c r="C664" s="8" t="str">
        <f>VLOOKUP(A664,'Sets (lua data)'!$A$3:$C$9920,2,FALSE)</f>
        <v>Perfected Slivers of the Null Arca</v>
      </c>
      <c r="D664" t="s">
        <v>3879</v>
      </c>
      <c r="E664" s="3" t="str">
        <f>IF(ISNA(VLOOKUP(D664,'&lt;Constants&gt;'!$B$4:$C$44,2,FALSE)),"",VLOOKUP(D664,'&lt;Constants&gt;'!$B$4:$C$44,2,FALSE))</f>
        <v>Gold Road</v>
      </c>
    </row>
    <row r="665" spans="1:5" x14ac:dyDescent="0.25">
      <c r="A665" s="5">
        <v>773</v>
      </c>
      <c r="B665" s="8" t="str">
        <f>VLOOKUP(A665,'Sets (lua data)'!$A$3:$C$9920,3,FALSE)</f>
        <v>Perfected Mora Scribe\'s Thesis</v>
      </c>
      <c r="C665" s="8" t="str">
        <f>VLOOKUP(A665,'Sets (lua data)'!$A$3:$C$9920,2,FALSE)</f>
        <v>Perfected Mora Scribe\'s Thesis</v>
      </c>
      <c r="D665" t="s">
        <v>3879</v>
      </c>
      <c r="E665" s="3" t="str">
        <f>IF(ISNA(VLOOKUP(D665,'&lt;Constants&gt;'!$B$4:$C$44,2,FALSE)),"",VLOOKUP(D665,'&lt;Constants&gt;'!$B$4:$C$44,2,FALSE))</f>
        <v>Gold Road</v>
      </c>
    </row>
    <row r="666" spans="1:5" x14ac:dyDescent="0.25">
      <c r="A666" s="5">
        <v>775</v>
      </c>
      <c r="B666" s="8" t="str">
        <f>VLOOKUP(A666,'Sets (lua data)'!$A$3:$C$9920,3,FALSE)</f>
        <v>Spattering Disjunction</v>
      </c>
      <c r="C666" s="8" t="str">
        <f>VLOOKUP(A666,'Sets (lua data)'!$A$3:$C$9920,2,FALSE)</f>
        <v>Spattering Disjunction</v>
      </c>
      <c r="D666" s="101" t="s">
        <v>1420</v>
      </c>
      <c r="E666" s="3" t="str">
        <f>IF(ISNA(VLOOKUP(D666,'&lt;Constants&gt;'!$B$4:$C$44,2,FALSE)),"",VLOOKUP(D666,'&lt;Constants&gt;'!$B$4:$C$44,2,FALSE))</f>
        <v>Included in base game</v>
      </c>
    </row>
    <row r="667" spans="1:5" x14ac:dyDescent="0.25">
      <c r="A667" s="5">
        <v>776</v>
      </c>
      <c r="B667" s="8" t="str">
        <f>VLOOKUP(A667,'Sets (lua data)'!$A$3:$C$9920,3,FALSE)</f>
        <v>Pyrebrand</v>
      </c>
      <c r="C667" s="8" t="str">
        <f>VLOOKUP(A667,'Sets (lua data)'!$A$3:$C$9920,2,FALSE)</f>
        <v>Pyrebrand</v>
      </c>
      <c r="D667" s="101" t="s">
        <v>1420</v>
      </c>
      <c r="E667" s="3" t="str">
        <f>IF(ISNA(VLOOKUP(D667,'&lt;Constants&gt;'!$B$4:$C$44,2,FALSE)),"",VLOOKUP(D667,'&lt;Constants&gt;'!$B$4:$C$44,2,FALSE))</f>
        <v>Included in base game</v>
      </c>
    </row>
    <row r="668" spans="1:5" x14ac:dyDescent="0.25">
      <c r="A668" s="5">
        <v>777</v>
      </c>
      <c r="B668" s="8" t="str">
        <f>VLOOKUP(A668,'Sets (lua data)'!$A$3:$C$9920,3,FALSE)</f>
        <v>Corpseburster</v>
      </c>
      <c r="C668" s="8" t="str">
        <f>VLOOKUP(A668,'Sets (lua data)'!$A$3:$C$9920,2,FALSE)</f>
        <v>Corpseburster</v>
      </c>
      <c r="D668" s="101" t="s">
        <v>1420</v>
      </c>
      <c r="E668" s="3" t="str">
        <f>IF(ISNA(VLOOKUP(D668,'&lt;Constants&gt;'!$B$4:$C$44,2,FALSE)),"",VLOOKUP(D668,'&lt;Constants&gt;'!$B$4:$C$44,2,FALSE))</f>
        <v>Included in base game</v>
      </c>
    </row>
    <row r="669" spans="1:5" x14ac:dyDescent="0.25">
      <c r="A669" s="5">
        <v>778</v>
      </c>
      <c r="B669" s="8" t="str">
        <f>VLOOKUP(A669,'Sets (lua data)'!$A$3:$C$9920,3,FALSE)</f>
        <v>Umbral Edge</v>
      </c>
      <c r="C669" s="8" t="str">
        <f>VLOOKUP(A669,'Sets (lua data)'!$A$3:$C$9920,2,FALSE)</f>
        <v>Umbral Edge</v>
      </c>
      <c r="D669" s="101" t="s">
        <v>1420</v>
      </c>
      <c r="E669" s="3" t="str">
        <f>IF(ISNA(VLOOKUP(D669,'&lt;Constants&gt;'!$B$4:$C$44,2,FALSE)),"",VLOOKUP(D669,'&lt;Constants&gt;'!$B$4:$C$44,2,FALSE))</f>
        <v>Included in base game</v>
      </c>
    </row>
    <row r="670" spans="1:5" x14ac:dyDescent="0.25">
      <c r="A670" s="5">
        <v>779</v>
      </c>
      <c r="B670" s="8" t="str">
        <f>VLOOKUP(A670,'Sets (lua data)'!$A$3:$C$9920,3,FALSE)</f>
        <v>Beacon of Oblivion</v>
      </c>
      <c r="C670" s="8" t="str">
        <f>VLOOKUP(A670,'Sets (lua data)'!$A$3:$C$9920,2,FALSE)</f>
        <v>Beacon of Oblivion</v>
      </c>
      <c r="D670" s="101" t="s">
        <v>1420</v>
      </c>
      <c r="E670" s="3" t="str">
        <f>IF(ISNA(VLOOKUP(D670,'&lt;Constants&gt;'!$B$4:$C$44,2,FALSE)),"",VLOOKUP(D670,'&lt;Constants&gt;'!$B$4:$C$44,2,FALSE))</f>
        <v>Included in base game</v>
      </c>
    </row>
    <row r="671" spans="1:5" x14ac:dyDescent="0.25">
      <c r="A671" s="5">
        <v>780</v>
      </c>
      <c r="B671" s="8" t="str">
        <f>VLOOKUP(A671,'Sets (lua data)'!$A$3:$C$9920,3,FALSE)</f>
        <v>Aetheric Lance</v>
      </c>
      <c r="C671" s="8" t="str">
        <f>VLOOKUP(A671,'Sets (lua data)'!$A$3:$C$9920,2,FALSE)</f>
        <v>Aetheric Lance</v>
      </c>
      <c r="D671" s="101" t="s">
        <v>1420</v>
      </c>
      <c r="E671" s="3" t="str">
        <f>IF(ISNA(VLOOKUP(D671,'&lt;Constants&gt;'!$B$4:$C$44,2,FALSE)),"",VLOOKUP(D671,'&lt;Constants&gt;'!$B$4:$C$44,2,FALSE))</f>
        <v>Included in base game</v>
      </c>
    </row>
    <row r="672" spans="1:5" x14ac:dyDescent="0.25">
      <c r="A672" s="5">
        <v>781</v>
      </c>
      <c r="B672" s="8" t="str">
        <f>VLOOKUP(A672,'Sets (lua data)'!$A$3:$C$9920,3,FALSE)</f>
        <v>Aerie\'s Cry</v>
      </c>
      <c r="C672" s="8" t="str">
        <f>VLOOKUP(A672,'Sets (lua data)'!$A$3:$C$9920,2,FALSE)</f>
        <v>Aerie\'s Cry</v>
      </c>
      <c r="D672" s="101" t="s">
        <v>1420</v>
      </c>
      <c r="E672" s="3" t="str">
        <f>IF(ISNA(VLOOKUP(D672,'&lt;Constants&gt;'!$B$4:$C$44,2,FALSE)),"",VLOOKUP(D672,'&lt;Constants&gt;'!$B$4:$C$44,2,FALSE))</f>
        <v>Included in base game</v>
      </c>
    </row>
    <row r="673" spans="1:5" x14ac:dyDescent="0.25">
      <c r="A673" s="5">
        <v>782</v>
      </c>
      <c r="B673" s="8" t="str">
        <f>VLOOKUP(A673,'Sets (lua data)'!$A$3:$C$9920,3,FALSE)</f>
        <v>Tracker\'s Lash</v>
      </c>
      <c r="C673" s="8" t="str">
        <f>VLOOKUP(A673,'Sets (lua data)'!$A$3:$C$9920,2,FALSE)</f>
        <v>Tracker\'s Lash</v>
      </c>
      <c r="D673" s="101" t="s">
        <v>1420</v>
      </c>
      <c r="E673" s="3" t="str">
        <f>IF(ISNA(VLOOKUP(D673,'&lt;Constants&gt;'!$B$4:$C$44,2,FALSE)),"",VLOOKUP(D673,'&lt;Constants&gt;'!$B$4:$C$44,2,FALSE))</f>
        <v>Included in base game</v>
      </c>
    </row>
    <row r="674" spans="1:5" x14ac:dyDescent="0.25">
      <c r="A674" s="5">
        <v>783</v>
      </c>
      <c r="B674" s="8" t="str">
        <f>VLOOKUP(A674,'Sets (lua data)'!$A$3:$C$9920,3,FALSE)</f>
        <v>Shared Pain</v>
      </c>
      <c r="C674" s="8" t="str">
        <f>VLOOKUP(A674,'Sets (lua data)'!$A$3:$C$9920,2,FALSE)</f>
        <v>Shared Pain</v>
      </c>
      <c r="D674" s="101" t="s">
        <v>1420</v>
      </c>
      <c r="E674" s="3" t="str">
        <f>IF(ISNA(VLOOKUP(D674,'&lt;Constants&gt;'!$B$4:$C$44,2,FALSE)),"",VLOOKUP(D674,'&lt;Constants&gt;'!$B$4:$C$44,2,FALSE))</f>
        <v>Included in base game</v>
      </c>
    </row>
    <row r="675" spans="1:5" x14ac:dyDescent="0.25">
      <c r="A675" s="5">
        <v>784</v>
      </c>
      <c r="B675" s="8" t="str">
        <f>VLOOKUP(A675,'Sets (lua data)'!$A$3:$C$9920,3,FALSE)</f>
        <v>Siegemaster'\s Focus</v>
      </c>
      <c r="C675" s="8" t="str">
        <f>VLOOKUP(A675,'Sets (lua data)'!$A$3:$C$9920,2,FALSE)</f>
        <v>Siegemaster'\s Focus</v>
      </c>
      <c r="D675" s="101" t="s">
        <v>1420</v>
      </c>
      <c r="E675" s="3" t="str">
        <f>IF(ISNA(VLOOKUP(D675,'&lt;Constants&gt;'!$B$4:$C$44,2,FALSE)),"",VLOOKUP(D675,'&lt;Constants&gt;'!$B$4:$C$44,2,FALSE))</f>
        <v>Included in base game</v>
      </c>
    </row>
    <row r="676" spans="1:5" x14ac:dyDescent="0.25">
      <c r="A676" s="5">
        <v>791</v>
      </c>
      <c r="B676" s="8" t="str">
        <f>VLOOKUP(A676,'Sets (lua data)'!$A$3:$C$9920,3,FALSE)</f>
        <v>Bulwark Ruination</v>
      </c>
      <c r="C676" s="8" t="str">
        <f>VLOOKUP(A676,'Sets (lua data)'!$A$3:$C$9920,2,FALSE)</f>
        <v>Bulwark Ruination</v>
      </c>
      <c r="D676" s="101" t="s">
        <v>1420</v>
      </c>
      <c r="E676" s="3" t="str">
        <f>IF(ISNA(VLOOKUP(D676,'&lt;Constants&gt;'!$B$4:$C$44,2,FALSE)),"",VLOOKUP(D676,'&lt;Constants&gt;'!$B$4:$C$44,2,FALSE))</f>
        <v>Included in base game</v>
      </c>
    </row>
    <row r="677" spans="1:5" x14ac:dyDescent="0.25">
      <c r="A677" s="5">
        <v>792</v>
      </c>
      <c r="B677" s="8" t="str">
        <f>VLOOKUP(A677,'Sets (lua data)'!$A$3:$C$9920,3,FALSE)</f>
        <v>Farstrider</v>
      </c>
      <c r="C677" s="8" t="str">
        <f>VLOOKUP(A677,'Sets (lua data)'!$A$3:$C$9920,2,FALSE)</f>
        <v>Farstrider</v>
      </c>
      <c r="D677" s="101" t="s">
        <v>1420</v>
      </c>
      <c r="E677" s="3" t="str">
        <f>IF(ISNA(VLOOKUP(D677,'&lt;Constants&gt;'!$B$4:$C$44,2,FALSE)),"",VLOOKUP(D677,'&lt;Constants&gt;'!$B$4:$C$44,2,FALSE))</f>
        <v>Included in base game</v>
      </c>
    </row>
    <row r="678" spans="1:5" x14ac:dyDescent="0.25">
      <c r="A678" s="5">
        <v>793</v>
      </c>
      <c r="B678" s="8" t="str">
        <f>VLOOKUP(A678,'Sets (lua data)'!$A$3:$C$9920,3,FALSE)</f>
        <v>Netch Oil</v>
      </c>
      <c r="C678" s="8" t="str">
        <f>VLOOKUP(A678,'Sets (lua data)'!$A$3:$C$9920,2,FALSE)</f>
        <v>Netch Oil</v>
      </c>
      <c r="D678" s="101" t="s">
        <v>1420</v>
      </c>
      <c r="E678" s="3" t="str">
        <f>IF(ISNA(VLOOKUP(D678,'&lt;Constants&gt;'!$B$4:$C$44,2,FALSE)),"",VLOOKUP(D678,'&lt;Constants&gt;'!$B$4:$C$44,2,FALSE))</f>
        <v>Included in base game</v>
      </c>
    </row>
    <row r="679" spans="1:5" x14ac:dyDescent="0.25">
      <c r="A679" s="5">
        <v>794</v>
      </c>
      <c r="B679" s="8" t="str">
        <f>VLOOKUP(A679,'Sets (lua data)'!$A$3:$C$9920,3,FALSE)</f>
        <v>Vandorallen\'s Resonance</v>
      </c>
      <c r="C679" s="8" t="str">
        <f>VLOOKUP(A679,'Sets (lua data)'!$A$3:$C$9920,2,FALSE)</f>
        <v>Vandorallen\'s Resonance</v>
      </c>
      <c r="D679" t="s">
        <v>4024</v>
      </c>
      <c r="E679" s="3" t="str">
        <f>IF(ISNA(VLOOKUP(D679,'&lt;Constants&gt;'!$B$4:$C$44,2,FALSE)),"",VLOOKUP(D679,'&lt;Constants&gt;'!$B$4:$C$44,2,FALSE))</f>
        <v>Fallen Banners</v>
      </c>
    </row>
    <row r="680" spans="1:5" x14ac:dyDescent="0.25">
      <c r="A680" s="5">
        <v>795</v>
      </c>
      <c r="B680" s="8" t="str">
        <f>VLOOKUP(A680,'Sets (lua data)'!$A$3:$C$9920,3,FALSE)</f>
        <v>Jerensi\'s Bladestorm</v>
      </c>
      <c r="C680" s="8" t="str">
        <f>VLOOKUP(A680,'Sets (lua data)'!$A$3:$C$9920,2,FALSE)</f>
        <v>Jerensi\'s Bladestorm</v>
      </c>
      <c r="D680" t="s">
        <v>4024</v>
      </c>
      <c r="E680" s="3" t="str">
        <f>IF(ISNA(VLOOKUP(D680,'&lt;Constants&gt;'!$B$4:$C$44,2,FALSE)),"",VLOOKUP(D680,'&lt;Constants&gt;'!$B$4:$C$44,2,FALSE))</f>
        <v>Fallen Banners</v>
      </c>
    </row>
    <row r="681" spans="1:5" x14ac:dyDescent="0.25">
      <c r="A681" s="5">
        <v>796</v>
      </c>
      <c r="B681" s="8" t="str">
        <f>VLOOKUP(A681,'Sets (lua data)'!$A$3:$C$9920,3,FALSE)</f>
        <v>Lucilla\'s Windshield</v>
      </c>
      <c r="C681" s="8" t="str">
        <f>VLOOKUP(A681,'Sets (lua data)'!$A$3:$C$9920,2,FALSE)</f>
        <v>Lucilla\'s Windshield</v>
      </c>
      <c r="D681" t="s">
        <v>4024</v>
      </c>
      <c r="E681" s="3" t="str">
        <f>IF(ISNA(VLOOKUP(D681,'&lt;Constants&gt;'!$B$4:$C$44,2,FALSE)),"",VLOOKUP(D681,'&lt;Constants&gt;'!$B$4:$C$44,2,FALSE))</f>
        <v>Fallen Banners</v>
      </c>
    </row>
    <row r="682" spans="1:5" x14ac:dyDescent="0.25">
      <c r="A682" s="5">
        <v>797</v>
      </c>
      <c r="B682" s="8" t="str">
        <f>VLOOKUP(A682,'Sets (lua data)'!$A$3:$C$9920,3,FALSE)</f>
        <v>Squall of Retribution</v>
      </c>
      <c r="C682" s="8" t="str">
        <f>VLOOKUP(A682,'Sets (lua data)'!$A$3:$C$9920,2,FALSE)</f>
        <v>Squall of Retribution</v>
      </c>
      <c r="D682" t="s">
        <v>4024</v>
      </c>
      <c r="E682" s="3" t="str">
        <f>IF(ISNA(VLOOKUP(D682,'&lt;Constants&gt;'!$B$4:$C$44,2,FALSE)),"",VLOOKUP(D682,'&lt;Constants&gt;'!$B$4:$C$44,2,FALSE))</f>
        <v>Fallen Banners</v>
      </c>
    </row>
    <row r="683" spans="1:5" x14ac:dyDescent="0.25">
      <c r="A683" s="5">
        <v>798</v>
      </c>
      <c r="B683" s="8" t="str">
        <f>VLOOKUP(A683,'Sets (lua data)'!$A$3:$C$9920,3,FALSE)</f>
        <v>Heroic Unity</v>
      </c>
      <c r="C683" s="8" t="str">
        <f>VLOOKUP(A683,'Sets (lua data)'!$A$3:$C$9920,2,FALSE)</f>
        <v>Heroic Unity</v>
      </c>
      <c r="D683" t="s">
        <v>4024</v>
      </c>
      <c r="E683" s="3" t="str">
        <f>IF(ISNA(VLOOKUP(D683,'&lt;Constants&gt;'!$B$4:$C$44,2,FALSE)),"",VLOOKUP(D683,'&lt;Constants&gt;'!$B$4:$C$44,2,FALSE))</f>
        <v>Fallen Banners</v>
      </c>
    </row>
    <row r="684" spans="1:5" x14ac:dyDescent="0.25">
      <c r="A684" s="5">
        <v>799</v>
      </c>
      <c r="B684" s="8" t="str">
        <f>VLOOKUP(A684,'Sets (lua data)'!$A$3:$C$9920,3,FALSE)</f>
        <v>Fledgling\'s Nest</v>
      </c>
      <c r="C684" s="8" t="str">
        <f>VLOOKUP(A684,'Sets (lua data)'!$A$3:$C$9920,2,FALSE)</f>
        <v>Fledgling\'s Nest</v>
      </c>
      <c r="D684" t="s">
        <v>4024</v>
      </c>
      <c r="E684" s="3" t="str">
        <f>IF(ISNA(VLOOKUP(D684,'&lt;Constants&gt;'!$B$4:$C$44,2,FALSE)),"",VLOOKUP(D684,'&lt;Constants&gt;'!$B$4:$C$44,2,FALSE))</f>
        <v>Fallen Banners</v>
      </c>
    </row>
    <row r="685" spans="1:5" x14ac:dyDescent="0.25">
      <c r="A685" s="5">
        <v>800</v>
      </c>
      <c r="B685" s="8" t="str">
        <f>VLOOKUP(A685,'Sets (lua data)'!$A$3:$C$9920,3,FALSE)</f>
        <v>Noxious Boulder</v>
      </c>
      <c r="C685" s="8" t="str">
        <f>VLOOKUP(A685,'Sets (lua data)'!$A$3:$C$9920,2,FALSE)</f>
        <v>Noxious Boulder</v>
      </c>
      <c r="D685" t="s">
        <v>4024</v>
      </c>
      <c r="E685" s="3" t="str">
        <f>IF(ISNA(VLOOKUP(D685,'&lt;Constants&gt;'!$B$4:$C$44,2,FALSE)),"",VLOOKUP(D685,'&lt;Constants&gt;'!$B$4:$C$44,2,FALSE))</f>
        <v>Fallen Banners</v>
      </c>
    </row>
    <row r="686" spans="1:5" x14ac:dyDescent="0.25">
      <c r="A686" s="5">
        <v>801</v>
      </c>
      <c r="B686" s="8" t="str">
        <f>VLOOKUP(A686,'Sets (lua data)'!$A$3:$C$9920,3,FALSE)</f>
        <v>Orpheon the Tactician</v>
      </c>
      <c r="C686" s="8" t="str">
        <f>VLOOKUP(A686,'Sets (lua data)'!$A$3:$C$9920,2,FALSE)</f>
        <v>Orpheon the Tactician</v>
      </c>
      <c r="D686" t="s">
        <v>4024</v>
      </c>
      <c r="E686" s="3" t="str">
        <f>IF(ISNA(VLOOKUP(D686,'&lt;Constants&gt;'!$B$4:$C$44,2,FALSE)),"",VLOOKUP(D686,'&lt;Constants&gt;'!$B$4:$C$44,2,FALSE))</f>
        <v>Fallen Banners</v>
      </c>
    </row>
    <row r="687" spans="1:5" x14ac:dyDescent="0.25">
      <c r="A687" s="5">
        <v>802</v>
      </c>
      <c r="B687" s="8" t="str">
        <f>VLOOKUP(A687,'Sets (lua data)'!$A$3:$C$9920,3,FALSE)</f>
        <v>Arkay\'s Charity</v>
      </c>
      <c r="C687" s="8" t="str">
        <f>VLOOKUP(A687,'Sets (lua data)'!$A$3:$C$9920,2,FALSE)</f>
        <v>Arkay\'s Charity</v>
      </c>
      <c r="D687" t="s">
        <v>1420</v>
      </c>
      <c r="E687" s="3" t="str">
        <f>IF(ISNA(VLOOKUP(D687,'&lt;Constants&gt;'!$B$4:$C$44,2,FALSE)),"",VLOOKUP(D687,'&lt;Constants&gt;'!$B$4:$C$44,2,FALSE))</f>
        <v>Included in base game</v>
      </c>
    </row>
    <row r="688" spans="1:5" x14ac:dyDescent="0.25">
      <c r="A688" s="5">
        <v>803</v>
      </c>
      <c r="B688" s="8" t="str">
        <f>VLOOKUP(A688,'Sets (lua data)'!$A$3:$C$9920,3,FALSE)</f>
        <v xml:space="preserve">Lamp Knight\'s Art </v>
      </c>
      <c r="C688" s="8" t="str">
        <f>VLOOKUP(A688,'Sets (lua data)'!$A$3:$C$9920,2,FALSE)</f>
        <v xml:space="preserve">Lamp Knight\'s Art </v>
      </c>
      <c r="D688" t="s">
        <v>1420</v>
      </c>
      <c r="E688" s="3" t="str">
        <f>IF(ISNA(VLOOKUP(D688,'&lt;Constants&gt;'!$B$4:$C$44,2,FALSE)),"",VLOOKUP(D688,'&lt;Constants&gt;'!$B$4:$C$44,2,FALSE))</f>
        <v>Included in base game</v>
      </c>
    </row>
    <row r="689" spans="1:5" x14ac:dyDescent="0.25">
      <c r="A689" s="5">
        <v>804</v>
      </c>
      <c r="B689" s="8" t="str">
        <f>VLOOKUP(A689,'Sets (lua data)'!$A$3:$C$9920,3,FALSE)</f>
        <v>Blackfeather Flight</v>
      </c>
      <c r="C689" s="8" t="str">
        <f>VLOOKUP(A689,'Sets (lua data)'!$A$3:$C$9920,2,FALSE)</f>
        <v>Blackfeather Flight</v>
      </c>
      <c r="D689" t="s">
        <v>1420</v>
      </c>
      <c r="E689" s="3" t="str">
        <f>IF(ISNA(VLOOKUP(D689,'&lt;Constants&gt;'!$B$4:$C$44,2,FALSE)),"",VLOOKUP(D689,'&lt;Constants&gt;'!$B$4:$C$44,2,FALSE))</f>
        <v>Included in base game</v>
      </c>
    </row>
    <row r="690" spans="1:5" x14ac:dyDescent="0.25">
      <c r="A690" s="5">
        <v>805</v>
      </c>
      <c r="B690" s="8" t="str">
        <f>VLOOKUP(A690,'Sets (lua data)'!$A$3:$C$9920,3,FALSE)</f>
        <v>Three Queens Wellspring</v>
      </c>
      <c r="C690" s="8" t="str">
        <f>VLOOKUP(A690,'Sets (lua data)'!$A$3:$C$9920,2,FALSE)</f>
        <v>Three Queens Wellspring</v>
      </c>
      <c r="D690" t="s">
        <v>4059</v>
      </c>
      <c r="E690" s="3" t="str">
        <f>IF(ISNA(VLOOKUP(D690,'&lt;Constants&gt;'!$B$4:$C$44,2,FALSE)),"",VLOOKUP(D690,'&lt;Constants&gt;'!$B$4:$C$44,2,FALSE))</f>
        <v>Seasons of the Wormcult Part 1</v>
      </c>
    </row>
    <row r="691" spans="1:5" x14ac:dyDescent="0.25">
      <c r="A691" s="5">
        <v>806</v>
      </c>
      <c r="B691" s="8" t="str">
        <f>VLOOKUP(A691,'Sets (lua data)'!$A$3:$C$9920,3,FALSE)</f>
        <v>Death-Dancer</v>
      </c>
      <c r="C691" s="8" t="str">
        <f>VLOOKUP(A691,'Sets (lua data)'!$A$3:$C$9920,2,FALSE)</f>
        <v>Death-Dancer</v>
      </c>
      <c r="D691" t="s">
        <v>4059</v>
      </c>
      <c r="E691" s="3" t="str">
        <f>IF(ISNA(VLOOKUP(D691,'&lt;Constants&gt;'!$B$4:$C$44,2,FALSE)),"",VLOOKUP(D691,'&lt;Constants&gt;'!$B$4:$C$44,2,FALSE))</f>
        <v>Seasons of the Wormcult Part 1</v>
      </c>
    </row>
    <row r="692" spans="1:5" x14ac:dyDescent="0.25">
      <c r="A692" s="5">
        <v>807</v>
      </c>
      <c r="B692" s="8" t="str">
        <f>VLOOKUP(A692,'Sets (lua data)'!$A$3:$C$9920,3,FALSE)</f>
        <v>Full Belly Barricade</v>
      </c>
      <c r="C692" s="8" t="str">
        <f>VLOOKUP(A692,'Sets (lua data)'!$A$3:$C$9920,2,FALSE)</f>
        <v>Full Belly Barricade</v>
      </c>
      <c r="D692" t="s">
        <v>4059</v>
      </c>
      <c r="E692" s="3" t="str">
        <f>IF(ISNA(VLOOKUP(D692,'&lt;Constants&gt;'!$B$4:$C$44,2,FALSE)),"",VLOOKUP(D692,'&lt;Constants&gt;'!$B$4:$C$44,2,FALSE))</f>
        <v>Seasons of the Wormcult Part 1</v>
      </c>
    </row>
    <row r="693" spans="1:5" x14ac:dyDescent="0.25">
      <c r="A693" s="5">
        <v>808</v>
      </c>
      <c r="B693" s="8" t="str">
        <f>VLOOKUP(A693,'Sets (lua data)'!$A$3:$C$9920,3,FALSE)</f>
        <v>Shared Burden</v>
      </c>
      <c r="C693" s="8" t="str">
        <f>VLOOKUP(A693,'Sets (lua data)'!$A$3:$C$9920,2,FALSE)</f>
        <v>Shared Burden</v>
      </c>
      <c r="D693" t="s">
        <v>4173</v>
      </c>
      <c r="E693" s="3" t="str">
        <f>IF(ISNA(VLOOKUP(D693,'&lt;Constants&gt;'!$B$4:$C$44,2,FALSE)),"",VLOOKUP(D693,'&lt;Constants&gt;'!$B$4:$C$44,2,FALSE))</f>
        <v>Seasons of the Wormcult Part 2</v>
      </c>
    </row>
    <row r="694" spans="1:5" x14ac:dyDescent="0.25">
      <c r="A694" s="5">
        <v>809</v>
      </c>
      <c r="B694" s="8" t="str">
        <f>VLOOKUP(A694,'Sets (lua data)'!$A$3:$C$9920,3,FALSE)</f>
        <v>Tide-Born Wildstalker</v>
      </c>
      <c r="C694" s="8" t="str">
        <f>VLOOKUP(A694,'Sets (lua data)'!$A$3:$C$9920,2,FALSE)</f>
        <v>Tide-Born Wildstalker</v>
      </c>
      <c r="D694" t="s">
        <v>4059</v>
      </c>
      <c r="E694" s="3" t="str">
        <f>IF(ISNA(VLOOKUP(D694,'&lt;Constants&gt;'!$B$4:$C$44,2,FALSE)),"",VLOOKUP(D694,'&lt;Constants&gt;'!$B$4:$C$44,2,FALSE))</f>
        <v>Seasons of the Wormcult Part 1</v>
      </c>
    </row>
    <row r="695" spans="1:5" x14ac:dyDescent="0.25">
      <c r="A695" s="5">
        <v>810</v>
      </c>
      <c r="B695" s="8" t="str">
        <f>VLOOKUP(A695,'Sets (lua data)'!$A$3:$C$9920,3,FALSE)</f>
        <v>Fellowship's Fortitude</v>
      </c>
      <c r="C695" s="8" t="str">
        <f>VLOOKUP(A695,'Sets (lua data)'!$A$3:$C$9920,2,FALSE)</f>
        <v>Fellowship's Fortitude</v>
      </c>
      <c r="D695" t="s">
        <v>4173</v>
      </c>
      <c r="E695" s="3" t="str">
        <f>IF(ISNA(VLOOKUP(D695,'&lt;Constants&gt;'!$B$4:$C$44,2,FALSE)),"",VLOOKUP(D695,'&lt;Constants&gt;'!$B$4:$C$44,2,FALSE))</f>
        <v>Seasons of the Wormcult Part 2</v>
      </c>
    </row>
    <row r="696" spans="1:5" x14ac:dyDescent="0.25">
      <c r="A696" s="5">
        <v>811</v>
      </c>
      <c r="B696" s="8" t="str">
        <f>VLOOKUP(A696,'Sets (lua data)'!$A$3:$C$9920,3,FALSE)</f>
        <v>Mad God\'s Dancing Shoes</v>
      </c>
      <c r="C696" s="8" t="str">
        <f>VLOOKUP(A696,'Sets (lua data)'!$A$3:$C$9920,2,FALSE)</f>
        <v>Mad God\'s Dancing Shoes</v>
      </c>
      <c r="D696" t="s">
        <v>4059</v>
      </c>
      <c r="E696" s="3" t="str">
        <f>IF(ISNA(VLOOKUP(D696,'&lt;Constants&gt;'!$B$4:$C$44,2,FALSE)),"",VLOOKUP(D696,'&lt;Constants&gt;'!$B$4:$C$44,2,FALSE))</f>
        <v>Seasons of the Wormcult Part 1</v>
      </c>
    </row>
    <row r="697" spans="1:5" x14ac:dyDescent="0.25">
      <c r="A697" s="5">
        <v>812</v>
      </c>
      <c r="B697" s="8" t="str">
        <f>VLOOKUP(A697,'Sets (lua data)'!$A$3:$C$9920,3,FALSE)</f>
        <v>Rakkhat\'s Voidmantle</v>
      </c>
      <c r="C697" s="8" t="str">
        <f>VLOOKUP(A697,'Sets (lua data)'!$A$3:$C$9920,2,FALSE)</f>
        <v>Rakkhat\'s Voidmantle</v>
      </c>
      <c r="D697" t="s">
        <v>4059</v>
      </c>
      <c r="E697" s="3" t="str">
        <f>IF(ISNA(VLOOKUP(D697,'&lt;Constants&gt;'!$B$4:$C$44,2,FALSE)),"",VLOOKUP(D697,'&lt;Constants&gt;'!$B$4:$C$44,2,FALSE))</f>
        <v>Seasons of the Wormcult Part 1</v>
      </c>
    </row>
    <row r="698" spans="1:5" x14ac:dyDescent="0.25">
      <c r="A698" s="5">
        <v>813</v>
      </c>
      <c r="B698" s="8" t="str">
        <f>VLOOKUP(A698,'Sets (lua data)'!$A$3:$C$9920,3,FALSE)</f>
        <v>Monomyth Reforged</v>
      </c>
      <c r="C698" s="8" t="str">
        <f>VLOOKUP(A698,'Sets (lua data)'!$A$3:$C$9920,2,FALSE)</f>
        <v>Monomyth Reforged</v>
      </c>
      <c r="D698" t="s">
        <v>4059</v>
      </c>
      <c r="E698" s="3" t="str">
        <f>IF(ISNA(VLOOKUP(D698,'&lt;Constants&gt;'!$B$4:$C$44,2,FALSE)),"",VLOOKUP(D698,'&lt;Constants&gt;'!$B$4:$C$44,2,FALSE))</f>
        <v>Seasons of the Wormcult Part 1</v>
      </c>
    </row>
    <row r="699" spans="1:5" x14ac:dyDescent="0.25">
      <c r="A699" s="5">
        <v>814</v>
      </c>
      <c r="B699" s="8" t="str">
        <f>VLOOKUP(A699,'Sets (lua data)'!$A$3:$C$9920,3,FALSE)</f>
        <v>Harmony in Chaos</v>
      </c>
      <c r="C699" s="8" t="str">
        <f>VLOOKUP(A699,'Sets (lua data)'!$A$3:$C$9920,2,FALSE)</f>
        <v>Harmony in Chaos</v>
      </c>
      <c r="D699" t="s">
        <v>4059</v>
      </c>
      <c r="E699" s="3" t="str">
        <f>IF(ISNA(VLOOKUP(D699,'&lt;Constants&gt;'!$B$4:$C$44,2,FALSE)),"",VLOOKUP(D699,'&lt;Constants&gt;'!$B$4:$C$44,2,FALSE))</f>
        <v>Seasons of the Wormcult Part 1</v>
      </c>
    </row>
    <row r="700" spans="1:5" x14ac:dyDescent="0.25">
      <c r="A700" s="5">
        <v>815</v>
      </c>
      <c r="B700" s="8" t="str">
        <f>VLOOKUP(A700,'Sets (lua data)'!$A$3:$C$9920,3,FALSE)</f>
        <v>Kazpian\'s Cruel Signet</v>
      </c>
      <c r="C700" s="8" t="str">
        <f>VLOOKUP(A700,'Sets (lua data)'!$A$3:$C$9920,2,FALSE)</f>
        <v>Kazpian\'s Cruel Signet</v>
      </c>
      <c r="D700" t="s">
        <v>4059</v>
      </c>
      <c r="E700" s="3" t="str">
        <f>IF(ISNA(VLOOKUP(D700,'&lt;Constants&gt;'!$B$4:$C$44,2,FALSE)),"",VLOOKUP(D700,'&lt;Constants&gt;'!$B$4:$C$44,2,FALSE))</f>
        <v>Seasons of the Wormcult Part 1</v>
      </c>
    </row>
    <row r="701" spans="1:5" x14ac:dyDescent="0.25">
      <c r="A701" s="5">
        <v>816</v>
      </c>
      <c r="B701" s="8" t="str">
        <f>VLOOKUP(A701,'Sets (lua data)'!$A$3:$C$9920,3,FALSE)</f>
        <v>Dolorous Arena</v>
      </c>
      <c r="C701" s="8" t="str">
        <f>VLOOKUP(A701,'Sets (lua data)'!$A$3:$C$9920,2,FALSE)</f>
        <v>Dolorous Arena</v>
      </c>
      <c r="D701" t="s">
        <v>4059</v>
      </c>
      <c r="E701" s="3" t="str">
        <f>IF(ISNA(VLOOKUP(D701,'&lt;Constants&gt;'!$B$4:$C$44,2,FALSE)),"",VLOOKUP(D701,'&lt;Constants&gt;'!$B$4:$C$44,2,FALSE))</f>
        <v>Seasons of the Wormcult Part 1</v>
      </c>
    </row>
    <row r="702" spans="1:5" x14ac:dyDescent="0.25">
      <c r="A702" s="5">
        <v>817</v>
      </c>
      <c r="B702" s="8" t="str">
        <f>VLOOKUP(A702,'Sets (lua data)'!$A$3:$C$9920,3,FALSE)</f>
        <v>Recovery Convergence</v>
      </c>
      <c r="C702" s="8" t="str">
        <f>VLOOKUP(A702,'Sets (lua data)'!$A$3:$C$9920,2,FALSE)</f>
        <v>Recovery Convergence</v>
      </c>
      <c r="D702" t="s">
        <v>4059</v>
      </c>
      <c r="E702" s="3" t="str">
        <f>IF(ISNA(VLOOKUP(D702,'&lt;Constants&gt;'!$B$4:$C$44,2,FALSE)),"",VLOOKUP(D702,'&lt;Constants&gt;'!$B$4:$C$44,2,FALSE))</f>
        <v>Seasons of the Wormcult Part 1</v>
      </c>
    </row>
    <row r="703" spans="1:5" x14ac:dyDescent="0.25">
      <c r="A703" s="5">
        <v>818</v>
      </c>
      <c r="B703" s="8" t="str">
        <f>VLOOKUP(A703,'Sets (lua data)'!$A$3:$C$9920,3,FALSE)</f>
        <v>Perfected Recovery Convergence</v>
      </c>
      <c r="C703" s="8" t="str">
        <f>VLOOKUP(A703,'Sets (lua data)'!$A$3:$C$9920,2,FALSE)</f>
        <v>Perfected Recovery Convergence</v>
      </c>
      <c r="D703" t="s">
        <v>4059</v>
      </c>
      <c r="E703" s="3" t="str">
        <f>IF(ISNA(VLOOKUP(D703,'&lt;Constants&gt;'!$B$4:$C$44,2,FALSE)),"",VLOOKUP(D703,'&lt;Constants&gt;'!$B$4:$C$44,2,FALSE))</f>
        <v>Seasons of the Wormcult Part 1</v>
      </c>
    </row>
    <row r="704" spans="1:5" x14ac:dyDescent="0.25">
      <c r="A704" s="5">
        <v>819</v>
      </c>
      <c r="B704" s="8" t="str">
        <f>VLOOKUP(A704,'Sets (lua data)'!$A$3:$C$9920,3,FALSE)</f>
        <v>Perfected Dolorous Arena</v>
      </c>
      <c r="C704" s="8" t="str">
        <f>VLOOKUP(A704,'Sets (lua data)'!$A$3:$C$9920,2,FALSE)</f>
        <v>Perfected Dolorous Arena</v>
      </c>
      <c r="D704" t="s">
        <v>4059</v>
      </c>
      <c r="E704" s="3" t="str">
        <f>IF(ISNA(VLOOKUP(D704,'&lt;Constants&gt;'!$B$4:$C$44,2,FALSE)),"",VLOOKUP(D704,'&lt;Constants&gt;'!$B$4:$C$44,2,FALSE))</f>
        <v>Seasons of the Wormcult Part 1</v>
      </c>
    </row>
    <row r="705" spans="1:5" x14ac:dyDescent="0.25">
      <c r="A705" s="5">
        <v>820</v>
      </c>
      <c r="B705" s="8" t="str">
        <f>VLOOKUP(A705,'Sets (lua data)'!$A$3:$C$9920,3,FALSE)</f>
        <v>Perfected Kazpian\'s Cruel Signet</v>
      </c>
      <c r="C705" s="8" t="str">
        <f>VLOOKUP(A705,'Sets (lua data)'!$A$3:$C$9920,2,FALSE)</f>
        <v>Perfected Kazpian\'s Cruel Signet</v>
      </c>
      <c r="D705" t="s">
        <v>4059</v>
      </c>
      <c r="E705" s="3" t="str">
        <f>IF(ISNA(VLOOKUP(D705,'&lt;Constants&gt;'!$B$4:$C$44,2,FALSE)),"",VLOOKUP(D705,'&lt;Constants&gt;'!$B$4:$C$44,2,FALSE))</f>
        <v>Seasons of the Wormcult Part 1</v>
      </c>
    </row>
    <row r="706" spans="1:5" x14ac:dyDescent="0.25">
      <c r="A706" s="5">
        <v>821</v>
      </c>
      <c r="B706" s="8" t="str">
        <f>VLOOKUP(A706,'Sets (lua data)'!$A$3:$C$9920,3,FALSE)</f>
        <v>Perfected Harmony in Chaos</v>
      </c>
      <c r="C706" s="8" t="str">
        <f>VLOOKUP(A706,'Sets (lua data)'!$A$3:$C$9920,2,FALSE)</f>
        <v>Perfected Harmony in Chaos</v>
      </c>
      <c r="D706" t="s">
        <v>4059</v>
      </c>
      <c r="E706" s="3" t="str">
        <f>IF(ISNA(VLOOKUP(D706,'&lt;Constants&gt;'!$B$4:$C$44,2,FALSE)),"",VLOOKUP(D706,'&lt;Constants&gt;'!$B$4:$C$44,2,FALSE))</f>
        <v>Seasons of the Wormcult Part 1</v>
      </c>
    </row>
    <row r="707" spans="1:5" x14ac:dyDescent="0.25">
      <c r="A707" s="5">
        <v>822</v>
      </c>
      <c r="B707" s="8" t="str">
        <f>VLOOKUP(A707,'Sets (lua data)'!$A$3:$C$9920,3,FALSE)</f>
        <v>Lustrous Soulwell</v>
      </c>
      <c r="C707" s="8" t="str">
        <f>VLOOKUP(A707,'Sets (lua data)'!$A$3:$C$9920,2,FALSE)</f>
        <v>Lustrous Soulwell</v>
      </c>
      <c r="D707" t="s">
        <v>4106</v>
      </c>
      <c r="E707" s="3" t="str">
        <f>IF(ISNA(VLOOKUP(D707,'&lt;Constants&gt;'!$B$4:$C$44,2,FALSE)),"",VLOOKUP(D707,'&lt;Constants&gt;'!$B$4:$C$44,2,FALSE))</f>
        <v>Feast of Shadows</v>
      </c>
    </row>
    <row r="708" spans="1:5" x14ac:dyDescent="0.25">
      <c r="A708" s="5">
        <v>823</v>
      </c>
      <c r="B708" s="8" t="str">
        <f>VLOOKUP(A708,'Sets (lua data)'!$A$3:$C$9920,3,FALSE)</f>
        <v>Vykand\'s Soulfury</v>
      </c>
      <c r="C708" s="8" t="str">
        <f>VLOOKUP(A708,'Sets (lua data)'!$A$3:$C$9920,2,FALSE)</f>
        <v>Vykand\'s Soulfury</v>
      </c>
      <c r="D708" t="s">
        <v>4106</v>
      </c>
      <c r="E708" s="3" t="str">
        <f>IF(ISNA(VLOOKUP(D708,'&lt;Constants&gt;'!$B$4:$C$44,2,FALSE)),"",VLOOKUP(D708,'&lt;Constants&gt;'!$B$4:$C$44,2,FALSE))</f>
        <v>Feast of Shadows</v>
      </c>
    </row>
    <row r="709" spans="1:5" x14ac:dyDescent="0.25">
      <c r="A709" s="5">
        <v>824</v>
      </c>
      <c r="B709" s="8" t="str">
        <f>VLOOKUP(A709,'Sets (lua data)'!$A$3:$C$9920,3,FALSE)</f>
        <v>Black Foundry Steel</v>
      </c>
      <c r="C709" s="8" t="str">
        <f>VLOOKUP(A709,'Sets (lua data)'!$A$3:$C$9920,2,FALSE)</f>
        <v>Black Foundry Steel</v>
      </c>
      <c r="D709" t="s">
        <v>4106</v>
      </c>
      <c r="E709" s="3" t="str">
        <f>IF(ISNA(VLOOKUP(D709,'&lt;Constants&gt;'!$B$4:$C$44,2,FALSE)),"",VLOOKUP(D709,'&lt;Constants&gt;'!$B$4:$C$44,2,FALSE))</f>
        <v>Feast of Shadows</v>
      </c>
    </row>
    <row r="710" spans="1:5" x14ac:dyDescent="0.25">
      <c r="A710" s="5">
        <v>825</v>
      </c>
      <c r="B710" s="8" t="str">
        <f>VLOOKUP(A710,'Sets (lua data)'!$A$3:$C$9920,3,FALSE)</f>
        <v>Xanmeer Spellweaver</v>
      </c>
      <c r="C710" s="8" t="str">
        <f>VLOOKUP(A710,'Sets (lua data)'!$A$3:$C$9920,2,FALSE)</f>
        <v>Xanmeer Spellweaver</v>
      </c>
      <c r="D710" t="s">
        <v>4106</v>
      </c>
      <c r="E710" s="3" t="str">
        <f>IF(ISNA(VLOOKUP(D710,'&lt;Constants&gt;'!$B$4:$C$44,2,FALSE)),"",VLOOKUP(D710,'&lt;Constants&gt;'!$B$4:$C$44,2,FALSE))</f>
        <v>Feast of Shadows</v>
      </c>
    </row>
    <row r="711" spans="1:5" x14ac:dyDescent="0.25">
      <c r="A711" s="5">
        <v>826</v>
      </c>
      <c r="B711" s="8" t="str">
        <f>VLOOKUP(A711,'Sets (lua data)'!$A$3:$C$9920,3,FALSE)</f>
        <v>Tools of the Trapmaster</v>
      </c>
      <c r="C711" s="8" t="str">
        <f>VLOOKUP(A711,'Sets (lua data)'!$A$3:$C$9920,2,FALSE)</f>
        <v>Tools of the Trapmaster</v>
      </c>
      <c r="D711" t="s">
        <v>4106</v>
      </c>
      <c r="E711" s="3" t="str">
        <f>IF(ISNA(VLOOKUP(D711,'&lt;Constants&gt;'!$B$4:$C$44,2,FALSE)),"",VLOOKUP(D711,'&lt;Constants&gt;'!$B$4:$C$44,2,FALSE))</f>
        <v>Feast of Shadows</v>
      </c>
    </row>
    <row r="712" spans="1:5" x14ac:dyDescent="0.25">
      <c r="A712" s="5">
        <v>827</v>
      </c>
      <c r="B712" s="8" t="str">
        <f>VLOOKUP(A712,'Sets (lua data)'!$A$3:$C$9920,3,FALSE)</f>
        <v>Stonehulk Domination</v>
      </c>
      <c r="C712" s="8" t="str">
        <f>VLOOKUP(A712,'Sets (lua data)'!$A$3:$C$9920,2,FALSE)</f>
        <v>Stonehulk Domination</v>
      </c>
      <c r="D712" t="s">
        <v>4106</v>
      </c>
      <c r="E712" s="3" t="str">
        <f>IF(ISNA(VLOOKUP(D712,'&lt;Constants&gt;'!$B$4:$C$44,2,FALSE)),"",VLOOKUP(D712,'&lt;Constants&gt;'!$B$4:$C$44,2,FALSE))</f>
        <v>Feast of Shadows</v>
      </c>
    </row>
    <row r="713" spans="1:5" x14ac:dyDescent="0.25">
      <c r="A713" s="5">
        <v>828</v>
      </c>
      <c r="B713" s="8" t="str">
        <f>VLOOKUP(A713,'Sets (lua data)'!$A$3:$C$9920,3,FALSE)</f>
        <v>Black Gem Monstrosity</v>
      </c>
      <c r="C713" s="8" t="str">
        <f>VLOOKUP(A713,'Sets (lua data)'!$A$3:$C$9920,2,FALSE)</f>
        <v>Black Gem Monstrosity</v>
      </c>
      <c r="D713" t="s">
        <v>4106</v>
      </c>
      <c r="E713" s="3" t="str">
        <f>IF(ISNA(VLOOKUP(D713,'&lt;Constants&gt;'!$B$4:$C$44,2,FALSE)),"",VLOOKUP(D713,'&lt;Constants&gt;'!$B$4:$C$44,2,FALSE))</f>
        <v>Feast of Shadows</v>
      </c>
    </row>
    <row r="714" spans="1:5" x14ac:dyDescent="0.25">
      <c r="A714" s="5">
        <v>829</v>
      </c>
      <c r="B714" s="8" t="str">
        <f>VLOOKUP(A714,'Sets (lua data)'!$A$3:$C$9920,3,FALSE)</f>
        <v>Bar-Sakka</v>
      </c>
      <c r="C714" s="8" t="str">
        <f>VLOOKUP(A714,'Sets (lua data)'!$A$3:$C$9920,2,FALSE)</f>
        <v>Bar-Sakka</v>
      </c>
      <c r="D714" t="s">
        <v>4106</v>
      </c>
      <c r="E714" s="3" t="str">
        <f>IF(ISNA(VLOOKUP(D714,'&lt;Constants&gt;'!$B$4:$C$44,2,FALSE)),"",VLOOKUP(D714,'&lt;Constants&gt;'!$B$4:$C$44,2,FALSE))</f>
        <v>Feast of Shadows</v>
      </c>
    </row>
    <row r="715" spans="1:5" x14ac:dyDescent="0.25">
      <c r="A715" s="5">
        <v>830</v>
      </c>
      <c r="B715" s="8" t="str">
        <f>VLOOKUP(A715,'Sets (lua data)'!$A$3:$C$9920,3,FALSE)</f>
        <v>Spellshredder</v>
      </c>
      <c r="C715" s="8" t="str">
        <f>VLOOKUP(A715,'Sets (lua data)'!$A$3:$C$9920,2,FALSE)</f>
        <v>Spellshredder</v>
      </c>
      <c r="D715" t="s">
        <v>4106</v>
      </c>
      <c r="E715" s="3" t="str">
        <f>IF(ISNA(VLOOKUP(D715,'&lt;Constants&gt;'!$B$4:$C$44,2,FALSE)),"",VLOOKUP(D715,'&lt;Constants&gt;'!$B$4:$C$44,2,FALSE))</f>
        <v>Feast of Shadows</v>
      </c>
    </row>
    <row r="716" spans="1:5" x14ac:dyDescent="0.25">
      <c r="A716" s="5">
        <v>831</v>
      </c>
      <c r="B716" s="8" t="str">
        <f>VLOOKUP(A716,'Sets (lua data)'!$A$3:$C$9920,3,FALSE)</f>
        <v>Coup De Grâce</v>
      </c>
      <c r="C716" s="8" t="str">
        <f>VLOOKUP(A716,'Sets (lua data)'!$A$3:$C$9920,2,FALSE)</f>
        <v>Coup De Grâce</v>
      </c>
      <c r="D716" t="s">
        <v>4106</v>
      </c>
      <c r="E716" s="3" t="str">
        <f>IF(ISNA(VLOOKUP(D716,'&lt;Constants&gt;'!$B$4:$C$44,2,FALSE)),"",VLOOKUP(D716,'&lt;Constants&gt;'!$B$4:$C$44,2,FALSE))</f>
        <v>Feast of Shadows</v>
      </c>
    </row>
    <row r="717" spans="1:5" x14ac:dyDescent="0.25">
      <c r="A717" s="5">
        <v>832</v>
      </c>
      <c r="B717" s="8" t="str">
        <f>VLOOKUP(A717,'Sets (lua data)'!$A$3:$C$9920,3,FALSE)</f>
        <v>Unflinching Ultimate</v>
      </c>
      <c r="C717" s="8" t="str">
        <f>VLOOKUP(A717,'Sets (lua data)'!$A$3:$C$9920,2,FALSE)</f>
        <v>Unflinching Ultimate</v>
      </c>
      <c r="D717" t="s">
        <v>4106</v>
      </c>
      <c r="E717" s="3" t="str">
        <f>IF(ISNA(VLOOKUP(D717,'&lt;Constants&gt;'!$B$4:$C$44,2,FALSE)),"",VLOOKUP(D717,'&lt;Constants&gt;'!$B$4:$C$44,2,FALSE))</f>
        <v>Feast of Shadows</v>
      </c>
    </row>
    <row r="718" spans="1:5" x14ac:dyDescent="0.25">
      <c r="A718" s="5">
        <v>845</v>
      </c>
      <c r="B718" s="8" t="str">
        <f>VLOOKUP(A718,'Sets (lua data)'!$A$3:$C$9920,3,FALSE)</f>
        <v>Huntsman's Warmask</v>
      </c>
      <c r="C718" s="8" t="str">
        <f>VLOOKUP(A718,'Sets (lua data)'!$A$3:$C$9920,2,FALSE)</f>
        <v>Huntsman's Warmask</v>
      </c>
      <c r="D718" t="s">
        <v>4173</v>
      </c>
      <c r="E718" s="3" t="str">
        <f>IF(ISNA(VLOOKUP(D718,'&lt;Constants&gt;'!$B$4:$C$44,2,FALSE)),"",VLOOKUP(D718,'&lt;Constants&gt;'!$B$4:$C$44,2,FALSE))</f>
        <v>Seasons of the Wormcult Part 2</v>
      </c>
    </row>
    <row r="719" spans="1:5" x14ac:dyDescent="0.25">
      <c r="A719" s="5">
        <v>846</v>
      </c>
      <c r="B719" s="8" t="str">
        <f>VLOOKUP(A719,'Sets (lua data)'!$A$3:$C$9920,3,FALSE)</f>
        <v>Xanmeer Genesis</v>
      </c>
      <c r="C719" s="8" t="str">
        <f>VLOOKUP(A719,'Sets (lua data)'!$A$3:$C$9920,2,FALSE)</f>
        <v>Xanmeer Genesis</v>
      </c>
      <c r="D719" t="s">
        <v>4173</v>
      </c>
      <c r="E719" s="3" t="str">
        <f>IF(ISNA(VLOOKUP(D719,'&lt;Constants&gt;'!$B$4:$C$44,2,FALSE)),"",VLOOKUP(D719,'&lt;Constants&gt;'!$B$4:$C$44,2,FALSE))</f>
        <v>Seasons of the Wormcult Part 2</v>
      </c>
    </row>
  </sheetData>
  <autoFilter ref="A2:F719" xr:uid="{EE89A71F-D877-442C-82F5-A2364CB11459}">
    <sortState xmlns:xlrd2="http://schemas.microsoft.com/office/spreadsheetml/2017/richdata2" ref="A3:F719">
      <sortCondition ref="A2:A719"/>
    </sortState>
  </autoFilter>
  <mergeCells count="1">
    <mergeCell ref="A1:C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S3" activePane="bottomRight" state="frozen"/>
      <selection pane="topRight" activeCell="D1" sqref="D1"/>
      <selection pane="bottomLeft" activeCell="A3" sqref="A3"/>
      <selection pane="bottomRight" activeCell="S17" sqref="S17"/>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35" t="s">
        <v>4185</v>
      </c>
      <c r="B1" s="135"/>
      <c r="C1" s="135"/>
      <c r="D1" s="135"/>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4138</v>
      </c>
      <c r="C2" s="117" t="s">
        <v>1487</v>
      </c>
      <c r="D2" s="15" t="s">
        <v>1326</v>
      </c>
      <c r="E2" s="12" t="s">
        <v>4131</v>
      </c>
      <c r="F2" s="3" t="s">
        <v>1591</v>
      </c>
      <c r="G2" s="12" t="s">
        <v>4132</v>
      </c>
      <c r="H2" s="3" t="s">
        <v>1592</v>
      </c>
      <c r="I2" s="12" t="s">
        <v>4169</v>
      </c>
      <c r="J2" s="12" t="s">
        <v>4170</v>
      </c>
      <c r="K2" s="12" t="s">
        <v>4171</v>
      </c>
      <c r="L2" s="12" t="s">
        <v>4172</v>
      </c>
      <c r="M2" s="12" t="s">
        <v>4133</v>
      </c>
      <c r="N2" s="12" t="s">
        <v>4134</v>
      </c>
      <c r="O2" s="12" t="s">
        <v>4135</v>
      </c>
      <c r="P2" s="12" t="s">
        <v>4136</v>
      </c>
      <c r="Q2" s="12" t="s">
        <v>4137</v>
      </c>
      <c r="R2" s="12" t="s">
        <v>4211</v>
      </c>
      <c r="S2" s="94" t="s">
        <v>3811</v>
      </c>
    </row>
    <row r="3" spans="1:60" x14ac:dyDescent="0.25">
      <c r="A3" s="2" t="s">
        <v>440</v>
      </c>
      <c r="B3" t="s">
        <v>92</v>
      </c>
      <c r="C3" s="30" t="s">
        <v>1420</v>
      </c>
      <c r="D3" s="15" t="str">
        <f>VLOOKUP(C3,'&lt;Constants&gt;'!$B$3:$C$1001,2,FALSE)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VLOOKUP(C4,'&lt;Constants&gt;'!$B$3:$C$1001,2,FALSE)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VLOOKUP(C5,'&lt;Constants&gt;'!$B$3:$C$1001,2,FALSE)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3518</v>
      </c>
      <c r="B6" s="26" t="s">
        <v>92</v>
      </c>
      <c r="C6" s="30" t="s">
        <v>3525</v>
      </c>
      <c r="D6" s="15" t="str">
        <f>VLOOKUP(C6,'&lt;Constants&gt;'!$B$3:$C$1001,2,FALSE)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3835</v>
      </c>
      <c r="B7" s="26" t="s">
        <v>91</v>
      </c>
      <c r="C7" s="30" t="s">
        <v>3836</v>
      </c>
      <c r="D7" s="15" t="str">
        <f>VLOOKUP(C7,'&lt;Constants&gt;'!$B$3:$C$1001,2,FALSE)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2366</v>
      </c>
      <c r="B8" s="26" t="s">
        <v>91</v>
      </c>
      <c r="C8" s="30" t="s">
        <v>2361</v>
      </c>
      <c r="D8" s="15" t="str">
        <f>VLOOKUP(C8,'&lt;Constants&gt;'!$B$3:$C$1001,2,FALSE)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4105</v>
      </c>
      <c r="B9" t="s">
        <v>91</v>
      </c>
      <c r="C9" s="30" t="s">
        <v>4106</v>
      </c>
      <c r="D9" s="15" t="str">
        <f>VLOOKUP(C9,'&lt;Constants&gt;'!$B$3:$C$1001,2,FALSE)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VLOOKUP(C10,'&lt;Constants&gt;'!$B$3:$C$1001,2,FALSE)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VLOOKUP(C11,'&lt;Constants&gt;'!$B$3:$C$1001,2,FALSE)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VLOOKUP(C12,'&lt;Constants&gt;'!$B$3:$C$1001,2,FALSE)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1774</v>
      </c>
      <c r="B13" s="26" t="s">
        <v>91</v>
      </c>
      <c r="C13" s="30" t="s">
        <v>1771</v>
      </c>
      <c r="D13" s="15" t="str">
        <f>VLOOKUP(C13,'&lt;Constants&gt;'!$B$3:$C$1001,2,FALSE)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VLOOKUP(C14,'&lt;Constants&gt;'!$B$3:$C$1001,2,FALSE)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VLOOKUP(C15,'&lt;Constants&gt;'!$B$3:$C$1001,2,FALSE)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VLOOKUP(C16,'&lt;Constants&gt;'!$B$3:$C$1001,2,FALSE)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2685</v>
      </c>
      <c r="B17" s="26" t="s">
        <v>91</v>
      </c>
      <c r="C17" s="30" t="s">
        <v>2683</v>
      </c>
      <c r="D17" s="15" t="str">
        <f>VLOOKUP(C17,'&lt;Constants&gt;'!$B$3:$C$1001,2,FALSE)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VLOOKUP(C18,'&lt;Constants&gt;'!$B$3:$C$1001,2,FALSE)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VLOOKUP(C19,'&lt;Constants&gt;'!$B$3:$C$1001,2,FALSE)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VLOOKUP(C20,'&lt;Constants&gt;'!$B$3:$C$1001,2,FALSE)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VLOOKUP(C21,'&lt;Constants&gt;'!$B$3:$C$1001,2,FALSE)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VLOOKUP(C22,'&lt;Constants&gt;'!$B$3:$C$1001,2,FALSE)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VLOOKUP(C23,'&lt;Constants&gt;'!$B$3:$C$1001,2,FALSE)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VLOOKUP(C24,'&lt;Constants&gt;'!$B$3:$C$1001,2,FALSE)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2473</v>
      </c>
      <c r="B25" s="26" t="s">
        <v>91</v>
      </c>
      <c r="C25" s="30" t="s">
        <v>2501</v>
      </c>
      <c r="D25" s="15" t="str">
        <f>VLOOKUP(C25,'&lt;Constants&gt;'!$B$3:$C$1001,2,FALSE)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3317</v>
      </c>
      <c r="B26" s="26" t="s">
        <v>92</v>
      </c>
      <c r="C26" s="30" t="s">
        <v>3296</v>
      </c>
      <c r="D26" s="15" t="str">
        <f>VLOOKUP(C26,'&lt;Constants&gt;'!$B$3:$C$1001,2,FALSE)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3354</v>
      </c>
      <c r="B27" s="26" t="s">
        <v>91</v>
      </c>
      <c r="C27" s="30" t="s">
        <v>3352</v>
      </c>
      <c r="D27" s="15" t="str">
        <f>VLOOKUP(C27,'&lt;Constants&gt;'!$B$3:$C$1001,2,FALSE)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VLOOKUP(C28,'&lt;Constants&gt;'!$B$3:$C$1001,2,FALSE)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VLOOKUP(C29,'&lt;Constants&gt;'!$B$3:$C$1001,2,FALSE)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3860</v>
      </c>
      <c r="B30" s="26" t="s">
        <v>91</v>
      </c>
      <c r="C30" s="30" t="s">
        <v>3525</v>
      </c>
      <c r="D30" s="15" t="str">
        <f>VLOOKUP(C30,'&lt;Constants&gt;'!$B$3:$C$1001,2,FALSE)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4027</v>
      </c>
      <c r="B31" t="s">
        <v>91</v>
      </c>
      <c r="C31" s="30" t="s">
        <v>4024</v>
      </c>
      <c r="D31" s="15" t="str">
        <f>VLOOKUP(C31,'&lt;Constants&gt;'!$B$3:$C$1001,2,FALSE)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VLOOKUP(C32,'&lt;Constants&gt;'!$B$3:$C$1001,2,FALSE)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VLOOKUP(C33,'&lt;Constants&gt;'!$B$3:$C$1001,2,FALSE)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VLOOKUP(C34,'&lt;Constants&gt;'!$B$3:$C$1001,2,FALSE)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VLOOKUP(C35,'&lt;Constants&gt;'!$B$3:$C$1001,2,FALSE)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VLOOKUP(C36,'&lt;Constants&gt;'!$B$3:$C$1001,2,FALSE)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3355</v>
      </c>
      <c r="B37" s="26" t="s">
        <v>91</v>
      </c>
      <c r="C37" s="30" t="s">
        <v>3352</v>
      </c>
      <c r="D37" s="15" t="str">
        <f>VLOOKUP(C37,'&lt;Constants&gt;'!$B$3:$C$1001,2,FALSE)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VLOOKUP(C38,'&lt;Constants&gt;'!$B$3:$C$1001,2,FALSE)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VLOOKUP(C39,'&lt;Constants&gt;'!$B$3:$C$1001,2,FALSE)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1621</v>
      </c>
      <c r="B40" s="26" t="s">
        <v>91</v>
      </c>
      <c r="C40" s="30" t="s">
        <v>1618</v>
      </c>
      <c r="D40" s="15" t="str">
        <f>VLOOKUP(C40,'&lt;Constants&gt;'!$B$3:$C$1001,2,FALSE)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VLOOKUP(C41,'&lt;Constants&gt;'!$B$3:$C$1001,2,FALSE)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1679</v>
      </c>
      <c r="B42" s="26" t="s">
        <v>91</v>
      </c>
      <c r="C42" s="30" t="s">
        <v>1586</v>
      </c>
      <c r="D42" s="15" t="str">
        <f>VLOOKUP(C42,'&lt;Constants&gt;'!$B$3:$C$1001,2,FALSE)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1464</v>
      </c>
      <c r="B43" s="26" t="s">
        <v>91</v>
      </c>
      <c r="C43" s="30" t="s">
        <v>1485</v>
      </c>
      <c r="D43" s="15" t="str">
        <f>VLOOKUP(C43,'&lt;Constants&gt;'!$B$3:$C$1001,2,FALSE)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4031</v>
      </c>
      <c r="B44" t="s">
        <v>91</v>
      </c>
      <c r="C44" s="30" t="s">
        <v>4024</v>
      </c>
      <c r="D44" s="15" t="str">
        <f>VLOOKUP(C44,'&lt;Constants&gt;'!$B$3:$C$1001,2,FALSE)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3904</v>
      </c>
      <c r="B45" t="s">
        <v>92</v>
      </c>
      <c r="C45" s="30" t="s">
        <v>3879</v>
      </c>
      <c r="D45" s="15" t="str">
        <f>VLOOKUP(C45,'&lt;Constants&gt;'!$B$3:$C$1001,2,FALSE)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VLOOKUP(C46,'&lt;Constants&gt;'!$B$3:$C$1001,2,FALSE)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VLOOKUP(C47,'&lt;Constants&gt;'!$B$3:$C$1001,2,FALSE)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VLOOKUP(C48,'&lt;Constants&gt;'!$B$3:$C$1001,2,FALSE)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1463</v>
      </c>
      <c r="B49" s="26" t="s">
        <v>91</v>
      </c>
      <c r="C49" s="30" t="s">
        <v>1485</v>
      </c>
      <c r="D49" s="15" t="str">
        <f>VLOOKUP(C49,'&lt;Constants&gt;'!$B$3:$C$1001,2,FALSE)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4104</v>
      </c>
      <c r="B50" t="s">
        <v>91</v>
      </c>
      <c r="C50" s="30" t="s">
        <v>4106</v>
      </c>
      <c r="D50" s="15" t="str">
        <f>VLOOKUP(C50,'&lt;Constants&gt;'!$B$3:$C$1001,2,FALSE)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3834</v>
      </c>
      <c r="B51" s="26" t="s">
        <v>91</v>
      </c>
      <c r="C51" s="30" t="s">
        <v>3836</v>
      </c>
      <c r="D51" s="15" t="str">
        <f>VLOOKUP(C51,'&lt;Constants&gt;'!$B$3:$C$1001,2,FALSE)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4057</v>
      </c>
      <c r="B52" t="s">
        <v>92</v>
      </c>
      <c r="C52" s="30" t="s">
        <v>4059</v>
      </c>
      <c r="D52" s="15" t="str">
        <f>VLOOKUP(C52,'&lt;Constants&gt;'!$B$3:$C$1001,2,FALSE)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2468</v>
      </c>
      <c r="B53" s="26" t="s">
        <v>91</v>
      </c>
      <c r="C53" s="30" t="s">
        <v>2501</v>
      </c>
      <c r="D53" s="15" t="str">
        <f>VLOOKUP(C53,'&lt;Constants&gt;'!$B$3:$C$1001,2,FALSE)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VLOOKUP(C54,'&lt;Constants&gt;'!$B$3:$C$1001,2,FALSE)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VLOOKUP(C55,'&lt;Constants&gt;'!$B$3:$C$1001,2,FALSE)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3635</v>
      </c>
      <c r="B56" s="26" t="s">
        <v>92</v>
      </c>
      <c r="C56" s="30" t="s">
        <v>3525</v>
      </c>
      <c r="D56" s="15" t="str">
        <f>VLOOKUP(C56,'&lt;Constants&gt;'!$B$3:$C$1001,2,FALSE)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VLOOKUP(C57,'&lt;Constants&gt;'!$B$3:$C$1001,2,FALSE)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3544</v>
      </c>
      <c r="B58" t="s">
        <v>91</v>
      </c>
      <c r="C58" s="30" t="s">
        <v>3525</v>
      </c>
      <c r="D58" s="15" t="str">
        <f>VLOOKUP(C58,'&lt;Constants&gt;'!$B$3:$C$1001,2,FALSE)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VLOOKUP(C59,'&lt;Constants&gt;'!$B$3:$C$1001,2,FALSE)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2696</v>
      </c>
      <c r="B60" s="26" t="s">
        <v>91</v>
      </c>
      <c r="C60" s="30" t="s">
        <v>2683</v>
      </c>
      <c r="D60" s="15" t="str">
        <f>VLOOKUP(C60,'&lt;Constants&gt;'!$B$3:$C$1001,2,FALSE)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VLOOKUP(C61,'&lt;Constants&gt;'!$B$3:$C$1001,2,FALSE)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VLOOKUP(C62,'&lt;Constants&gt;'!$B$3:$C$1001,2,FALSE)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1779</v>
      </c>
      <c r="B63" s="26" t="s">
        <v>91</v>
      </c>
      <c r="C63" s="30" t="s">
        <v>1771</v>
      </c>
      <c r="D63" s="15" t="str">
        <f>VLOOKUP(C63,'&lt;Constants&gt;'!$B$3:$C$1001,2,FALSE)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VLOOKUP(C64,'&lt;Constants&gt;'!$B$3:$C$1001,2,FALSE)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VLOOKUP(C65,'&lt;Constants&gt;'!$B$3:$C$1001,2,FALSE)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VLOOKUP(C66,'&lt;Constants&gt;'!$B$3:$C$1001,2,FALSE)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VLOOKUP(C67,'&lt;Constants&gt;'!$B$3:$C$1001,2,FALSE)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2367</v>
      </c>
      <c r="B68" s="26" t="s">
        <v>91</v>
      </c>
      <c r="C68" s="30" t="s">
        <v>2361</v>
      </c>
      <c r="D68" s="15" t="str">
        <f>VLOOKUP(C68,'&lt;Constants&gt;'!$B$3:$C$1001,2,FALSE)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1620</v>
      </c>
      <c r="B69" s="26" t="s">
        <v>91</v>
      </c>
      <c r="C69" s="30" t="s">
        <v>1618</v>
      </c>
      <c r="D69" s="15" t="str">
        <f>VLOOKUP(C69,'&lt;Constants&gt;'!$B$3:$C$1001,2,FALSE)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VLOOKUP(C70,'&lt;Constants&gt;'!$B$3:$C$1001,2,FALSE)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VLOOKUP(C71,'&lt;Constants&gt;'!$B$3:$C$1001,2,FALSE)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VLOOKUP(C72,'&lt;Constants&gt;'!$B$3:$C$1001,2,FALSE)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VLOOKUP(C73,'&lt;Constants&gt;'!$B$3:$C$1001,2,FALSE)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VLOOKUP(C74,'&lt;Constants&gt;'!$B$3:$C$1001,2,FALSE)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4130</v>
      </c>
      <c r="B1" s="10" t="s">
        <v>4160</v>
      </c>
      <c r="C1" s="10" t="s">
        <v>4161</v>
      </c>
      <c r="D1" s="10" t="s">
        <v>4162</v>
      </c>
      <c r="E1" s="10" t="s">
        <v>4163</v>
      </c>
      <c r="F1" s="10" t="s">
        <v>4164</v>
      </c>
      <c r="G1" s="10" t="s">
        <v>4165</v>
      </c>
      <c r="H1" s="10" t="s">
        <v>4166</v>
      </c>
      <c r="I1" s="10" t="s">
        <v>4167</v>
      </c>
      <c r="J1" s="10" t="s">
        <v>4168</v>
      </c>
      <c r="K1" s="10" t="s">
        <v>4210</v>
      </c>
    </row>
    <row r="2" spans="1:11" x14ac:dyDescent="0.25">
      <c r="A2" t="s">
        <v>60</v>
      </c>
      <c r="B2">
        <v>8</v>
      </c>
      <c r="C2">
        <v>305</v>
      </c>
      <c r="D2">
        <v>272</v>
      </c>
      <c r="E2">
        <v>1604</v>
      </c>
      <c r="G2">
        <v>1609</v>
      </c>
      <c r="H2">
        <v>1607</v>
      </c>
      <c r="I2">
        <v>1608</v>
      </c>
      <c r="K2">
        <v>192</v>
      </c>
    </row>
    <row r="3" spans="1:11" x14ac:dyDescent="0.25">
      <c r="A3" t="s">
        <v>3518</v>
      </c>
      <c r="B3">
        <v>613</v>
      </c>
      <c r="C3">
        <v>614</v>
      </c>
      <c r="D3">
        <v>3468</v>
      </c>
      <c r="E3">
        <v>3469</v>
      </c>
      <c r="F3">
        <v>3547</v>
      </c>
      <c r="G3">
        <v>3470</v>
      </c>
      <c r="H3">
        <v>3471</v>
      </c>
      <c r="I3">
        <v>3472</v>
      </c>
      <c r="J3">
        <v>3474</v>
      </c>
      <c r="K3">
        <v>531</v>
      </c>
    </row>
    <row r="4" spans="1:11" x14ac:dyDescent="0.25">
      <c r="A4" t="s">
        <v>3835</v>
      </c>
      <c r="B4">
        <v>640</v>
      </c>
      <c r="C4">
        <v>641</v>
      </c>
      <c r="D4">
        <v>3851</v>
      </c>
      <c r="E4">
        <v>3852</v>
      </c>
      <c r="F4">
        <v>3922</v>
      </c>
      <c r="G4">
        <v>3853</v>
      </c>
      <c r="H4">
        <v>3854</v>
      </c>
      <c r="I4">
        <v>3855</v>
      </c>
      <c r="J4">
        <v>3857</v>
      </c>
      <c r="K4">
        <v>565</v>
      </c>
    </row>
    <row r="5" spans="1:11" x14ac:dyDescent="0.25">
      <c r="A5" t="s">
        <v>2366</v>
      </c>
      <c r="B5">
        <v>591</v>
      </c>
      <c r="C5">
        <v>592</v>
      </c>
      <c r="D5">
        <v>2831</v>
      </c>
      <c r="E5">
        <v>2832</v>
      </c>
      <c r="F5">
        <v>2984</v>
      </c>
      <c r="G5">
        <v>2833</v>
      </c>
      <c r="H5">
        <v>2834</v>
      </c>
      <c r="I5">
        <v>2835</v>
      </c>
      <c r="J5">
        <v>2838</v>
      </c>
      <c r="K5">
        <v>437</v>
      </c>
    </row>
    <row r="6" spans="1:11" x14ac:dyDescent="0.25">
      <c r="A6" t="s">
        <v>4105</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1774</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2685</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3317</v>
      </c>
    </row>
    <row r="22" spans="1:11" x14ac:dyDescent="0.25">
      <c r="A22" t="s">
        <v>3354</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4027</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3355</v>
      </c>
      <c r="B31">
        <v>610</v>
      </c>
      <c r="C31">
        <v>611</v>
      </c>
      <c r="D31">
        <v>3394</v>
      </c>
      <c r="E31">
        <v>3395</v>
      </c>
      <c r="F31" s="33">
        <v>3423</v>
      </c>
      <c r="G31">
        <v>3396</v>
      </c>
      <c r="H31">
        <v>3397</v>
      </c>
      <c r="I31">
        <v>3398</v>
      </c>
      <c r="J31">
        <v>3400</v>
      </c>
      <c r="K31">
        <v>521</v>
      </c>
    </row>
    <row r="32" spans="1:11" x14ac:dyDescent="0.25">
      <c r="A32" t="s">
        <v>1621</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1464</v>
      </c>
      <c r="B34">
        <v>496</v>
      </c>
      <c r="C34">
        <v>497</v>
      </c>
      <c r="D34">
        <v>2425</v>
      </c>
      <c r="E34">
        <v>2426</v>
      </c>
      <c r="F34" s="33">
        <v>2629</v>
      </c>
      <c r="G34">
        <v>2427</v>
      </c>
      <c r="H34">
        <v>2428</v>
      </c>
      <c r="I34">
        <v>2429</v>
      </c>
      <c r="J34">
        <v>2431</v>
      </c>
      <c r="K34">
        <v>398</v>
      </c>
    </row>
    <row r="35" spans="1:11" x14ac:dyDescent="0.25">
      <c r="A35" t="s">
        <v>4031</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1463</v>
      </c>
      <c r="B38">
        <v>494</v>
      </c>
      <c r="C38">
        <v>495</v>
      </c>
      <c r="D38">
        <v>2415</v>
      </c>
      <c r="E38">
        <v>2416</v>
      </c>
      <c r="F38" s="33">
        <v>2628</v>
      </c>
      <c r="G38">
        <v>2417</v>
      </c>
      <c r="H38">
        <v>2418</v>
      </c>
      <c r="I38">
        <v>2419</v>
      </c>
      <c r="J38">
        <v>2422</v>
      </c>
      <c r="K38">
        <v>391</v>
      </c>
    </row>
    <row r="39" spans="1:11" x14ac:dyDescent="0.25">
      <c r="A39" t="s">
        <v>4104</v>
      </c>
      <c r="B39">
        <v>1037</v>
      </c>
      <c r="C39">
        <v>1038</v>
      </c>
      <c r="D39">
        <v>4311</v>
      </c>
      <c r="E39">
        <v>4312</v>
      </c>
      <c r="F39" s="33"/>
      <c r="G39">
        <v>4313</v>
      </c>
      <c r="H39">
        <v>4314</v>
      </c>
      <c r="I39">
        <v>4315</v>
      </c>
      <c r="J39">
        <v>4317</v>
      </c>
      <c r="K39">
        <v>606</v>
      </c>
    </row>
    <row r="40" spans="1:11" x14ac:dyDescent="0.25">
      <c r="A40" t="s">
        <v>3834</v>
      </c>
      <c r="B40">
        <v>638</v>
      </c>
      <c r="C40">
        <v>639</v>
      </c>
      <c r="D40">
        <v>3810</v>
      </c>
      <c r="E40">
        <v>3811</v>
      </c>
      <c r="F40">
        <v>3921</v>
      </c>
      <c r="G40">
        <v>3812</v>
      </c>
      <c r="H40">
        <v>3813</v>
      </c>
      <c r="I40">
        <v>3814</v>
      </c>
      <c r="J40">
        <v>3816</v>
      </c>
      <c r="K40">
        <v>556</v>
      </c>
    </row>
    <row r="41" spans="1:11" x14ac:dyDescent="0.25">
      <c r="A41" t="s">
        <v>2468</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3544</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2696</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1779</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2367</v>
      </c>
      <c r="B53">
        <v>593</v>
      </c>
      <c r="C53">
        <v>594</v>
      </c>
      <c r="D53">
        <v>2841</v>
      </c>
      <c r="E53">
        <v>2842</v>
      </c>
      <c r="F53" s="33">
        <v>2991</v>
      </c>
      <c r="G53">
        <v>2843</v>
      </c>
      <c r="H53">
        <v>2844</v>
      </c>
      <c r="I53">
        <v>2845</v>
      </c>
      <c r="J53">
        <v>2847</v>
      </c>
      <c r="K53">
        <v>454</v>
      </c>
    </row>
    <row r="54" spans="1:11" x14ac:dyDescent="0.25">
      <c r="A54" t="s">
        <v>2473</v>
      </c>
      <c r="B54">
        <v>597</v>
      </c>
      <c r="C54">
        <v>598</v>
      </c>
      <c r="D54">
        <v>3026</v>
      </c>
      <c r="E54">
        <v>3027</v>
      </c>
      <c r="F54">
        <v>3094</v>
      </c>
      <c r="G54">
        <v>3028</v>
      </c>
      <c r="H54">
        <v>3029</v>
      </c>
      <c r="I54">
        <v>3030</v>
      </c>
      <c r="J54">
        <v>3032</v>
      </c>
      <c r="K54">
        <v>469</v>
      </c>
    </row>
    <row r="55" spans="1:11" x14ac:dyDescent="0.25">
      <c r="A55" t="s">
        <v>1620</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21" activePane="bottomRight" state="frozen"/>
      <selection pane="topRight" activeCell="F1" sqref="F1"/>
      <selection pane="bottomLeft" activeCell="A2" sqref="A2"/>
      <selection pane="bottomRight" activeCell="D21" sqref="D2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36" t="s">
        <v>4185</v>
      </c>
      <c r="B1" s="136"/>
      <c r="C1" s="136"/>
      <c r="D1" s="136"/>
      <c r="E1" s="136"/>
    </row>
    <row r="2" spans="1:11" s="1" customFormat="1" x14ac:dyDescent="0.25">
      <c r="A2" s="1" t="s">
        <v>93</v>
      </c>
      <c r="B2" s="1" t="s">
        <v>100</v>
      </c>
      <c r="C2" s="1" t="s">
        <v>97</v>
      </c>
      <c r="D2" s="1" t="s">
        <v>98</v>
      </c>
      <c r="E2" s="1" t="s">
        <v>723</v>
      </c>
      <c r="F2" s="1" t="s">
        <v>1356</v>
      </c>
      <c r="G2" s="1" t="s">
        <v>1355</v>
      </c>
      <c r="H2" s="1" t="s">
        <v>1398</v>
      </c>
      <c r="I2" s="1" t="s">
        <v>1486</v>
      </c>
      <c r="J2" s="1" t="s">
        <v>1399</v>
      </c>
      <c r="K2" s="94" t="s">
        <v>3811</v>
      </c>
    </row>
    <row r="3" spans="1:11" x14ac:dyDescent="0.25">
      <c r="A3">
        <v>124</v>
      </c>
      <c r="B3">
        <v>20</v>
      </c>
      <c r="C3">
        <v>383</v>
      </c>
      <c r="D3" t="s">
        <v>114</v>
      </c>
      <c r="E3" t="s">
        <v>263</v>
      </c>
      <c r="F3">
        <v>124</v>
      </c>
      <c r="G3">
        <v>383</v>
      </c>
      <c r="H3">
        <v>0</v>
      </c>
      <c r="I3" t="str">
        <f>VLOOKUP(H3,'&lt;Constants&gt;'!$A$4:$B$1020,2,FALSE)</f>
        <v>DLC_BASE_GAME</v>
      </c>
      <c r="J3" t="str">
        <f>VLOOKUP(H3,'&lt;Constants&gt;'!$A$4:$C$1020,3,FALSE)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VLOOKUP(H4,'&lt;Constants&gt;'!$A$4:$B$1020,2,FALSE)</f>
        <v>DLC_BASE_GAME</v>
      </c>
      <c r="J4" t="str">
        <f>VLOOKUP(H4,'&lt;Constants&gt;'!$A$4:$C$1020,3,FALSE)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VLOOKUP(H5,'&lt;Constants&gt;'!$A$4:$B$1020,2,FALSE)</f>
        <v>DLC_BASE_GAME</v>
      </c>
      <c r="J5" t="str">
        <f>VLOOKUP(H5,'&lt;Constants&gt;'!$A$4:$C$1020,3,FALSE)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VLOOKUP(H6,'&lt;Constants&gt;'!$A$4:$B$1020,2,FALSE)</f>
        <v>DLC_BASE_GAME</v>
      </c>
      <c r="J6" t="str">
        <f>VLOOKUP(H6,'&lt;Constants&gt;'!$A$4:$C$1020,3,FALSE)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VLOOKUP(H7,'&lt;Constants&gt;'!$A$4:$B$1020,2,FALSE)</f>
        <v>DLC_BASE_GAME</v>
      </c>
      <c r="J7" t="str">
        <f>VLOOKUP(H7,'&lt;Constants&gt;'!$A$4:$C$1020,3,FALSE)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VLOOKUP(H8,'&lt;Constants&gt;'!$A$4:$B$1020,2,FALSE)</f>
        <v>DLC_BASE_GAME</v>
      </c>
      <c r="J8" t="str">
        <f>VLOOKUP(H8,'&lt;Constants&gt;'!$A$4:$C$1020,3,FALSE)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VLOOKUP(H9,'&lt;Constants&gt;'!$A$4:$B$1020,2,FALSE)</f>
        <v>DLC_BASE_GAME</v>
      </c>
      <c r="J9" t="str">
        <f>VLOOKUP(H9,'&lt;Constants&gt;'!$A$4:$C$1020,3,FALSE)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VLOOKUP(H10,'&lt;Constants&gt;'!$A$4:$B$1020,2,FALSE)</f>
        <v>DLC_BASE_GAME</v>
      </c>
      <c r="J10" t="str">
        <f>VLOOKUP(H10,'&lt;Constants&gt;'!$A$4:$C$1020,3,FALSE)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VLOOKUP(H11,'&lt;Constants&gt;'!$A$4:$B$1020,2,FALSE)</f>
        <v>DLC_BASE_GAME</v>
      </c>
      <c r="J11" t="str">
        <f>VLOOKUP(H11,'&lt;Constants&gt;'!$A$4:$C$1020,3,FALSE)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VLOOKUP(H12,'&lt;Constants&gt;'!$A$4:$B$1020,2,FALSE)</f>
        <v>DLC_BASE_GAME</v>
      </c>
      <c r="J12" t="str">
        <f>VLOOKUP(H12,'&lt;Constants&gt;'!$A$4:$C$1020,3,FALSE)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VLOOKUP(H13,'&lt;Constants&gt;'!$A$4:$B$1020,2,FALSE)</f>
        <v>DLC_BASE_GAME</v>
      </c>
      <c r="J13" t="str">
        <f>VLOOKUP(H13,'&lt;Constants&gt;'!$A$4:$C$1020,3,FALSE)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VLOOKUP(H14,'&lt;Constants&gt;'!$A$4:$B$1020,2,FALSE)</f>
        <v>DLC_BASE_GAME</v>
      </c>
      <c r="J14" t="str">
        <f>VLOOKUP(H14,'&lt;Constants&gt;'!$A$4:$C$1020,3,FALSE)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VLOOKUP(H15,'&lt;Constants&gt;'!$A$4:$B$1020,2,FALSE)</f>
        <v>DLC_BASE_GAME</v>
      </c>
      <c r="J15" t="str">
        <f>VLOOKUP(H15,'&lt;Constants&gt;'!$A$4:$C$1020,3,FALSE)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VLOOKUP(H16,'&lt;Constants&gt;'!$A$4:$B$1020,2,FALSE)</f>
        <v>DLC_BASE_GAME</v>
      </c>
      <c r="J16" t="str">
        <f>VLOOKUP(H16,'&lt;Constants&gt;'!$A$4:$C$1020,3,FALSE)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VLOOKUP(H17,'&lt;Constants&gt;'!$A$4:$B$1020,2,FALSE)</f>
        <v>DLC_BASE_GAME</v>
      </c>
      <c r="J17" t="str">
        <f>VLOOKUP(H17,'&lt;Constants&gt;'!$A$4:$C$1020,3,FALSE)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VLOOKUP(H18,'&lt;Constants&gt;'!$A$4:$B$1020,2,FALSE)</f>
        <v>DLC_BASE_GAME</v>
      </c>
      <c r="J18" t="str">
        <f>VLOOKUP(H18,'&lt;Constants&gt;'!$A$4:$C$1020,3,FALSE)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VLOOKUP(H19,'&lt;Constants&gt;'!$A$4:$B$1020,2,FALSE)</f>
        <v>DLC_ORSINIUM</v>
      </c>
      <c r="J19" t="str">
        <f>VLOOKUP(H19,'&lt;Constants&gt;'!$A$4:$C$1020,3,FALSE)</f>
        <v>Orsinium</v>
      </c>
      <c r="K19" s="18" t="str">
        <f t="shared" si="0"/>
        <v>[705]={parentZoneId=684, DLCID=DLC_ORSINIUM},   --Rkindaleft</v>
      </c>
    </row>
    <row r="20" spans="1:11" x14ac:dyDescent="0.25">
      <c r="A20">
        <v>706</v>
      </c>
      <c r="B20">
        <v>396</v>
      </c>
      <c r="C20">
        <v>684</v>
      </c>
      <c r="D20" t="s">
        <v>464</v>
      </c>
      <c r="E20" t="s">
        <v>448</v>
      </c>
      <c r="F20">
        <v>706</v>
      </c>
      <c r="G20">
        <v>684</v>
      </c>
      <c r="H20">
        <v>2</v>
      </c>
      <c r="I20" t="str">
        <f>VLOOKUP(H20,'&lt;Constants&gt;'!$A$4:$B$1020,2,FALSE)</f>
        <v>DLC_ORSINIUM</v>
      </c>
      <c r="J20" t="str">
        <f>VLOOKUP(H20,'&lt;Constants&gt;'!$A$4:$C$1020,3,FALSE)</f>
        <v>Orsinium</v>
      </c>
      <c r="K20" s="18" t="str">
        <f t="shared" si="0"/>
        <v>[706]={parentZoneId=684, DLCID=DLC_ORSINIUM},   --Old Orsinium</v>
      </c>
    </row>
    <row r="21" spans="1:11" x14ac:dyDescent="0.25">
      <c r="A21">
        <v>918</v>
      </c>
      <c r="B21">
        <v>529</v>
      </c>
      <c r="C21">
        <v>849</v>
      </c>
      <c r="D21" t="s">
        <v>588</v>
      </c>
      <c r="E21" t="s">
        <v>528</v>
      </c>
      <c r="F21">
        <v>918</v>
      </c>
      <c r="G21">
        <v>849</v>
      </c>
      <c r="H21">
        <v>6</v>
      </c>
      <c r="I21" t="str">
        <f>VLOOKUP(H21,'&lt;Constants&gt;'!$A$4:$B$1020,2,FALSE)</f>
        <v>DLC_MORROWIND</v>
      </c>
      <c r="J21" t="str">
        <f>VLOOKUP(H21,'&lt;Constants&gt;'!$A$4:$C$1020,3,FALSE)</f>
        <v>Morrowind</v>
      </c>
      <c r="K21" s="18" t="str">
        <f t="shared" si="0"/>
        <v>[918]={parentZoneId=849, DLCID=DLC_MORROWIND},   --Nchuleftingth</v>
      </c>
    </row>
    <row r="22" spans="1:11" x14ac:dyDescent="0.25">
      <c r="A22">
        <v>919</v>
      </c>
      <c r="B22">
        <v>530</v>
      </c>
      <c r="C22">
        <v>849</v>
      </c>
      <c r="D22" t="s">
        <v>589</v>
      </c>
      <c r="E22" t="s">
        <v>528</v>
      </c>
      <c r="F22">
        <v>919</v>
      </c>
      <c r="G22">
        <v>849</v>
      </c>
      <c r="H22">
        <v>6</v>
      </c>
      <c r="I22" t="str">
        <f>VLOOKUP(H22,'&lt;Constants&gt;'!$A$4:$B$1020,2,FALSE)</f>
        <v>DLC_MORROWIND</v>
      </c>
      <c r="J22" t="str">
        <f>VLOOKUP(H22,'&lt;Constants&gt;'!$A$4:$C$1020,3,FALSE)</f>
        <v>Morrowind</v>
      </c>
      <c r="K22" s="18" t="str">
        <f t="shared" si="0"/>
        <v>[919]={parentZoneId=849, DLCID=DLC_MORROWIND},   --Forgotten Wastes</v>
      </c>
    </row>
    <row r="23" spans="1:11" x14ac:dyDescent="0.25">
      <c r="A23">
        <v>1020</v>
      </c>
      <c r="B23">
        <v>625</v>
      </c>
      <c r="C23">
        <v>1011</v>
      </c>
      <c r="D23" t="s">
        <v>670</v>
      </c>
      <c r="E23" t="s">
        <v>79</v>
      </c>
      <c r="F23">
        <v>1020</v>
      </c>
      <c r="G23">
        <v>1011</v>
      </c>
      <c r="H23">
        <v>10</v>
      </c>
      <c r="I23" t="str">
        <f>VLOOKUP(H23,'&lt;Constants&gt;'!$A$4:$B$1020,2,FALSE)</f>
        <v>DLC_SUMMERSET</v>
      </c>
      <c r="J23" t="str">
        <f>VLOOKUP(H23,'&lt;Constants&gt;'!$A$4:$C$1020,3,FALSE)</f>
        <v>Summerset</v>
      </c>
      <c r="K23" s="18" t="str">
        <f t="shared" si="0"/>
        <v>[1020]={parentZoneId=1011, DLCID=DLC_SUMMERSET},   --Karnwasten</v>
      </c>
    </row>
    <row r="24" spans="1:11" x14ac:dyDescent="0.25">
      <c r="A24">
        <v>1021</v>
      </c>
      <c r="B24">
        <v>626</v>
      </c>
      <c r="C24">
        <v>1011</v>
      </c>
      <c r="D24" t="s">
        <v>671</v>
      </c>
      <c r="E24" t="s">
        <v>79</v>
      </c>
      <c r="F24">
        <v>1021</v>
      </c>
      <c r="G24">
        <v>1011</v>
      </c>
      <c r="H24">
        <v>10</v>
      </c>
      <c r="I24" t="str">
        <f>VLOOKUP(H24,'&lt;Constants&gt;'!$A$4:$B$1020,2,FALSE)</f>
        <v>DLC_SUMMERSET</v>
      </c>
      <c r="J24" t="str">
        <f>VLOOKUP(H24,'&lt;Constants&gt;'!$A$4:$C$1020,3,FALSE)</f>
        <v>Summerset</v>
      </c>
      <c r="K24" s="18" t="str">
        <f t="shared" si="0"/>
        <v>[1021]={parentZoneId=1011, DLCID=DLC_SUMMERSET},   --Sunhold</v>
      </c>
    </row>
    <row r="25" spans="1:11" x14ac:dyDescent="0.25">
      <c r="A25">
        <v>1089</v>
      </c>
      <c r="B25">
        <v>683</v>
      </c>
      <c r="C25">
        <v>1086</v>
      </c>
      <c r="D25" t="s">
        <v>1370</v>
      </c>
      <c r="E25" t="s">
        <v>1369</v>
      </c>
      <c r="F25">
        <v>1089</v>
      </c>
      <c r="G25">
        <v>1086</v>
      </c>
      <c r="H25">
        <v>14</v>
      </c>
      <c r="I25" t="str">
        <f>VLOOKUP(H25,'&lt;Constants&gt;'!$A$4:$B$1020,2,FALSE)</f>
        <v>DLC_ELSWEYR</v>
      </c>
      <c r="J25" t="str">
        <f>VLOOKUP(H25,'&lt;Constants&gt;'!$A$4:$C$1020,3,FALSE)</f>
        <v>Elsweyr</v>
      </c>
      <c r="K25" s="18" t="str">
        <f t="shared" si="0"/>
        <v>[1089]={parentZoneId=1086, DLCID=DLC_ELSWEYR},   --Rimmen Necropolis</v>
      </c>
    </row>
    <row r="26" spans="1:11" x14ac:dyDescent="0.25">
      <c r="A26">
        <v>1090</v>
      </c>
      <c r="B26">
        <v>684</v>
      </c>
      <c r="C26">
        <v>1086</v>
      </c>
      <c r="D26" t="s">
        <v>1371</v>
      </c>
      <c r="E26" t="s">
        <v>1369</v>
      </c>
      <c r="F26">
        <v>1090</v>
      </c>
      <c r="G26">
        <v>1086</v>
      </c>
      <c r="H26">
        <v>14</v>
      </c>
      <c r="I26" t="str">
        <f>VLOOKUP(H26,'&lt;Constants&gt;'!$A$4:$B$1020,2,FALSE)</f>
        <v>DLC_ELSWEYR</v>
      </c>
      <c r="J26" t="str">
        <f>VLOOKUP(H26,'&lt;Constants&gt;'!$A$4:$C$1020,3,FALSE)</f>
        <v>Elsweyr</v>
      </c>
      <c r="K26" s="18" t="str">
        <f t="shared" si="0"/>
        <v>[1090]={parentZoneId=1086, DLCID=DLC_ELSWEYR},   --Orcrest</v>
      </c>
    </row>
    <row r="27" spans="1:11" x14ac:dyDescent="0.25">
      <c r="A27">
        <v>1186</v>
      </c>
      <c r="B27">
        <v>766</v>
      </c>
      <c r="C27">
        <v>1160</v>
      </c>
      <c r="D27" t="s">
        <v>1683</v>
      </c>
      <c r="E27" t="s">
        <v>1660</v>
      </c>
      <c r="F27">
        <v>1186</v>
      </c>
      <c r="G27">
        <v>1160</v>
      </c>
      <c r="H27">
        <v>18</v>
      </c>
      <c r="I27" t="str">
        <f>VLOOKUP(H27,'&lt;Constants&gt;'!$A$4:$B$1020,2,FALSE)</f>
        <v>DLC_GREYMOOR</v>
      </c>
      <c r="J27" t="str">
        <f>VLOOKUP(H27,'&lt;Constants&gt;'!$A$4:$C$1020,3,FALSE)</f>
        <v>Greymoor</v>
      </c>
      <c r="K27" s="18" t="str">
        <f t="shared" si="0"/>
        <v>[1186]={parentZoneId=1160, DLCID=DLC_GREYMOOR},   --Labyrinthian</v>
      </c>
    </row>
    <row r="28" spans="1:11" x14ac:dyDescent="0.25">
      <c r="A28">
        <v>1187</v>
      </c>
      <c r="B28">
        <v>767</v>
      </c>
      <c r="C28">
        <v>1161</v>
      </c>
      <c r="D28" t="s">
        <v>1676</v>
      </c>
      <c r="E28" t="s">
        <v>1690</v>
      </c>
      <c r="F28">
        <v>1187</v>
      </c>
      <c r="G28">
        <v>1161</v>
      </c>
      <c r="H28">
        <v>18</v>
      </c>
      <c r="I28" t="str">
        <f>VLOOKUP(H28,'&lt;Constants&gt;'!$A$4:$B$1020,2,FALSE)</f>
        <v>DLC_GREYMOOR</v>
      </c>
      <c r="J28" t="str">
        <f>VLOOKUP(H28,'&lt;Constants&gt;'!$A$4:$C$1020,3,FALSE)</f>
        <v>Greymoor</v>
      </c>
      <c r="K28" s="18" t="str">
        <f t="shared" si="0"/>
        <v>[1187]={parentZoneId=1161, DLCID=DLC_GREYMOOR},   --Nchuthnkarst</v>
      </c>
    </row>
    <row r="29" spans="1:11" x14ac:dyDescent="0.25">
      <c r="A29">
        <v>1259</v>
      </c>
      <c r="B29">
        <v>832</v>
      </c>
      <c r="C29">
        <v>1261</v>
      </c>
      <c r="D29" t="s">
        <v>2413</v>
      </c>
      <c r="E29" t="s">
        <v>2360</v>
      </c>
      <c r="F29">
        <v>1259</v>
      </c>
      <c r="G29">
        <v>1261</v>
      </c>
      <c r="H29">
        <v>22</v>
      </c>
      <c r="I29" t="str">
        <f>VLOOKUP(H29,'&lt;Constants&gt;'!$A$4:$B$1020,2,FALSE)</f>
        <v>DLC_BLACKWOOD</v>
      </c>
      <c r="J29" t="str">
        <f>VLOOKUP(H29,'&lt;Constants&gt;'!$A$4:$C$1020,3,FALSE)</f>
        <v>Blackwood</v>
      </c>
      <c r="K29" s="18" t="str">
        <f t="shared" si="0"/>
        <v>[1259]={parentZoneId=1261, DLCID=DLC_BLACKWOOD},   --Zenithar's Abbey</v>
      </c>
    </row>
    <row r="30" spans="1:11" x14ac:dyDescent="0.25">
      <c r="A30">
        <v>1260</v>
      </c>
      <c r="B30">
        <v>833</v>
      </c>
      <c r="C30">
        <v>1261</v>
      </c>
      <c r="D30" t="s">
        <v>2414</v>
      </c>
      <c r="E30" t="s">
        <v>2360</v>
      </c>
      <c r="F30">
        <v>1260</v>
      </c>
      <c r="G30">
        <v>1261</v>
      </c>
      <c r="H30">
        <v>22</v>
      </c>
      <c r="I30" t="str">
        <f>VLOOKUP(H30,'&lt;Constants&gt;'!$A$4:$B$1020,2,FALSE)</f>
        <v>DLC_BLACKWOOD</v>
      </c>
      <c r="J30" t="str">
        <f>VLOOKUP(H30,'&lt;Constants&gt;'!$A$4:$C$1020,3,FALSE)</f>
        <v>Blackwood</v>
      </c>
      <c r="K30" s="18" t="str">
        <f t="shared" si="0"/>
        <v>[1260]={parentZoneId=1261, DLCID=DLC_BLACKWOOD},   --The Silent Halls</v>
      </c>
    </row>
    <row r="31" spans="1:11" x14ac:dyDescent="0.25">
      <c r="A31" s="119">
        <v>1310</v>
      </c>
      <c r="B31" s="119">
        <v>876</v>
      </c>
      <c r="C31" s="119">
        <v>1286</v>
      </c>
      <c r="D31" s="119" t="s">
        <v>3854</v>
      </c>
      <c r="E31" s="119" t="s">
        <v>2416</v>
      </c>
      <c r="F31">
        <v>1310</v>
      </c>
      <c r="G31">
        <v>1286</v>
      </c>
      <c r="H31">
        <v>24</v>
      </c>
      <c r="I31" t="str">
        <f>VLOOKUP(H31,'&lt;Constants&gt;'!$A$4:$B$1020,2,FALSE)</f>
        <v>DLC_DEADLANDS</v>
      </c>
      <c r="J31" t="str">
        <f>VLOOKUP(H31,'&lt;Constants&gt;'!$A$4:$C$1020,3,FALSE)</f>
        <v>The Deadlands</v>
      </c>
      <c r="K31" s="18" t="str">
        <f t="shared" si="0"/>
        <v>[1310]={parentZoneId=1286, DLCID=DLC_DEADLANDS},   --Atoll of Immolation</v>
      </c>
    </row>
    <row r="32" spans="1:11" x14ac:dyDescent="0.25">
      <c r="A32">
        <v>1337</v>
      </c>
      <c r="B32">
        <v>900</v>
      </c>
      <c r="C32">
        <v>1318</v>
      </c>
      <c r="D32" t="s">
        <v>3328</v>
      </c>
      <c r="E32" t="s">
        <v>3295</v>
      </c>
      <c r="F32">
        <v>1337</v>
      </c>
      <c r="G32">
        <v>1318</v>
      </c>
      <c r="H32">
        <v>26</v>
      </c>
      <c r="I32" t="str">
        <f>VLOOKUP(H32,'&lt;Constants&gt;'!$A$4:$B$1020,2,FALSE)</f>
        <v>DLC_HIGH_ISLE</v>
      </c>
      <c r="J32" t="str">
        <f>VLOOKUP(H32,'&lt;Constants&gt;'!$A$4:$C$1020,3,FALSE)</f>
        <v>High Isle</v>
      </c>
      <c r="K32" s="18" t="str">
        <f t="shared" si="0"/>
        <v>[1337]={parentZoneId=1318, DLCID=DLC_HIGH_ISLE},   --Spire of the Crimson Coin</v>
      </c>
    </row>
    <row r="33" spans="1:11" x14ac:dyDescent="0.25">
      <c r="A33">
        <v>1338</v>
      </c>
      <c r="B33">
        <v>901</v>
      </c>
      <c r="C33">
        <v>1318</v>
      </c>
      <c r="D33" t="s">
        <v>3327</v>
      </c>
      <c r="E33" t="s">
        <v>3295</v>
      </c>
      <c r="F33">
        <v>1338</v>
      </c>
      <c r="G33">
        <v>1318</v>
      </c>
      <c r="H33">
        <v>26</v>
      </c>
      <c r="I33" t="str">
        <f>VLOOKUP(H33,'&lt;Constants&gt;'!$A$4:$B$1020,2,FALSE)</f>
        <v>DLC_HIGH_ISLE</v>
      </c>
      <c r="J33" t="str">
        <f>VLOOKUP(H33,'&lt;Constants&gt;'!$A$4:$C$1020,3,FALSE)</f>
        <v>High Isle</v>
      </c>
      <c r="K33" s="18" t="str">
        <f t="shared" si="0"/>
        <v>[1338]={parentZoneId=1318, DLCID=DLC_HIGH_ISLE},   --Ghost Haven Bay</v>
      </c>
    </row>
    <row r="34" spans="1:11" x14ac:dyDescent="0.25">
      <c r="A34">
        <v>1415</v>
      </c>
      <c r="B34">
        <v>959</v>
      </c>
      <c r="C34">
        <v>1414</v>
      </c>
      <c r="D34" t="s">
        <v>3634</v>
      </c>
      <c r="E34" t="s">
        <v>3644</v>
      </c>
      <c r="F34">
        <v>1415</v>
      </c>
      <c r="G34">
        <v>1414</v>
      </c>
      <c r="H34">
        <v>30</v>
      </c>
      <c r="I34" t="str">
        <f>VLOOKUP(H34,'&lt;Constants&gt;'!$A$4:$B$1020,2,FALSE)</f>
        <v>DLC_NECROM</v>
      </c>
      <c r="J34" t="str">
        <f>VLOOKUP(H34,'&lt;Constants&gt;'!$A$4:$C$1020,3,FALSE)</f>
        <v>Necrom</v>
      </c>
      <c r="K34" s="18" t="str">
        <f t="shared" si="0"/>
        <v>[1415]={parentZoneId=1414, DLCID=DLC_NECROM},   --Gorne</v>
      </c>
    </row>
    <row r="35" spans="1:11" x14ac:dyDescent="0.25">
      <c r="A35">
        <v>1416</v>
      </c>
      <c r="B35">
        <v>960</v>
      </c>
      <c r="C35">
        <v>1413</v>
      </c>
      <c r="D35" t="s">
        <v>3643</v>
      </c>
      <c r="E35" t="s">
        <v>3588</v>
      </c>
      <c r="F35">
        <v>1416</v>
      </c>
      <c r="G35">
        <v>1413</v>
      </c>
      <c r="H35">
        <v>30</v>
      </c>
      <c r="I35" t="str">
        <f>VLOOKUP(H35,'&lt;Constants&gt;'!$A$4:$B$1020,2,FALSE)</f>
        <v>DLC_NECROM</v>
      </c>
      <c r="J35" t="str">
        <f>VLOOKUP(H35,'&lt;Constants&gt;'!$A$4:$C$1020,3,FALSE)</f>
        <v>Necrom</v>
      </c>
      <c r="K35" s="18" t="str">
        <f t="shared" si="0"/>
        <v>[1416]={parentZoneId=1413, DLCID=DLC_NECROM},   --The Underweave</v>
      </c>
    </row>
    <row r="36" spans="1:11" x14ac:dyDescent="0.25">
      <c r="A36" s="33">
        <v>1466</v>
      </c>
      <c r="B36" s="33">
        <v>1005</v>
      </c>
      <c r="C36" s="33">
        <v>1443</v>
      </c>
      <c r="D36" s="33" t="s">
        <v>3909</v>
      </c>
      <c r="E36" t="s">
        <v>3898</v>
      </c>
      <c r="F36" s="50">
        <v>1466</v>
      </c>
      <c r="G36" s="50">
        <v>1443</v>
      </c>
      <c r="H36">
        <v>34</v>
      </c>
      <c r="I36" t="str">
        <f>VLOOKUP(H36,'&lt;Constants&gt;'!$A$4:$B$1020,2,FALSE)</f>
        <v>DLC_GOLD_ROAD</v>
      </c>
      <c r="J36" t="str">
        <f>VLOOKUP(H36,'&lt;Constants&gt;'!$A$4:$C$1020,3,FALSE)</f>
        <v>Gold Road</v>
      </c>
      <c r="K36" s="18" t="str">
        <f t="shared" si="0"/>
        <v>[1466]={parentZoneId=1443, DLCID=DLC_GOLD_ROAD},   --Leftwheal Trading Post</v>
      </c>
    </row>
    <row r="37" spans="1:11" x14ac:dyDescent="0.25">
      <c r="A37" s="33">
        <v>1467</v>
      </c>
      <c r="B37" s="33">
        <v>1006</v>
      </c>
      <c r="C37" s="33">
        <v>1443</v>
      </c>
      <c r="D37" s="33" t="s">
        <v>3899</v>
      </c>
      <c r="E37" t="s">
        <v>3898</v>
      </c>
      <c r="F37" s="50">
        <v>1467</v>
      </c>
      <c r="G37" s="50">
        <v>1443</v>
      </c>
      <c r="H37">
        <v>34</v>
      </c>
      <c r="I37" t="str">
        <f>VLOOKUP(H37,'&lt;Constants&gt;'!$A$4:$B$1020,2,FALSE)</f>
        <v>DLC_GOLD_ROAD</v>
      </c>
      <c r="J37" t="str">
        <f>VLOOKUP(H37,'&lt;Constants&gt;'!$A$4:$C$1020,3,FALSE)</f>
        <v>Gold Road</v>
      </c>
      <c r="K37" s="18" t="str">
        <f t="shared" ref="K37:K38" si="1">"["&amp;A37&amp;"]={parentZoneId="&amp;C37&amp;", DLCID="&amp;I37&amp;"},   --"&amp;D37</f>
        <v>[1467]={parentZoneId=1443, DLCID=DLC_GOLD_ROAD},   --Silorn</v>
      </c>
    </row>
    <row r="38" spans="1:11" x14ac:dyDescent="0.25">
      <c r="A38" s="50">
        <v>1530</v>
      </c>
      <c r="B38" s="50">
        <v>1059</v>
      </c>
      <c r="C38" s="50">
        <v>1502</v>
      </c>
      <c r="D38" s="33" t="s">
        <v>4193</v>
      </c>
      <c r="E38" t="s">
        <v>4058</v>
      </c>
      <c r="F38" s="50">
        <v>1530</v>
      </c>
      <c r="G38" s="50">
        <v>1502</v>
      </c>
      <c r="H38">
        <v>40</v>
      </c>
      <c r="I38" t="str">
        <f>VLOOKUP(H38,'&lt;Constants&gt;'!$A$4:$B$1020,2,FALSE)</f>
        <v>DLC_SEASONS_OF_THE_WORMCULT2</v>
      </c>
      <c r="J38" t="str">
        <f>VLOOKUP(H38,'&lt;Constants&gt;'!$A$4:$C$1020,3,FALSE)</f>
        <v>Seasons of the Wormcult Part 2</v>
      </c>
      <c r="K38" s="18" t="str">
        <f t="shared" si="1"/>
        <v>[1530]={parentZoneId=1502, DLCID=DLC_SEASONS_OF_THE_WORMCULT2},   --Calindvale Gardens</v>
      </c>
    </row>
  </sheetData>
  <autoFilter ref="A2:J2" xr:uid="{DC33C5AE-75C2-45CC-8E86-2ECA7DDDD7AB}">
    <sortState xmlns:xlrd2="http://schemas.microsoft.com/office/spreadsheetml/2017/richdata2" ref="A3:J38">
      <sortCondition ref="A2"/>
    </sortState>
  </autoFilter>
  <mergeCells count="1">
    <mergeCell ref="A1:E1"/>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20" activePane="bottomRight" state="frozen"/>
      <selection pane="topRight" activeCell="D1" sqref="D1"/>
      <selection pane="bottomLeft" activeCell="A2" sqref="A2"/>
      <selection pane="bottomRight" activeCell="H32" sqref="H32"/>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37" t="s">
        <v>4207</v>
      </c>
      <c r="B1" s="137"/>
      <c r="C1" s="137"/>
      <c r="D1" s="137"/>
      <c r="E1" s="137"/>
      <c r="F1" s="137"/>
      <c r="G1" s="137"/>
      <c r="H1" s="137"/>
      <c r="I1" s="137"/>
      <c r="J1" s="137"/>
      <c r="K1" s="137"/>
      <c r="L1" s="138"/>
    </row>
    <row r="2" spans="1:12" ht="90" x14ac:dyDescent="0.25">
      <c r="A2" s="5" t="s">
        <v>93</v>
      </c>
      <c r="B2" s="5" t="s">
        <v>100</v>
      </c>
      <c r="C2" s="5" t="s">
        <v>97</v>
      </c>
      <c r="D2" s="59" t="s">
        <v>98</v>
      </c>
      <c r="E2" s="7" t="s">
        <v>99</v>
      </c>
      <c r="F2" s="7" t="s">
        <v>1325</v>
      </c>
      <c r="G2" s="7" t="s">
        <v>723</v>
      </c>
      <c r="H2" s="60" t="s">
        <v>1356</v>
      </c>
      <c r="I2" s="61" t="s">
        <v>1355</v>
      </c>
      <c r="J2" s="1" t="s">
        <v>1398</v>
      </c>
      <c r="K2" s="7" t="s">
        <v>1486</v>
      </c>
      <c r="L2" s="7" t="s">
        <v>1399</v>
      </c>
    </row>
    <row r="3" spans="1:12" x14ac:dyDescent="0.25">
      <c r="A3" s="100">
        <v>-99</v>
      </c>
      <c r="B3" s="100" t="s">
        <v>3776</v>
      </c>
      <c r="C3" s="100"/>
      <c r="D3" s="95" t="s">
        <v>3775</v>
      </c>
      <c r="E3" s="95"/>
      <c r="F3" s="95" t="s">
        <v>3773</v>
      </c>
      <c r="G3" s="95" t="s">
        <v>3775</v>
      </c>
      <c r="H3" s="96">
        <v>-99</v>
      </c>
      <c r="I3" s="96">
        <v>-99</v>
      </c>
      <c r="J3" s="95"/>
      <c r="K3" s="95" t="str">
        <f>VLOOKUP(J3,'&lt;Constants&gt;'!$A$4:$B$1020,2,FALSE)</f>
        <v>DLC_BASE_GAME</v>
      </c>
      <c r="L3" s="95" t="str">
        <f>VLOOKUP(J3,'&lt;Constants&gt;'!$A$4:$C$1020,3,FALSE)</f>
        <v>Included in base game</v>
      </c>
    </row>
    <row r="4" spans="1:12" x14ac:dyDescent="0.25">
      <c r="A4" s="104">
        <v>-98</v>
      </c>
      <c r="B4" s="104" t="s">
        <v>3776</v>
      </c>
      <c r="C4" s="104"/>
      <c r="D4" s="105" t="s">
        <v>2347</v>
      </c>
      <c r="E4" s="106"/>
      <c r="F4" s="106" t="s">
        <v>3773</v>
      </c>
      <c r="G4" s="106" t="s">
        <v>3774</v>
      </c>
      <c r="H4" s="107">
        <v>-98</v>
      </c>
      <c r="I4" s="108">
        <v>-98</v>
      </c>
      <c r="J4" s="106"/>
      <c r="K4" s="106" t="str">
        <f>VLOOKUP(J4,'&lt;Constants&gt;'!$A$4:$B$1020,2,FALSE)</f>
        <v>DLC_BASE_GAME</v>
      </c>
      <c r="L4" s="106" t="str">
        <f>VLOOKUP(J4,'&lt;Constants&gt;'!$A$4:$C$1020,3,FALSE)</f>
        <v>Included in base game</v>
      </c>
    </row>
    <row r="5" spans="1:12" x14ac:dyDescent="0.25">
      <c r="A5" s="109">
        <v>0</v>
      </c>
      <c r="B5" s="109">
        <v>4294967296</v>
      </c>
      <c r="C5" s="109">
        <v>0</v>
      </c>
      <c r="D5" s="110" t="s">
        <v>2202</v>
      </c>
      <c r="E5" s="111"/>
      <c r="F5" s="110" t="str">
        <f t="shared" ref="F5" si="0">IF(EXACT(A5,C5),"X","")</f>
        <v>X</v>
      </c>
      <c r="G5" s="110" t="s">
        <v>2202</v>
      </c>
      <c r="H5" s="112">
        <f t="shared" ref="H5" si="1">A5</f>
        <v>0</v>
      </c>
      <c r="I5" s="112">
        <f t="shared" ref="I5" si="2">C5</f>
        <v>0</v>
      </c>
      <c r="J5" s="113">
        <v>0</v>
      </c>
      <c r="K5" s="110" t="str">
        <f>VLOOKUP(J5,'&lt;Constants&gt;'!$A$4:$B$1020,2,FALSE)</f>
        <v>DLC_BASE_GAME</v>
      </c>
      <c r="L5" s="110" t="str">
        <f>VLOOKUP(J5,'&lt;Constants&gt;'!$A$4:$C$1020,3,FALSE)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102" t="str">
        <f>VLOOKUP(J6,'&lt;Constants&gt;'!$A$4:$B$1020,2,FALSE)</f>
        <v>DLC_BASE_GAME</v>
      </c>
      <c r="L6" s="102" t="str">
        <f>VLOOKUP(J6,'&lt;Constants&gt;'!$A$4:$C$1020,3,FALSE)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102" t="str">
        <f>VLOOKUP(J7,'&lt;Constants&gt;'!$A$4:$B$1020,2,FALSE)</f>
        <v>DLC_BASE_GAME</v>
      </c>
      <c r="L7" s="102" t="str">
        <f>VLOOKUP(J7,'&lt;Constants&gt;'!$A$4:$C$1020,3,FALSE)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102" t="str">
        <f>VLOOKUP(J8,'&lt;Constants&gt;'!$A$4:$B$1020,2,FALSE)</f>
        <v>DLC_BASE_GAME</v>
      </c>
      <c r="L8" s="102" t="str">
        <f>VLOOKUP(J8,'&lt;Constants&gt;'!$A$4:$C$1020,3,FALSE)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102" t="str">
        <f>VLOOKUP(J9,'&lt;Constants&gt;'!$A$4:$B$1020,2,FALSE)</f>
        <v>DLC_BASE_GAME</v>
      </c>
      <c r="L9" s="102" t="str">
        <f>VLOOKUP(J9,'&lt;Constants&gt;'!$A$4:$C$1020,3,FALSE)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102" t="str">
        <f>VLOOKUP(J10,'&lt;Constants&gt;'!$A$4:$B$1020,2,FALSE)</f>
        <v>DLC_BASE_GAME</v>
      </c>
      <c r="L10" s="102" t="str">
        <f>VLOOKUP(J10,'&lt;Constants&gt;'!$A$4:$C$1020,3,FALSE)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102" t="str">
        <f>VLOOKUP(J11,'&lt;Constants&gt;'!$A$4:$B$1020,2,FALSE)</f>
        <v>DLC_BASE_GAME</v>
      </c>
      <c r="L11" s="102" t="str">
        <f>VLOOKUP(J11,'&lt;Constants&gt;'!$A$4:$C$1020,3,FALSE)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102" t="str">
        <f>VLOOKUP(J12,'&lt;Constants&gt;'!$A$4:$B$1020,2,FALSE)</f>
        <v>DLC_BASE_GAME</v>
      </c>
      <c r="L12" s="102" t="str">
        <f>VLOOKUP(J12,'&lt;Constants&gt;'!$A$4:$C$1020,3,FALSE)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102" t="str">
        <f>VLOOKUP(J13,'&lt;Constants&gt;'!$A$4:$B$1020,2,FALSE)</f>
        <v>DLC_BASE_GAME</v>
      </c>
      <c r="L13" s="102" t="str">
        <f>VLOOKUP(J13,'&lt;Constants&gt;'!$A$4:$C$1020,3,FALSE)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102" t="str">
        <f>VLOOKUP(J14,'&lt;Constants&gt;'!$A$4:$B$1020,2,FALSE)</f>
        <v>DLC_BASE_GAME</v>
      </c>
      <c r="L14" s="102" t="str">
        <f>VLOOKUP(J14,'&lt;Constants&gt;'!$A$4:$C$1020,3,FALSE)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102" t="str">
        <f>VLOOKUP(J15,'&lt;Constants&gt;'!$A$4:$B$1020,2,FALSE)</f>
        <v>DLC_BASE_GAME</v>
      </c>
      <c r="L15" s="102" t="str">
        <f>VLOOKUP(J15,'&lt;Constants&gt;'!$A$4:$C$1020,3,FALSE)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102" t="str">
        <f>VLOOKUP(J16,'&lt;Constants&gt;'!$A$4:$B$1020,2,FALSE)</f>
        <v>DLC_BASE_GAME</v>
      </c>
      <c r="L16" s="102" t="str">
        <f>VLOOKUP(J16,'&lt;Constants&gt;'!$A$4:$C$1020,3,FALSE)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102" t="str">
        <f>VLOOKUP(J17,'&lt;Constants&gt;'!$A$4:$B$1020,2,FALSE)</f>
        <v>DLC_BASE_GAME</v>
      </c>
      <c r="L17" s="102" t="str">
        <f>VLOOKUP(J17,'&lt;Constants&gt;'!$A$4:$C$1020,3,FALSE)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102" t="str">
        <f>VLOOKUP(J18,'&lt;Constants&gt;'!$A$4:$B$1020,2,FALSE)</f>
        <v>DLC_BASE_GAME</v>
      </c>
      <c r="L18" s="102" t="str">
        <f>VLOOKUP(J18,'&lt;Constants&gt;'!$A$4:$C$1020,3,FALSE)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102" t="str">
        <f>VLOOKUP(J19,'&lt;Constants&gt;'!$A$4:$B$1020,2,FALSE)</f>
        <v>DLC_BASE_GAME</v>
      </c>
      <c r="L19" s="102" t="str">
        <f>VLOOKUP(J19,'&lt;Constants&gt;'!$A$4:$C$1020,3,FALSE)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102" t="str">
        <f>VLOOKUP(J20,'&lt;Constants&gt;'!$A$4:$B$1020,2,FALSE)</f>
        <v>DLC_BASE_GAME</v>
      </c>
      <c r="L20" s="102" t="str">
        <f>VLOOKUP(J20,'&lt;Constants&gt;'!$A$4:$C$1020,3,FALSE)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102" t="str">
        <f>VLOOKUP(J21,'&lt;Constants&gt;'!$A$4:$B$1020,2,FALSE)</f>
        <v>DLC_BASE_GAME</v>
      </c>
      <c r="L21" s="102" t="str">
        <f>VLOOKUP(J21,'&lt;Constants&gt;'!$A$4:$C$1020,3,FALSE)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102" t="str">
        <f>VLOOKUP(J22,'&lt;Constants&gt;'!$A$4:$B$1020,2,FALSE)</f>
        <v>DLC_BASE_GAME</v>
      </c>
      <c r="L22" s="102" t="str">
        <f>VLOOKUP(J22,'&lt;Constants&gt;'!$A$4:$C$1020,3,FALSE)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102" t="str">
        <f>VLOOKUP(J23,'&lt;Constants&gt;'!$A$4:$B$1020,2,FALSE)</f>
        <v>DLC_BASE_GAME</v>
      </c>
      <c r="L23" s="102" t="str">
        <f>VLOOKUP(J23,'&lt;Constants&gt;'!$A$4:$C$1020,3,FALSE)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102" t="str">
        <f>VLOOKUP(J24,'&lt;Constants&gt;'!$A$4:$B$1020,2,FALSE)</f>
        <v>DLC_BASE_GAME</v>
      </c>
      <c r="L24" s="102" t="str">
        <f>VLOOKUP(J24,'&lt;Constants&gt;'!$A$4:$C$1020,3,FALSE)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102" t="str">
        <f>VLOOKUP(J25,'&lt;Constants&gt;'!$A$4:$B$1020,2,FALSE)</f>
        <v>DLC_BASE_GAME</v>
      </c>
      <c r="L25" s="102" t="str">
        <f>VLOOKUP(J25,'&lt;Constants&gt;'!$A$4:$C$1020,3,FALSE)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102" t="str">
        <f>VLOOKUP(J26,'&lt;Constants&gt;'!$A$4:$B$1020,2,FALSE)</f>
        <v>DLC_BASE_GAME</v>
      </c>
      <c r="L26" s="102" t="str">
        <f>VLOOKUP(J26,'&lt;Constants&gt;'!$A$4:$C$1020,3,FALSE)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102" t="str">
        <f>VLOOKUP(J27,'&lt;Constants&gt;'!$A$4:$B$1020,2,FALSE)</f>
        <v>DLC_BASE_GAME</v>
      </c>
      <c r="L27" s="102" t="str">
        <f>VLOOKUP(J27,'&lt;Constants&gt;'!$A$4:$C$1020,3,FALSE)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102" t="str">
        <f>VLOOKUP(J28,'&lt;Constants&gt;'!$A$4:$B$1020,2,FALSE)</f>
        <v>DLC_BASE_GAME</v>
      </c>
      <c r="L28" s="102" t="str">
        <f>VLOOKUP(J28,'&lt;Constants&gt;'!$A$4:$C$1020,3,FALSE)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102" t="str">
        <f>VLOOKUP(J29,'&lt;Constants&gt;'!$A$4:$B$1020,2,FALSE)</f>
        <v>DLC_BASE_GAME</v>
      </c>
      <c r="L29" s="102" t="str">
        <f>VLOOKUP(J29,'&lt;Constants&gt;'!$A$4:$C$1020,3,FALSE)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102" t="str">
        <f>VLOOKUP(J30,'&lt;Constants&gt;'!$A$4:$B$1020,2,FALSE)</f>
        <v>DLC_BASE_GAME</v>
      </c>
      <c r="L30" s="102" t="str">
        <f>VLOOKUP(J30,'&lt;Constants&gt;'!$A$4:$C$1020,3,FALSE)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102" t="str">
        <f>VLOOKUP(J31,'&lt;Constants&gt;'!$A$4:$B$1020,2,FALSE)</f>
        <v>DLC_BASE_GAME</v>
      </c>
      <c r="L31" s="102" t="str">
        <f>VLOOKUP(J31,'&lt;Constants&gt;'!$A$4:$C$1020,3,FALSE)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102" t="str">
        <f>VLOOKUP(J32,'&lt;Constants&gt;'!$A$4:$B$1020,2,FALSE)</f>
        <v>DLC_BASE_GAME</v>
      </c>
      <c r="L32" s="102" t="str">
        <f>VLOOKUP(J32,'&lt;Constants&gt;'!$A$4:$C$1020,3,FALSE)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102" t="str">
        <f>VLOOKUP(J33,'&lt;Constants&gt;'!$A$4:$B$1020,2,FALSE)</f>
        <v>DLC_BASE_GAME</v>
      </c>
      <c r="L33" s="102" t="str">
        <f>VLOOKUP(J33,'&lt;Constants&gt;'!$A$4:$C$1020,3,FALSE)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102" t="str">
        <f>VLOOKUP(J34,'&lt;Constants&gt;'!$A$4:$B$1020,2,FALSE)</f>
        <v>DLC_BASE_GAME</v>
      </c>
      <c r="L34" s="102" t="str">
        <f>VLOOKUP(J34,'&lt;Constants&gt;'!$A$4:$C$1020,3,FALSE)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102" t="str">
        <f>VLOOKUP(J35,'&lt;Constants&gt;'!$A$4:$B$1020,2,FALSE)</f>
        <v>DLC_BASE_GAME</v>
      </c>
      <c r="L35" s="102" t="str">
        <f>VLOOKUP(J35,'&lt;Constants&gt;'!$A$4:$C$1020,3,FALSE)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102" t="str">
        <f>VLOOKUP(J36,'&lt;Constants&gt;'!$A$4:$B$1020,2,FALSE)</f>
        <v>DLC_BASE_GAME</v>
      </c>
      <c r="L36" s="102" t="str">
        <f>VLOOKUP(J36,'&lt;Constants&gt;'!$A$4:$C$1020,3,FALSE)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102" t="str">
        <f>VLOOKUP(J37,'&lt;Constants&gt;'!$A$4:$B$1020,2,FALSE)</f>
        <v>DLC_BASE_GAME</v>
      </c>
      <c r="L37" s="102" t="str">
        <f>VLOOKUP(J37,'&lt;Constants&gt;'!$A$4:$C$1020,3,FALSE)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102" t="str">
        <f>VLOOKUP(J38,'&lt;Constants&gt;'!$A$4:$B$1020,2,FALSE)</f>
        <v>DLC_BASE_GAME</v>
      </c>
      <c r="L38" s="102" t="str">
        <f>VLOOKUP(J38,'&lt;Constants&gt;'!$A$4:$C$1020,3,FALSE)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102" t="str">
        <f>VLOOKUP(J39,'&lt;Constants&gt;'!$A$4:$B$1020,2,FALSE)</f>
        <v>DLC_BASE_GAME</v>
      </c>
      <c r="L39" s="102" t="str">
        <f>VLOOKUP(J39,'&lt;Constants&gt;'!$A$4:$C$1020,3,FALSE)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102" t="str">
        <f>VLOOKUP(J40,'&lt;Constants&gt;'!$A$4:$B$1020,2,FALSE)</f>
        <v>DLC_BASE_GAME</v>
      </c>
      <c r="L40" s="102" t="str">
        <f>VLOOKUP(J40,'&lt;Constants&gt;'!$A$4:$C$1020,3,FALSE)</f>
        <v>Included in base game</v>
      </c>
    </row>
    <row r="41" spans="1:12" x14ac:dyDescent="0.25">
      <c r="A41">
        <v>174</v>
      </c>
      <c r="B41">
        <v>36</v>
      </c>
      <c r="C41">
        <v>174</v>
      </c>
      <c r="D41" t="s">
        <v>3852</v>
      </c>
      <c r="E41" t="str">
        <f>IF(NOT(ISERROR(VLOOKUP(D41,'ESO DungeonFinder'!$A$2:$A$999,1,FALSE))),"X","")</f>
        <v/>
      </c>
      <c r="F41" s="102" t="str">
        <f t="shared" si="3"/>
        <v>X</v>
      </c>
      <c r="G41" s="102" t="str">
        <f t="shared" si="4"/>
        <v/>
      </c>
      <c r="H41" s="103">
        <f t="shared" si="5"/>
        <v>174</v>
      </c>
      <c r="I41" s="103">
        <f t="shared" si="6"/>
        <v>174</v>
      </c>
      <c r="J41">
        <v>0</v>
      </c>
      <c r="K41" s="102" t="str">
        <f>VLOOKUP(J41,'&lt;Constants&gt;'!$A$4:$B$1020,2,FALSE)</f>
        <v>DLC_BASE_GAME</v>
      </c>
      <c r="L41" s="102" t="str">
        <f>VLOOKUP(J41,'&lt;Constants&gt;'!$A$4:$C$1020,3,FALSE)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102" t="str">
        <f>VLOOKUP(J42,'&lt;Constants&gt;'!$A$4:$B$1020,2,FALSE)</f>
        <v>DLC_BASE_GAME</v>
      </c>
      <c r="L42" s="102" t="str">
        <f>VLOOKUP(J42,'&lt;Constants&gt;'!$A$4:$C$1020,3,FALSE)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102" t="str">
        <f>VLOOKUP(J43,'&lt;Constants&gt;'!$A$4:$B$1020,2,FALSE)</f>
        <v>DLC_BASE_GAME</v>
      </c>
      <c r="L43" s="102" t="str">
        <f>VLOOKUP(J43,'&lt;Constants&gt;'!$A$4:$C$1020,3,FALSE)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102" t="str">
        <f>VLOOKUP(J44,'&lt;Constants&gt;'!$A$4:$B$1020,2,FALSE)</f>
        <v>DLC_BASE_GAME</v>
      </c>
      <c r="L44" s="102" t="str">
        <f>VLOOKUP(J44,'&lt;Constants&gt;'!$A$4:$C$1020,3,FALSE)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102" t="str">
        <f>VLOOKUP(J45,'&lt;Constants&gt;'!$A$4:$B$1020,2,FALSE)</f>
        <v>DLC_BASE_GAME</v>
      </c>
      <c r="L45" s="102" t="str">
        <f>VLOOKUP(J45,'&lt;Constants&gt;'!$A$4:$C$1020,3,FALSE)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102" t="str">
        <f>VLOOKUP(J46,'&lt;Constants&gt;'!$A$4:$B$1020,2,FALSE)</f>
        <v>DLC_BASE_GAME</v>
      </c>
      <c r="L46" s="102" t="str">
        <f>VLOOKUP(J46,'&lt;Constants&gt;'!$A$4:$C$1020,3,FALSE)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102" t="str">
        <f>VLOOKUP(J47,'&lt;Constants&gt;'!$A$4:$B$1020,2,FALSE)</f>
        <v>DLC_BASE_GAME</v>
      </c>
      <c r="L47" s="102" t="str">
        <f>VLOOKUP(J47,'&lt;Constants&gt;'!$A$4:$C$1020,3,FALSE)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102" t="str">
        <f>VLOOKUP(J48,'&lt;Constants&gt;'!$A$4:$B$1020,2,FALSE)</f>
        <v>DLC_BASE_GAME</v>
      </c>
      <c r="L48" s="102" t="str">
        <f>VLOOKUP(J48,'&lt;Constants&gt;'!$A$4:$C$1020,3,FALSE)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102" t="str">
        <f>VLOOKUP(J49,'&lt;Constants&gt;'!$A$4:$B$1020,2,FALSE)</f>
        <v>DLC_BASE_GAME</v>
      </c>
      <c r="L49" s="102" t="str">
        <f>VLOOKUP(J49,'&lt;Constants&gt;'!$A$4:$C$1020,3,FALSE)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102" t="str">
        <f>VLOOKUP(J50,'&lt;Constants&gt;'!$A$4:$B$1020,2,FALSE)</f>
        <v>DLC_BASE_GAME</v>
      </c>
      <c r="L50" s="102" t="str">
        <f>VLOOKUP(J50,'&lt;Constants&gt;'!$A$4:$C$1020,3,FALSE)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102" t="str">
        <f>VLOOKUP(J51,'&lt;Constants&gt;'!$A$4:$B$1020,2,FALSE)</f>
        <v>DLC_BASE_GAME</v>
      </c>
      <c r="L51" s="102" t="str">
        <f>VLOOKUP(J51,'&lt;Constants&gt;'!$A$4:$C$1020,3,FALSE)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102" t="str">
        <f>VLOOKUP(J52,'&lt;Constants&gt;'!$A$4:$B$1020,2,FALSE)</f>
        <v>DLC_BASE_GAME</v>
      </c>
      <c r="L52" s="102" t="str">
        <f>VLOOKUP(J52,'&lt;Constants&gt;'!$A$4:$C$1020,3,FALSE)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102" t="str">
        <f>VLOOKUP(J53,'&lt;Constants&gt;'!$A$4:$B$1020,2,FALSE)</f>
        <v>DLC_BASE_GAME</v>
      </c>
      <c r="L53" s="102" t="str">
        <f>VLOOKUP(J53,'&lt;Constants&gt;'!$A$4:$C$1020,3,FALSE)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102" t="str">
        <f>VLOOKUP(J54,'&lt;Constants&gt;'!$A$4:$B$1020,2,FALSE)</f>
        <v>DLC_BASE_GAME</v>
      </c>
      <c r="L54" s="102" t="str">
        <f>VLOOKUP(J54,'&lt;Constants&gt;'!$A$4:$C$1020,3,FALSE)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102" t="str">
        <f>VLOOKUP(J55,'&lt;Constants&gt;'!$A$4:$B$1020,2,FALSE)</f>
        <v>DLC_BASE_GAME</v>
      </c>
      <c r="L55" s="102" t="str">
        <f>VLOOKUP(J55,'&lt;Constants&gt;'!$A$4:$C$1020,3,FALSE)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102" t="str">
        <f>VLOOKUP(J56,'&lt;Constants&gt;'!$A$4:$B$1020,2,FALSE)</f>
        <v>DLC_BASE_GAME</v>
      </c>
      <c r="L56" s="102" t="str">
        <f>VLOOKUP(J56,'&lt;Constants&gt;'!$A$4:$C$1020,3,FALSE)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102" t="str">
        <f>VLOOKUP(J57,'&lt;Constants&gt;'!$A$4:$B$1020,2,FALSE)</f>
        <v>DLC_BASE_GAME</v>
      </c>
      <c r="L57" s="102" t="str">
        <f>VLOOKUP(J57,'&lt;Constants&gt;'!$A$4:$C$1020,3,FALSE)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102" t="str">
        <f>VLOOKUP(J58,'&lt;Constants&gt;'!$A$4:$B$1020,2,FALSE)</f>
        <v>DLC_BASE_GAME</v>
      </c>
      <c r="L58" s="102" t="str">
        <f>VLOOKUP(J58,'&lt;Constants&gt;'!$A$4:$C$1020,3,FALSE)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102" t="str">
        <f>VLOOKUP(J59,'&lt;Constants&gt;'!$A$4:$B$1020,2,FALSE)</f>
        <v>DLC_BASE_GAME</v>
      </c>
      <c r="L59" s="102" t="str">
        <f>VLOOKUP(J59,'&lt;Constants&gt;'!$A$4:$C$1020,3,FALSE)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102" t="str">
        <f>VLOOKUP(J60,'&lt;Constants&gt;'!$A$4:$B$1020,2,FALSE)</f>
        <v>DLC_BASE_GAME</v>
      </c>
      <c r="L60" s="102" t="str">
        <f>VLOOKUP(J60,'&lt;Constants&gt;'!$A$4:$C$1020,3,FALSE)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102" t="str">
        <f>VLOOKUP(J61,'&lt;Constants&gt;'!$A$4:$B$1020,2,FALSE)</f>
        <v>DLC_BASE_GAME</v>
      </c>
      <c r="L61" s="102" t="str">
        <f>VLOOKUP(J61,'&lt;Constants&gt;'!$A$4:$C$1020,3,FALSE)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102" t="str">
        <f>VLOOKUP(J62,'&lt;Constants&gt;'!$A$4:$B$1020,2,FALSE)</f>
        <v>DLC_BASE_GAME</v>
      </c>
      <c r="L62" s="102" t="str">
        <f>VLOOKUP(J62,'&lt;Constants&gt;'!$A$4:$C$1020,3,FALSE)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102" t="str">
        <f>VLOOKUP(J63,'&lt;Constants&gt;'!$A$4:$B$1020,2,FALSE)</f>
        <v>DLC_BASE_GAME</v>
      </c>
      <c r="L63" s="102" t="str">
        <f>VLOOKUP(J63,'&lt;Constants&gt;'!$A$4:$C$1020,3,FALSE)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102" t="str">
        <f>VLOOKUP(J64,'&lt;Constants&gt;'!$A$4:$B$1020,2,FALSE)</f>
        <v>DLC_BASE_GAME</v>
      </c>
      <c r="L64" s="102" t="str">
        <f>VLOOKUP(J64,'&lt;Constants&gt;'!$A$4:$C$1020,3,FALSE)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102" t="str">
        <f>VLOOKUP(J65,'&lt;Constants&gt;'!$A$4:$B$1020,2,FALSE)</f>
        <v>DLC_BASE_GAME</v>
      </c>
      <c r="L65" s="102" t="str">
        <f>VLOOKUP(J65,'&lt;Constants&gt;'!$A$4:$C$1020,3,FALSE)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102" t="str">
        <f>VLOOKUP(J66,'&lt;Constants&gt;'!$A$4:$B$1020,2,FALSE)</f>
        <v>DLC_BASE_GAME</v>
      </c>
      <c r="L66" s="102" t="str">
        <f>VLOOKUP(J66,'&lt;Constants&gt;'!$A$4:$C$1020,3,FALSE)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102" t="str">
        <f>VLOOKUP(J67,'&lt;Constants&gt;'!$A$4:$B$1020,2,FALSE)</f>
        <v>DLC_BASE_GAME</v>
      </c>
      <c r="L67" s="102" t="str">
        <f>VLOOKUP(J67,'&lt;Constants&gt;'!$A$4:$C$1020,3,FALSE)</f>
        <v>Included in base game</v>
      </c>
    </row>
    <row r="68" spans="1:12" x14ac:dyDescent="0.25">
      <c r="A68">
        <v>227</v>
      </c>
      <c r="B68">
        <v>63</v>
      </c>
      <c r="C68">
        <v>92</v>
      </c>
      <c r="D68" t="s">
        <v>3853</v>
      </c>
      <c r="E68" t="str">
        <f>IF(NOT(ISERROR(VLOOKUP(D68,'ESO DungeonFinder'!$A$2:$A$999,1,FALSE))),"X","")</f>
        <v/>
      </c>
      <c r="F68" s="102" t="str">
        <f t="shared" si="3"/>
        <v/>
      </c>
      <c r="G68" s="102" t="str">
        <f t="shared" si="4"/>
        <v>Bangkorai</v>
      </c>
      <c r="H68" s="103">
        <f t="shared" si="5"/>
        <v>227</v>
      </c>
      <c r="I68" s="103">
        <f t="shared" si="6"/>
        <v>92</v>
      </c>
      <c r="J68">
        <v>0</v>
      </c>
      <c r="K68" s="102" t="str">
        <f>VLOOKUP(J68,'&lt;Constants&gt;'!$A$4:$B$1020,2,FALSE)</f>
        <v>DLC_BASE_GAME</v>
      </c>
      <c r="L68" s="102" t="str">
        <f>VLOOKUP(J68,'&lt;Constants&gt;'!$A$4:$C$1020,3,FALSE)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102" t="str">
        <f>VLOOKUP(J69,'&lt;Constants&gt;'!$A$4:$B$1020,2,FALSE)</f>
        <v>DLC_BASE_GAME</v>
      </c>
      <c r="L69" s="102" t="str">
        <f>VLOOKUP(J69,'&lt;Constants&gt;'!$A$4:$C$1020,3,FALSE)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102" t="str">
        <f>VLOOKUP(J70,'&lt;Constants&gt;'!$A$4:$B$1020,2,FALSE)</f>
        <v>DLC_BASE_GAME</v>
      </c>
      <c r="L70" s="102" t="str">
        <f>VLOOKUP(J70,'&lt;Constants&gt;'!$A$4:$C$1020,3,FALSE)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102" t="str">
        <f>VLOOKUP(J71,'&lt;Constants&gt;'!$A$4:$B$1020,2,FALSE)</f>
        <v>DLC_BASE_GAME</v>
      </c>
      <c r="L71" s="102" t="str">
        <f>VLOOKUP(J71,'&lt;Constants&gt;'!$A$4:$C$1020,3,FALSE)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102" t="str">
        <f>VLOOKUP(J72,'&lt;Constants&gt;'!$A$4:$B$1020,2,FALSE)</f>
        <v>DLC_BASE_GAME</v>
      </c>
      <c r="L72" s="102" t="str">
        <f>VLOOKUP(J72,'&lt;Constants&gt;'!$A$4:$C$1020,3,FALSE)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102" t="str">
        <f>VLOOKUP(J73,'&lt;Constants&gt;'!$A$4:$B$1020,2,FALSE)</f>
        <v>DLC_BASE_GAME</v>
      </c>
      <c r="L73" s="102" t="str">
        <f>VLOOKUP(J73,'&lt;Constants&gt;'!$A$4:$C$1020,3,FALSE)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102" t="str">
        <f>VLOOKUP(J74,'&lt;Constants&gt;'!$A$4:$B$1020,2,FALSE)</f>
        <v>DLC_BASE_GAME</v>
      </c>
      <c r="L74" s="102" t="str">
        <f>VLOOKUP(J74,'&lt;Constants&gt;'!$A$4:$C$1020,3,FALSE)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102" t="str">
        <f>VLOOKUP(J75,'&lt;Constants&gt;'!$A$4:$B$1020,2,FALSE)</f>
        <v>DLC_BASE_GAME</v>
      </c>
      <c r="L75" s="102" t="str">
        <f>VLOOKUP(J75,'&lt;Constants&gt;'!$A$4:$C$1020,3,FALSE)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102" t="str">
        <f>VLOOKUP(J76,'&lt;Constants&gt;'!$A$4:$B$1020,2,FALSE)</f>
        <v>DLC_BASE_GAME</v>
      </c>
      <c r="L76" s="102" t="str">
        <f>VLOOKUP(J76,'&lt;Constants&gt;'!$A$4:$C$1020,3,FALSE)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102" t="str">
        <f>VLOOKUP(J77,'&lt;Constants&gt;'!$A$4:$B$1020,2,FALSE)</f>
        <v>DLC_BASE_GAME</v>
      </c>
      <c r="L77" s="102" t="str">
        <f>VLOOKUP(J77,'&lt;Constants&gt;'!$A$4:$C$1020,3,FALSE)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102" t="str">
        <f>VLOOKUP(J78,'&lt;Constants&gt;'!$A$4:$B$1020,2,FALSE)</f>
        <v>DLC_BASE_GAME</v>
      </c>
      <c r="L78" s="102" t="str">
        <f>VLOOKUP(J78,'&lt;Constants&gt;'!$A$4:$C$1020,3,FALSE)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102" t="str">
        <f>VLOOKUP(J79,'&lt;Constants&gt;'!$A$4:$B$1020,2,FALSE)</f>
        <v>DLC_BASE_GAME</v>
      </c>
      <c r="L79" s="102" t="str">
        <f>VLOOKUP(J79,'&lt;Constants&gt;'!$A$4:$C$1020,3,FALSE)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102" t="str">
        <f>VLOOKUP(J80,'&lt;Constants&gt;'!$A$4:$B$1020,2,FALSE)</f>
        <v>DLC_BASE_GAME</v>
      </c>
      <c r="L80" s="102" t="str">
        <f>VLOOKUP(J80,'&lt;Constants&gt;'!$A$4:$C$1020,3,FALSE)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102" t="str">
        <f>VLOOKUP(J81,'&lt;Constants&gt;'!$A$4:$B$1020,2,FALSE)</f>
        <v>DLC_BASE_GAME</v>
      </c>
      <c r="L81" s="102" t="str">
        <f>VLOOKUP(J81,'&lt;Constants&gt;'!$A$4:$C$1020,3,FALSE)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102" t="str">
        <f>VLOOKUP(J82,'&lt;Constants&gt;'!$A$4:$B$1020,2,FALSE)</f>
        <v>DLC_BASE_GAME</v>
      </c>
      <c r="L82" s="102" t="str">
        <f>VLOOKUP(J82,'&lt;Constants&gt;'!$A$4:$C$1020,3,FALSE)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102" t="str">
        <f>VLOOKUP(J83,'&lt;Constants&gt;'!$A$4:$B$1020,2,FALSE)</f>
        <v>DLC_BASE_GAME</v>
      </c>
      <c r="L83" s="102" t="str">
        <f>VLOOKUP(J83,'&lt;Constants&gt;'!$A$4:$C$1020,3,FALSE)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102" t="str">
        <f>VLOOKUP(J84,'&lt;Constants&gt;'!$A$4:$B$1020,2,FALSE)</f>
        <v>DLC_BASE_GAME</v>
      </c>
      <c r="L84" s="102" t="str">
        <f>VLOOKUP(J84,'&lt;Constants&gt;'!$A$4:$C$1020,3,FALSE)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102" t="str">
        <f>VLOOKUP(J85,'&lt;Constants&gt;'!$A$4:$B$1020,2,FALSE)</f>
        <v>DLC_BASE_GAME</v>
      </c>
      <c r="L85" s="102" t="str">
        <f>VLOOKUP(J85,'&lt;Constants&gt;'!$A$4:$C$1020,3,FALSE)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102" t="str">
        <f>VLOOKUP(J86,'&lt;Constants&gt;'!$A$4:$B$1020,2,FALSE)</f>
        <v>DLC_BASE_GAME</v>
      </c>
      <c r="L86" s="102" t="str">
        <f>VLOOKUP(J86,'&lt;Constants&gt;'!$A$4:$C$1020,3,FALSE)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102" t="str">
        <f>VLOOKUP(J87,'&lt;Constants&gt;'!$A$4:$B$1020,2,FALSE)</f>
        <v>DLC_BASE_GAME</v>
      </c>
      <c r="L87" s="102" t="str">
        <f>VLOOKUP(J87,'&lt;Constants&gt;'!$A$4:$C$1020,3,FALSE)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102" t="str">
        <f>VLOOKUP(J88,'&lt;Constants&gt;'!$A$4:$B$1020,2,FALSE)</f>
        <v>DLC_BASE_GAME</v>
      </c>
      <c r="L88" s="102" t="str">
        <f>VLOOKUP(J88,'&lt;Constants&gt;'!$A$4:$C$1020,3,FALSE)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102" t="str">
        <f>VLOOKUP(J89,'&lt;Constants&gt;'!$A$4:$B$1020,2,FALSE)</f>
        <v>DLC_BASE_GAME</v>
      </c>
      <c r="L89" s="102" t="str">
        <f>VLOOKUP(J89,'&lt;Constants&gt;'!$A$4:$C$1020,3,FALSE)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102" t="str">
        <f>VLOOKUP(J90,'&lt;Constants&gt;'!$A$4:$B$1020,2,FALSE)</f>
        <v>DLC_BASE_GAME</v>
      </c>
      <c r="L90" s="102" t="str">
        <f>VLOOKUP(J90,'&lt;Constants&gt;'!$A$4:$C$1020,3,FALSE)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102" t="str">
        <f>VLOOKUP(J91,'&lt;Constants&gt;'!$A$4:$B$1020,2,FALSE)</f>
        <v>DLC_BASE_GAME</v>
      </c>
      <c r="L91" s="102" t="str">
        <f>VLOOKUP(J91,'&lt;Constants&gt;'!$A$4:$C$1020,3,FALSE)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102" t="str">
        <f>VLOOKUP(J92,'&lt;Constants&gt;'!$A$4:$B$1020,2,FALSE)</f>
        <v>DLC_BASE_GAME</v>
      </c>
      <c r="L92" s="102" t="str">
        <f>VLOOKUP(J92,'&lt;Constants&gt;'!$A$4:$C$1020,3,FALSE)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102" t="str">
        <f>VLOOKUP(J93,'&lt;Constants&gt;'!$A$4:$B$1020,2,FALSE)</f>
        <v>DLC_BASE_GAME</v>
      </c>
      <c r="L93" s="102" t="str">
        <f>VLOOKUP(J93,'&lt;Constants&gt;'!$A$4:$C$1020,3,FALSE)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102" t="str">
        <f>VLOOKUP(J94,'&lt;Constants&gt;'!$A$4:$B$1020,2,FALSE)</f>
        <v>DLC_BASE_GAME</v>
      </c>
      <c r="L94" s="102" t="str">
        <f>VLOOKUP(J94,'&lt;Constants&gt;'!$A$4:$C$1020,3,FALSE)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102" t="str">
        <f>VLOOKUP(J95,'&lt;Constants&gt;'!$A$4:$B$1020,2,FALSE)</f>
        <v>DLC_BASE_GAME</v>
      </c>
      <c r="L95" s="102" t="str">
        <f>VLOOKUP(J95,'&lt;Constants&gt;'!$A$4:$C$1020,3,FALSE)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102" t="str">
        <f>VLOOKUP(J96,'&lt;Constants&gt;'!$A$4:$B$1020,2,FALSE)</f>
        <v>DLC_BASE_GAME</v>
      </c>
      <c r="L96" s="102" t="str">
        <f>VLOOKUP(J96,'&lt;Constants&gt;'!$A$4:$C$1020,3,FALSE)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102" t="str">
        <f>VLOOKUP(J97,'&lt;Constants&gt;'!$A$4:$B$1020,2,FALSE)</f>
        <v>DLC_BASE_GAME</v>
      </c>
      <c r="L97" s="102" t="str">
        <f>VLOOKUP(J97,'&lt;Constants&gt;'!$A$4:$C$1020,3,FALSE)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102" t="str">
        <f>VLOOKUP(J98,'&lt;Constants&gt;'!$A$4:$B$1020,2,FALSE)</f>
        <v>DLC_BASE_GAME</v>
      </c>
      <c r="L98" s="102" t="str">
        <f>VLOOKUP(J98,'&lt;Constants&gt;'!$A$4:$C$1020,3,FALSE)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102" t="str">
        <f>VLOOKUP(J99,'&lt;Constants&gt;'!$A$4:$B$1020,2,FALSE)</f>
        <v>DLC_BASE_GAME</v>
      </c>
      <c r="L99" s="102" t="str">
        <f>VLOOKUP(J99,'&lt;Constants&gt;'!$A$4:$C$1020,3,FALSE)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102" t="str">
        <f>VLOOKUP(J100,'&lt;Constants&gt;'!$A$4:$B$1020,2,FALSE)</f>
        <v>DLC_BASE_GAME</v>
      </c>
      <c r="L100" s="102" t="str">
        <f>VLOOKUP(J100,'&lt;Constants&gt;'!$A$4:$C$1020,3,FALSE)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102" t="str">
        <f>VLOOKUP(J101,'&lt;Constants&gt;'!$A$4:$B$1020,2,FALSE)</f>
        <v>DLC_BASE_GAME</v>
      </c>
      <c r="L101" s="102" t="str">
        <f>VLOOKUP(J101,'&lt;Constants&gt;'!$A$4:$C$1020,3,FALSE)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102" t="str">
        <f>VLOOKUP(J102,'&lt;Constants&gt;'!$A$4:$B$1020,2,FALSE)</f>
        <v>DLC_BASE_GAME</v>
      </c>
      <c r="L102" s="102" t="str">
        <f>VLOOKUP(J102,'&lt;Constants&gt;'!$A$4:$C$1020,3,FALSE)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102" t="str">
        <f>VLOOKUP(J103,'&lt;Constants&gt;'!$A$4:$B$1020,2,FALSE)</f>
        <v>DLC_BASE_GAME</v>
      </c>
      <c r="L103" s="102" t="str">
        <f>VLOOKUP(J103,'&lt;Constants&gt;'!$A$4:$C$1020,3,FALSE)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102" t="str">
        <f>VLOOKUP(J104,'&lt;Constants&gt;'!$A$4:$B$1020,2,FALSE)</f>
        <v>DLC_BASE_GAME</v>
      </c>
      <c r="L104" s="102" t="str">
        <f>VLOOKUP(J104,'&lt;Constants&gt;'!$A$4:$C$1020,3,FALSE)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102" t="str">
        <f>VLOOKUP(J105,'&lt;Constants&gt;'!$A$4:$B$1020,2,FALSE)</f>
        <v>DLC_BASE_GAME</v>
      </c>
      <c r="L105" s="102" t="str">
        <f>VLOOKUP(J105,'&lt;Constants&gt;'!$A$4:$C$1020,3,FALSE)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102" t="str">
        <f>VLOOKUP(J106,'&lt;Constants&gt;'!$A$4:$B$1020,2,FALSE)</f>
        <v>DLC_BASE_GAME</v>
      </c>
      <c r="L106" s="102" t="str">
        <f>VLOOKUP(J106,'&lt;Constants&gt;'!$A$4:$C$1020,3,FALSE)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102" t="str">
        <f>VLOOKUP(J107,'&lt;Constants&gt;'!$A$4:$B$1020,2,FALSE)</f>
        <v>DLC_BASE_GAME</v>
      </c>
      <c r="L107" s="102" t="str">
        <f>VLOOKUP(J107,'&lt;Constants&gt;'!$A$4:$C$1020,3,FALSE)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102" t="str">
        <f>VLOOKUP(J108,'&lt;Constants&gt;'!$A$4:$B$1020,2,FALSE)</f>
        <v>DLC_BASE_GAME</v>
      </c>
      <c r="L108" s="102" t="str">
        <f>VLOOKUP(J108,'&lt;Constants&gt;'!$A$4:$C$1020,3,FALSE)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102" t="str">
        <f>VLOOKUP(J109,'&lt;Constants&gt;'!$A$4:$B$1020,2,FALSE)</f>
        <v>DLC_BASE_GAME</v>
      </c>
      <c r="L109" s="102" t="str">
        <f>VLOOKUP(J109,'&lt;Constants&gt;'!$A$4:$C$1020,3,FALSE)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102" t="str">
        <f>VLOOKUP(J110,'&lt;Constants&gt;'!$A$4:$B$1020,2,FALSE)</f>
        <v>DLC_BASE_GAME</v>
      </c>
      <c r="L110" s="102" t="str">
        <f>VLOOKUP(J110,'&lt;Constants&gt;'!$A$4:$C$1020,3,FALSE)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102" t="str">
        <f>VLOOKUP(J111,'&lt;Constants&gt;'!$A$4:$B$1020,2,FALSE)</f>
        <v>DLC_BASE_GAME</v>
      </c>
      <c r="L111" s="102" t="str">
        <f>VLOOKUP(J111,'&lt;Constants&gt;'!$A$4:$C$1020,3,FALSE)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102" t="str">
        <f>VLOOKUP(J112,'&lt;Constants&gt;'!$A$4:$B$1020,2,FALSE)</f>
        <v>DLC_BASE_GAME</v>
      </c>
      <c r="L112" s="102" t="str">
        <f>VLOOKUP(J112,'&lt;Constants&gt;'!$A$4:$C$1020,3,FALSE)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102" t="str">
        <f>VLOOKUP(J113,'&lt;Constants&gt;'!$A$4:$B$1020,2,FALSE)</f>
        <v>DLC_BASE_GAME</v>
      </c>
      <c r="L113" s="102" t="str">
        <f>VLOOKUP(J113,'&lt;Constants&gt;'!$A$4:$C$1020,3,FALSE)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102" t="str">
        <f>VLOOKUP(J114,'&lt;Constants&gt;'!$A$4:$B$1020,2,FALSE)</f>
        <v>DLC_BASE_GAME</v>
      </c>
      <c r="L114" s="102" t="str">
        <f>VLOOKUP(J114,'&lt;Constants&gt;'!$A$4:$C$1020,3,FALSE)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102" t="str">
        <f>VLOOKUP(J115,'&lt;Constants&gt;'!$A$4:$B$1020,2,FALSE)</f>
        <v>DLC_BASE_GAME</v>
      </c>
      <c r="L115" s="102" t="str">
        <f>VLOOKUP(J115,'&lt;Constants&gt;'!$A$4:$C$1020,3,FALSE)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102" t="str">
        <f>VLOOKUP(J116,'&lt;Constants&gt;'!$A$4:$B$1020,2,FALSE)</f>
        <v>DLC_BASE_GAME</v>
      </c>
      <c r="L116" s="102" t="str">
        <f>VLOOKUP(J116,'&lt;Constants&gt;'!$A$4:$C$1020,3,FALSE)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102" t="str">
        <f>VLOOKUP(J117,'&lt;Constants&gt;'!$A$4:$B$1020,2,FALSE)</f>
        <v>DLC_BASE_GAME</v>
      </c>
      <c r="L117" s="102" t="str">
        <f>VLOOKUP(J117,'&lt;Constants&gt;'!$A$4:$C$1020,3,FALSE)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102" t="str">
        <f>VLOOKUP(J118,'&lt;Constants&gt;'!$A$4:$B$1020,2,FALSE)</f>
        <v>DLC_BASE_GAME</v>
      </c>
      <c r="L118" s="102" t="str">
        <f>VLOOKUP(J118,'&lt;Constants&gt;'!$A$4:$C$1020,3,FALSE)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102" t="str">
        <f>VLOOKUP(J119,'&lt;Constants&gt;'!$A$4:$B$1020,2,FALSE)</f>
        <v>DLC_BASE_GAME</v>
      </c>
      <c r="L119" s="102" t="str">
        <f>VLOOKUP(J119,'&lt;Constants&gt;'!$A$4:$C$1020,3,FALSE)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102" t="str">
        <f>VLOOKUP(J120,'&lt;Constants&gt;'!$A$4:$B$1020,2,FALSE)</f>
        <v>DLC_BASE_GAME</v>
      </c>
      <c r="L120" s="102" t="str">
        <f>VLOOKUP(J120,'&lt;Constants&gt;'!$A$4:$C$1020,3,FALSE)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102" t="str">
        <f>VLOOKUP(J121,'&lt;Constants&gt;'!$A$4:$B$1020,2,FALSE)</f>
        <v>DLC_BASE_GAME</v>
      </c>
      <c r="L121" s="102" t="str">
        <f>VLOOKUP(J121,'&lt;Constants&gt;'!$A$4:$C$1020,3,FALSE)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102" t="str">
        <f>VLOOKUP(J122,'&lt;Constants&gt;'!$A$4:$B$1020,2,FALSE)</f>
        <v>DLC_BASE_GAME</v>
      </c>
      <c r="L122" s="102" t="str">
        <f>VLOOKUP(J122,'&lt;Constants&gt;'!$A$4:$C$1020,3,FALSE)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102" t="str">
        <f>VLOOKUP(J123,'&lt;Constants&gt;'!$A$4:$B$1020,2,FALSE)</f>
        <v>DLC_BASE_GAME</v>
      </c>
      <c r="L123" s="102" t="str">
        <f>VLOOKUP(J123,'&lt;Constants&gt;'!$A$4:$C$1020,3,FALSE)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102" t="str">
        <f>VLOOKUP(J124,'&lt;Constants&gt;'!$A$4:$B$1020,2,FALSE)</f>
        <v>DLC_BASE_GAME</v>
      </c>
      <c r="L124" s="102" t="str">
        <f>VLOOKUP(J124,'&lt;Constants&gt;'!$A$4:$C$1020,3,FALSE)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102" t="str">
        <f>VLOOKUP(J125,'&lt;Constants&gt;'!$A$4:$B$1020,2,FALSE)</f>
        <v>DLC_BASE_GAME</v>
      </c>
      <c r="L125" s="102" t="str">
        <f>VLOOKUP(J125,'&lt;Constants&gt;'!$A$4:$C$1020,3,FALSE)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102" t="str">
        <f>VLOOKUP(J126,'&lt;Constants&gt;'!$A$4:$B$1020,2,FALSE)</f>
        <v>DLC_BASE_GAME</v>
      </c>
      <c r="L126" s="102" t="str">
        <f>VLOOKUP(J126,'&lt;Constants&gt;'!$A$4:$C$1020,3,FALSE)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102" t="str">
        <f>VLOOKUP(J127,'&lt;Constants&gt;'!$A$4:$B$1020,2,FALSE)</f>
        <v>DLC_BASE_GAME</v>
      </c>
      <c r="L127" s="102" t="str">
        <f>VLOOKUP(J127,'&lt;Constants&gt;'!$A$4:$C$1020,3,FALSE)</f>
        <v>Included in base game</v>
      </c>
    </row>
    <row r="128" spans="1:12" x14ac:dyDescent="0.25">
      <c r="A128">
        <v>311</v>
      </c>
      <c r="B128">
        <v>123</v>
      </c>
      <c r="C128">
        <v>3</v>
      </c>
      <c r="D128" t="s">
        <v>3855</v>
      </c>
      <c r="E128" t="str">
        <f>IF(NOT(ISERROR(VLOOKUP(D128,'ESO DungeonFinder'!$A$2:$A$999,1,FALSE))),"X","")</f>
        <v/>
      </c>
      <c r="F128" s="102" t="str">
        <f t="shared" si="7"/>
        <v/>
      </c>
      <c r="G128" s="102" t="str">
        <f t="shared" si="8"/>
        <v>Glenumbra</v>
      </c>
      <c r="H128" s="103">
        <f t="shared" si="9"/>
        <v>311</v>
      </c>
      <c r="I128" s="103">
        <f t="shared" si="10"/>
        <v>3</v>
      </c>
      <c r="J128">
        <v>0</v>
      </c>
      <c r="K128" s="102" t="str">
        <f>VLOOKUP(J128,'&lt;Constants&gt;'!$A$4:$B$1020,2,FALSE)</f>
        <v>DLC_BASE_GAME</v>
      </c>
      <c r="L128" s="102" t="str">
        <f>VLOOKUP(J128,'&lt;Constants&gt;'!$A$4:$C$1020,3,FALSE)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102" t="str">
        <f>VLOOKUP(J129,'&lt;Constants&gt;'!$A$4:$B$1020,2,FALSE)</f>
        <v>DLC_BASE_GAME</v>
      </c>
      <c r="L129" s="102" t="str">
        <f>VLOOKUP(J129,'&lt;Constants&gt;'!$A$4:$C$1020,3,FALSE)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102" t="str">
        <f>VLOOKUP(J130,'&lt;Constants&gt;'!$A$4:$B$1020,2,FALSE)</f>
        <v>DLC_BASE_GAME</v>
      </c>
      <c r="L130" s="102" t="str">
        <f>VLOOKUP(J130,'&lt;Constants&gt;'!$A$4:$C$1020,3,FALSE)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102" t="str">
        <f>VLOOKUP(J131,'&lt;Constants&gt;'!$A$4:$B$1020,2,FALSE)</f>
        <v>DLC_BASE_GAME</v>
      </c>
      <c r="L131" s="102" t="str">
        <f>VLOOKUP(J131,'&lt;Constants&gt;'!$A$4:$C$1020,3,FALSE)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102" t="str">
        <f>VLOOKUP(J132,'&lt;Constants&gt;'!$A$4:$B$1020,2,FALSE)</f>
        <v>DLC_BASE_GAME</v>
      </c>
      <c r="L132" s="102" t="str">
        <f>VLOOKUP(J132,'&lt;Constants&gt;'!$A$4:$C$1020,3,FALSE)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102" t="str">
        <f>VLOOKUP(J133,'&lt;Constants&gt;'!$A$4:$B$1020,2,FALSE)</f>
        <v>DLC_BASE_GAME</v>
      </c>
      <c r="L133" s="102" t="str">
        <f>VLOOKUP(J133,'&lt;Constants&gt;'!$A$4:$C$1020,3,FALSE)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102" t="str">
        <f>VLOOKUP(J134,'&lt;Constants&gt;'!$A$4:$B$1020,2,FALSE)</f>
        <v>DLC_BASE_GAME</v>
      </c>
      <c r="L134" s="102" t="str">
        <f>VLOOKUP(J134,'&lt;Constants&gt;'!$A$4:$C$1020,3,FALSE)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102" t="str">
        <f>VLOOKUP(J135,'&lt;Constants&gt;'!$A$4:$B$1020,2,FALSE)</f>
        <v>DLC_BASE_GAME</v>
      </c>
      <c r="L135" s="102" t="str">
        <f>VLOOKUP(J135,'&lt;Constants&gt;'!$A$4:$C$1020,3,FALSE)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102" t="str">
        <f>VLOOKUP(J136,'&lt;Constants&gt;'!$A$4:$B$1020,2,FALSE)</f>
        <v>DLC_BASE_GAME</v>
      </c>
      <c r="L136" s="102" t="str">
        <f>VLOOKUP(J136,'&lt;Constants&gt;'!$A$4:$C$1020,3,FALSE)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102" t="str">
        <f>VLOOKUP(J137,'&lt;Constants&gt;'!$A$4:$B$1020,2,FALSE)</f>
        <v>DLC_BASE_GAME</v>
      </c>
      <c r="L137" s="102" t="str">
        <f>VLOOKUP(J137,'&lt;Constants&gt;'!$A$4:$C$1020,3,FALSE)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102" t="str">
        <f>VLOOKUP(J138,'&lt;Constants&gt;'!$A$4:$B$1020,2,FALSE)</f>
        <v>DLC_BASE_GAME</v>
      </c>
      <c r="L138" s="102" t="str">
        <f>VLOOKUP(J138,'&lt;Constants&gt;'!$A$4:$C$1020,3,FALSE)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102" t="str">
        <f>VLOOKUP(J139,'&lt;Constants&gt;'!$A$4:$B$1020,2,FALSE)</f>
        <v>DLC_BASE_GAME</v>
      </c>
      <c r="L139" s="102" t="str">
        <f>VLOOKUP(J139,'&lt;Constants&gt;'!$A$4:$C$1020,3,FALSE)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102" t="str">
        <f>VLOOKUP(J140,'&lt;Constants&gt;'!$A$4:$B$1020,2,FALSE)</f>
        <v>DLC_BASE_GAME</v>
      </c>
      <c r="L140" s="102" t="str">
        <f>VLOOKUP(J140,'&lt;Constants&gt;'!$A$4:$C$1020,3,FALSE)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102" t="str">
        <f>VLOOKUP(J141,'&lt;Constants&gt;'!$A$4:$B$1020,2,FALSE)</f>
        <v>DLC_BASE_GAME</v>
      </c>
      <c r="L141" s="102" t="str">
        <f>VLOOKUP(J141,'&lt;Constants&gt;'!$A$4:$C$1020,3,FALSE)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102" t="str">
        <f>VLOOKUP(J142,'&lt;Constants&gt;'!$A$4:$B$1020,2,FALSE)</f>
        <v>DLC_BASE_GAME</v>
      </c>
      <c r="L142" s="102" t="str">
        <f>VLOOKUP(J142,'&lt;Constants&gt;'!$A$4:$C$1020,3,FALSE)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102" t="str">
        <f>VLOOKUP(J143,'&lt;Constants&gt;'!$A$4:$B$1020,2,FALSE)</f>
        <v>DLC_BASE_GAME</v>
      </c>
      <c r="L143" s="102" t="str">
        <f>VLOOKUP(J143,'&lt;Constants&gt;'!$A$4:$C$1020,3,FALSE)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102" t="str">
        <f>VLOOKUP(J144,'&lt;Constants&gt;'!$A$4:$B$1020,2,FALSE)</f>
        <v>DLC_BASE_GAME</v>
      </c>
      <c r="L144" s="102" t="str">
        <f>VLOOKUP(J144,'&lt;Constants&gt;'!$A$4:$C$1020,3,FALSE)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102" t="str">
        <f>VLOOKUP(J145,'&lt;Constants&gt;'!$A$4:$B$1020,2,FALSE)</f>
        <v>DLC_BASE_GAME</v>
      </c>
      <c r="L145" s="102" t="str">
        <f>VLOOKUP(J145,'&lt;Constants&gt;'!$A$4:$C$1020,3,FALSE)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102" t="str">
        <f>VLOOKUP(J146,'&lt;Constants&gt;'!$A$4:$B$1020,2,FALSE)</f>
        <v>DLC_BASE_GAME</v>
      </c>
      <c r="L146" s="102" t="str">
        <f>VLOOKUP(J146,'&lt;Constants&gt;'!$A$4:$C$1020,3,FALSE)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102" t="str">
        <f>VLOOKUP(J147,'&lt;Constants&gt;'!$A$4:$B$1020,2,FALSE)</f>
        <v>DLC_BASE_GAME</v>
      </c>
      <c r="L147" s="102" t="str">
        <f>VLOOKUP(J147,'&lt;Constants&gt;'!$A$4:$C$1020,3,FALSE)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102" t="str">
        <f>VLOOKUP(J148,'&lt;Constants&gt;'!$A$4:$B$1020,2,FALSE)</f>
        <v>DLC_BASE_GAME</v>
      </c>
      <c r="L148" s="102" t="str">
        <f>VLOOKUP(J148,'&lt;Constants&gt;'!$A$4:$C$1020,3,FALSE)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102" t="str">
        <f>VLOOKUP(J149,'&lt;Constants&gt;'!$A$4:$B$1020,2,FALSE)</f>
        <v>DLC_BASE_GAME</v>
      </c>
      <c r="L149" s="102" t="str">
        <f>VLOOKUP(J149,'&lt;Constants&gt;'!$A$4:$C$1020,3,FALSE)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102" t="str">
        <f>VLOOKUP(J150,'&lt;Constants&gt;'!$A$4:$B$1020,2,FALSE)</f>
        <v>DLC_BASE_GAME</v>
      </c>
      <c r="L150" s="102" t="str">
        <f>VLOOKUP(J150,'&lt;Constants&gt;'!$A$4:$C$1020,3,FALSE)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102" t="str">
        <f>VLOOKUP(J151,'&lt;Constants&gt;'!$A$4:$B$1020,2,FALSE)</f>
        <v>DLC_BASE_GAME</v>
      </c>
      <c r="L151" s="102" t="str">
        <f>VLOOKUP(J151,'&lt;Constants&gt;'!$A$4:$C$1020,3,FALSE)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102" t="str">
        <f>VLOOKUP(J152,'&lt;Constants&gt;'!$A$4:$B$1020,2,FALSE)</f>
        <v>DLC_BASE_GAME</v>
      </c>
      <c r="L152" s="102" t="str">
        <f>VLOOKUP(J152,'&lt;Constants&gt;'!$A$4:$C$1020,3,FALSE)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102" t="str">
        <f>VLOOKUP(J153,'&lt;Constants&gt;'!$A$4:$B$1020,2,FALSE)</f>
        <v>DLC_BASE_GAME</v>
      </c>
      <c r="L153" s="102" t="str">
        <f>VLOOKUP(J153,'&lt;Constants&gt;'!$A$4:$C$1020,3,FALSE)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102" t="str">
        <f>VLOOKUP(J154,'&lt;Constants&gt;'!$A$4:$B$1020,2,FALSE)</f>
        <v>DLC_BASE_GAME</v>
      </c>
      <c r="L154" s="102" t="str">
        <f>VLOOKUP(J154,'&lt;Constants&gt;'!$A$4:$C$1020,3,FALSE)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102" t="str">
        <f>VLOOKUP(J155,'&lt;Constants&gt;'!$A$4:$B$1020,2,FALSE)</f>
        <v>DLC_BASE_GAME</v>
      </c>
      <c r="L155" s="102" t="str">
        <f>VLOOKUP(J155,'&lt;Constants&gt;'!$A$4:$C$1020,3,FALSE)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102" t="str">
        <f>VLOOKUP(J156,'&lt;Constants&gt;'!$A$4:$B$1020,2,FALSE)</f>
        <v>DLC_BASE_GAME</v>
      </c>
      <c r="L156" s="102" t="str">
        <f>VLOOKUP(J156,'&lt;Constants&gt;'!$A$4:$C$1020,3,FALSE)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102" t="str">
        <f>VLOOKUP(J157,'&lt;Constants&gt;'!$A$4:$B$1020,2,FALSE)</f>
        <v>DLC_BASE_GAME</v>
      </c>
      <c r="L157" s="102" t="str">
        <f>VLOOKUP(J157,'&lt;Constants&gt;'!$A$4:$C$1020,3,FALSE)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102" t="str">
        <f>VLOOKUP(J158,'&lt;Constants&gt;'!$A$4:$B$1020,2,FALSE)</f>
        <v>DLC_BASE_GAME</v>
      </c>
      <c r="L158" s="102" t="str">
        <f>VLOOKUP(J158,'&lt;Constants&gt;'!$A$4:$C$1020,3,FALSE)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102" t="str">
        <f>VLOOKUP(J159,'&lt;Constants&gt;'!$A$4:$B$1020,2,FALSE)</f>
        <v>DLC_BASE_GAME</v>
      </c>
      <c r="L159" s="102" t="str">
        <f>VLOOKUP(J159,'&lt;Constants&gt;'!$A$4:$C$1020,3,FALSE)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102" t="str">
        <f>VLOOKUP(J160,'&lt;Constants&gt;'!$A$4:$B$1020,2,FALSE)</f>
        <v>DLC_BASE_GAME</v>
      </c>
      <c r="L160" s="102" t="str">
        <f>VLOOKUP(J160,'&lt;Constants&gt;'!$A$4:$C$1020,3,FALSE)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102" t="str">
        <f>VLOOKUP(J161,'&lt;Constants&gt;'!$A$4:$B$1020,2,FALSE)</f>
        <v>DLC_BASE_GAME</v>
      </c>
      <c r="L161" s="102" t="str">
        <f>VLOOKUP(J161,'&lt;Constants&gt;'!$A$4:$C$1020,3,FALSE)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102" t="str">
        <f>VLOOKUP(J162,'&lt;Constants&gt;'!$A$4:$B$1020,2,FALSE)</f>
        <v>DLC_BASE_GAME</v>
      </c>
      <c r="L162" s="102" t="str">
        <f>VLOOKUP(J162,'&lt;Constants&gt;'!$A$4:$C$1020,3,FALSE)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102" t="str">
        <f>VLOOKUP(J163,'&lt;Constants&gt;'!$A$4:$B$1020,2,FALSE)</f>
        <v>DLC_BASE_GAME</v>
      </c>
      <c r="L163" s="102" t="str">
        <f>VLOOKUP(J163,'&lt;Constants&gt;'!$A$4:$C$1020,3,FALSE)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102" t="str">
        <f>VLOOKUP(J164,'&lt;Constants&gt;'!$A$4:$B$1020,2,FALSE)</f>
        <v>DLC_BASE_GAME</v>
      </c>
      <c r="L164" s="102" t="str">
        <f>VLOOKUP(J164,'&lt;Constants&gt;'!$A$4:$C$1020,3,FALSE)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102" t="str">
        <f>VLOOKUP(J165,'&lt;Constants&gt;'!$A$4:$B$1020,2,FALSE)</f>
        <v>DLC_BASE_GAME</v>
      </c>
      <c r="L165" s="102" t="str">
        <f>VLOOKUP(J165,'&lt;Constants&gt;'!$A$4:$C$1020,3,FALSE)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102" t="str">
        <f>VLOOKUP(J166,'&lt;Constants&gt;'!$A$4:$B$1020,2,FALSE)</f>
        <v>DLC_BASE_GAME</v>
      </c>
      <c r="L166" s="102" t="str">
        <f>VLOOKUP(J166,'&lt;Constants&gt;'!$A$4:$C$1020,3,FALSE)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102" t="str">
        <f>VLOOKUP(J167,'&lt;Constants&gt;'!$A$4:$B$1020,2,FALSE)</f>
        <v>DLC_BASE_GAME</v>
      </c>
      <c r="L167" s="102" t="str">
        <f>VLOOKUP(J167,'&lt;Constants&gt;'!$A$4:$C$1020,3,FALSE)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102" t="str">
        <f>VLOOKUP(J168,'&lt;Constants&gt;'!$A$4:$B$1020,2,FALSE)</f>
        <v>DLC_BASE_GAME</v>
      </c>
      <c r="L168" s="102" t="str">
        <f>VLOOKUP(J168,'&lt;Constants&gt;'!$A$4:$C$1020,3,FALSE)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102" t="str">
        <f>VLOOKUP(J169,'&lt;Constants&gt;'!$A$4:$B$1020,2,FALSE)</f>
        <v>DLC_BASE_GAME</v>
      </c>
      <c r="L169" s="102" t="str">
        <f>VLOOKUP(J169,'&lt;Constants&gt;'!$A$4:$C$1020,3,FALSE)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102" t="str">
        <f>VLOOKUP(J170,'&lt;Constants&gt;'!$A$4:$B$1020,2,FALSE)</f>
        <v>DLC_BASE_GAME</v>
      </c>
      <c r="L170" s="102" t="str">
        <f>VLOOKUP(J170,'&lt;Constants&gt;'!$A$4:$C$1020,3,FALSE)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102" t="str">
        <f>VLOOKUP(J171,'&lt;Constants&gt;'!$A$4:$B$1020,2,FALSE)</f>
        <v>DLC_BASE_GAME</v>
      </c>
      <c r="L171" s="102" t="str">
        <f>VLOOKUP(J171,'&lt;Constants&gt;'!$A$4:$C$1020,3,FALSE)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102" t="str">
        <f>VLOOKUP(J172,'&lt;Constants&gt;'!$A$4:$B$1020,2,FALSE)</f>
        <v>DLC_BASE_GAME</v>
      </c>
      <c r="L172" s="102" t="str">
        <f>VLOOKUP(J172,'&lt;Constants&gt;'!$A$4:$C$1020,3,FALSE)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102" t="str">
        <f>VLOOKUP(J173,'&lt;Constants&gt;'!$A$4:$B$1020,2,FALSE)</f>
        <v>DLC_BASE_GAME</v>
      </c>
      <c r="L173" s="102" t="str">
        <f>VLOOKUP(J173,'&lt;Constants&gt;'!$A$4:$C$1020,3,FALSE)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102" t="str">
        <f>VLOOKUP(J174,'&lt;Constants&gt;'!$A$4:$B$1020,2,FALSE)</f>
        <v>DLC_BASE_GAME</v>
      </c>
      <c r="L174" s="102" t="str">
        <f>VLOOKUP(J174,'&lt;Constants&gt;'!$A$4:$C$1020,3,FALSE)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102" t="str">
        <f>VLOOKUP(J175,'&lt;Constants&gt;'!$A$4:$B$1020,2,FALSE)</f>
        <v>DLC_BASE_GAME</v>
      </c>
      <c r="L175" s="102" t="str">
        <f>VLOOKUP(J175,'&lt;Constants&gt;'!$A$4:$C$1020,3,FALSE)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102" t="str">
        <f>VLOOKUP(J176,'&lt;Constants&gt;'!$A$4:$B$1020,2,FALSE)</f>
        <v>DLC_BASE_GAME</v>
      </c>
      <c r="L176" s="102" t="str">
        <f>VLOOKUP(J176,'&lt;Constants&gt;'!$A$4:$C$1020,3,FALSE)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102" t="str">
        <f>VLOOKUP(J177,'&lt;Constants&gt;'!$A$4:$B$1020,2,FALSE)</f>
        <v>DLC_BASE_GAME</v>
      </c>
      <c r="L177" s="102" t="str">
        <f>VLOOKUP(J177,'&lt;Constants&gt;'!$A$4:$C$1020,3,FALSE)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102" t="str">
        <f>VLOOKUP(J178,'&lt;Constants&gt;'!$A$4:$B$1020,2,FALSE)</f>
        <v>DLC_BASE_GAME</v>
      </c>
      <c r="L178" s="102" t="str">
        <f>VLOOKUP(J178,'&lt;Constants&gt;'!$A$4:$C$1020,3,FALSE)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102" t="str">
        <f>VLOOKUP(J179,'&lt;Constants&gt;'!$A$4:$B$1020,2,FALSE)</f>
        <v>DLC_BASE_GAME</v>
      </c>
      <c r="L179" s="102" t="str">
        <f>VLOOKUP(J179,'&lt;Constants&gt;'!$A$4:$C$1020,3,FALSE)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102" t="str">
        <f>VLOOKUP(J180,'&lt;Constants&gt;'!$A$4:$B$1020,2,FALSE)</f>
        <v>DLC_BASE_GAME</v>
      </c>
      <c r="L180" s="102" t="str">
        <f>VLOOKUP(J180,'&lt;Constants&gt;'!$A$4:$C$1020,3,FALSE)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102" t="str">
        <f>VLOOKUP(J181,'&lt;Constants&gt;'!$A$4:$B$1020,2,FALSE)</f>
        <v>DLC_BASE_GAME</v>
      </c>
      <c r="L181" s="102" t="str">
        <f>VLOOKUP(J181,'&lt;Constants&gt;'!$A$4:$C$1020,3,FALSE)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102" t="str">
        <f>VLOOKUP(J182,'&lt;Constants&gt;'!$A$4:$B$1020,2,FALSE)</f>
        <v>DLC_BASE_GAME</v>
      </c>
      <c r="L182" s="102" t="str">
        <f>VLOOKUP(J182,'&lt;Constants&gt;'!$A$4:$C$1020,3,FALSE)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102" t="str">
        <f>VLOOKUP(J183,'&lt;Constants&gt;'!$A$4:$B$1020,2,FALSE)</f>
        <v>DLC_BASE_GAME</v>
      </c>
      <c r="L183" s="102" t="str">
        <f>VLOOKUP(J183,'&lt;Constants&gt;'!$A$4:$C$1020,3,FALSE)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102" t="str">
        <f>VLOOKUP(J184,'&lt;Constants&gt;'!$A$4:$B$1020,2,FALSE)</f>
        <v>DLC_BASE_GAME</v>
      </c>
      <c r="L184" s="102" t="str">
        <f>VLOOKUP(J184,'&lt;Constants&gt;'!$A$4:$C$1020,3,FALSE)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102" t="str">
        <f>VLOOKUP(J185,'&lt;Constants&gt;'!$A$4:$B$1020,2,FALSE)</f>
        <v>DLC_BASE_GAME</v>
      </c>
      <c r="L185" s="102" t="str">
        <f>VLOOKUP(J185,'&lt;Constants&gt;'!$A$4:$C$1020,3,FALSE)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102" t="str">
        <f>VLOOKUP(J186,'&lt;Constants&gt;'!$A$4:$B$1020,2,FALSE)</f>
        <v>DLC_BASE_GAME</v>
      </c>
      <c r="L186" s="102" t="str">
        <f>VLOOKUP(J186,'&lt;Constants&gt;'!$A$4:$C$1020,3,FALSE)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102" t="str">
        <f>VLOOKUP(J187,'&lt;Constants&gt;'!$A$4:$B$1020,2,FALSE)</f>
        <v>DLC_BASE_GAME</v>
      </c>
      <c r="L187" s="102" t="str">
        <f>VLOOKUP(J187,'&lt;Constants&gt;'!$A$4:$C$1020,3,FALSE)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102" t="str">
        <f>VLOOKUP(J188,'&lt;Constants&gt;'!$A$4:$B$1020,2,FALSE)</f>
        <v>DLC_BASE_GAME</v>
      </c>
      <c r="L188" s="102" t="str">
        <f>VLOOKUP(J188,'&lt;Constants&gt;'!$A$4:$C$1020,3,FALSE)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102" t="str">
        <f>VLOOKUP(J189,'&lt;Constants&gt;'!$A$4:$B$1020,2,FALSE)</f>
        <v>DLC_BASE_GAME</v>
      </c>
      <c r="L189" s="102" t="str">
        <f>VLOOKUP(J189,'&lt;Constants&gt;'!$A$4:$C$1020,3,FALSE)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102" t="str">
        <f>VLOOKUP(J190,'&lt;Constants&gt;'!$A$4:$B$1020,2,FALSE)</f>
        <v>DLC_BASE_GAME</v>
      </c>
      <c r="L190" s="102" t="str">
        <f>VLOOKUP(J190,'&lt;Constants&gt;'!$A$4:$C$1020,3,FALSE)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102" t="str">
        <f>VLOOKUP(J191,'&lt;Constants&gt;'!$A$4:$B$1020,2,FALSE)</f>
        <v>DLC_BASE_GAME</v>
      </c>
      <c r="L191" s="102" t="str">
        <f>VLOOKUP(J191,'&lt;Constants&gt;'!$A$4:$C$1020,3,FALSE)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102" t="str">
        <f>VLOOKUP(J192,'&lt;Constants&gt;'!$A$4:$B$1020,2,FALSE)</f>
        <v>DLC_BASE_GAME</v>
      </c>
      <c r="L192" s="102" t="str">
        <f>VLOOKUP(J192,'&lt;Constants&gt;'!$A$4:$C$1020,3,FALSE)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102" t="str">
        <f>VLOOKUP(J193,'&lt;Constants&gt;'!$A$4:$B$1020,2,FALSE)</f>
        <v>DLC_BASE_GAME</v>
      </c>
      <c r="L193" s="102" t="str">
        <f>VLOOKUP(J193,'&lt;Constants&gt;'!$A$4:$C$1020,3,FALSE)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102" t="str">
        <f>VLOOKUP(J194,'&lt;Constants&gt;'!$A$4:$B$1020,2,FALSE)</f>
        <v>DLC_BASE_GAME</v>
      </c>
      <c r="L194" s="102" t="str">
        <f>VLOOKUP(J194,'&lt;Constants&gt;'!$A$4:$C$1020,3,FALSE)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102" t="str">
        <f>VLOOKUP(J195,'&lt;Constants&gt;'!$A$4:$B$1020,2,FALSE)</f>
        <v>DLC_BASE_GAME</v>
      </c>
      <c r="L195" s="102" t="str">
        <f>VLOOKUP(J195,'&lt;Constants&gt;'!$A$4:$C$1020,3,FALSE)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102" t="str">
        <f>VLOOKUP(J196,'&lt;Constants&gt;'!$A$4:$B$1020,2,FALSE)</f>
        <v>DLC_BASE_GAME</v>
      </c>
      <c r="L196" s="102" t="str">
        <f>VLOOKUP(J196,'&lt;Constants&gt;'!$A$4:$C$1020,3,FALSE)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102" t="str">
        <f>VLOOKUP(J197,'&lt;Constants&gt;'!$A$4:$B$1020,2,FALSE)</f>
        <v>DLC_BASE_GAME</v>
      </c>
      <c r="L197" s="102" t="str">
        <f>VLOOKUP(J197,'&lt;Constants&gt;'!$A$4:$C$1020,3,FALSE)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102" t="str">
        <f>VLOOKUP(J198,'&lt;Constants&gt;'!$A$4:$B$1020,2,FALSE)</f>
        <v>DLC_BASE_GAME</v>
      </c>
      <c r="L198" s="102" t="str">
        <f>VLOOKUP(J198,'&lt;Constants&gt;'!$A$4:$C$1020,3,FALSE)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102" t="str">
        <f>VLOOKUP(J199,'&lt;Constants&gt;'!$A$4:$B$1020,2,FALSE)</f>
        <v>DLC_BASE_GAME</v>
      </c>
      <c r="L199" s="102" t="str">
        <f>VLOOKUP(J199,'&lt;Constants&gt;'!$A$4:$C$1020,3,FALSE)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102" t="str">
        <f>VLOOKUP(J200,'&lt;Constants&gt;'!$A$4:$B$1020,2,FALSE)</f>
        <v>DLC_BASE_GAME</v>
      </c>
      <c r="L200" s="102" t="str">
        <f>VLOOKUP(J200,'&lt;Constants&gt;'!$A$4:$C$1020,3,FALSE)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102" t="str">
        <f>VLOOKUP(J201,'&lt;Constants&gt;'!$A$4:$B$1020,2,FALSE)</f>
        <v>DLC_BASE_GAME</v>
      </c>
      <c r="L201" s="102" t="str">
        <f>VLOOKUP(J201,'&lt;Constants&gt;'!$A$4:$C$1020,3,FALSE)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102" t="str">
        <f>VLOOKUP(J202,'&lt;Constants&gt;'!$A$4:$B$1020,2,FALSE)</f>
        <v>DLC_BASE_GAME</v>
      </c>
      <c r="L202" s="102" t="str">
        <f>VLOOKUP(J202,'&lt;Constants&gt;'!$A$4:$C$1020,3,FALSE)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102" t="str">
        <f>VLOOKUP(J203,'&lt;Constants&gt;'!$A$4:$B$1020,2,FALSE)</f>
        <v>DLC_BASE_GAME</v>
      </c>
      <c r="L203" s="102" t="str">
        <f>VLOOKUP(J203,'&lt;Constants&gt;'!$A$4:$C$1020,3,FALSE)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102" t="str">
        <f>VLOOKUP(J204,'&lt;Constants&gt;'!$A$4:$B$1020,2,FALSE)</f>
        <v>DLC_BASE_GAME</v>
      </c>
      <c r="L204" s="102" t="str">
        <f>VLOOKUP(J204,'&lt;Constants&gt;'!$A$4:$C$1020,3,FALSE)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102" t="str">
        <f>VLOOKUP(J205,'&lt;Constants&gt;'!$A$4:$B$1020,2,FALSE)</f>
        <v>DLC_BASE_GAME</v>
      </c>
      <c r="L205" s="102" t="str">
        <f>VLOOKUP(J205,'&lt;Constants&gt;'!$A$4:$C$1020,3,FALSE)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102" t="str">
        <f>VLOOKUP(J206,'&lt;Constants&gt;'!$A$4:$B$1020,2,FALSE)</f>
        <v>DLC_BASE_GAME</v>
      </c>
      <c r="L206" s="102" t="str">
        <f>VLOOKUP(J206,'&lt;Constants&gt;'!$A$4:$C$1020,3,FALSE)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102" t="str">
        <f>VLOOKUP(J207,'&lt;Constants&gt;'!$A$4:$B$1020,2,FALSE)</f>
        <v>DLC_BASE_GAME</v>
      </c>
      <c r="L207" s="102" t="str">
        <f>VLOOKUP(J207,'&lt;Constants&gt;'!$A$4:$C$1020,3,FALSE)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102" t="str">
        <f>VLOOKUP(J208,'&lt;Constants&gt;'!$A$4:$B$1020,2,FALSE)</f>
        <v>DLC_BASE_GAME</v>
      </c>
      <c r="L208" s="102" t="str">
        <f>VLOOKUP(J208,'&lt;Constants&gt;'!$A$4:$C$1020,3,FALSE)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102" t="str">
        <f>VLOOKUP(J209,'&lt;Constants&gt;'!$A$4:$B$1020,2,FALSE)</f>
        <v>DLC_BASE_GAME</v>
      </c>
      <c r="L209" s="102" t="str">
        <f>VLOOKUP(J209,'&lt;Constants&gt;'!$A$4:$C$1020,3,FALSE)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102" t="str">
        <f>VLOOKUP(J210,'&lt;Constants&gt;'!$A$4:$B$1020,2,FALSE)</f>
        <v>DLC_BASE_GAME</v>
      </c>
      <c r="L210" s="102" t="str">
        <f>VLOOKUP(J210,'&lt;Constants&gt;'!$A$4:$C$1020,3,FALSE)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102" t="str">
        <f>VLOOKUP(J211,'&lt;Constants&gt;'!$A$4:$B$1020,2,FALSE)</f>
        <v>DLC_BASE_GAME</v>
      </c>
      <c r="L211" s="102" t="str">
        <f>VLOOKUP(J211,'&lt;Constants&gt;'!$A$4:$C$1020,3,FALSE)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102" t="str">
        <f>VLOOKUP(J212,'&lt;Constants&gt;'!$A$4:$B$1020,2,FALSE)</f>
        <v>DLC_BASE_GAME</v>
      </c>
      <c r="L212" s="102" t="str">
        <f>VLOOKUP(J212,'&lt;Constants&gt;'!$A$4:$C$1020,3,FALSE)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102" t="str">
        <f>VLOOKUP(J213,'&lt;Constants&gt;'!$A$4:$B$1020,2,FALSE)</f>
        <v>DLC_BASE_GAME</v>
      </c>
      <c r="L213" s="102" t="str">
        <f>VLOOKUP(J213,'&lt;Constants&gt;'!$A$4:$C$1020,3,FALSE)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102" t="str">
        <f>VLOOKUP(J214,'&lt;Constants&gt;'!$A$4:$B$1020,2,FALSE)</f>
        <v>DLC_BASE_GAME</v>
      </c>
      <c r="L214" s="102" t="str">
        <f>VLOOKUP(J214,'&lt;Constants&gt;'!$A$4:$C$1020,3,FALSE)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102" t="str">
        <f>VLOOKUP(J215,'&lt;Constants&gt;'!$A$4:$B$1020,2,FALSE)</f>
        <v>DLC_BASE_GAME</v>
      </c>
      <c r="L215" s="102" t="str">
        <f>VLOOKUP(J215,'&lt;Constants&gt;'!$A$4:$C$1020,3,FALSE)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102" t="str">
        <f>VLOOKUP(J216,'&lt;Constants&gt;'!$A$4:$B$1020,2,FALSE)</f>
        <v>DLC_BASE_GAME</v>
      </c>
      <c r="L216" s="102" t="str">
        <f>VLOOKUP(J216,'&lt;Constants&gt;'!$A$4:$C$1020,3,FALSE)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102" t="str">
        <f>VLOOKUP(J217,'&lt;Constants&gt;'!$A$4:$B$1020,2,FALSE)</f>
        <v>DLC_BASE_GAME</v>
      </c>
      <c r="L217" s="102" t="str">
        <f>VLOOKUP(J217,'&lt;Constants&gt;'!$A$4:$C$1020,3,FALSE)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102" t="str">
        <f>VLOOKUP(J218,'&lt;Constants&gt;'!$A$4:$B$1020,2,FALSE)</f>
        <v>DLC_BASE_GAME</v>
      </c>
      <c r="L218" s="102" t="str">
        <f>VLOOKUP(J218,'&lt;Constants&gt;'!$A$4:$C$1020,3,FALSE)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102" t="str">
        <f>VLOOKUP(J219,'&lt;Constants&gt;'!$A$4:$B$1020,2,FALSE)</f>
        <v>DLC_BASE_GAME</v>
      </c>
      <c r="L219" s="102" t="str">
        <f>VLOOKUP(J219,'&lt;Constants&gt;'!$A$4:$C$1020,3,FALSE)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102" t="str">
        <f>VLOOKUP(J220,'&lt;Constants&gt;'!$A$4:$B$1020,2,FALSE)</f>
        <v>DLC_BASE_GAME</v>
      </c>
      <c r="L220" s="102" t="str">
        <f>VLOOKUP(J220,'&lt;Constants&gt;'!$A$4:$C$1020,3,FALSE)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102" t="str">
        <f>VLOOKUP(J221,'&lt;Constants&gt;'!$A$4:$B$1020,2,FALSE)</f>
        <v>DLC_BASE_GAME</v>
      </c>
      <c r="L221" s="102" t="str">
        <f>VLOOKUP(J221,'&lt;Constants&gt;'!$A$4:$C$1020,3,FALSE)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102" t="str">
        <f>VLOOKUP(J222,'&lt;Constants&gt;'!$A$4:$B$1020,2,FALSE)</f>
        <v>DLC_BASE_GAME</v>
      </c>
      <c r="L222" s="102" t="str">
        <f>VLOOKUP(J222,'&lt;Constants&gt;'!$A$4:$C$1020,3,FALSE)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102" t="str">
        <f>VLOOKUP(J223,'&lt;Constants&gt;'!$A$4:$B$1020,2,FALSE)</f>
        <v>DLC_BASE_GAME</v>
      </c>
      <c r="L223" s="102" t="str">
        <f>VLOOKUP(J223,'&lt;Constants&gt;'!$A$4:$C$1020,3,FALSE)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102" t="str">
        <f>VLOOKUP(J224,'&lt;Constants&gt;'!$A$4:$B$1020,2,FALSE)</f>
        <v>DLC_BASE_GAME</v>
      </c>
      <c r="L224" s="102" t="str">
        <f>VLOOKUP(J224,'&lt;Constants&gt;'!$A$4:$C$1020,3,FALSE)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102" t="str">
        <f>VLOOKUP(J225,'&lt;Constants&gt;'!$A$4:$B$1020,2,FALSE)</f>
        <v>DLC_BASE_GAME</v>
      </c>
      <c r="L225" s="102" t="str">
        <f>VLOOKUP(J225,'&lt;Constants&gt;'!$A$4:$C$1020,3,FALSE)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102" t="str">
        <f>VLOOKUP(J226,'&lt;Constants&gt;'!$A$4:$B$1020,2,FALSE)</f>
        <v>DLC_BASE_GAME</v>
      </c>
      <c r="L226" s="102" t="str">
        <f>VLOOKUP(J226,'&lt;Constants&gt;'!$A$4:$C$1020,3,FALSE)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102" t="str">
        <f>VLOOKUP(J227,'&lt;Constants&gt;'!$A$4:$B$1020,2,FALSE)</f>
        <v>DLC_BASE_GAME</v>
      </c>
      <c r="L227" s="102" t="str">
        <f>VLOOKUP(J227,'&lt;Constants&gt;'!$A$4:$C$1020,3,FALSE)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102" t="str">
        <f>VLOOKUP(J228,'&lt;Constants&gt;'!$A$4:$B$1020,2,FALSE)</f>
        <v>DLC_BASE_GAME</v>
      </c>
      <c r="L228" s="102" t="str">
        <f>VLOOKUP(J228,'&lt;Constants&gt;'!$A$4:$C$1020,3,FALSE)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102" t="str">
        <f>VLOOKUP(J229,'&lt;Constants&gt;'!$A$4:$B$1020,2,FALSE)</f>
        <v>DLC_BASE_GAME</v>
      </c>
      <c r="L229" s="102" t="str">
        <f>VLOOKUP(J229,'&lt;Constants&gt;'!$A$4:$C$1020,3,FALSE)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102" t="str">
        <f>VLOOKUP(J230,'&lt;Constants&gt;'!$A$4:$B$1020,2,FALSE)</f>
        <v>DLC_BASE_GAME</v>
      </c>
      <c r="L230" s="102" t="str">
        <f>VLOOKUP(J230,'&lt;Constants&gt;'!$A$4:$C$1020,3,FALSE)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102" t="str">
        <f>VLOOKUP(J231,'&lt;Constants&gt;'!$A$4:$B$1020,2,FALSE)</f>
        <v>DLC_BASE_GAME</v>
      </c>
      <c r="L231" s="102" t="str">
        <f>VLOOKUP(J231,'&lt;Constants&gt;'!$A$4:$C$1020,3,FALSE)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102" t="str">
        <f>VLOOKUP(J232,'&lt;Constants&gt;'!$A$4:$B$1020,2,FALSE)</f>
        <v>DLC_BASE_GAME</v>
      </c>
      <c r="L232" s="102" t="str">
        <f>VLOOKUP(J232,'&lt;Constants&gt;'!$A$4:$C$1020,3,FALSE)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102" t="str">
        <f>VLOOKUP(J233,'&lt;Constants&gt;'!$A$4:$B$1020,2,FALSE)</f>
        <v>DLC_BASE_GAME</v>
      </c>
      <c r="L233" s="102" t="str">
        <f>VLOOKUP(J233,'&lt;Constants&gt;'!$A$4:$C$1020,3,FALSE)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102" t="str">
        <f>VLOOKUP(J234,'&lt;Constants&gt;'!$A$4:$B$1020,2,FALSE)</f>
        <v>DLC_BASE_GAME</v>
      </c>
      <c r="L234" s="102" t="str">
        <f>VLOOKUP(J234,'&lt;Constants&gt;'!$A$4:$C$1020,3,FALSE)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102" t="str">
        <f>VLOOKUP(J235,'&lt;Constants&gt;'!$A$4:$B$1020,2,FALSE)</f>
        <v>DLC_BASE_GAME</v>
      </c>
      <c r="L235" s="102" t="str">
        <f>VLOOKUP(J235,'&lt;Constants&gt;'!$A$4:$C$1020,3,FALSE)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102" t="str">
        <f>VLOOKUP(J236,'&lt;Constants&gt;'!$A$4:$B$1020,2,FALSE)</f>
        <v>DLC_BASE_GAME</v>
      </c>
      <c r="L236" s="102" t="str">
        <f>VLOOKUP(J236,'&lt;Constants&gt;'!$A$4:$C$1020,3,FALSE)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102" t="str">
        <f>VLOOKUP(J237,'&lt;Constants&gt;'!$A$4:$B$1020,2,FALSE)</f>
        <v>DLC_BASE_GAME</v>
      </c>
      <c r="L237" s="102" t="str">
        <f>VLOOKUP(J237,'&lt;Constants&gt;'!$A$4:$C$1020,3,FALSE)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102" t="str">
        <f>VLOOKUP(J238,'&lt;Constants&gt;'!$A$4:$B$1020,2,FALSE)</f>
        <v>DLC_BASE_GAME</v>
      </c>
      <c r="L238" s="102" t="str">
        <f>VLOOKUP(J238,'&lt;Constants&gt;'!$A$4:$C$1020,3,FALSE)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102" t="str">
        <f>VLOOKUP(J239,'&lt;Constants&gt;'!$A$4:$B$1020,2,FALSE)</f>
        <v>DLC_BASE_GAME</v>
      </c>
      <c r="L239" s="102" t="str">
        <f>VLOOKUP(J239,'&lt;Constants&gt;'!$A$4:$C$1020,3,FALSE)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102" t="str">
        <f>VLOOKUP(J240,'&lt;Constants&gt;'!$A$4:$B$1020,2,FALSE)</f>
        <v>DLC_BASE_GAME</v>
      </c>
      <c r="L240" s="102" t="str">
        <f>VLOOKUP(J240,'&lt;Constants&gt;'!$A$4:$C$1020,3,FALSE)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102" t="str">
        <f>VLOOKUP(J241,'&lt;Constants&gt;'!$A$4:$B$1020,2,FALSE)</f>
        <v>DLC_BASE_GAME</v>
      </c>
      <c r="L241" s="102" t="str">
        <f>VLOOKUP(J241,'&lt;Constants&gt;'!$A$4:$C$1020,3,FALSE)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102" t="str">
        <f>VLOOKUP(J242,'&lt;Constants&gt;'!$A$4:$B$1020,2,FALSE)</f>
        <v>DLC_BASE_GAME</v>
      </c>
      <c r="L242" s="102" t="str">
        <f>VLOOKUP(J242,'&lt;Constants&gt;'!$A$4:$C$1020,3,FALSE)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102" t="str">
        <f>VLOOKUP(J243,'&lt;Constants&gt;'!$A$4:$B$1020,2,FALSE)</f>
        <v>DLC_BASE_GAME</v>
      </c>
      <c r="L243" s="102" t="str">
        <f>VLOOKUP(J243,'&lt;Constants&gt;'!$A$4:$C$1020,3,FALSE)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102" t="str">
        <f>VLOOKUP(J244,'&lt;Constants&gt;'!$A$4:$B$1020,2,FALSE)</f>
        <v>DLC_BASE_GAME</v>
      </c>
      <c r="L244" s="102" t="str">
        <f>VLOOKUP(J244,'&lt;Constants&gt;'!$A$4:$C$1020,3,FALSE)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102" t="str">
        <f>VLOOKUP(J245,'&lt;Constants&gt;'!$A$4:$B$1020,2,FALSE)</f>
        <v>DLC_BASE_GAME</v>
      </c>
      <c r="L245" s="102" t="str">
        <f>VLOOKUP(J245,'&lt;Constants&gt;'!$A$4:$C$1020,3,FALSE)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102" t="str">
        <f>VLOOKUP(J246,'&lt;Constants&gt;'!$A$4:$B$1020,2,FALSE)</f>
        <v>DLC_BASE_GAME</v>
      </c>
      <c r="L246" s="102" t="str">
        <f>VLOOKUP(J246,'&lt;Constants&gt;'!$A$4:$C$1020,3,FALSE)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102" t="str">
        <f>VLOOKUP(J247,'&lt;Constants&gt;'!$A$4:$B$1020,2,FALSE)</f>
        <v>DLC_BASE_GAME</v>
      </c>
      <c r="L247" s="102" t="str">
        <f>VLOOKUP(J247,'&lt;Constants&gt;'!$A$4:$C$1020,3,FALSE)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102" t="str">
        <f>VLOOKUP(J248,'&lt;Constants&gt;'!$A$4:$B$1020,2,FALSE)</f>
        <v>DLC_BASE_GAME</v>
      </c>
      <c r="L248" s="102" t="str">
        <f>VLOOKUP(J248,'&lt;Constants&gt;'!$A$4:$C$1020,3,FALSE)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102" t="str">
        <f>VLOOKUP(J249,'&lt;Constants&gt;'!$A$4:$B$1020,2,FALSE)</f>
        <v>DLC_BASE_GAME</v>
      </c>
      <c r="L249" s="102" t="str">
        <f>VLOOKUP(J249,'&lt;Constants&gt;'!$A$4:$C$1020,3,FALSE)</f>
        <v>Included in base game</v>
      </c>
    </row>
    <row r="250" spans="1:12" x14ac:dyDescent="0.25">
      <c r="A250">
        <v>460</v>
      </c>
      <c r="B250">
        <v>245</v>
      </c>
      <c r="C250">
        <v>382</v>
      </c>
      <c r="D250" t="s">
        <v>3920</v>
      </c>
      <c r="E250" t="str">
        <f>IF(NOT(ISERROR(VLOOKUP(D250,'ESO DungeonFinder'!$A$2:$A$999,1,FALSE))),"X","")</f>
        <v/>
      </c>
      <c r="F250" s="102" t="str">
        <f t="shared" si="15"/>
        <v/>
      </c>
      <c r="G250" s="102" t="str">
        <f t="shared" si="16"/>
        <v>Reaper's March</v>
      </c>
      <c r="H250" s="103">
        <f t="shared" si="17"/>
        <v>460</v>
      </c>
      <c r="I250" s="103">
        <f t="shared" si="18"/>
        <v>382</v>
      </c>
      <c r="J250">
        <v>0</v>
      </c>
      <c r="K250" s="102" t="str">
        <f>VLOOKUP(J250,'&lt;Constants&gt;'!$A$4:$B$1020,2,FALSE)</f>
        <v>DLC_BASE_GAME</v>
      </c>
      <c r="L250" s="102" t="str">
        <f>VLOOKUP(J250,'&lt;Constants&gt;'!$A$4:$C$1020,3,FALSE)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102" t="str">
        <f>VLOOKUP(J251,'&lt;Constants&gt;'!$A$4:$B$1020,2,FALSE)</f>
        <v>DLC_BASE_GAME</v>
      </c>
      <c r="L251" s="102" t="str">
        <f>VLOOKUP(J251,'&lt;Constants&gt;'!$A$4:$C$1020,3,FALSE)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102" t="str">
        <f>VLOOKUP(J252,'&lt;Constants&gt;'!$A$4:$B$1020,2,FALSE)</f>
        <v>DLC_BASE_GAME</v>
      </c>
      <c r="L252" s="102" t="str">
        <f>VLOOKUP(J252,'&lt;Constants&gt;'!$A$4:$C$1020,3,FALSE)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102" t="str">
        <f>VLOOKUP(J253,'&lt;Constants&gt;'!$A$4:$B$1020,2,FALSE)</f>
        <v>DLC_BASE_GAME</v>
      </c>
      <c r="L253" s="102" t="str">
        <f>VLOOKUP(J253,'&lt;Constants&gt;'!$A$4:$C$1020,3,FALSE)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102" t="str">
        <f>VLOOKUP(J254,'&lt;Constants&gt;'!$A$4:$B$1020,2,FALSE)</f>
        <v>DLC_BASE_GAME</v>
      </c>
      <c r="L254" s="102" t="str">
        <f>VLOOKUP(J254,'&lt;Constants&gt;'!$A$4:$C$1020,3,FALSE)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102" t="str">
        <f>VLOOKUP(J255,'&lt;Constants&gt;'!$A$4:$B$1020,2,FALSE)</f>
        <v>DLC_BASE_GAME</v>
      </c>
      <c r="L255" s="102" t="str">
        <f>VLOOKUP(J255,'&lt;Constants&gt;'!$A$4:$C$1020,3,FALSE)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102" t="str">
        <f>VLOOKUP(J256,'&lt;Constants&gt;'!$A$4:$B$1020,2,FALSE)</f>
        <v>DLC_BASE_GAME</v>
      </c>
      <c r="L256" s="102" t="str">
        <f>VLOOKUP(J256,'&lt;Constants&gt;'!$A$4:$C$1020,3,FALSE)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102" t="str">
        <f>VLOOKUP(J257,'&lt;Constants&gt;'!$A$4:$B$1020,2,FALSE)</f>
        <v>DLC_BASE_GAME</v>
      </c>
      <c r="L257" s="102" t="str">
        <f>VLOOKUP(J257,'&lt;Constants&gt;'!$A$4:$C$1020,3,FALSE)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102" t="str">
        <f>VLOOKUP(J258,'&lt;Constants&gt;'!$A$4:$B$1020,2,FALSE)</f>
        <v>DLC_BASE_GAME</v>
      </c>
      <c r="L258" s="102" t="str">
        <f>VLOOKUP(J258,'&lt;Constants&gt;'!$A$4:$C$1020,3,FALSE)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102" t="str">
        <f>VLOOKUP(J259,'&lt;Constants&gt;'!$A$4:$B$1020,2,FALSE)</f>
        <v>DLC_BASE_GAME</v>
      </c>
      <c r="L259" s="102" t="str">
        <f>VLOOKUP(J259,'&lt;Constants&gt;'!$A$4:$C$1020,3,FALSE)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102" t="str">
        <f>VLOOKUP(J260,'&lt;Constants&gt;'!$A$4:$B$1020,2,FALSE)</f>
        <v>DLC_BASE_GAME</v>
      </c>
      <c r="L260" s="102" t="str">
        <f>VLOOKUP(J260,'&lt;Constants&gt;'!$A$4:$C$1020,3,FALSE)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102" t="str">
        <f>VLOOKUP(J261,'&lt;Constants&gt;'!$A$4:$B$1020,2,FALSE)</f>
        <v>DLC_BASE_GAME</v>
      </c>
      <c r="L261" s="102" t="str">
        <f>VLOOKUP(J261,'&lt;Constants&gt;'!$A$4:$C$1020,3,FALSE)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102" t="str">
        <f>VLOOKUP(J262,'&lt;Constants&gt;'!$A$4:$B$1020,2,FALSE)</f>
        <v>DLC_BASE_GAME</v>
      </c>
      <c r="L262" s="102" t="str">
        <f>VLOOKUP(J262,'&lt;Constants&gt;'!$A$4:$C$1020,3,FALSE)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102" t="str">
        <f>VLOOKUP(J263,'&lt;Constants&gt;'!$A$4:$B$1020,2,FALSE)</f>
        <v>DLC_BASE_GAME</v>
      </c>
      <c r="L263" s="102" t="str">
        <f>VLOOKUP(J263,'&lt;Constants&gt;'!$A$4:$C$1020,3,FALSE)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102" t="str">
        <f>VLOOKUP(J264,'&lt;Constants&gt;'!$A$4:$B$1020,2,FALSE)</f>
        <v>DLC_BASE_GAME</v>
      </c>
      <c r="L264" s="102" t="str">
        <f>VLOOKUP(J264,'&lt;Constants&gt;'!$A$4:$C$1020,3,FALSE)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102" t="str">
        <f>VLOOKUP(J265,'&lt;Constants&gt;'!$A$4:$B$1020,2,FALSE)</f>
        <v>DLC_BASE_GAME</v>
      </c>
      <c r="L265" s="102" t="str">
        <f>VLOOKUP(J265,'&lt;Constants&gt;'!$A$4:$C$1020,3,FALSE)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102" t="str">
        <f>VLOOKUP(J266,'&lt;Constants&gt;'!$A$4:$B$1020,2,FALSE)</f>
        <v>DLC_BASE_GAME</v>
      </c>
      <c r="L266" s="102" t="str">
        <f>VLOOKUP(J266,'&lt;Constants&gt;'!$A$4:$C$1020,3,FALSE)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102" t="str">
        <f>VLOOKUP(J267,'&lt;Constants&gt;'!$A$4:$B$1020,2,FALSE)</f>
        <v>DLC_BASE_GAME</v>
      </c>
      <c r="L267" s="102" t="str">
        <f>VLOOKUP(J267,'&lt;Constants&gt;'!$A$4:$C$1020,3,FALSE)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102" t="str">
        <f>VLOOKUP(J268,'&lt;Constants&gt;'!$A$4:$B$1020,2,FALSE)</f>
        <v>DLC_BASE_GAME</v>
      </c>
      <c r="L268" s="102" t="str">
        <f>VLOOKUP(J268,'&lt;Constants&gt;'!$A$4:$C$1020,3,FALSE)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102" t="str">
        <f>VLOOKUP(J269,'&lt;Constants&gt;'!$A$4:$B$1020,2,FALSE)</f>
        <v>DLC_BASE_GAME</v>
      </c>
      <c r="L269" s="102" t="str">
        <f>VLOOKUP(J269,'&lt;Constants&gt;'!$A$4:$C$1020,3,FALSE)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102" t="str">
        <f>VLOOKUP(J270,'&lt;Constants&gt;'!$A$4:$B$1020,2,FALSE)</f>
        <v>DLC_BASE_GAME</v>
      </c>
      <c r="L270" s="102" t="str">
        <f>VLOOKUP(J270,'&lt;Constants&gt;'!$A$4:$C$1020,3,FALSE)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102" t="str">
        <f>VLOOKUP(J271,'&lt;Constants&gt;'!$A$4:$B$1020,2,FALSE)</f>
        <v>DLC_BASE_GAME</v>
      </c>
      <c r="L271" s="102" t="str">
        <f>VLOOKUP(J271,'&lt;Constants&gt;'!$A$4:$C$1020,3,FALSE)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102" t="str">
        <f>VLOOKUP(J272,'&lt;Constants&gt;'!$A$4:$B$1020,2,FALSE)</f>
        <v>DLC_BASE_GAME</v>
      </c>
      <c r="L272" s="102" t="str">
        <f>VLOOKUP(J272,'&lt;Constants&gt;'!$A$4:$C$1020,3,FALSE)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102" t="str">
        <f>VLOOKUP(J273,'&lt;Constants&gt;'!$A$4:$B$1020,2,FALSE)</f>
        <v>DLC_BASE_GAME</v>
      </c>
      <c r="L273" s="102" t="str">
        <f>VLOOKUP(J273,'&lt;Constants&gt;'!$A$4:$C$1020,3,FALSE)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102" t="str">
        <f>VLOOKUP(J274,'&lt;Constants&gt;'!$A$4:$B$1020,2,FALSE)</f>
        <v>DLC_BASE_GAME</v>
      </c>
      <c r="L274" s="102" t="str">
        <f>VLOOKUP(J274,'&lt;Constants&gt;'!$A$4:$C$1020,3,FALSE)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102" t="str">
        <f>VLOOKUP(J275,'&lt;Constants&gt;'!$A$4:$B$1020,2,FALSE)</f>
        <v>DLC_BASE_GAME</v>
      </c>
      <c r="L275" s="102" t="str">
        <f>VLOOKUP(J275,'&lt;Constants&gt;'!$A$4:$C$1020,3,FALSE)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102" t="str">
        <f>VLOOKUP(J276,'&lt;Constants&gt;'!$A$4:$B$1020,2,FALSE)</f>
        <v>DLC_BASE_GAME</v>
      </c>
      <c r="L276" s="102" t="str">
        <f>VLOOKUP(J276,'&lt;Constants&gt;'!$A$4:$C$1020,3,FALSE)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102" t="str">
        <f>VLOOKUP(J277,'&lt;Constants&gt;'!$A$4:$B$1020,2,FALSE)</f>
        <v>DLC_BASE_GAME</v>
      </c>
      <c r="L277" s="102" t="str">
        <f>VLOOKUP(J277,'&lt;Constants&gt;'!$A$4:$C$1020,3,FALSE)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102" t="str">
        <f>VLOOKUP(J278,'&lt;Constants&gt;'!$A$4:$B$1020,2,FALSE)</f>
        <v>DLC_BASE_GAME</v>
      </c>
      <c r="L278" s="102" t="str">
        <f>VLOOKUP(J278,'&lt;Constants&gt;'!$A$4:$C$1020,3,FALSE)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102" t="str">
        <f>VLOOKUP(J279,'&lt;Constants&gt;'!$A$4:$B$1020,2,FALSE)</f>
        <v>DLC_BASE_GAME</v>
      </c>
      <c r="L279" s="102" t="str">
        <f>VLOOKUP(J279,'&lt;Constants&gt;'!$A$4:$C$1020,3,FALSE)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102" t="str">
        <f>VLOOKUP(J280,'&lt;Constants&gt;'!$A$4:$B$1020,2,FALSE)</f>
        <v>DLC_BASE_GAME</v>
      </c>
      <c r="L280" s="102" t="str">
        <f>VLOOKUP(J280,'&lt;Constants&gt;'!$A$4:$C$1020,3,FALSE)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102" t="str">
        <f>VLOOKUP(J281,'&lt;Constants&gt;'!$A$4:$B$1020,2,FALSE)</f>
        <v>DLC_BASE_GAME</v>
      </c>
      <c r="L281" s="102" t="str">
        <f>VLOOKUP(J281,'&lt;Constants&gt;'!$A$4:$C$1020,3,FALSE)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102" t="str">
        <f>VLOOKUP(J282,'&lt;Constants&gt;'!$A$4:$B$1020,2,FALSE)</f>
        <v>DLC_BASE_GAME</v>
      </c>
      <c r="L282" s="102" t="str">
        <f>VLOOKUP(J282,'&lt;Constants&gt;'!$A$4:$C$1020,3,FALSE)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102" t="str">
        <f>VLOOKUP(J283,'&lt;Constants&gt;'!$A$4:$B$1020,2,FALSE)</f>
        <v>DLC_BASE_GAME</v>
      </c>
      <c r="L283" s="102" t="str">
        <f>VLOOKUP(J283,'&lt;Constants&gt;'!$A$4:$C$1020,3,FALSE)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102" t="str">
        <f>VLOOKUP(J284,'&lt;Constants&gt;'!$A$4:$B$1020,2,FALSE)</f>
        <v>DLC_BASE_GAME</v>
      </c>
      <c r="L284" s="102" t="str">
        <f>VLOOKUP(J284,'&lt;Constants&gt;'!$A$4:$C$1020,3,FALSE)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102" t="str">
        <f>VLOOKUP(J285,'&lt;Constants&gt;'!$A$4:$B$1020,2,FALSE)</f>
        <v>DLC_BASE_GAME</v>
      </c>
      <c r="L285" s="102" t="str">
        <f>VLOOKUP(J285,'&lt;Constants&gt;'!$A$4:$C$1020,3,FALSE)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102" t="str">
        <f>VLOOKUP(J286,'&lt;Constants&gt;'!$A$4:$B$1020,2,FALSE)</f>
        <v>DLC_BASE_GAME</v>
      </c>
      <c r="L286" s="102" t="str">
        <f>VLOOKUP(J286,'&lt;Constants&gt;'!$A$4:$C$1020,3,FALSE)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102" t="str">
        <f>VLOOKUP(J287,'&lt;Constants&gt;'!$A$4:$B$1020,2,FALSE)</f>
        <v>DLC_BASE_GAME</v>
      </c>
      <c r="L287" s="102" t="str">
        <f>VLOOKUP(J287,'&lt;Constants&gt;'!$A$4:$C$1020,3,FALSE)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102" t="str">
        <f>VLOOKUP(J288,'&lt;Constants&gt;'!$A$4:$B$1020,2,FALSE)</f>
        <v>DLC_BASE_GAME</v>
      </c>
      <c r="L288" s="102" t="str">
        <f>VLOOKUP(J288,'&lt;Constants&gt;'!$A$4:$C$1020,3,FALSE)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102" t="str">
        <f>VLOOKUP(J289,'&lt;Constants&gt;'!$A$4:$B$1020,2,FALSE)</f>
        <v>DLC_BASE_GAME</v>
      </c>
      <c r="L289" s="102" t="str">
        <f>VLOOKUP(J289,'&lt;Constants&gt;'!$A$4:$C$1020,3,FALSE)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102" t="str">
        <f>VLOOKUP(J290,'&lt;Constants&gt;'!$A$4:$B$1020,2,FALSE)</f>
        <v>DLC_MORROWIND</v>
      </c>
      <c r="L290" s="102" t="str">
        <f>VLOOKUP(J290,'&lt;Constants&gt;'!$A$4:$C$1020,3,FALSE)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102" t="str">
        <f>VLOOKUP(J291,'&lt;Constants&gt;'!$A$4:$B$1020,2,FALSE)</f>
        <v>DLC_MORROWIND</v>
      </c>
      <c r="L291" s="102" t="str">
        <f>VLOOKUP(J291,'&lt;Constants&gt;'!$A$4:$C$1020,3,FALSE)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102" t="str">
        <f>VLOOKUP(J292,'&lt;Constants&gt;'!$A$4:$B$1020,2,FALSE)</f>
        <v>DLC_MORROWIND</v>
      </c>
      <c r="L292" s="102" t="str">
        <f>VLOOKUP(J292,'&lt;Constants&gt;'!$A$4:$C$1020,3,FALSE)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102" t="str">
        <f>VLOOKUP(J293,'&lt;Constants&gt;'!$A$4:$B$1020,2,FALSE)</f>
        <v>DLC_BASE_GAME</v>
      </c>
      <c r="L293" s="102" t="str">
        <f>VLOOKUP(J293,'&lt;Constants&gt;'!$A$4:$C$1020,3,FALSE)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102" t="str">
        <f>VLOOKUP(J294,'&lt;Constants&gt;'!$A$4:$B$1020,2,FALSE)</f>
        <v>DLC_BASE_GAME</v>
      </c>
      <c r="L294" s="102" t="str">
        <f>VLOOKUP(J294,'&lt;Constants&gt;'!$A$4:$C$1020,3,FALSE)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102" t="str">
        <f>VLOOKUP(J295,'&lt;Constants&gt;'!$A$4:$B$1020,2,FALSE)</f>
        <v>DLC_BASE_GAME</v>
      </c>
      <c r="L295" s="102" t="str">
        <f>VLOOKUP(J295,'&lt;Constants&gt;'!$A$4:$C$1020,3,FALSE)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102" t="str">
        <f>VLOOKUP(J296,'&lt;Constants&gt;'!$A$4:$B$1020,2,FALSE)</f>
        <v>DLC_BASE_GAME</v>
      </c>
      <c r="L296" s="102" t="str">
        <f>VLOOKUP(J296,'&lt;Constants&gt;'!$A$4:$C$1020,3,FALSE)</f>
        <v>Included in base game</v>
      </c>
    </row>
    <row r="297" spans="1:12" x14ac:dyDescent="0.25">
      <c r="A297">
        <v>515</v>
      </c>
      <c r="B297">
        <v>292</v>
      </c>
      <c r="C297">
        <v>515</v>
      </c>
      <c r="D297" t="s">
        <v>1471</v>
      </c>
      <c r="E297" t="str">
        <f>IF(NOT(ISERROR(VLOOKUP(D297,'ESO DungeonFinder'!$A$2:$A$999,1,FALSE))),"X","")</f>
        <v/>
      </c>
      <c r="F297" s="102" t="str">
        <f t="shared" si="19"/>
        <v>X</v>
      </c>
      <c r="G297" s="102" t="str">
        <f t="shared" si="20"/>
        <v/>
      </c>
      <c r="H297" s="103">
        <f t="shared" si="21"/>
        <v>515</v>
      </c>
      <c r="I297" s="103">
        <f t="shared" si="22"/>
        <v>515</v>
      </c>
      <c r="J297">
        <v>0</v>
      </c>
      <c r="K297" s="102" t="str">
        <f>VLOOKUP(J297,'&lt;Constants&gt;'!$A$4:$B$1020,2,FALSE)</f>
        <v>DLC_BASE_GAME</v>
      </c>
      <c r="L297" s="102" t="str">
        <f>VLOOKUP(J297,'&lt;Constants&gt;'!$A$4:$C$1020,3,FALSE)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102" t="str">
        <f>VLOOKUP(J298,'&lt;Constants&gt;'!$A$4:$B$1020,2,FALSE)</f>
        <v>DLC_BASE_GAME</v>
      </c>
      <c r="L298" s="102" t="str">
        <f>VLOOKUP(J298,'&lt;Constants&gt;'!$A$4:$C$1020,3,FALSE)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102" t="str">
        <f>VLOOKUP(J299,'&lt;Constants&gt;'!$A$4:$B$1020,2,FALSE)</f>
        <v>DLC_BASE_GAME</v>
      </c>
      <c r="L299" s="102" t="str">
        <f>VLOOKUP(J299,'&lt;Constants&gt;'!$A$4:$C$1020,3,FALSE)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102" t="str">
        <f>VLOOKUP(J300,'&lt;Constants&gt;'!$A$4:$B$1020,2,FALSE)</f>
        <v>DLC_BASE_GAME</v>
      </c>
      <c r="L300" s="102" t="str">
        <f>VLOOKUP(J300,'&lt;Constants&gt;'!$A$4:$C$1020,3,FALSE)</f>
        <v>Included in base game</v>
      </c>
    </row>
    <row r="301" spans="1:12" x14ac:dyDescent="0.25">
      <c r="A301">
        <v>520</v>
      </c>
      <c r="B301">
        <v>296</v>
      </c>
      <c r="C301">
        <v>520</v>
      </c>
      <c r="D301" t="s">
        <v>4017</v>
      </c>
      <c r="E301" t="str">
        <f>IF(NOT(ISERROR(VLOOKUP(D301,'ESO DungeonFinder'!$A$2:$A$999,1,FALSE))),"X","")</f>
        <v/>
      </c>
      <c r="F301" s="102" t="str">
        <f t="shared" si="19"/>
        <v>X</v>
      </c>
      <c r="G301" s="102" t="str">
        <f t="shared" si="20"/>
        <v/>
      </c>
      <c r="H301" s="103">
        <f t="shared" si="21"/>
        <v>520</v>
      </c>
      <c r="I301" s="103">
        <f t="shared" si="22"/>
        <v>520</v>
      </c>
      <c r="J301">
        <v>0</v>
      </c>
      <c r="K301" s="102" t="str">
        <f>VLOOKUP(J301,'&lt;Constants&gt;'!$A$4:$B$1020,2,FALSE)</f>
        <v>DLC_BASE_GAME</v>
      </c>
      <c r="L301" s="102" t="str">
        <f>VLOOKUP(J301,'&lt;Constants&gt;'!$A$4:$C$1020,3,FALSE)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102" t="str">
        <f>VLOOKUP(J302,'&lt;Constants&gt;'!$A$4:$B$1020,2,FALSE)</f>
        <v>DLC_BASE_GAME</v>
      </c>
      <c r="L302" s="102" t="str">
        <f>VLOOKUP(J302,'&lt;Constants&gt;'!$A$4:$C$1020,3,FALSE)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102" t="str">
        <f>VLOOKUP(J303,'&lt;Constants&gt;'!$A$4:$B$1020,2,FALSE)</f>
        <v>DLC_BASE_GAME</v>
      </c>
      <c r="L303" s="102" t="str">
        <f>VLOOKUP(J303,'&lt;Constants&gt;'!$A$4:$C$1020,3,FALSE)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102" t="str">
        <f>VLOOKUP(J304,'&lt;Constants&gt;'!$A$4:$B$1020,2,FALSE)</f>
        <v>DLC_BASE_GAME</v>
      </c>
      <c r="L304" s="102" t="str">
        <f>VLOOKUP(J304,'&lt;Constants&gt;'!$A$4:$C$1020,3,FALSE)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102" t="str">
        <f>VLOOKUP(J305,'&lt;Constants&gt;'!$A$4:$B$1020,2,FALSE)</f>
        <v>DLC_BASE_GAME</v>
      </c>
      <c r="L305" s="102" t="str">
        <f>VLOOKUP(J305,'&lt;Constants&gt;'!$A$4:$C$1020,3,FALSE)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102" t="str">
        <f>VLOOKUP(J306,'&lt;Constants&gt;'!$A$4:$B$1020,2,FALSE)</f>
        <v>DLC_BASE_GAME</v>
      </c>
      <c r="L306" s="102" t="str">
        <f>VLOOKUP(J306,'&lt;Constants&gt;'!$A$4:$C$1020,3,FALSE)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102" t="str">
        <f>VLOOKUP(J307,'&lt;Constants&gt;'!$A$4:$B$1020,2,FALSE)</f>
        <v>DLC_BASE_GAME</v>
      </c>
      <c r="L307" s="102" t="str">
        <f>VLOOKUP(J307,'&lt;Constants&gt;'!$A$4:$C$1020,3,FALSE)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102" t="str">
        <f>VLOOKUP(J308,'&lt;Constants&gt;'!$A$4:$B$1020,2,FALSE)</f>
        <v>DLC_BASE_GAME</v>
      </c>
      <c r="L308" s="102" t="str">
        <f>VLOOKUP(J308,'&lt;Constants&gt;'!$A$4:$C$1020,3,FALSE)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102" t="str">
        <f>VLOOKUP(J309,'&lt;Constants&gt;'!$A$4:$B$1020,2,FALSE)</f>
        <v>DLC_BASE_GAME</v>
      </c>
      <c r="L309" s="102" t="str">
        <f>VLOOKUP(J309,'&lt;Constants&gt;'!$A$4:$C$1020,3,FALSE)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102" t="str">
        <f>VLOOKUP(J310,'&lt;Constants&gt;'!$A$4:$B$1020,2,FALSE)</f>
        <v>DLC_BASE_GAME</v>
      </c>
      <c r="L310" s="102" t="str">
        <f>VLOOKUP(J310,'&lt;Constants&gt;'!$A$4:$C$1020,3,FALSE)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102" t="str">
        <f>VLOOKUP(J311,'&lt;Constants&gt;'!$A$4:$B$1020,2,FALSE)</f>
        <v>DLC_BASE_GAME</v>
      </c>
      <c r="L311" s="102" t="str">
        <f>VLOOKUP(J311,'&lt;Constants&gt;'!$A$4:$C$1020,3,FALSE)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102" t="str">
        <f>VLOOKUP(J312,'&lt;Constants&gt;'!$A$4:$B$1020,2,FALSE)</f>
        <v>DLC_BASE_GAME</v>
      </c>
      <c r="L312" s="102" t="str">
        <f>VLOOKUP(J312,'&lt;Constants&gt;'!$A$4:$C$1020,3,FALSE)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102" t="str">
        <f>VLOOKUP(J313,'&lt;Constants&gt;'!$A$4:$B$1020,2,FALSE)</f>
        <v>DLC_BASE_GAME</v>
      </c>
      <c r="L313" s="102" t="str">
        <f>VLOOKUP(J313,'&lt;Constants&gt;'!$A$4:$C$1020,3,FALSE)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102" t="str">
        <f>VLOOKUP(J314,'&lt;Constants&gt;'!$A$4:$B$1020,2,FALSE)</f>
        <v>DLC_BASE_GAME</v>
      </c>
      <c r="L314" s="102" t="str">
        <f>VLOOKUP(J314,'&lt;Constants&gt;'!$A$4:$C$1020,3,FALSE)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102" t="str">
        <f>VLOOKUP(J315,'&lt;Constants&gt;'!$A$4:$B$1020,2,FALSE)</f>
        <v>DLC_BASE_GAME</v>
      </c>
      <c r="L315" s="102" t="str">
        <f>VLOOKUP(J315,'&lt;Constants&gt;'!$A$4:$C$1020,3,FALSE)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102" t="str">
        <f>VLOOKUP(J316,'&lt;Constants&gt;'!$A$4:$B$1020,2,FALSE)</f>
        <v>DLC_BASE_GAME</v>
      </c>
      <c r="L316" s="102" t="str">
        <f>VLOOKUP(J316,'&lt;Constants&gt;'!$A$4:$C$1020,3,FALSE)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102" t="str">
        <f>VLOOKUP(J317,'&lt;Constants&gt;'!$A$4:$B$1020,2,FALSE)</f>
        <v>DLC_BASE_GAME</v>
      </c>
      <c r="L317" s="102" t="str">
        <f>VLOOKUP(J317,'&lt;Constants&gt;'!$A$4:$C$1020,3,FALSE)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102" t="str">
        <f>VLOOKUP(J318,'&lt;Constants&gt;'!$A$4:$B$1020,2,FALSE)</f>
        <v>DLC_BASE_GAME</v>
      </c>
      <c r="L318" s="102" t="str">
        <f>VLOOKUP(J318,'&lt;Constants&gt;'!$A$4:$C$1020,3,FALSE)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102" t="str">
        <f>VLOOKUP(J319,'&lt;Constants&gt;'!$A$4:$B$1020,2,FALSE)</f>
        <v>DLC_BASE_GAME</v>
      </c>
      <c r="L319" s="102" t="str">
        <f>VLOOKUP(J319,'&lt;Constants&gt;'!$A$4:$C$1020,3,FALSE)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102" t="str">
        <f>VLOOKUP(J320,'&lt;Constants&gt;'!$A$4:$B$1020,2,FALSE)</f>
        <v>DLC_BASE_GAME</v>
      </c>
      <c r="L320" s="102" t="str">
        <f>VLOOKUP(J320,'&lt;Constants&gt;'!$A$4:$C$1020,3,FALSE)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102" t="str">
        <f>VLOOKUP(J321,'&lt;Constants&gt;'!$A$4:$B$1020,2,FALSE)</f>
        <v>DLC_BASE_GAME</v>
      </c>
      <c r="L321" s="102" t="str">
        <f>VLOOKUP(J321,'&lt;Constants&gt;'!$A$4:$C$1020,3,FALSE)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102" t="str">
        <f>VLOOKUP(J322,'&lt;Constants&gt;'!$A$4:$B$1020,2,FALSE)</f>
        <v>DLC_BASE_GAME</v>
      </c>
      <c r="L322" s="102" t="str">
        <f>VLOOKUP(J322,'&lt;Constants&gt;'!$A$4:$C$1020,3,FALSE)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102" t="str">
        <f>VLOOKUP(J323,'&lt;Constants&gt;'!$A$4:$B$1020,2,FALSE)</f>
        <v>DLC_BASE_GAME</v>
      </c>
      <c r="L323" s="102" t="str">
        <f>VLOOKUP(J323,'&lt;Constants&gt;'!$A$4:$C$1020,3,FALSE)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102" t="str">
        <f>VLOOKUP(J324,'&lt;Constants&gt;'!$A$4:$B$1020,2,FALSE)</f>
        <v>DLC_BASE_GAME</v>
      </c>
      <c r="L324" s="102" t="str">
        <f>VLOOKUP(J324,'&lt;Constants&gt;'!$A$4:$C$1020,3,FALSE)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102" t="str">
        <f>VLOOKUP(J325,'&lt;Constants&gt;'!$A$4:$B$1020,2,FALSE)</f>
        <v>DLC_BASE_GAME</v>
      </c>
      <c r="L325" s="102" t="str">
        <f>VLOOKUP(J325,'&lt;Constants&gt;'!$A$4:$C$1020,3,FALSE)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102" t="str">
        <f>VLOOKUP(J326,'&lt;Constants&gt;'!$A$4:$B$1020,2,FALSE)</f>
        <v>DLC_BASE_GAME</v>
      </c>
      <c r="L326" s="102" t="str">
        <f>VLOOKUP(J326,'&lt;Constants&gt;'!$A$4:$C$1020,3,FALSE)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102" t="str">
        <f>VLOOKUP(J327,'&lt;Constants&gt;'!$A$4:$B$1020,2,FALSE)</f>
        <v>DLC_BASE_GAME</v>
      </c>
      <c r="L327" s="102" t="str">
        <f>VLOOKUP(J327,'&lt;Constants&gt;'!$A$4:$C$1020,3,FALSE)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102" t="str">
        <f>VLOOKUP(J328,'&lt;Constants&gt;'!$A$4:$B$1020,2,FALSE)</f>
        <v>DLC_BASE_GAME</v>
      </c>
      <c r="L328" s="102" t="str">
        <f>VLOOKUP(J328,'&lt;Constants&gt;'!$A$4:$C$1020,3,FALSE)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102" t="str">
        <f>VLOOKUP(J329,'&lt;Constants&gt;'!$A$4:$B$1020,2,FALSE)</f>
        <v>DLC_BASE_GAME</v>
      </c>
      <c r="L329" s="102" t="str">
        <f>VLOOKUP(J329,'&lt;Constants&gt;'!$A$4:$C$1020,3,FALSE)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102" t="str">
        <f>VLOOKUP(J330,'&lt;Constants&gt;'!$A$4:$B$1020,2,FALSE)</f>
        <v>DLC_BASE_GAME</v>
      </c>
      <c r="L330" s="102" t="str">
        <f>VLOOKUP(J330,'&lt;Constants&gt;'!$A$4:$C$1020,3,FALSE)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102" t="str">
        <f>VLOOKUP(J331,'&lt;Constants&gt;'!$A$4:$B$1020,2,FALSE)</f>
        <v>DLC_BASE_GAME</v>
      </c>
      <c r="L331" s="102" t="str">
        <f>VLOOKUP(J331,'&lt;Constants&gt;'!$A$4:$C$1020,3,FALSE)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102" t="str">
        <f>VLOOKUP(J332,'&lt;Constants&gt;'!$A$4:$B$1020,2,FALSE)</f>
        <v>DLC_BASE_GAME</v>
      </c>
      <c r="L332" s="102" t="str">
        <f>VLOOKUP(J332,'&lt;Constants&gt;'!$A$4:$C$1020,3,FALSE)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102" t="str">
        <f>VLOOKUP(J333,'&lt;Constants&gt;'!$A$4:$B$1020,2,FALSE)</f>
        <v>DLC_BASE_GAME</v>
      </c>
      <c r="L333" s="102" t="str">
        <f>VLOOKUP(J333,'&lt;Constants&gt;'!$A$4:$C$1020,3,FALSE)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102" t="str">
        <f>VLOOKUP(J334,'&lt;Constants&gt;'!$A$4:$B$1020,2,FALSE)</f>
        <v>DLC_BASE_GAME</v>
      </c>
      <c r="L334" s="102" t="str">
        <f>VLOOKUP(J334,'&lt;Constants&gt;'!$A$4:$C$1020,3,FALSE)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102" t="str">
        <f>VLOOKUP(J335,'&lt;Constants&gt;'!$A$4:$B$1020,2,FALSE)</f>
        <v>DLC_BASE_GAME</v>
      </c>
      <c r="L335" s="102" t="str">
        <f>VLOOKUP(J335,'&lt;Constants&gt;'!$A$4:$C$1020,3,FALSE)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102" t="str">
        <f>VLOOKUP(J336,'&lt;Constants&gt;'!$A$4:$B$1020,2,FALSE)</f>
        <v>DLC_BASE_GAME</v>
      </c>
      <c r="L336" s="102" t="str">
        <f>VLOOKUP(J336,'&lt;Constants&gt;'!$A$4:$C$1020,3,FALSE)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102" t="str">
        <f>VLOOKUP(J337,'&lt;Constants&gt;'!$A$4:$B$1020,2,FALSE)</f>
        <v>DLC_BASE_GAME</v>
      </c>
      <c r="L337" s="102" t="str">
        <f>VLOOKUP(J337,'&lt;Constants&gt;'!$A$4:$C$1020,3,FALSE)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102" t="str">
        <f>VLOOKUP(J338,'&lt;Constants&gt;'!$A$4:$B$1020,2,FALSE)</f>
        <v>DLC_BASE_GAME</v>
      </c>
      <c r="L338" s="102" t="str">
        <f>VLOOKUP(J338,'&lt;Constants&gt;'!$A$4:$C$1020,3,FALSE)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102" t="str">
        <f>VLOOKUP(J339,'&lt;Constants&gt;'!$A$4:$B$1020,2,FALSE)</f>
        <v>DLC_BASE_GAME</v>
      </c>
      <c r="L339" s="102" t="str">
        <f>VLOOKUP(J339,'&lt;Constants&gt;'!$A$4:$C$1020,3,FALSE)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102" t="str">
        <f>VLOOKUP(J340,'&lt;Constants&gt;'!$A$4:$B$1020,2,FALSE)</f>
        <v>DLC_BASE_GAME</v>
      </c>
      <c r="L340" s="102" t="str">
        <f>VLOOKUP(J340,'&lt;Constants&gt;'!$A$4:$C$1020,3,FALSE)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102" t="str">
        <f>VLOOKUP(J341,'&lt;Constants&gt;'!$A$4:$B$1020,2,FALSE)</f>
        <v>DLC_MORROWIND</v>
      </c>
      <c r="L341" s="102" t="str">
        <f>VLOOKUP(J341,'&lt;Constants&gt;'!$A$4:$C$1020,3,FALSE)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102" t="str">
        <f>VLOOKUP(J342,'&lt;Constants&gt;'!$A$4:$B$1020,2,FALSE)</f>
        <v>DLC_BASE_GAME</v>
      </c>
      <c r="L342" s="102" t="str">
        <f>VLOOKUP(J342,'&lt;Constants&gt;'!$A$4:$C$1020,3,FALSE)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102" t="str">
        <f>VLOOKUP(J343,'&lt;Constants&gt;'!$A$4:$B$1020,2,FALSE)</f>
        <v>DLC_BASE_GAME</v>
      </c>
      <c r="L343" s="102" t="str">
        <f>VLOOKUP(J343,'&lt;Constants&gt;'!$A$4:$C$1020,3,FALSE)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102" t="str">
        <f>VLOOKUP(J344,'&lt;Constants&gt;'!$A$4:$B$1020,2,FALSE)</f>
        <v>DLC_BASE_GAME</v>
      </c>
      <c r="L344" s="102" t="str">
        <f>VLOOKUP(J344,'&lt;Constants&gt;'!$A$4:$C$1020,3,FALSE)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102" t="str">
        <f>VLOOKUP(J345,'&lt;Constants&gt;'!$A$4:$B$1020,2,FALSE)</f>
        <v>DLC_BASE_GAME</v>
      </c>
      <c r="L345" s="102" t="str">
        <f>VLOOKUP(J345,'&lt;Constants&gt;'!$A$4:$C$1020,3,FALSE)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102" t="str">
        <f>VLOOKUP(J346,'&lt;Constants&gt;'!$A$4:$B$1020,2,FALSE)</f>
        <v>DLC_BASE_GAME</v>
      </c>
      <c r="L346" s="102" t="str">
        <f>VLOOKUP(J346,'&lt;Constants&gt;'!$A$4:$C$1020,3,FALSE)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102" t="str">
        <f>VLOOKUP(J347,'&lt;Constants&gt;'!$A$4:$B$1020,2,FALSE)</f>
        <v>DLC_BASE_GAME</v>
      </c>
      <c r="L347" s="102" t="str">
        <f>VLOOKUP(J347,'&lt;Constants&gt;'!$A$4:$C$1020,3,FALSE)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102" t="str">
        <f>VLOOKUP(J348,'&lt;Constants&gt;'!$A$4:$B$1020,2,FALSE)</f>
        <v>DLC_BASE_GAME</v>
      </c>
      <c r="L348" s="102" t="str">
        <f>VLOOKUP(J348,'&lt;Constants&gt;'!$A$4:$C$1020,3,FALSE)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102" t="str">
        <f>VLOOKUP(J349,'&lt;Constants&gt;'!$A$4:$B$1020,2,FALSE)</f>
        <v>DLC_BASE_GAME</v>
      </c>
      <c r="L349" s="102" t="str">
        <f>VLOOKUP(J349,'&lt;Constants&gt;'!$A$4:$C$1020,3,FALSE)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102" t="str">
        <f>VLOOKUP(J350,'&lt;Constants&gt;'!$A$4:$B$1020,2,FALSE)</f>
        <v>DLC_BASE_GAME</v>
      </c>
      <c r="L350" s="102" t="str">
        <f>VLOOKUP(J350,'&lt;Constants&gt;'!$A$4:$C$1020,3,FALSE)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102" t="str">
        <f>VLOOKUP(J351,'&lt;Constants&gt;'!$A$4:$B$1020,2,FALSE)</f>
        <v>DLC_BASE_GAME</v>
      </c>
      <c r="L351" s="102" t="str">
        <f>VLOOKUP(J351,'&lt;Constants&gt;'!$A$4:$C$1020,3,FALSE)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102" t="str">
        <f>VLOOKUP(J352,'&lt;Constants&gt;'!$A$4:$B$1020,2,FALSE)</f>
        <v>DLC_IMPERIAL_CITY</v>
      </c>
      <c r="L352" s="102" t="str">
        <f>VLOOKUP(J352,'&lt;Constants&gt;'!$A$4:$C$1020,3,FALSE)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102" t="str">
        <f>VLOOKUP(J353,'&lt;Constants&gt;'!$A$4:$B$1020,2,FALSE)</f>
        <v>DLC_BASE_GAME</v>
      </c>
      <c r="L353" s="102" t="str">
        <f>VLOOKUP(J353,'&lt;Constants&gt;'!$A$4:$C$1020,3,FALSE)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102" t="str">
        <f>VLOOKUP(J354,'&lt;Constants&gt;'!$A$4:$B$1020,2,FALSE)</f>
        <v>DLC_BASE_GAME</v>
      </c>
      <c r="L354" s="102" t="str">
        <f>VLOOKUP(J354,'&lt;Constants&gt;'!$A$4:$C$1020,3,FALSE)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102" t="str">
        <f>VLOOKUP(J355,'&lt;Constants&gt;'!$A$4:$B$1020,2,FALSE)</f>
        <v>DLC_BASE_GAME</v>
      </c>
      <c r="L355" s="102" t="str">
        <f>VLOOKUP(J355,'&lt;Constants&gt;'!$A$4:$C$1020,3,FALSE)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102" t="str">
        <f>VLOOKUP(J356,'&lt;Constants&gt;'!$A$4:$B$1020,2,FALSE)</f>
        <v>DLC_BASE_GAME</v>
      </c>
      <c r="L356" s="102" t="str">
        <f>VLOOKUP(J356,'&lt;Constants&gt;'!$A$4:$C$1020,3,FALSE)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102" t="str">
        <f>VLOOKUP(J357,'&lt;Constants&gt;'!$A$4:$B$1020,2,FALSE)</f>
        <v>DLC_BASE_GAME</v>
      </c>
      <c r="L357" s="102" t="str">
        <f>VLOOKUP(J357,'&lt;Constants&gt;'!$A$4:$C$1020,3,FALSE)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102" t="str">
        <f>VLOOKUP(J358,'&lt;Constants&gt;'!$A$4:$B$1020,2,FALSE)</f>
        <v>DLC_BASE_GAME</v>
      </c>
      <c r="L358" s="102" t="str">
        <f>VLOOKUP(J358,'&lt;Constants&gt;'!$A$4:$C$1020,3,FALSE)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102" t="str">
        <f>VLOOKUP(J359,'&lt;Constants&gt;'!$A$4:$B$1020,2,FALSE)</f>
        <v>DLC_BASE_GAME</v>
      </c>
      <c r="L359" s="102" t="str">
        <f>VLOOKUP(J359,'&lt;Constants&gt;'!$A$4:$C$1020,3,FALSE)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102" t="str">
        <f>VLOOKUP(J360,'&lt;Constants&gt;'!$A$4:$B$1020,2,FALSE)</f>
        <v>DLC_BASE_GAME</v>
      </c>
      <c r="L360" s="102" t="str">
        <f>VLOOKUP(J360,'&lt;Constants&gt;'!$A$4:$C$1020,3,FALSE)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102" t="str">
        <f>VLOOKUP(J361,'&lt;Constants&gt;'!$A$4:$B$1020,2,FALSE)</f>
        <v>DLC_BASE_GAME</v>
      </c>
      <c r="L361" s="102" t="str">
        <f>VLOOKUP(J361,'&lt;Constants&gt;'!$A$4:$C$1020,3,FALSE)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102" t="str">
        <f>VLOOKUP(J362,'&lt;Constants&gt;'!$A$4:$B$1020,2,FALSE)</f>
        <v>DLC_BASE_GAME</v>
      </c>
      <c r="L362" s="102" t="str">
        <f>VLOOKUP(J362,'&lt;Constants&gt;'!$A$4:$C$1020,3,FALSE)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102" t="str">
        <f>VLOOKUP(J363,'&lt;Constants&gt;'!$A$4:$B$1020,2,FALSE)</f>
        <v>DLC_BASE_GAME</v>
      </c>
      <c r="L363" s="102" t="str">
        <f>VLOOKUP(J363,'&lt;Constants&gt;'!$A$4:$C$1020,3,FALSE)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102" t="str">
        <f>VLOOKUP(J364,'&lt;Constants&gt;'!$A$4:$B$1020,2,FALSE)</f>
        <v>DLC_BASE_GAME</v>
      </c>
      <c r="L364" s="102" t="str">
        <f>VLOOKUP(J364,'&lt;Constants&gt;'!$A$4:$C$1020,3,FALSE)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102" t="str">
        <f>VLOOKUP(J365,'&lt;Constants&gt;'!$A$4:$B$1020,2,FALSE)</f>
        <v>DLC_BASE_GAME</v>
      </c>
      <c r="L365" s="102" t="str">
        <f>VLOOKUP(J365,'&lt;Constants&gt;'!$A$4:$C$1020,3,FALSE)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102" t="str">
        <f>VLOOKUP(J366,'&lt;Constants&gt;'!$A$4:$B$1020,2,FALSE)</f>
        <v>DLC_BASE_GAME</v>
      </c>
      <c r="L366" s="102" t="str">
        <f>VLOOKUP(J366,'&lt;Constants&gt;'!$A$4:$C$1020,3,FALSE)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102" t="str">
        <f>VLOOKUP(J367,'&lt;Constants&gt;'!$A$4:$B$1020,2,FALSE)</f>
        <v>DLC_BASE_GAME</v>
      </c>
      <c r="L367" s="102" t="str">
        <f>VLOOKUP(J367,'&lt;Constants&gt;'!$A$4:$C$1020,3,FALSE)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102" t="str">
        <f>VLOOKUP(J368,'&lt;Constants&gt;'!$A$4:$B$1020,2,FALSE)</f>
        <v>DLC_BASE_GAME</v>
      </c>
      <c r="L368" s="102" t="str">
        <f>VLOOKUP(J368,'&lt;Constants&gt;'!$A$4:$C$1020,3,FALSE)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102" t="str">
        <f>VLOOKUP(J369,'&lt;Constants&gt;'!$A$4:$B$1020,2,FALSE)</f>
        <v>DLC_BASE_GAME</v>
      </c>
      <c r="L369" s="102" t="str">
        <f>VLOOKUP(J369,'&lt;Constants&gt;'!$A$4:$C$1020,3,FALSE)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102" t="str">
        <f>VLOOKUP(J370,'&lt;Constants&gt;'!$A$4:$B$1020,2,FALSE)</f>
        <v>DLC_BASE_GAME</v>
      </c>
      <c r="L370" s="102" t="str">
        <f>VLOOKUP(J370,'&lt;Constants&gt;'!$A$4:$C$1020,3,FALSE)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102" t="str">
        <f>VLOOKUP(J371,'&lt;Constants&gt;'!$A$4:$B$1020,2,FALSE)</f>
        <v>DLC_BASE_GAME</v>
      </c>
      <c r="L371" s="102" t="str">
        <f>VLOOKUP(J371,'&lt;Constants&gt;'!$A$4:$C$1020,3,FALSE)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102" t="str">
        <f>VLOOKUP(J372,'&lt;Constants&gt;'!$A$4:$B$1020,2,FALSE)</f>
        <v>DLC_BASE_GAME</v>
      </c>
      <c r="L372" s="102" t="str">
        <f>VLOOKUP(J372,'&lt;Constants&gt;'!$A$4:$C$1020,3,FALSE)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102" t="str">
        <f>VLOOKUP(J373,'&lt;Constants&gt;'!$A$4:$B$1020,2,FALSE)</f>
        <v>DLC_BASE_GAME</v>
      </c>
      <c r="L373" s="102" t="str">
        <f>VLOOKUP(J373,'&lt;Constants&gt;'!$A$4:$C$1020,3,FALSE)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102" t="str">
        <f>VLOOKUP(J374,'&lt;Constants&gt;'!$A$4:$B$1020,2,FALSE)</f>
        <v>DLC_BASE_GAME</v>
      </c>
      <c r="L374" s="102" t="str">
        <f>VLOOKUP(J374,'&lt;Constants&gt;'!$A$4:$C$1020,3,FALSE)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102" t="str">
        <f>VLOOKUP(J375,'&lt;Constants&gt;'!$A$4:$B$1020,2,FALSE)</f>
        <v>DLC_BASE_GAME</v>
      </c>
      <c r="L375" s="102" t="str">
        <f>VLOOKUP(J375,'&lt;Constants&gt;'!$A$4:$C$1020,3,FALSE)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102" t="str">
        <f>VLOOKUP(J376,'&lt;Constants&gt;'!$A$4:$B$1020,2,FALSE)</f>
        <v>DLC_BASE_GAME</v>
      </c>
      <c r="L376" s="102" t="str">
        <f>VLOOKUP(J376,'&lt;Constants&gt;'!$A$4:$C$1020,3,FALSE)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102" t="str">
        <f>VLOOKUP(J377,'&lt;Constants&gt;'!$A$4:$B$1020,2,FALSE)</f>
        <v>DLC_BASE_GAME</v>
      </c>
      <c r="L377" s="102" t="str">
        <f>VLOOKUP(J377,'&lt;Constants&gt;'!$A$4:$C$1020,3,FALSE)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102" t="str">
        <f>VLOOKUP(J378,'&lt;Constants&gt;'!$A$4:$B$1020,2,FALSE)</f>
        <v>DLC_MORROWIND</v>
      </c>
      <c r="L378" s="102" t="str">
        <f>VLOOKUP(J378,'&lt;Constants&gt;'!$A$4:$C$1020,3,FALSE)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102" t="str">
        <f>VLOOKUP(J379,'&lt;Constants&gt;'!$A$4:$B$1020,2,FALSE)</f>
        <v>DLC_IMPERIAL_CITY</v>
      </c>
      <c r="L379" s="102" t="str">
        <f>VLOOKUP(J379,'&lt;Constants&gt;'!$A$4:$C$1020,3,FALSE)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102" t="str">
        <f>VLOOKUP(J380,'&lt;Constants&gt;'!$A$4:$B$1020,2,FALSE)</f>
        <v>DLC_SUMMERSET</v>
      </c>
      <c r="L380" s="102" t="str">
        <f>VLOOKUP(J380,'&lt;Constants&gt;'!$A$4:$C$1020,3,FALSE)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102" t="str">
        <f>VLOOKUP(J381,'&lt;Constants&gt;'!$A$4:$B$1020,2,FALSE)</f>
        <v>DLC_THIEVES_GUILD</v>
      </c>
      <c r="L381" s="102" t="str">
        <f>VLOOKUP(J381,'&lt;Constants&gt;'!$A$4:$C$1020,3,FALSE)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102" t="str">
        <f>VLOOKUP(J382,'&lt;Constants&gt;'!$A$4:$B$1020,2,FALSE)</f>
        <v>DLC_ORSINIUM</v>
      </c>
      <c r="L382" s="102" t="str">
        <f>VLOOKUP(J382,'&lt;Constants&gt;'!$A$4:$C$1020,3,FALSE)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102" t="str">
        <f>VLOOKUP(J383,'&lt;Constants&gt;'!$A$4:$B$1020,2,FALSE)</f>
        <v>DLC_IMPERIAL_CITY</v>
      </c>
      <c r="L383" s="102" t="str">
        <f>VLOOKUP(J383,'&lt;Constants&gt;'!$A$4:$C$1020,3,FALSE)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102" t="str">
        <f>VLOOKUP(J384,'&lt;Constants&gt;'!$A$4:$B$1020,2,FALSE)</f>
        <v>DLC_BASE_GAME</v>
      </c>
      <c r="L384" s="102" t="str">
        <f>VLOOKUP(J384,'&lt;Constants&gt;'!$A$4:$C$1020,3,FALSE)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102" t="str">
        <f>VLOOKUP(J385,'&lt;Constants&gt;'!$A$4:$B$1020,2,FALSE)</f>
        <v>DLC_ORSINIUM</v>
      </c>
      <c r="L385" s="102" t="str">
        <f>VLOOKUP(J385,'&lt;Constants&gt;'!$A$4:$C$1020,3,FALSE)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102" t="str">
        <f>VLOOKUP(J386,'&lt;Constants&gt;'!$A$4:$B$1020,2,FALSE)</f>
        <v>DLC_IMPERIAL_CITY</v>
      </c>
      <c r="L386" s="102" t="str">
        <f>VLOOKUP(J386,'&lt;Constants&gt;'!$A$4:$C$1020,3,FALSE)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102" t="str">
        <f>VLOOKUP(J387,'&lt;Constants&gt;'!$A$4:$B$1020,2,FALSE)</f>
        <v>DLC_ORSINIUM</v>
      </c>
      <c r="L387" s="102" t="str">
        <f>VLOOKUP(J387,'&lt;Constants&gt;'!$A$4:$C$1020,3,FALSE)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102" t="str">
        <f>VLOOKUP(J388,'&lt;Constants&gt;'!$A$4:$B$1020,2,FALSE)</f>
        <v>DLC_ORSINIUM</v>
      </c>
      <c r="L388" s="102" t="str">
        <f>VLOOKUP(J388,'&lt;Constants&gt;'!$A$4:$C$1020,3,FALSE)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102" t="str">
        <f>VLOOKUP(J389,'&lt;Constants&gt;'!$A$4:$B$1020,2,FALSE)</f>
        <v>DLC_ORSINIUM</v>
      </c>
      <c r="L389" s="102" t="str">
        <f>VLOOKUP(J389,'&lt;Constants&gt;'!$A$4:$C$1020,3,FALSE)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102" t="str">
        <f>VLOOKUP(J390,'&lt;Constants&gt;'!$A$4:$B$1020,2,FALSE)</f>
        <v>DLC_ORSINIUM</v>
      </c>
      <c r="L390" s="102" t="str">
        <f>VLOOKUP(J390,'&lt;Constants&gt;'!$A$4:$C$1020,3,FALSE)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102" t="str">
        <f>VLOOKUP(J391,'&lt;Constants&gt;'!$A$4:$B$1020,2,FALSE)</f>
        <v>DLC_ORSINIUM</v>
      </c>
      <c r="L391" s="102" t="str">
        <f>VLOOKUP(J391,'&lt;Constants&gt;'!$A$4:$C$1020,3,FALSE)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102" t="str">
        <f>VLOOKUP(J392,'&lt;Constants&gt;'!$A$4:$B$1020,2,FALSE)</f>
        <v>DLC_ORSINIUM</v>
      </c>
      <c r="L392" s="102" t="str">
        <f>VLOOKUP(J392,'&lt;Constants&gt;'!$A$4:$C$1020,3,FALSE)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102" t="str">
        <f>VLOOKUP(J393,'&lt;Constants&gt;'!$A$4:$B$1020,2,FALSE)</f>
        <v>DLC_ORSINIUM</v>
      </c>
      <c r="L393" s="102" t="str">
        <f>VLOOKUP(J393,'&lt;Constants&gt;'!$A$4:$C$1020,3,FALSE)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102" t="str">
        <f>VLOOKUP(J394,'&lt;Constants&gt;'!$A$4:$B$1020,2,FALSE)</f>
        <v>DLC_ORSINIUM</v>
      </c>
      <c r="L394" s="102" t="str">
        <f>VLOOKUP(J394,'&lt;Constants&gt;'!$A$4:$C$1020,3,FALSE)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102" t="str">
        <f>VLOOKUP(J395,'&lt;Constants&gt;'!$A$4:$B$1020,2,FALSE)</f>
        <v>DLC_ORSINIUM</v>
      </c>
      <c r="L395" s="102" t="str">
        <f>VLOOKUP(J395,'&lt;Constants&gt;'!$A$4:$C$1020,3,FALSE)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102" t="str">
        <f>VLOOKUP(J396,'&lt;Constants&gt;'!$A$4:$B$1020,2,FALSE)</f>
        <v>DLC_ORSINIUM</v>
      </c>
      <c r="L396" s="102" t="str">
        <f>VLOOKUP(J396,'&lt;Constants&gt;'!$A$4:$C$1020,3,FALSE)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102" t="str">
        <f>VLOOKUP(J397,'&lt;Constants&gt;'!$A$4:$B$1020,2,FALSE)</f>
        <v>DLC_ORSINIUM</v>
      </c>
      <c r="L397" s="102" t="str">
        <f>VLOOKUP(J397,'&lt;Constants&gt;'!$A$4:$C$1020,3,FALSE)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102" t="str">
        <f>VLOOKUP(J398,'&lt;Constants&gt;'!$A$4:$B$1020,2,FALSE)</f>
        <v>DLC_ORSINIUM</v>
      </c>
      <c r="L398" s="102" t="str">
        <f>VLOOKUP(J398,'&lt;Constants&gt;'!$A$4:$C$1020,3,FALSE)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102" t="str">
        <f>VLOOKUP(J399,'&lt;Constants&gt;'!$A$4:$B$1020,2,FALSE)</f>
        <v>DLC_ORSINIUM</v>
      </c>
      <c r="L399" s="102" t="str">
        <f>VLOOKUP(J399,'&lt;Constants&gt;'!$A$4:$C$1020,3,FALSE)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102" t="str">
        <f>VLOOKUP(J400,'&lt;Constants&gt;'!$A$4:$B$1020,2,FALSE)</f>
        <v>DLC_ORSINIUM</v>
      </c>
      <c r="L400" s="102" t="str">
        <f>VLOOKUP(J400,'&lt;Constants&gt;'!$A$4:$C$1020,3,FALSE)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102" t="str">
        <f>VLOOKUP(J401,'&lt;Constants&gt;'!$A$4:$B$1020,2,FALSE)</f>
        <v>DLC_ORSINIUM</v>
      </c>
      <c r="L401" s="102" t="str">
        <f>VLOOKUP(J401,'&lt;Constants&gt;'!$A$4:$C$1020,3,FALSE)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102" t="str">
        <f>VLOOKUP(J402,'&lt;Constants&gt;'!$A$4:$B$1020,2,FALSE)</f>
        <v>DLC_ORSINIUM</v>
      </c>
      <c r="L402" s="102" t="str">
        <f>VLOOKUP(J402,'&lt;Constants&gt;'!$A$4:$C$1020,3,FALSE)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102" t="str">
        <f>VLOOKUP(J403,'&lt;Constants&gt;'!$A$4:$B$1020,2,FALSE)</f>
        <v>DLC_ORSINIUM</v>
      </c>
      <c r="L403" s="102" t="str">
        <f>VLOOKUP(J403,'&lt;Constants&gt;'!$A$4:$C$1020,3,FALSE)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102" t="str">
        <f>VLOOKUP(J404,'&lt;Constants&gt;'!$A$4:$B$1020,2,FALSE)</f>
        <v>DLC_ORSINIUM</v>
      </c>
      <c r="L404" s="102" t="str">
        <f>VLOOKUP(J404,'&lt;Constants&gt;'!$A$4:$C$1020,3,FALSE)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102" t="str">
        <f>VLOOKUP(J405,'&lt;Constants&gt;'!$A$4:$B$1020,2,FALSE)</f>
        <v>DLC_ORSINIUM</v>
      </c>
      <c r="L405" s="102" t="str">
        <f>VLOOKUP(J405,'&lt;Constants&gt;'!$A$4:$C$1020,3,FALSE)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102" t="str">
        <f>VLOOKUP(J406,'&lt;Constants&gt;'!$A$4:$B$1020,2,FALSE)</f>
        <v>DLC_ORSINIUM</v>
      </c>
      <c r="L406" s="102" t="str">
        <f>VLOOKUP(J406,'&lt;Constants&gt;'!$A$4:$C$1020,3,FALSE)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102" t="str">
        <f>VLOOKUP(J407,'&lt;Constants&gt;'!$A$4:$B$1020,2,FALSE)</f>
        <v>DLC_ORSINIUM</v>
      </c>
      <c r="L407" s="102" t="str">
        <f>VLOOKUP(J407,'&lt;Constants&gt;'!$A$4:$C$1020,3,FALSE)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102" t="str">
        <f>VLOOKUP(J408,'&lt;Constants&gt;'!$A$4:$B$1020,2,FALSE)</f>
        <v>DLC_ORSINIUM</v>
      </c>
      <c r="L408" s="102" t="str">
        <f>VLOOKUP(J408,'&lt;Constants&gt;'!$A$4:$C$1020,3,FALSE)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102" t="str">
        <f>VLOOKUP(J409,'&lt;Constants&gt;'!$A$4:$B$1020,2,FALSE)</f>
        <v>DLC_SUMMERSET</v>
      </c>
      <c r="L409" s="102" t="str">
        <f>VLOOKUP(J409,'&lt;Constants&gt;'!$A$4:$C$1020,3,FALSE)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102" t="str">
        <f>VLOOKUP(J410,'&lt;Constants&gt;'!$A$4:$B$1020,2,FALSE)</f>
        <v>DLC_BASE_GAME</v>
      </c>
      <c r="L410" s="102" t="str">
        <f>VLOOKUP(J410,'&lt;Constants&gt;'!$A$4:$C$1020,3,FALSE)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102" t="str">
        <f>VLOOKUP(J411,'&lt;Constants&gt;'!$A$4:$B$1020,2,FALSE)</f>
        <v>DLC_ORSINIUM</v>
      </c>
      <c r="L411" s="102" t="str">
        <f>VLOOKUP(J411,'&lt;Constants&gt;'!$A$4:$C$1020,3,FALSE)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102" t="str">
        <f>VLOOKUP(J412,'&lt;Constants&gt;'!$A$4:$B$1020,2,FALSE)</f>
        <v>DLC_THIEVES_GUILD</v>
      </c>
      <c r="L412" s="102" t="str">
        <f>VLOOKUP(J412,'&lt;Constants&gt;'!$A$4:$C$1020,3,FALSE)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102" t="str">
        <f>VLOOKUP(J413,'&lt;Constants&gt;'!$A$4:$B$1020,2,FALSE)</f>
        <v>DLC_ELSWEYR</v>
      </c>
      <c r="L413" s="102" t="str">
        <f>VLOOKUP(J413,'&lt;Constants&gt;'!$A$4:$C$1020,3,FALSE)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102" t="str">
        <f>VLOOKUP(J414,'&lt;Constants&gt;'!$A$4:$B$1020,2,FALSE)</f>
        <v>DLC_BASE_GAME</v>
      </c>
      <c r="L414" s="102" t="str">
        <f>VLOOKUP(J414,'&lt;Constants&gt;'!$A$4:$C$1020,3,FALSE)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102" t="str">
        <f>VLOOKUP(J415,'&lt;Constants&gt;'!$A$4:$B$1020,2,FALSE)</f>
        <v>DLC_BASE_GAME</v>
      </c>
      <c r="L415" s="102" t="str">
        <f>VLOOKUP(J415,'&lt;Constants&gt;'!$A$4:$C$1020,3,FALSE)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102" t="str">
        <f>VLOOKUP(J416,'&lt;Constants&gt;'!$A$4:$B$1020,2,FALSE)</f>
        <v>DLC_BASE_GAME</v>
      </c>
      <c r="L416" s="102" t="str">
        <f>VLOOKUP(J416,'&lt;Constants&gt;'!$A$4:$C$1020,3,FALSE)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102" t="str">
        <f>VLOOKUP(J417,'&lt;Constants&gt;'!$A$4:$B$1020,2,FALSE)</f>
        <v>DLC_BASE_GAME</v>
      </c>
      <c r="L417" s="102" t="str">
        <f>VLOOKUP(J417,'&lt;Constants&gt;'!$A$4:$C$1020,3,FALSE)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102" t="str">
        <f>VLOOKUP(J418,'&lt;Constants&gt;'!$A$4:$B$1020,2,FALSE)</f>
        <v>DLC_BASE_GAME</v>
      </c>
      <c r="L418" s="102" t="str">
        <f>VLOOKUP(J418,'&lt;Constants&gt;'!$A$4:$C$1020,3,FALSE)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102" t="str">
        <f>VLOOKUP(J419,'&lt;Constants&gt;'!$A$4:$B$1020,2,FALSE)</f>
        <v>DLC_BASE_GAME</v>
      </c>
      <c r="L419" s="102" t="str">
        <f>VLOOKUP(J419,'&lt;Constants&gt;'!$A$4:$C$1020,3,FALSE)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102" t="str">
        <f>VLOOKUP(J420,'&lt;Constants&gt;'!$A$4:$B$1020,2,FALSE)</f>
        <v>DLC_BASE_GAME</v>
      </c>
      <c r="L420" s="102" t="str">
        <f>VLOOKUP(J420,'&lt;Constants&gt;'!$A$4:$C$1020,3,FALSE)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102" t="str">
        <f>VLOOKUP(J421,'&lt;Constants&gt;'!$A$4:$B$1020,2,FALSE)</f>
        <v>DLC_BASE_GAME</v>
      </c>
      <c r="L421" s="102" t="str">
        <f>VLOOKUP(J421,'&lt;Constants&gt;'!$A$4:$C$1020,3,FALSE)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102" t="str">
        <f>VLOOKUP(J422,'&lt;Constants&gt;'!$A$4:$B$1020,2,FALSE)</f>
        <v>DLC_BASE_GAME</v>
      </c>
      <c r="L422" s="102" t="str">
        <f>VLOOKUP(J422,'&lt;Constants&gt;'!$A$4:$C$1020,3,FALSE)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102" t="str">
        <f>VLOOKUP(J423,'&lt;Constants&gt;'!$A$4:$B$1020,2,FALSE)</f>
        <v>DLC_BASE_GAME</v>
      </c>
      <c r="L423" s="102" t="str">
        <f>VLOOKUP(J423,'&lt;Constants&gt;'!$A$4:$C$1020,3,FALSE)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102" t="str">
        <f>VLOOKUP(J424,'&lt;Constants&gt;'!$A$4:$B$1020,2,FALSE)</f>
        <v>DLC_BASE_GAME</v>
      </c>
      <c r="L424" s="102" t="str">
        <f>VLOOKUP(J424,'&lt;Constants&gt;'!$A$4:$C$1020,3,FALSE)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102" t="str">
        <f>VLOOKUP(J425,'&lt;Constants&gt;'!$A$4:$B$1020,2,FALSE)</f>
        <v>DLC_BASE_GAME</v>
      </c>
      <c r="L425" s="102" t="str">
        <f>VLOOKUP(J425,'&lt;Constants&gt;'!$A$4:$C$1020,3,FALSE)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102" t="str">
        <f>VLOOKUP(J426,'&lt;Constants&gt;'!$A$4:$B$1020,2,FALSE)</f>
        <v>DLC_BASE_GAME</v>
      </c>
      <c r="L426" s="102" t="str">
        <f>VLOOKUP(J426,'&lt;Constants&gt;'!$A$4:$C$1020,3,FALSE)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102" t="str">
        <f>VLOOKUP(J427,'&lt;Constants&gt;'!$A$4:$B$1020,2,FALSE)</f>
        <v>DLC_BASE_GAME</v>
      </c>
      <c r="L427" s="102" t="str">
        <f>VLOOKUP(J427,'&lt;Constants&gt;'!$A$4:$C$1020,3,FALSE)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102" t="str">
        <f>VLOOKUP(J428,'&lt;Constants&gt;'!$A$4:$B$1020,2,FALSE)</f>
        <v>DLC_BASE_GAME</v>
      </c>
      <c r="L428" s="102" t="str">
        <f>VLOOKUP(J428,'&lt;Constants&gt;'!$A$4:$C$1020,3,FALSE)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102" t="str">
        <f>VLOOKUP(J429,'&lt;Constants&gt;'!$A$4:$B$1020,2,FALSE)</f>
        <v>DLC_BASE_GAME</v>
      </c>
      <c r="L429" s="102" t="str">
        <f>VLOOKUP(J429,'&lt;Constants&gt;'!$A$4:$C$1020,3,FALSE)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102" t="str">
        <f>VLOOKUP(J430,'&lt;Constants&gt;'!$A$4:$B$1020,2,FALSE)</f>
        <v>DLC_BASE_GAME</v>
      </c>
      <c r="L430" s="102" t="str">
        <f>VLOOKUP(J430,'&lt;Constants&gt;'!$A$4:$C$1020,3,FALSE)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102" t="str">
        <f>VLOOKUP(J431,'&lt;Constants&gt;'!$A$4:$B$1020,2,FALSE)</f>
        <v>DLC_THIEVES_GUILD</v>
      </c>
      <c r="L431" s="102" t="str">
        <f>VLOOKUP(J431,'&lt;Constants&gt;'!$A$4:$C$1020,3,FALSE)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102" t="str">
        <f>VLOOKUP(J432,'&lt;Constants&gt;'!$A$4:$B$1020,2,FALSE)</f>
        <v>DLC_THIEVES_GUILD</v>
      </c>
      <c r="L432" s="102" t="str">
        <f>VLOOKUP(J432,'&lt;Constants&gt;'!$A$4:$C$1020,3,FALSE)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102" t="str">
        <f>VLOOKUP(J433,'&lt;Constants&gt;'!$A$4:$B$1020,2,FALSE)</f>
        <v>DLC_DARK_BROTHERHOOD</v>
      </c>
      <c r="L433" s="102" t="str">
        <f>VLOOKUP(J433,'&lt;Constants&gt;'!$A$4:$C$1020,3,FALSE)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102" t="str">
        <f>VLOOKUP(J434,'&lt;Constants&gt;'!$A$4:$B$1020,2,FALSE)</f>
        <v>DLC_DARK_BROTHERHOOD</v>
      </c>
      <c r="L434" s="102" t="str">
        <f>VLOOKUP(J434,'&lt;Constants&gt;'!$A$4:$C$1020,3,FALSE)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102" t="str">
        <f>VLOOKUP(J435,'&lt;Constants&gt;'!$A$4:$B$1020,2,FALSE)</f>
        <v>DLC_THIEVES_GUILD</v>
      </c>
      <c r="L435" s="102" t="str">
        <f>VLOOKUP(J435,'&lt;Constants&gt;'!$A$4:$C$1020,3,FALSE)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102" t="str">
        <f>VLOOKUP(J436,'&lt;Constants&gt;'!$A$4:$B$1020,2,FALSE)</f>
        <v>DLC_DARK_BROTHERHOOD</v>
      </c>
      <c r="L436" s="102" t="str">
        <f>VLOOKUP(J436,'&lt;Constants&gt;'!$A$4:$C$1020,3,FALSE)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102" t="str">
        <f>VLOOKUP(J437,'&lt;Constants&gt;'!$A$4:$B$1020,2,FALSE)</f>
        <v>DLC_THIEVES_GUILD</v>
      </c>
      <c r="L437" s="102" t="str">
        <f>VLOOKUP(J437,'&lt;Constants&gt;'!$A$4:$C$1020,3,FALSE)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102" t="str">
        <f>VLOOKUP(J438,'&lt;Constants&gt;'!$A$4:$B$1020,2,FALSE)</f>
        <v>DLC_THIEVES_GUILD</v>
      </c>
      <c r="L438" s="102" t="str">
        <f>VLOOKUP(J438,'&lt;Constants&gt;'!$A$4:$C$1020,3,FALSE)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102" t="str">
        <f>VLOOKUP(J439,'&lt;Constants&gt;'!$A$4:$B$1020,2,FALSE)</f>
        <v>DLC_BASE_GAME</v>
      </c>
      <c r="L439" s="102" t="str">
        <f>VLOOKUP(J439,'&lt;Constants&gt;'!$A$4:$C$1020,3,FALSE)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102" t="str">
        <f>VLOOKUP(J440,'&lt;Constants&gt;'!$A$4:$B$1020,2,FALSE)</f>
        <v>DLC_ELSWEYR</v>
      </c>
      <c r="L440" s="102" t="str">
        <f>VLOOKUP(J440,'&lt;Constants&gt;'!$A$4:$C$1020,3,FALSE)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102" t="str">
        <f>VLOOKUP(J441,'&lt;Constants&gt;'!$A$4:$B$1020,2,FALSE)</f>
        <v>DLC_ORSINIUM</v>
      </c>
      <c r="L441" s="102" t="str">
        <f>VLOOKUP(J441,'&lt;Constants&gt;'!$A$4:$C$1020,3,FALSE)</f>
        <v>Orsinium</v>
      </c>
    </row>
    <row r="442" spans="1:12" x14ac:dyDescent="0.25">
      <c r="A442">
        <v>808</v>
      </c>
      <c r="B442">
        <v>437</v>
      </c>
      <c r="C442">
        <v>1160</v>
      </c>
      <c r="D442" t="s">
        <v>1686</v>
      </c>
      <c r="E442" t="str">
        <f>IF(NOT(ISERROR(VLOOKUP(D442,'ESO DungeonFinder'!$A$2:$A$999,1,FALSE))),"X","")</f>
        <v/>
      </c>
      <c r="F442" s="102" t="str">
        <f t="shared" si="27"/>
        <v/>
      </c>
      <c r="G442" s="102" t="str">
        <f t="shared" si="28"/>
        <v>Western Skyrim</v>
      </c>
      <c r="H442" s="103">
        <f t="shared" si="29"/>
        <v>808</v>
      </c>
      <c r="I442" s="103">
        <f t="shared" si="30"/>
        <v>1160</v>
      </c>
      <c r="J442">
        <v>18</v>
      </c>
      <c r="K442" s="102" t="str">
        <f>VLOOKUP(J442,'&lt;Constants&gt;'!$A$4:$B$1020,2,FALSE)</f>
        <v>DLC_GREYMOOR</v>
      </c>
      <c r="L442" s="102" t="str">
        <f>VLOOKUP(J442,'&lt;Constants&gt;'!$A$4:$C$1020,3,FALSE)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102" t="str">
        <f>VLOOKUP(J443,'&lt;Constants&gt;'!$A$4:$B$1020,2,FALSE)</f>
        <v>DLC_BASE_GAME</v>
      </c>
      <c r="L443" s="102" t="str">
        <f>VLOOKUP(J443,'&lt;Constants&gt;'!$A$4:$C$1020,3,FALSE)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102" t="str">
        <f>VLOOKUP(J444,'&lt;Constants&gt;'!$A$4:$B$1020,2,FALSE)</f>
        <v>DLC_BASE_GAME</v>
      </c>
      <c r="L444" s="102" t="str">
        <f>VLOOKUP(J444,'&lt;Constants&gt;'!$A$4:$C$1020,3,FALSE)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102" t="str">
        <f>VLOOKUP(J445,'&lt;Constants&gt;'!$A$4:$B$1020,2,FALSE)</f>
        <v>DLC_BASE_GAME</v>
      </c>
      <c r="L445" s="102" t="str">
        <f>VLOOKUP(J445,'&lt;Constants&gt;'!$A$4:$C$1020,3,FALSE)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102" t="str">
        <f>VLOOKUP(J446,'&lt;Constants&gt;'!$A$4:$B$1020,2,FALSE)</f>
        <v>DLC_ORSINIUM</v>
      </c>
      <c r="L446" s="102" t="str">
        <f>VLOOKUP(J446,'&lt;Constants&gt;'!$A$4:$C$1020,3,FALSE)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102" t="str">
        <f>VLOOKUP(J447,'&lt;Constants&gt;'!$A$4:$B$1020,2,FALSE)</f>
        <v>DLC_ORSINIUM</v>
      </c>
      <c r="L447" s="102" t="str">
        <f>VLOOKUP(J447,'&lt;Constants&gt;'!$A$4:$C$1020,3,FALSE)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102" t="str">
        <f>VLOOKUP(J448,'&lt;Constants&gt;'!$A$4:$B$1020,2,FALSE)</f>
        <v>DLC_STONETHORN</v>
      </c>
      <c r="L448" s="102" t="str">
        <f>VLOOKUP(J448,'&lt;Constants&gt;'!$A$4:$C$1020,3,FALSE)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102" t="str">
        <f>VLOOKUP(J449,'&lt;Constants&gt;'!$A$4:$B$1020,2,FALSE)</f>
        <v>DLC_THIEVES_GUILD</v>
      </c>
      <c r="L449" s="102" t="str">
        <f>VLOOKUP(J449,'&lt;Constants&gt;'!$A$4:$C$1020,3,FALSE)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102" t="str">
        <f>VLOOKUP(J450,'&lt;Constants&gt;'!$A$4:$B$1020,2,FALSE)</f>
        <v>DLC_THIEVES_GUILD</v>
      </c>
      <c r="L450" s="102" t="str">
        <f>VLOOKUP(J450,'&lt;Constants&gt;'!$A$4:$C$1020,3,FALSE)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102" t="str">
        <f>VLOOKUP(J451,'&lt;Constants&gt;'!$A$4:$B$1020,2,FALSE)</f>
        <v>DLC_THIEVES_GUILD</v>
      </c>
      <c r="L451" s="102" t="str">
        <f>VLOOKUP(J451,'&lt;Constants&gt;'!$A$4:$C$1020,3,FALSE)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102" t="str">
        <f>VLOOKUP(J452,'&lt;Constants&gt;'!$A$4:$B$1020,2,FALSE)</f>
        <v>DLC_THIEVES_GUILD</v>
      </c>
      <c r="L452" s="102" t="str">
        <f>VLOOKUP(J452,'&lt;Constants&gt;'!$A$4:$C$1020,3,FALSE)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102" t="str">
        <f>VLOOKUP(J453,'&lt;Constants&gt;'!$A$4:$B$1020,2,FALSE)</f>
        <v>DLC_THIEVES_GUILD</v>
      </c>
      <c r="L453" s="102" t="str">
        <f>VLOOKUP(J453,'&lt;Constants&gt;'!$A$4:$C$1020,3,FALSE)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102" t="str">
        <f>VLOOKUP(J454,'&lt;Constants&gt;'!$A$4:$B$1020,2,FALSE)</f>
        <v>DLC_MARKARTH</v>
      </c>
      <c r="L454" s="102" t="str">
        <f>VLOOKUP(J454,'&lt;Constants&gt;'!$A$4:$C$1020,3,FALSE)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102" t="str">
        <f>VLOOKUP(J455,'&lt;Constants&gt;'!$A$4:$B$1020,2,FALSE)</f>
        <v>DLC_DARK_BROTHERHOOD</v>
      </c>
      <c r="L455" s="102" t="str">
        <f>VLOOKUP(J455,'&lt;Constants&gt;'!$A$4:$C$1020,3,FALSE)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102" t="str">
        <f>VLOOKUP(J456,'&lt;Constants&gt;'!$A$4:$B$1020,2,FALSE)</f>
        <v>DLC_DARK_BROTHERHOOD</v>
      </c>
      <c r="L456" s="102" t="str">
        <f>VLOOKUP(J456,'&lt;Constants&gt;'!$A$4:$C$1020,3,FALSE)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102" t="str">
        <f>VLOOKUP(J457,'&lt;Constants&gt;'!$A$4:$B$1020,2,FALSE)</f>
        <v>DLC_DARK_BROTHERHOOD</v>
      </c>
      <c r="L457" s="102" t="str">
        <f>VLOOKUP(J457,'&lt;Constants&gt;'!$A$4:$C$1020,3,FALSE)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102" t="str">
        <f>VLOOKUP(J458,'&lt;Constants&gt;'!$A$4:$B$1020,2,FALSE)</f>
        <v>DLC_DARK_BROTHERHOOD</v>
      </c>
      <c r="L458" s="102" t="str">
        <f>VLOOKUP(J458,'&lt;Constants&gt;'!$A$4:$C$1020,3,FALSE)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102" t="str">
        <f>VLOOKUP(J459,'&lt;Constants&gt;'!$A$4:$B$1020,2,FALSE)</f>
        <v>DLC_DARK_BROTHERHOOD</v>
      </c>
      <c r="L459" s="102" t="str">
        <f>VLOOKUP(J459,'&lt;Constants&gt;'!$A$4:$C$1020,3,FALSE)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102" t="str">
        <f>VLOOKUP(J460,'&lt;Constants&gt;'!$A$4:$B$1020,2,FALSE)</f>
        <v>DLC_DARK_BROTHERHOOD</v>
      </c>
      <c r="L460" s="102" t="str">
        <f>VLOOKUP(J460,'&lt;Constants&gt;'!$A$4:$C$1020,3,FALSE)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102" t="str">
        <f>VLOOKUP(J461,'&lt;Constants&gt;'!$A$4:$B$1020,2,FALSE)</f>
        <v>DLC_DARK_BROTHERHOOD</v>
      </c>
      <c r="L461" s="102" t="str">
        <f>VLOOKUP(J461,'&lt;Constants&gt;'!$A$4:$C$1020,3,FALSE)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102" t="str">
        <f>VLOOKUP(J462,'&lt;Constants&gt;'!$A$4:$B$1020,2,FALSE)</f>
        <v>DLC_DARK_BROTHERHOOD</v>
      </c>
      <c r="L462" s="102" t="str">
        <f>VLOOKUP(J462,'&lt;Constants&gt;'!$A$4:$C$1020,3,FALSE)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102" t="str">
        <f>VLOOKUP(J463,'&lt;Constants&gt;'!$A$4:$B$1020,2,FALSE)</f>
        <v>DLC_DARK_BROTHERHOOD</v>
      </c>
      <c r="L463" s="102" t="str">
        <f>VLOOKUP(J463,'&lt;Constants&gt;'!$A$4:$C$1020,3,FALSE)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102" t="str">
        <f>VLOOKUP(J464,'&lt;Constants&gt;'!$A$4:$B$1020,2,FALSE)</f>
        <v>DLC_THIEVES_GUILD</v>
      </c>
      <c r="L464" s="102" t="str">
        <f>VLOOKUP(J464,'&lt;Constants&gt;'!$A$4:$C$1020,3,FALSE)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102" t="str">
        <f>VLOOKUP(J465,'&lt;Constants&gt;'!$A$4:$B$1020,2,FALSE)</f>
        <v>DLC_DARK_BROTHERHOOD</v>
      </c>
      <c r="L465" s="102" t="str">
        <f>VLOOKUP(J465,'&lt;Constants&gt;'!$A$4:$C$1020,3,FALSE)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102" t="str">
        <f>VLOOKUP(J466,'&lt;Constants&gt;'!$A$4:$B$1020,2,FALSE)</f>
        <v>DLC_DARK_BROTHERHOOD</v>
      </c>
      <c r="L466" s="102" t="str">
        <f>VLOOKUP(J466,'&lt;Constants&gt;'!$A$4:$C$1020,3,FALSE)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102" t="str">
        <f>VLOOKUP(J467,'&lt;Constants&gt;'!$A$4:$B$1020,2,FALSE)</f>
        <v>DLC_DARK_BROTHERHOOD</v>
      </c>
      <c r="L467" s="102" t="str">
        <f>VLOOKUP(J467,'&lt;Constants&gt;'!$A$4:$C$1020,3,FALSE)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102" t="str">
        <f>VLOOKUP(J468,'&lt;Constants&gt;'!$A$4:$B$1020,2,FALSE)</f>
        <v>DLC_DARK_BROTHERHOOD</v>
      </c>
      <c r="L468" s="102" t="str">
        <f>VLOOKUP(J468,'&lt;Constants&gt;'!$A$4:$C$1020,3,FALSE)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102" t="str">
        <f>VLOOKUP(J469,'&lt;Constants&gt;'!$A$4:$B$1020,2,FALSE)</f>
        <v>DLC_SHADOWS_OF_THE_HIST</v>
      </c>
      <c r="L469" s="102" t="str">
        <f>VLOOKUP(J469,'&lt;Constants&gt;'!$A$4:$C$1020,3,FALSE)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102" t="str">
        <f>VLOOKUP(J470,'&lt;Constants&gt;'!$A$4:$B$1020,2,FALSE)</f>
        <v>DLC_THIEVES_GUILD</v>
      </c>
      <c r="L470" s="102" t="str">
        <f>VLOOKUP(J470,'&lt;Constants&gt;'!$A$4:$C$1020,3,FALSE)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102" t="str">
        <f>VLOOKUP(J471,'&lt;Constants&gt;'!$A$4:$B$1020,2,FALSE)</f>
        <v>DLC_THIEVES_GUILD</v>
      </c>
      <c r="L471" s="102" t="str">
        <f>VLOOKUP(J471,'&lt;Constants&gt;'!$A$4:$C$1020,3,FALSE)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102" t="str">
        <f>VLOOKUP(J472,'&lt;Constants&gt;'!$A$4:$B$1020,2,FALSE)</f>
        <v>DLC_SHADOWS_OF_THE_HIST</v>
      </c>
      <c r="L472" s="102" t="str">
        <f>VLOOKUP(J472,'&lt;Constants&gt;'!$A$4:$C$1020,3,FALSE)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102" t="str">
        <f>VLOOKUP(J473,'&lt;Constants&gt;'!$A$4:$B$1020,2,FALSE)</f>
        <v>DLC_BLACKWOOD</v>
      </c>
      <c r="L473" s="102" t="str">
        <f>VLOOKUP(J473,'&lt;Constants&gt;'!$A$4:$C$1020,3,FALSE)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102" t="str">
        <f>VLOOKUP(J474,'&lt;Constants&gt;'!$A$4:$B$1020,2,FALSE)</f>
        <v>DLC_BASE_GAME</v>
      </c>
      <c r="L474" s="102" t="str">
        <f>VLOOKUP(J474,'&lt;Constants&gt;'!$A$4:$C$1020,3,FALSE)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102" t="str">
        <f>VLOOKUP(J475,'&lt;Constants&gt;'!$A$4:$B$1020,2,FALSE)</f>
        <v>DLC_BASE_GAME</v>
      </c>
      <c r="L475" s="102" t="str">
        <f>VLOOKUP(J475,'&lt;Constants&gt;'!$A$4:$C$1020,3,FALSE)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102" t="str">
        <f>VLOOKUP(J476,'&lt;Constants&gt;'!$A$4:$B$1020,2,FALSE)</f>
        <v>DLC_BASE_GAME</v>
      </c>
      <c r="L476" s="102" t="str">
        <f>VLOOKUP(J476,'&lt;Constants&gt;'!$A$4:$C$1020,3,FALSE)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102" t="str">
        <f>VLOOKUP(J477,'&lt;Constants&gt;'!$A$4:$B$1020,2,FALSE)</f>
        <v>DLC_BASE_GAME</v>
      </c>
      <c r="L477" s="102" t="str">
        <f>VLOOKUP(J477,'&lt;Constants&gt;'!$A$4:$C$1020,3,FALSE)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102" t="str">
        <f>VLOOKUP(J478,'&lt;Constants&gt;'!$A$4:$B$1020,2,FALSE)</f>
        <v>DLC_BASE_GAME</v>
      </c>
      <c r="L478" s="102" t="str">
        <f>VLOOKUP(J478,'&lt;Constants&gt;'!$A$4:$C$1020,3,FALSE)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102" t="str">
        <f>VLOOKUP(J479,'&lt;Constants&gt;'!$A$4:$B$1020,2,FALSE)</f>
        <v>DLC_BASE_GAME</v>
      </c>
      <c r="L479" s="102" t="str">
        <f>VLOOKUP(J479,'&lt;Constants&gt;'!$A$4:$C$1020,3,FALSE)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102" t="str">
        <f>VLOOKUP(J480,'&lt;Constants&gt;'!$A$4:$B$1020,2,FALSE)</f>
        <v>DLC_BASE_GAME</v>
      </c>
      <c r="L480" s="102" t="str">
        <f>VLOOKUP(J480,'&lt;Constants&gt;'!$A$4:$C$1020,3,FALSE)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102" t="str">
        <f>VLOOKUP(J481,'&lt;Constants&gt;'!$A$4:$B$1020,2,FALSE)</f>
        <v>DLC_BASE_GAME</v>
      </c>
      <c r="L481" s="102" t="str">
        <f>VLOOKUP(J481,'&lt;Constants&gt;'!$A$4:$C$1020,3,FALSE)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102" t="str">
        <f>VLOOKUP(J482,'&lt;Constants&gt;'!$A$4:$B$1020,2,FALSE)</f>
        <v>DLC_BASE_GAME</v>
      </c>
      <c r="L482" s="102" t="str">
        <f>VLOOKUP(J482,'&lt;Constants&gt;'!$A$4:$C$1020,3,FALSE)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102" t="str">
        <f>VLOOKUP(J483,'&lt;Constants&gt;'!$A$4:$B$1020,2,FALSE)</f>
        <v>DLC_BASE_GAME</v>
      </c>
      <c r="L483" s="102" t="str">
        <f>VLOOKUP(J483,'&lt;Constants&gt;'!$A$4:$C$1020,3,FALSE)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102" t="str">
        <f>VLOOKUP(J484,'&lt;Constants&gt;'!$A$4:$B$1020,2,FALSE)</f>
        <v>DLC_BASE_GAME</v>
      </c>
      <c r="L484" s="102" t="str">
        <f>VLOOKUP(J484,'&lt;Constants&gt;'!$A$4:$C$1020,3,FALSE)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102" t="str">
        <f>VLOOKUP(J485,'&lt;Constants&gt;'!$A$4:$B$1020,2,FALSE)</f>
        <v>DLC_BASE_GAME</v>
      </c>
      <c r="L485" s="102" t="str">
        <f>VLOOKUP(J485,'&lt;Constants&gt;'!$A$4:$C$1020,3,FALSE)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102" t="str">
        <f>VLOOKUP(J486,'&lt;Constants&gt;'!$A$4:$B$1020,2,FALSE)</f>
        <v>DLC_BASE_GAME</v>
      </c>
      <c r="L486" s="102" t="str">
        <f>VLOOKUP(J486,'&lt;Constants&gt;'!$A$4:$C$1020,3,FALSE)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102" t="str">
        <f>VLOOKUP(J487,'&lt;Constants&gt;'!$A$4:$B$1020,2,FALSE)</f>
        <v>DLC_BASE_GAME</v>
      </c>
      <c r="L487" s="102" t="str">
        <f>VLOOKUP(J487,'&lt;Constants&gt;'!$A$4:$C$1020,3,FALSE)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102" t="str">
        <f>VLOOKUP(J488,'&lt;Constants&gt;'!$A$4:$B$1020,2,FALSE)</f>
        <v>DLC_BASE_GAME</v>
      </c>
      <c r="L488" s="102" t="str">
        <f>VLOOKUP(J488,'&lt;Constants&gt;'!$A$4:$C$1020,3,FALSE)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102" t="str">
        <f>VLOOKUP(J489,'&lt;Constants&gt;'!$A$4:$B$1020,2,FALSE)</f>
        <v>DLC_BASE_GAME</v>
      </c>
      <c r="L489" s="102" t="str">
        <f>VLOOKUP(J489,'&lt;Constants&gt;'!$A$4:$C$1020,3,FALSE)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102" t="str">
        <f>VLOOKUP(J490,'&lt;Constants&gt;'!$A$4:$B$1020,2,FALSE)</f>
        <v>DLC_BASE_GAME</v>
      </c>
      <c r="L490" s="102" t="str">
        <f>VLOOKUP(J490,'&lt;Constants&gt;'!$A$4:$C$1020,3,FALSE)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102" t="str">
        <f>VLOOKUP(J491,'&lt;Constants&gt;'!$A$4:$B$1020,2,FALSE)</f>
        <v>DLC_BASE_GAME</v>
      </c>
      <c r="L491" s="102" t="str">
        <f>VLOOKUP(J491,'&lt;Constants&gt;'!$A$4:$C$1020,3,FALSE)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102" t="str">
        <f>VLOOKUP(J492,'&lt;Constants&gt;'!$A$4:$B$1020,2,FALSE)</f>
        <v>DLC_BASE_GAME</v>
      </c>
      <c r="L492" s="102" t="str">
        <f>VLOOKUP(J492,'&lt;Constants&gt;'!$A$4:$C$1020,3,FALSE)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102" t="str">
        <f>VLOOKUP(J493,'&lt;Constants&gt;'!$A$4:$B$1020,2,FALSE)</f>
        <v>DLC_BASE_GAME</v>
      </c>
      <c r="L493" s="102" t="str">
        <f>VLOOKUP(J493,'&lt;Constants&gt;'!$A$4:$C$1020,3,FALSE)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102" t="str">
        <f>VLOOKUP(J494,'&lt;Constants&gt;'!$A$4:$B$1020,2,FALSE)</f>
        <v>DLC_BASE_GAME</v>
      </c>
      <c r="L494" s="102" t="str">
        <f>VLOOKUP(J494,'&lt;Constants&gt;'!$A$4:$C$1020,3,FALSE)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102" t="str">
        <f>VLOOKUP(J495,'&lt;Constants&gt;'!$A$4:$B$1020,2,FALSE)</f>
        <v>DLC_BASE_GAME</v>
      </c>
      <c r="L495" s="102" t="str">
        <f>VLOOKUP(J495,'&lt;Constants&gt;'!$A$4:$C$1020,3,FALSE)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102" t="str">
        <f>VLOOKUP(J496,'&lt;Constants&gt;'!$A$4:$B$1020,2,FALSE)</f>
        <v>DLC_BASE_GAME</v>
      </c>
      <c r="L496" s="102" t="str">
        <f>VLOOKUP(J496,'&lt;Constants&gt;'!$A$4:$C$1020,3,FALSE)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102" t="str">
        <f>VLOOKUP(J497,'&lt;Constants&gt;'!$A$4:$B$1020,2,FALSE)</f>
        <v>DLC_BASE_GAME</v>
      </c>
      <c r="L497" s="102" t="str">
        <f>VLOOKUP(J497,'&lt;Constants&gt;'!$A$4:$C$1020,3,FALSE)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102" t="str">
        <f>VLOOKUP(J498,'&lt;Constants&gt;'!$A$4:$B$1020,2,FALSE)</f>
        <v>DLC_BASE_GAME</v>
      </c>
      <c r="L498" s="102" t="str">
        <f>VLOOKUP(J498,'&lt;Constants&gt;'!$A$4:$C$1020,3,FALSE)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102" t="str">
        <f>VLOOKUP(J499,'&lt;Constants&gt;'!$A$4:$B$1020,2,FALSE)</f>
        <v>DLC_BASE_GAME</v>
      </c>
      <c r="L499" s="102" t="str">
        <f>VLOOKUP(J499,'&lt;Constants&gt;'!$A$4:$C$1020,3,FALSE)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102" t="str">
        <f>VLOOKUP(J500,'&lt;Constants&gt;'!$A$4:$B$1020,2,FALSE)</f>
        <v>DLC_BASE_GAME</v>
      </c>
      <c r="L500" s="102" t="str">
        <f>VLOOKUP(J500,'&lt;Constants&gt;'!$A$4:$C$1020,3,FALSE)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102" t="str">
        <f>VLOOKUP(J501,'&lt;Constants&gt;'!$A$4:$B$1020,2,FALSE)</f>
        <v>DLC_BLACKWOOD</v>
      </c>
      <c r="L501" s="102" t="str">
        <f>VLOOKUP(J501,'&lt;Constants&gt;'!$A$4:$C$1020,3,FALSE)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102" t="str">
        <f>VLOOKUP(J502,'&lt;Constants&gt;'!$A$4:$B$1020,2,FALSE)</f>
        <v>DLC_BASE_GAME</v>
      </c>
      <c r="L502" s="102" t="str">
        <f>VLOOKUP(J502,'&lt;Constants&gt;'!$A$4:$C$1020,3,FALSE)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102" t="str">
        <f>VLOOKUP(J503,'&lt;Constants&gt;'!$A$4:$B$1020,2,FALSE)</f>
        <v>DLC_BASE_GAME</v>
      </c>
      <c r="L503" s="102" t="str">
        <f>VLOOKUP(J503,'&lt;Constants&gt;'!$A$4:$C$1020,3,FALSE)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102" t="str">
        <f>VLOOKUP(J504,'&lt;Constants&gt;'!$A$4:$B$1020,2,FALSE)</f>
        <v>DLC_BASE_GAME</v>
      </c>
      <c r="L504" s="102" t="str">
        <f>VLOOKUP(J504,'&lt;Constants&gt;'!$A$4:$C$1020,3,FALSE)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102" t="str">
        <f>VLOOKUP(J505,'&lt;Constants&gt;'!$A$4:$B$1020,2,FALSE)</f>
        <v>DLC_BASE_GAME</v>
      </c>
      <c r="L505" s="102" t="str">
        <f>VLOOKUP(J505,'&lt;Constants&gt;'!$A$4:$C$1020,3,FALSE)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102" t="str">
        <f>VLOOKUP(J506,'&lt;Constants&gt;'!$A$4:$B$1020,2,FALSE)</f>
        <v>DLC_BLACKWOOD</v>
      </c>
      <c r="L506" s="102" t="str">
        <f>VLOOKUP(J506,'&lt;Constants&gt;'!$A$4:$C$1020,3,FALSE)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102" t="str">
        <f>VLOOKUP(J507,'&lt;Constants&gt;'!$A$4:$B$1020,2,FALSE)</f>
        <v>DLC_BASE_GAME</v>
      </c>
      <c r="L507" s="102" t="str">
        <f>VLOOKUP(J507,'&lt;Constants&gt;'!$A$4:$C$1020,3,FALSE)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102" t="str">
        <f>VLOOKUP(J508,'&lt;Constants&gt;'!$A$4:$B$1020,2,FALSE)</f>
        <v>DLC_BASE_GAME</v>
      </c>
      <c r="L508" s="102" t="str">
        <f>VLOOKUP(J508,'&lt;Constants&gt;'!$A$4:$C$1020,3,FALSE)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102" t="str">
        <f>VLOOKUP(J509,'&lt;Constants&gt;'!$A$4:$B$1020,2,FALSE)</f>
        <v>DLC_BASE_GAME</v>
      </c>
      <c r="L509" s="102" t="str">
        <f>VLOOKUP(J509,'&lt;Constants&gt;'!$A$4:$C$1020,3,FALSE)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102" t="str">
        <f>VLOOKUP(J510,'&lt;Constants&gt;'!$A$4:$B$1020,2,FALSE)</f>
        <v>DLC_BASE_GAME</v>
      </c>
      <c r="L510" s="102" t="str">
        <f>VLOOKUP(J510,'&lt;Constants&gt;'!$A$4:$C$1020,3,FALSE)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102" t="str">
        <f>VLOOKUP(J511,'&lt;Constants&gt;'!$A$4:$B$1020,2,FALSE)</f>
        <v>DLC_BASE_GAME</v>
      </c>
      <c r="L511" s="102" t="str">
        <f>VLOOKUP(J511,'&lt;Constants&gt;'!$A$4:$C$1020,3,FALSE)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102" t="str">
        <f>VLOOKUP(J512,'&lt;Constants&gt;'!$A$4:$B$1020,2,FALSE)</f>
        <v>DLC_BASE_GAME</v>
      </c>
      <c r="L512" s="102" t="str">
        <f>VLOOKUP(J512,'&lt;Constants&gt;'!$A$4:$C$1020,3,FALSE)</f>
        <v>Included in base game</v>
      </c>
    </row>
    <row r="513" spans="1:12" x14ac:dyDescent="0.25">
      <c r="A513">
        <v>895</v>
      </c>
      <c r="B513">
        <v>508</v>
      </c>
      <c r="C513">
        <v>888</v>
      </c>
      <c r="D513" t="s">
        <v>2396</v>
      </c>
      <c r="E513" t="str">
        <f>IF(NOT(ISERROR(VLOOKUP(D513,'ESO DungeonFinder'!$A$2:$A$999,1,FALSE))),"X","")</f>
        <v/>
      </c>
      <c r="F513" s="102" t="str">
        <f t="shared" si="31"/>
        <v/>
      </c>
      <c r="G513" s="102" t="str">
        <f t="shared" si="32"/>
        <v>Craglorn</v>
      </c>
      <c r="H513" s="103">
        <f t="shared" si="33"/>
        <v>895</v>
      </c>
      <c r="I513" s="103">
        <f t="shared" si="34"/>
        <v>888</v>
      </c>
      <c r="J513">
        <v>0</v>
      </c>
      <c r="K513" s="102" t="str">
        <f>VLOOKUP(J513,'&lt;Constants&gt;'!$A$4:$B$1020,2,FALSE)</f>
        <v>DLC_BASE_GAME</v>
      </c>
      <c r="L513" s="102" t="str">
        <f>VLOOKUP(J513,'&lt;Constants&gt;'!$A$4:$C$1020,3,FALSE)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102" t="str">
        <f>VLOOKUP(J514,'&lt;Constants&gt;'!$A$4:$B$1020,2,FALSE)</f>
        <v>DLC_BASE_GAME</v>
      </c>
      <c r="L514" s="102" t="str">
        <f>VLOOKUP(J514,'&lt;Constants&gt;'!$A$4:$C$1020,3,FALSE)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102" t="str">
        <f>VLOOKUP(J515,'&lt;Constants&gt;'!$A$4:$B$1020,2,FALSE)</f>
        <v>DLC_BASE_GAME</v>
      </c>
      <c r="L515" s="102" t="str">
        <f>VLOOKUP(J515,'&lt;Constants&gt;'!$A$4:$C$1020,3,FALSE)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102" t="str">
        <f>VLOOKUP(J516,'&lt;Constants&gt;'!$A$4:$B$1020,2,FALSE)</f>
        <v>DLC_BASE_GAME</v>
      </c>
      <c r="L516" s="102" t="str">
        <f>VLOOKUP(J516,'&lt;Constants&gt;'!$A$4:$C$1020,3,FALSE)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102" t="str">
        <f>VLOOKUP(J517,'&lt;Constants&gt;'!$A$4:$B$1020,2,FALSE)</f>
        <v>DLC_BASE_GAME</v>
      </c>
      <c r="L517" s="102" t="str">
        <f>VLOOKUP(J517,'&lt;Constants&gt;'!$A$4:$C$1020,3,FALSE)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102" t="str">
        <f>VLOOKUP(J518,'&lt;Constants&gt;'!$A$4:$B$1020,2,FALSE)</f>
        <v>DLC_BASE_GAME</v>
      </c>
      <c r="L518" s="102" t="str">
        <f>VLOOKUP(J518,'&lt;Constants&gt;'!$A$4:$C$1020,3,FALSE)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102" t="str">
        <f>VLOOKUP(J519,'&lt;Constants&gt;'!$A$4:$B$1020,2,FALSE)</f>
        <v>DLC_BASE_GAME</v>
      </c>
      <c r="L519" s="102" t="str">
        <f>VLOOKUP(J519,'&lt;Constants&gt;'!$A$4:$C$1020,3,FALSE)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102" t="str">
        <f>VLOOKUP(J520,'&lt;Constants&gt;'!$A$4:$B$1020,2,FALSE)</f>
        <v>DLC_BASE_GAME</v>
      </c>
      <c r="L520" s="102" t="str">
        <f>VLOOKUP(J520,'&lt;Constants&gt;'!$A$4:$C$1020,3,FALSE)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102" t="str">
        <f>VLOOKUP(J521,'&lt;Constants&gt;'!$A$4:$B$1020,2,FALSE)</f>
        <v>DLC_BASE_GAME</v>
      </c>
      <c r="L521" s="102" t="str">
        <f>VLOOKUP(J521,'&lt;Constants&gt;'!$A$4:$C$1020,3,FALSE)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102" t="str">
        <f>VLOOKUP(J522,'&lt;Constants&gt;'!$A$4:$B$1020,2,FALSE)</f>
        <v>DLC_BASE_GAME</v>
      </c>
      <c r="L522" s="102" t="str">
        <f>VLOOKUP(J522,'&lt;Constants&gt;'!$A$4:$C$1020,3,FALSE)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102" t="str">
        <f>VLOOKUP(J523,'&lt;Constants&gt;'!$A$4:$B$1020,2,FALSE)</f>
        <v>DLC_BASE_GAME</v>
      </c>
      <c r="L523" s="102" t="str">
        <f>VLOOKUP(J523,'&lt;Constants&gt;'!$A$4:$C$1020,3,FALSE)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102" t="str">
        <f>VLOOKUP(J524,'&lt;Constants&gt;'!$A$4:$B$1020,2,FALSE)</f>
        <v>DLC_BASE_GAME</v>
      </c>
      <c r="L524" s="102" t="str">
        <f>VLOOKUP(J524,'&lt;Constants&gt;'!$A$4:$C$1020,3,FALSE)</f>
        <v>Included in base game</v>
      </c>
    </row>
    <row r="525" spans="1:12" x14ac:dyDescent="0.25">
      <c r="A525">
        <v>907</v>
      </c>
      <c r="B525">
        <v>520</v>
      </c>
      <c r="C525">
        <v>888</v>
      </c>
      <c r="D525" t="s">
        <v>3862</v>
      </c>
      <c r="E525" t="str">
        <f>IF(NOT(ISERROR(VLOOKUP(D525,'ESO DungeonFinder'!$A$2:$A$999,1,FALSE))),"X","")</f>
        <v/>
      </c>
      <c r="F525" s="102" t="str">
        <f t="shared" si="35"/>
        <v/>
      </c>
      <c r="G525" s="102" t="str">
        <f t="shared" si="36"/>
        <v>Craglorn</v>
      </c>
      <c r="H525" s="103">
        <f t="shared" si="37"/>
        <v>907</v>
      </c>
      <c r="I525" s="103">
        <f t="shared" si="38"/>
        <v>888</v>
      </c>
      <c r="J525">
        <v>0</v>
      </c>
      <c r="K525" s="102" t="str">
        <f>VLOOKUP(J525,'&lt;Constants&gt;'!$A$4:$B$1020,2,FALSE)</f>
        <v>DLC_BASE_GAME</v>
      </c>
      <c r="L525" s="102" t="str">
        <f>VLOOKUP(J525,'&lt;Constants&gt;'!$A$4:$C$1020,3,FALSE)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102" t="str">
        <f>VLOOKUP(J526,'&lt;Constants&gt;'!$A$4:$B$1020,2,FALSE)</f>
        <v>DLC_BASE_GAME</v>
      </c>
      <c r="L526" s="102" t="str">
        <f>VLOOKUP(J526,'&lt;Constants&gt;'!$A$4:$C$1020,3,FALSE)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102" t="str">
        <f>VLOOKUP(J527,'&lt;Constants&gt;'!$A$4:$B$1020,2,FALSE)</f>
        <v>DLC_BASE_GAME</v>
      </c>
      <c r="L527" s="102" t="str">
        <f>VLOOKUP(J527,'&lt;Constants&gt;'!$A$4:$C$1020,3,FALSE)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102" t="str">
        <f>VLOOKUP(J528,'&lt;Constants&gt;'!$A$4:$B$1020,2,FALSE)</f>
        <v>DLC_BASE_GAME</v>
      </c>
      <c r="L528" s="102" t="str">
        <f>VLOOKUP(J528,'&lt;Constants&gt;'!$A$4:$C$1020,3,FALSE)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102" t="str">
        <f>VLOOKUP(J529,'&lt;Constants&gt;'!$A$4:$B$1020,2,FALSE)</f>
        <v>DLC_BASE_GAME</v>
      </c>
      <c r="L529" s="102" t="str">
        <f>VLOOKUP(J529,'&lt;Constants&gt;'!$A$4:$C$1020,3,FALSE)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102" t="str">
        <f>VLOOKUP(J530,'&lt;Constants&gt;'!$A$4:$B$1020,2,FALSE)</f>
        <v>DLC_BASE_GAME</v>
      </c>
      <c r="L530" s="102" t="str">
        <f>VLOOKUP(J530,'&lt;Constants&gt;'!$A$4:$C$1020,3,FALSE)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102" t="str">
        <f>VLOOKUP(J531,'&lt;Constants&gt;'!$A$4:$B$1020,2,FALSE)</f>
        <v>DLC_BASE_GAME</v>
      </c>
      <c r="L531" s="102" t="str">
        <f>VLOOKUP(J531,'&lt;Constants&gt;'!$A$4:$C$1020,3,FALSE)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102" t="str">
        <f>VLOOKUP(J532,'&lt;Constants&gt;'!$A$4:$B$1020,2,FALSE)</f>
        <v>DLC_BASE_GAME</v>
      </c>
      <c r="L532" s="102" t="str">
        <f>VLOOKUP(J532,'&lt;Constants&gt;'!$A$4:$C$1020,3,FALSE)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102" t="str">
        <f>VLOOKUP(J533,'&lt;Constants&gt;'!$A$4:$B$1020,2,FALSE)</f>
        <v>DLC_BASE_GAME</v>
      </c>
      <c r="L533" s="102" t="str">
        <f>VLOOKUP(J533,'&lt;Constants&gt;'!$A$4:$C$1020,3,FALSE)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102" t="str">
        <f>VLOOKUP(J534,'&lt;Constants&gt;'!$A$4:$B$1020,2,FALSE)</f>
        <v>DLC_ASCENDING_TIDE</v>
      </c>
      <c r="L534" s="102" t="str">
        <f>VLOOKUP(J534,'&lt;Constants&gt;'!$A$4:$C$1020,3,FALSE)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102" t="str">
        <f>VLOOKUP(J535,'&lt;Constants&gt;'!$A$4:$B$1020,2,FALSE)</f>
        <v>DLC_MORROWIND</v>
      </c>
      <c r="L535" s="102" t="str">
        <f>VLOOKUP(J535,'&lt;Constants&gt;'!$A$4:$C$1020,3,FALSE)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102" t="str">
        <f>VLOOKUP(J536,'&lt;Constants&gt;'!$A$4:$B$1020,2,FALSE)</f>
        <v>DLC_MORROWIND</v>
      </c>
      <c r="L536" s="102" t="str">
        <f>VLOOKUP(J536,'&lt;Constants&gt;'!$A$4:$C$1020,3,FALSE)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102" t="str">
        <f>VLOOKUP(J537,'&lt;Constants&gt;'!$A$4:$B$1020,2,FALSE)</f>
        <v>DLC_MORROWIND</v>
      </c>
      <c r="L537" s="102" t="str">
        <f>VLOOKUP(J537,'&lt;Constants&gt;'!$A$4:$C$1020,3,FALSE)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102" t="str">
        <f>VLOOKUP(J538,'&lt;Constants&gt;'!$A$4:$B$1020,2,FALSE)</f>
        <v>DLC_MORROWIND</v>
      </c>
      <c r="L538" s="102" t="str">
        <f>VLOOKUP(J538,'&lt;Constants&gt;'!$A$4:$C$1020,3,FALSE)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102" t="str">
        <f>VLOOKUP(J539,'&lt;Constants&gt;'!$A$4:$B$1020,2,FALSE)</f>
        <v>DLC_MORROWIND</v>
      </c>
      <c r="L539" s="102" t="str">
        <f>VLOOKUP(J539,'&lt;Constants&gt;'!$A$4:$C$1020,3,FALSE)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102" t="str">
        <f>VLOOKUP(J540,'&lt;Constants&gt;'!$A$4:$B$1020,2,FALSE)</f>
        <v>DLC_MORROWIND</v>
      </c>
      <c r="L540" s="102" t="str">
        <f>VLOOKUP(J540,'&lt;Constants&gt;'!$A$4:$C$1020,3,FALSE)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102" t="str">
        <f>VLOOKUP(J541,'&lt;Constants&gt;'!$A$4:$B$1020,2,FALSE)</f>
        <v>DLC_MORROWIND</v>
      </c>
      <c r="L541" s="102" t="str">
        <f>VLOOKUP(J541,'&lt;Constants&gt;'!$A$4:$C$1020,3,FALSE)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102" t="str">
        <f>VLOOKUP(J542,'&lt;Constants&gt;'!$A$4:$B$1020,2,FALSE)</f>
        <v>DLC_MORROWIND</v>
      </c>
      <c r="L542" s="102" t="str">
        <f>VLOOKUP(J542,'&lt;Constants&gt;'!$A$4:$C$1020,3,FALSE)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102" t="str">
        <f>VLOOKUP(J543,'&lt;Constants&gt;'!$A$4:$B$1020,2,FALSE)</f>
        <v>DLC_MORROWIND</v>
      </c>
      <c r="L543" s="102" t="str">
        <f>VLOOKUP(J543,'&lt;Constants&gt;'!$A$4:$C$1020,3,FALSE)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102" t="str">
        <f>VLOOKUP(J544,'&lt;Constants&gt;'!$A$4:$B$1020,2,FALSE)</f>
        <v>DLC_MORROWIND</v>
      </c>
      <c r="L544" s="102" t="str">
        <f>VLOOKUP(J544,'&lt;Constants&gt;'!$A$4:$C$1020,3,FALSE)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102" t="str">
        <f>VLOOKUP(J545,'&lt;Constants&gt;'!$A$4:$B$1020,2,FALSE)</f>
        <v>DLC_MORROWIND</v>
      </c>
      <c r="L545" s="102" t="str">
        <f>VLOOKUP(J545,'&lt;Constants&gt;'!$A$4:$C$1020,3,FALSE)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102" t="str">
        <f>VLOOKUP(J546,'&lt;Constants&gt;'!$A$4:$B$1020,2,FALSE)</f>
        <v>DLC_MORROWIND</v>
      </c>
      <c r="L546" s="102" t="str">
        <f>VLOOKUP(J546,'&lt;Constants&gt;'!$A$4:$C$1020,3,FALSE)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102" t="str">
        <f>VLOOKUP(J547,'&lt;Constants&gt;'!$A$4:$B$1020,2,FALSE)</f>
        <v>DLC_BASE_GAME</v>
      </c>
      <c r="L547" s="102" t="str">
        <f>VLOOKUP(J547,'&lt;Constants&gt;'!$A$4:$C$1020,3,FALSE)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102" t="str">
        <f>VLOOKUP(J548,'&lt;Constants&gt;'!$A$4:$B$1020,2,FALSE)</f>
        <v>DLC_BASE_GAME</v>
      </c>
      <c r="L548" s="102" t="str">
        <f>VLOOKUP(J548,'&lt;Constants&gt;'!$A$4:$C$1020,3,FALSE)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102" t="str">
        <f>VLOOKUP(J549,'&lt;Constants&gt;'!$A$4:$B$1020,2,FALSE)</f>
        <v>DLC_BASE_GAME</v>
      </c>
      <c r="L549" s="102" t="str">
        <f>VLOOKUP(J549,'&lt;Constants&gt;'!$A$4:$C$1020,3,FALSE)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102" t="str">
        <f>VLOOKUP(J550,'&lt;Constants&gt;'!$A$4:$B$1020,2,FALSE)</f>
        <v>DLC_BASE_GAME</v>
      </c>
      <c r="L550" s="102" t="str">
        <f>VLOOKUP(J550,'&lt;Constants&gt;'!$A$4:$C$1020,3,FALSE)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102" t="str">
        <f>VLOOKUP(J551,'&lt;Constants&gt;'!$A$4:$B$1020,2,FALSE)</f>
        <v>DLC_BASE_GAME</v>
      </c>
      <c r="L551" s="102" t="str">
        <f>VLOOKUP(J551,'&lt;Constants&gt;'!$A$4:$C$1020,3,FALSE)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102" t="str">
        <f>VLOOKUP(J552,'&lt;Constants&gt;'!$A$4:$B$1020,2,FALSE)</f>
        <v>DLC_BASE_GAME</v>
      </c>
      <c r="L552" s="102" t="str">
        <f>VLOOKUP(J552,'&lt;Constants&gt;'!$A$4:$C$1020,3,FALSE)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102" t="str">
        <f>VLOOKUP(J553,'&lt;Constants&gt;'!$A$4:$B$1020,2,FALSE)</f>
        <v>DLC_BASE_GAME</v>
      </c>
      <c r="L553" s="102" t="str">
        <f>VLOOKUP(J553,'&lt;Constants&gt;'!$A$4:$C$1020,3,FALSE)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102" t="str">
        <f>VLOOKUP(J554,'&lt;Constants&gt;'!$A$4:$B$1020,2,FALSE)</f>
        <v>DLC_BASE_GAME</v>
      </c>
      <c r="L554" s="102" t="str">
        <f>VLOOKUP(J554,'&lt;Constants&gt;'!$A$4:$C$1020,3,FALSE)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102" t="str">
        <f>VLOOKUP(J555,'&lt;Constants&gt;'!$A$4:$B$1020,2,FALSE)</f>
        <v>DLC_BASE_GAME</v>
      </c>
      <c r="L555" s="102" t="str">
        <f>VLOOKUP(J555,'&lt;Constants&gt;'!$A$4:$C$1020,3,FALSE)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102" t="str">
        <f>VLOOKUP(J556,'&lt;Constants&gt;'!$A$4:$B$1020,2,FALSE)</f>
        <v>DLC_BASE_GAME</v>
      </c>
      <c r="L556" s="102" t="str">
        <f>VLOOKUP(J556,'&lt;Constants&gt;'!$A$4:$C$1020,3,FALSE)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102" t="str">
        <f>VLOOKUP(J557,'&lt;Constants&gt;'!$A$4:$B$1020,2,FALSE)</f>
        <v>DLC_BASE_GAME</v>
      </c>
      <c r="L557" s="102" t="str">
        <f>VLOOKUP(J557,'&lt;Constants&gt;'!$A$4:$C$1020,3,FALSE)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102" t="str">
        <f>VLOOKUP(J558,'&lt;Constants&gt;'!$A$4:$B$1020,2,FALSE)</f>
        <v>DLC_BASE_GAME</v>
      </c>
      <c r="L558" s="102" t="str">
        <f>VLOOKUP(J558,'&lt;Constants&gt;'!$A$4:$C$1020,3,FALSE)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102" t="str">
        <f>VLOOKUP(J559,'&lt;Constants&gt;'!$A$4:$B$1020,2,FALSE)</f>
        <v>DLC_BASE_GAME</v>
      </c>
      <c r="L559" s="102" t="str">
        <f>VLOOKUP(J559,'&lt;Constants&gt;'!$A$4:$C$1020,3,FALSE)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102" t="str">
        <f>VLOOKUP(J560,'&lt;Constants&gt;'!$A$4:$B$1020,2,FALSE)</f>
        <v>DLC_BASE_GAME</v>
      </c>
      <c r="L560" s="102" t="str">
        <f>VLOOKUP(J560,'&lt;Constants&gt;'!$A$4:$C$1020,3,FALSE)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102" t="str">
        <f>VLOOKUP(J561,'&lt;Constants&gt;'!$A$4:$B$1020,2,FALSE)</f>
        <v>DLC_BASE_GAME</v>
      </c>
      <c r="L561" s="102" t="str">
        <f>VLOOKUP(J561,'&lt;Constants&gt;'!$A$4:$C$1020,3,FALSE)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102" t="str">
        <f>VLOOKUP(J562,'&lt;Constants&gt;'!$A$4:$B$1020,2,FALSE)</f>
        <v>DLC_BASE_GAME</v>
      </c>
      <c r="L562" s="102" t="str">
        <f>VLOOKUP(J562,'&lt;Constants&gt;'!$A$4:$C$1020,3,FALSE)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102" t="str">
        <f>VLOOKUP(J563,'&lt;Constants&gt;'!$A$4:$B$1020,2,FALSE)</f>
        <v>DLC_MORROWIND</v>
      </c>
      <c r="L563" s="102" t="str">
        <f>VLOOKUP(J563,'&lt;Constants&gt;'!$A$4:$C$1020,3,FALSE)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102" t="str">
        <f>VLOOKUP(J564,'&lt;Constants&gt;'!$A$4:$B$1020,2,FALSE)</f>
        <v>DLC_MORROWIND</v>
      </c>
      <c r="L564" s="102" t="str">
        <f>VLOOKUP(J564,'&lt;Constants&gt;'!$A$4:$C$1020,3,FALSE)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102" t="str">
        <f>VLOOKUP(J565,'&lt;Constants&gt;'!$A$4:$B$1020,2,FALSE)</f>
        <v>DLC_MORROWIND</v>
      </c>
      <c r="L565" s="102" t="str">
        <f>VLOOKUP(J565,'&lt;Constants&gt;'!$A$4:$C$1020,3,FALSE)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102" t="str">
        <f>VLOOKUP(J566,'&lt;Constants&gt;'!$A$4:$B$1020,2,FALSE)</f>
        <v>DLC_MORROWIND</v>
      </c>
      <c r="L566" s="102" t="str">
        <f>VLOOKUP(J566,'&lt;Constants&gt;'!$A$4:$C$1020,3,FALSE)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102" t="str">
        <f>VLOOKUP(J567,'&lt;Constants&gt;'!$A$4:$B$1020,2,FALSE)</f>
        <v>DLC_MORROWIND</v>
      </c>
      <c r="L567" s="102" t="str">
        <f>VLOOKUP(J567,'&lt;Constants&gt;'!$A$4:$C$1020,3,FALSE)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102" t="str">
        <f>VLOOKUP(J568,'&lt;Constants&gt;'!$A$4:$B$1020,2,FALSE)</f>
        <v>DLC_MORROWIND</v>
      </c>
      <c r="L568" s="102" t="str">
        <f>VLOOKUP(J568,'&lt;Constants&gt;'!$A$4:$C$1020,3,FALSE)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102" t="str">
        <f>VLOOKUP(J569,'&lt;Constants&gt;'!$A$4:$B$1020,2,FALSE)</f>
        <v>DLC_MORROWIND</v>
      </c>
      <c r="L569" s="102" t="str">
        <f>VLOOKUP(J569,'&lt;Constants&gt;'!$A$4:$C$1020,3,FALSE)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102" t="str">
        <f>VLOOKUP(J570,'&lt;Constants&gt;'!$A$4:$B$1020,2,FALSE)</f>
        <v>DLC_MORROWIND</v>
      </c>
      <c r="L570" s="102" t="str">
        <f>VLOOKUP(J570,'&lt;Constants&gt;'!$A$4:$C$1020,3,FALSE)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102" t="str">
        <f>VLOOKUP(J571,'&lt;Constants&gt;'!$A$4:$B$1020,2,FALSE)</f>
        <v>DLC_MORROWIND</v>
      </c>
      <c r="L571" s="102" t="str">
        <f>VLOOKUP(J571,'&lt;Constants&gt;'!$A$4:$C$1020,3,FALSE)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102" t="str">
        <f>VLOOKUP(J572,'&lt;Constants&gt;'!$A$4:$B$1020,2,FALSE)</f>
        <v>DLC_MORROWIND</v>
      </c>
      <c r="L572" s="102" t="str">
        <f>VLOOKUP(J572,'&lt;Constants&gt;'!$A$4:$C$1020,3,FALSE)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102" t="str">
        <f>VLOOKUP(J573,'&lt;Constants&gt;'!$A$4:$B$1020,2,FALSE)</f>
        <v>DLC_MORROWIND</v>
      </c>
      <c r="L573" s="102" t="str">
        <f>VLOOKUP(J573,'&lt;Constants&gt;'!$A$4:$C$1020,3,FALSE)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102" t="str">
        <f>VLOOKUP(J574,'&lt;Constants&gt;'!$A$4:$B$1020,2,FALSE)</f>
        <v>DLC_MORROWIND</v>
      </c>
      <c r="L574" s="102" t="str">
        <f>VLOOKUP(J574,'&lt;Constants&gt;'!$A$4:$C$1020,3,FALSE)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102" t="str">
        <f>VLOOKUP(J575,'&lt;Constants&gt;'!$A$4:$B$1020,2,FALSE)</f>
        <v>DLC_MORROWIND</v>
      </c>
      <c r="L575" s="102" t="str">
        <f>VLOOKUP(J575,'&lt;Constants&gt;'!$A$4:$C$1020,3,FALSE)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102" t="str">
        <f>VLOOKUP(J576,'&lt;Constants&gt;'!$A$4:$B$1020,2,FALSE)</f>
        <v>DLC_MORROWIND</v>
      </c>
      <c r="L576" s="102" t="str">
        <f>VLOOKUP(J576,'&lt;Constants&gt;'!$A$4:$C$1020,3,FALSE)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102" t="str">
        <f>VLOOKUP(J577,'&lt;Constants&gt;'!$A$4:$B$1020,2,FALSE)</f>
        <v>DLC_MORROWIND</v>
      </c>
      <c r="L577" s="102" t="str">
        <f>VLOOKUP(J577,'&lt;Constants&gt;'!$A$4:$C$1020,3,FALSE)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102" t="str">
        <f>VLOOKUP(J578,'&lt;Constants&gt;'!$A$4:$B$1020,2,FALSE)</f>
        <v>DLC_MORROWIND</v>
      </c>
      <c r="L578" s="102" t="str">
        <f>VLOOKUP(J578,'&lt;Constants&gt;'!$A$4:$C$1020,3,FALSE)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102" t="str">
        <f>VLOOKUP(J579,'&lt;Constants&gt;'!$A$4:$B$1020,2,FALSE)</f>
        <v>DLC_MORROWIND</v>
      </c>
      <c r="L579" s="102" t="str">
        <f>VLOOKUP(J579,'&lt;Constants&gt;'!$A$4:$C$1020,3,FALSE)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102" t="str">
        <f>VLOOKUP(J580,'&lt;Constants&gt;'!$A$4:$B$1020,2,FALSE)</f>
        <v>DLC_MORROWIND</v>
      </c>
      <c r="L580" s="102" t="str">
        <f>VLOOKUP(J580,'&lt;Constants&gt;'!$A$4:$C$1020,3,FALSE)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102" t="str">
        <f>VLOOKUP(J581,'&lt;Constants&gt;'!$A$4:$B$1020,2,FALSE)</f>
        <v>DLC_MORROWIND</v>
      </c>
      <c r="L581" s="102" t="str">
        <f>VLOOKUP(J581,'&lt;Constants&gt;'!$A$4:$C$1020,3,FALSE)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102" t="str">
        <f>VLOOKUP(J582,'&lt;Constants&gt;'!$A$4:$B$1020,2,FALSE)</f>
        <v>DLC_MORROWIND</v>
      </c>
      <c r="L582" s="102" t="str">
        <f>VLOOKUP(J582,'&lt;Constants&gt;'!$A$4:$C$1020,3,FALSE)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102" t="str">
        <f>VLOOKUP(J583,'&lt;Constants&gt;'!$A$4:$B$1020,2,FALSE)</f>
        <v>DLC_MORROWIND</v>
      </c>
      <c r="L583" s="102" t="str">
        <f>VLOOKUP(J583,'&lt;Constants&gt;'!$A$4:$C$1020,3,FALSE)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102" t="str">
        <f>VLOOKUP(J584,'&lt;Constants&gt;'!$A$4:$B$1020,2,FALSE)</f>
        <v>DLC_MORROWIND</v>
      </c>
      <c r="L584" s="102" t="str">
        <f>VLOOKUP(J584,'&lt;Constants&gt;'!$A$4:$C$1020,3,FALSE)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102" t="str">
        <f>VLOOKUP(J585,'&lt;Constants&gt;'!$A$4:$B$1020,2,FALSE)</f>
        <v>DLC_MORROWIND</v>
      </c>
      <c r="L585" s="102" t="str">
        <f>VLOOKUP(J585,'&lt;Constants&gt;'!$A$4:$C$1020,3,FALSE)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102" t="str">
        <f>VLOOKUP(J586,'&lt;Constants&gt;'!$A$4:$B$1020,2,FALSE)</f>
        <v>DLC_MORROWIND</v>
      </c>
      <c r="L586" s="102" t="str">
        <f>VLOOKUP(J586,'&lt;Constants&gt;'!$A$4:$C$1020,3,FALSE)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102" t="str">
        <f>VLOOKUP(J587,'&lt;Constants&gt;'!$A$4:$B$1020,2,FALSE)</f>
        <v>DLC_MORROWIND</v>
      </c>
      <c r="L587" s="102" t="str">
        <f>VLOOKUP(J587,'&lt;Constants&gt;'!$A$4:$C$1020,3,FALSE)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102" t="str">
        <f>VLOOKUP(J588,'&lt;Constants&gt;'!$A$4:$B$1020,2,FALSE)</f>
        <v>DLC_MORROWIND</v>
      </c>
      <c r="L588" s="102" t="str">
        <f>VLOOKUP(J588,'&lt;Constants&gt;'!$A$4:$C$1020,3,FALSE)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102" t="str">
        <f>VLOOKUP(J589,'&lt;Constants&gt;'!$A$4:$B$1020,2,FALSE)</f>
        <v>DLC_MORROWIND</v>
      </c>
      <c r="L589" s="102" t="str">
        <f>VLOOKUP(J589,'&lt;Constants&gt;'!$A$4:$C$1020,3,FALSE)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102" t="str">
        <f>VLOOKUP(J590,'&lt;Constants&gt;'!$A$4:$B$1020,2,FALSE)</f>
        <v>DLC_HORNS_OF_THE_REACH</v>
      </c>
      <c r="L590" s="102" t="str">
        <f>VLOOKUP(J590,'&lt;Constants&gt;'!$A$4:$C$1020,3,FALSE)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102" t="str">
        <f>VLOOKUP(J591,'&lt;Constants&gt;'!$A$4:$B$1020,2,FALSE)</f>
        <v>DLC_HORNS_OF_THE_REACH</v>
      </c>
      <c r="L591" s="102" t="str">
        <f>VLOOKUP(J591,'&lt;Constants&gt;'!$A$4:$C$1020,3,FALSE)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102" t="str">
        <f>VLOOKUP(J592,'&lt;Constants&gt;'!$A$4:$B$1020,2,FALSE)</f>
        <v>DLC_CLOCKWORK_CITY</v>
      </c>
      <c r="L592" s="102" t="str">
        <f>VLOOKUP(J592,'&lt;Constants&gt;'!$A$4:$C$1020,3,FALSE)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102" t="str">
        <f>VLOOKUP(J593,'&lt;Constants&gt;'!$A$4:$B$1020,2,FALSE)</f>
        <v>DLC_MORROWIND</v>
      </c>
      <c r="L593" s="102" t="str">
        <f>VLOOKUP(J593,'&lt;Constants&gt;'!$A$4:$C$1020,3,FALSE)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102" t="str">
        <f>VLOOKUP(J594,'&lt;Constants&gt;'!$A$4:$B$1020,2,FALSE)</f>
        <v>DLC_MORROWIND</v>
      </c>
      <c r="L594" s="102" t="str">
        <f>VLOOKUP(J594,'&lt;Constants&gt;'!$A$4:$C$1020,3,FALSE)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102" t="str">
        <f>VLOOKUP(J595,'&lt;Constants&gt;'!$A$4:$B$1020,2,FALSE)</f>
        <v>DLC_NECROM</v>
      </c>
      <c r="L595" s="102" t="str">
        <f>VLOOKUP(J595,'&lt;Constants&gt;'!$A$4:$C$1020,3,FALSE)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102" t="str">
        <f>VLOOKUP(J596,'&lt;Constants&gt;'!$A$4:$B$1020,2,FALSE)</f>
        <v>DLC_CLOCKWORK_CITY</v>
      </c>
      <c r="L596" s="102" t="str">
        <f>VLOOKUP(J596,'&lt;Constants&gt;'!$A$4:$C$1020,3,FALSE)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102" t="str">
        <f>VLOOKUP(J597,'&lt;Constants&gt;'!$A$4:$B$1020,2,FALSE)</f>
        <v>DLC_CLOCKWORK_CITY</v>
      </c>
      <c r="L597" s="102" t="str">
        <f>VLOOKUP(J597,'&lt;Constants&gt;'!$A$4:$C$1020,3,FALSE)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102" t="str">
        <f>VLOOKUP(J598,'&lt;Constants&gt;'!$A$4:$B$1020,2,FALSE)</f>
        <v>DLC_CLOCKWORK_CITY</v>
      </c>
      <c r="L598" s="102" t="str">
        <f>VLOOKUP(J598,'&lt;Constants&gt;'!$A$4:$C$1020,3,FALSE)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102" t="str">
        <f>VLOOKUP(J599,'&lt;Constants&gt;'!$A$4:$B$1020,2,FALSE)</f>
        <v>DLC_CLOCKWORK_CITY</v>
      </c>
      <c r="L599" s="102" t="str">
        <f>VLOOKUP(J599,'&lt;Constants&gt;'!$A$4:$C$1020,3,FALSE)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102" t="str">
        <f>VLOOKUP(J600,'&lt;Constants&gt;'!$A$4:$B$1020,2,FALSE)</f>
        <v>DLC_CLOCKWORK_CITY</v>
      </c>
      <c r="L600" s="102" t="str">
        <f>VLOOKUP(J600,'&lt;Constants&gt;'!$A$4:$C$1020,3,FALSE)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102" t="str">
        <f>VLOOKUP(J601,'&lt;Constants&gt;'!$A$4:$B$1020,2,FALSE)</f>
        <v>DLC_CLOCKWORK_CITY</v>
      </c>
      <c r="L601" s="102" t="str">
        <f>VLOOKUP(J601,'&lt;Constants&gt;'!$A$4:$C$1020,3,FALSE)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102" t="str">
        <f>VLOOKUP(J602,'&lt;Constants&gt;'!$A$4:$B$1020,2,FALSE)</f>
        <v>DLC_CLOCKWORK_CITY</v>
      </c>
      <c r="L602" s="102" t="str">
        <f>VLOOKUP(J602,'&lt;Constants&gt;'!$A$4:$C$1020,3,FALSE)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102" t="str">
        <f>VLOOKUP(J603,'&lt;Constants&gt;'!$A$4:$B$1020,2,FALSE)</f>
        <v>DLC_CLOCKWORK_CITY</v>
      </c>
      <c r="L603" s="102" t="str">
        <f>VLOOKUP(J603,'&lt;Constants&gt;'!$A$4:$C$1020,3,FALSE)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102" t="str">
        <f>VLOOKUP(J604,'&lt;Constants&gt;'!$A$4:$B$1020,2,FALSE)</f>
        <v>DLC_CLOCKWORK_CITY</v>
      </c>
      <c r="L604" s="102" t="str">
        <f>VLOOKUP(J604,'&lt;Constants&gt;'!$A$4:$C$1020,3,FALSE)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102" t="str">
        <f>VLOOKUP(J605,'&lt;Constants&gt;'!$A$4:$B$1020,2,FALSE)</f>
        <v>DLC_CLOCKWORK_CITY</v>
      </c>
      <c r="L605" s="102" t="str">
        <f>VLOOKUP(J605,'&lt;Constants&gt;'!$A$4:$C$1020,3,FALSE)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102" t="str">
        <f>VLOOKUP(J606,'&lt;Constants&gt;'!$A$4:$B$1020,2,FALSE)</f>
        <v>DLC_CLOCKWORK_CITY</v>
      </c>
      <c r="L606" s="102" t="str">
        <f>VLOOKUP(J606,'&lt;Constants&gt;'!$A$4:$C$1020,3,FALSE)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102" t="str">
        <f>VLOOKUP(J607,'&lt;Constants&gt;'!$A$4:$B$1020,2,FALSE)</f>
        <v>DLC_CLOCKWORK_CITY</v>
      </c>
      <c r="L607" s="102" t="str">
        <f>VLOOKUP(J607,'&lt;Constants&gt;'!$A$4:$C$1020,3,FALSE)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102" t="str">
        <f>VLOOKUP(J608,'&lt;Constants&gt;'!$A$4:$B$1020,2,FALSE)</f>
        <v>DLC_MORROWIND</v>
      </c>
      <c r="L608" s="102" t="str">
        <f>VLOOKUP(J608,'&lt;Constants&gt;'!$A$4:$C$1020,3,FALSE)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102" t="str">
        <f>VLOOKUP(J609,'&lt;Constants&gt;'!$A$4:$B$1020,2,FALSE)</f>
        <v>DLC_MORROWIND</v>
      </c>
      <c r="L609" s="102" t="str">
        <f>VLOOKUP(J609,'&lt;Constants&gt;'!$A$4:$C$1020,3,FALSE)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102" t="str">
        <f>VLOOKUP(J610,'&lt;Constants&gt;'!$A$4:$B$1020,2,FALSE)</f>
        <v>DLC_MORROWIND</v>
      </c>
      <c r="L610" s="102" t="str">
        <f>VLOOKUP(J610,'&lt;Constants&gt;'!$A$4:$C$1020,3,FALSE)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102" t="str">
        <f>VLOOKUP(J611,'&lt;Constants&gt;'!$A$4:$B$1020,2,FALSE)</f>
        <v>DLC_MORROWIND</v>
      </c>
      <c r="L611" s="102" t="str">
        <f>VLOOKUP(J611,'&lt;Constants&gt;'!$A$4:$C$1020,3,FALSE)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102" t="str">
        <f>VLOOKUP(J612,'&lt;Constants&gt;'!$A$4:$B$1020,2,FALSE)</f>
        <v>DLC_BASE_GAME</v>
      </c>
      <c r="L612" s="102" t="str">
        <f>VLOOKUP(J612,'&lt;Constants&gt;'!$A$4:$C$1020,3,FALSE)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102" t="str">
        <f>VLOOKUP(J613,'&lt;Constants&gt;'!$A$4:$B$1020,2,FALSE)</f>
        <v>DLC_CLOCKWORK_CITY</v>
      </c>
      <c r="L613" s="102" t="str">
        <f>VLOOKUP(J613,'&lt;Constants&gt;'!$A$4:$C$1020,3,FALSE)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102" t="str">
        <f>VLOOKUP(J614,'&lt;Constants&gt;'!$A$4:$B$1020,2,FALSE)</f>
        <v>DLC_CLOCKWORK_CITY</v>
      </c>
      <c r="L614" s="102" t="str">
        <f>VLOOKUP(J614,'&lt;Constants&gt;'!$A$4:$C$1020,3,FALSE)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102" t="str">
        <f>VLOOKUP(J615,'&lt;Constants&gt;'!$A$4:$B$1020,2,FALSE)</f>
        <v>DLC_CLOCKWORK_CITY</v>
      </c>
      <c r="L615" s="102" t="str">
        <f>VLOOKUP(J615,'&lt;Constants&gt;'!$A$4:$C$1020,3,FALSE)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102" t="str">
        <f>VLOOKUP(J616,'&lt;Constants&gt;'!$A$4:$B$1020,2,FALSE)</f>
        <v>DLC_DARK_BROTHERHOOD</v>
      </c>
      <c r="L616" s="102" t="str">
        <f>VLOOKUP(J616,'&lt;Constants&gt;'!$A$4:$C$1020,3,FALSE)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102" t="str">
        <f>VLOOKUP(J617,'&lt;Constants&gt;'!$A$4:$B$1020,2,FALSE)</f>
        <v>DLC_BASE_GAME</v>
      </c>
      <c r="L617" s="102" t="str">
        <f>VLOOKUP(J617,'&lt;Constants&gt;'!$A$4:$C$1020,3,FALSE)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102" t="str">
        <f>VLOOKUP(J618,'&lt;Constants&gt;'!$A$4:$B$1020,2,FALSE)</f>
        <v>DLC_BASE_GAME</v>
      </c>
      <c r="L618" s="102" t="str">
        <f>VLOOKUP(J618,'&lt;Constants&gt;'!$A$4:$C$1020,3,FALSE)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102" t="str">
        <f>VLOOKUP(J619,'&lt;Constants&gt;'!$A$4:$B$1020,2,FALSE)</f>
        <v>DLC_BASE_GAME</v>
      </c>
      <c r="L619" s="102" t="str">
        <f>VLOOKUP(J619,'&lt;Constants&gt;'!$A$4:$C$1020,3,FALSE)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102" t="str">
        <f>VLOOKUP(J620,'&lt;Constants&gt;'!$A$4:$B$1020,2,FALSE)</f>
        <v>DLC_DRAGON_BONES</v>
      </c>
      <c r="L620" s="102" t="str">
        <f>VLOOKUP(J620,'&lt;Constants&gt;'!$A$4:$C$1020,3,FALSE)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102" t="str">
        <f>VLOOKUP(J621,'&lt;Constants&gt;'!$A$4:$B$1020,2,FALSE)</f>
        <v>DLC_DRAGON_BONES</v>
      </c>
      <c r="L621" s="102" t="str">
        <f>VLOOKUP(J621,'&lt;Constants&gt;'!$A$4:$C$1020,3,FALSE)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102" t="str">
        <f>VLOOKUP(J622,'&lt;Constants&gt;'!$A$4:$B$1020,2,FALSE)</f>
        <v>DLC_NECROM</v>
      </c>
      <c r="L622" s="102" t="str">
        <f>VLOOKUP(J622,'&lt;Constants&gt;'!$A$4:$C$1020,3,FALSE)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102" t="str">
        <f>VLOOKUP(J623,'&lt;Constants&gt;'!$A$4:$B$1020,2,FALSE)</f>
        <v>DLC_BASE_GAME</v>
      </c>
      <c r="L623" s="102" t="str">
        <f>VLOOKUP(J623,'&lt;Constants&gt;'!$A$4:$C$1020,3,FALSE)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102" t="str">
        <f>VLOOKUP(J624,'&lt;Constants&gt;'!$A$4:$B$1020,2,FALSE)</f>
        <v>DLC_SUMMERSET</v>
      </c>
      <c r="L624" s="102" t="str">
        <f>VLOOKUP(J624,'&lt;Constants&gt;'!$A$4:$C$1020,3,FALSE)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102" t="str">
        <f>VLOOKUP(J625,'&lt;Constants&gt;'!$A$4:$B$1020,2,FALSE)</f>
        <v>DLC_SUMMERSET</v>
      </c>
      <c r="L625" s="102" t="str">
        <f>VLOOKUP(J625,'&lt;Constants&gt;'!$A$4:$C$1020,3,FALSE)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102" t="str">
        <f>VLOOKUP(J626,'&lt;Constants&gt;'!$A$4:$B$1020,2,FALSE)</f>
        <v>DLC_SUMMERSET</v>
      </c>
      <c r="L626" s="102" t="str">
        <f>VLOOKUP(J626,'&lt;Constants&gt;'!$A$4:$C$1020,3,FALSE)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102" t="str">
        <f>VLOOKUP(J627,'&lt;Constants&gt;'!$A$4:$B$1020,2,FALSE)</f>
        <v>DLC_SUMMERSET</v>
      </c>
      <c r="L627" s="102" t="str">
        <f>VLOOKUP(J627,'&lt;Constants&gt;'!$A$4:$C$1020,3,FALSE)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102" t="str">
        <f>VLOOKUP(J628,'&lt;Constants&gt;'!$A$4:$B$1020,2,FALSE)</f>
        <v>DLC_SUMMERSET</v>
      </c>
      <c r="L628" s="102" t="str">
        <f>VLOOKUP(J628,'&lt;Constants&gt;'!$A$4:$C$1020,3,FALSE)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102" t="str">
        <f>VLOOKUP(J629,'&lt;Constants&gt;'!$A$4:$B$1020,2,FALSE)</f>
        <v>DLC_SUMMERSET</v>
      </c>
      <c r="L629" s="102" t="str">
        <f>VLOOKUP(J629,'&lt;Constants&gt;'!$A$4:$C$1020,3,FALSE)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102" t="str">
        <f>VLOOKUP(J630,'&lt;Constants&gt;'!$A$4:$B$1020,2,FALSE)</f>
        <v>DLC_SUMMERSET</v>
      </c>
      <c r="L630" s="102" t="str">
        <f>VLOOKUP(J630,'&lt;Constants&gt;'!$A$4:$C$1020,3,FALSE)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102" t="str">
        <f>VLOOKUP(J631,'&lt;Constants&gt;'!$A$4:$B$1020,2,FALSE)</f>
        <v>DLC_SUMMERSET</v>
      </c>
      <c r="L631" s="102" t="str">
        <f>VLOOKUP(J631,'&lt;Constants&gt;'!$A$4:$C$1020,3,FALSE)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102" t="str">
        <f>VLOOKUP(J632,'&lt;Constants&gt;'!$A$4:$B$1020,2,FALSE)</f>
        <v>DLC_SUMMERSET</v>
      </c>
      <c r="L632" s="102" t="str">
        <f>VLOOKUP(J632,'&lt;Constants&gt;'!$A$4:$C$1020,3,FALSE)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102" t="str">
        <f>VLOOKUP(J633,'&lt;Constants&gt;'!$A$4:$B$1020,2,FALSE)</f>
        <v>DLC_SUMMERSET</v>
      </c>
      <c r="L633" s="102" t="str">
        <f>VLOOKUP(J633,'&lt;Constants&gt;'!$A$4:$C$1020,3,FALSE)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102" t="str">
        <f>VLOOKUP(J634,'&lt;Constants&gt;'!$A$4:$B$1020,2,FALSE)</f>
        <v>DLC_SUMMERSET</v>
      </c>
      <c r="L634" s="102" t="str">
        <f>VLOOKUP(J634,'&lt;Constants&gt;'!$A$4:$C$1020,3,FALSE)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102" t="str">
        <f>VLOOKUP(J635,'&lt;Constants&gt;'!$A$4:$B$1020,2,FALSE)</f>
        <v>DLC_SUMMERSET</v>
      </c>
      <c r="L635" s="102" t="str">
        <f>VLOOKUP(J635,'&lt;Constants&gt;'!$A$4:$C$1020,3,FALSE)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102" t="str">
        <f>VLOOKUP(J636,'&lt;Constants&gt;'!$A$4:$B$1020,2,FALSE)</f>
        <v>DLC_SUMMERSET</v>
      </c>
      <c r="L636" s="102" t="str">
        <f>VLOOKUP(J636,'&lt;Constants&gt;'!$A$4:$C$1020,3,FALSE)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102" t="str">
        <f>VLOOKUP(J637,'&lt;Constants&gt;'!$A$4:$B$1020,2,FALSE)</f>
        <v>DLC_SUMMERSET</v>
      </c>
      <c r="L637" s="102" t="str">
        <f>VLOOKUP(J637,'&lt;Constants&gt;'!$A$4:$C$1020,3,FALSE)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102" t="str">
        <f>VLOOKUP(J638,'&lt;Constants&gt;'!$A$4:$B$1020,2,FALSE)</f>
        <v>DLC_SUMMERSET</v>
      </c>
      <c r="L638" s="102" t="str">
        <f>VLOOKUP(J638,'&lt;Constants&gt;'!$A$4:$C$1020,3,FALSE)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102" t="str">
        <f>VLOOKUP(J639,'&lt;Constants&gt;'!$A$4:$B$1020,2,FALSE)</f>
        <v>DLC_SUMMERSET</v>
      </c>
      <c r="L639" s="102" t="str">
        <f>VLOOKUP(J639,'&lt;Constants&gt;'!$A$4:$C$1020,3,FALSE)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102" t="str">
        <f>VLOOKUP(J640,'&lt;Constants&gt;'!$A$4:$B$1020,2,FALSE)</f>
        <v>DLC_SUMMERSET</v>
      </c>
      <c r="L640" s="102" t="str">
        <f>VLOOKUP(J640,'&lt;Constants&gt;'!$A$4:$C$1020,3,FALSE)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102" t="str">
        <f>VLOOKUP(J641,'&lt;Constants&gt;'!$A$4:$B$1020,2,FALSE)</f>
        <v>DLC_SUMMERSET</v>
      </c>
      <c r="L641" s="102" t="str">
        <f>VLOOKUP(J641,'&lt;Constants&gt;'!$A$4:$C$1020,3,FALSE)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102" t="str">
        <f>VLOOKUP(J642,'&lt;Constants&gt;'!$A$4:$B$1020,2,FALSE)</f>
        <v>DLC_SUMMERSET</v>
      </c>
      <c r="L642" s="102" t="str">
        <f>VLOOKUP(J642,'&lt;Constants&gt;'!$A$4:$C$1020,3,FALSE)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102" t="str">
        <f>VLOOKUP(J643,'&lt;Constants&gt;'!$A$4:$B$1020,2,FALSE)</f>
        <v>DLC_SUMMERSET</v>
      </c>
      <c r="L643" s="102" t="str">
        <f>VLOOKUP(J643,'&lt;Constants&gt;'!$A$4:$C$1020,3,FALSE)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102" t="str">
        <f>VLOOKUP(J644,'&lt;Constants&gt;'!$A$4:$B$1020,2,FALSE)</f>
        <v>DLC_SUMMERSET</v>
      </c>
      <c r="L644" s="102" t="str">
        <f>VLOOKUP(J644,'&lt;Constants&gt;'!$A$4:$C$1020,3,FALSE)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102" t="str">
        <f>VLOOKUP(J645,'&lt;Constants&gt;'!$A$4:$B$1020,2,FALSE)</f>
        <v>DLC_SUMMERSET</v>
      </c>
      <c r="L645" s="102" t="str">
        <f>VLOOKUP(J645,'&lt;Constants&gt;'!$A$4:$C$1020,3,FALSE)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102" t="str">
        <f>VLOOKUP(J646,'&lt;Constants&gt;'!$A$4:$B$1020,2,FALSE)</f>
        <v>DLC_SUMMERSET</v>
      </c>
      <c r="L646" s="102" t="str">
        <f>VLOOKUP(J646,'&lt;Constants&gt;'!$A$4:$C$1020,3,FALSE)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102" t="str">
        <f>VLOOKUP(J647,'&lt;Constants&gt;'!$A$4:$B$1020,2,FALSE)</f>
        <v>DLC_SUMMERSET</v>
      </c>
      <c r="L647" s="102" t="str">
        <f>VLOOKUP(J647,'&lt;Constants&gt;'!$A$4:$C$1020,3,FALSE)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102" t="str">
        <f>VLOOKUP(J648,'&lt;Constants&gt;'!$A$4:$B$1020,2,FALSE)</f>
        <v>DLC_SUMMERSET</v>
      </c>
      <c r="L648" s="102" t="str">
        <f>VLOOKUP(J648,'&lt;Constants&gt;'!$A$4:$C$1020,3,FALSE)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102" t="str">
        <f>VLOOKUP(J649,'&lt;Constants&gt;'!$A$4:$B$1020,2,FALSE)</f>
        <v>DLC_SUMMERSET</v>
      </c>
      <c r="L649" s="102" t="str">
        <f>VLOOKUP(J649,'&lt;Constants&gt;'!$A$4:$C$1020,3,FALSE)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102" t="str">
        <f>VLOOKUP(J650,'&lt;Constants&gt;'!$A$4:$B$1020,2,FALSE)</f>
        <v>DLC_SUMMERSET</v>
      </c>
      <c r="L650" s="102" t="str">
        <f>VLOOKUP(J650,'&lt;Constants&gt;'!$A$4:$C$1020,3,FALSE)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102" t="str">
        <f>VLOOKUP(J651,'&lt;Constants&gt;'!$A$4:$B$1020,2,FALSE)</f>
        <v>DLC_SUMMERSET</v>
      </c>
      <c r="L651" s="102" t="str">
        <f>VLOOKUP(J651,'&lt;Constants&gt;'!$A$4:$C$1020,3,FALSE)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102" t="str">
        <f>VLOOKUP(J652,'&lt;Constants&gt;'!$A$4:$B$1020,2,FALSE)</f>
        <v>DLC_ORSINIUM</v>
      </c>
      <c r="L652" s="102" t="str">
        <f>VLOOKUP(J652,'&lt;Constants&gt;'!$A$4:$C$1020,3,FALSE)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102" t="str">
        <f>VLOOKUP(J653,'&lt;Constants&gt;'!$A$4:$B$1020,2,FALSE)</f>
        <v>DLC_CLOCKWORK_CITY</v>
      </c>
      <c r="L653" s="102" t="str">
        <f>VLOOKUP(J653,'&lt;Constants&gt;'!$A$4:$C$1020,3,FALSE)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102" t="str">
        <f>VLOOKUP(J654,'&lt;Constants&gt;'!$A$4:$B$1020,2,FALSE)</f>
        <v>DLC_DARK_BROTHERHOOD</v>
      </c>
      <c r="L654" s="102" t="str">
        <f>VLOOKUP(J654,'&lt;Constants&gt;'!$A$4:$C$1020,3,FALSE)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102" t="str">
        <f>VLOOKUP(J655,'&lt;Constants&gt;'!$A$4:$B$1020,2,FALSE)</f>
        <v>DLC_THIEVES_GUILD</v>
      </c>
      <c r="L655" s="102" t="str">
        <f>VLOOKUP(J655,'&lt;Constants&gt;'!$A$4:$C$1020,3,FALSE)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102" t="str">
        <f>VLOOKUP(J656,'&lt;Constants&gt;'!$A$4:$B$1020,2,FALSE)</f>
        <v>DLC_SUMMERSET</v>
      </c>
      <c r="L656" s="102" t="str">
        <f>VLOOKUP(J656,'&lt;Constants&gt;'!$A$4:$C$1020,3,FALSE)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102" t="str">
        <f>VLOOKUP(J657,'&lt;Constants&gt;'!$A$4:$B$1020,2,FALSE)</f>
        <v>DLC_SUMMERSET</v>
      </c>
      <c r="L657" s="102" t="str">
        <f>VLOOKUP(J657,'&lt;Constants&gt;'!$A$4:$C$1020,3,FALSE)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102" t="str">
        <f>VLOOKUP(J658,'&lt;Constants&gt;'!$A$4:$B$1020,2,FALSE)</f>
        <v>DLC_SUMMERSET</v>
      </c>
      <c r="L658" s="102" t="str">
        <f>VLOOKUP(J658,'&lt;Constants&gt;'!$A$4:$C$1020,3,FALSE)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102" t="str">
        <f>VLOOKUP(J659,'&lt;Constants&gt;'!$A$4:$B$1020,2,FALSE)</f>
        <v>DLC_SUMMERSET</v>
      </c>
      <c r="L659" s="102" t="str">
        <f>VLOOKUP(J659,'&lt;Constants&gt;'!$A$4:$C$1020,3,FALSE)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102" t="str">
        <f>VLOOKUP(J660,'&lt;Constants&gt;'!$A$4:$B$1020,2,FALSE)</f>
        <v>DLC_WOLFHUNTER</v>
      </c>
      <c r="L660" s="102" t="str">
        <f>VLOOKUP(J660,'&lt;Constants&gt;'!$A$4:$C$1020,3,FALSE)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102" t="str">
        <f>VLOOKUP(J661,'&lt;Constants&gt;'!$A$4:$B$1020,2,FALSE)</f>
        <v>DLC_WOLFHUNTER</v>
      </c>
      <c r="L661" s="102" t="str">
        <f>VLOOKUP(J661,'&lt;Constants&gt;'!$A$4:$C$1020,3,FALSE)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102" t="str">
        <f>VLOOKUP(J662,'&lt;Constants&gt;'!$A$4:$B$1020,2,FALSE)</f>
        <v>DLC_SUMMERSET</v>
      </c>
      <c r="L662" s="102" t="str">
        <f>VLOOKUP(J662,'&lt;Constants&gt;'!$A$4:$C$1020,3,FALSE)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102" t="str">
        <f>VLOOKUP(J663,'&lt;Constants&gt;'!$A$4:$B$1020,2,FALSE)</f>
        <v>DLC_SUMMERSET</v>
      </c>
      <c r="L663" s="102" t="str">
        <f>VLOOKUP(J663,'&lt;Constants&gt;'!$A$4:$C$1020,3,FALSE)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102" t="str">
        <f>VLOOKUP(J664,'&lt;Constants&gt;'!$A$4:$B$1020,2,FALSE)</f>
        <v>DLC_SUMMERSET</v>
      </c>
      <c r="L664" s="102" t="str">
        <f>VLOOKUP(J664,'&lt;Constants&gt;'!$A$4:$C$1020,3,FALSE)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102" t="str">
        <f>VLOOKUP(J665,'&lt;Constants&gt;'!$A$4:$B$1020,2,FALSE)</f>
        <v>DLC_BASE_GAME</v>
      </c>
      <c r="L665" s="102" t="str">
        <f>VLOOKUP(J665,'&lt;Constants&gt;'!$A$4:$C$1020,3,FALSE)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102" t="str">
        <f>VLOOKUP(J666,'&lt;Constants&gt;'!$A$4:$B$1020,2,FALSE)</f>
        <v>DLC_BASE_GAME</v>
      </c>
      <c r="L666" s="102" t="str">
        <f>VLOOKUP(J666,'&lt;Constants&gt;'!$A$4:$C$1020,3,FALSE)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102" t="str">
        <f>VLOOKUP(J667,'&lt;Constants&gt;'!$A$4:$B$1020,2,FALSE)</f>
        <v>DLC_MURKMIRE</v>
      </c>
      <c r="L667" s="102" t="str">
        <f>VLOOKUP(J667,'&lt;Constants&gt;'!$A$4:$C$1020,3,FALSE)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102" t="str">
        <f>VLOOKUP(J668,'&lt;Constants&gt;'!$A$4:$B$1020,2,FALSE)</f>
        <v>DLC_MURKMIRE</v>
      </c>
      <c r="L668" s="102" t="str">
        <f>VLOOKUP(J668,'&lt;Constants&gt;'!$A$4:$C$1020,3,FALSE)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102" t="str">
        <f>VLOOKUP(J669,'&lt;Constants&gt;'!$A$4:$B$1020,2,FALSE)</f>
        <v>DLC_MURKMIRE</v>
      </c>
      <c r="L669" s="102" t="str">
        <f>VLOOKUP(J669,'&lt;Constants&gt;'!$A$4:$C$1020,3,FALSE)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102" t="str">
        <f>VLOOKUP(J670,'&lt;Constants&gt;'!$A$4:$B$1020,2,FALSE)</f>
        <v>DLC_MURKMIRE</v>
      </c>
      <c r="L670" s="102" t="str">
        <f>VLOOKUP(J670,'&lt;Constants&gt;'!$A$4:$C$1020,3,FALSE)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102" t="str">
        <f>VLOOKUP(J671,'&lt;Constants&gt;'!$A$4:$B$1020,2,FALSE)</f>
        <v>DLC_MURKMIRE</v>
      </c>
      <c r="L671" s="102" t="str">
        <f>VLOOKUP(J671,'&lt;Constants&gt;'!$A$4:$C$1020,3,FALSE)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102" t="str">
        <f>VLOOKUP(J672,'&lt;Constants&gt;'!$A$4:$B$1020,2,FALSE)</f>
        <v>DLC_MURKMIRE</v>
      </c>
      <c r="L672" s="102" t="str">
        <f>VLOOKUP(J672,'&lt;Constants&gt;'!$A$4:$C$1020,3,FALSE)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102" t="str">
        <f>VLOOKUP(J673,'&lt;Constants&gt;'!$A$4:$B$1020,2,FALSE)</f>
        <v>DLC_MURKMIRE</v>
      </c>
      <c r="L673" s="102" t="str">
        <f>VLOOKUP(J673,'&lt;Constants&gt;'!$A$4:$C$1020,3,FALSE)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102" t="str">
        <f>VLOOKUP(J674,'&lt;Constants&gt;'!$A$4:$B$1020,2,FALSE)</f>
        <v>DLC_BASE_GAME</v>
      </c>
      <c r="L674" s="102" t="str">
        <f>VLOOKUP(J674,'&lt;Constants&gt;'!$A$4:$C$1020,3,FALSE)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102" t="str">
        <f>VLOOKUP(J675,'&lt;Constants&gt;'!$A$4:$B$1020,2,FALSE)</f>
        <v>DLC_MURKMIRE</v>
      </c>
      <c r="L675" s="102" t="str">
        <f>VLOOKUP(J675,'&lt;Constants&gt;'!$A$4:$C$1020,3,FALSE)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102" t="str">
        <f>VLOOKUP(J676,'&lt;Constants&gt;'!$A$4:$B$1020,2,FALSE)</f>
        <v>DLC_BASE_GAME</v>
      </c>
      <c r="L676" s="102" t="str">
        <f>VLOOKUP(J676,'&lt;Constants&gt;'!$A$4:$C$1020,3,FALSE)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102" t="str">
        <f>VLOOKUP(J677,'&lt;Constants&gt;'!$A$4:$B$1020,2,FALSE)</f>
        <v>DLC_BASE_GAME</v>
      </c>
      <c r="L677" s="102" t="str">
        <f>VLOOKUP(J677,'&lt;Constants&gt;'!$A$4:$C$1020,3,FALSE)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102" t="str">
        <f>VLOOKUP(J678,'&lt;Constants&gt;'!$A$4:$B$1020,2,FALSE)</f>
        <v>DLC_BASE_GAME</v>
      </c>
      <c r="L678" s="102" t="str">
        <f>VLOOKUP(J678,'&lt;Constants&gt;'!$A$4:$C$1020,3,FALSE)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102" t="str">
        <f>VLOOKUP(J679,'&lt;Constants&gt;'!$A$4:$B$1020,2,FALSE)</f>
        <v>DLC_MURKMIRE</v>
      </c>
      <c r="L679" s="102" t="str">
        <f>VLOOKUP(J679,'&lt;Constants&gt;'!$A$4:$C$1020,3,FALSE)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102" t="str">
        <f>VLOOKUP(J680,'&lt;Constants&gt;'!$A$4:$B$1020,2,FALSE)</f>
        <v>DLC_MURKMIRE</v>
      </c>
      <c r="L680" s="102" t="str">
        <f>VLOOKUP(J680,'&lt;Constants&gt;'!$A$4:$C$1020,3,FALSE)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102" t="str">
        <f>VLOOKUP(J681,'&lt;Constants&gt;'!$A$4:$B$1020,2,FALSE)</f>
        <v>DLC_MURKMIRE</v>
      </c>
      <c r="L681" s="102" t="str">
        <f>VLOOKUP(J681,'&lt;Constants&gt;'!$A$4:$C$1020,3,FALSE)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102" t="str">
        <f>VLOOKUP(J682,'&lt;Constants&gt;'!$A$4:$B$1020,2,FALSE)</f>
        <v>DLC_WRATHSTONE</v>
      </c>
      <c r="L682" s="102" t="str">
        <f>VLOOKUP(J682,'&lt;Constants&gt;'!$A$4:$C$1020,3,FALSE)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102" t="str">
        <f>VLOOKUP(J683,'&lt;Constants&gt;'!$A$4:$B$1020,2,FALSE)</f>
        <v>DLC_WRATHSTONE</v>
      </c>
      <c r="L683" s="102" t="str">
        <f>VLOOKUP(J683,'&lt;Constants&gt;'!$A$4:$C$1020,3,FALSE)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102" t="str">
        <f>VLOOKUP(J684,'&lt;Constants&gt;'!$A$4:$B$1020,2,FALSE)</f>
        <v>DLC_MURKMIRE</v>
      </c>
      <c r="L684" s="102" t="str">
        <f>VLOOKUP(J684,'&lt;Constants&gt;'!$A$4:$C$1020,3,FALSE)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102" t="str">
        <f>VLOOKUP(J685,'&lt;Constants&gt;'!$A$4:$B$1020,2,FALSE)</f>
        <v>DLC_MURKMIRE</v>
      </c>
      <c r="L685" s="102" t="str">
        <f>VLOOKUP(J685,'&lt;Constants&gt;'!$A$4:$C$1020,3,FALSE)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102" t="str">
        <f>VLOOKUP(J686,'&lt;Constants&gt;'!$A$4:$B$1020,2,FALSE)</f>
        <v>DLC_ELSWEYR</v>
      </c>
      <c r="L686" s="102" t="str">
        <f>VLOOKUP(J686,'&lt;Constants&gt;'!$A$4:$C$1020,3,FALSE)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102" t="str">
        <f>VLOOKUP(J687,'&lt;Constants&gt;'!$A$4:$B$1020,2,FALSE)</f>
        <v>DLC_DARK_BROTHERHOOD</v>
      </c>
      <c r="L687" s="102" t="str">
        <f>VLOOKUP(J687,'&lt;Constants&gt;'!$A$4:$C$1020,3,FALSE)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102" t="str">
        <f>VLOOKUP(J688,'&lt;Constants&gt;'!$A$4:$B$1020,2,FALSE)</f>
        <v>DLC_ELSWEYR</v>
      </c>
      <c r="L688" s="102" t="str">
        <f>VLOOKUP(J688,'&lt;Constants&gt;'!$A$4:$C$1020,3,FALSE)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102" t="str">
        <f>VLOOKUP(J689,'&lt;Constants&gt;'!$A$4:$B$1020,2,FALSE)</f>
        <v>DLC_ELSWEYR</v>
      </c>
      <c r="L689" s="102" t="str">
        <f>VLOOKUP(J689,'&lt;Constants&gt;'!$A$4:$C$1020,3,FALSE)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102" t="str">
        <f>VLOOKUP(J690,'&lt;Constants&gt;'!$A$4:$B$1020,2,FALSE)</f>
        <v>DLC_ELSWEYR</v>
      </c>
      <c r="L690" s="102" t="str">
        <f>VLOOKUP(J690,'&lt;Constants&gt;'!$A$4:$C$1020,3,FALSE)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102" t="str">
        <f>VLOOKUP(J691,'&lt;Constants&gt;'!$A$4:$B$1020,2,FALSE)</f>
        <v>DLC_ELSWEYR</v>
      </c>
      <c r="L691" s="102" t="str">
        <f>VLOOKUP(J691,'&lt;Constants&gt;'!$A$4:$C$1020,3,FALSE)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102" t="str">
        <f>VLOOKUP(J692,'&lt;Constants&gt;'!$A$4:$B$1020,2,FALSE)</f>
        <v>DLC_ELSWEYR</v>
      </c>
      <c r="L692" s="102" t="str">
        <f>VLOOKUP(J692,'&lt;Constants&gt;'!$A$4:$C$1020,3,FALSE)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102" t="str">
        <f>VLOOKUP(J693,'&lt;Constants&gt;'!$A$4:$B$1020,2,FALSE)</f>
        <v>DLC_ELSWEYR</v>
      </c>
      <c r="L693" s="102" t="str">
        <f>VLOOKUP(J693,'&lt;Constants&gt;'!$A$4:$C$1020,3,FALSE)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102" t="str">
        <f>VLOOKUP(J694,'&lt;Constants&gt;'!$A$4:$B$1020,2,FALSE)</f>
        <v>DLC_ELSWEYR</v>
      </c>
      <c r="L694" s="102" t="str">
        <f>VLOOKUP(J694,'&lt;Constants&gt;'!$A$4:$C$1020,3,FALSE)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102" t="str">
        <f>VLOOKUP(J695,'&lt;Constants&gt;'!$A$4:$B$1020,2,FALSE)</f>
        <v>DLC_ELSWEYR</v>
      </c>
      <c r="L695" s="102" t="str">
        <f>VLOOKUP(J695,'&lt;Constants&gt;'!$A$4:$C$1020,3,FALSE)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102" t="str">
        <f>VLOOKUP(J696,'&lt;Constants&gt;'!$A$4:$B$1020,2,FALSE)</f>
        <v>DLC_ELSWEYR</v>
      </c>
      <c r="L696" s="102" t="str">
        <f>VLOOKUP(J696,'&lt;Constants&gt;'!$A$4:$C$1020,3,FALSE)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102" t="str">
        <f>VLOOKUP(J697,'&lt;Constants&gt;'!$A$4:$B$1020,2,FALSE)</f>
        <v>DLC_ELSWEYR</v>
      </c>
      <c r="L697" s="102" t="str">
        <f>VLOOKUP(J697,'&lt;Constants&gt;'!$A$4:$C$1020,3,FALSE)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102" t="str">
        <f>VLOOKUP(J698,'&lt;Constants&gt;'!$A$4:$B$1020,2,FALSE)</f>
        <v>DLC_ELSWEYR</v>
      </c>
      <c r="L698" s="102" t="str">
        <f>VLOOKUP(J698,'&lt;Constants&gt;'!$A$4:$C$1020,3,FALSE)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102" t="str">
        <f>VLOOKUP(J699,'&lt;Constants&gt;'!$A$4:$B$1020,2,FALSE)</f>
        <v>DLC_ELSWEYR</v>
      </c>
      <c r="L699" s="102" t="str">
        <f>VLOOKUP(J699,'&lt;Constants&gt;'!$A$4:$C$1020,3,FALSE)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102" t="str">
        <f>VLOOKUP(J700,'&lt;Constants&gt;'!$A$4:$B$1020,2,FALSE)</f>
        <v>DLC_ELSWEYR</v>
      </c>
      <c r="L700" s="102" t="str">
        <f>VLOOKUP(J700,'&lt;Constants&gt;'!$A$4:$C$1020,3,FALSE)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102" t="str">
        <f>VLOOKUP(J701,'&lt;Constants&gt;'!$A$4:$B$1020,2,FALSE)</f>
        <v>DLC_ELSWEYR</v>
      </c>
      <c r="L701" s="102" t="str">
        <f>VLOOKUP(J701,'&lt;Constants&gt;'!$A$4:$C$1020,3,FALSE)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102" t="str">
        <f>VLOOKUP(J702,'&lt;Constants&gt;'!$A$4:$B$1020,2,FALSE)</f>
        <v>DLC_ELSWEYR</v>
      </c>
      <c r="L702" s="102" t="str">
        <f>VLOOKUP(J702,'&lt;Constants&gt;'!$A$4:$C$1020,3,FALSE)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102" t="str">
        <f>VLOOKUP(J703,'&lt;Constants&gt;'!$A$4:$B$1020,2,FALSE)</f>
        <v>DLC_ELSWEYR</v>
      </c>
      <c r="L703" s="102" t="str">
        <f>VLOOKUP(J703,'&lt;Constants&gt;'!$A$4:$C$1020,3,FALSE)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102" t="str">
        <f>VLOOKUP(J704,'&lt;Constants&gt;'!$A$4:$B$1020,2,FALSE)</f>
        <v>DLC_BASE_GAME</v>
      </c>
      <c r="L704" s="102" t="str">
        <f>VLOOKUP(J704,'&lt;Constants&gt;'!$A$4:$C$1020,3,FALSE)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102" t="str">
        <f>VLOOKUP(J705,'&lt;Constants&gt;'!$A$4:$B$1020,2,FALSE)</f>
        <v>DLC_MURKMIRE</v>
      </c>
      <c r="L705" s="102" t="str">
        <f>VLOOKUP(J705,'&lt;Constants&gt;'!$A$4:$C$1020,3,FALSE)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102" t="str">
        <f>VLOOKUP(J706,'&lt;Constants&gt;'!$A$4:$B$1020,2,FALSE)</f>
        <v>DLC_BASE_GAME</v>
      </c>
      <c r="L706" s="102" t="str">
        <f>VLOOKUP(J706,'&lt;Constants&gt;'!$A$4:$C$1020,3,FALSE)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102" t="str">
        <f>VLOOKUP(J707,'&lt;Constants&gt;'!$A$4:$B$1020,2,FALSE)</f>
        <v>DLC_ELSWEYR</v>
      </c>
      <c r="L707" s="102" t="str">
        <f>VLOOKUP(J707,'&lt;Constants&gt;'!$A$4:$C$1020,3,FALSE)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102" t="str">
        <f>VLOOKUP(J708,'&lt;Constants&gt;'!$A$4:$B$1020,2,FALSE)</f>
        <v>DLC_ELSWEYR</v>
      </c>
      <c r="L708" s="102" t="str">
        <f>VLOOKUP(J708,'&lt;Constants&gt;'!$A$4:$C$1020,3,FALSE)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102" t="str">
        <f>VLOOKUP(J709,'&lt;Constants&gt;'!$A$4:$B$1020,2,FALSE)</f>
        <v>DLC_ELSWEYR</v>
      </c>
      <c r="L709" s="102" t="str">
        <f>VLOOKUP(J709,'&lt;Constants&gt;'!$A$4:$C$1020,3,FALSE)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102" t="str">
        <f>VLOOKUP(J710,'&lt;Constants&gt;'!$A$4:$B$1020,2,FALSE)</f>
        <v>DLC_ELSWEYR</v>
      </c>
      <c r="L710" s="102" t="str">
        <f>VLOOKUP(J710,'&lt;Constants&gt;'!$A$4:$C$1020,3,FALSE)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102" t="str">
        <f>VLOOKUP(J711,'&lt;Constants&gt;'!$A$4:$B$1020,2,FALSE)</f>
        <v>DLC_ELSWEYR</v>
      </c>
      <c r="L711" s="102" t="str">
        <f>VLOOKUP(J711,'&lt;Constants&gt;'!$A$4:$C$1020,3,FALSE)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102" t="str">
        <f>VLOOKUP(J712,'&lt;Constants&gt;'!$A$4:$B$1020,2,FALSE)</f>
        <v>DLC_ELSWEYR</v>
      </c>
      <c r="L712" s="102" t="str">
        <f>VLOOKUP(J712,'&lt;Constants&gt;'!$A$4:$C$1020,3,FALSE)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102" t="str">
        <f>VLOOKUP(J713,'&lt;Constants&gt;'!$A$4:$B$1020,2,FALSE)</f>
        <v>DLC_BASE_GAME</v>
      </c>
      <c r="L713" s="102" t="str">
        <f>VLOOKUP(J713,'&lt;Constants&gt;'!$A$4:$C$1020,3,FALSE)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102" t="str">
        <f>VLOOKUP(J714,'&lt;Constants&gt;'!$A$4:$B$1020,2,FALSE)</f>
        <v>DLC_ELSWEYR</v>
      </c>
      <c r="L714" s="102" t="str">
        <f>VLOOKUP(J714,'&lt;Constants&gt;'!$A$4:$C$1020,3,FALSE)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102" t="str">
        <f>VLOOKUP(J715,'&lt;Constants&gt;'!$A$4:$B$1020,2,FALSE)</f>
        <v>DLC_ELSWEYR</v>
      </c>
      <c r="L715" s="102" t="str">
        <f>VLOOKUP(J715,'&lt;Constants&gt;'!$A$4:$C$1020,3,FALSE)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102" t="str">
        <f>VLOOKUP(J716,'&lt;Constants&gt;'!$A$4:$B$1020,2,FALSE)</f>
        <v>DLC_ELSWEYR</v>
      </c>
      <c r="L716" s="102" t="str">
        <f>VLOOKUP(J716,'&lt;Constants&gt;'!$A$4:$C$1020,3,FALSE)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102" t="str">
        <f>VLOOKUP(J717,'&lt;Constants&gt;'!$A$4:$B$1020,2,FALSE)</f>
        <v>DLC_ELSWEYR</v>
      </c>
      <c r="L717" s="102" t="str">
        <f>VLOOKUP(J717,'&lt;Constants&gt;'!$A$4:$C$1020,3,FALSE)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102" t="str">
        <f>VLOOKUP(J718,'&lt;Constants&gt;'!$A$4:$B$1020,2,FALSE)</f>
        <v>DLC_ELSWEYR</v>
      </c>
      <c r="L718" s="102" t="str">
        <f>VLOOKUP(J718,'&lt;Constants&gt;'!$A$4:$C$1020,3,FALSE)</f>
        <v>Elsweyr</v>
      </c>
    </row>
    <row r="719" spans="1:12" x14ac:dyDescent="0.25">
      <c r="A719">
        <v>1122</v>
      </c>
      <c r="B719">
        <v>714</v>
      </c>
      <c r="C719">
        <v>1086</v>
      </c>
      <c r="D719" t="s">
        <v>1463</v>
      </c>
      <c r="E719" t="str">
        <f>IF(NOT(ISERROR(VLOOKUP(D719,'ESO DungeonFinder'!$A$2:$A$999,1,FALSE))),"X","")</f>
        <v>X</v>
      </c>
      <c r="F719" s="102" t="str">
        <f t="shared" si="47"/>
        <v/>
      </c>
      <c r="G719" s="102" t="str">
        <f t="shared" si="48"/>
        <v>Northern Elsweyr</v>
      </c>
      <c r="H719" s="103">
        <f t="shared" si="49"/>
        <v>1122</v>
      </c>
      <c r="I719" s="103">
        <f t="shared" si="50"/>
        <v>1086</v>
      </c>
      <c r="J719">
        <v>15</v>
      </c>
      <c r="K719" s="102" t="str">
        <f>VLOOKUP(J719,'&lt;Constants&gt;'!$A$4:$B$1020,2,FALSE)</f>
        <v>DLC_SCALEBREAKER</v>
      </c>
      <c r="L719" s="102" t="str">
        <f>VLOOKUP(J719,'&lt;Constants&gt;'!$A$4:$C$1020,3,FALSE)</f>
        <v>Scalebraker</v>
      </c>
    </row>
    <row r="720" spans="1:12" x14ac:dyDescent="0.25">
      <c r="A720">
        <v>1123</v>
      </c>
      <c r="B720">
        <v>715</v>
      </c>
      <c r="C720">
        <v>383</v>
      </c>
      <c r="D720" t="s">
        <v>1464</v>
      </c>
      <c r="E720" t="str">
        <f>IF(NOT(ISERROR(VLOOKUP(D720,'ESO DungeonFinder'!$A$2:$A$999,1,FALSE))),"X","")</f>
        <v>X</v>
      </c>
      <c r="F720" s="102" t="str">
        <f t="shared" si="47"/>
        <v/>
      </c>
      <c r="G720" s="102" t="str">
        <f t="shared" si="48"/>
        <v>Grahtwood</v>
      </c>
      <c r="H720" s="103">
        <f t="shared" si="49"/>
        <v>1123</v>
      </c>
      <c r="I720" s="103">
        <f t="shared" si="50"/>
        <v>383</v>
      </c>
      <c r="J720">
        <v>15</v>
      </c>
      <c r="K720" s="102" t="str">
        <f>VLOOKUP(J720,'&lt;Constants&gt;'!$A$4:$B$1020,2,FALSE)</f>
        <v>DLC_SCALEBREAKER</v>
      </c>
      <c r="L720" s="102" t="str">
        <f>VLOOKUP(J720,'&lt;Constants&gt;'!$A$4:$C$1020,3,FALSE)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102" t="str">
        <f>VLOOKUP(J721,'&lt;Constants&gt;'!$A$4:$B$1020,2,FALSE)</f>
        <v>DLC_BASE_GAME</v>
      </c>
      <c r="L721" s="102" t="str">
        <f>VLOOKUP(J721,'&lt;Constants&gt;'!$A$4:$C$1020,3,FALSE)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102" t="str">
        <f>VLOOKUP(J722,'&lt;Constants&gt;'!$A$4:$B$1020,2,FALSE)</f>
        <v>DLC_BASE_GAME</v>
      </c>
      <c r="L722" s="102" t="str">
        <f>VLOOKUP(J722,'&lt;Constants&gt;'!$A$4:$C$1020,3,FALSE)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102" t="str">
        <f>VLOOKUP(J723,'&lt;Constants&gt;'!$A$4:$B$1020,2,FALSE)</f>
        <v>DLC_ELSWEYR</v>
      </c>
      <c r="L723" s="102" t="str">
        <f>VLOOKUP(J723,'&lt;Constants&gt;'!$A$4:$C$1020,3,FALSE)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102" t="str">
        <f>VLOOKUP(J724,'&lt;Constants&gt;'!$A$4:$B$1020,2,FALSE)</f>
        <v>DLC_ELSWEYR</v>
      </c>
      <c r="L724" s="102" t="str">
        <f>VLOOKUP(J724,'&lt;Constants&gt;'!$A$4:$C$1020,3,FALSE)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102" t="str">
        <f>VLOOKUP(J725,'&lt;Constants&gt;'!$A$4:$B$1020,2,FALSE)</f>
        <v>DLC_ELSWEYR</v>
      </c>
      <c r="L725" s="102" t="str">
        <f>VLOOKUP(J725,'&lt;Constants&gt;'!$A$4:$C$1020,3,FALSE)</f>
        <v>Elsweyr</v>
      </c>
    </row>
    <row r="726" spans="1:12" x14ac:dyDescent="0.25">
      <c r="A726">
        <v>1133</v>
      </c>
      <c r="B726">
        <v>721</v>
      </c>
      <c r="C726">
        <v>1133</v>
      </c>
      <c r="D726" t="s">
        <v>1560</v>
      </c>
      <c r="E726" t="str">
        <f>IF(NOT(ISERROR(VLOOKUP(D726,'ESO DungeonFinder'!$A$2:$A$999,1,FALSE))),"X","")</f>
        <v/>
      </c>
      <c r="F726" s="102" t="str">
        <f t="shared" si="47"/>
        <v>X</v>
      </c>
      <c r="G726" s="102" t="str">
        <f t="shared" si="48"/>
        <v/>
      </c>
      <c r="H726" s="103">
        <f t="shared" si="49"/>
        <v>1133</v>
      </c>
      <c r="I726" s="103">
        <f t="shared" si="50"/>
        <v>1133</v>
      </c>
      <c r="J726">
        <v>0</v>
      </c>
      <c r="K726" s="102" t="str">
        <f>VLOOKUP(J726,'&lt;Constants&gt;'!$A$4:$B$1020,2,FALSE)</f>
        <v>DLC_BASE_GAME</v>
      </c>
      <c r="L726" s="102" t="str">
        <f>VLOOKUP(J726,'&lt;Constants&gt;'!$A$4:$C$1020,3,FALSE)</f>
        <v>Included in base game</v>
      </c>
    </row>
    <row r="727" spans="1:12" x14ac:dyDescent="0.25">
      <c r="A727">
        <v>1134</v>
      </c>
      <c r="B727">
        <v>722</v>
      </c>
      <c r="C727">
        <v>1133</v>
      </c>
      <c r="D727" t="s">
        <v>1561</v>
      </c>
      <c r="E727" t="str">
        <f>IF(NOT(ISERROR(VLOOKUP(D727,'ESO DungeonFinder'!$A$2:$A$999,1,FALSE))),"X","")</f>
        <v/>
      </c>
      <c r="F727" s="102" t="str">
        <f t="shared" si="47"/>
        <v/>
      </c>
      <c r="G727" s="102" t="str">
        <f t="shared" si="48"/>
        <v>Southern Elsweyr</v>
      </c>
      <c r="H727" s="103">
        <f t="shared" si="49"/>
        <v>1134</v>
      </c>
      <c r="I727" s="103">
        <f t="shared" si="50"/>
        <v>1133</v>
      </c>
      <c r="J727">
        <v>16</v>
      </c>
      <c r="K727" s="102" t="str">
        <f>VLOOKUP(J727,'&lt;Constants&gt;'!$A$4:$B$1020,2,FALSE)</f>
        <v>DLC_DRAGONHOLD</v>
      </c>
      <c r="L727" s="102" t="str">
        <f>VLOOKUP(J727,'&lt;Constants&gt;'!$A$4:$C$1020,3,FALSE)</f>
        <v>Dragonhold</v>
      </c>
    </row>
    <row r="728" spans="1:12" x14ac:dyDescent="0.25">
      <c r="A728">
        <v>1135</v>
      </c>
      <c r="B728">
        <v>723</v>
      </c>
      <c r="C728">
        <v>1133</v>
      </c>
      <c r="D728" t="s">
        <v>1562</v>
      </c>
      <c r="E728" t="str">
        <f>IF(NOT(ISERROR(VLOOKUP(D728,'ESO DungeonFinder'!$A$2:$A$999,1,FALSE))),"X","")</f>
        <v/>
      </c>
      <c r="F728" s="102" t="str">
        <f t="shared" si="47"/>
        <v/>
      </c>
      <c r="G728" s="102" t="str">
        <f t="shared" si="48"/>
        <v>Southern Elsweyr</v>
      </c>
      <c r="H728" s="103">
        <f t="shared" si="49"/>
        <v>1135</v>
      </c>
      <c r="I728" s="103">
        <f t="shared" si="50"/>
        <v>1133</v>
      </c>
      <c r="J728">
        <v>16</v>
      </c>
      <c r="K728" s="102" t="str">
        <f>VLOOKUP(J728,'&lt;Constants&gt;'!$A$4:$B$1020,2,FALSE)</f>
        <v>DLC_DRAGONHOLD</v>
      </c>
      <c r="L728" s="102" t="str">
        <f>VLOOKUP(J728,'&lt;Constants&gt;'!$A$4:$C$1020,3,FALSE)</f>
        <v>Dragonhold</v>
      </c>
    </row>
    <row r="729" spans="1:12" x14ac:dyDescent="0.25">
      <c r="A729">
        <v>1136</v>
      </c>
      <c r="B729">
        <v>724</v>
      </c>
      <c r="C729">
        <v>1133</v>
      </c>
      <c r="D729" t="s">
        <v>1563</v>
      </c>
      <c r="E729" t="str">
        <f>IF(NOT(ISERROR(VLOOKUP(D729,'ESO DungeonFinder'!$A$2:$A$999,1,FALSE))),"X","")</f>
        <v/>
      </c>
      <c r="F729" s="102" t="str">
        <f t="shared" si="47"/>
        <v/>
      </c>
      <c r="G729" s="102" t="str">
        <f t="shared" si="48"/>
        <v>Southern Elsweyr</v>
      </c>
      <c r="H729" s="103">
        <f t="shared" si="49"/>
        <v>1136</v>
      </c>
      <c r="I729" s="103">
        <f t="shared" si="50"/>
        <v>1133</v>
      </c>
      <c r="J729">
        <v>16</v>
      </c>
      <c r="K729" s="102" t="str">
        <f>VLOOKUP(J729,'&lt;Constants&gt;'!$A$4:$B$1020,2,FALSE)</f>
        <v>DLC_DRAGONHOLD</v>
      </c>
      <c r="L729" s="102" t="str">
        <f>VLOOKUP(J729,'&lt;Constants&gt;'!$A$4:$C$1020,3,FALSE)</f>
        <v>Dragonhold</v>
      </c>
    </row>
    <row r="730" spans="1:12" x14ac:dyDescent="0.25">
      <c r="A730">
        <v>1137</v>
      </c>
      <c r="B730">
        <v>725</v>
      </c>
      <c r="C730">
        <v>1133</v>
      </c>
      <c r="D730" t="s">
        <v>1564</v>
      </c>
      <c r="E730" t="str">
        <f>IF(NOT(ISERROR(VLOOKUP(D730,'ESO DungeonFinder'!$A$2:$A$999,1,FALSE))),"X","")</f>
        <v/>
      </c>
      <c r="F730" s="102" t="str">
        <f t="shared" si="47"/>
        <v/>
      </c>
      <c r="G730" s="102" t="str">
        <f t="shared" si="48"/>
        <v>Southern Elsweyr</v>
      </c>
      <c r="H730" s="103">
        <f t="shared" si="49"/>
        <v>1137</v>
      </c>
      <c r="I730" s="103">
        <f t="shared" si="50"/>
        <v>1133</v>
      </c>
      <c r="J730">
        <v>16</v>
      </c>
      <c r="K730" s="102" t="str">
        <f>VLOOKUP(J730,'&lt;Constants&gt;'!$A$4:$B$1020,2,FALSE)</f>
        <v>DLC_DRAGONHOLD</v>
      </c>
      <c r="L730" s="102" t="str">
        <f>VLOOKUP(J730,'&lt;Constants&gt;'!$A$4:$C$1020,3,FALSE)</f>
        <v>Dragonhold</v>
      </c>
    </row>
    <row r="731" spans="1:12" x14ac:dyDescent="0.25">
      <c r="A731">
        <v>1138</v>
      </c>
      <c r="B731">
        <v>726</v>
      </c>
      <c r="C731">
        <v>1133</v>
      </c>
      <c r="D731" t="s">
        <v>1467</v>
      </c>
      <c r="E731" t="str">
        <f>IF(NOT(ISERROR(VLOOKUP(D731,'ESO DungeonFinder'!$A$2:$A$999,1,FALSE))),"X","")</f>
        <v/>
      </c>
      <c r="F731" s="102" t="str">
        <f t="shared" si="47"/>
        <v/>
      </c>
      <c r="G731" s="102" t="str">
        <f t="shared" si="48"/>
        <v>Southern Elsweyr</v>
      </c>
      <c r="H731" s="103">
        <f t="shared" si="49"/>
        <v>1138</v>
      </c>
      <c r="I731" s="103">
        <f t="shared" si="50"/>
        <v>1133</v>
      </c>
      <c r="J731">
        <v>16</v>
      </c>
      <c r="K731" s="102" t="str">
        <f>VLOOKUP(J731,'&lt;Constants&gt;'!$A$4:$B$1020,2,FALSE)</f>
        <v>DLC_DRAGONHOLD</v>
      </c>
      <c r="L731" s="102" t="str">
        <f>VLOOKUP(J731,'&lt;Constants&gt;'!$A$4:$C$1020,3,FALSE)</f>
        <v>Dragonhold</v>
      </c>
    </row>
    <row r="732" spans="1:12" x14ac:dyDescent="0.25">
      <c r="A732">
        <v>1139</v>
      </c>
      <c r="B732">
        <v>727</v>
      </c>
      <c r="C732">
        <v>1133</v>
      </c>
      <c r="D732" t="s">
        <v>1565</v>
      </c>
      <c r="E732" t="str">
        <f>IF(NOT(ISERROR(VLOOKUP(D732,'ESO DungeonFinder'!$A$2:$A$999,1,FALSE))),"X","")</f>
        <v/>
      </c>
      <c r="F732" s="102" t="str">
        <f t="shared" si="47"/>
        <v/>
      </c>
      <c r="G732" s="102" t="str">
        <f t="shared" si="48"/>
        <v>Southern Elsweyr</v>
      </c>
      <c r="H732" s="103">
        <f t="shared" si="49"/>
        <v>1139</v>
      </c>
      <c r="I732" s="103">
        <f t="shared" si="50"/>
        <v>1133</v>
      </c>
      <c r="J732">
        <v>16</v>
      </c>
      <c r="K732" s="102" t="str">
        <f>VLOOKUP(J732,'&lt;Constants&gt;'!$A$4:$B$1020,2,FALSE)</f>
        <v>DLC_DRAGONHOLD</v>
      </c>
      <c r="L732" s="102" t="str">
        <f>VLOOKUP(J732,'&lt;Constants&gt;'!$A$4:$C$1020,3,FALSE)</f>
        <v>Dragonhold</v>
      </c>
    </row>
    <row r="733" spans="1:12" x14ac:dyDescent="0.25">
      <c r="A733">
        <v>1140</v>
      </c>
      <c r="B733">
        <v>728</v>
      </c>
      <c r="C733">
        <v>104</v>
      </c>
      <c r="D733" t="s">
        <v>1468</v>
      </c>
      <c r="E733" t="str">
        <f>IF(NOT(ISERROR(VLOOKUP(D733,'ESO DungeonFinder'!$A$2:$A$999,1,FALSE))),"X","")</f>
        <v/>
      </c>
      <c r="F733" s="102" t="str">
        <f t="shared" si="47"/>
        <v/>
      </c>
      <c r="G733" s="102" t="str">
        <f t="shared" si="48"/>
        <v>Alik'r Desert</v>
      </c>
      <c r="H733" s="103">
        <f t="shared" si="49"/>
        <v>1140</v>
      </c>
      <c r="I733" s="103">
        <f t="shared" si="50"/>
        <v>104</v>
      </c>
      <c r="J733">
        <v>0</v>
      </c>
      <c r="K733" s="102" t="str">
        <f>VLOOKUP(J733,'&lt;Constants&gt;'!$A$4:$B$1020,2,FALSE)</f>
        <v>DLC_BASE_GAME</v>
      </c>
      <c r="L733" s="102" t="str">
        <f>VLOOKUP(J733,'&lt;Constants&gt;'!$A$4:$C$1020,3,FALSE)</f>
        <v>Included in base game</v>
      </c>
    </row>
    <row r="734" spans="1:12" x14ac:dyDescent="0.25">
      <c r="A734">
        <v>1141</v>
      </c>
      <c r="B734">
        <v>729</v>
      </c>
      <c r="C734">
        <v>101</v>
      </c>
      <c r="D734" t="s">
        <v>1474</v>
      </c>
      <c r="E734" t="str">
        <f>IF(NOT(ISERROR(VLOOKUP(D734,'ESO DungeonFinder'!$A$2:$A$999,1,FALSE))),"X","")</f>
        <v/>
      </c>
      <c r="F734" s="102" t="str">
        <f t="shared" si="47"/>
        <v/>
      </c>
      <c r="G734" s="102" t="str">
        <f t="shared" si="48"/>
        <v>Eastmarch</v>
      </c>
      <c r="H734" s="103">
        <f t="shared" si="49"/>
        <v>1141</v>
      </c>
      <c r="I734" s="103">
        <f t="shared" si="50"/>
        <v>101</v>
      </c>
      <c r="J734">
        <v>0</v>
      </c>
      <c r="K734" s="102" t="str">
        <f>VLOOKUP(J734,'&lt;Constants&gt;'!$A$4:$B$1020,2,FALSE)</f>
        <v>DLC_BASE_GAME</v>
      </c>
      <c r="L734" s="102" t="str">
        <f>VLOOKUP(J734,'&lt;Constants&gt;'!$A$4:$C$1020,3,FALSE)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102" t="str">
        <f>VLOOKUP(J735,'&lt;Constants&gt;'!$A$4:$B$1020,2,FALSE)</f>
        <v>DLC_BASE_GAME</v>
      </c>
      <c r="L735" s="102" t="str">
        <f>VLOOKUP(J735,'&lt;Constants&gt;'!$A$4:$C$1020,3,FALSE)</f>
        <v>Included in base game</v>
      </c>
    </row>
    <row r="736" spans="1:12" x14ac:dyDescent="0.25">
      <c r="A736">
        <v>1143</v>
      </c>
      <c r="B736">
        <v>731</v>
      </c>
      <c r="C736">
        <v>19</v>
      </c>
      <c r="D736" t="s">
        <v>1469</v>
      </c>
      <c r="E736" t="str">
        <f>IF(NOT(ISERROR(VLOOKUP(D736,'ESO DungeonFinder'!$A$2:$A$999,1,FALSE))),"X","")</f>
        <v/>
      </c>
      <c r="F736" s="102" t="str">
        <f t="shared" si="47"/>
        <v/>
      </c>
      <c r="G736" s="102" t="str">
        <f t="shared" si="48"/>
        <v>Stormhaven</v>
      </c>
      <c r="H736" s="103">
        <f t="shared" si="49"/>
        <v>1143</v>
      </c>
      <c r="I736" s="103">
        <f t="shared" si="50"/>
        <v>19</v>
      </c>
      <c r="J736">
        <v>0</v>
      </c>
      <c r="K736" s="102" t="str">
        <f>VLOOKUP(J736,'&lt;Constants&gt;'!$A$4:$B$1020,2,FALSE)</f>
        <v>DLC_BASE_GAME</v>
      </c>
      <c r="L736" s="102" t="str">
        <f>VLOOKUP(J736,'&lt;Constants&gt;'!$A$4:$C$1020,3,FALSE)</f>
        <v>Included in base game</v>
      </c>
    </row>
    <row r="737" spans="1:12" x14ac:dyDescent="0.25">
      <c r="A737">
        <v>1144</v>
      </c>
      <c r="B737">
        <v>732</v>
      </c>
      <c r="C737">
        <v>1144</v>
      </c>
      <c r="D737" t="s">
        <v>1470</v>
      </c>
      <c r="E737" t="str">
        <f>IF(NOT(ISERROR(VLOOKUP(D737,'ESO DungeonFinder'!$A$2:$A$999,1,FALSE))),"X","")</f>
        <v/>
      </c>
      <c r="F737" s="102" t="str">
        <f t="shared" si="47"/>
        <v>X</v>
      </c>
      <c r="G737" s="102" t="str">
        <f t="shared" si="48"/>
        <v/>
      </c>
      <c r="H737" s="103">
        <f t="shared" si="49"/>
        <v>1144</v>
      </c>
      <c r="I737" s="103">
        <f t="shared" si="50"/>
        <v>1144</v>
      </c>
      <c r="J737">
        <v>0</v>
      </c>
      <c r="K737" s="102" t="str">
        <f>VLOOKUP(J737,'&lt;Constants&gt;'!$A$4:$B$1020,2,FALSE)</f>
        <v>DLC_BASE_GAME</v>
      </c>
      <c r="L737" s="102" t="str">
        <f>VLOOKUP(J737,'&lt;Constants&gt;'!$A$4:$C$1020,3,FALSE)</f>
        <v>Included in base game</v>
      </c>
    </row>
    <row r="738" spans="1:12" x14ac:dyDescent="0.25">
      <c r="A738">
        <v>1145</v>
      </c>
      <c r="B738">
        <v>733</v>
      </c>
      <c r="C738">
        <v>1133</v>
      </c>
      <c r="D738" t="s">
        <v>1566</v>
      </c>
      <c r="E738" t="str">
        <f>IF(NOT(ISERROR(VLOOKUP(D738,'ESO DungeonFinder'!$A$2:$A$999,1,FALSE))),"X","")</f>
        <v/>
      </c>
      <c r="F738" s="102" t="str">
        <f t="shared" si="47"/>
        <v/>
      </c>
      <c r="G738" s="102" t="str">
        <f t="shared" si="48"/>
        <v>Southern Elsweyr</v>
      </c>
      <c r="H738" s="103">
        <f t="shared" si="49"/>
        <v>1145</v>
      </c>
      <c r="I738" s="103">
        <f t="shared" si="50"/>
        <v>1133</v>
      </c>
      <c r="J738">
        <v>16</v>
      </c>
      <c r="K738" s="102" t="str">
        <f>VLOOKUP(J738,'&lt;Constants&gt;'!$A$4:$B$1020,2,FALSE)</f>
        <v>DLC_DRAGONHOLD</v>
      </c>
      <c r="L738" s="102" t="str">
        <f>VLOOKUP(J738,'&lt;Constants&gt;'!$A$4:$C$1020,3,FALSE)</f>
        <v>Dragonhold</v>
      </c>
    </row>
    <row r="739" spans="1:12" x14ac:dyDescent="0.25">
      <c r="A739">
        <v>1146</v>
      </c>
      <c r="B739">
        <v>734</v>
      </c>
      <c r="C739">
        <v>1133</v>
      </c>
      <c r="D739" t="s">
        <v>1567</v>
      </c>
      <c r="E739" t="str">
        <f>IF(NOT(ISERROR(VLOOKUP(D739,'ESO DungeonFinder'!$A$2:$A$999,1,FALSE))),"X","")</f>
        <v/>
      </c>
      <c r="F739" s="102" t="str">
        <f t="shared" si="47"/>
        <v/>
      </c>
      <c r="G739" s="102" t="str">
        <f t="shared" si="48"/>
        <v>Southern Elsweyr</v>
      </c>
      <c r="H739" s="103">
        <f t="shared" si="49"/>
        <v>1146</v>
      </c>
      <c r="I739" s="103">
        <f t="shared" si="50"/>
        <v>1133</v>
      </c>
      <c r="J739">
        <v>16</v>
      </c>
      <c r="K739" s="102" t="str">
        <f>VLOOKUP(J739,'&lt;Constants&gt;'!$A$4:$B$1020,2,FALSE)</f>
        <v>DLC_DRAGONHOLD</v>
      </c>
      <c r="L739" s="102" t="str">
        <f>VLOOKUP(J739,'&lt;Constants&gt;'!$A$4:$C$1020,3,FALSE)</f>
        <v>Dragonhold</v>
      </c>
    </row>
    <row r="740" spans="1:12" x14ac:dyDescent="0.25">
      <c r="A740">
        <v>1147</v>
      </c>
      <c r="B740">
        <v>735</v>
      </c>
      <c r="C740">
        <v>1133</v>
      </c>
      <c r="D740" t="s">
        <v>1568</v>
      </c>
      <c r="E740" t="str">
        <f>IF(NOT(ISERROR(VLOOKUP(D740,'ESO DungeonFinder'!$A$2:$A$999,1,FALSE))),"X","")</f>
        <v/>
      </c>
      <c r="F740" s="102" t="str">
        <f t="shared" si="47"/>
        <v/>
      </c>
      <c r="G740" s="102" t="str">
        <f t="shared" si="48"/>
        <v>Southern Elsweyr</v>
      </c>
      <c r="H740" s="103">
        <f t="shared" si="49"/>
        <v>1147</v>
      </c>
      <c r="I740" s="103">
        <f t="shared" si="50"/>
        <v>1133</v>
      </c>
      <c r="J740">
        <v>16</v>
      </c>
      <c r="K740" s="102" t="str">
        <f>VLOOKUP(J740,'&lt;Constants&gt;'!$A$4:$B$1020,2,FALSE)</f>
        <v>DLC_DRAGONHOLD</v>
      </c>
      <c r="L740" s="102" t="str">
        <f>VLOOKUP(J740,'&lt;Constants&gt;'!$A$4:$C$1020,3,FALSE)</f>
        <v>Dragonhold</v>
      </c>
    </row>
    <row r="741" spans="1:12" x14ac:dyDescent="0.25">
      <c r="A741">
        <v>1148</v>
      </c>
      <c r="B741">
        <v>736</v>
      </c>
      <c r="C741">
        <v>1133</v>
      </c>
      <c r="D741" t="s">
        <v>1572</v>
      </c>
      <c r="E741" t="str">
        <f>IF(NOT(ISERROR(VLOOKUP(D741,'ESO DungeonFinder'!$A$2:$A$999,1,FALSE))),"X","")</f>
        <v/>
      </c>
      <c r="F741" s="102" t="str">
        <f t="shared" si="47"/>
        <v/>
      </c>
      <c r="G741" s="102" t="str">
        <f t="shared" si="48"/>
        <v>Southern Elsweyr</v>
      </c>
      <c r="H741" s="103">
        <f t="shared" si="49"/>
        <v>1148</v>
      </c>
      <c r="I741" s="103">
        <f t="shared" si="50"/>
        <v>1133</v>
      </c>
      <c r="J741">
        <v>16</v>
      </c>
      <c r="K741" s="102" t="str">
        <f>VLOOKUP(J741,'&lt;Constants&gt;'!$A$4:$B$1020,2,FALSE)</f>
        <v>DLC_DRAGONHOLD</v>
      </c>
      <c r="L741" s="102" t="str">
        <f>VLOOKUP(J741,'&lt;Constants&gt;'!$A$4:$C$1020,3,FALSE)</f>
        <v>Dragonhold</v>
      </c>
    </row>
    <row r="742" spans="1:12" x14ac:dyDescent="0.25">
      <c r="A742">
        <v>1149</v>
      </c>
      <c r="B742">
        <v>737</v>
      </c>
      <c r="C742">
        <v>1133</v>
      </c>
      <c r="D742" t="s">
        <v>1569</v>
      </c>
      <c r="E742" t="str">
        <f>IF(NOT(ISERROR(VLOOKUP(D742,'ESO DungeonFinder'!$A$2:$A$999,1,FALSE))),"X","")</f>
        <v/>
      </c>
      <c r="F742" s="102" t="str">
        <f t="shared" si="47"/>
        <v/>
      </c>
      <c r="G742" s="102" t="str">
        <f t="shared" si="48"/>
        <v>Southern Elsweyr</v>
      </c>
      <c r="H742" s="103">
        <f t="shared" si="49"/>
        <v>1149</v>
      </c>
      <c r="I742" s="103">
        <f t="shared" si="50"/>
        <v>1133</v>
      </c>
      <c r="J742">
        <v>16</v>
      </c>
      <c r="K742" s="102" t="str">
        <f>VLOOKUP(J742,'&lt;Constants&gt;'!$A$4:$B$1020,2,FALSE)</f>
        <v>DLC_DRAGONHOLD</v>
      </c>
      <c r="L742" s="102" t="str">
        <f>VLOOKUP(J742,'&lt;Constants&gt;'!$A$4:$C$1020,3,FALSE)</f>
        <v>Dragonhold</v>
      </c>
    </row>
    <row r="743" spans="1:12" x14ac:dyDescent="0.25">
      <c r="A743">
        <v>1150</v>
      </c>
      <c r="B743">
        <v>738</v>
      </c>
      <c r="C743">
        <v>1133</v>
      </c>
      <c r="D743" t="s">
        <v>1571</v>
      </c>
      <c r="E743" t="str">
        <f>IF(NOT(ISERROR(VLOOKUP(D743,'ESO DungeonFinder'!$A$2:$A$999,1,FALSE))),"X","")</f>
        <v/>
      </c>
      <c r="F743" s="102" t="str">
        <f t="shared" si="47"/>
        <v/>
      </c>
      <c r="G743" s="102" t="str">
        <f t="shared" si="48"/>
        <v>Southern Elsweyr</v>
      </c>
      <c r="H743" s="103">
        <f t="shared" si="49"/>
        <v>1150</v>
      </c>
      <c r="I743" s="103">
        <f t="shared" si="50"/>
        <v>1133</v>
      </c>
      <c r="J743">
        <v>16</v>
      </c>
      <c r="K743" s="102" t="str">
        <f>VLOOKUP(J743,'&lt;Constants&gt;'!$A$4:$B$1020,2,FALSE)</f>
        <v>DLC_DRAGONHOLD</v>
      </c>
      <c r="L743" s="102" t="str">
        <f>VLOOKUP(J743,'&lt;Constants&gt;'!$A$4:$C$1020,3,FALSE)</f>
        <v>Dragonhold</v>
      </c>
    </row>
    <row r="744" spans="1:12" x14ac:dyDescent="0.25">
      <c r="A744">
        <v>1151</v>
      </c>
      <c r="B744">
        <v>739</v>
      </c>
      <c r="C744">
        <v>1133</v>
      </c>
      <c r="D744" t="s">
        <v>1570</v>
      </c>
      <c r="E744" t="str">
        <f>IF(NOT(ISERROR(VLOOKUP(D744,'ESO DungeonFinder'!$A$2:$A$999,1,FALSE))),"X","")</f>
        <v/>
      </c>
      <c r="F744" s="102" t="str">
        <f t="shared" si="47"/>
        <v/>
      </c>
      <c r="G744" s="102" t="str">
        <f t="shared" si="48"/>
        <v>Southern Elsweyr</v>
      </c>
      <c r="H744" s="103">
        <f t="shared" si="49"/>
        <v>1151</v>
      </c>
      <c r="I744" s="103">
        <f t="shared" si="50"/>
        <v>1133</v>
      </c>
      <c r="J744">
        <v>16</v>
      </c>
      <c r="K744" s="102" t="str">
        <f>VLOOKUP(J744,'&lt;Constants&gt;'!$A$4:$B$1020,2,FALSE)</f>
        <v>DLC_DRAGONHOLD</v>
      </c>
      <c r="L744" s="102" t="str">
        <f>VLOOKUP(J744,'&lt;Constants&gt;'!$A$4:$C$1020,3,FALSE)</f>
        <v>Dragonhold</v>
      </c>
    </row>
    <row r="745" spans="1:12" x14ac:dyDescent="0.25">
      <c r="A745">
        <v>1152</v>
      </c>
      <c r="B745">
        <v>740</v>
      </c>
      <c r="C745">
        <v>684</v>
      </c>
      <c r="D745" t="s">
        <v>1621</v>
      </c>
      <c r="E745" t="str">
        <f>IF(NOT(ISERROR(VLOOKUP(D745,'ESO DungeonFinder'!$A$2:$A$999,1,FALSE))),"X","")</f>
        <v>X</v>
      </c>
      <c r="F745" s="102" t="str">
        <f t="shared" si="47"/>
        <v/>
      </c>
      <c r="G745" s="102" t="str">
        <f t="shared" si="48"/>
        <v>Wrothgar</v>
      </c>
      <c r="H745" s="103">
        <f t="shared" si="49"/>
        <v>1152</v>
      </c>
      <c r="I745" s="103">
        <f t="shared" si="50"/>
        <v>684</v>
      </c>
      <c r="J745">
        <v>17</v>
      </c>
      <c r="K745" s="102" t="str">
        <f>VLOOKUP(J745,'&lt;Constants&gt;'!$A$4:$B$1020,2,FALSE)</f>
        <v>DLC_HARROWSTORM</v>
      </c>
      <c r="L745" s="102" t="str">
        <f>VLOOKUP(J745,'&lt;Constants&gt;'!$A$4:$C$1020,3,FALSE)</f>
        <v>Harrowstorm</v>
      </c>
    </row>
    <row r="746" spans="1:12" x14ac:dyDescent="0.25">
      <c r="A746">
        <v>1153</v>
      </c>
      <c r="B746">
        <v>741</v>
      </c>
      <c r="C746">
        <v>92</v>
      </c>
      <c r="D746" t="s">
        <v>1620</v>
      </c>
      <c r="E746" t="str">
        <f>IF(NOT(ISERROR(VLOOKUP(D746,'ESO DungeonFinder'!$A$2:$A$999,1,FALSE))),"X","")</f>
        <v>X</v>
      </c>
      <c r="F746" s="102" t="str">
        <f t="shared" si="47"/>
        <v/>
      </c>
      <c r="G746" s="102" t="str">
        <f t="shared" si="48"/>
        <v>Bangkorai</v>
      </c>
      <c r="H746" s="103">
        <f t="shared" si="49"/>
        <v>1153</v>
      </c>
      <c r="I746" s="103">
        <f t="shared" si="50"/>
        <v>92</v>
      </c>
      <c r="J746">
        <v>17</v>
      </c>
      <c r="K746" s="102" t="str">
        <f>VLOOKUP(J746,'&lt;Constants&gt;'!$A$4:$B$1020,2,FALSE)</f>
        <v>DLC_HARROWSTORM</v>
      </c>
      <c r="L746" s="102" t="str">
        <f>VLOOKUP(J746,'&lt;Constants&gt;'!$A$4:$C$1020,3,FALSE)</f>
        <v>Harrowstorm</v>
      </c>
    </row>
    <row r="747" spans="1:12" x14ac:dyDescent="0.25">
      <c r="A747">
        <v>1154</v>
      </c>
      <c r="B747">
        <v>742</v>
      </c>
      <c r="C747">
        <v>1086</v>
      </c>
      <c r="D747" t="s">
        <v>1472</v>
      </c>
      <c r="E747" t="str">
        <f>IF(NOT(ISERROR(VLOOKUP(D747,'ESO DungeonFinder'!$A$2:$A$999,1,FALSE))),"X","")</f>
        <v/>
      </c>
      <c r="F747" s="102" t="str">
        <f t="shared" si="47"/>
        <v/>
      </c>
      <c r="G747" s="102" t="str">
        <f t="shared" si="48"/>
        <v>Northern Elsweyr</v>
      </c>
      <c r="H747" s="103">
        <f t="shared" si="49"/>
        <v>1154</v>
      </c>
      <c r="I747" s="103">
        <f t="shared" si="50"/>
        <v>1086</v>
      </c>
      <c r="J747">
        <v>14</v>
      </c>
      <c r="K747" s="102" t="str">
        <f>VLOOKUP(J747,'&lt;Constants&gt;'!$A$4:$B$1020,2,FALSE)</f>
        <v>DLC_ELSWEYR</v>
      </c>
      <c r="L747" s="102" t="str">
        <f>VLOOKUP(J747,'&lt;Constants&gt;'!$A$4:$C$1020,3,FALSE)</f>
        <v>Elsweyr</v>
      </c>
    </row>
    <row r="748" spans="1:12" x14ac:dyDescent="0.25">
      <c r="A748">
        <v>1155</v>
      </c>
      <c r="B748">
        <v>743</v>
      </c>
      <c r="C748">
        <v>20</v>
      </c>
      <c r="D748" t="s">
        <v>1473</v>
      </c>
      <c r="E748" t="str">
        <f>IF(NOT(ISERROR(VLOOKUP(D748,'ESO DungeonFinder'!$A$2:$A$999,1,FALSE))),"X","")</f>
        <v/>
      </c>
      <c r="F748" s="102" t="str">
        <f t="shared" si="47"/>
        <v/>
      </c>
      <c r="G748" s="102" t="str">
        <f t="shared" si="48"/>
        <v>Rivenspire</v>
      </c>
      <c r="H748" s="103">
        <f t="shared" si="49"/>
        <v>1155</v>
      </c>
      <c r="I748" s="103">
        <f t="shared" si="50"/>
        <v>20</v>
      </c>
      <c r="J748">
        <v>0</v>
      </c>
      <c r="K748" s="102" t="str">
        <f>VLOOKUP(J748,'&lt;Constants&gt;'!$A$4:$B$1020,2,FALSE)</f>
        <v>DLC_BASE_GAME</v>
      </c>
      <c r="L748" s="102" t="str">
        <f>VLOOKUP(J748,'&lt;Constants&gt;'!$A$4:$C$1020,3,FALSE)</f>
        <v>Included in base game</v>
      </c>
    </row>
    <row r="749" spans="1:12" x14ac:dyDescent="0.25">
      <c r="A749">
        <v>1160</v>
      </c>
      <c r="B749">
        <v>744</v>
      </c>
      <c r="C749">
        <v>1160</v>
      </c>
      <c r="D749" t="s">
        <v>1660</v>
      </c>
      <c r="E749" t="str">
        <f>IF(NOT(ISERROR(VLOOKUP(D749,'ESO DungeonFinder'!$A$2:$A$999,1,FALSE))),"X","")</f>
        <v/>
      </c>
      <c r="F749" s="102" t="str">
        <f t="shared" si="47"/>
        <v>X</v>
      </c>
      <c r="G749" s="102" t="str">
        <f t="shared" si="48"/>
        <v/>
      </c>
      <c r="H749" s="103">
        <f t="shared" si="49"/>
        <v>1160</v>
      </c>
      <c r="I749" s="103">
        <f t="shared" si="50"/>
        <v>1160</v>
      </c>
      <c r="J749">
        <v>20</v>
      </c>
      <c r="K749" s="102" t="str">
        <f>VLOOKUP(J749,'&lt;Constants&gt;'!$A$4:$B$1020,2,FALSE)</f>
        <v>DLC_MARKARTH</v>
      </c>
      <c r="L749" s="102" t="str">
        <f>VLOOKUP(J749,'&lt;Constants&gt;'!$A$4:$C$1020,3,FALSE)</f>
        <v>Markarth</v>
      </c>
    </row>
    <row r="750" spans="1:12" x14ac:dyDescent="0.25">
      <c r="A750">
        <v>1161</v>
      </c>
      <c r="B750">
        <v>745</v>
      </c>
      <c r="C750">
        <v>1161</v>
      </c>
      <c r="D750" t="s">
        <v>1690</v>
      </c>
      <c r="E750" t="str">
        <f>IF(NOT(ISERROR(VLOOKUP(D750,'ESO DungeonFinder'!$A$2:$A$999,1,FALSE))),"X","")</f>
        <v/>
      </c>
      <c r="F750" s="102" t="str">
        <f t="shared" si="47"/>
        <v>X</v>
      </c>
      <c r="G750" s="102" t="str">
        <f t="shared" si="48"/>
        <v/>
      </c>
      <c r="H750" s="103">
        <f t="shared" si="49"/>
        <v>1161</v>
      </c>
      <c r="I750" s="103">
        <f t="shared" si="50"/>
        <v>1161</v>
      </c>
      <c r="J750">
        <v>0</v>
      </c>
      <c r="K750" s="102" t="str">
        <f>VLOOKUP(J750,'&lt;Constants&gt;'!$A$4:$B$1020,2,FALSE)</f>
        <v>DLC_BASE_GAME</v>
      </c>
      <c r="L750" s="102" t="str">
        <f>VLOOKUP(J750,'&lt;Constants&gt;'!$A$4:$C$1020,3,FALSE)</f>
        <v>Included in base game</v>
      </c>
    </row>
    <row r="751" spans="1:12" x14ac:dyDescent="0.25">
      <c r="A751">
        <v>1165</v>
      </c>
      <c r="B751">
        <v>746</v>
      </c>
      <c r="C751">
        <v>1161</v>
      </c>
      <c r="D751" t="s">
        <v>1661</v>
      </c>
      <c r="E751" t="str">
        <f>IF(NOT(ISERROR(VLOOKUP(D751,'ESO DungeonFinder'!$A$2:$A$999,1,FALSE))),"X","")</f>
        <v/>
      </c>
      <c r="F751" s="102" t="str">
        <f t="shared" si="47"/>
        <v/>
      </c>
      <c r="G751" s="102" t="str">
        <f t="shared" si="48"/>
        <v>Blackreach: Greymoor Caverns</v>
      </c>
      <c r="H751" s="103">
        <f t="shared" si="49"/>
        <v>1165</v>
      </c>
      <c r="I751" s="103">
        <f t="shared" si="50"/>
        <v>1161</v>
      </c>
      <c r="J751">
        <v>18</v>
      </c>
      <c r="K751" s="102" t="str">
        <f>VLOOKUP(J751,'&lt;Constants&gt;'!$A$4:$B$1020,2,FALSE)</f>
        <v>DLC_GREYMOOR</v>
      </c>
      <c r="L751" s="102" t="str">
        <f>VLOOKUP(J751,'&lt;Constants&gt;'!$A$4:$C$1020,3,FALSE)</f>
        <v>Greymoor</v>
      </c>
    </row>
    <row r="752" spans="1:12" x14ac:dyDescent="0.25">
      <c r="A752">
        <v>1166</v>
      </c>
      <c r="B752">
        <v>747</v>
      </c>
      <c r="C752">
        <v>1160</v>
      </c>
      <c r="D752" t="s">
        <v>1689</v>
      </c>
      <c r="E752" t="str">
        <f>IF(NOT(ISERROR(VLOOKUP(D752,'ESO DungeonFinder'!$A$2:$A$999,1,FALSE))),"X","")</f>
        <v/>
      </c>
      <c r="F752" s="102" t="str">
        <f t="shared" si="47"/>
        <v/>
      </c>
      <c r="G752" s="102" t="str">
        <f t="shared" si="48"/>
        <v>Western Skyrim</v>
      </c>
      <c r="H752" s="103">
        <f t="shared" si="49"/>
        <v>1166</v>
      </c>
      <c r="I752" s="103">
        <f t="shared" si="50"/>
        <v>1160</v>
      </c>
      <c r="J752">
        <v>18</v>
      </c>
      <c r="K752" s="102" t="str">
        <f>VLOOKUP(J752,'&lt;Constants&gt;'!$A$4:$B$1020,2,FALSE)</f>
        <v>DLC_GREYMOOR</v>
      </c>
      <c r="L752" s="102" t="str">
        <f>VLOOKUP(J752,'&lt;Constants&gt;'!$A$4:$C$1020,3,FALSE)</f>
        <v>Greymoor</v>
      </c>
    </row>
    <row r="753" spans="1:12" x14ac:dyDescent="0.25">
      <c r="A753">
        <v>1167</v>
      </c>
      <c r="B753">
        <v>748</v>
      </c>
      <c r="C753">
        <v>1160</v>
      </c>
      <c r="D753" t="s">
        <v>1662</v>
      </c>
      <c r="E753" t="str">
        <f>IF(NOT(ISERROR(VLOOKUP(D753,'ESO DungeonFinder'!$A$2:$A$999,1,FALSE))),"X","")</f>
        <v/>
      </c>
      <c r="F753" s="102" t="str">
        <f t="shared" si="47"/>
        <v/>
      </c>
      <c r="G753" s="102" t="str">
        <f t="shared" si="48"/>
        <v>Western Skyrim</v>
      </c>
      <c r="H753" s="103">
        <f t="shared" si="49"/>
        <v>1167</v>
      </c>
      <c r="I753" s="103">
        <f t="shared" si="50"/>
        <v>1160</v>
      </c>
      <c r="J753">
        <v>18</v>
      </c>
      <c r="K753" s="102" t="str">
        <f>VLOOKUP(J753,'&lt;Constants&gt;'!$A$4:$B$1020,2,FALSE)</f>
        <v>DLC_GREYMOOR</v>
      </c>
      <c r="L753" s="102" t="str">
        <f>VLOOKUP(J753,'&lt;Constants&gt;'!$A$4:$C$1020,3,FALSE)</f>
        <v>Greymoor</v>
      </c>
    </row>
    <row r="754" spans="1:12" x14ac:dyDescent="0.25">
      <c r="A754">
        <v>1168</v>
      </c>
      <c r="B754">
        <v>749</v>
      </c>
      <c r="C754">
        <v>1160</v>
      </c>
      <c r="D754" t="s">
        <v>1688</v>
      </c>
      <c r="E754" t="str">
        <f>IF(NOT(ISERROR(VLOOKUP(D754,'ESO DungeonFinder'!$A$2:$A$999,1,FALSE))),"X","")</f>
        <v/>
      </c>
      <c r="F754" s="102" t="str">
        <f t="shared" si="47"/>
        <v/>
      </c>
      <c r="G754" s="102" t="str">
        <f t="shared" si="48"/>
        <v>Western Skyrim</v>
      </c>
      <c r="H754" s="103">
        <f t="shared" si="49"/>
        <v>1168</v>
      </c>
      <c r="I754" s="103">
        <f t="shared" si="50"/>
        <v>1160</v>
      </c>
      <c r="J754">
        <v>18</v>
      </c>
      <c r="K754" s="102" t="str">
        <f>VLOOKUP(J754,'&lt;Constants&gt;'!$A$4:$B$1020,2,FALSE)</f>
        <v>DLC_GREYMOOR</v>
      </c>
      <c r="L754" s="102" t="str">
        <f>VLOOKUP(J754,'&lt;Constants&gt;'!$A$4:$C$1020,3,FALSE)</f>
        <v>Greymoor</v>
      </c>
    </row>
    <row r="755" spans="1:12" x14ac:dyDescent="0.25">
      <c r="A755">
        <v>1169</v>
      </c>
      <c r="B755">
        <v>750</v>
      </c>
      <c r="C755">
        <v>1160</v>
      </c>
      <c r="D755" t="s">
        <v>1663</v>
      </c>
      <c r="E755" t="str">
        <f>IF(NOT(ISERROR(VLOOKUP(D755,'ESO DungeonFinder'!$A$2:$A$999,1,FALSE))),"X","")</f>
        <v/>
      </c>
      <c r="F755" s="102" t="str">
        <f t="shared" si="47"/>
        <v/>
      </c>
      <c r="G755" s="102" t="str">
        <f t="shared" si="48"/>
        <v>Western Skyrim</v>
      </c>
      <c r="H755" s="103">
        <f t="shared" si="49"/>
        <v>1169</v>
      </c>
      <c r="I755" s="103">
        <f t="shared" si="50"/>
        <v>1160</v>
      </c>
      <c r="J755">
        <v>18</v>
      </c>
      <c r="K755" s="102" t="str">
        <f>VLOOKUP(J755,'&lt;Constants&gt;'!$A$4:$B$1020,2,FALSE)</f>
        <v>DLC_GREYMOOR</v>
      </c>
      <c r="L755" s="102" t="str">
        <f>VLOOKUP(J755,'&lt;Constants&gt;'!$A$4:$C$1020,3,FALSE)</f>
        <v>Greymoor</v>
      </c>
    </row>
    <row r="756" spans="1:12" x14ac:dyDescent="0.25">
      <c r="A756">
        <v>1170</v>
      </c>
      <c r="B756">
        <v>751</v>
      </c>
      <c r="C756">
        <v>1160</v>
      </c>
      <c r="D756" t="s">
        <v>1687</v>
      </c>
      <c r="E756" t="str">
        <f>IF(NOT(ISERROR(VLOOKUP(D756,'ESO DungeonFinder'!$A$2:$A$999,1,FALSE))),"X","")</f>
        <v/>
      </c>
      <c r="F756" s="102" t="str">
        <f t="shared" si="47"/>
        <v/>
      </c>
      <c r="G756" s="102" t="str">
        <f t="shared" si="48"/>
        <v>Western Skyrim</v>
      </c>
      <c r="H756" s="103">
        <f t="shared" si="49"/>
        <v>1170</v>
      </c>
      <c r="I756" s="103">
        <f t="shared" si="50"/>
        <v>1160</v>
      </c>
      <c r="J756">
        <v>18</v>
      </c>
      <c r="K756" s="102" t="str">
        <f>VLOOKUP(J756,'&lt;Constants&gt;'!$A$4:$B$1020,2,FALSE)</f>
        <v>DLC_GREYMOOR</v>
      </c>
      <c r="L756" s="102" t="str">
        <f>VLOOKUP(J756,'&lt;Constants&gt;'!$A$4:$C$1020,3,FALSE)</f>
        <v>Greymoor</v>
      </c>
    </row>
    <row r="757" spans="1:12" x14ac:dyDescent="0.25">
      <c r="A757">
        <v>1171</v>
      </c>
      <c r="B757">
        <v>752</v>
      </c>
      <c r="C757">
        <v>1161</v>
      </c>
      <c r="D757" t="s">
        <v>1664</v>
      </c>
      <c r="E757" t="str">
        <f>IF(NOT(ISERROR(VLOOKUP(D757,'ESO DungeonFinder'!$A$2:$A$999,1,FALSE))),"X","")</f>
        <v/>
      </c>
      <c r="F757" s="102" t="str">
        <f t="shared" si="47"/>
        <v/>
      </c>
      <c r="G757" s="102" t="str">
        <f t="shared" si="48"/>
        <v>Blackreach: Greymoor Caverns</v>
      </c>
      <c r="H757" s="103">
        <f t="shared" si="49"/>
        <v>1171</v>
      </c>
      <c r="I757" s="103">
        <f t="shared" si="50"/>
        <v>1161</v>
      </c>
      <c r="J757">
        <v>18</v>
      </c>
      <c r="K757" s="102" t="str">
        <f>VLOOKUP(J757,'&lt;Constants&gt;'!$A$4:$B$1020,2,FALSE)</f>
        <v>DLC_GREYMOOR</v>
      </c>
      <c r="L757" s="102" t="str">
        <f>VLOOKUP(J757,'&lt;Constants&gt;'!$A$4:$C$1020,3,FALSE)</f>
        <v>Greymoor</v>
      </c>
    </row>
    <row r="758" spans="1:12" x14ac:dyDescent="0.25">
      <c r="A758">
        <v>1172</v>
      </c>
      <c r="B758">
        <v>753</v>
      </c>
      <c r="C758">
        <v>1161</v>
      </c>
      <c r="D758" t="s">
        <v>1685</v>
      </c>
      <c r="E758" t="str">
        <f>IF(NOT(ISERROR(VLOOKUP(D758,'ESO DungeonFinder'!$A$2:$A$999,1,FALSE))),"X","")</f>
        <v/>
      </c>
      <c r="F758" s="102" t="str">
        <f t="shared" si="47"/>
        <v/>
      </c>
      <c r="G758" s="102" t="str">
        <f t="shared" si="48"/>
        <v>Blackreach: Greymoor Caverns</v>
      </c>
      <c r="H758" s="103">
        <f t="shared" si="49"/>
        <v>1172</v>
      </c>
      <c r="I758" s="103">
        <f t="shared" si="50"/>
        <v>1161</v>
      </c>
      <c r="J758">
        <v>18</v>
      </c>
      <c r="K758" s="102" t="str">
        <f>VLOOKUP(J758,'&lt;Constants&gt;'!$A$4:$B$1020,2,FALSE)</f>
        <v>DLC_GREYMOOR</v>
      </c>
      <c r="L758" s="102" t="str">
        <f>VLOOKUP(J758,'&lt;Constants&gt;'!$A$4:$C$1020,3,FALSE)</f>
        <v>Greymoor</v>
      </c>
    </row>
    <row r="759" spans="1:12" x14ac:dyDescent="0.25">
      <c r="A759">
        <v>1173</v>
      </c>
      <c r="B759">
        <v>754</v>
      </c>
      <c r="C759">
        <v>1161</v>
      </c>
      <c r="D759" t="s">
        <v>1665</v>
      </c>
      <c r="E759" t="str">
        <f>IF(NOT(ISERROR(VLOOKUP(D759,'ESO DungeonFinder'!$A$2:$A$999,1,FALSE))),"X","")</f>
        <v/>
      </c>
      <c r="F759" s="102" t="str">
        <f t="shared" si="47"/>
        <v/>
      </c>
      <c r="G759" s="102" t="str">
        <f t="shared" si="48"/>
        <v>Blackreach: Greymoor Caverns</v>
      </c>
      <c r="H759" s="103">
        <f t="shared" si="49"/>
        <v>1173</v>
      </c>
      <c r="I759" s="103">
        <f t="shared" si="50"/>
        <v>1161</v>
      </c>
      <c r="J759">
        <v>18</v>
      </c>
      <c r="K759" s="102" t="str">
        <f>VLOOKUP(J759,'&lt;Constants&gt;'!$A$4:$B$1020,2,FALSE)</f>
        <v>DLC_GREYMOOR</v>
      </c>
      <c r="L759" s="102" t="str">
        <f>VLOOKUP(J759,'&lt;Constants&gt;'!$A$4:$C$1020,3,FALSE)</f>
        <v>Greymoor</v>
      </c>
    </row>
    <row r="760" spans="1:12" x14ac:dyDescent="0.25">
      <c r="A760">
        <v>1174</v>
      </c>
      <c r="B760">
        <v>755</v>
      </c>
      <c r="C760">
        <v>1160</v>
      </c>
      <c r="D760" t="s">
        <v>1666</v>
      </c>
      <c r="E760" t="str">
        <f>IF(NOT(ISERROR(VLOOKUP(D760,'ESO DungeonFinder'!$A$2:$A$999,1,FALSE))),"X","")</f>
        <v/>
      </c>
      <c r="F760" s="102" t="str">
        <f t="shared" si="47"/>
        <v/>
      </c>
      <c r="G760" s="102" t="str">
        <f t="shared" si="48"/>
        <v>Western Skyrim</v>
      </c>
      <c r="H760" s="103">
        <f t="shared" si="49"/>
        <v>1174</v>
      </c>
      <c r="I760" s="103">
        <f t="shared" si="50"/>
        <v>1160</v>
      </c>
      <c r="J760">
        <v>18</v>
      </c>
      <c r="K760" s="102" t="str">
        <f>VLOOKUP(J760,'&lt;Constants&gt;'!$A$4:$B$1020,2,FALSE)</f>
        <v>DLC_GREYMOOR</v>
      </c>
      <c r="L760" s="102" t="str">
        <f>VLOOKUP(J760,'&lt;Constants&gt;'!$A$4:$C$1020,3,FALSE)</f>
        <v>Greymoor</v>
      </c>
    </row>
    <row r="761" spans="1:12" x14ac:dyDescent="0.25">
      <c r="A761">
        <v>1175</v>
      </c>
      <c r="B761">
        <v>756</v>
      </c>
      <c r="C761">
        <v>1175</v>
      </c>
      <c r="D761" t="s">
        <v>1667</v>
      </c>
      <c r="E761" t="str">
        <f>IF(NOT(ISERROR(VLOOKUP(D761,'ESO DungeonFinder'!$A$2:$A$999,1,FALSE))),"X","")</f>
        <v/>
      </c>
      <c r="F761" s="102" t="str">
        <f t="shared" si="47"/>
        <v>X</v>
      </c>
      <c r="G761" s="102" t="str">
        <f t="shared" si="48"/>
        <v/>
      </c>
      <c r="H761" s="103">
        <f t="shared" si="49"/>
        <v>1175</v>
      </c>
      <c r="I761" s="103">
        <f t="shared" si="50"/>
        <v>1175</v>
      </c>
      <c r="J761">
        <v>0</v>
      </c>
      <c r="K761" s="102" t="str">
        <f>VLOOKUP(J761,'&lt;Constants&gt;'!$A$4:$B$1020,2,FALSE)</f>
        <v>DLC_BASE_GAME</v>
      </c>
      <c r="L761" s="102" t="str">
        <f>VLOOKUP(J761,'&lt;Constants&gt;'!$A$4:$C$1020,3,FALSE)</f>
        <v>Included in base game</v>
      </c>
    </row>
    <row r="762" spans="1:12" x14ac:dyDescent="0.25">
      <c r="A762">
        <v>1176</v>
      </c>
      <c r="B762">
        <v>757</v>
      </c>
      <c r="C762">
        <v>1160</v>
      </c>
      <c r="D762" t="s">
        <v>1668</v>
      </c>
      <c r="E762" t="str">
        <f>IF(NOT(ISERROR(VLOOKUP(D762,'ESO DungeonFinder'!$A$2:$A$999,1,FALSE))),"X","")</f>
        <v/>
      </c>
      <c r="F762" s="102" t="str">
        <f t="shared" si="47"/>
        <v/>
      </c>
      <c r="G762" s="102" t="str">
        <f t="shared" si="48"/>
        <v>Western Skyrim</v>
      </c>
      <c r="H762" s="103">
        <f t="shared" si="49"/>
        <v>1176</v>
      </c>
      <c r="I762" s="103">
        <f t="shared" si="50"/>
        <v>1160</v>
      </c>
      <c r="J762">
        <v>18</v>
      </c>
      <c r="K762" s="102" t="str">
        <f>VLOOKUP(J762,'&lt;Constants&gt;'!$A$4:$B$1020,2,FALSE)</f>
        <v>DLC_GREYMOOR</v>
      </c>
      <c r="L762" s="102" t="str">
        <f>VLOOKUP(J762,'&lt;Constants&gt;'!$A$4:$C$1020,3,FALSE)</f>
        <v>Greymoor</v>
      </c>
    </row>
    <row r="763" spans="1:12" x14ac:dyDescent="0.25">
      <c r="A763">
        <v>1177</v>
      </c>
      <c r="B763">
        <v>758</v>
      </c>
      <c r="C763">
        <v>1160</v>
      </c>
      <c r="D763" t="s">
        <v>1669</v>
      </c>
      <c r="E763" t="str">
        <f>IF(NOT(ISERROR(VLOOKUP(D763,'ESO DungeonFinder'!$A$2:$A$999,1,FALSE))),"X","")</f>
        <v/>
      </c>
      <c r="F763" s="102" t="str">
        <f t="shared" si="47"/>
        <v/>
      </c>
      <c r="G763" s="102" t="str">
        <f t="shared" si="48"/>
        <v>Western Skyrim</v>
      </c>
      <c r="H763" s="103">
        <f t="shared" si="49"/>
        <v>1177</v>
      </c>
      <c r="I763" s="103">
        <f t="shared" si="50"/>
        <v>1160</v>
      </c>
      <c r="J763">
        <v>18</v>
      </c>
      <c r="K763" s="102" t="str">
        <f>VLOOKUP(J763,'&lt;Constants&gt;'!$A$4:$B$1020,2,FALSE)</f>
        <v>DLC_GREYMOOR</v>
      </c>
      <c r="L763" s="102" t="str">
        <f>VLOOKUP(J763,'&lt;Constants&gt;'!$A$4:$C$1020,3,FALSE)</f>
        <v>Greymoor</v>
      </c>
    </row>
    <row r="764" spans="1:12" x14ac:dyDescent="0.25">
      <c r="A764">
        <v>1178</v>
      </c>
      <c r="B764">
        <v>759</v>
      </c>
      <c r="C764">
        <v>1160</v>
      </c>
      <c r="D764" t="s">
        <v>1670</v>
      </c>
      <c r="E764" t="str">
        <f>IF(NOT(ISERROR(VLOOKUP(D764,'ESO DungeonFinder'!$A$2:$A$999,1,FALSE))),"X","")</f>
        <v/>
      </c>
      <c r="F764" s="102" t="str">
        <f t="shared" si="47"/>
        <v/>
      </c>
      <c r="G764" s="102" t="str">
        <f t="shared" si="48"/>
        <v>Western Skyrim</v>
      </c>
      <c r="H764" s="103">
        <f t="shared" si="49"/>
        <v>1178</v>
      </c>
      <c r="I764" s="103">
        <f t="shared" si="50"/>
        <v>1160</v>
      </c>
      <c r="J764">
        <v>18</v>
      </c>
      <c r="K764" s="102" t="str">
        <f>VLOOKUP(J764,'&lt;Constants&gt;'!$A$4:$B$1020,2,FALSE)</f>
        <v>DLC_GREYMOOR</v>
      </c>
      <c r="L764" s="102" t="str">
        <f>VLOOKUP(J764,'&lt;Constants&gt;'!$A$4:$C$1020,3,FALSE)</f>
        <v>Greymoor</v>
      </c>
    </row>
    <row r="765" spans="1:12" x14ac:dyDescent="0.25">
      <c r="A765">
        <v>1179</v>
      </c>
      <c r="B765">
        <v>760</v>
      </c>
      <c r="C765">
        <v>1160</v>
      </c>
      <c r="D765" t="s">
        <v>1671</v>
      </c>
      <c r="E765" t="str">
        <f>IF(NOT(ISERROR(VLOOKUP(D765,'ESO DungeonFinder'!$A$2:$A$999,1,FALSE))),"X","")</f>
        <v/>
      </c>
      <c r="F765" s="102" t="str">
        <f t="shared" si="47"/>
        <v/>
      </c>
      <c r="G765" s="102" t="str">
        <f t="shared" si="48"/>
        <v>Western Skyrim</v>
      </c>
      <c r="H765" s="103">
        <f t="shared" si="49"/>
        <v>1179</v>
      </c>
      <c r="I765" s="103">
        <f t="shared" si="50"/>
        <v>1160</v>
      </c>
      <c r="J765">
        <v>18</v>
      </c>
      <c r="K765" s="102" t="str">
        <f>VLOOKUP(J765,'&lt;Constants&gt;'!$A$4:$B$1020,2,FALSE)</f>
        <v>DLC_GREYMOOR</v>
      </c>
      <c r="L765" s="102" t="str">
        <f>VLOOKUP(J765,'&lt;Constants&gt;'!$A$4:$C$1020,3,FALSE)</f>
        <v>Greymoor</v>
      </c>
    </row>
    <row r="766" spans="1:12" x14ac:dyDescent="0.25">
      <c r="A766">
        <v>1180</v>
      </c>
      <c r="B766">
        <v>761</v>
      </c>
      <c r="C766">
        <v>383</v>
      </c>
      <c r="D766" t="s">
        <v>2368</v>
      </c>
      <c r="E766" t="str">
        <f>IF(NOT(ISERROR(VLOOKUP(D766,'ESO DungeonFinder'!$A$2:$A$999,1,FALSE))),"X","")</f>
        <v/>
      </c>
      <c r="F766" s="102" t="str">
        <f t="shared" si="47"/>
        <v/>
      </c>
      <c r="G766" s="102" t="str">
        <f t="shared" si="48"/>
        <v>Grahtwood</v>
      </c>
      <c r="H766" s="103">
        <f t="shared" si="49"/>
        <v>1180</v>
      </c>
      <c r="I766" s="103">
        <f t="shared" si="50"/>
        <v>383</v>
      </c>
      <c r="J766">
        <v>0</v>
      </c>
      <c r="K766" s="102" t="str">
        <f>VLOOKUP(J766,'&lt;Constants&gt;'!$A$4:$B$1020,2,FALSE)</f>
        <v>DLC_BASE_GAME</v>
      </c>
      <c r="L766" s="102" t="str">
        <f>VLOOKUP(J766,'&lt;Constants&gt;'!$A$4:$C$1020,3,FALSE)</f>
        <v>Included in base game</v>
      </c>
    </row>
    <row r="767" spans="1:12" x14ac:dyDescent="0.25">
      <c r="A767">
        <v>1181</v>
      </c>
      <c r="B767">
        <v>762</v>
      </c>
      <c r="C767">
        <v>1161</v>
      </c>
      <c r="D767" t="s">
        <v>1672</v>
      </c>
      <c r="E767" t="str">
        <f>IF(NOT(ISERROR(VLOOKUP(D767,'ESO DungeonFinder'!$A$2:$A$999,1,FALSE))),"X","")</f>
        <v/>
      </c>
      <c r="F767" s="102" t="str">
        <f t="shared" si="47"/>
        <v/>
      </c>
      <c r="G767" s="102" t="str">
        <f t="shared" si="48"/>
        <v>Blackreach: Greymoor Caverns</v>
      </c>
      <c r="H767" s="103">
        <f t="shared" si="49"/>
        <v>1181</v>
      </c>
      <c r="I767" s="103">
        <f t="shared" si="50"/>
        <v>1161</v>
      </c>
      <c r="J767">
        <v>18</v>
      </c>
      <c r="K767" s="102" t="str">
        <f>VLOOKUP(J767,'&lt;Constants&gt;'!$A$4:$B$1020,2,FALSE)</f>
        <v>DLC_GREYMOOR</v>
      </c>
      <c r="L767" s="102" t="str">
        <f>VLOOKUP(J767,'&lt;Constants&gt;'!$A$4:$C$1020,3,FALSE)</f>
        <v>Greymoor</v>
      </c>
    </row>
    <row r="768" spans="1:12" x14ac:dyDescent="0.25">
      <c r="A768">
        <v>1182</v>
      </c>
      <c r="B768">
        <v>763</v>
      </c>
      <c r="C768">
        <v>1160</v>
      </c>
      <c r="D768" t="s">
        <v>1673</v>
      </c>
      <c r="E768" t="str">
        <f>IF(NOT(ISERROR(VLOOKUP(D768,'ESO DungeonFinder'!$A$2:$A$999,1,FALSE))),"X","")</f>
        <v/>
      </c>
      <c r="F768" s="102" t="str">
        <f t="shared" si="47"/>
        <v/>
      </c>
      <c r="G768" s="102" t="str">
        <f t="shared" si="48"/>
        <v>Western Skyrim</v>
      </c>
      <c r="H768" s="103">
        <f t="shared" si="49"/>
        <v>1182</v>
      </c>
      <c r="I768" s="103">
        <f t="shared" si="50"/>
        <v>1160</v>
      </c>
      <c r="J768">
        <v>18</v>
      </c>
      <c r="K768" s="102" t="str">
        <f>VLOOKUP(J768,'&lt;Constants&gt;'!$A$4:$B$1020,2,FALSE)</f>
        <v>DLC_GREYMOOR</v>
      </c>
      <c r="L768" s="102" t="str">
        <f>VLOOKUP(J768,'&lt;Constants&gt;'!$A$4:$C$1020,3,FALSE)</f>
        <v>Greymoor</v>
      </c>
    </row>
    <row r="769" spans="1:12" x14ac:dyDescent="0.25">
      <c r="A769">
        <v>1183</v>
      </c>
      <c r="B769">
        <v>764</v>
      </c>
      <c r="C769">
        <v>1161</v>
      </c>
      <c r="D769" t="s">
        <v>1684</v>
      </c>
      <c r="E769" t="str">
        <f>IF(NOT(ISERROR(VLOOKUP(D769,'ESO DungeonFinder'!$A$2:$A$999,1,FALSE))),"X","")</f>
        <v/>
      </c>
      <c r="F769" s="102" t="str">
        <f t="shared" si="47"/>
        <v/>
      </c>
      <c r="G769" s="102" t="str">
        <f t="shared" si="48"/>
        <v>Blackreach: Greymoor Caverns</v>
      </c>
      <c r="H769" s="103">
        <f t="shared" si="49"/>
        <v>1183</v>
      </c>
      <c r="I769" s="103">
        <f t="shared" si="50"/>
        <v>1161</v>
      </c>
      <c r="J769">
        <v>18</v>
      </c>
      <c r="K769" s="102" t="str">
        <f>VLOOKUP(J769,'&lt;Constants&gt;'!$A$4:$B$1020,2,FALSE)</f>
        <v>DLC_GREYMOOR</v>
      </c>
      <c r="L769" s="102" t="str">
        <f>VLOOKUP(J769,'&lt;Constants&gt;'!$A$4:$C$1020,3,FALSE)</f>
        <v>Greymoor</v>
      </c>
    </row>
    <row r="770" spans="1:12" x14ac:dyDescent="0.25">
      <c r="A770">
        <v>1184</v>
      </c>
      <c r="B770">
        <v>765</v>
      </c>
      <c r="C770">
        <v>1161</v>
      </c>
      <c r="D770" t="s">
        <v>1674</v>
      </c>
      <c r="E770" t="str">
        <f>IF(NOT(ISERROR(VLOOKUP(D770,'ESO DungeonFinder'!$A$2:$A$999,1,FALSE))),"X","")</f>
        <v/>
      </c>
      <c r="F770" s="102" t="str">
        <f t="shared" si="47"/>
        <v/>
      </c>
      <c r="G770" s="102" t="str">
        <f t="shared" si="48"/>
        <v>Blackreach: Greymoor Caverns</v>
      </c>
      <c r="H770" s="103">
        <f t="shared" si="49"/>
        <v>1184</v>
      </c>
      <c r="I770" s="103">
        <f t="shared" si="50"/>
        <v>1161</v>
      </c>
      <c r="J770">
        <v>18</v>
      </c>
      <c r="K770" s="102" t="str">
        <f>VLOOKUP(J770,'&lt;Constants&gt;'!$A$4:$B$1020,2,FALSE)</f>
        <v>DLC_GREYMOOR</v>
      </c>
      <c r="L770" s="102" t="str">
        <f>VLOOKUP(J770,'&lt;Constants&gt;'!$A$4:$C$1020,3,FALSE)</f>
        <v>Greymoor</v>
      </c>
    </row>
    <row r="771" spans="1:12" x14ac:dyDescent="0.25">
      <c r="A771">
        <v>1185</v>
      </c>
      <c r="B771">
        <v>766</v>
      </c>
      <c r="C771">
        <v>1160</v>
      </c>
      <c r="D771" t="s">
        <v>1675</v>
      </c>
      <c r="E771" t="str">
        <f>IF(NOT(ISERROR(VLOOKUP(D771,'ESO DungeonFinder'!$A$2:$A$999,1,FALSE))),"X","")</f>
        <v/>
      </c>
      <c r="F771" s="102" t="str">
        <f t="shared" si="47"/>
        <v/>
      </c>
      <c r="G771" s="102" t="str">
        <f t="shared" si="48"/>
        <v>Western Skyrim</v>
      </c>
      <c r="H771" s="103">
        <f t="shared" si="49"/>
        <v>1185</v>
      </c>
      <c r="I771" s="103">
        <f t="shared" si="50"/>
        <v>1160</v>
      </c>
      <c r="J771">
        <v>18</v>
      </c>
      <c r="K771" s="102" t="str">
        <f>VLOOKUP(J771,'&lt;Constants&gt;'!$A$4:$B$1020,2,FALSE)</f>
        <v>DLC_GREYMOOR</v>
      </c>
      <c r="L771" s="102" t="str">
        <f>VLOOKUP(J771,'&lt;Constants&gt;'!$A$4:$C$1020,3,FALSE)</f>
        <v>Greymoor</v>
      </c>
    </row>
    <row r="772" spans="1:12" x14ac:dyDescent="0.25">
      <c r="A772">
        <v>1186</v>
      </c>
      <c r="B772">
        <v>767</v>
      </c>
      <c r="C772">
        <v>1160</v>
      </c>
      <c r="D772" t="s">
        <v>1683</v>
      </c>
      <c r="E772" t="str">
        <f>IF(NOT(ISERROR(VLOOKUP(D772,'ESO DungeonFinder'!$A$2:$A$999,1,FALSE))),"X","")</f>
        <v/>
      </c>
      <c r="F772" s="102" t="str">
        <f t="shared" si="47"/>
        <v/>
      </c>
      <c r="G772" s="102" t="str">
        <f t="shared" si="48"/>
        <v>Western Skyrim</v>
      </c>
      <c r="H772" s="103">
        <f t="shared" si="49"/>
        <v>1186</v>
      </c>
      <c r="I772" s="103">
        <f t="shared" si="50"/>
        <v>1160</v>
      </c>
      <c r="J772">
        <v>18</v>
      </c>
      <c r="K772" s="102" t="str">
        <f>VLOOKUP(J772,'&lt;Constants&gt;'!$A$4:$B$1020,2,FALSE)</f>
        <v>DLC_GREYMOOR</v>
      </c>
      <c r="L772" s="102" t="str">
        <f>VLOOKUP(J772,'&lt;Constants&gt;'!$A$4:$C$1020,3,FALSE)</f>
        <v>Greymoor</v>
      </c>
    </row>
    <row r="773" spans="1:12" x14ac:dyDescent="0.25">
      <c r="A773">
        <v>1187</v>
      </c>
      <c r="B773">
        <v>768</v>
      </c>
      <c r="C773">
        <v>1161</v>
      </c>
      <c r="D773" t="s">
        <v>1676</v>
      </c>
      <c r="E773" t="str">
        <f>IF(NOT(ISERROR(VLOOKUP(D773,'ESO DungeonFinder'!$A$2:$A$999,1,FALSE))),"X","")</f>
        <v/>
      </c>
      <c r="F773" s="102" t="str">
        <f t="shared" si="47"/>
        <v/>
      </c>
      <c r="G773" s="102" t="str">
        <f t="shared" si="48"/>
        <v>Blackreach: Greymoor Caverns</v>
      </c>
      <c r="H773" s="103">
        <f t="shared" si="49"/>
        <v>1187</v>
      </c>
      <c r="I773" s="103">
        <f t="shared" si="50"/>
        <v>1161</v>
      </c>
      <c r="J773">
        <v>18</v>
      </c>
      <c r="K773" s="102" t="str">
        <f>VLOOKUP(J773,'&lt;Constants&gt;'!$A$4:$B$1020,2,FALSE)</f>
        <v>DLC_GREYMOOR</v>
      </c>
      <c r="L773" s="102" t="str">
        <f>VLOOKUP(J773,'&lt;Constants&gt;'!$A$4:$C$1020,3,FALSE)</f>
        <v>Greymoor</v>
      </c>
    </row>
    <row r="774" spans="1:12" x14ac:dyDescent="0.25">
      <c r="A774">
        <v>1188</v>
      </c>
      <c r="B774">
        <v>769</v>
      </c>
      <c r="C774">
        <v>101</v>
      </c>
      <c r="D774" t="s">
        <v>1677</v>
      </c>
      <c r="E774" t="str">
        <f>IF(NOT(ISERROR(VLOOKUP(D774,'ESO DungeonFinder'!$A$2:$A$999,1,FALSE))),"X","")</f>
        <v/>
      </c>
      <c r="F774" s="102" t="str">
        <f t="shared" si="47"/>
        <v/>
      </c>
      <c r="G774" s="102" t="str">
        <f t="shared" si="48"/>
        <v>Eastmarch</v>
      </c>
      <c r="H774" s="103">
        <f t="shared" si="49"/>
        <v>1188</v>
      </c>
      <c r="I774" s="103">
        <f t="shared" si="50"/>
        <v>101</v>
      </c>
      <c r="J774">
        <v>0</v>
      </c>
      <c r="K774" s="102" t="str">
        <f>VLOOKUP(J774,'&lt;Constants&gt;'!$A$4:$B$1020,2,FALSE)</f>
        <v>DLC_BASE_GAME</v>
      </c>
      <c r="L774" s="102" t="str">
        <f>VLOOKUP(J774,'&lt;Constants&gt;'!$A$4:$C$1020,3,FALSE)</f>
        <v>Included in base game</v>
      </c>
    </row>
    <row r="775" spans="1:12" x14ac:dyDescent="0.25">
      <c r="A775">
        <v>1189</v>
      </c>
      <c r="B775">
        <v>770</v>
      </c>
      <c r="C775">
        <v>101</v>
      </c>
      <c r="D775" t="s">
        <v>1677</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102" t="str">
        <f>VLOOKUP(J775,'&lt;Constants&gt;'!$A$4:$B$1020,2,FALSE)</f>
        <v>DLC_BASE_GAME</v>
      </c>
      <c r="L775" s="102" t="str">
        <f>VLOOKUP(J775,'&lt;Constants&gt;'!$A$4:$C$1020,3,FALSE)</f>
        <v>Included in base game</v>
      </c>
    </row>
    <row r="776" spans="1:12" x14ac:dyDescent="0.25">
      <c r="A776">
        <v>1190</v>
      </c>
      <c r="B776">
        <v>771</v>
      </c>
      <c r="C776">
        <v>103</v>
      </c>
      <c r="D776" t="s">
        <v>1633</v>
      </c>
      <c r="E776" t="str">
        <f>IF(NOT(ISERROR(VLOOKUP(D776,'ESO DungeonFinder'!$A$2:$A$999,1,FALSE))),"X","")</f>
        <v/>
      </c>
      <c r="F776" s="102" t="str">
        <f t="shared" si="51"/>
        <v/>
      </c>
      <c r="G776" s="102" t="str">
        <f t="shared" si="52"/>
        <v>The Rift</v>
      </c>
      <c r="H776" s="103">
        <f t="shared" si="53"/>
        <v>1190</v>
      </c>
      <c r="I776" s="103">
        <f t="shared" si="54"/>
        <v>103</v>
      </c>
      <c r="J776">
        <v>0</v>
      </c>
      <c r="K776" s="102" t="str">
        <f>VLOOKUP(J776,'&lt;Constants&gt;'!$A$4:$B$1020,2,FALSE)</f>
        <v>DLC_BASE_GAME</v>
      </c>
      <c r="L776" s="102" t="str">
        <f>VLOOKUP(J776,'&lt;Constants&gt;'!$A$4:$C$1020,3,FALSE)</f>
        <v>Included in base game</v>
      </c>
    </row>
    <row r="777" spans="1:12" x14ac:dyDescent="0.25">
      <c r="A777">
        <v>1191</v>
      </c>
      <c r="B777">
        <v>772</v>
      </c>
      <c r="C777">
        <v>101</v>
      </c>
      <c r="D777" t="s">
        <v>1632</v>
      </c>
      <c r="E777" t="str">
        <f>IF(NOT(ISERROR(VLOOKUP(D777,'ESO DungeonFinder'!$A$2:$A$999,1,FALSE))),"X","")</f>
        <v/>
      </c>
      <c r="F777" s="102" t="str">
        <f t="shared" si="51"/>
        <v/>
      </c>
      <c r="G777" s="102" t="str">
        <f t="shared" si="52"/>
        <v>Eastmarch</v>
      </c>
      <c r="H777" s="103">
        <f t="shared" si="53"/>
        <v>1191</v>
      </c>
      <c r="I777" s="103">
        <f t="shared" si="54"/>
        <v>101</v>
      </c>
      <c r="J777">
        <v>0</v>
      </c>
      <c r="K777" s="102" t="str">
        <f>VLOOKUP(J777,'&lt;Constants&gt;'!$A$4:$B$1020,2,FALSE)</f>
        <v>DLC_BASE_GAME</v>
      </c>
      <c r="L777" s="102" t="str">
        <f>VLOOKUP(J777,'&lt;Constants&gt;'!$A$4:$C$1020,3,FALSE)</f>
        <v>Included in base game</v>
      </c>
    </row>
    <row r="778" spans="1:12" x14ac:dyDescent="0.25">
      <c r="A778">
        <v>1192</v>
      </c>
      <c r="B778">
        <v>773</v>
      </c>
      <c r="C778">
        <v>1133</v>
      </c>
      <c r="D778" t="s">
        <v>1573</v>
      </c>
      <c r="E778" t="str">
        <f>IF(NOT(ISERROR(VLOOKUP(D778,'ESO DungeonFinder'!$A$2:$A$999,1,FALSE))),"X","")</f>
        <v/>
      </c>
      <c r="F778" s="102" t="str">
        <f t="shared" si="51"/>
        <v/>
      </c>
      <c r="G778" s="102" t="str">
        <f t="shared" si="52"/>
        <v>Southern Elsweyr</v>
      </c>
      <c r="H778" s="103">
        <f t="shared" si="53"/>
        <v>1192</v>
      </c>
      <c r="I778" s="103">
        <f t="shared" si="54"/>
        <v>1133</v>
      </c>
      <c r="J778">
        <v>16</v>
      </c>
      <c r="K778" s="102" t="str">
        <f>VLOOKUP(J778,'&lt;Constants&gt;'!$A$4:$B$1020,2,FALSE)</f>
        <v>DLC_DRAGONHOLD</v>
      </c>
      <c r="L778" s="102" t="str">
        <f>VLOOKUP(J778,'&lt;Constants&gt;'!$A$4:$C$1020,3,FALSE)</f>
        <v>Dragonhold</v>
      </c>
    </row>
    <row r="779" spans="1:12" x14ac:dyDescent="0.25">
      <c r="A779">
        <v>1193</v>
      </c>
      <c r="B779">
        <v>774</v>
      </c>
      <c r="C779">
        <v>1133</v>
      </c>
      <c r="D779" t="s">
        <v>1574</v>
      </c>
      <c r="E779" t="str">
        <f>IF(NOT(ISERROR(VLOOKUP(D779,'ESO DungeonFinder'!$A$2:$A$999,1,FALSE))),"X","")</f>
        <v/>
      </c>
      <c r="F779" s="102" t="str">
        <f t="shared" si="51"/>
        <v/>
      </c>
      <c r="G779" s="102" t="str">
        <f t="shared" si="52"/>
        <v>Southern Elsweyr</v>
      </c>
      <c r="H779" s="103">
        <f t="shared" si="53"/>
        <v>1193</v>
      </c>
      <c r="I779" s="103">
        <f t="shared" si="54"/>
        <v>1133</v>
      </c>
      <c r="J779">
        <v>16</v>
      </c>
      <c r="K779" s="102" t="str">
        <f>VLOOKUP(J779,'&lt;Constants&gt;'!$A$4:$B$1020,2,FALSE)</f>
        <v>DLC_DRAGONHOLD</v>
      </c>
      <c r="L779" s="102" t="str">
        <f>VLOOKUP(J779,'&lt;Constants&gt;'!$A$4:$C$1020,3,FALSE)</f>
        <v>Dragonhold</v>
      </c>
    </row>
    <row r="780" spans="1:12" x14ac:dyDescent="0.25">
      <c r="A780">
        <v>1195</v>
      </c>
      <c r="B780">
        <v>775</v>
      </c>
      <c r="C780">
        <v>1161</v>
      </c>
      <c r="D780" t="s">
        <v>1678</v>
      </c>
      <c r="E780" t="str">
        <f>IF(NOT(ISERROR(VLOOKUP(D780,'ESO DungeonFinder'!$A$2:$A$999,1,FALSE))),"X","")</f>
        <v/>
      </c>
      <c r="F780" s="102" t="str">
        <f t="shared" si="51"/>
        <v/>
      </c>
      <c r="G780" s="102" t="str">
        <f t="shared" si="52"/>
        <v>Blackreach: Greymoor Caverns</v>
      </c>
      <c r="H780" s="103">
        <f t="shared" si="53"/>
        <v>1195</v>
      </c>
      <c r="I780" s="103">
        <f t="shared" si="54"/>
        <v>1161</v>
      </c>
      <c r="J780">
        <v>18</v>
      </c>
      <c r="K780" s="102" t="str">
        <f>VLOOKUP(J780,'&lt;Constants&gt;'!$A$4:$B$1020,2,FALSE)</f>
        <v>DLC_GREYMOOR</v>
      </c>
      <c r="L780" s="102" t="str">
        <f>VLOOKUP(J780,'&lt;Constants&gt;'!$A$4:$C$1020,3,FALSE)</f>
        <v>Greymoor</v>
      </c>
    </row>
    <row r="781" spans="1:12" x14ac:dyDescent="0.25">
      <c r="A781">
        <v>1196</v>
      </c>
      <c r="B781">
        <v>776</v>
      </c>
      <c r="C781">
        <v>1160</v>
      </c>
      <c r="D781" t="s">
        <v>1679</v>
      </c>
      <c r="E781" t="str">
        <f>IF(NOT(ISERROR(VLOOKUP(D781,'ESO DungeonFinder'!$A$2:$A$999,1,FALSE))),"X","")</f>
        <v/>
      </c>
      <c r="F781" s="102" t="str">
        <f t="shared" si="51"/>
        <v/>
      </c>
      <c r="G781" s="102" t="str">
        <f t="shared" si="52"/>
        <v>Western Skyrim</v>
      </c>
      <c r="H781" s="103">
        <f t="shared" si="53"/>
        <v>1196</v>
      </c>
      <c r="I781" s="103">
        <f t="shared" si="54"/>
        <v>1160</v>
      </c>
      <c r="J781">
        <v>18</v>
      </c>
      <c r="K781" s="102" t="str">
        <f>VLOOKUP(J781,'&lt;Constants&gt;'!$A$4:$B$1020,2,FALSE)</f>
        <v>DLC_GREYMOOR</v>
      </c>
      <c r="L781" s="102" t="str">
        <f>VLOOKUP(J781,'&lt;Constants&gt;'!$A$4:$C$1020,3,FALSE)</f>
        <v>Greymoor</v>
      </c>
    </row>
    <row r="782" spans="1:12" x14ac:dyDescent="0.25">
      <c r="A782">
        <v>1197</v>
      </c>
      <c r="B782">
        <v>777</v>
      </c>
      <c r="C782">
        <v>1161</v>
      </c>
      <c r="D782" t="s">
        <v>1779</v>
      </c>
      <c r="E782" t="str">
        <f>IF(NOT(ISERROR(VLOOKUP(D782,'ESO DungeonFinder'!$A$2:$A$999,1,FALSE))),"X","")</f>
        <v>X</v>
      </c>
      <c r="F782" s="102" t="str">
        <f t="shared" si="51"/>
        <v/>
      </c>
      <c r="G782" s="102" t="str">
        <f t="shared" si="52"/>
        <v>Blackreach: Greymoor Caverns</v>
      </c>
      <c r="H782" s="103">
        <f t="shared" si="53"/>
        <v>1197</v>
      </c>
      <c r="I782" s="103">
        <f t="shared" si="54"/>
        <v>1161</v>
      </c>
      <c r="J782">
        <v>19</v>
      </c>
      <c r="K782" s="102" t="str">
        <f>VLOOKUP(J782,'&lt;Constants&gt;'!$A$4:$B$1020,2,FALSE)</f>
        <v>DLC_STONETHORN</v>
      </c>
      <c r="L782" s="102" t="str">
        <f>VLOOKUP(J782,'&lt;Constants&gt;'!$A$4:$C$1020,3,FALSE)</f>
        <v>Stonethorn</v>
      </c>
    </row>
    <row r="783" spans="1:12" x14ac:dyDescent="0.25">
      <c r="A783">
        <v>1199</v>
      </c>
      <c r="B783">
        <v>778</v>
      </c>
      <c r="C783">
        <v>684</v>
      </c>
      <c r="D783" t="s">
        <v>1631</v>
      </c>
      <c r="E783" t="str">
        <f>IF(NOT(ISERROR(VLOOKUP(D783,'ESO DungeonFinder'!$A$2:$A$999,1,FALSE))),"X","")</f>
        <v/>
      </c>
      <c r="F783" s="102" t="str">
        <f t="shared" si="51"/>
        <v/>
      </c>
      <c r="G783" s="102" t="str">
        <f t="shared" si="52"/>
        <v>Wrothgar</v>
      </c>
      <c r="H783" s="103">
        <f t="shared" si="53"/>
        <v>1199</v>
      </c>
      <c r="I783" s="103">
        <f t="shared" si="54"/>
        <v>684</v>
      </c>
      <c r="J783">
        <v>2</v>
      </c>
      <c r="K783" s="102" t="str">
        <f>VLOOKUP(J783,'&lt;Constants&gt;'!$A$4:$B$1020,2,FALSE)</f>
        <v>DLC_ORSINIUM</v>
      </c>
      <c r="L783" s="102" t="str">
        <f>VLOOKUP(J783,'&lt;Constants&gt;'!$A$4:$C$1020,3,FALSE)</f>
        <v>Orsinium</v>
      </c>
    </row>
    <row r="784" spans="1:12" x14ac:dyDescent="0.25">
      <c r="A784">
        <v>1200</v>
      </c>
      <c r="B784">
        <v>779</v>
      </c>
      <c r="C784">
        <v>92</v>
      </c>
      <c r="D784" t="s">
        <v>1630</v>
      </c>
      <c r="E784" t="str">
        <f>IF(NOT(ISERROR(VLOOKUP(D784,'ESO DungeonFinder'!$A$2:$A$999,1,FALSE))),"X","")</f>
        <v/>
      </c>
      <c r="F784" s="102" t="str">
        <f t="shared" si="51"/>
        <v/>
      </c>
      <c r="G784" s="102" t="str">
        <f t="shared" si="52"/>
        <v>Bangkorai</v>
      </c>
      <c r="H784" s="103">
        <f t="shared" si="53"/>
        <v>1200</v>
      </c>
      <c r="I784" s="103">
        <f t="shared" si="54"/>
        <v>92</v>
      </c>
      <c r="J784">
        <v>0</v>
      </c>
      <c r="K784" s="102" t="str">
        <f>VLOOKUP(J784,'&lt;Constants&gt;'!$A$4:$B$1020,2,FALSE)</f>
        <v>DLC_BASE_GAME</v>
      </c>
      <c r="L784" s="102" t="str">
        <f>VLOOKUP(J784,'&lt;Constants&gt;'!$A$4:$C$1020,3,FALSE)</f>
        <v>Included in base game</v>
      </c>
    </row>
    <row r="785" spans="1:12" x14ac:dyDescent="0.25">
      <c r="A785">
        <v>1201</v>
      </c>
      <c r="B785">
        <v>780</v>
      </c>
      <c r="C785">
        <v>1160</v>
      </c>
      <c r="D785" t="s">
        <v>1774</v>
      </c>
      <c r="E785" t="str">
        <f>IF(NOT(ISERROR(VLOOKUP(D785,'ESO DungeonFinder'!$A$2:$A$999,1,FALSE))),"X","")</f>
        <v>X</v>
      </c>
      <c r="F785" s="102" t="str">
        <f t="shared" si="51"/>
        <v/>
      </c>
      <c r="G785" s="102" t="str">
        <f t="shared" si="52"/>
        <v>Western Skyrim</v>
      </c>
      <c r="H785" s="103">
        <f t="shared" si="53"/>
        <v>1201</v>
      </c>
      <c r="I785" s="103">
        <f t="shared" si="54"/>
        <v>1160</v>
      </c>
      <c r="J785">
        <v>19</v>
      </c>
      <c r="K785" s="102" t="str">
        <f>VLOOKUP(J785,'&lt;Constants&gt;'!$A$4:$B$1020,2,FALSE)</f>
        <v>DLC_STONETHORN</v>
      </c>
      <c r="L785" s="102" t="str">
        <f>VLOOKUP(J785,'&lt;Constants&gt;'!$A$4:$C$1020,3,FALSE)</f>
        <v>Stonethorn</v>
      </c>
    </row>
    <row r="786" spans="1:12" x14ac:dyDescent="0.25">
      <c r="A786">
        <v>1204</v>
      </c>
      <c r="B786">
        <v>781</v>
      </c>
      <c r="C786">
        <v>1204</v>
      </c>
      <c r="D786" t="s">
        <v>2124</v>
      </c>
      <c r="E786" t="str">
        <f>IF(NOT(ISERROR(VLOOKUP(D786,'ESO DungeonFinder'!$A$2:$A$999,1,FALSE))),"X","")</f>
        <v/>
      </c>
      <c r="F786" s="102" t="str">
        <f t="shared" si="51"/>
        <v>X</v>
      </c>
      <c r="G786" s="102" t="str">
        <f t="shared" si="52"/>
        <v/>
      </c>
      <c r="H786" s="103">
        <f t="shared" si="53"/>
        <v>1204</v>
      </c>
      <c r="I786" s="103">
        <f t="shared" si="54"/>
        <v>1204</v>
      </c>
      <c r="J786">
        <v>18</v>
      </c>
      <c r="K786" s="102" t="str">
        <f>VLOOKUP(J786,'&lt;Constants&gt;'!$A$4:$B$1020,2,FALSE)</f>
        <v>DLC_GREYMOOR</v>
      </c>
      <c r="L786" s="102" t="str">
        <f>VLOOKUP(J786,'&lt;Constants&gt;'!$A$4:$C$1020,3,FALSE)</f>
        <v>Greymoor</v>
      </c>
    </row>
    <row r="787" spans="1:12" x14ac:dyDescent="0.25">
      <c r="A787">
        <v>1205</v>
      </c>
      <c r="B787">
        <v>782</v>
      </c>
      <c r="C787">
        <v>20</v>
      </c>
      <c r="D787" t="s">
        <v>2126</v>
      </c>
      <c r="E787" t="str">
        <f>IF(NOT(ISERROR(VLOOKUP(D787,'ESO DungeonFinder'!$A$2:$A$999,1,FALSE))),"X","")</f>
        <v/>
      </c>
      <c r="F787" s="102" t="str">
        <f t="shared" si="51"/>
        <v/>
      </c>
      <c r="G787" s="102" t="str">
        <f t="shared" si="52"/>
        <v>Rivenspire</v>
      </c>
      <c r="H787" s="103">
        <f t="shared" si="53"/>
        <v>1205</v>
      </c>
      <c r="I787" s="103">
        <f t="shared" si="54"/>
        <v>20</v>
      </c>
      <c r="J787">
        <v>0</v>
      </c>
      <c r="K787" s="102" t="str">
        <f>VLOOKUP(J787,'&lt;Constants&gt;'!$A$4:$B$1020,2,FALSE)</f>
        <v>DLC_BASE_GAME</v>
      </c>
      <c r="L787" s="102" t="str">
        <f>VLOOKUP(J787,'&lt;Constants&gt;'!$A$4:$C$1020,3,FALSE)</f>
        <v>Included in base game</v>
      </c>
    </row>
    <row r="788" spans="1:12" x14ac:dyDescent="0.25">
      <c r="A788">
        <v>1206</v>
      </c>
      <c r="B788">
        <v>783</v>
      </c>
      <c r="C788">
        <v>20</v>
      </c>
      <c r="D788" t="s">
        <v>2125</v>
      </c>
      <c r="E788" t="str">
        <f>IF(NOT(ISERROR(VLOOKUP(D788,'ESO DungeonFinder'!$A$2:$A$999,1,FALSE))),"X","")</f>
        <v/>
      </c>
      <c r="F788" s="102" t="str">
        <f t="shared" si="51"/>
        <v/>
      </c>
      <c r="G788" s="102" t="str">
        <f t="shared" si="52"/>
        <v>Rivenspire</v>
      </c>
      <c r="H788" s="103">
        <f t="shared" si="53"/>
        <v>1206</v>
      </c>
      <c r="I788" s="103">
        <f t="shared" si="54"/>
        <v>20</v>
      </c>
      <c r="J788">
        <v>0</v>
      </c>
      <c r="K788" s="102" t="str">
        <f>VLOOKUP(J788,'&lt;Constants&gt;'!$A$4:$B$1020,2,FALSE)</f>
        <v>DLC_BASE_GAME</v>
      </c>
      <c r="L788" s="102" t="str">
        <f>VLOOKUP(J788,'&lt;Constants&gt;'!$A$4:$C$1020,3,FALSE)</f>
        <v>Included in base game</v>
      </c>
    </row>
    <row r="789" spans="1:12" x14ac:dyDescent="0.25">
      <c r="A789">
        <v>1207</v>
      </c>
      <c r="B789">
        <v>784</v>
      </c>
      <c r="C789">
        <v>1207</v>
      </c>
      <c r="D789" t="s">
        <v>2185</v>
      </c>
      <c r="E789" t="str">
        <f>IF(NOT(ISERROR(VLOOKUP(D789,'ESO DungeonFinder'!$A$2:$A$999,1,FALSE))),"X","")</f>
        <v/>
      </c>
      <c r="F789" s="102" t="str">
        <f t="shared" si="51"/>
        <v>X</v>
      </c>
      <c r="G789" s="102" t="str">
        <f t="shared" si="52"/>
        <v/>
      </c>
      <c r="H789" s="103">
        <f t="shared" si="53"/>
        <v>1207</v>
      </c>
      <c r="I789" s="103">
        <f t="shared" si="54"/>
        <v>1207</v>
      </c>
      <c r="J789">
        <v>0</v>
      </c>
      <c r="K789" s="102" t="str">
        <f>VLOOKUP(J789,'&lt;Constants&gt;'!$A$4:$B$1020,2,FALSE)</f>
        <v>DLC_BASE_GAME</v>
      </c>
      <c r="L789" s="102" t="str">
        <f>VLOOKUP(J789,'&lt;Constants&gt;'!$A$4:$C$1020,3,FALSE)</f>
        <v>Included in base game</v>
      </c>
    </row>
    <row r="790" spans="1:12" x14ac:dyDescent="0.25">
      <c r="A790">
        <v>1208</v>
      </c>
      <c r="B790">
        <v>785</v>
      </c>
      <c r="C790">
        <v>1208</v>
      </c>
      <c r="D790" t="s">
        <v>2186</v>
      </c>
      <c r="E790" t="str">
        <f>IF(NOT(ISERROR(VLOOKUP(D790,'ESO DungeonFinder'!$A$2:$A$999,1,FALSE))),"X","")</f>
        <v/>
      </c>
      <c r="F790" s="102" t="str">
        <f t="shared" si="51"/>
        <v>X</v>
      </c>
      <c r="G790" s="102" t="str">
        <f t="shared" si="52"/>
        <v/>
      </c>
      <c r="H790" s="103">
        <f t="shared" si="53"/>
        <v>1208</v>
      </c>
      <c r="I790" s="103">
        <f t="shared" si="54"/>
        <v>1208</v>
      </c>
      <c r="J790">
        <v>0</v>
      </c>
      <c r="K790" s="102" t="str">
        <f>VLOOKUP(J790,'&lt;Constants&gt;'!$A$4:$B$1020,2,FALSE)</f>
        <v>DLC_BASE_GAME</v>
      </c>
      <c r="L790" s="102" t="str">
        <f>VLOOKUP(J790,'&lt;Constants&gt;'!$A$4:$C$1020,3,FALSE)</f>
        <v>Included in base game</v>
      </c>
    </row>
    <row r="791" spans="1:12" x14ac:dyDescent="0.25">
      <c r="A791">
        <v>1209</v>
      </c>
      <c r="B791">
        <v>786</v>
      </c>
      <c r="C791">
        <v>1207</v>
      </c>
      <c r="D791" t="s">
        <v>2187</v>
      </c>
      <c r="E791" t="str">
        <f>IF(NOT(ISERROR(VLOOKUP(D791,'ESO DungeonFinder'!$A$2:$A$999,1,FALSE))),"X","")</f>
        <v/>
      </c>
      <c r="F791" s="102" t="str">
        <f t="shared" si="51"/>
        <v/>
      </c>
      <c r="G791" s="102" t="str">
        <f t="shared" si="52"/>
        <v>The Reach</v>
      </c>
      <c r="H791" s="103">
        <f t="shared" si="53"/>
        <v>1209</v>
      </c>
      <c r="I791" s="103">
        <f t="shared" si="54"/>
        <v>1207</v>
      </c>
      <c r="J791">
        <v>20</v>
      </c>
      <c r="K791" s="102" t="str">
        <f>VLOOKUP(J791,'&lt;Constants&gt;'!$A$4:$B$1020,2,FALSE)</f>
        <v>DLC_MARKARTH</v>
      </c>
      <c r="L791" s="102" t="str">
        <f>VLOOKUP(J791,'&lt;Constants&gt;'!$A$4:$C$1020,3,FALSE)</f>
        <v>Markarth</v>
      </c>
    </row>
    <row r="792" spans="1:12" x14ac:dyDescent="0.25">
      <c r="A792">
        <v>1210</v>
      </c>
      <c r="B792">
        <v>787</v>
      </c>
      <c r="C792">
        <v>1207</v>
      </c>
      <c r="D792" t="s">
        <v>2188</v>
      </c>
      <c r="E792" t="str">
        <f>IF(NOT(ISERROR(VLOOKUP(D792,'ESO DungeonFinder'!$A$2:$A$999,1,FALSE))),"X","")</f>
        <v/>
      </c>
      <c r="F792" s="102" t="str">
        <f t="shared" si="51"/>
        <v/>
      </c>
      <c r="G792" s="102" t="str">
        <f t="shared" si="52"/>
        <v>The Reach</v>
      </c>
      <c r="H792" s="103">
        <f t="shared" si="53"/>
        <v>1210</v>
      </c>
      <c r="I792" s="103">
        <f t="shared" si="54"/>
        <v>1207</v>
      </c>
      <c r="J792">
        <v>20</v>
      </c>
      <c r="K792" s="102" t="str">
        <f>VLOOKUP(J792,'&lt;Constants&gt;'!$A$4:$B$1020,2,FALSE)</f>
        <v>DLC_MARKARTH</v>
      </c>
      <c r="L792" s="102" t="str">
        <f>VLOOKUP(J792,'&lt;Constants&gt;'!$A$4:$C$1020,3,FALSE)</f>
        <v>Markarth</v>
      </c>
    </row>
    <row r="793" spans="1:12" x14ac:dyDescent="0.25">
      <c r="A793">
        <v>1211</v>
      </c>
      <c r="B793">
        <v>788</v>
      </c>
      <c r="C793">
        <v>1207</v>
      </c>
      <c r="D793" t="s">
        <v>2200</v>
      </c>
      <c r="E793" t="str">
        <f>IF(NOT(ISERROR(VLOOKUP(D793,'ESO DungeonFinder'!$A$2:$A$999,1,FALSE))),"X","")</f>
        <v/>
      </c>
      <c r="F793" s="102" t="str">
        <f t="shared" si="51"/>
        <v/>
      </c>
      <c r="G793" s="102" t="str">
        <f t="shared" si="52"/>
        <v>The Reach</v>
      </c>
      <c r="H793" s="103">
        <f t="shared" si="53"/>
        <v>1211</v>
      </c>
      <c r="I793" s="103">
        <f t="shared" si="54"/>
        <v>1207</v>
      </c>
      <c r="J793">
        <v>20</v>
      </c>
      <c r="K793" s="102" t="str">
        <f>VLOOKUP(J793,'&lt;Constants&gt;'!$A$4:$B$1020,2,FALSE)</f>
        <v>DLC_MARKARTH</v>
      </c>
      <c r="L793" s="102" t="str">
        <f>VLOOKUP(J793,'&lt;Constants&gt;'!$A$4:$C$1020,3,FALSE)</f>
        <v>Markarth</v>
      </c>
    </row>
    <row r="794" spans="1:12" x14ac:dyDescent="0.25">
      <c r="A794">
        <v>1212</v>
      </c>
      <c r="B794">
        <v>789</v>
      </c>
      <c r="C794">
        <v>1208</v>
      </c>
      <c r="D794" t="s">
        <v>2199</v>
      </c>
      <c r="E794" t="str">
        <f>IF(NOT(ISERROR(VLOOKUP(D794,'ESO DungeonFinder'!$A$2:$A$999,1,FALSE))),"X","")</f>
        <v/>
      </c>
      <c r="F794" s="102" t="str">
        <f t="shared" si="51"/>
        <v/>
      </c>
      <c r="G794" s="102" t="str">
        <f t="shared" si="52"/>
        <v>Blackreach: Arkthzand Cavern</v>
      </c>
      <c r="H794" s="103">
        <f t="shared" si="53"/>
        <v>1212</v>
      </c>
      <c r="I794" s="103">
        <f t="shared" si="54"/>
        <v>1208</v>
      </c>
      <c r="J794">
        <v>20</v>
      </c>
      <c r="K794" s="102" t="str">
        <f>VLOOKUP(J794,'&lt;Constants&gt;'!$A$4:$B$1020,2,FALSE)</f>
        <v>DLC_MARKARTH</v>
      </c>
      <c r="L794" s="102" t="str">
        <f>VLOOKUP(J794,'&lt;Constants&gt;'!$A$4:$C$1020,3,FALSE)</f>
        <v>Markarth</v>
      </c>
    </row>
    <row r="795" spans="1:12" x14ac:dyDescent="0.25">
      <c r="A795">
        <v>1213</v>
      </c>
      <c r="B795">
        <v>790</v>
      </c>
      <c r="C795">
        <v>1207</v>
      </c>
      <c r="D795" t="s">
        <v>2374</v>
      </c>
      <c r="E795" t="str">
        <f>IF(NOT(ISERROR(VLOOKUP(D795,'ESO DungeonFinder'!$A$2:$A$999,1,FALSE))),"X","")</f>
        <v/>
      </c>
      <c r="F795" s="102" t="str">
        <f t="shared" si="51"/>
        <v/>
      </c>
      <c r="G795" s="102" t="str">
        <f t="shared" si="52"/>
        <v>The Reach</v>
      </c>
      <c r="H795" s="103">
        <f t="shared" si="53"/>
        <v>1213</v>
      </c>
      <c r="I795" s="103">
        <f t="shared" si="54"/>
        <v>1207</v>
      </c>
      <c r="J795">
        <v>20</v>
      </c>
      <c r="K795" s="102" t="str">
        <f>VLOOKUP(J795,'&lt;Constants&gt;'!$A$4:$B$1020,2,FALSE)</f>
        <v>DLC_MARKARTH</v>
      </c>
      <c r="L795" s="102" t="str">
        <f>VLOOKUP(J795,'&lt;Constants&gt;'!$A$4:$C$1020,3,FALSE)</f>
        <v>Markarth</v>
      </c>
    </row>
    <row r="796" spans="1:12" x14ac:dyDescent="0.25">
      <c r="A796">
        <v>1214</v>
      </c>
      <c r="B796">
        <v>791</v>
      </c>
      <c r="C796">
        <v>1207</v>
      </c>
      <c r="D796" t="s">
        <v>2198</v>
      </c>
      <c r="E796" t="str">
        <f>IF(NOT(ISERROR(VLOOKUP(D796,'ESO DungeonFinder'!$A$2:$A$999,1,FALSE))),"X","")</f>
        <v/>
      </c>
      <c r="F796" s="102" t="str">
        <f t="shared" si="51"/>
        <v/>
      </c>
      <c r="G796" s="102" t="str">
        <f t="shared" si="52"/>
        <v>The Reach</v>
      </c>
      <c r="H796" s="103">
        <f t="shared" si="53"/>
        <v>1214</v>
      </c>
      <c r="I796" s="103">
        <f t="shared" si="54"/>
        <v>1207</v>
      </c>
      <c r="J796">
        <v>20</v>
      </c>
      <c r="K796" s="102" t="str">
        <f>VLOOKUP(J796,'&lt;Constants&gt;'!$A$4:$B$1020,2,FALSE)</f>
        <v>DLC_MARKARTH</v>
      </c>
      <c r="L796" s="102" t="str">
        <f>VLOOKUP(J796,'&lt;Constants&gt;'!$A$4:$C$1020,3,FALSE)</f>
        <v>Markarth</v>
      </c>
    </row>
    <row r="797" spans="1:12" x14ac:dyDescent="0.25">
      <c r="A797">
        <v>1215</v>
      </c>
      <c r="B797">
        <v>792</v>
      </c>
      <c r="C797">
        <v>1207</v>
      </c>
      <c r="D797" t="s">
        <v>2197</v>
      </c>
      <c r="E797" t="str">
        <f>IF(NOT(ISERROR(VLOOKUP(D797,'ESO DungeonFinder'!$A$2:$A$999,1,FALSE))),"X","")</f>
        <v/>
      </c>
      <c r="F797" s="102" t="str">
        <f t="shared" si="51"/>
        <v/>
      </c>
      <c r="G797" s="102" t="str">
        <f t="shared" si="52"/>
        <v>The Reach</v>
      </c>
      <c r="H797" s="103">
        <f t="shared" si="53"/>
        <v>1215</v>
      </c>
      <c r="I797" s="103">
        <f t="shared" si="54"/>
        <v>1207</v>
      </c>
      <c r="J797">
        <v>20</v>
      </c>
      <c r="K797" s="102" t="str">
        <f>VLOOKUP(J797,'&lt;Constants&gt;'!$A$4:$B$1020,2,FALSE)</f>
        <v>DLC_MARKARTH</v>
      </c>
      <c r="L797" s="102" t="str">
        <f>VLOOKUP(J797,'&lt;Constants&gt;'!$A$4:$C$1020,3,FALSE)</f>
        <v>Markarth</v>
      </c>
    </row>
    <row r="798" spans="1:12" x14ac:dyDescent="0.25">
      <c r="A798">
        <v>1216</v>
      </c>
      <c r="B798">
        <v>793</v>
      </c>
      <c r="C798">
        <v>1207</v>
      </c>
      <c r="D798" t="s">
        <v>2196</v>
      </c>
      <c r="E798" t="str">
        <f>IF(NOT(ISERROR(VLOOKUP(D798,'ESO DungeonFinder'!$A$2:$A$999,1,FALSE))),"X","")</f>
        <v/>
      </c>
      <c r="F798" s="102" t="str">
        <f t="shared" si="51"/>
        <v/>
      </c>
      <c r="G798" s="102" t="str">
        <f t="shared" si="52"/>
        <v>The Reach</v>
      </c>
      <c r="H798" s="103">
        <f t="shared" si="53"/>
        <v>1216</v>
      </c>
      <c r="I798" s="103">
        <f t="shared" si="54"/>
        <v>1207</v>
      </c>
      <c r="J798">
        <v>20</v>
      </c>
      <c r="K798" s="102" t="str">
        <f>VLOOKUP(J798,'&lt;Constants&gt;'!$A$4:$B$1020,2,FALSE)</f>
        <v>DLC_MARKARTH</v>
      </c>
      <c r="L798" s="102" t="str">
        <f>VLOOKUP(J798,'&lt;Constants&gt;'!$A$4:$C$1020,3,FALSE)</f>
        <v>Markarth</v>
      </c>
    </row>
    <row r="799" spans="1:12" x14ac:dyDescent="0.25">
      <c r="A799">
        <v>1217</v>
      </c>
      <c r="B799">
        <v>794</v>
      </c>
      <c r="C799">
        <v>1208</v>
      </c>
      <c r="D799" t="s">
        <v>2195</v>
      </c>
      <c r="E799" t="str">
        <f>IF(NOT(ISERROR(VLOOKUP(D799,'ESO DungeonFinder'!$A$2:$A$999,1,FALSE))),"X","")</f>
        <v/>
      </c>
      <c r="F799" s="102" t="str">
        <f t="shared" si="51"/>
        <v/>
      </c>
      <c r="G799" s="102" t="str">
        <f t="shared" si="52"/>
        <v>Blackreach: Arkthzand Cavern</v>
      </c>
      <c r="H799" s="103">
        <f t="shared" si="53"/>
        <v>1217</v>
      </c>
      <c r="I799" s="103">
        <f t="shared" si="54"/>
        <v>1208</v>
      </c>
      <c r="J799">
        <v>20</v>
      </c>
      <c r="K799" s="102" t="str">
        <f>VLOOKUP(J799,'&lt;Constants&gt;'!$A$4:$B$1020,2,FALSE)</f>
        <v>DLC_MARKARTH</v>
      </c>
      <c r="L799" s="102" t="str">
        <f>VLOOKUP(J799,'&lt;Constants&gt;'!$A$4:$C$1020,3,FALSE)</f>
        <v>Markarth</v>
      </c>
    </row>
    <row r="800" spans="1:12" x14ac:dyDescent="0.25">
      <c r="A800">
        <v>1218</v>
      </c>
      <c r="B800">
        <v>795</v>
      </c>
      <c r="C800">
        <v>1160</v>
      </c>
      <c r="D800" t="s">
        <v>1680</v>
      </c>
      <c r="E800" t="str">
        <f>IF(NOT(ISERROR(VLOOKUP(D800,'ESO DungeonFinder'!$A$2:$A$999,1,FALSE))),"X","")</f>
        <v/>
      </c>
      <c r="F800" s="102" t="str">
        <f t="shared" si="51"/>
        <v/>
      </c>
      <c r="G800" s="102" t="str">
        <f t="shared" si="52"/>
        <v>Western Skyrim</v>
      </c>
      <c r="H800" s="103">
        <f t="shared" si="53"/>
        <v>1218</v>
      </c>
      <c r="I800" s="103">
        <f t="shared" si="54"/>
        <v>1160</v>
      </c>
      <c r="J800">
        <v>18</v>
      </c>
      <c r="K800" s="102" t="str">
        <f>VLOOKUP(J800,'&lt;Constants&gt;'!$A$4:$B$1020,2,FALSE)</f>
        <v>DLC_GREYMOOR</v>
      </c>
      <c r="L800" s="102" t="str">
        <f>VLOOKUP(J800,'&lt;Constants&gt;'!$A$4:$C$1020,3,FALSE)</f>
        <v>Greymoor</v>
      </c>
    </row>
    <row r="801" spans="1:12" x14ac:dyDescent="0.25">
      <c r="A801">
        <v>1219</v>
      </c>
      <c r="B801">
        <v>796</v>
      </c>
      <c r="C801">
        <v>1160</v>
      </c>
      <c r="D801" t="s">
        <v>1681</v>
      </c>
      <c r="E801" t="str">
        <f>IF(NOT(ISERROR(VLOOKUP(D801,'ESO DungeonFinder'!$A$2:$A$999,1,FALSE))),"X","")</f>
        <v/>
      </c>
      <c r="F801" s="102" t="str">
        <f t="shared" si="51"/>
        <v/>
      </c>
      <c r="G801" s="102" t="str">
        <f t="shared" si="52"/>
        <v>Western Skyrim</v>
      </c>
      <c r="H801" s="103">
        <f t="shared" si="53"/>
        <v>1219</v>
      </c>
      <c r="I801" s="103">
        <f t="shared" si="54"/>
        <v>1160</v>
      </c>
      <c r="J801">
        <v>18</v>
      </c>
      <c r="K801" s="102" t="str">
        <f>VLOOKUP(J801,'&lt;Constants&gt;'!$A$4:$B$1020,2,FALSE)</f>
        <v>DLC_GREYMOOR</v>
      </c>
      <c r="L801" s="102" t="str">
        <f>VLOOKUP(J801,'&lt;Constants&gt;'!$A$4:$C$1020,3,FALSE)</f>
        <v>Greymoor</v>
      </c>
    </row>
    <row r="802" spans="1:12" x14ac:dyDescent="0.25">
      <c r="A802">
        <v>1220</v>
      </c>
      <c r="B802">
        <v>797</v>
      </c>
      <c r="C802">
        <v>1161</v>
      </c>
      <c r="D802" t="s">
        <v>1682</v>
      </c>
      <c r="E802" t="str">
        <f>IF(NOT(ISERROR(VLOOKUP(D802,'ESO DungeonFinder'!$A$2:$A$999,1,FALSE))),"X","")</f>
        <v/>
      </c>
      <c r="F802" s="102" t="str">
        <f t="shared" si="51"/>
        <v/>
      </c>
      <c r="G802" s="102" t="str">
        <f t="shared" si="52"/>
        <v>Blackreach: Greymoor Caverns</v>
      </c>
      <c r="H802" s="103">
        <f t="shared" si="53"/>
        <v>1220</v>
      </c>
      <c r="I802" s="103">
        <f t="shared" si="54"/>
        <v>1161</v>
      </c>
      <c r="J802">
        <v>18</v>
      </c>
      <c r="K802" s="102" t="str">
        <f>VLOOKUP(J802,'&lt;Constants&gt;'!$A$4:$B$1020,2,FALSE)</f>
        <v>DLC_GREYMOOR</v>
      </c>
      <c r="L802" s="102" t="str">
        <f>VLOOKUP(J802,'&lt;Constants&gt;'!$A$4:$C$1020,3,FALSE)</f>
        <v>Greymoor</v>
      </c>
    </row>
    <row r="803" spans="1:12" x14ac:dyDescent="0.25">
      <c r="A803">
        <v>1221</v>
      </c>
      <c r="B803">
        <v>798</v>
      </c>
      <c r="C803">
        <v>1207</v>
      </c>
      <c r="D803" t="s">
        <v>2189</v>
      </c>
      <c r="E803" t="str">
        <f>IF(NOT(ISERROR(VLOOKUP(D803,'ESO DungeonFinder'!$A$2:$A$999,1,FALSE))),"X","")</f>
        <v/>
      </c>
      <c r="F803" s="102" t="str">
        <f t="shared" si="51"/>
        <v/>
      </c>
      <c r="G803" s="102" t="str">
        <f t="shared" si="52"/>
        <v>The Reach</v>
      </c>
      <c r="H803" s="103">
        <f t="shared" si="53"/>
        <v>1221</v>
      </c>
      <c r="I803" s="103">
        <f t="shared" si="54"/>
        <v>1207</v>
      </c>
      <c r="J803">
        <v>20</v>
      </c>
      <c r="K803" s="102" t="str">
        <f>VLOOKUP(J803,'&lt;Constants&gt;'!$A$4:$B$1020,2,FALSE)</f>
        <v>DLC_MARKARTH</v>
      </c>
      <c r="L803" s="102" t="str">
        <f>VLOOKUP(J803,'&lt;Constants&gt;'!$A$4:$C$1020,3,FALSE)</f>
        <v>Markarth</v>
      </c>
    </row>
    <row r="804" spans="1:12" x14ac:dyDescent="0.25">
      <c r="A804">
        <v>1222</v>
      </c>
      <c r="B804">
        <v>799</v>
      </c>
      <c r="C804">
        <v>1160</v>
      </c>
      <c r="D804" t="s">
        <v>2190</v>
      </c>
      <c r="E804" t="str">
        <f>IF(NOT(ISERROR(VLOOKUP(D804,'ESO DungeonFinder'!$A$2:$A$999,1,FALSE))),"X","")</f>
        <v/>
      </c>
      <c r="F804" s="102" t="str">
        <f t="shared" si="51"/>
        <v/>
      </c>
      <c r="G804" s="102" t="str">
        <f t="shared" si="52"/>
        <v>Western Skyrim</v>
      </c>
      <c r="H804" s="103">
        <f t="shared" si="53"/>
        <v>1222</v>
      </c>
      <c r="I804" s="103">
        <f t="shared" si="54"/>
        <v>1160</v>
      </c>
      <c r="J804">
        <v>18</v>
      </c>
      <c r="K804" s="102" t="str">
        <f>VLOOKUP(J804,'&lt;Constants&gt;'!$A$4:$B$1020,2,FALSE)</f>
        <v>DLC_GREYMOOR</v>
      </c>
      <c r="L804" s="102" t="str">
        <f>VLOOKUP(J804,'&lt;Constants&gt;'!$A$4:$C$1020,3,FALSE)</f>
        <v>Greymoor</v>
      </c>
    </row>
    <row r="805" spans="1:12" x14ac:dyDescent="0.25">
      <c r="A805">
        <v>1223</v>
      </c>
      <c r="B805">
        <v>800</v>
      </c>
      <c r="C805">
        <v>1207</v>
      </c>
      <c r="D805" t="s">
        <v>2194</v>
      </c>
      <c r="E805" t="str">
        <f>IF(NOT(ISERROR(VLOOKUP(D805,'ESO DungeonFinder'!$A$2:$A$999,1,FALSE))),"X","")</f>
        <v/>
      </c>
      <c r="F805" s="102" t="str">
        <f t="shared" si="51"/>
        <v/>
      </c>
      <c r="G805" s="102" t="str">
        <f t="shared" si="52"/>
        <v>The Reach</v>
      </c>
      <c r="H805" s="103">
        <f t="shared" si="53"/>
        <v>1223</v>
      </c>
      <c r="I805" s="103">
        <f t="shared" si="54"/>
        <v>1207</v>
      </c>
      <c r="J805">
        <v>20</v>
      </c>
      <c r="K805" s="102" t="str">
        <f>VLOOKUP(J805,'&lt;Constants&gt;'!$A$4:$B$1020,2,FALSE)</f>
        <v>DLC_MARKARTH</v>
      </c>
      <c r="L805" s="102" t="str">
        <f>VLOOKUP(J805,'&lt;Constants&gt;'!$A$4:$C$1020,3,FALSE)</f>
        <v>Markarth</v>
      </c>
    </row>
    <row r="806" spans="1:12" x14ac:dyDescent="0.25">
      <c r="A806">
        <v>1224</v>
      </c>
      <c r="B806">
        <v>801</v>
      </c>
      <c r="C806">
        <v>1208</v>
      </c>
      <c r="D806" t="s">
        <v>2193</v>
      </c>
      <c r="E806" t="str">
        <f>IF(NOT(ISERROR(VLOOKUP(D806,'ESO DungeonFinder'!$A$2:$A$999,1,FALSE))),"X","")</f>
        <v/>
      </c>
      <c r="F806" s="102" t="str">
        <f t="shared" si="51"/>
        <v/>
      </c>
      <c r="G806" s="102" t="str">
        <f t="shared" si="52"/>
        <v>Blackreach: Arkthzand Cavern</v>
      </c>
      <c r="H806" s="103">
        <f t="shared" si="53"/>
        <v>1224</v>
      </c>
      <c r="I806" s="103">
        <f t="shared" si="54"/>
        <v>1208</v>
      </c>
      <c r="J806">
        <v>20</v>
      </c>
      <c r="K806" s="102" t="str">
        <f>VLOOKUP(J806,'&lt;Constants&gt;'!$A$4:$B$1020,2,FALSE)</f>
        <v>DLC_MARKARTH</v>
      </c>
      <c r="L806" s="102" t="str">
        <f>VLOOKUP(J806,'&lt;Constants&gt;'!$A$4:$C$1020,3,FALSE)</f>
        <v>Markarth</v>
      </c>
    </row>
    <row r="807" spans="1:12" x14ac:dyDescent="0.25">
      <c r="A807">
        <v>1225</v>
      </c>
      <c r="B807">
        <v>802</v>
      </c>
      <c r="C807">
        <v>1207</v>
      </c>
      <c r="D807" t="s">
        <v>2192</v>
      </c>
      <c r="E807" t="str">
        <f>IF(NOT(ISERROR(VLOOKUP(D807,'ESO DungeonFinder'!$A$2:$A$999,1,FALSE))),"X","")</f>
        <v/>
      </c>
      <c r="F807" s="102" t="str">
        <f t="shared" si="51"/>
        <v/>
      </c>
      <c r="G807" s="102" t="str">
        <f t="shared" si="52"/>
        <v>The Reach</v>
      </c>
      <c r="H807" s="103">
        <f t="shared" si="53"/>
        <v>1225</v>
      </c>
      <c r="I807" s="103">
        <f t="shared" si="54"/>
        <v>1207</v>
      </c>
      <c r="J807">
        <v>20</v>
      </c>
      <c r="K807" s="102" t="str">
        <f>VLOOKUP(J807,'&lt;Constants&gt;'!$A$4:$B$1020,2,FALSE)</f>
        <v>DLC_MARKARTH</v>
      </c>
      <c r="L807" s="102" t="str">
        <f>VLOOKUP(J807,'&lt;Constants&gt;'!$A$4:$C$1020,3,FALSE)</f>
        <v>Markarth</v>
      </c>
    </row>
    <row r="808" spans="1:12" x14ac:dyDescent="0.25">
      <c r="A808">
        <v>1226</v>
      </c>
      <c r="B808">
        <v>803</v>
      </c>
      <c r="C808">
        <v>1207</v>
      </c>
      <c r="D808" t="s">
        <v>2191</v>
      </c>
      <c r="E808" t="str">
        <f>IF(NOT(ISERROR(VLOOKUP(D808,'ESO DungeonFinder'!$A$2:$A$999,1,FALSE))),"X","")</f>
        <v/>
      </c>
      <c r="F808" s="102" t="str">
        <f t="shared" si="51"/>
        <v/>
      </c>
      <c r="G808" s="102" t="str">
        <f t="shared" si="52"/>
        <v>The Reach</v>
      </c>
      <c r="H808" s="103">
        <f t="shared" si="53"/>
        <v>1226</v>
      </c>
      <c r="I808" s="103">
        <f t="shared" si="54"/>
        <v>1207</v>
      </c>
      <c r="J808">
        <v>20</v>
      </c>
      <c r="K808" s="102" t="str">
        <f>VLOOKUP(J808,'&lt;Constants&gt;'!$A$4:$B$1020,2,FALSE)</f>
        <v>DLC_MARKARTH</v>
      </c>
      <c r="L808" s="102" t="str">
        <f>VLOOKUP(J808,'&lt;Constants&gt;'!$A$4:$C$1020,3,FALSE)</f>
        <v>Markarth</v>
      </c>
    </row>
    <row r="809" spans="1:12" s="65" customFormat="1" x14ac:dyDescent="0.25">
      <c r="A809">
        <v>1227</v>
      </c>
      <c r="B809">
        <v>804</v>
      </c>
      <c r="C809">
        <v>1207</v>
      </c>
      <c r="D809" t="s">
        <v>2184</v>
      </c>
      <c r="E809" t="str">
        <f>IF(NOT(ISERROR(VLOOKUP(D809,'ESO DungeonFinder'!$A$2:$A$999,1,FALSE))),"X","")</f>
        <v/>
      </c>
      <c r="F809" s="102" t="str">
        <f t="shared" si="51"/>
        <v/>
      </c>
      <c r="G809" s="102" t="str">
        <f t="shared" si="52"/>
        <v>The Reach</v>
      </c>
      <c r="H809" s="103">
        <f t="shared" si="53"/>
        <v>1227</v>
      </c>
      <c r="I809" s="103">
        <f t="shared" si="54"/>
        <v>1207</v>
      </c>
      <c r="J809">
        <v>20</v>
      </c>
      <c r="K809" s="102" t="str">
        <f>VLOOKUP(J809,'&lt;Constants&gt;'!$A$4:$B$1020,2,FALSE)</f>
        <v>DLC_MARKARTH</v>
      </c>
      <c r="L809" s="102" t="str">
        <f>VLOOKUP(J809,'&lt;Constants&gt;'!$A$4:$C$1020,3,FALSE)</f>
        <v>Markarth</v>
      </c>
    </row>
    <row r="810" spans="1:12" s="65" customFormat="1" x14ac:dyDescent="0.25">
      <c r="A810">
        <v>1228</v>
      </c>
      <c r="B810">
        <v>805</v>
      </c>
      <c r="C810">
        <v>823</v>
      </c>
      <c r="D810" t="s">
        <v>2366</v>
      </c>
      <c r="E810" t="str">
        <f>IF(NOT(ISERROR(VLOOKUP(D810,'ESO DungeonFinder'!$A$2:$A$999,1,FALSE))),"X","")</f>
        <v>X</v>
      </c>
      <c r="F810" s="102" t="str">
        <f t="shared" si="51"/>
        <v/>
      </c>
      <c r="G810" s="102" t="str">
        <f t="shared" si="52"/>
        <v>Gold Coast</v>
      </c>
      <c r="H810" s="103">
        <f t="shared" si="53"/>
        <v>1228</v>
      </c>
      <c r="I810" s="103">
        <f t="shared" si="54"/>
        <v>823</v>
      </c>
      <c r="J810">
        <v>21</v>
      </c>
      <c r="K810" s="102" t="str">
        <f>VLOOKUP(J810,'&lt;Constants&gt;'!$A$4:$B$1020,2,FALSE)</f>
        <v>DLC_FLAMES_OF_AMBITION</v>
      </c>
      <c r="L810" s="102" t="str">
        <f>VLOOKUP(J810,'&lt;Constants&gt;'!$A$4:$C$1020,3,FALSE)</f>
        <v>Flames of Ambition</v>
      </c>
    </row>
    <row r="811" spans="1:12" x14ac:dyDescent="0.25">
      <c r="A811">
        <v>1229</v>
      </c>
      <c r="B811">
        <v>806</v>
      </c>
      <c r="C811">
        <v>57</v>
      </c>
      <c r="D811" t="s">
        <v>2367</v>
      </c>
      <c r="E811" t="str">
        <f>IF(NOT(ISERROR(VLOOKUP(D811,'ESO DungeonFinder'!$A$2:$A$999,1,FALSE))),"X","")</f>
        <v>X</v>
      </c>
      <c r="F811" s="102" t="str">
        <f t="shared" si="51"/>
        <v/>
      </c>
      <c r="G811" s="102" t="str">
        <f t="shared" si="52"/>
        <v>Deshaan</v>
      </c>
      <c r="H811" s="103">
        <f t="shared" si="53"/>
        <v>1229</v>
      </c>
      <c r="I811" s="103">
        <f t="shared" si="54"/>
        <v>57</v>
      </c>
      <c r="J811">
        <v>22</v>
      </c>
      <c r="K811" s="102" t="str">
        <f>VLOOKUP(J811,'&lt;Constants&gt;'!$A$4:$B$1020,2,FALSE)</f>
        <v>DLC_BLACKWOOD</v>
      </c>
      <c r="L811" s="102" t="str">
        <f>VLOOKUP(J811,'&lt;Constants&gt;'!$A$4:$C$1020,3,FALSE)</f>
        <v>Blackwood</v>
      </c>
    </row>
    <row r="812" spans="1:12" x14ac:dyDescent="0.25">
      <c r="A812">
        <v>1233</v>
      </c>
      <c r="B812">
        <v>807</v>
      </c>
      <c r="C812">
        <v>1160</v>
      </c>
      <c r="D812" t="s">
        <v>2122</v>
      </c>
      <c r="E812" t="str">
        <f>IF(NOT(ISERROR(VLOOKUP(D812,'ESO DungeonFinder'!$A$2:$A$999,1,FALSE))),"X","")</f>
        <v/>
      </c>
      <c r="F812" s="102" t="str">
        <f t="shared" si="51"/>
        <v/>
      </c>
      <c r="G812" s="102" t="str">
        <f t="shared" si="52"/>
        <v>Western Skyrim</v>
      </c>
      <c r="H812" s="103">
        <f t="shared" si="53"/>
        <v>1233</v>
      </c>
      <c r="I812" s="103">
        <f t="shared" si="54"/>
        <v>1160</v>
      </c>
      <c r="J812">
        <v>18</v>
      </c>
      <c r="K812" s="102" t="str">
        <f>VLOOKUP(J812,'&lt;Constants&gt;'!$A$4:$B$1020,2,FALSE)</f>
        <v>DLC_GREYMOOR</v>
      </c>
      <c r="L812" s="102" t="str">
        <f>VLOOKUP(J812,'&lt;Constants&gt;'!$A$4:$C$1020,3,FALSE)</f>
        <v>Greymoor</v>
      </c>
    </row>
    <row r="813" spans="1:12" x14ac:dyDescent="0.25">
      <c r="A813">
        <v>1234</v>
      </c>
      <c r="B813">
        <v>808</v>
      </c>
      <c r="C813">
        <v>1160</v>
      </c>
      <c r="D813" t="s">
        <v>2123</v>
      </c>
      <c r="E813" t="str">
        <f>IF(NOT(ISERROR(VLOOKUP(D813,'ESO DungeonFinder'!$A$2:$A$999,1,FALSE))),"X","")</f>
        <v/>
      </c>
      <c r="F813" s="102" t="str">
        <f t="shared" si="51"/>
        <v/>
      </c>
      <c r="G813" s="102" t="str">
        <f t="shared" si="52"/>
        <v>Western Skyrim</v>
      </c>
      <c r="H813" s="103">
        <f t="shared" si="53"/>
        <v>1234</v>
      </c>
      <c r="I813" s="103">
        <f t="shared" si="54"/>
        <v>1160</v>
      </c>
      <c r="J813">
        <v>18</v>
      </c>
      <c r="K813" s="102" t="str">
        <f>VLOOKUP(J813,'&lt;Constants&gt;'!$A$4:$B$1020,2,FALSE)</f>
        <v>DLC_GREYMOOR</v>
      </c>
      <c r="L813" s="102" t="str">
        <f>VLOOKUP(J813,'&lt;Constants&gt;'!$A$4:$C$1020,3,FALSE)</f>
        <v>Greymoor</v>
      </c>
    </row>
    <row r="814" spans="1:12" x14ac:dyDescent="0.25">
      <c r="A814">
        <v>1235</v>
      </c>
      <c r="B814">
        <v>809</v>
      </c>
      <c r="C814">
        <v>383</v>
      </c>
      <c r="D814" t="s">
        <v>2369</v>
      </c>
      <c r="E814" t="str">
        <f>IF(NOT(ISERROR(VLOOKUP(D814,'ESO DungeonFinder'!$A$2:$A$999,1,FALSE))),"X","")</f>
        <v/>
      </c>
      <c r="F814" s="102" t="str">
        <f t="shared" si="51"/>
        <v/>
      </c>
      <c r="G814" s="102" t="str">
        <f t="shared" si="52"/>
        <v>Grahtwood</v>
      </c>
      <c r="H814" s="103">
        <f t="shared" si="53"/>
        <v>1235</v>
      </c>
      <c r="I814" s="103">
        <f t="shared" si="54"/>
        <v>383</v>
      </c>
      <c r="J814">
        <v>0</v>
      </c>
      <c r="K814" s="102" t="str">
        <f>VLOOKUP(J814,'&lt;Constants&gt;'!$A$4:$B$1020,2,FALSE)</f>
        <v>DLC_BASE_GAME</v>
      </c>
      <c r="L814" s="102" t="str">
        <f>VLOOKUP(J814,'&lt;Constants&gt;'!$A$4:$C$1020,3,FALSE)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102" t="str">
        <f>VLOOKUP(J815,'&lt;Constants&gt;'!$A$4:$B$1020,2,FALSE)</f>
        <v>DLC_IMPERIAL_CITY</v>
      </c>
      <c r="L815" s="102" t="str">
        <f>VLOOKUP(J815,'&lt;Constants&gt;'!$A$4:$C$1020,3,FALSE)</f>
        <v>Imperial City</v>
      </c>
    </row>
    <row r="816" spans="1:12" x14ac:dyDescent="0.25">
      <c r="A816">
        <v>1237</v>
      </c>
      <c r="B816">
        <v>811</v>
      </c>
      <c r="C816">
        <v>383</v>
      </c>
      <c r="D816" t="s">
        <v>2373</v>
      </c>
      <c r="E816" t="str">
        <f>IF(NOT(ISERROR(VLOOKUP(D816,'ESO DungeonFinder'!$A$2:$A$999,1,FALSE))),"X","")</f>
        <v/>
      </c>
      <c r="F816" s="102" t="str">
        <f t="shared" si="51"/>
        <v/>
      </c>
      <c r="G816" s="102" t="str">
        <f t="shared" si="52"/>
        <v>Grahtwood</v>
      </c>
      <c r="H816" s="103">
        <f t="shared" si="53"/>
        <v>1237</v>
      </c>
      <c r="I816" s="103">
        <f t="shared" si="54"/>
        <v>383</v>
      </c>
      <c r="J816">
        <v>0</v>
      </c>
      <c r="K816" s="102" t="str">
        <f>VLOOKUP(J816,'&lt;Constants&gt;'!$A$4:$B$1020,2,FALSE)</f>
        <v>DLC_BASE_GAME</v>
      </c>
      <c r="L816" s="102" t="str">
        <f>VLOOKUP(J816,'&lt;Constants&gt;'!$A$4:$C$1020,3,FALSE)</f>
        <v>Included in base game</v>
      </c>
    </row>
    <row r="817" spans="1:12" x14ac:dyDescent="0.25">
      <c r="A817">
        <v>1238</v>
      </c>
      <c r="B817">
        <v>812</v>
      </c>
      <c r="C817">
        <v>1261</v>
      </c>
      <c r="D817" t="s">
        <v>2397</v>
      </c>
      <c r="E817" t="str">
        <f>IF(NOT(ISERROR(VLOOKUP(D817,'ESO DungeonFinder'!$A$2:$A$999,1,FALSE))),"X","")</f>
        <v/>
      </c>
      <c r="F817" s="102" t="str">
        <f t="shared" si="51"/>
        <v/>
      </c>
      <c r="G817" s="102" t="str">
        <f t="shared" si="52"/>
        <v>Blackwood</v>
      </c>
      <c r="H817" s="103">
        <f t="shared" si="53"/>
        <v>1238</v>
      </c>
      <c r="I817" s="103">
        <f t="shared" si="54"/>
        <v>1261</v>
      </c>
      <c r="J817">
        <v>22</v>
      </c>
      <c r="K817" s="102" t="str">
        <f>VLOOKUP(J817,'&lt;Constants&gt;'!$A$4:$B$1020,2,FALSE)</f>
        <v>DLC_BLACKWOOD</v>
      </c>
      <c r="L817" s="102" t="str">
        <f>VLOOKUP(J817,'&lt;Constants&gt;'!$A$4:$C$1020,3,FALSE)</f>
        <v>Blackwood</v>
      </c>
    </row>
    <row r="818" spans="1:12" x14ac:dyDescent="0.25">
      <c r="A818">
        <v>1239</v>
      </c>
      <c r="B818">
        <v>813</v>
      </c>
      <c r="C818">
        <v>1261</v>
      </c>
      <c r="D818" t="s">
        <v>2394</v>
      </c>
      <c r="E818" t="str">
        <f>IF(NOT(ISERROR(VLOOKUP(D818,'ESO DungeonFinder'!$A$2:$A$999,1,FALSE))),"X","")</f>
        <v/>
      </c>
      <c r="F818" s="102" t="str">
        <f t="shared" si="51"/>
        <v/>
      </c>
      <c r="G818" s="102" t="str">
        <f t="shared" si="52"/>
        <v>Blackwood</v>
      </c>
      <c r="H818" s="103">
        <f t="shared" si="53"/>
        <v>1239</v>
      </c>
      <c r="I818" s="103">
        <f t="shared" si="54"/>
        <v>1261</v>
      </c>
      <c r="J818">
        <v>22</v>
      </c>
      <c r="K818" s="102" t="str">
        <f>VLOOKUP(J818,'&lt;Constants&gt;'!$A$4:$B$1020,2,FALSE)</f>
        <v>DLC_BLACKWOOD</v>
      </c>
      <c r="L818" s="102" t="str">
        <f>VLOOKUP(J818,'&lt;Constants&gt;'!$A$4:$C$1020,3,FALSE)</f>
        <v>Blackwood</v>
      </c>
    </row>
    <row r="819" spans="1:12" x14ac:dyDescent="0.25">
      <c r="A819">
        <v>1240</v>
      </c>
      <c r="B819">
        <v>814</v>
      </c>
      <c r="C819">
        <v>1261</v>
      </c>
      <c r="D819" t="s">
        <v>2398</v>
      </c>
      <c r="E819" t="str">
        <f>IF(NOT(ISERROR(VLOOKUP(D819,'ESO DungeonFinder'!$A$2:$A$999,1,FALSE))),"X","")</f>
        <v/>
      </c>
      <c r="F819" s="102" t="str">
        <f t="shared" si="51"/>
        <v/>
      </c>
      <c r="G819" s="102" t="str">
        <f t="shared" si="52"/>
        <v>Blackwood</v>
      </c>
      <c r="H819" s="103">
        <f t="shared" si="53"/>
        <v>1240</v>
      </c>
      <c r="I819" s="103">
        <f t="shared" si="54"/>
        <v>1261</v>
      </c>
      <c r="J819">
        <v>22</v>
      </c>
      <c r="K819" s="102" t="str">
        <f>VLOOKUP(J819,'&lt;Constants&gt;'!$A$4:$B$1020,2,FALSE)</f>
        <v>DLC_BLACKWOOD</v>
      </c>
      <c r="L819" s="102" t="str">
        <f>VLOOKUP(J819,'&lt;Constants&gt;'!$A$4:$C$1020,3,FALSE)</f>
        <v>Blackwood</v>
      </c>
    </row>
    <row r="820" spans="1:12" x14ac:dyDescent="0.25">
      <c r="A820">
        <v>1241</v>
      </c>
      <c r="B820">
        <v>815</v>
      </c>
      <c r="C820">
        <v>1261</v>
      </c>
      <c r="D820" t="s">
        <v>2399</v>
      </c>
      <c r="E820" t="str">
        <f>IF(NOT(ISERROR(VLOOKUP(D820,'ESO DungeonFinder'!$A$2:$A$999,1,FALSE))),"X","")</f>
        <v/>
      </c>
      <c r="F820" s="102" t="str">
        <f t="shared" si="51"/>
        <v/>
      </c>
      <c r="G820" s="102" t="str">
        <f t="shared" si="52"/>
        <v>Blackwood</v>
      </c>
      <c r="H820" s="103">
        <f t="shared" si="53"/>
        <v>1241</v>
      </c>
      <c r="I820" s="103">
        <f t="shared" si="54"/>
        <v>1261</v>
      </c>
      <c r="J820">
        <v>22</v>
      </c>
      <c r="K820" s="102" t="str">
        <f>VLOOKUP(J820,'&lt;Constants&gt;'!$A$4:$B$1020,2,FALSE)</f>
        <v>DLC_BLACKWOOD</v>
      </c>
      <c r="L820" s="102" t="str">
        <f>VLOOKUP(J820,'&lt;Constants&gt;'!$A$4:$C$1020,3,FALSE)</f>
        <v>Blackwood</v>
      </c>
    </row>
    <row r="821" spans="1:12" x14ac:dyDescent="0.25">
      <c r="A821">
        <v>1242</v>
      </c>
      <c r="B821">
        <v>816</v>
      </c>
      <c r="C821">
        <v>1261</v>
      </c>
      <c r="D821" t="s">
        <v>2400</v>
      </c>
      <c r="E821" t="str">
        <f>IF(NOT(ISERROR(VLOOKUP(D821,'ESO DungeonFinder'!$A$2:$A$999,1,FALSE))),"X","")</f>
        <v/>
      </c>
      <c r="F821" s="102" t="str">
        <f t="shared" si="51"/>
        <v/>
      </c>
      <c r="G821" s="102" t="str">
        <f t="shared" si="52"/>
        <v>Blackwood</v>
      </c>
      <c r="H821" s="103">
        <f t="shared" si="53"/>
        <v>1242</v>
      </c>
      <c r="I821" s="103">
        <f t="shared" si="54"/>
        <v>1261</v>
      </c>
      <c r="J821">
        <v>22</v>
      </c>
      <c r="K821" s="102" t="str">
        <f>VLOOKUP(J821,'&lt;Constants&gt;'!$A$4:$B$1020,2,FALSE)</f>
        <v>DLC_BLACKWOOD</v>
      </c>
      <c r="L821" s="102" t="str">
        <f>VLOOKUP(J821,'&lt;Constants&gt;'!$A$4:$C$1020,3,FALSE)</f>
        <v>Blackwood</v>
      </c>
    </row>
    <row r="822" spans="1:12" x14ac:dyDescent="0.25">
      <c r="A822">
        <v>1243</v>
      </c>
      <c r="B822">
        <v>817</v>
      </c>
      <c r="C822">
        <v>1261</v>
      </c>
      <c r="D822" t="s">
        <v>2401</v>
      </c>
      <c r="E822" t="str">
        <f>IF(NOT(ISERROR(VLOOKUP(D822,'ESO DungeonFinder'!$A$2:$A$999,1,FALSE))),"X","")</f>
        <v/>
      </c>
      <c r="F822" s="102" t="str">
        <f t="shared" si="51"/>
        <v/>
      </c>
      <c r="G822" s="102" t="str">
        <f t="shared" si="52"/>
        <v>Blackwood</v>
      </c>
      <c r="H822" s="103">
        <f t="shared" si="53"/>
        <v>1243</v>
      </c>
      <c r="I822" s="103">
        <f t="shared" si="54"/>
        <v>1261</v>
      </c>
      <c r="J822">
        <v>22</v>
      </c>
      <c r="K822" s="102" t="str">
        <f>VLOOKUP(J822,'&lt;Constants&gt;'!$A$4:$B$1020,2,FALSE)</f>
        <v>DLC_BLACKWOOD</v>
      </c>
      <c r="L822" s="102" t="str">
        <f>VLOOKUP(J822,'&lt;Constants&gt;'!$A$4:$C$1020,3,FALSE)</f>
        <v>Blackwood</v>
      </c>
    </row>
    <row r="823" spans="1:12" x14ac:dyDescent="0.25">
      <c r="A823">
        <v>1244</v>
      </c>
      <c r="B823">
        <v>818</v>
      </c>
      <c r="C823">
        <v>1261</v>
      </c>
      <c r="D823" t="s">
        <v>2402</v>
      </c>
      <c r="E823" t="str">
        <f>IF(NOT(ISERROR(VLOOKUP(D823,'ESO DungeonFinder'!$A$2:$A$999,1,FALSE))),"X","")</f>
        <v/>
      </c>
      <c r="F823" s="102" t="str">
        <f t="shared" si="51"/>
        <v/>
      </c>
      <c r="G823" s="102" t="str">
        <f t="shared" si="52"/>
        <v>Blackwood</v>
      </c>
      <c r="H823" s="103">
        <f t="shared" si="53"/>
        <v>1244</v>
      </c>
      <c r="I823" s="103">
        <f t="shared" si="54"/>
        <v>1261</v>
      </c>
      <c r="J823">
        <v>22</v>
      </c>
      <c r="K823" s="102" t="str">
        <f>VLOOKUP(J823,'&lt;Constants&gt;'!$A$4:$B$1020,2,FALSE)</f>
        <v>DLC_BLACKWOOD</v>
      </c>
      <c r="L823" s="102" t="str">
        <f>VLOOKUP(J823,'&lt;Constants&gt;'!$A$4:$C$1020,3,FALSE)</f>
        <v>Blackwood</v>
      </c>
    </row>
    <row r="824" spans="1:12" x14ac:dyDescent="0.25">
      <c r="A824">
        <v>1245</v>
      </c>
      <c r="B824">
        <v>819</v>
      </c>
      <c r="C824">
        <v>1261</v>
      </c>
      <c r="D824" t="s">
        <v>2403</v>
      </c>
      <c r="E824" t="str">
        <f>IF(NOT(ISERROR(VLOOKUP(D824,'ESO DungeonFinder'!$A$2:$A$999,1,FALSE))),"X","")</f>
        <v/>
      </c>
      <c r="F824" s="102" t="str">
        <f t="shared" si="51"/>
        <v/>
      </c>
      <c r="G824" s="102" t="str">
        <f t="shared" si="52"/>
        <v>Blackwood</v>
      </c>
      <c r="H824" s="103">
        <f t="shared" si="53"/>
        <v>1245</v>
      </c>
      <c r="I824" s="103">
        <f t="shared" si="54"/>
        <v>1261</v>
      </c>
      <c r="J824">
        <v>22</v>
      </c>
      <c r="K824" s="102" t="str">
        <f>VLOOKUP(J824,'&lt;Constants&gt;'!$A$4:$B$1020,2,FALSE)</f>
        <v>DLC_BLACKWOOD</v>
      </c>
      <c r="L824" s="102" t="str">
        <f>VLOOKUP(J824,'&lt;Constants&gt;'!$A$4:$C$1020,3,FALSE)</f>
        <v>Blackwood</v>
      </c>
    </row>
    <row r="825" spans="1:12" x14ac:dyDescent="0.25">
      <c r="A825">
        <v>1246</v>
      </c>
      <c r="B825">
        <v>820</v>
      </c>
      <c r="C825">
        <v>1261</v>
      </c>
      <c r="D825" t="s">
        <v>2404</v>
      </c>
      <c r="E825" t="str">
        <f>IF(NOT(ISERROR(VLOOKUP(D825,'ESO DungeonFinder'!$A$2:$A$999,1,FALSE))),"X","")</f>
        <v/>
      </c>
      <c r="F825" s="102" t="str">
        <f t="shared" si="51"/>
        <v/>
      </c>
      <c r="G825" s="102" t="str">
        <f t="shared" si="52"/>
        <v>Blackwood</v>
      </c>
      <c r="H825" s="103">
        <f t="shared" si="53"/>
        <v>1246</v>
      </c>
      <c r="I825" s="103">
        <f t="shared" si="54"/>
        <v>1261</v>
      </c>
      <c r="J825">
        <v>22</v>
      </c>
      <c r="K825" s="102" t="str">
        <f>VLOOKUP(J825,'&lt;Constants&gt;'!$A$4:$B$1020,2,FALSE)</f>
        <v>DLC_BLACKWOOD</v>
      </c>
      <c r="L825" s="102" t="str">
        <f>VLOOKUP(J825,'&lt;Constants&gt;'!$A$4:$C$1020,3,FALSE)</f>
        <v>Blackwood</v>
      </c>
    </row>
    <row r="826" spans="1:12" x14ac:dyDescent="0.25">
      <c r="A826">
        <v>1247</v>
      </c>
      <c r="B826">
        <v>821</v>
      </c>
      <c r="C826">
        <v>1261</v>
      </c>
      <c r="D826" t="s">
        <v>2395</v>
      </c>
      <c r="E826" t="str">
        <f>IF(NOT(ISERROR(VLOOKUP(D826,'ESO DungeonFinder'!$A$2:$A$999,1,FALSE))),"X","")</f>
        <v/>
      </c>
      <c r="F826" s="102" t="str">
        <f t="shared" si="51"/>
        <v/>
      </c>
      <c r="G826" s="102" t="str">
        <f t="shared" si="52"/>
        <v>Blackwood</v>
      </c>
      <c r="H826" s="103">
        <f t="shared" si="53"/>
        <v>1247</v>
      </c>
      <c r="I826" s="103">
        <f t="shared" si="54"/>
        <v>1261</v>
      </c>
      <c r="J826">
        <v>22</v>
      </c>
      <c r="K826" s="102" t="str">
        <f>VLOOKUP(J826,'&lt;Constants&gt;'!$A$4:$B$1020,2,FALSE)</f>
        <v>DLC_BLACKWOOD</v>
      </c>
      <c r="L826" s="102" t="str">
        <f>VLOOKUP(J826,'&lt;Constants&gt;'!$A$4:$C$1020,3,FALSE)</f>
        <v>Blackwood</v>
      </c>
    </row>
    <row r="827" spans="1:12" x14ac:dyDescent="0.25">
      <c r="A827">
        <v>1248</v>
      </c>
      <c r="B827">
        <v>822</v>
      </c>
      <c r="C827">
        <v>1261</v>
      </c>
      <c r="D827" t="s">
        <v>2405</v>
      </c>
      <c r="E827" t="str">
        <f>IF(NOT(ISERROR(VLOOKUP(D827,'ESO DungeonFinder'!$A$2:$A$999,1,FALSE))),"X","")</f>
        <v/>
      </c>
      <c r="F827" s="102" t="str">
        <f t="shared" si="51"/>
        <v/>
      </c>
      <c r="G827" s="102" t="str">
        <f t="shared" si="52"/>
        <v>Blackwood</v>
      </c>
      <c r="H827" s="103">
        <f t="shared" si="53"/>
        <v>1248</v>
      </c>
      <c r="I827" s="103">
        <f t="shared" si="54"/>
        <v>1261</v>
      </c>
      <c r="J827">
        <v>22</v>
      </c>
      <c r="K827" s="102" t="str">
        <f>VLOOKUP(J827,'&lt;Constants&gt;'!$A$4:$B$1020,2,FALSE)</f>
        <v>DLC_BLACKWOOD</v>
      </c>
      <c r="L827" s="102" t="str">
        <f>VLOOKUP(J827,'&lt;Constants&gt;'!$A$4:$C$1020,3,FALSE)</f>
        <v>Blackwood</v>
      </c>
    </row>
    <row r="828" spans="1:12" x14ac:dyDescent="0.25">
      <c r="A828">
        <v>1249</v>
      </c>
      <c r="B828">
        <v>823</v>
      </c>
      <c r="C828">
        <v>1261</v>
      </c>
      <c r="D828" t="s">
        <v>2406</v>
      </c>
      <c r="E828" t="str">
        <f>IF(NOT(ISERROR(VLOOKUP(D828,'ESO DungeonFinder'!$A$2:$A$999,1,FALSE))),"X","")</f>
        <v/>
      </c>
      <c r="F828" s="102" t="str">
        <f t="shared" si="51"/>
        <v/>
      </c>
      <c r="G828" s="102" t="str">
        <f t="shared" si="52"/>
        <v>Blackwood</v>
      </c>
      <c r="H828" s="103">
        <f t="shared" si="53"/>
        <v>1249</v>
      </c>
      <c r="I828" s="103">
        <f t="shared" si="54"/>
        <v>1261</v>
      </c>
      <c r="J828">
        <v>22</v>
      </c>
      <c r="K828" s="102" t="str">
        <f>VLOOKUP(J828,'&lt;Constants&gt;'!$A$4:$B$1020,2,FALSE)</f>
        <v>DLC_BLACKWOOD</v>
      </c>
      <c r="L828" s="102" t="str">
        <f>VLOOKUP(J828,'&lt;Constants&gt;'!$A$4:$C$1020,3,FALSE)</f>
        <v>Blackwood</v>
      </c>
    </row>
    <row r="829" spans="1:12" x14ac:dyDescent="0.25">
      <c r="A829">
        <v>1250</v>
      </c>
      <c r="B829">
        <v>824</v>
      </c>
      <c r="C829">
        <v>1261</v>
      </c>
      <c r="D829" t="s">
        <v>2407</v>
      </c>
      <c r="E829" t="str">
        <f>IF(NOT(ISERROR(VLOOKUP(D829,'ESO DungeonFinder'!$A$2:$A$999,1,FALSE))),"X","")</f>
        <v/>
      </c>
      <c r="F829" s="102" t="str">
        <f t="shared" si="51"/>
        <v/>
      </c>
      <c r="G829" s="102" t="str">
        <f t="shared" si="52"/>
        <v>Blackwood</v>
      </c>
      <c r="H829" s="103">
        <f t="shared" si="53"/>
        <v>1250</v>
      </c>
      <c r="I829" s="103">
        <f t="shared" si="54"/>
        <v>1261</v>
      </c>
      <c r="J829">
        <v>22</v>
      </c>
      <c r="K829" s="102" t="str">
        <f>VLOOKUP(J829,'&lt;Constants&gt;'!$A$4:$B$1020,2,FALSE)</f>
        <v>DLC_BLACKWOOD</v>
      </c>
      <c r="L829" s="102" t="str">
        <f>VLOOKUP(J829,'&lt;Constants&gt;'!$A$4:$C$1020,3,FALSE)</f>
        <v>Blackwood</v>
      </c>
    </row>
    <row r="830" spans="1:12" x14ac:dyDescent="0.25">
      <c r="A830">
        <v>1251</v>
      </c>
      <c r="B830">
        <v>825</v>
      </c>
      <c r="C830">
        <v>1261</v>
      </c>
      <c r="D830" t="s">
        <v>2408</v>
      </c>
      <c r="E830" t="str">
        <f>IF(NOT(ISERROR(VLOOKUP(D830,'ESO DungeonFinder'!$A$2:$A$999,1,FALSE))),"X","")</f>
        <v/>
      </c>
      <c r="F830" s="102" t="str">
        <f t="shared" si="51"/>
        <v/>
      </c>
      <c r="G830" s="102" t="str">
        <f t="shared" si="52"/>
        <v>Blackwood</v>
      </c>
      <c r="H830" s="103">
        <f t="shared" si="53"/>
        <v>1251</v>
      </c>
      <c r="I830" s="103">
        <f t="shared" si="54"/>
        <v>1261</v>
      </c>
      <c r="J830">
        <v>22</v>
      </c>
      <c r="K830" s="102" t="str">
        <f>VLOOKUP(J830,'&lt;Constants&gt;'!$A$4:$B$1020,2,FALSE)</f>
        <v>DLC_BLACKWOOD</v>
      </c>
      <c r="L830" s="102" t="str">
        <f>VLOOKUP(J830,'&lt;Constants&gt;'!$A$4:$C$1020,3,FALSE)</f>
        <v>Blackwood</v>
      </c>
    </row>
    <row r="831" spans="1:12" x14ac:dyDescent="0.25">
      <c r="A831">
        <v>1252</v>
      </c>
      <c r="B831">
        <v>826</v>
      </c>
      <c r="C831">
        <v>1261</v>
      </c>
      <c r="D831" t="s">
        <v>2409</v>
      </c>
      <c r="E831" t="str">
        <f>IF(NOT(ISERROR(VLOOKUP(D831,'ESO DungeonFinder'!$A$2:$A$999,1,FALSE))),"X","")</f>
        <v/>
      </c>
      <c r="F831" s="102" t="str">
        <f t="shared" si="51"/>
        <v/>
      </c>
      <c r="G831" s="102" t="str">
        <f t="shared" si="52"/>
        <v>Blackwood</v>
      </c>
      <c r="H831" s="103">
        <f t="shared" si="53"/>
        <v>1252</v>
      </c>
      <c r="I831" s="103">
        <f t="shared" si="54"/>
        <v>1261</v>
      </c>
      <c r="J831">
        <v>22</v>
      </c>
      <c r="K831" s="102" t="str">
        <f>VLOOKUP(J831,'&lt;Constants&gt;'!$A$4:$B$1020,2,FALSE)</f>
        <v>DLC_BLACKWOOD</v>
      </c>
      <c r="L831" s="102" t="str">
        <f>VLOOKUP(J831,'&lt;Constants&gt;'!$A$4:$C$1020,3,FALSE)</f>
        <v>Blackwood</v>
      </c>
    </row>
    <row r="832" spans="1:12" x14ac:dyDescent="0.25">
      <c r="A832">
        <v>1253</v>
      </c>
      <c r="B832">
        <v>827</v>
      </c>
      <c r="C832">
        <v>1261</v>
      </c>
      <c r="D832" t="s">
        <v>2410</v>
      </c>
      <c r="E832" t="str">
        <f>IF(NOT(ISERROR(VLOOKUP(D832,'ESO DungeonFinder'!$A$2:$A$999,1,FALSE))),"X","")</f>
        <v/>
      </c>
      <c r="F832" s="102" t="str">
        <f t="shared" si="51"/>
        <v/>
      </c>
      <c r="G832" s="102" t="str">
        <f t="shared" si="52"/>
        <v>Blackwood</v>
      </c>
      <c r="H832" s="103">
        <f t="shared" si="53"/>
        <v>1253</v>
      </c>
      <c r="I832" s="103">
        <f t="shared" si="54"/>
        <v>1261</v>
      </c>
      <c r="J832">
        <v>22</v>
      </c>
      <c r="K832" s="102" t="str">
        <f>VLOOKUP(J832,'&lt;Constants&gt;'!$A$4:$B$1020,2,FALSE)</f>
        <v>DLC_BLACKWOOD</v>
      </c>
      <c r="L832" s="102" t="str">
        <f>VLOOKUP(J832,'&lt;Constants&gt;'!$A$4:$C$1020,3,FALSE)</f>
        <v>Blackwood</v>
      </c>
    </row>
    <row r="833" spans="1:12" x14ac:dyDescent="0.25">
      <c r="A833">
        <v>1254</v>
      </c>
      <c r="B833">
        <v>828</v>
      </c>
      <c r="C833">
        <v>1261</v>
      </c>
      <c r="D833" t="s">
        <v>2390</v>
      </c>
      <c r="E833" t="str">
        <f>IF(NOT(ISERROR(VLOOKUP(D833,'ESO DungeonFinder'!$A$2:$A$999,1,FALSE))),"X","")</f>
        <v/>
      </c>
      <c r="F833" s="102" t="str">
        <f t="shared" si="51"/>
        <v/>
      </c>
      <c r="G833" s="102" t="str">
        <f t="shared" si="52"/>
        <v>Blackwood</v>
      </c>
      <c r="H833" s="103">
        <f t="shared" si="53"/>
        <v>1254</v>
      </c>
      <c r="I833" s="103">
        <f t="shared" si="54"/>
        <v>1261</v>
      </c>
      <c r="J833">
        <v>22</v>
      </c>
      <c r="K833" s="102" t="str">
        <f>VLOOKUP(J833,'&lt;Constants&gt;'!$A$4:$B$1020,2,FALSE)</f>
        <v>DLC_BLACKWOOD</v>
      </c>
      <c r="L833" s="102" t="str">
        <f>VLOOKUP(J833,'&lt;Constants&gt;'!$A$4:$C$1020,3,FALSE)</f>
        <v>Blackwood</v>
      </c>
    </row>
    <row r="834" spans="1:12" x14ac:dyDescent="0.25">
      <c r="A834">
        <v>1255</v>
      </c>
      <c r="B834">
        <v>829</v>
      </c>
      <c r="C834">
        <v>1261</v>
      </c>
      <c r="D834" t="s">
        <v>2411</v>
      </c>
      <c r="E834" t="str">
        <f>IF(NOT(ISERROR(VLOOKUP(D834,'ESO DungeonFinder'!$A$2:$A$999,1,FALSE))),"X","")</f>
        <v/>
      </c>
      <c r="F834" s="102" t="str">
        <f t="shared" si="51"/>
        <v/>
      </c>
      <c r="G834" s="102" t="str">
        <f t="shared" si="52"/>
        <v>Blackwood</v>
      </c>
      <c r="H834" s="103">
        <f t="shared" si="53"/>
        <v>1255</v>
      </c>
      <c r="I834" s="103">
        <f t="shared" si="54"/>
        <v>1261</v>
      </c>
      <c r="J834">
        <v>22</v>
      </c>
      <c r="K834" s="102" t="str">
        <f>VLOOKUP(J834,'&lt;Constants&gt;'!$A$4:$B$1020,2,FALSE)</f>
        <v>DLC_BLACKWOOD</v>
      </c>
      <c r="L834" s="102" t="str">
        <f>VLOOKUP(J834,'&lt;Constants&gt;'!$A$4:$C$1020,3,FALSE)</f>
        <v>Blackwood</v>
      </c>
    </row>
    <row r="835" spans="1:12" x14ac:dyDescent="0.25">
      <c r="A835">
        <v>1256</v>
      </c>
      <c r="B835">
        <v>830</v>
      </c>
      <c r="C835">
        <v>1261</v>
      </c>
      <c r="D835" t="s">
        <v>2412</v>
      </c>
      <c r="E835" t="str">
        <f>IF(NOT(ISERROR(VLOOKUP(D835,'ESO DungeonFinder'!$A$2:$A$999,1,FALSE))),"X","")</f>
        <v/>
      </c>
      <c r="F835" s="102" t="str">
        <f t="shared" si="51"/>
        <v/>
      </c>
      <c r="G835" s="102" t="str">
        <f t="shared" si="52"/>
        <v>Blackwood</v>
      </c>
      <c r="H835" s="103">
        <f t="shared" si="53"/>
        <v>1256</v>
      </c>
      <c r="I835" s="103">
        <f t="shared" si="54"/>
        <v>1261</v>
      </c>
      <c r="J835">
        <v>22</v>
      </c>
      <c r="K835" s="102" t="str">
        <f>VLOOKUP(J835,'&lt;Constants&gt;'!$A$4:$B$1020,2,FALSE)</f>
        <v>DLC_BLACKWOOD</v>
      </c>
      <c r="L835" s="102" t="str">
        <f>VLOOKUP(J835,'&lt;Constants&gt;'!$A$4:$C$1020,3,FALSE)</f>
        <v>Blackwood</v>
      </c>
    </row>
    <row r="836" spans="1:12" x14ac:dyDescent="0.25">
      <c r="A836">
        <v>1257</v>
      </c>
      <c r="B836">
        <v>831</v>
      </c>
      <c r="C836">
        <v>1261</v>
      </c>
      <c r="D836" t="s">
        <v>2393</v>
      </c>
      <c r="E836" t="str">
        <f>IF(NOT(ISERROR(VLOOKUP(D836,'ESO DungeonFinder'!$A$2:$A$999,1,FALSE))),"X","")</f>
        <v/>
      </c>
      <c r="F836" s="102" t="str">
        <f t="shared" si="51"/>
        <v/>
      </c>
      <c r="G836" s="102" t="str">
        <f t="shared" si="52"/>
        <v>Blackwood</v>
      </c>
      <c r="H836" s="103">
        <f t="shared" si="53"/>
        <v>1257</v>
      </c>
      <c r="I836" s="103">
        <f t="shared" si="54"/>
        <v>1261</v>
      </c>
      <c r="J836">
        <v>22</v>
      </c>
      <c r="K836" s="102" t="str">
        <f>VLOOKUP(J836,'&lt;Constants&gt;'!$A$4:$B$1020,2,FALSE)</f>
        <v>DLC_BLACKWOOD</v>
      </c>
      <c r="L836" s="102" t="str">
        <f>VLOOKUP(J836,'&lt;Constants&gt;'!$A$4:$C$1020,3,FALSE)</f>
        <v>Blackwood</v>
      </c>
    </row>
    <row r="837" spans="1:12" x14ac:dyDescent="0.25">
      <c r="A837">
        <v>1258</v>
      </c>
      <c r="B837">
        <v>832</v>
      </c>
      <c r="C837">
        <v>1261</v>
      </c>
      <c r="D837" t="s">
        <v>2392</v>
      </c>
      <c r="E837" t="str">
        <f>IF(NOT(ISERROR(VLOOKUP(D837,'ESO DungeonFinder'!$A$2:$A$999,1,FALSE))),"X","")</f>
        <v/>
      </c>
      <c r="F837" s="102" t="str">
        <f t="shared" si="51"/>
        <v/>
      </c>
      <c r="G837" s="102" t="str">
        <f t="shared" si="52"/>
        <v>Blackwood</v>
      </c>
      <c r="H837" s="103">
        <f t="shared" si="53"/>
        <v>1258</v>
      </c>
      <c r="I837" s="103">
        <f t="shared" si="54"/>
        <v>1261</v>
      </c>
      <c r="J837">
        <v>22</v>
      </c>
      <c r="K837" s="102" t="str">
        <f>VLOOKUP(J837,'&lt;Constants&gt;'!$A$4:$B$1020,2,FALSE)</f>
        <v>DLC_BLACKWOOD</v>
      </c>
      <c r="L837" s="102" t="str">
        <f>VLOOKUP(J837,'&lt;Constants&gt;'!$A$4:$C$1020,3,FALSE)</f>
        <v>Blackwood</v>
      </c>
    </row>
    <row r="838" spans="1:12" x14ac:dyDescent="0.25">
      <c r="A838">
        <v>1259</v>
      </c>
      <c r="B838">
        <v>833</v>
      </c>
      <c r="C838">
        <v>1261</v>
      </c>
      <c r="D838" t="s">
        <v>2413</v>
      </c>
      <c r="E838" t="str">
        <f>IF(NOT(ISERROR(VLOOKUP(D838,'ESO DungeonFinder'!$A$2:$A$999,1,FALSE))),"X","")</f>
        <v/>
      </c>
      <c r="F838" s="102" t="str">
        <f t="shared" si="51"/>
        <v/>
      </c>
      <c r="G838" s="102" t="str">
        <f t="shared" si="52"/>
        <v>Blackwood</v>
      </c>
      <c r="H838" s="103">
        <f t="shared" si="53"/>
        <v>1259</v>
      </c>
      <c r="I838" s="103">
        <f t="shared" si="54"/>
        <v>1261</v>
      </c>
      <c r="J838">
        <v>22</v>
      </c>
      <c r="K838" s="102" t="str">
        <f>VLOOKUP(J838,'&lt;Constants&gt;'!$A$4:$B$1020,2,FALSE)</f>
        <v>DLC_BLACKWOOD</v>
      </c>
      <c r="L838" s="102" t="str">
        <f>VLOOKUP(J838,'&lt;Constants&gt;'!$A$4:$C$1020,3,FALSE)</f>
        <v>Blackwood</v>
      </c>
    </row>
    <row r="839" spans="1:12" x14ac:dyDescent="0.25">
      <c r="A839">
        <v>1260</v>
      </c>
      <c r="B839">
        <v>834</v>
      </c>
      <c r="C839">
        <v>1261</v>
      </c>
      <c r="D839" t="s">
        <v>2414</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102" t="str">
        <f>VLOOKUP(J839,'&lt;Constants&gt;'!$A$4:$B$1020,2,FALSE)</f>
        <v>DLC_BLACKWOOD</v>
      </c>
      <c r="L839" s="102" t="str">
        <f>VLOOKUP(J839,'&lt;Constants&gt;'!$A$4:$C$1020,3,FALSE)</f>
        <v>Blackwood</v>
      </c>
    </row>
    <row r="840" spans="1:12" x14ac:dyDescent="0.25">
      <c r="A840">
        <v>1261</v>
      </c>
      <c r="B840">
        <v>835</v>
      </c>
      <c r="C840">
        <v>1261</v>
      </c>
      <c r="D840" t="s">
        <v>2360</v>
      </c>
      <c r="E840" t="str">
        <f>IF(NOT(ISERROR(VLOOKUP(D840,'ESO DungeonFinder'!$A$2:$A$999,1,FALSE))),"X","")</f>
        <v/>
      </c>
      <c r="F840" s="102" t="str">
        <f t="shared" si="55"/>
        <v>X</v>
      </c>
      <c r="G840" s="102" t="str">
        <f t="shared" si="56"/>
        <v/>
      </c>
      <c r="H840" s="103">
        <f t="shared" si="57"/>
        <v>1261</v>
      </c>
      <c r="I840" s="103">
        <f t="shared" si="58"/>
        <v>1261</v>
      </c>
      <c r="J840">
        <v>14</v>
      </c>
      <c r="K840" s="102" t="str">
        <f>VLOOKUP(J840,'&lt;Constants&gt;'!$A$4:$B$1020,2,FALSE)</f>
        <v>DLC_ELSWEYR</v>
      </c>
      <c r="L840" s="102" t="str">
        <f>VLOOKUP(J840,'&lt;Constants&gt;'!$A$4:$C$1020,3,FALSE)</f>
        <v>Elsweyr</v>
      </c>
    </row>
    <row r="841" spans="1:12" x14ac:dyDescent="0.25">
      <c r="A841">
        <v>1262</v>
      </c>
      <c r="B841">
        <v>836</v>
      </c>
      <c r="C841">
        <v>19</v>
      </c>
      <c r="D841" t="s">
        <v>2372</v>
      </c>
      <c r="E841" t="str">
        <f>IF(NOT(ISERROR(VLOOKUP(D841,'ESO DungeonFinder'!$A$2:$A$999,1,FALSE))),"X","")</f>
        <v/>
      </c>
      <c r="F841" s="102" t="str">
        <f t="shared" si="55"/>
        <v/>
      </c>
      <c r="G841" s="102" t="str">
        <f t="shared" si="56"/>
        <v>Stormhaven</v>
      </c>
      <c r="H841" s="103">
        <f t="shared" si="57"/>
        <v>1262</v>
      </c>
      <c r="I841" s="103">
        <f t="shared" si="58"/>
        <v>19</v>
      </c>
      <c r="J841">
        <v>0</v>
      </c>
      <c r="K841" s="102" t="str">
        <f>VLOOKUP(J841,'&lt;Constants&gt;'!$A$4:$B$1020,2,FALSE)</f>
        <v>DLC_BASE_GAME</v>
      </c>
      <c r="L841" s="102" t="str">
        <f>VLOOKUP(J841,'&lt;Constants&gt;'!$A$4:$C$1020,3,FALSE)</f>
        <v>Included in base game</v>
      </c>
    </row>
    <row r="842" spans="1:12" x14ac:dyDescent="0.25">
      <c r="A842">
        <v>1263</v>
      </c>
      <c r="B842">
        <v>837</v>
      </c>
      <c r="C842">
        <v>1261</v>
      </c>
      <c r="D842" t="s">
        <v>2415</v>
      </c>
      <c r="E842" t="str">
        <f>IF(NOT(ISERROR(VLOOKUP(D842,'ESO DungeonFinder'!$A$2:$A$999,1,FALSE))),"X","")</f>
        <v/>
      </c>
      <c r="F842" s="102" t="str">
        <f t="shared" si="55"/>
        <v/>
      </c>
      <c r="G842" s="102" t="str">
        <f t="shared" si="56"/>
        <v>Blackwood</v>
      </c>
      <c r="H842" s="103">
        <f t="shared" si="57"/>
        <v>1263</v>
      </c>
      <c r="I842" s="103">
        <f t="shared" si="58"/>
        <v>1261</v>
      </c>
      <c r="J842">
        <v>22</v>
      </c>
      <c r="K842" s="102" t="str">
        <f>VLOOKUP(J842,'&lt;Constants&gt;'!$A$4:$B$1020,2,FALSE)</f>
        <v>DLC_BLACKWOOD</v>
      </c>
      <c r="L842" s="102" t="str">
        <f>VLOOKUP(J842,'&lt;Constants&gt;'!$A$4:$C$1020,3,FALSE)</f>
        <v>Blackwood</v>
      </c>
    </row>
    <row r="843" spans="1:12" x14ac:dyDescent="0.25">
      <c r="A843">
        <v>1264</v>
      </c>
      <c r="B843">
        <v>838</v>
      </c>
      <c r="C843">
        <v>1207</v>
      </c>
      <c r="D843" t="s">
        <v>2183</v>
      </c>
      <c r="E843" t="str">
        <f>IF(NOT(ISERROR(VLOOKUP(D843,'ESO DungeonFinder'!$A$2:$A$999,1,FALSE))),"X","")</f>
        <v/>
      </c>
      <c r="F843" s="102" t="str">
        <f t="shared" si="55"/>
        <v/>
      </c>
      <c r="G843" s="102" t="str">
        <f t="shared" si="56"/>
        <v>The Reach</v>
      </c>
      <c r="H843" s="103">
        <f t="shared" si="57"/>
        <v>1264</v>
      </c>
      <c r="I843" s="103">
        <f t="shared" si="58"/>
        <v>1207</v>
      </c>
      <c r="J843">
        <v>20</v>
      </c>
      <c r="K843" s="102" t="str">
        <f>VLOOKUP(J843,'&lt;Constants&gt;'!$A$4:$B$1020,2,FALSE)</f>
        <v>DLC_MARKARTH</v>
      </c>
      <c r="L843" s="102" t="str">
        <f>VLOOKUP(J843,'&lt;Constants&gt;'!$A$4:$C$1020,3,FALSE)</f>
        <v>Markarth</v>
      </c>
    </row>
    <row r="844" spans="1:12" x14ac:dyDescent="0.25">
      <c r="A844">
        <v>1265</v>
      </c>
      <c r="B844">
        <v>839</v>
      </c>
      <c r="C844">
        <v>1160</v>
      </c>
      <c r="D844" t="s">
        <v>2182</v>
      </c>
      <c r="E844" t="str">
        <f>IF(NOT(ISERROR(VLOOKUP(D844,'ESO DungeonFinder'!$A$2:$A$999,1,FALSE))),"X","")</f>
        <v/>
      </c>
      <c r="F844" s="102" t="str">
        <f t="shared" si="55"/>
        <v/>
      </c>
      <c r="G844" s="102" t="str">
        <f t="shared" si="56"/>
        <v>Western Skyrim</v>
      </c>
      <c r="H844" s="103">
        <f t="shared" si="57"/>
        <v>1265</v>
      </c>
      <c r="I844" s="103">
        <f t="shared" si="58"/>
        <v>1160</v>
      </c>
      <c r="J844">
        <v>18</v>
      </c>
      <c r="K844" s="102" t="str">
        <f>VLOOKUP(J844,'&lt;Constants&gt;'!$A$4:$B$1020,2,FALSE)</f>
        <v>DLC_GREYMOOR</v>
      </c>
      <c r="L844" s="102" t="str">
        <f>VLOOKUP(J844,'&lt;Constants&gt;'!$A$4:$C$1020,3,FALSE)</f>
        <v>Greymoor</v>
      </c>
    </row>
    <row r="845" spans="1:12" x14ac:dyDescent="0.25">
      <c r="A845">
        <v>1266</v>
      </c>
      <c r="B845">
        <v>840</v>
      </c>
      <c r="C845">
        <v>1261</v>
      </c>
      <c r="D845" t="s">
        <v>2391</v>
      </c>
      <c r="E845" t="str">
        <f>IF(NOT(ISERROR(VLOOKUP(D845,'ESO DungeonFinder'!$A$2:$A$999,1,FALSE))),"X","")</f>
        <v/>
      </c>
      <c r="F845" s="102" t="str">
        <f t="shared" si="55"/>
        <v/>
      </c>
      <c r="G845" s="102" t="str">
        <f t="shared" si="56"/>
        <v>Blackwood</v>
      </c>
      <c r="H845" s="103">
        <f t="shared" si="57"/>
        <v>1266</v>
      </c>
      <c r="I845" s="103">
        <f t="shared" si="58"/>
        <v>1261</v>
      </c>
      <c r="J845">
        <v>22</v>
      </c>
      <c r="K845" s="102" t="str">
        <f>VLOOKUP(J845,'&lt;Constants&gt;'!$A$4:$B$1020,2,FALSE)</f>
        <v>DLC_BLACKWOOD</v>
      </c>
      <c r="L845" s="102" t="str">
        <f>VLOOKUP(J845,'&lt;Constants&gt;'!$A$4:$C$1020,3,FALSE)</f>
        <v>Blackwood</v>
      </c>
    </row>
    <row r="846" spans="1:12" x14ac:dyDescent="0.25">
      <c r="A846">
        <v>1267</v>
      </c>
      <c r="B846">
        <v>841</v>
      </c>
      <c r="C846">
        <v>3</v>
      </c>
      <c r="D846" t="s">
        <v>2468</v>
      </c>
      <c r="E846" t="str">
        <f>IF(NOT(ISERROR(VLOOKUP(D846,'ESO DungeonFinder'!$A$2:$A$999,1,FALSE))),"X","")</f>
        <v>X</v>
      </c>
      <c r="F846" s="102" t="str">
        <f t="shared" si="55"/>
        <v/>
      </c>
      <c r="G846" s="102" t="str">
        <f t="shared" si="56"/>
        <v>Glenumbra</v>
      </c>
      <c r="H846" s="103">
        <f t="shared" si="57"/>
        <v>1267</v>
      </c>
      <c r="I846" s="103">
        <f t="shared" si="58"/>
        <v>3</v>
      </c>
      <c r="J846">
        <v>23</v>
      </c>
      <c r="K846" s="102" t="str">
        <f>VLOOKUP(J846,'&lt;Constants&gt;'!$A$4:$B$1020,2,FALSE)</f>
        <v>DLC_WAKING_FLAME</v>
      </c>
      <c r="L846" s="102" t="str">
        <f>VLOOKUP(J846,'&lt;Constants&gt;'!$A$4:$C$1020,3,FALSE)</f>
        <v>Waking Flame</v>
      </c>
    </row>
    <row r="847" spans="1:12" x14ac:dyDescent="0.25">
      <c r="A847">
        <v>1268</v>
      </c>
      <c r="B847">
        <v>842</v>
      </c>
      <c r="C847">
        <v>1261</v>
      </c>
      <c r="D847" t="s">
        <v>2473</v>
      </c>
      <c r="E847" t="str">
        <f>IF(NOT(ISERROR(VLOOKUP(D847,'ESO DungeonFinder'!$A$2:$A$999,1,FALSE))),"X","")</f>
        <v>X</v>
      </c>
      <c r="F847" s="102" t="str">
        <f t="shared" si="55"/>
        <v/>
      </c>
      <c r="G847" s="102" t="str">
        <f t="shared" si="56"/>
        <v>Blackwood</v>
      </c>
      <c r="H847" s="103">
        <f t="shared" si="57"/>
        <v>1268</v>
      </c>
      <c r="I847" s="103">
        <f t="shared" si="58"/>
        <v>1261</v>
      </c>
      <c r="J847">
        <v>22</v>
      </c>
      <c r="K847" s="102" t="str">
        <f>VLOOKUP(J847,'&lt;Constants&gt;'!$A$4:$B$1020,2,FALSE)</f>
        <v>DLC_BLACKWOOD</v>
      </c>
      <c r="L847" s="102" t="str">
        <f>VLOOKUP(J847,'&lt;Constants&gt;'!$A$4:$C$1020,3,FALSE)</f>
        <v>Blackwood</v>
      </c>
    </row>
    <row r="848" spans="1:12" x14ac:dyDescent="0.25">
      <c r="A848">
        <v>1270</v>
      </c>
      <c r="B848">
        <v>843</v>
      </c>
      <c r="C848">
        <v>849</v>
      </c>
      <c r="D848" t="s">
        <v>2371</v>
      </c>
      <c r="E848" t="str">
        <f>IF(NOT(ISERROR(VLOOKUP(D848,'ESO DungeonFinder'!$A$2:$A$999,1,FALSE))),"X","")</f>
        <v/>
      </c>
      <c r="F848" s="102" t="str">
        <f t="shared" si="55"/>
        <v/>
      </c>
      <c r="G848" s="102" t="str">
        <f t="shared" si="56"/>
        <v>Vvardenfell</v>
      </c>
      <c r="H848" s="103">
        <f t="shared" si="57"/>
        <v>1270</v>
      </c>
      <c r="I848" s="103">
        <f t="shared" si="58"/>
        <v>849</v>
      </c>
      <c r="J848">
        <v>6</v>
      </c>
      <c r="K848" s="102" t="str">
        <f>VLOOKUP(J848,'&lt;Constants&gt;'!$A$4:$B$1020,2,FALSE)</f>
        <v>DLC_MORROWIND</v>
      </c>
      <c r="L848" s="102" t="str">
        <f>VLOOKUP(J848,'&lt;Constants&gt;'!$A$4:$C$1020,3,FALSE)</f>
        <v>Morrowind</v>
      </c>
    </row>
    <row r="849" spans="1:12" x14ac:dyDescent="0.25">
      <c r="A849">
        <v>1271</v>
      </c>
      <c r="B849">
        <v>844</v>
      </c>
      <c r="C849">
        <v>823</v>
      </c>
      <c r="D849" t="s">
        <v>2370</v>
      </c>
      <c r="E849" t="str">
        <f>IF(NOT(ISERROR(VLOOKUP(D849,'ESO DungeonFinder'!$A$2:$A$999,1,FALSE))),"X","")</f>
        <v/>
      </c>
      <c r="F849" s="102" t="str">
        <f t="shared" si="55"/>
        <v/>
      </c>
      <c r="G849" s="102" t="str">
        <f t="shared" si="56"/>
        <v>Gold Coast</v>
      </c>
      <c r="H849" s="103">
        <f t="shared" si="57"/>
        <v>1271</v>
      </c>
      <c r="I849" s="103">
        <f t="shared" si="58"/>
        <v>823</v>
      </c>
      <c r="J849">
        <v>4</v>
      </c>
      <c r="K849" s="102" t="str">
        <f>VLOOKUP(J849,'&lt;Constants&gt;'!$A$4:$B$1020,2,FALSE)</f>
        <v>DLC_DARK_BROTHERHOOD</v>
      </c>
      <c r="L849" s="102" t="str">
        <f>VLOOKUP(J849,'&lt;Constants&gt;'!$A$4:$C$1020,3,FALSE)</f>
        <v>Dark Brotherhood</v>
      </c>
    </row>
    <row r="850" spans="1:12" x14ac:dyDescent="0.25">
      <c r="A850">
        <v>1272</v>
      </c>
      <c r="B850">
        <v>845</v>
      </c>
      <c r="C850">
        <v>1261</v>
      </c>
      <c r="D850" t="s">
        <v>3854</v>
      </c>
      <c r="E850" t="str">
        <f>IF(NOT(ISERROR(VLOOKUP(D850,'ESO DungeonFinder'!$A$2:$A$999,1,FALSE))),"X","")</f>
        <v/>
      </c>
      <c r="F850" s="102" t="str">
        <f t="shared" si="55"/>
        <v/>
      </c>
      <c r="G850" s="102" t="str">
        <f t="shared" si="56"/>
        <v>Blackwood</v>
      </c>
      <c r="H850" s="103">
        <f t="shared" si="57"/>
        <v>1272</v>
      </c>
      <c r="I850" s="103">
        <f t="shared" si="58"/>
        <v>1261</v>
      </c>
      <c r="J850">
        <v>22</v>
      </c>
      <c r="K850" s="102" t="str">
        <f>VLOOKUP(J850,'&lt;Constants&gt;'!$A$4:$B$1020,2,FALSE)</f>
        <v>DLC_BLACKWOOD</v>
      </c>
      <c r="L850" s="102" t="str">
        <f>VLOOKUP(J850,'&lt;Constants&gt;'!$A$4:$C$1020,3,FALSE)</f>
        <v>Blackwood</v>
      </c>
    </row>
    <row r="851" spans="1:12" x14ac:dyDescent="0.25">
      <c r="A851">
        <v>1274</v>
      </c>
      <c r="B851">
        <v>846</v>
      </c>
      <c r="C851">
        <v>3</v>
      </c>
      <c r="D851" t="s">
        <v>2477</v>
      </c>
      <c r="E851" t="str">
        <f>IF(NOT(ISERROR(VLOOKUP(D851,'ESO DungeonFinder'!$A$2:$A$999,1,FALSE))),"X","")</f>
        <v/>
      </c>
      <c r="F851" s="102" t="str">
        <f t="shared" si="55"/>
        <v/>
      </c>
      <c r="G851" s="102" t="str">
        <f t="shared" si="56"/>
        <v>Glenumbra</v>
      </c>
      <c r="H851" s="103">
        <f t="shared" si="57"/>
        <v>1274</v>
      </c>
      <c r="I851" s="103">
        <f t="shared" si="58"/>
        <v>3</v>
      </c>
      <c r="J851">
        <v>0</v>
      </c>
      <c r="K851" s="102" t="str">
        <f>VLOOKUP(J851,'&lt;Constants&gt;'!$A$4:$B$1020,2,FALSE)</f>
        <v>DLC_BASE_GAME</v>
      </c>
      <c r="L851" s="102" t="str">
        <f>VLOOKUP(J851,'&lt;Constants&gt;'!$A$4:$C$1020,3,FALSE)</f>
        <v>Included in base game</v>
      </c>
    </row>
    <row r="852" spans="1:12" x14ac:dyDescent="0.25">
      <c r="A852">
        <v>1275</v>
      </c>
      <c r="B852">
        <v>847</v>
      </c>
      <c r="C852">
        <v>1261</v>
      </c>
      <c r="D852" t="s">
        <v>2417</v>
      </c>
      <c r="E852" t="str">
        <f>IF(NOT(ISERROR(VLOOKUP(D852,'ESO DungeonFinder'!$A$2:$A$999,1,FALSE))),"X","")</f>
        <v/>
      </c>
      <c r="F852" s="102" t="str">
        <f t="shared" si="55"/>
        <v/>
      </c>
      <c r="G852" s="102" t="str">
        <f t="shared" si="56"/>
        <v>Blackwood</v>
      </c>
      <c r="H852" s="103">
        <f t="shared" si="57"/>
        <v>1275</v>
      </c>
      <c r="I852" s="103">
        <f t="shared" si="58"/>
        <v>1261</v>
      </c>
      <c r="J852">
        <v>22</v>
      </c>
      <c r="K852" s="102" t="str">
        <f>VLOOKUP(J852,'&lt;Constants&gt;'!$A$4:$B$1020,2,FALSE)</f>
        <v>DLC_BLACKWOOD</v>
      </c>
      <c r="L852" s="102" t="str">
        <f>VLOOKUP(J852,'&lt;Constants&gt;'!$A$4:$C$1020,3,FALSE)</f>
        <v>Blackwood</v>
      </c>
    </row>
    <row r="853" spans="1:12" x14ac:dyDescent="0.25">
      <c r="A853">
        <v>1276</v>
      </c>
      <c r="B853">
        <v>848</v>
      </c>
      <c r="C853">
        <v>1261</v>
      </c>
      <c r="D853" t="s">
        <v>2418</v>
      </c>
      <c r="E853" t="str">
        <f>IF(NOT(ISERROR(VLOOKUP(D853,'ESO DungeonFinder'!$A$2:$A$999,1,FALSE))),"X","")</f>
        <v/>
      </c>
      <c r="F853" s="102" t="str">
        <f t="shared" si="55"/>
        <v/>
      </c>
      <c r="G853" s="102" t="str">
        <f t="shared" si="56"/>
        <v>Blackwood</v>
      </c>
      <c r="H853" s="103">
        <f t="shared" si="57"/>
        <v>1276</v>
      </c>
      <c r="I853" s="103">
        <f t="shared" si="58"/>
        <v>1261</v>
      </c>
      <c r="J853">
        <v>22</v>
      </c>
      <c r="K853" s="102" t="str">
        <f>VLOOKUP(J853,'&lt;Constants&gt;'!$A$4:$B$1020,2,FALSE)</f>
        <v>DLC_BLACKWOOD</v>
      </c>
      <c r="L853" s="102" t="str">
        <f>VLOOKUP(J853,'&lt;Constants&gt;'!$A$4:$C$1020,3,FALSE)</f>
        <v>Blackwood</v>
      </c>
    </row>
    <row r="854" spans="1:12" x14ac:dyDescent="0.25">
      <c r="A854">
        <v>1277</v>
      </c>
      <c r="B854">
        <v>849</v>
      </c>
      <c r="C854">
        <v>1261</v>
      </c>
      <c r="D854" t="s">
        <v>2389</v>
      </c>
      <c r="E854" t="str">
        <f>IF(NOT(ISERROR(VLOOKUP(D854,'ESO DungeonFinder'!$A$2:$A$999,1,FALSE))),"X","")</f>
        <v/>
      </c>
      <c r="F854" s="102" t="str">
        <f t="shared" si="55"/>
        <v/>
      </c>
      <c r="G854" s="102" t="str">
        <f t="shared" si="56"/>
        <v>Blackwood</v>
      </c>
      <c r="H854" s="103">
        <f t="shared" si="57"/>
        <v>1277</v>
      </c>
      <c r="I854" s="103">
        <f t="shared" si="58"/>
        <v>1261</v>
      </c>
      <c r="J854">
        <v>22</v>
      </c>
      <c r="K854" s="102" t="str">
        <f>VLOOKUP(J854,'&lt;Constants&gt;'!$A$4:$B$1020,2,FALSE)</f>
        <v>DLC_BLACKWOOD</v>
      </c>
      <c r="L854" s="102" t="str">
        <f>VLOOKUP(J854,'&lt;Constants&gt;'!$A$4:$C$1020,3,FALSE)</f>
        <v>Blackwood</v>
      </c>
    </row>
    <row r="855" spans="1:12" x14ac:dyDescent="0.25">
      <c r="A855">
        <v>1278</v>
      </c>
      <c r="B855">
        <v>850</v>
      </c>
      <c r="C855">
        <v>108</v>
      </c>
      <c r="D855" t="s">
        <v>2476</v>
      </c>
      <c r="E855" t="str">
        <f>IF(NOT(ISERROR(VLOOKUP(D855,'ESO DungeonFinder'!$A$2:$A$999,1,FALSE))),"X","")</f>
        <v/>
      </c>
      <c r="F855" s="102" t="str">
        <f t="shared" si="55"/>
        <v/>
      </c>
      <c r="G855" s="102" t="str">
        <f t="shared" si="56"/>
        <v>Greenshade</v>
      </c>
      <c r="H855" s="103">
        <f t="shared" si="57"/>
        <v>1278</v>
      </c>
      <c r="I855" s="103">
        <f t="shared" si="58"/>
        <v>108</v>
      </c>
      <c r="J855">
        <v>0</v>
      </c>
      <c r="K855" s="102" t="str">
        <f>VLOOKUP(J855,'&lt;Constants&gt;'!$A$4:$B$1020,2,FALSE)</f>
        <v>DLC_BASE_GAME</v>
      </c>
      <c r="L855" s="102" t="str">
        <f>VLOOKUP(J855,'&lt;Constants&gt;'!$A$4:$C$1020,3,FALSE)</f>
        <v>Included in base game</v>
      </c>
    </row>
    <row r="856" spans="1:12" x14ac:dyDescent="0.25">
      <c r="A856">
        <v>1279</v>
      </c>
      <c r="B856">
        <v>851</v>
      </c>
      <c r="C856">
        <v>108</v>
      </c>
      <c r="D856" t="s">
        <v>2475</v>
      </c>
      <c r="E856" t="str">
        <f>IF(NOT(ISERROR(VLOOKUP(D856,'ESO DungeonFinder'!$A$2:$A$999,1,FALSE))),"X","")</f>
        <v/>
      </c>
      <c r="F856" s="102" t="str">
        <f t="shared" si="55"/>
        <v/>
      </c>
      <c r="G856" s="102" t="str">
        <f t="shared" si="56"/>
        <v>Greenshade</v>
      </c>
      <c r="H856" s="103">
        <f t="shared" si="57"/>
        <v>1279</v>
      </c>
      <c r="I856" s="103">
        <f t="shared" si="58"/>
        <v>108</v>
      </c>
      <c r="J856">
        <v>0</v>
      </c>
      <c r="K856" s="102" t="str">
        <f>VLOOKUP(J856,'&lt;Constants&gt;'!$A$4:$B$1020,2,FALSE)</f>
        <v>DLC_BASE_GAME</v>
      </c>
      <c r="L856" s="102" t="str">
        <f>VLOOKUP(J856,'&lt;Constants&gt;'!$A$4:$C$1020,3,FALSE)</f>
        <v>Included in base game</v>
      </c>
    </row>
    <row r="857" spans="1:12" x14ac:dyDescent="0.25">
      <c r="A857">
        <v>1280</v>
      </c>
      <c r="B857">
        <v>852</v>
      </c>
      <c r="C857">
        <v>108</v>
      </c>
      <c r="D857" t="s">
        <v>2478</v>
      </c>
      <c r="E857" t="str">
        <f>IF(NOT(ISERROR(VLOOKUP(D857,'ESO DungeonFinder'!$A$2:$A$999,1,FALSE))),"X","")</f>
        <v/>
      </c>
      <c r="F857" s="102" t="str">
        <f t="shared" si="55"/>
        <v/>
      </c>
      <c r="G857" s="102" t="str">
        <f t="shared" si="56"/>
        <v>Greenshade</v>
      </c>
      <c r="H857" s="103">
        <f t="shared" si="57"/>
        <v>1280</v>
      </c>
      <c r="I857" s="103">
        <f t="shared" si="58"/>
        <v>108</v>
      </c>
      <c r="J857">
        <v>0</v>
      </c>
      <c r="K857" s="102" t="str">
        <f>VLOOKUP(J857,'&lt;Constants&gt;'!$A$4:$B$1020,2,FALSE)</f>
        <v>DLC_BASE_GAME</v>
      </c>
      <c r="L857" s="102" t="str">
        <f>VLOOKUP(J857,'&lt;Constants&gt;'!$A$4:$C$1020,3,FALSE)</f>
        <v>Included in base game</v>
      </c>
    </row>
    <row r="858" spans="1:12" x14ac:dyDescent="0.25">
      <c r="A858">
        <v>1281</v>
      </c>
      <c r="B858">
        <v>853</v>
      </c>
      <c r="C858">
        <v>108</v>
      </c>
      <c r="D858" t="s">
        <v>2478</v>
      </c>
      <c r="E858" t="str">
        <f>IF(NOT(ISERROR(VLOOKUP(D858,'ESO DungeonFinder'!$A$2:$A$999,1,FALSE))),"X","")</f>
        <v/>
      </c>
      <c r="F858" s="102" t="str">
        <f t="shared" si="55"/>
        <v/>
      </c>
      <c r="G858" s="102" t="str">
        <f t="shared" si="56"/>
        <v>Greenshade</v>
      </c>
      <c r="H858" s="103">
        <f t="shared" si="57"/>
        <v>1281</v>
      </c>
      <c r="I858" s="103">
        <f t="shared" si="58"/>
        <v>108</v>
      </c>
      <c r="J858">
        <v>0</v>
      </c>
      <c r="K858" s="102" t="str">
        <f>VLOOKUP(J858,'&lt;Constants&gt;'!$A$4:$B$1020,2,FALSE)</f>
        <v>DLC_BASE_GAME</v>
      </c>
      <c r="L858" s="102" t="str">
        <f>VLOOKUP(J858,'&lt;Constants&gt;'!$A$4:$C$1020,3,FALSE)</f>
        <v>Included in base game</v>
      </c>
    </row>
    <row r="859" spans="1:12" x14ac:dyDescent="0.25">
      <c r="A859">
        <v>1282</v>
      </c>
      <c r="B859">
        <v>854</v>
      </c>
      <c r="C859">
        <v>1282</v>
      </c>
      <c r="D859" t="s">
        <v>2651</v>
      </c>
      <c r="E859" t="str">
        <f>IF(NOT(ISERROR(VLOOKUP(D859,'ESO DungeonFinder'!$A$2:$A$999,1,FALSE))),"X","")</f>
        <v/>
      </c>
      <c r="F859" s="102" t="str">
        <f t="shared" si="55"/>
        <v>X</v>
      </c>
      <c r="G859" s="102" t="str">
        <f t="shared" si="56"/>
        <v/>
      </c>
      <c r="H859" s="103">
        <f t="shared" si="57"/>
        <v>1282</v>
      </c>
      <c r="I859" s="103">
        <f t="shared" si="58"/>
        <v>1282</v>
      </c>
      <c r="J859">
        <v>13</v>
      </c>
      <c r="K859" s="102" t="str">
        <f>VLOOKUP(J859,'&lt;Constants&gt;'!$A$4:$B$1020,2,FALSE)</f>
        <v>DLC_WRATHSTONE</v>
      </c>
      <c r="L859" s="102" t="str">
        <f>VLOOKUP(J859,'&lt;Constants&gt;'!$A$4:$C$1020,3,FALSE)</f>
        <v>Wrathstone</v>
      </c>
    </row>
    <row r="860" spans="1:12" x14ac:dyDescent="0.25">
      <c r="A860">
        <v>1283</v>
      </c>
      <c r="B860">
        <v>855</v>
      </c>
      <c r="C860">
        <v>1282</v>
      </c>
      <c r="D860" t="s">
        <v>2652</v>
      </c>
      <c r="E860" t="str">
        <f>IF(NOT(ISERROR(VLOOKUP(D860,'ESO DungeonFinder'!$A$2:$A$999,1,FALSE))),"X","")</f>
        <v/>
      </c>
      <c r="F860" s="102" t="str">
        <f t="shared" si="55"/>
        <v/>
      </c>
      <c r="G860" s="102" t="str">
        <f t="shared" si="56"/>
        <v>Fargrave</v>
      </c>
      <c r="H860" s="103">
        <f t="shared" si="57"/>
        <v>1283</v>
      </c>
      <c r="I860" s="103">
        <f t="shared" si="58"/>
        <v>1282</v>
      </c>
      <c r="J860">
        <v>24</v>
      </c>
      <c r="K860" s="102" t="str">
        <f>VLOOKUP(J860,'&lt;Constants&gt;'!$A$4:$B$1020,2,FALSE)</f>
        <v>DLC_DEADLANDS</v>
      </c>
      <c r="L860" s="102" t="str">
        <f>VLOOKUP(J860,'&lt;Constants&gt;'!$A$4:$C$1020,3,FALSE)</f>
        <v>The Deadlands</v>
      </c>
    </row>
    <row r="861" spans="1:12" x14ac:dyDescent="0.25">
      <c r="A861">
        <v>1284</v>
      </c>
      <c r="B861">
        <v>856</v>
      </c>
      <c r="C861">
        <v>1282</v>
      </c>
      <c r="D861" t="s">
        <v>2666</v>
      </c>
      <c r="E861" t="str">
        <f>IF(NOT(ISERROR(VLOOKUP(D861,'ESO DungeonFinder'!$A$2:$A$999,1,FALSE))),"X","")</f>
        <v/>
      </c>
      <c r="F861" s="102" t="str">
        <f t="shared" si="55"/>
        <v/>
      </c>
      <c r="G861" s="102" t="str">
        <f t="shared" si="56"/>
        <v>Fargrave</v>
      </c>
      <c r="H861" s="103">
        <f t="shared" si="57"/>
        <v>1284</v>
      </c>
      <c r="I861" s="103">
        <f t="shared" si="58"/>
        <v>1282</v>
      </c>
      <c r="J861">
        <v>24</v>
      </c>
      <c r="K861" s="102" t="str">
        <f>VLOOKUP(J861,'&lt;Constants&gt;'!$A$4:$B$1020,2,FALSE)</f>
        <v>DLC_DEADLANDS</v>
      </c>
      <c r="L861" s="102" t="str">
        <f>VLOOKUP(J861,'&lt;Constants&gt;'!$A$4:$C$1020,3,FALSE)</f>
        <v>The Deadlands</v>
      </c>
    </row>
    <row r="862" spans="1:12" x14ac:dyDescent="0.25">
      <c r="A862">
        <v>1285</v>
      </c>
      <c r="B862">
        <v>857</v>
      </c>
      <c r="C862">
        <v>1286</v>
      </c>
      <c r="D862" t="s">
        <v>2665</v>
      </c>
      <c r="E862" t="str">
        <f>IF(NOT(ISERROR(VLOOKUP(D862,'ESO DungeonFinder'!$A$2:$A$999,1,FALSE))),"X","")</f>
        <v/>
      </c>
      <c r="F862" s="102" t="str">
        <f t="shared" si="55"/>
        <v/>
      </c>
      <c r="G862" s="102" t="str">
        <f t="shared" si="56"/>
        <v>The Deadlands</v>
      </c>
      <c r="H862" s="103">
        <f t="shared" si="57"/>
        <v>1285</v>
      </c>
      <c r="I862" s="103">
        <f t="shared" si="58"/>
        <v>1286</v>
      </c>
      <c r="J862">
        <v>24</v>
      </c>
      <c r="K862" s="102" t="str">
        <f>VLOOKUP(J862,'&lt;Constants&gt;'!$A$4:$B$1020,2,FALSE)</f>
        <v>DLC_DEADLANDS</v>
      </c>
      <c r="L862" s="102" t="str">
        <f>VLOOKUP(J862,'&lt;Constants&gt;'!$A$4:$C$1020,3,FALSE)</f>
        <v>The Deadlands</v>
      </c>
    </row>
    <row r="863" spans="1:12" x14ac:dyDescent="0.25">
      <c r="A863">
        <v>1286</v>
      </c>
      <c r="B863">
        <v>858</v>
      </c>
      <c r="C863">
        <v>1286</v>
      </c>
      <c r="D863" t="s">
        <v>2416</v>
      </c>
      <c r="E863" t="str">
        <f>IF(NOT(ISERROR(VLOOKUP(D863,'ESO DungeonFinder'!$A$2:$A$999,1,FALSE))),"X","")</f>
        <v/>
      </c>
      <c r="F863" s="102" t="str">
        <f t="shared" si="55"/>
        <v>X</v>
      </c>
      <c r="G863" s="102" t="str">
        <f t="shared" si="56"/>
        <v/>
      </c>
      <c r="H863" s="103">
        <f t="shared" si="57"/>
        <v>1286</v>
      </c>
      <c r="I863" s="103">
        <f t="shared" si="58"/>
        <v>1286</v>
      </c>
      <c r="J863">
        <v>0</v>
      </c>
      <c r="K863" s="102" t="str">
        <f>VLOOKUP(J863,'&lt;Constants&gt;'!$A$4:$B$1020,2,FALSE)</f>
        <v>DLC_BASE_GAME</v>
      </c>
      <c r="L863" s="102" t="str">
        <f>VLOOKUP(J863,'&lt;Constants&gt;'!$A$4:$C$1020,3,FALSE)</f>
        <v>Included in base game</v>
      </c>
    </row>
    <row r="864" spans="1:12" x14ac:dyDescent="0.25">
      <c r="A864">
        <v>1287</v>
      </c>
      <c r="B864">
        <v>859</v>
      </c>
      <c r="C864">
        <v>1286</v>
      </c>
      <c r="D864" t="s">
        <v>2664</v>
      </c>
      <c r="E864" t="str">
        <f>IF(NOT(ISERROR(VLOOKUP(D864,'ESO DungeonFinder'!$A$2:$A$999,1,FALSE))),"X","")</f>
        <v/>
      </c>
      <c r="F864" s="102" t="str">
        <f t="shared" si="55"/>
        <v/>
      </c>
      <c r="G864" s="102" t="str">
        <f t="shared" si="56"/>
        <v>The Deadlands</v>
      </c>
      <c r="H864" s="103">
        <f t="shared" si="57"/>
        <v>1287</v>
      </c>
      <c r="I864" s="103">
        <f t="shared" si="58"/>
        <v>1286</v>
      </c>
      <c r="J864">
        <v>24</v>
      </c>
      <c r="K864" s="102" t="str">
        <f>VLOOKUP(J864,'&lt;Constants&gt;'!$A$4:$B$1020,2,FALSE)</f>
        <v>DLC_DEADLANDS</v>
      </c>
      <c r="L864" s="102" t="str">
        <f>VLOOKUP(J864,'&lt;Constants&gt;'!$A$4:$C$1020,3,FALSE)</f>
        <v>The Deadlands</v>
      </c>
    </row>
    <row r="865" spans="1:12" x14ac:dyDescent="0.25">
      <c r="A865">
        <v>1289</v>
      </c>
      <c r="B865">
        <v>860</v>
      </c>
      <c r="C865">
        <v>1286</v>
      </c>
      <c r="D865" t="s">
        <v>2663</v>
      </c>
      <c r="E865" t="str">
        <f>IF(NOT(ISERROR(VLOOKUP(D865,'ESO DungeonFinder'!$A$2:$A$999,1,FALSE))),"X","")</f>
        <v/>
      </c>
      <c r="F865" s="102" t="str">
        <f t="shared" si="55"/>
        <v/>
      </c>
      <c r="G865" s="102" t="str">
        <f t="shared" si="56"/>
        <v>The Deadlands</v>
      </c>
      <c r="H865" s="103">
        <f t="shared" si="57"/>
        <v>1289</v>
      </c>
      <c r="I865" s="103">
        <f t="shared" si="58"/>
        <v>1286</v>
      </c>
      <c r="J865">
        <v>24</v>
      </c>
      <c r="K865" s="102" t="str">
        <f>VLOOKUP(J865,'&lt;Constants&gt;'!$A$4:$B$1020,2,FALSE)</f>
        <v>DLC_DEADLANDS</v>
      </c>
      <c r="L865" s="102" t="str">
        <f>VLOOKUP(J865,'&lt;Constants&gt;'!$A$4:$C$1020,3,FALSE)</f>
        <v>The Deadlands</v>
      </c>
    </row>
    <row r="866" spans="1:12" x14ac:dyDescent="0.25">
      <c r="A866">
        <v>1290</v>
      </c>
      <c r="B866">
        <v>861</v>
      </c>
      <c r="C866">
        <v>1286</v>
      </c>
      <c r="D866" t="s">
        <v>2662</v>
      </c>
      <c r="E866" t="str">
        <f>IF(NOT(ISERROR(VLOOKUP(D866,'ESO DungeonFinder'!$A$2:$A$999,1,FALSE))),"X","")</f>
        <v/>
      </c>
      <c r="F866" s="102" t="str">
        <f t="shared" si="55"/>
        <v/>
      </c>
      <c r="G866" s="102" t="str">
        <f t="shared" si="56"/>
        <v>The Deadlands</v>
      </c>
      <c r="H866" s="103">
        <f t="shared" si="57"/>
        <v>1290</v>
      </c>
      <c r="I866" s="103">
        <f t="shared" si="58"/>
        <v>1286</v>
      </c>
      <c r="J866">
        <v>24</v>
      </c>
      <c r="K866" s="102" t="str">
        <f>VLOOKUP(J866,'&lt;Constants&gt;'!$A$4:$B$1020,2,FALSE)</f>
        <v>DLC_DEADLANDS</v>
      </c>
      <c r="L866" s="102" t="str">
        <f>VLOOKUP(J866,'&lt;Constants&gt;'!$A$4:$C$1020,3,FALSE)</f>
        <v>The Deadlands</v>
      </c>
    </row>
    <row r="867" spans="1:12" x14ac:dyDescent="0.25">
      <c r="A867">
        <v>1291</v>
      </c>
      <c r="B867">
        <v>862</v>
      </c>
      <c r="C867">
        <v>1286</v>
      </c>
      <c r="D867" t="s">
        <v>2661</v>
      </c>
      <c r="E867" t="str">
        <f>IF(NOT(ISERROR(VLOOKUP(D867,'ESO DungeonFinder'!$A$2:$A$999,1,FALSE))),"X","")</f>
        <v/>
      </c>
      <c r="F867" s="102" t="str">
        <f t="shared" si="55"/>
        <v/>
      </c>
      <c r="G867" s="102" t="str">
        <f t="shared" si="56"/>
        <v>The Deadlands</v>
      </c>
      <c r="H867" s="103">
        <f t="shared" si="57"/>
        <v>1291</v>
      </c>
      <c r="I867" s="103">
        <f t="shared" si="58"/>
        <v>1286</v>
      </c>
      <c r="J867">
        <v>24</v>
      </c>
      <c r="K867" s="102" t="str">
        <f>VLOOKUP(J867,'&lt;Constants&gt;'!$A$4:$B$1020,2,FALSE)</f>
        <v>DLC_DEADLANDS</v>
      </c>
      <c r="L867" s="102" t="str">
        <f>VLOOKUP(J867,'&lt;Constants&gt;'!$A$4:$C$1020,3,FALSE)</f>
        <v>The Deadlands</v>
      </c>
    </row>
    <row r="868" spans="1:12" x14ac:dyDescent="0.25">
      <c r="A868">
        <v>1292</v>
      </c>
      <c r="B868">
        <v>863</v>
      </c>
      <c r="C868">
        <v>1286</v>
      </c>
      <c r="D868" t="s">
        <v>2660</v>
      </c>
      <c r="E868" t="str">
        <f>IF(NOT(ISERROR(VLOOKUP(D868,'ESO DungeonFinder'!$A$2:$A$999,1,FALSE))),"X","")</f>
        <v/>
      </c>
      <c r="F868" s="102" t="str">
        <f t="shared" si="55"/>
        <v/>
      </c>
      <c r="G868" s="102" t="str">
        <f t="shared" si="56"/>
        <v>The Deadlands</v>
      </c>
      <c r="H868" s="103">
        <f t="shared" si="57"/>
        <v>1292</v>
      </c>
      <c r="I868" s="103">
        <f t="shared" si="58"/>
        <v>1286</v>
      </c>
      <c r="J868">
        <v>24</v>
      </c>
      <c r="K868" s="102" t="str">
        <f>VLOOKUP(J868,'&lt;Constants&gt;'!$A$4:$B$1020,2,FALSE)</f>
        <v>DLC_DEADLANDS</v>
      </c>
      <c r="L868" s="102" t="str">
        <f>VLOOKUP(J868,'&lt;Constants&gt;'!$A$4:$C$1020,3,FALSE)</f>
        <v>The Deadlands</v>
      </c>
    </row>
    <row r="869" spans="1:12" x14ac:dyDescent="0.25">
      <c r="A869">
        <v>1293</v>
      </c>
      <c r="B869">
        <v>864</v>
      </c>
      <c r="C869">
        <v>1282</v>
      </c>
      <c r="D869" t="s">
        <v>2659</v>
      </c>
      <c r="E869" t="str">
        <f>IF(NOT(ISERROR(VLOOKUP(D869,'ESO DungeonFinder'!$A$2:$A$999,1,FALSE))),"X","")</f>
        <v/>
      </c>
      <c r="F869" s="102" t="str">
        <f t="shared" si="55"/>
        <v/>
      </c>
      <c r="G869" s="102" t="str">
        <f t="shared" si="56"/>
        <v>Fargrave</v>
      </c>
      <c r="H869" s="103">
        <f t="shared" si="57"/>
        <v>1293</v>
      </c>
      <c r="I869" s="103">
        <f t="shared" si="58"/>
        <v>1282</v>
      </c>
      <c r="J869">
        <v>24</v>
      </c>
      <c r="K869" s="102" t="str">
        <f>VLOOKUP(J869,'&lt;Constants&gt;'!$A$4:$B$1020,2,FALSE)</f>
        <v>DLC_DEADLANDS</v>
      </c>
      <c r="L869" s="102" t="str">
        <f>VLOOKUP(J869,'&lt;Constants&gt;'!$A$4:$C$1020,3,FALSE)</f>
        <v>The Deadlands</v>
      </c>
    </row>
    <row r="870" spans="1:12" x14ac:dyDescent="0.25">
      <c r="A870">
        <v>1294</v>
      </c>
      <c r="B870">
        <v>865</v>
      </c>
      <c r="C870">
        <v>1286</v>
      </c>
      <c r="D870" t="s">
        <v>2658</v>
      </c>
      <c r="E870" t="str">
        <f>IF(NOT(ISERROR(VLOOKUP(D870,'ESO DungeonFinder'!$A$2:$A$999,1,FALSE))),"X","")</f>
        <v/>
      </c>
      <c r="F870" s="102" t="str">
        <f t="shared" si="55"/>
        <v/>
      </c>
      <c r="G870" s="102" t="str">
        <f t="shared" si="56"/>
        <v>The Deadlands</v>
      </c>
      <c r="H870" s="103">
        <f t="shared" si="57"/>
        <v>1294</v>
      </c>
      <c r="I870" s="103">
        <f t="shared" si="58"/>
        <v>1286</v>
      </c>
      <c r="J870">
        <v>24</v>
      </c>
      <c r="K870" s="102" t="str">
        <f>VLOOKUP(J870,'&lt;Constants&gt;'!$A$4:$B$1020,2,FALSE)</f>
        <v>DLC_DEADLANDS</v>
      </c>
      <c r="L870" s="102" t="str">
        <f>VLOOKUP(J870,'&lt;Constants&gt;'!$A$4:$C$1020,3,FALSE)</f>
        <v>The Deadlands</v>
      </c>
    </row>
    <row r="871" spans="1:12" x14ac:dyDescent="0.25">
      <c r="A871">
        <v>1295</v>
      </c>
      <c r="B871">
        <v>866</v>
      </c>
      <c r="C871">
        <v>1286</v>
      </c>
      <c r="D871" t="s">
        <v>2657</v>
      </c>
      <c r="E871" t="str">
        <f>IF(NOT(ISERROR(VLOOKUP(D871,'ESO DungeonFinder'!$A$2:$A$999,1,FALSE))),"X","")</f>
        <v/>
      </c>
      <c r="F871" s="102" t="str">
        <f t="shared" si="55"/>
        <v/>
      </c>
      <c r="G871" s="102" t="str">
        <f t="shared" si="56"/>
        <v>The Deadlands</v>
      </c>
      <c r="H871" s="103">
        <f t="shared" si="57"/>
        <v>1295</v>
      </c>
      <c r="I871" s="103">
        <f t="shared" si="58"/>
        <v>1286</v>
      </c>
      <c r="J871">
        <v>24</v>
      </c>
      <c r="K871" s="102" t="str">
        <f>VLOOKUP(J871,'&lt;Constants&gt;'!$A$4:$B$1020,2,FALSE)</f>
        <v>DLC_DEADLANDS</v>
      </c>
      <c r="L871" s="102" t="str">
        <f>VLOOKUP(J871,'&lt;Constants&gt;'!$A$4:$C$1020,3,FALSE)</f>
        <v>The Deadlands</v>
      </c>
    </row>
    <row r="872" spans="1:12" x14ac:dyDescent="0.25">
      <c r="A872">
        <v>1296</v>
      </c>
      <c r="B872">
        <v>867</v>
      </c>
      <c r="C872">
        <v>1286</v>
      </c>
      <c r="D872" t="s">
        <v>2656</v>
      </c>
      <c r="E872" t="str">
        <f>IF(NOT(ISERROR(VLOOKUP(D872,'ESO DungeonFinder'!$A$2:$A$999,1,FALSE))),"X","")</f>
        <v/>
      </c>
      <c r="F872" s="102" t="str">
        <f t="shared" si="55"/>
        <v/>
      </c>
      <c r="G872" s="102" t="str">
        <f t="shared" si="56"/>
        <v>The Deadlands</v>
      </c>
      <c r="H872" s="103">
        <f t="shared" si="57"/>
        <v>1296</v>
      </c>
      <c r="I872" s="103">
        <f t="shared" si="58"/>
        <v>1286</v>
      </c>
      <c r="J872">
        <v>24</v>
      </c>
      <c r="K872" s="102" t="str">
        <f>VLOOKUP(J872,'&lt;Constants&gt;'!$A$4:$B$1020,2,FALSE)</f>
        <v>DLC_DEADLANDS</v>
      </c>
      <c r="L872" s="102" t="str">
        <f>VLOOKUP(J872,'&lt;Constants&gt;'!$A$4:$C$1020,3,FALSE)</f>
        <v>The Deadlands</v>
      </c>
    </row>
    <row r="873" spans="1:12" x14ac:dyDescent="0.25">
      <c r="A873">
        <v>1297</v>
      </c>
      <c r="B873">
        <v>868</v>
      </c>
      <c r="C873">
        <v>1286</v>
      </c>
      <c r="D873" t="s">
        <v>3861</v>
      </c>
      <c r="E873" t="str">
        <f>IF(NOT(ISERROR(VLOOKUP(D873,'ESO DungeonFinder'!$A$2:$A$999,1,FALSE))),"X","")</f>
        <v/>
      </c>
      <c r="F873" s="102" t="str">
        <f t="shared" si="55"/>
        <v/>
      </c>
      <c r="G873" s="102" t="str">
        <f t="shared" si="56"/>
        <v>The Deadlands</v>
      </c>
      <c r="H873" s="103">
        <f t="shared" si="57"/>
        <v>1297</v>
      </c>
      <c r="I873" s="103">
        <f t="shared" si="58"/>
        <v>1286</v>
      </c>
      <c r="J873">
        <v>24</v>
      </c>
      <c r="K873" s="102" t="str">
        <f>VLOOKUP(J873,'&lt;Constants&gt;'!$A$4:$B$1020,2,FALSE)</f>
        <v>DLC_DEADLANDS</v>
      </c>
      <c r="L873" s="102" t="str">
        <f>VLOOKUP(J873,'&lt;Constants&gt;'!$A$4:$C$1020,3,FALSE)</f>
        <v>The Deadlands</v>
      </c>
    </row>
    <row r="874" spans="1:12" x14ac:dyDescent="0.25">
      <c r="A874">
        <v>1298</v>
      </c>
      <c r="B874">
        <v>869</v>
      </c>
      <c r="C874">
        <v>1286</v>
      </c>
      <c r="D874" t="s">
        <v>2655</v>
      </c>
      <c r="E874" t="str">
        <f>IF(NOT(ISERROR(VLOOKUP(D874,'ESO DungeonFinder'!$A$2:$A$999,1,FALSE))),"X","")</f>
        <v/>
      </c>
      <c r="F874" s="102" t="str">
        <f t="shared" si="55"/>
        <v/>
      </c>
      <c r="G874" s="102" t="str">
        <f t="shared" si="56"/>
        <v>The Deadlands</v>
      </c>
      <c r="H874" s="103">
        <f t="shared" si="57"/>
        <v>1298</v>
      </c>
      <c r="I874" s="103">
        <f t="shared" si="58"/>
        <v>1286</v>
      </c>
      <c r="J874">
        <v>24</v>
      </c>
      <c r="K874" s="102" t="str">
        <f>VLOOKUP(J874,'&lt;Constants&gt;'!$A$4:$B$1020,2,FALSE)</f>
        <v>DLC_DEADLANDS</v>
      </c>
      <c r="L874" s="102" t="str">
        <f>VLOOKUP(J874,'&lt;Constants&gt;'!$A$4:$C$1020,3,FALSE)</f>
        <v>The Deadlands</v>
      </c>
    </row>
    <row r="875" spans="1:12" x14ac:dyDescent="0.25">
      <c r="A875">
        <v>1300</v>
      </c>
      <c r="B875">
        <v>870</v>
      </c>
      <c r="C875">
        <v>1286</v>
      </c>
      <c r="D875" t="s">
        <v>2654</v>
      </c>
      <c r="E875" t="str">
        <f>IF(NOT(ISERROR(VLOOKUP(D875,'ESO DungeonFinder'!$A$2:$A$999,1,FALSE))),"X","")</f>
        <v/>
      </c>
      <c r="F875" s="102" t="str">
        <f t="shared" si="55"/>
        <v/>
      </c>
      <c r="G875" s="102" t="str">
        <f t="shared" si="56"/>
        <v>The Deadlands</v>
      </c>
      <c r="H875" s="103">
        <f t="shared" si="57"/>
        <v>1300</v>
      </c>
      <c r="I875" s="103">
        <f t="shared" si="58"/>
        <v>1286</v>
      </c>
      <c r="J875">
        <v>24</v>
      </c>
      <c r="K875" s="102" t="str">
        <f>VLOOKUP(J875,'&lt;Constants&gt;'!$A$4:$B$1020,2,FALSE)</f>
        <v>DLC_DEADLANDS</v>
      </c>
      <c r="L875" s="102" t="str">
        <f>VLOOKUP(J875,'&lt;Constants&gt;'!$A$4:$C$1020,3,FALSE)</f>
        <v>The Deadlands</v>
      </c>
    </row>
    <row r="876" spans="1:12" x14ac:dyDescent="0.25">
      <c r="A876">
        <v>1301</v>
      </c>
      <c r="B876">
        <v>871</v>
      </c>
      <c r="C876">
        <v>1011</v>
      </c>
      <c r="D876" t="s">
        <v>2685</v>
      </c>
      <c r="E876" t="str">
        <f>IF(NOT(ISERROR(VLOOKUP(D876,'ESO DungeonFinder'!$A$2:$A$999,1,FALSE))),"X","")</f>
        <v>X</v>
      </c>
      <c r="F876" s="102" t="str">
        <f t="shared" si="55"/>
        <v/>
      </c>
      <c r="G876" s="102" t="str">
        <f t="shared" si="56"/>
        <v>Summerset</v>
      </c>
      <c r="H876" s="103">
        <f t="shared" si="57"/>
        <v>1301</v>
      </c>
      <c r="I876" s="103">
        <f t="shared" si="58"/>
        <v>1011</v>
      </c>
      <c r="J876">
        <v>25</v>
      </c>
      <c r="K876" s="102" t="str">
        <f>VLOOKUP(J876,'&lt;Constants&gt;'!$A$4:$B$1020,2,FALSE)</f>
        <v>DLC_ASCENDING_TIDE</v>
      </c>
      <c r="L876" s="102" t="str">
        <f>VLOOKUP(J876,'&lt;Constants&gt;'!$A$4:$C$1020,3,FALSE)</f>
        <v>Ascending Tide</v>
      </c>
    </row>
    <row r="877" spans="1:12" x14ac:dyDescent="0.25">
      <c r="A877">
        <v>1302</v>
      </c>
      <c r="B877">
        <v>872</v>
      </c>
      <c r="C877">
        <v>20</v>
      </c>
      <c r="D877" t="s">
        <v>2696</v>
      </c>
      <c r="E877" t="str">
        <f>IF(NOT(ISERROR(VLOOKUP(D877,'ESO DungeonFinder'!$A$2:$A$999,1,FALSE))),"X","")</f>
        <v>X</v>
      </c>
      <c r="F877" s="102" t="str">
        <f t="shared" si="55"/>
        <v/>
      </c>
      <c r="G877" s="102" t="str">
        <f t="shared" si="56"/>
        <v>Rivenspire</v>
      </c>
      <c r="H877" s="103">
        <f t="shared" si="57"/>
        <v>1302</v>
      </c>
      <c r="I877" s="103">
        <f t="shared" si="58"/>
        <v>20</v>
      </c>
      <c r="J877">
        <v>25</v>
      </c>
      <c r="K877" s="102" t="str">
        <f>VLOOKUP(J877,'&lt;Constants&gt;'!$A$4:$B$1020,2,FALSE)</f>
        <v>DLC_ASCENDING_TIDE</v>
      </c>
      <c r="L877" s="102" t="str">
        <f>VLOOKUP(J877,'&lt;Constants&gt;'!$A$4:$C$1020,3,FALSE)</f>
        <v>Ascending Tide</v>
      </c>
    </row>
    <row r="878" spans="1:12" x14ac:dyDescent="0.25">
      <c r="A878">
        <v>1304</v>
      </c>
      <c r="B878">
        <v>873</v>
      </c>
      <c r="C878">
        <v>1282</v>
      </c>
      <c r="D878" t="s">
        <v>2653</v>
      </c>
      <c r="E878" t="str">
        <f>IF(NOT(ISERROR(VLOOKUP(D878,'ESO DungeonFinder'!$A$2:$A$999,1,FALSE))),"X","")</f>
        <v/>
      </c>
      <c r="F878" s="102" t="str">
        <f t="shared" si="55"/>
        <v/>
      </c>
      <c r="G878" s="102" t="str">
        <f t="shared" si="56"/>
        <v>Fargrave</v>
      </c>
      <c r="H878" s="103">
        <f t="shared" si="57"/>
        <v>1304</v>
      </c>
      <c r="I878" s="103">
        <f t="shared" si="58"/>
        <v>1282</v>
      </c>
      <c r="J878">
        <v>24</v>
      </c>
      <c r="K878" s="102" t="str">
        <f>VLOOKUP(J878,'&lt;Constants&gt;'!$A$4:$B$1020,2,FALSE)</f>
        <v>DLC_DEADLANDS</v>
      </c>
      <c r="L878" s="102" t="str">
        <f>VLOOKUP(J878,'&lt;Constants&gt;'!$A$4:$C$1020,3,FALSE)</f>
        <v>The Deadlands</v>
      </c>
    </row>
    <row r="879" spans="1:12" x14ac:dyDescent="0.25">
      <c r="A879">
        <v>1306</v>
      </c>
      <c r="B879">
        <v>874</v>
      </c>
      <c r="C879">
        <v>58</v>
      </c>
      <c r="D879" t="s">
        <v>2474</v>
      </c>
      <c r="E879" t="str">
        <f>IF(NOT(ISERROR(VLOOKUP(D879,'ESO DungeonFinder'!$A$2:$A$999,1,FALSE))),"X","")</f>
        <v/>
      </c>
      <c r="F879" s="102" t="str">
        <f t="shared" si="55"/>
        <v/>
      </c>
      <c r="G879" s="102" t="str">
        <f t="shared" si="56"/>
        <v>Malabal Tor</v>
      </c>
      <c r="H879" s="103">
        <f t="shared" si="57"/>
        <v>1306</v>
      </c>
      <c r="I879" s="103">
        <f t="shared" si="58"/>
        <v>58</v>
      </c>
      <c r="J879">
        <v>0</v>
      </c>
      <c r="K879" s="102" t="str">
        <f>VLOOKUP(J879,'&lt;Constants&gt;'!$A$4:$B$1020,2,FALSE)</f>
        <v>DLC_BASE_GAME</v>
      </c>
      <c r="L879" s="102" t="str">
        <f>VLOOKUP(J879,'&lt;Constants&gt;'!$A$4:$C$1020,3,FALSE)</f>
        <v>Included in base game</v>
      </c>
    </row>
    <row r="880" spans="1:12" x14ac:dyDescent="0.25">
      <c r="A880">
        <v>1307</v>
      </c>
      <c r="B880">
        <v>875</v>
      </c>
      <c r="C880">
        <v>1261</v>
      </c>
      <c r="D880" t="s">
        <v>2479</v>
      </c>
      <c r="E880" t="str">
        <f>IF(NOT(ISERROR(VLOOKUP(D880,'ESO DungeonFinder'!$A$2:$A$999,1,FALSE))),"X","")</f>
        <v/>
      </c>
      <c r="F880" s="102" t="str">
        <f t="shared" si="55"/>
        <v/>
      </c>
      <c r="G880" s="102" t="str">
        <f t="shared" si="56"/>
        <v>Blackwood</v>
      </c>
      <c r="H880" s="103">
        <f t="shared" si="57"/>
        <v>1307</v>
      </c>
      <c r="I880" s="103">
        <f t="shared" si="58"/>
        <v>1261</v>
      </c>
      <c r="J880">
        <v>22</v>
      </c>
      <c r="K880" s="102" t="str">
        <f>VLOOKUP(J880,'&lt;Constants&gt;'!$A$4:$B$1020,2,FALSE)</f>
        <v>DLC_BLACKWOOD</v>
      </c>
      <c r="L880" s="102" t="str">
        <f>VLOOKUP(J880,'&lt;Constants&gt;'!$A$4:$C$1020,3,FALSE)</f>
        <v>Blackwood</v>
      </c>
    </row>
    <row r="881" spans="1:12" x14ac:dyDescent="0.25">
      <c r="A881">
        <v>1310</v>
      </c>
      <c r="B881">
        <v>876</v>
      </c>
      <c r="C881">
        <v>1286</v>
      </c>
      <c r="D881" t="s">
        <v>3854</v>
      </c>
      <c r="E881" t="str">
        <f>IF(NOT(ISERROR(VLOOKUP(D881,'ESO DungeonFinder'!$A$2:$A$999,1,FALSE))),"X","")</f>
        <v/>
      </c>
      <c r="F881" s="102" t="str">
        <f t="shared" si="55"/>
        <v/>
      </c>
      <c r="G881" s="102" t="str">
        <f t="shared" si="56"/>
        <v>The Deadlands</v>
      </c>
      <c r="H881" s="103">
        <f t="shared" si="57"/>
        <v>1310</v>
      </c>
      <c r="I881" s="103">
        <f t="shared" si="58"/>
        <v>1286</v>
      </c>
      <c r="J881">
        <v>24</v>
      </c>
      <c r="K881" s="102" t="str">
        <f>VLOOKUP(J881,'&lt;Constants&gt;'!$A$4:$B$1020,2,FALSE)</f>
        <v>DLC_DEADLANDS</v>
      </c>
      <c r="L881" s="102" t="str">
        <f>VLOOKUP(J881,'&lt;Constants&gt;'!$A$4:$C$1020,3,FALSE)</f>
        <v>The Deadlands</v>
      </c>
    </row>
    <row r="882" spans="1:12" x14ac:dyDescent="0.25">
      <c r="A882">
        <v>1311</v>
      </c>
      <c r="B882">
        <v>877</v>
      </c>
      <c r="C882">
        <v>849</v>
      </c>
      <c r="D882" t="s">
        <v>2697</v>
      </c>
      <c r="E882" t="str">
        <f>IF(NOT(ISERROR(VLOOKUP(D882,'ESO DungeonFinder'!$A$2:$A$999,1,FALSE))),"X","")</f>
        <v/>
      </c>
      <c r="F882" s="102" t="str">
        <f t="shared" si="55"/>
        <v/>
      </c>
      <c r="G882" s="102" t="str">
        <f t="shared" si="56"/>
        <v>Vvardenfell</v>
      </c>
      <c r="H882" s="103">
        <f t="shared" si="57"/>
        <v>1311</v>
      </c>
      <c r="I882" s="103">
        <f t="shared" si="58"/>
        <v>849</v>
      </c>
      <c r="J882">
        <v>6</v>
      </c>
      <c r="K882" s="102" t="str">
        <f>VLOOKUP(J882,'&lt;Constants&gt;'!$A$4:$B$1020,2,FALSE)</f>
        <v>DLC_MORROWIND</v>
      </c>
      <c r="L882" s="102" t="str">
        <f>VLOOKUP(J882,'&lt;Constants&gt;'!$A$4:$C$1020,3,FALSE)</f>
        <v>Morrowind</v>
      </c>
    </row>
    <row r="883" spans="1:12" x14ac:dyDescent="0.25">
      <c r="A883">
        <v>1312</v>
      </c>
      <c r="B883">
        <v>878</v>
      </c>
      <c r="C883">
        <v>849</v>
      </c>
      <c r="D883" t="s">
        <v>2700</v>
      </c>
      <c r="E883" t="str">
        <f>IF(NOT(ISERROR(VLOOKUP(D883,'ESO DungeonFinder'!$A$2:$A$999,1,FALSE))),"X","")</f>
        <v/>
      </c>
      <c r="F883" s="102" t="str">
        <f t="shared" si="55"/>
        <v/>
      </c>
      <c r="G883" s="102" t="str">
        <f t="shared" si="56"/>
        <v>Vvardenfell</v>
      </c>
      <c r="H883" s="103">
        <f t="shared" si="57"/>
        <v>1312</v>
      </c>
      <c r="I883" s="103">
        <f t="shared" si="58"/>
        <v>849</v>
      </c>
      <c r="J883">
        <v>6</v>
      </c>
      <c r="K883" s="102" t="str">
        <f>VLOOKUP(J883,'&lt;Constants&gt;'!$A$4:$B$1020,2,FALSE)</f>
        <v>DLC_MORROWIND</v>
      </c>
      <c r="L883" s="102" t="str">
        <f>VLOOKUP(J883,'&lt;Constants&gt;'!$A$4:$C$1020,3,FALSE)</f>
        <v>Morrowind</v>
      </c>
    </row>
    <row r="884" spans="1:12" x14ac:dyDescent="0.25">
      <c r="A884">
        <v>1313</v>
      </c>
      <c r="B884">
        <v>879</v>
      </c>
      <c r="C884">
        <v>1318</v>
      </c>
      <c r="D884" t="s">
        <v>3337</v>
      </c>
      <c r="E884" t="str">
        <f>IF(NOT(ISERROR(VLOOKUP(D884,'ESO DungeonFinder'!$A$2:$A$999,1,FALSE))),"X","")</f>
        <v/>
      </c>
      <c r="F884" s="102" t="str">
        <f t="shared" si="55"/>
        <v/>
      </c>
      <c r="G884" s="102" t="str">
        <f t="shared" si="56"/>
        <v>High Isle</v>
      </c>
      <c r="H884" s="103">
        <f t="shared" si="57"/>
        <v>1313</v>
      </c>
      <c r="I884" s="103">
        <f t="shared" si="58"/>
        <v>1318</v>
      </c>
      <c r="J884">
        <v>26</v>
      </c>
      <c r="K884" s="102" t="str">
        <f>VLOOKUP(J884,'&lt;Constants&gt;'!$A$4:$B$1020,2,FALSE)</f>
        <v>DLC_HIGH_ISLE</v>
      </c>
      <c r="L884" s="102" t="str">
        <f>VLOOKUP(J884,'&lt;Constants&gt;'!$A$4:$C$1020,3,FALSE)</f>
        <v>High Isle</v>
      </c>
    </row>
    <row r="885" spans="1:12" x14ac:dyDescent="0.25">
      <c r="A885">
        <v>1314</v>
      </c>
      <c r="B885">
        <v>880</v>
      </c>
      <c r="C885">
        <v>3</v>
      </c>
      <c r="D885" t="s">
        <v>2699</v>
      </c>
      <c r="E885" t="str">
        <f>IF(NOT(ISERROR(VLOOKUP(D885,'ESO DungeonFinder'!$A$2:$A$999,1,FALSE))),"X","")</f>
        <v/>
      </c>
      <c r="F885" s="102" t="str">
        <f t="shared" si="55"/>
        <v/>
      </c>
      <c r="G885" s="102" t="str">
        <f t="shared" si="56"/>
        <v>Glenumbra</v>
      </c>
      <c r="H885" s="103">
        <f t="shared" si="57"/>
        <v>1314</v>
      </c>
      <c r="I885" s="103">
        <f t="shared" si="58"/>
        <v>3</v>
      </c>
      <c r="J885">
        <v>0</v>
      </c>
      <c r="K885" s="102" t="str">
        <f>VLOOKUP(J885,'&lt;Constants&gt;'!$A$4:$B$1020,2,FALSE)</f>
        <v>DLC_BASE_GAME</v>
      </c>
      <c r="L885" s="102" t="str">
        <f>VLOOKUP(J885,'&lt;Constants&gt;'!$A$4:$C$1020,3,FALSE)</f>
        <v>Included in base game</v>
      </c>
    </row>
    <row r="886" spans="1:12" x14ac:dyDescent="0.25">
      <c r="A886">
        <v>1315</v>
      </c>
      <c r="B886">
        <v>881</v>
      </c>
      <c r="C886">
        <v>1318</v>
      </c>
      <c r="D886" t="s">
        <v>3336</v>
      </c>
      <c r="E886" t="str">
        <f>IF(NOT(ISERROR(VLOOKUP(D886,'ESO DungeonFinder'!$A$2:$A$999,1,FALSE))),"X","")</f>
        <v/>
      </c>
      <c r="F886" s="102" t="str">
        <f t="shared" si="55"/>
        <v/>
      </c>
      <c r="G886" s="102" t="str">
        <f t="shared" si="56"/>
        <v>High Isle</v>
      </c>
      <c r="H886" s="103">
        <f t="shared" si="57"/>
        <v>1315</v>
      </c>
      <c r="I886" s="103">
        <f t="shared" si="58"/>
        <v>1318</v>
      </c>
      <c r="J886">
        <v>26</v>
      </c>
      <c r="K886" s="102" t="str">
        <f>VLOOKUP(J886,'&lt;Constants&gt;'!$A$4:$B$1020,2,FALSE)</f>
        <v>DLC_HIGH_ISLE</v>
      </c>
      <c r="L886" s="102" t="str">
        <f>VLOOKUP(J886,'&lt;Constants&gt;'!$A$4:$C$1020,3,FALSE)</f>
        <v>High Isle</v>
      </c>
    </row>
    <row r="887" spans="1:12" x14ac:dyDescent="0.25">
      <c r="A887">
        <v>1316</v>
      </c>
      <c r="B887">
        <v>882</v>
      </c>
      <c r="C887">
        <v>1318</v>
      </c>
      <c r="D887" t="s">
        <v>3319</v>
      </c>
      <c r="E887" t="str">
        <f>IF(NOT(ISERROR(VLOOKUP(D887,'ESO DungeonFinder'!$A$2:$A$999,1,FALSE))),"X","")</f>
        <v/>
      </c>
      <c r="F887" s="102" t="str">
        <f t="shared" si="55"/>
        <v/>
      </c>
      <c r="G887" s="102" t="str">
        <f t="shared" si="56"/>
        <v>High Isle</v>
      </c>
      <c r="H887" s="103">
        <f t="shared" si="57"/>
        <v>1316</v>
      </c>
      <c r="I887" s="103">
        <f t="shared" si="58"/>
        <v>1318</v>
      </c>
      <c r="J887">
        <v>26</v>
      </c>
      <c r="K887" s="102" t="str">
        <f>VLOOKUP(J887,'&lt;Constants&gt;'!$A$4:$B$1020,2,FALSE)</f>
        <v>DLC_HIGH_ISLE</v>
      </c>
      <c r="L887" s="102" t="str">
        <f>VLOOKUP(J887,'&lt;Constants&gt;'!$A$4:$C$1020,3,FALSE)</f>
        <v>High Isle</v>
      </c>
    </row>
    <row r="888" spans="1:12" x14ac:dyDescent="0.25">
      <c r="A888">
        <v>1317</v>
      </c>
      <c r="B888">
        <v>883</v>
      </c>
      <c r="C888">
        <v>1318</v>
      </c>
      <c r="D888" t="s">
        <v>3312</v>
      </c>
      <c r="E888" t="str">
        <f>IF(NOT(ISERROR(VLOOKUP(D888,'ESO DungeonFinder'!$A$2:$A$999,1,FALSE))),"X","")</f>
        <v/>
      </c>
      <c r="F888" s="102" t="str">
        <f t="shared" si="55"/>
        <v/>
      </c>
      <c r="G888" s="102" t="str">
        <f t="shared" si="56"/>
        <v>High Isle</v>
      </c>
      <c r="H888" s="103">
        <f t="shared" si="57"/>
        <v>1317</v>
      </c>
      <c r="I888" s="103">
        <f t="shared" si="58"/>
        <v>1318</v>
      </c>
      <c r="J888">
        <v>26</v>
      </c>
      <c r="K888" s="102" t="str">
        <f>VLOOKUP(J888,'&lt;Constants&gt;'!$A$4:$B$1020,2,FALSE)</f>
        <v>DLC_HIGH_ISLE</v>
      </c>
      <c r="L888" s="102" t="str">
        <f>VLOOKUP(J888,'&lt;Constants&gt;'!$A$4:$C$1020,3,FALSE)</f>
        <v>High Isle</v>
      </c>
    </row>
    <row r="889" spans="1:12" x14ac:dyDescent="0.25">
      <c r="A889">
        <v>1318</v>
      </c>
      <c r="B889">
        <v>884</v>
      </c>
      <c r="C889">
        <v>1318</v>
      </c>
      <c r="D889" t="s">
        <v>3295</v>
      </c>
      <c r="E889" t="str">
        <f>IF(NOT(ISERROR(VLOOKUP(D889,'ESO DungeonFinder'!$A$2:$A$999,1,FALSE))),"X","")</f>
        <v/>
      </c>
      <c r="F889" s="102" t="str">
        <f t="shared" si="55"/>
        <v>X</v>
      </c>
      <c r="G889" s="102" t="str">
        <f t="shared" si="56"/>
        <v/>
      </c>
      <c r="H889" s="103">
        <f t="shared" si="57"/>
        <v>1318</v>
      </c>
      <c r="I889" s="103">
        <f t="shared" si="58"/>
        <v>1318</v>
      </c>
      <c r="J889">
        <v>0</v>
      </c>
      <c r="K889" s="102" t="str">
        <f>VLOOKUP(J889,'&lt;Constants&gt;'!$A$4:$B$1020,2,FALSE)</f>
        <v>DLC_BASE_GAME</v>
      </c>
      <c r="L889" s="102" t="str">
        <f>VLOOKUP(J889,'&lt;Constants&gt;'!$A$4:$C$1020,3,FALSE)</f>
        <v>Included in base game</v>
      </c>
    </row>
    <row r="890" spans="1:12" x14ac:dyDescent="0.25">
      <c r="A890">
        <v>1319</v>
      </c>
      <c r="B890">
        <v>885</v>
      </c>
      <c r="C890">
        <v>1318</v>
      </c>
      <c r="D890" t="s">
        <v>3320</v>
      </c>
      <c r="E890" t="str">
        <f>IF(NOT(ISERROR(VLOOKUP(D890,'ESO DungeonFinder'!$A$2:$A$999,1,FALSE))),"X","")</f>
        <v/>
      </c>
      <c r="F890" s="102" t="str">
        <f t="shared" si="55"/>
        <v/>
      </c>
      <c r="G890" s="102" t="str">
        <f t="shared" si="56"/>
        <v>High Isle</v>
      </c>
      <c r="H890" s="103">
        <f t="shared" si="57"/>
        <v>1319</v>
      </c>
      <c r="I890" s="103">
        <f t="shared" si="58"/>
        <v>1318</v>
      </c>
      <c r="J890">
        <v>26</v>
      </c>
      <c r="K890" s="102" t="str">
        <f>VLOOKUP(J890,'&lt;Constants&gt;'!$A$4:$B$1020,2,FALSE)</f>
        <v>DLC_HIGH_ISLE</v>
      </c>
      <c r="L890" s="102" t="str">
        <f>VLOOKUP(J890,'&lt;Constants&gt;'!$A$4:$C$1020,3,FALSE)</f>
        <v>High Isle</v>
      </c>
    </row>
    <row r="891" spans="1:12" x14ac:dyDescent="0.25">
      <c r="A891">
        <v>1320</v>
      </c>
      <c r="B891">
        <v>886</v>
      </c>
      <c r="C891">
        <v>1318</v>
      </c>
      <c r="D891" t="s">
        <v>3335</v>
      </c>
      <c r="E891" t="str">
        <f>IF(NOT(ISERROR(VLOOKUP(D891,'ESO DungeonFinder'!$A$2:$A$999,1,FALSE))),"X","")</f>
        <v/>
      </c>
      <c r="F891" s="102" t="str">
        <f t="shared" si="55"/>
        <v/>
      </c>
      <c r="G891" s="102" t="str">
        <f t="shared" si="56"/>
        <v>High Isle</v>
      </c>
      <c r="H891" s="103">
        <f t="shared" si="57"/>
        <v>1320</v>
      </c>
      <c r="I891" s="103">
        <f t="shared" si="58"/>
        <v>1318</v>
      </c>
      <c r="J891">
        <v>26</v>
      </c>
      <c r="K891" s="102" t="str">
        <f>VLOOKUP(J891,'&lt;Constants&gt;'!$A$4:$B$1020,2,FALSE)</f>
        <v>DLC_HIGH_ISLE</v>
      </c>
      <c r="L891" s="102" t="str">
        <f>VLOOKUP(J891,'&lt;Constants&gt;'!$A$4:$C$1020,3,FALSE)</f>
        <v>High Isle</v>
      </c>
    </row>
    <row r="892" spans="1:12" x14ac:dyDescent="0.25">
      <c r="A892">
        <v>1321</v>
      </c>
      <c r="B892">
        <v>887</v>
      </c>
      <c r="C892">
        <v>1318</v>
      </c>
      <c r="D892" t="s">
        <v>3321</v>
      </c>
      <c r="E892" t="str">
        <f>IF(NOT(ISERROR(VLOOKUP(D892,'ESO DungeonFinder'!$A$2:$A$999,1,FALSE))),"X","")</f>
        <v/>
      </c>
      <c r="F892" s="102" t="str">
        <f t="shared" si="55"/>
        <v/>
      </c>
      <c r="G892" s="102" t="str">
        <f t="shared" si="56"/>
        <v>High Isle</v>
      </c>
      <c r="H892" s="103">
        <f t="shared" si="57"/>
        <v>1321</v>
      </c>
      <c r="I892" s="103">
        <f t="shared" si="58"/>
        <v>1318</v>
      </c>
      <c r="J892">
        <v>26</v>
      </c>
      <c r="K892" s="102" t="str">
        <f>VLOOKUP(J892,'&lt;Constants&gt;'!$A$4:$B$1020,2,FALSE)</f>
        <v>DLC_HIGH_ISLE</v>
      </c>
      <c r="L892" s="102" t="str">
        <f>VLOOKUP(J892,'&lt;Constants&gt;'!$A$4:$C$1020,3,FALSE)</f>
        <v>High Isle</v>
      </c>
    </row>
    <row r="893" spans="1:12" x14ac:dyDescent="0.25">
      <c r="A893">
        <v>1322</v>
      </c>
      <c r="B893">
        <v>888</v>
      </c>
      <c r="C893">
        <v>1318</v>
      </c>
      <c r="D893" t="s">
        <v>3322</v>
      </c>
      <c r="E893" t="str">
        <f>IF(NOT(ISERROR(VLOOKUP(D893,'ESO DungeonFinder'!$A$2:$A$999,1,FALSE))),"X","")</f>
        <v/>
      </c>
      <c r="F893" s="102" t="str">
        <f t="shared" si="55"/>
        <v/>
      </c>
      <c r="G893" s="102" t="str">
        <f t="shared" si="56"/>
        <v>High Isle</v>
      </c>
      <c r="H893" s="103">
        <f t="shared" si="57"/>
        <v>1322</v>
      </c>
      <c r="I893" s="103">
        <f t="shared" si="58"/>
        <v>1318</v>
      </c>
      <c r="J893">
        <v>26</v>
      </c>
      <c r="K893" s="102" t="str">
        <f>VLOOKUP(J893,'&lt;Constants&gt;'!$A$4:$B$1020,2,FALSE)</f>
        <v>DLC_HIGH_ISLE</v>
      </c>
      <c r="L893" s="102" t="str">
        <f>VLOOKUP(J893,'&lt;Constants&gt;'!$A$4:$C$1020,3,FALSE)</f>
        <v>High Isle</v>
      </c>
    </row>
    <row r="894" spans="1:12" x14ac:dyDescent="0.25">
      <c r="A894">
        <v>1324</v>
      </c>
      <c r="B894">
        <v>889</v>
      </c>
      <c r="C894">
        <v>1318</v>
      </c>
      <c r="D894" t="s">
        <v>3323</v>
      </c>
      <c r="E894" t="str">
        <f>IF(NOT(ISERROR(VLOOKUP(D894,'ESO DungeonFinder'!$A$2:$A$999,1,FALSE))),"X","")</f>
        <v/>
      </c>
      <c r="F894" s="102" t="str">
        <f t="shared" si="55"/>
        <v/>
      </c>
      <c r="G894" s="102" t="str">
        <f t="shared" si="56"/>
        <v>High Isle</v>
      </c>
      <c r="H894" s="103">
        <f t="shared" si="57"/>
        <v>1324</v>
      </c>
      <c r="I894" s="103">
        <f t="shared" si="58"/>
        <v>1318</v>
      </c>
      <c r="J894">
        <v>26</v>
      </c>
      <c r="K894" s="102" t="str">
        <f>VLOOKUP(J894,'&lt;Constants&gt;'!$A$4:$B$1020,2,FALSE)</f>
        <v>DLC_HIGH_ISLE</v>
      </c>
      <c r="L894" s="102" t="str">
        <f>VLOOKUP(J894,'&lt;Constants&gt;'!$A$4:$C$1020,3,FALSE)</f>
        <v>High Isle</v>
      </c>
    </row>
    <row r="895" spans="1:12" x14ac:dyDescent="0.25">
      <c r="A895">
        <v>1325</v>
      </c>
      <c r="B895">
        <v>890</v>
      </c>
      <c r="C895">
        <v>1443</v>
      </c>
      <c r="D895" t="s">
        <v>3914</v>
      </c>
      <c r="E895" t="str">
        <f>IF(NOT(ISERROR(VLOOKUP(D895,'ESO DungeonFinder'!$A$2:$A$999,1,FALSE))),"X","")</f>
        <v/>
      </c>
      <c r="F895" s="102" t="str">
        <f t="shared" si="55"/>
        <v/>
      </c>
      <c r="G895" s="102" t="str">
        <f t="shared" si="56"/>
        <v>West Weald</v>
      </c>
      <c r="H895" s="103">
        <f t="shared" si="57"/>
        <v>1325</v>
      </c>
      <c r="I895" s="103">
        <f t="shared" si="58"/>
        <v>1443</v>
      </c>
      <c r="J895">
        <v>34</v>
      </c>
      <c r="K895" s="102" t="str">
        <f>VLOOKUP(J895,'&lt;Constants&gt;'!$A$4:$B$1020,2,FALSE)</f>
        <v>DLC_GOLD_ROAD</v>
      </c>
      <c r="L895" s="102" t="str">
        <f>VLOOKUP(J895,'&lt;Constants&gt;'!$A$4:$C$1020,3,FALSE)</f>
        <v>Gold Road</v>
      </c>
    </row>
    <row r="896" spans="1:12" x14ac:dyDescent="0.25">
      <c r="A896">
        <v>1326</v>
      </c>
      <c r="B896">
        <v>891</v>
      </c>
      <c r="C896">
        <v>1318</v>
      </c>
      <c r="D896" t="s">
        <v>3324</v>
      </c>
      <c r="E896" t="str">
        <f>IF(NOT(ISERROR(VLOOKUP(D896,'ESO DungeonFinder'!$A$2:$A$999,1,FALSE))),"X","")</f>
        <v/>
      </c>
      <c r="F896" s="102" t="str">
        <f t="shared" si="55"/>
        <v/>
      </c>
      <c r="G896" s="102" t="str">
        <f t="shared" si="56"/>
        <v>High Isle</v>
      </c>
      <c r="H896" s="103">
        <f t="shared" si="57"/>
        <v>1326</v>
      </c>
      <c r="I896" s="103">
        <f t="shared" si="58"/>
        <v>1318</v>
      </c>
      <c r="J896">
        <v>26</v>
      </c>
      <c r="K896" s="102" t="str">
        <f>VLOOKUP(J896,'&lt;Constants&gt;'!$A$4:$B$1020,2,FALSE)</f>
        <v>DLC_HIGH_ISLE</v>
      </c>
      <c r="L896" s="102" t="str">
        <f>VLOOKUP(J896,'&lt;Constants&gt;'!$A$4:$C$1020,3,FALSE)</f>
        <v>High Isle</v>
      </c>
    </row>
    <row r="897" spans="1:12" x14ac:dyDescent="0.25">
      <c r="A897">
        <v>1327</v>
      </c>
      <c r="B897">
        <v>892</v>
      </c>
      <c r="C897">
        <v>1318</v>
      </c>
      <c r="D897" t="s">
        <v>1678</v>
      </c>
      <c r="E897" t="str">
        <f>IF(NOT(ISERROR(VLOOKUP(D897,'ESO DungeonFinder'!$A$2:$A$999,1,FALSE))),"X","")</f>
        <v/>
      </c>
      <c r="F897" s="102" t="str">
        <f t="shared" si="55"/>
        <v/>
      </c>
      <c r="G897" s="102" t="str">
        <f t="shared" si="56"/>
        <v>High Isle</v>
      </c>
      <c r="H897" s="103">
        <f t="shared" si="57"/>
        <v>1327</v>
      </c>
      <c r="I897" s="103">
        <f t="shared" si="58"/>
        <v>1318</v>
      </c>
      <c r="J897">
        <v>26</v>
      </c>
      <c r="K897" s="102" t="str">
        <f>VLOOKUP(J897,'&lt;Constants&gt;'!$A$4:$B$1020,2,FALSE)</f>
        <v>DLC_HIGH_ISLE</v>
      </c>
      <c r="L897" s="102" t="str">
        <f>VLOOKUP(J897,'&lt;Constants&gt;'!$A$4:$C$1020,3,FALSE)</f>
        <v>High Isle</v>
      </c>
    </row>
    <row r="898" spans="1:12" x14ac:dyDescent="0.25">
      <c r="A898">
        <v>1328</v>
      </c>
      <c r="B898">
        <v>893</v>
      </c>
      <c r="C898">
        <v>1318</v>
      </c>
      <c r="D898" t="s">
        <v>3325</v>
      </c>
      <c r="E898" t="str">
        <f>IF(NOT(ISERROR(VLOOKUP(D898,'ESO DungeonFinder'!$A$2:$A$999,1,FALSE))),"X","")</f>
        <v/>
      </c>
      <c r="F898" s="102" t="str">
        <f t="shared" si="55"/>
        <v/>
      </c>
      <c r="G898" s="102" t="str">
        <f t="shared" si="56"/>
        <v>High Isle</v>
      </c>
      <c r="H898" s="103">
        <f t="shared" si="57"/>
        <v>1328</v>
      </c>
      <c r="I898" s="103">
        <f t="shared" si="58"/>
        <v>1318</v>
      </c>
      <c r="J898">
        <v>26</v>
      </c>
      <c r="K898" s="102" t="str">
        <f>VLOOKUP(J898,'&lt;Constants&gt;'!$A$4:$B$1020,2,FALSE)</f>
        <v>DLC_HIGH_ISLE</v>
      </c>
      <c r="L898" s="102" t="str">
        <f>VLOOKUP(J898,'&lt;Constants&gt;'!$A$4:$C$1020,3,FALSE)</f>
        <v>High Isle</v>
      </c>
    </row>
    <row r="899" spans="1:12" x14ac:dyDescent="0.25">
      <c r="A899">
        <v>1329</v>
      </c>
      <c r="B899">
        <v>894</v>
      </c>
      <c r="C899">
        <v>1318</v>
      </c>
      <c r="D899" t="s">
        <v>3324</v>
      </c>
      <c r="E899" t="str">
        <f>IF(NOT(ISERROR(VLOOKUP(D899,'ESO DungeonFinder'!$A$2:$A$999,1,FALSE))),"X","")</f>
        <v/>
      </c>
      <c r="F899" s="102" t="str">
        <f t="shared" si="55"/>
        <v/>
      </c>
      <c r="G899" s="102" t="str">
        <f t="shared" si="56"/>
        <v>High Isle</v>
      </c>
      <c r="H899" s="103">
        <f t="shared" si="57"/>
        <v>1329</v>
      </c>
      <c r="I899" s="103">
        <f t="shared" si="58"/>
        <v>1318</v>
      </c>
      <c r="J899">
        <v>26</v>
      </c>
      <c r="K899" s="102" t="str">
        <f>VLOOKUP(J899,'&lt;Constants&gt;'!$A$4:$B$1020,2,FALSE)</f>
        <v>DLC_HIGH_ISLE</v>
      </c>
      <c r="L899" s="102" t="str">
        <f>VLOOKUP(J899,'&lt;Constants&gt;'!$A$4:$C$1020,3,FALSE)</f>
        <v>High Isle</v>
      </c>
    </row>
    <row r="900" spans="1:12" x14ac:dyDescent="0.25">
      <c r="A900">
        <v>1330</v>
      </c>
      <c r="B900">
        <v>895</v>
      </c>
      <c r="C900">
        <v>1318</v>
      </c>
      <c r="D900" t="s">
        <v>3334</v>
      </c>
      <c r="E900" t="str">
        <f>IF(NOT(ISERROR(VLOOKUP(D900,'ESO DungeonFinder'!$A$2:$A$999,1,FALSE))),"X","")</f>
        <v/>
      </c>
      <c r="F900" s="102" t="str">
        <f t="shared" si="55"/>
        <v/>
      </c>
      <c r="G900" s="102" t="str">
        <f t="shared" si="56"/>
        <v>High Isle</v>
      </c>
      <c r="H900" s="103">
        <f t="shared" si="57"/>
        <v>1330</v>
      </c>
      <c r="I900" s="103">
        <f t="shared" si="58"/>
        <v>1318</v>
      </c>
      <c r="J900">
        <v>26</v>
      </c>
      <c r="K900" s="102" t="str">
        <f>VLOOKUP(J900,'&lt;Constants&gt;'!$A$4:$B$1020,2,FALSE)</f>
        <v>DLC_HIGH_ISLE</v>
      </c>
      <c r="L900" s="102" t="str">
        <f>VLOOKUP(J900,'&lt;Constants&gt;'!$A$4:$C$1020,3,FALSE)</f>
        <v>High Isle</v>
      </c>
    </row>
    <row r="901" spans="1:12" x14ac:dyDescent="0.25">
      <c r="A901">
        <v>1331</v>
      </c>
      <c r="B901">
        <v>896</v>
      </c>
      <c r="C901">
        <v>1318</v>
      </c>
      <c r="D901" t="s">
        <v>3326</v>
      </c>
      <c r="E901" t="str">
        <f>IF(NOT(ISERROR(VLOOKUP(D901,'ESO DungeonFinder'!$A$2:$A$999,1,FALSE))),"X","")</f>
        <v/>
      </c>
      <c r="F901" s="102" t="str">
        <f t="shared" si="55"/>
        <v/>
      </c>
      <c r="G901" s="102" t="str">
        <f t="shared" si="56"/>
        <v>High Isle</v>
      </c>
      <c r="H901" s="103">
        <f t="shared" si="57"/>
        <v>1331</v>
      </c>
      <c r="I901" s="103">
        <f t="shared" si="58"/>
        <v>1318</v>
      </c>
      <c r="J901">
        <v>26</v>
      </c>
      <c r="K901" s="102" t="str">
        <f>VLOOKUP(J901,'&lt;Constants&gt;'!$A$4:$B$1020,2,FALSE)</f>
        <v>DLC_HIGH_ISLE</v>
      </c>
      <c r="L901" s="102" t="str">
        <f>VLOOKUP(J901,'&lt;Constants&gt;'!$A$4:$C$1020,3,FALSE)</f>
        <v>High Isle</v>
      </c>
    </row>
    <row r="902" spans="1:12" x14ac:dyDescent="0.25">
      <c r="A902">
        <v>1332</v>
      </c>
      <c r="B902">
        <v>897</v>
      </c>
      <c r="C902">
        <v>1318</v>
      </c>
      <c r="D902" t="s">
        <v>3333</v>
      </c>
      <c r="E902" t="str">
        <f>IF(NOT(ISERROR(VLOOKUP(D902,'ESO DungeonFinder'!$A$2:$A$999,1,FALSE))),"X","")</f>
        <v/>
      </c>
      <c r="F902" s="102" t="str">
        <f t="shared" si="55"/>
        <v/>
      </c>
      <c r="G902" s="102" t="str">
        <f t="shared" si="56"/>
        <v>High Isle</v>
      </c>
      <c r="H902" s="103">
        <f t="shared" si="57"/>
        <v>1332</v>
      </c>
      <c r="I902" s="103">
        <f t="shared" si="58"/>
        <v>1318</v>
      </c>
      <c r="J902">
        <v>26</v>
      </c>
      <c r="K902" s="102" t="str">
        <f>VLOOKUP(J902,'&lt;Constants&gt;'!$A$4:$B$1020,2,FALSE)</f>
        <v>DLC_HIGH_ISLE</v>
      </c>
      <c r="L902" s="102" t="str">
        <f>VLOOKUP(J902,'&lt;Constants&gt;'!$A$4:$C$1020,3,FALSE)</f>
        <v>High Isle</v>
      </c>
    </row>
    <row r="903" spans="1:12" x14ac:dyDescent="0.25">
      <c r="A903">
        <v>1333</v>
      </c>
      <c r="B903">
        <v>898</v>
      </c>
      <c r="C903">
        <v>1318</v>
      </c>
      <c r="D903" t="s">
        <v>3332</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102" t="str">
        <f>VLOOKUP(J903,'&lt;Constants&gt;'!$A$4:$B$1020,2,FALSE)</f>
        <v>DLC_HIGH_ISLE</v>
      </c>
      <c r="L903" s="102" t="str">
        <f>VLOOKUP(J903,'&lt;Constants&gt;'!$A$4:$C$1020,3,FALSE)</f>
        <v>High Isle</v>
      </c>
    </row>
    <row r="904" spans="1:12" x14ac:dyDescent="0.25">
      <c r="A904">
        <v>1334</v>
      </c>
      <c r="B904">
        <v>899</v>
      </c>
      <c r="C904">
        <v>1318</v>
      </c>
      <c r="D904" t="s">
        <v>3331</v>
      </c>
      <c r="E904" t="str">
        <f>IF(NOT(ISERROR(VLOOKUP(D904,'ESO DungeonFinder'!$A$2:$A$999,1,FALSE))),"X","")</f>
        <v/>
      </c>
      <c r="F904" s="102" t="str">
        <f t="shared" si="59"/>
        <v/>
      </c>
      <c r="G904" s="102" t="str">
        <f t="shared" si="60"/>
        <v>High Isle</v>
      </c>
      <c r="H904" s="103">
        <f t="shared" si="61"/>
        <v>1334</v>
      </c>
      <c r="I904" s="103">
        <f t="shared" si="62"/>
        <v>1318</v>
      </c>
      <c r="J904">
        <v>26</v>
      </c>
      <c r="K904" s="102" t="str">
        <f>VLOOKUP(J904,'&lt;Constants&gt;'!$A$4:$B$1020,2,FALSE)</f>
        <v>DLC_HIGH_ISLE</v>
      </c>
      <c r="L904" s="102" t="str">
        <f>VLOOKUP(J904,'&lt;Constants&gt;'!$A$4:$C$1020,3,FALSE)</f>
        <v>High Isle</v>
      </c>
    </row>
    <row r="905" spans="1:12" x14ac:dyDescent="0.25">
      <c r="A905">
        <v>1335</v>
      </c>
      <c r="B905">
        <v>900</v>
      </c>
      <c r="C905">
        <v>1318</v>
      </c>
      <c r="D905" t="s">
        <v>3330</v>
      </c>
      <c r="E905" t="str">
        <f>IF(NOT(ISERROR(VLOOKUP(D905,'ESO DungeonFinder'!$A$2:$A$999,1,FALSE))),"X","")</f>
        <v/>
      </c>
      <c r="F905" s="102" t="str">
        <f t="shared" si="59"/>
        <v/>
      </c>
      <c r="G905" s="102" t="str">
        <f t="shared" si="60"/>
        <v>High Isle</v>
      </c>
      <c r="H905" s="103">
        <f t="shared" si="61"/>
        <v>1335</v>
      </c>
      <c r="I905" s="103">
        <f t="shared" si="62"/>
        <v>1318</v>
      </c>
      <c r="J905">
        <v>26</v>
      </c>
      <c r="K905" s="102" t="str">
        <f>VLOOKUP(J905,'&lt;Constants&gt;'!$A$4:$B$1020,2,FALSE)</f>
        <v>DLC_HIGH_ISLE</v>
      </c>
      <c r="L905" s="102" t="str">
        <f>VLOOKUP(J905,'&lt;Constants&gt;'!$A$4:$C$1020,3,FALSE)</f>
        <v>High Isle</v>
      </c>
    </row>
    <row r="906" spans="1:12" x14ac:dyDescent="0.25">
      <c r="A906">
        <v>1336</v>
      </c>
      <c r="B906">
        <v>901</v>
      </c>
      <c r="C906">
        <v>1318</v>
      </c>
      <c r="D906" t="s">
        <v>3329</v>
      </c>
      <c r="E906" t="str">
        <f>IF(NOT(ISERROR(VLOOKUP(D906,'ESO DungeonFinder'!$A$2:$A$999,1,FALSE))),"X","")</f>
        <v/>
      </c>
      <c r="F906" s="102" t="str">
        <f t="shared" si="59"/>
        <v/>
      </c>
      <c r="G906" s="102" t="str">
        <f t="shared" si="60"/>
        <v>High Isle</v>
      </c>
      <c r="H906" s="103">
        <f t="shared" si="61"/>
        <v>1336</v>
      </c>
      <c r="I906" s="103">
        <f t="shared" si="62"/>
        <v>1318</v>
      </c>
      <c r="J906">
        <v>26</v>
      </c>
      <c r="K906" s="102" t="str">
        <f>VLOOKUP(J906,'&lt;Constants&gt;'!$A$4:$B$1020,2,FALSE)</f>
        <v>DLC_HIGH_ISLE</v>
      </c>
      <c r="L906" s="102" t="str">
        <f>VLOOKUP(J906,'&lt;Constants&gt;'!$A$4:$C$1020,3,FALSE)</f>
        <v>High Isle</v>
      </c>
    </row>
    <row r="907" spans="1:12" x14ac:dyDescent="0.25">
      <c r="A907">
        <v>1337</v>
      </c>
      <c r="B907">
        <v>902</v>
      </c>
      <c r="C907">
        <v>1318</v>
      </c>
      <c r="D907" t="s">
        <v>3328</v>
      </c>
      <c r="E907" t="str">
        <f>IF(NOT(ISERROR(VLOOKUP(D907,'ESO DungeonFinder'!$A$2:$A$999,1,FALSE))),"X","")</f>
        <v/>
      </c>
      <c r="F907" s="102" t="str">
        <f t="shared" si="59"/>
        <v/>
      </c>
      <c r="G907" s="102" t="str">
        <f t="shared" si="60"/>
        <v>High Isle</v>
      </c>
      <c r="H907" s="103">
        <f t="shared" si="61"/>
        <v>1337</v>
      </c>
      <c r="I907" s="103">
        <f t="shared" si="62"/>
        <v>1318</v>
      </c>
      <c r="J907">
        <v>26</v>
      </c>
      <c r="K907" s="102" t="str">
        <f>VLOOKUP(J907,'&lt;Constants&gt;'!$A$4:$B$1020,2,FALSE)</f>
        <v>DLC_HIGH_ISLE</v>
      </c>
      <c r="L907" s="102" t="str">
        <f>VLOOKUP(J907,'&lt;Constants&gt;'!$A$4:$C$1020,3,FALSE)</f>
        <v>High Isle</v>
      </c>
    </row>
    <row r="908" spans="1:12" x14ac:dyDescent="0.25">
      <c r="A908">
        <v>1338</v>
      </c>
      <c r="B908">
        <v>903</v>
      </c>
      <c r="C908">
        <v>1318</v>
      </c>
      <c r="D908" t="s">
        <v>3327</v>
      </c>
      <c r="E908" t="str">
        <f>IF(NOT(ISERROR(VLOOKUP(D908,'ESO DungeonFinder'!$A$2:$A$999,1,FALSE))),"X","")</f>
        <v/>
      </c>
      <c r="F908" s="102" t="str">
        <f t="shared" si="59"/>
        <v/>
      </c>
      <c r="G908" s="102" t="str">
        <f t="shared" si="60"/>
        <v>High Isle</v>
      </c>
      <c r="H908" s="103">
        <f t="shared" si="61"/>
        <v>1338</v>
      </c>
      <c r="I908" s="103">
        <f t="shared" si="62"/>
        <v>1318</v>
      </c>
      <c r="J908">
        <v>26</v>
      </c>
      <c r="K908" s="102" t="str">
        <f>VLOOKUP(J908,'&lt;Constants&gt;'!$A$4:$B$1020,2,FALSE)</f>
        <v>DLC_HIGH_ISLE</v>
      </c>
      <c r="L908" s="102" t="str">
        <f>VLOOKUP(J908,'&lt;Constants&gt;'!$A$4:$C$1020,3,FALSE)</f>
        <v>High Isle</v>
      </c>
    </row>
    <row r="909" spans="1:12" x14ac:dyDescent="0.25">
      <c r="A909">
        <v>1342</v>
      </c>
      <c r="B909">
        <v>904</v>
      </c>
      <c r="C909">
        <v>1282</v>
      </c>
      <c r="D909" t="s">
        <v>2649</v>
      </c>
      <c r="E909" t="str">
        <f>IF(NOT(ISERROR(VLOOKUP(D909,'ESO DungeonFinder'!$A$2:$A$999,1,FALSE))),"X","")</f>
        <v/>
      </c>
      <c r="F909" s="102" t="str">
        <f t="shared" si="59"/>
        <v/>
      </c>
      <c r="G909" s="102" t="str">
        <f t="shared" si="60"/>
        <v>Fargrave</v>
      </c>
      <c r="H909" s="103">
        <f t="shared" si="61"/>
        <v>1342</v>
      </c>
      <c r="I909" s="103">
        <f t="shared" si="62"/>
        <v>1282</v>
      </c>
      <c r="J909">
        <v>24</v>
      </c>
      <c r="K909" s="102" t="str">
        <f>VLOOKUP(J909,'&lt;Constants&gt;'!$A$4:$B$1020,2,FALSE)</f>
        <v>DLC_DEADLANDS</v>
      </c>
      <c r="L909" s="102" t="str">
        <f>VLOOKUP(J909,'&lt;Constants&gt;'!$A$4:$C$1020,3,FALSE)</f>
        <v>The Deadlands</v>
      </c>
    </row>
    <row r="910" spans="1:12" x14ac:dyDescent="0.25">
      <c r="A910">
        <v>1343</v>
      </c>
      <c r="B910">
        <v>905</v>
      </c>
      <c r="C910">
        <v>1286</v>
      </c>
      <c r="D910" t="s">
        <v>2650</v>
      </c>
      <c r="E910" t="str">
        <f>IF(NOT(ISERROR(VLOOKUP(D910,'ESO DungeonFinder'!$A$2:$A$999,1,FALSE))),"X","")</f>
        <v/>
      </c>
      <c r="F910" s="102" t="str">
        <f t="shared" si="59"/>
        <v/>
      </c>
      <c r="G910" s="102" t="str">
        <f t="shared" si="60"/>
        <v>The Deadlands</v>
      </c>
      <c r="H910" s="103">
        <f t="shared" si="61"/>
        <v>1343</v>
      </c>
      <c r="I910" s="103">
        <f t="shared" si="62"/>
        <v>1286</v>
      </c>
      <c r="J910">
        <v>24</v>
      </c>
      <c r="K910" s="102" t="str">
        <f>VLOOKUP(J910,'&lt;Constants&gt;'!$A$4:$B$1020,2,FALSE)</f>
        <v>DLC_DEADLANDS</v>
      </c>
      <c r="L910" s="102" t="str">
        <f>VLOOKUP(J910,'&lt;Constants&gt;'!$A$4:$C$1020,3,FALSE)</f>
        <v>The Deadlands</v>
      </c>
    </row>
    <row r="911" spans="1:12" x14ac:dyDescent="0.25">
      <c r="A911">
        <v>1344</v>
      </c>
      <c r="B911">
        <v>906</v>
      </c>
      <c r="C911">
        <v>1318</v>
      </c>
      <c r="D911" t="s">
        <v>3317</v>
      </c>
      <c r="E911" t="str">
        <f>IF(NOT(ISERROR(VLOOKUP(D911,'ESO DungeonFinder'!$A$2:$A$999,1,FALSE))),"X","")</f>
        <v>X</v>
      </c>
      <c r="F911" s="102" t="str">
        <f t="shared" si="59"/>
        <v/>
      </c>
      <c r="G911" s="102" t="str">
        <f t="shared" si="60"/>
        <v>High Isle</v>
      </c>
      <c r="H911" s="103">
        <f t="shared" si="61"/>
        <v>1344</v>
      </c>
      <c r="I911" s="103">
        <f t="shared" si="62"/>
        <v>1318</v>
      </c>
      <c r="J911">
        <v>26</v>
      </c>
      <c r="K911" s="102" t="str">
        <f>VLOOKUP(J911,'&lt;Constants&gt;'!$A$4:$B$1020,2,FALSE)</f>
        <v>DLC_HIGH_ISLE</v>
      </c>
      <c r="L911" s="102" t="str">
        <f>VLOOKUP(J911,'&lt;Constants&gt;'!$A$4:$C$1020,3,FALSE)</f>
        <v>High Isle</v>
      </c>
    </row>
    <row r="912" spans="1:12" x14ac:dyDescent="0.25">
      <c r="A912">
        <v>1345</v>
      </c>
      <c r="B912">
        <v>907</v>
      </c>
      <c r="C912">
        <v>535</v>
      </c>
      <c r="D912" t="s">
        <v>2698</v>
      </c>
      <c r="E912" t="str">
        <f>IF(NOT(ISERROR(VLOOKUP(D912,'ESO DungeonFinder'!$A$2:$A$999,1,FALSE))),"X","")</f>
        <v/>
      </c>
      <c r="F912" s="102" t="str">
        <f t="shared" si="59"/>
        <v/>
      </c>
      <c r="G912" s="102" t="str">
        <f t="shared" si="60"/>
        <v>Betnikh</v>
      </c>
      <c r="H912" s="103">
        <f t="shared" si="61"/>
        <v>1345</v>
      </c>
      <c r="I912" s="103">
        <f t="shared" si="62"/>
        <v>535</v>
      </c>
      <c r="J912">
        <v>0</v>
      </c>
      <c r="K912" s="102" t="str">
        <f>VLOOKUP(J912,'&lt;Constants&gt;'!$A$4:$B$1020,2,FALSE)</f>
        <v>DLC_BASE_GAME</v>
      </c>
      <c r="L912" s="102" t="str">
        <f>VLOOKUP(J912,'&lt;Constants&gt;'!$A$4:$C$1020,3,FALSE)</f>
        <v>Included in base game</v>
      </c>
    </row>
    <row r="913" spans="1:12" x14ac:dyDescent="0.25">
      <c r="A913">
        <v>1346</v>
      </c>
      <c r="B913">
        <v>908</v>
      </c>
      <c r="C913">
        <v>1502</v>
      </c>
      <c r="D913" t="s">
        <v>4186</v>
      </c>
      <c r="E913" t="str">
        <f>IF(NOT(ISERROR(VLOOKUP(D913,'ESO DungeonFinder'!$A$2:$A$999,1,FALSE))),"X","")</f>
        <v/>
      </c>
      <c r="F913" s="102" t="str">
        <f t="shared" si="59"/>
        <v/>
      </c>
      <c r="G913" s="102" t="str">
        <f t="shared" si="60"/>
        <v>Solstice</v>
      </c>
      <c r="H913" s="103">
        <f t="shared" si="61"/>
        <v>1346</v>
      </c>
      <c r="I913" s="103">
        <f t="shared" si="62"/>
        <v>1502</v>
      </c>
      <c r="J913">
        <v>27</v>
      </c>
      <c r="K913" s="102" t="str">
        <f>VLOOKUP(J913,'&lt;Constants&gt;'!$A$4:$B$1020,2,FALSE)</f>
        <v>DLC_LOST_DEPTHS</v>
      </c>
      <c r="L913" s="102" t="str">
        <f>VLOOKUP(J913,'&lt;Constants&gt;'!$A$4:$C$1020,3,FALSE)</f>
        <v>Lost Depths</v>
      </c>
    </row>
    <row r="914" spans="1:12" x14ac:dyDescent="0.25">
      <c r="A914">
        <v>1360</v>
      </c>
      <c r="B914">
        <v>909</v>
      </c>
      <c r="C914">
        <v>1318</v>
      </c>
      <c r="D914" t="s">
        <v>3354</v>
      </c>
      <c r="E914" t="str">
        <f>IF(NOT(ISERROR(VLOOKUP(D914,'ESO DungeonFinder'!$A$2:$A$999,1,FALSE))),"X","")</f>
        <v>X</v>
      </c>
      <c r="F914" s="102" t="str">
        <f t="shared" si="59"/>
        <v/>
      </c>
      <c r="G914" s="102" t="str">
        <f t="shared" si="60"/>
        <v>High Isle</v>
      </c>
      <c r="H914" s="103">
        <f t="shared" si="61"/>
        <v>1360</v>
      </c>
      <c r="I914" s="103">
        <f t="shared" si="62"/>
        <v>1318</v>
      </c>
      <c r="J914">
        <v>27</v>
      </c>
      <c r="K914" s="102" t="str">
        <f>VLOOKUP(J914,'&lt;Constants&gt;'!$A$4:$B$1020,2,FALSE)</f>
        <v>DLC_LOST_DEPTHS</v>
      </c>
      <c r="L914" s="102" t="str">
        <f>VLOOKUP(J914,'&lt;Constants&gt;'!$A$4:$C$1020,3,FALSE)</f>
        <v>Lost Depths</v>
      </c>
    </row>
    <row r="915" spans="1:12" x14ac:dyDescent="0.25">
      <c r="A915">
        <v>1361</v>
      </c>
      <c r="B915">
        <v>910</v>
      </c>
      <c r="C915">
        <v>1318</v>
      </c>
      <c r="D915" t="s">
        <v>3355</v>
      </c>
      <c r="E915" t="str">
        <f>IF(NOT(ISERROR(VLOOKUP(D915,'ESO DungeonFinder'!$A$2:$A$999,1,FALSE))),"X","")</f>
        <v>X</v>
      </c>
      <c r="F915" s="102" t="str">
        <f t="shared" si="59"/>
        <v/>
      </c>
      <c r="G915" s="102" t="str">
        <f t="shared" si="60"/>
        <v>High Isle</v>
      </c>
      <c r="H915" s="103">
        <f t="shared" si="61"/>
        <v>1361</v>
      </c>
      <c r="I915" s="103">
        <f t="shared" si="62"/>
        <v>1318</v>
      </c>
      <c r="J915">
        <v>26</v>
      </c>
      <c r="K915" s="102" t="str">
        <f>VLOOKUP(J915,'&lt;Constants&gt;'!$A$4:$B$1020,2,FALSE)</f>
        <v>DLC_HIGH_ISLE</v>
      </c>
      <c r="L915" s="102" t="str">
        <f>VLOOKUP(J915,'&lt;Constants&gt;'!$A$4:$C$1020,3,FALSE)</f>
        <v>High Isle</v>
      </c>
    </row>
    <row r="916" spans="1:12" x14ac:dyDescent="0.25">
      <c r="A916">
        <v>1363</v>
      </c>
      <c r="B916">
        <v>911</v>
      </c>
      <c r="C916">
        <v>1318</v>
      </c>
      <c r="D916" t="s">
        <v>3316</v>
      </c>
      <c r="E916" t="str">
        <f>IF(NOT(ISERROR(VLOOKUP(D916,'ESO DungeonFinder'!$A$2:$A$999,1,FALSE))),"X","")</f>
        <v/>
      </c>
      <c r="F916" s="102" t="str">
        <f t="shared" si="59"/>
        <v/>
      </c>
      <c r="G916" s="102" t="str">
        <f t="shared" si="60"/>
        <v>High Isle</v>
      </c>
      <c r="H916" s="103">
        <f t="shared" si="61"/>
        <v>1363</v>
      </c>
      <c r="I916" s="103">
        <f t="shared" si="62"/>
        <v>1318</v>
      </c>
      <c r="J916">
        <v>26</v>
      </c>
      <c r="K916" s="102" t="str">
        <f>VLOOKUP(J916,'&lt;Constants&gt;'!$A$4:$B$1020,2,FALSE)</f>
        <v>DLC_HIGH_ISLE</v>
      </c>
      <c r="L916" s="102" t="str">
        <f>VLOOKUP(J916,'&lt;Constants&gt;'!$A$4:$C$1020,3,FALSE)</f>
        <v>High Isle</v>
      </c>
    </row>
    <row r="917" spans="1:12" x14ac:dyDescent="0.25">
      <c r="A917">
        <v>1364</v>
      </c>
      <c r="B917">
        <v>912</v>
      </c>
      <c r="C917">
        <v>1318</v>
      </c>
      <c r="D917" t="s">
        <v>3315</v>
      </c>
      <c r="E917" t="str">
        <f>IF(NOT(ISERROR(VLOOKUP(D917,'ESO DungeonFinder'!$A$2:$A$999,1,FALSE))),"X","")</f>
        <v/>
      </c>
      <c r="F917" s="102" t="str">
        <f t="shared" si="59"/>
        <v/>
      </c>
      <c r="G917" s="102" t="str">
        <f t="shared" si="60"/>
        <v>High Isle</v>
      </c>
      <c r="H917" s="103">
        <f t="shared" si="61"/>
        <v>1364</v>
      </c>
      <c r="I917" s="103">
        <f t="shared" si="62"/>
        <v>1318</v>
      </c>
      <c r="J917">
        <v>0</v>
      </c>
      <c r="K917" s="102" t="str">
        <f>VLOOKUP(J917,'&lt;Constants&gt;'!$A$4:$B$1020,2,FALSE)</f>
        <v>DLC_BASE_GAME</v>
      </c>
      <c r="L917" s="102" t="str">
        <f>VLOOKUP(J917,'&lt;Constants&gt;'!$A$4:$C$1020,3,FALSE)</f>
        <v>Included in base game</v>
      </c>
    </row>
    <row r="918" spans="1:12" x14ac:dyDescent="0.25">
      <c r="A918">
        <v>1365</v>
      </c>
      <c r="B918">
        <v>913</v>
      </c>
      <c r="C918">
        <v>3</v>
      </c>
      <c r="D918" t="s">
        <v>3378</v>
      </c>
      <c r="E918" t="str">
        <f>IF(NOT(ISERROR(VLOOKUP(D918,'ESO DungeonFinder'!$A$2:$A$999,1,FALSE))),"X","")</f>
        <v/>
      </c>
      <c r="F918" s="102" t="str">
        <f t="shared" si="59"/>
        <v/>
      </c>
      <c r="G918" s="102" t="str">
        <f t="shared" si="60"/>
        <v>Glenumbra</v>
      </c>
      <c r="H918" s="103">
        <f t="shared" si="61"/>
        <v>1365</v>
      </c>
      <c r="I918" s="103">
        <f t="shared" si="62"/>
        <v>3</v>
      </c>
      <c r="J918">
        <v>0</v>
      </c>
      <c r="K918" s="102" t="str">
        <f>VLOOKUP(J918,'&lt;Constants&gt;'!$A$4:$B$1020,2,FALSE)</f>
        <v>DLC_BASE_GAME</v>
      </c>
      <c r="L918" s="102" t="str">
        <f>VLOOKUP(J918,'&lt;Constants&gt;'!$A$4:$C$1020,3,FALSE)</f>
        <v>Included in base game</v>
      </c>
    </row>
    <row r="919" spans="1:12" x14ac:dyDescent="0.25">
      <c r="A919">
        <v>1366</v>
      </c>
      <c r="B919">
        <v>914</v>
      </c>
      <c r="C919">
        <v>92</v>
      </c>
      <c r="D919" t="s">
        <v>3377</v>
      </c>
      <c r="E919" t="str">
        <f>IF(NOT(ISERROR(VLOOKUP(D919,'ESO DungeonFinder'!$A$2:$A$999,1,FALSE))),"X","")</f>
        <v/>
      </c>
      <c r="F919" s="102" t="str">
        <f t="shared" si="59"/>
        <v/>
      </c>
      <c r="G919" s="102" t="str">
        <f t="shared" si="60"/>
        <v>Bangkorai</v>
      </c>
      <c r="H919" s="103">
        <f t="shared" si="61"/>
        <v>1366</v>
      </c>
      <c r="I919" s="103">
        <f t="shared" si="62"/>
        <v>92</v>
      </c>
      <c r="J919">
        <v>28</v>
      </c>
      <c r="K919" s="102" t="str">
        <f>VLOOKUP(J919,'&lt;Constants&gt;'!$A$4:$B$1020,2,FALSE)</f>
        <v>DLC_FIRESONG</v>
      </c>
      <c r="L919" s="102" t="str">
        <f>VLOOKUP(J919,'&lt;Constants&gt;'!$A$4:$C$1020,3,FALSE)</f>
        <v>Firesong</v>
      </c>
    </row>
    <row r="920" spans="1:12" x14ac:dyDescent="0.25">
      <c r="A920">
        <v>1367</v>
      </c>
      <c r="B920">
        <v>915</v>
      </c>
      <c r="C920">
        <v>1383</v>
      </c>
      <c r="D920" t="s">
        <v>3423</v>
      </c>
      <c r="E920" t="str">
        <f>IF(NOT(ISERROR(VLOOKUP(D920,'ESO DungeonFinder'!$A$2:$A$999,1,FALSE))),"X","")</f>
        <v/>
      </c>
      <c r="F920" s="102" t="str">
        <f t="shared" si="59"/>
        <v/>
      </c>
      <c r="G920" s="102" t="str">
        <f t="shared" si="60"/>
        <v>Galen</v>
      </c>
      <c r="H920" s="103">
        <f t="shared" si="61"/>
        <v>1367</v>
      </c>
      <c r="I920" s="103">
        <f t="shared" si="62"/>
        <v>1383</v>
      </c>
      <c r="J920">
        <v>28</v>
      </c>
      <c r="K920" s="102" t="str">
        <f>VLOOKUP(J920,'&lt;Constants&gt;'!$A$4:$B$1020,2,FALSE)</f>
        <v>DLC_FIRESONG</v>
      </c>
      <c r="L920" s="102" t="str">
        <f>VLOOKUP(J920,'&lt;Constants&gt;'!$A$4:$C$1020,3,FALSE)</f>
        <v>Firesong</v>
      </c>
    </row>
    <row r="921" spans="1:12" x14ac:dyDescent="0.25">
      <c r="A921">
        <v>1368</v>
      </c>
      <c r="B921">
        <v>916</v>
      </c>
      <c r="C921">
        <v>1383</v>
      </c>
      <c r="D921" t="s">
        <v>3424</v>
      </c>
      <c r="E921" t="str">
        <f>IF(NOT(ISERROR(VLOOKUP(D921,'ESO DungeonFinder'!$A$2:$A$999,1,FALSE))),"X","")</f>
        <v/>
      </c>
      <c r="F921" s="102" t="str">
        <f t="shared" si="59"/>
        <v/>
      </c>
      <c r="G921" s="102" t="str">
        <f t="shared" si="60"/>
        <v>Galen</v>
      </c>
      <c r="H921" s="103">
        <f t="shared" si="61"/>
        <v>1368</v>
      </c>
      <c r="I921" s="103">
        <f t="shared" si="62"/>
        <v>1383</v>
      </c>
      <c r="J921">
        <v>28</v>
      </c>
      <c r="K921" s="102" t="str">
        <f>VLOOKUP(J921,'&lt;Constants&gt;'!$A$4:$B$1020,2,FALSE)</f>
        <v>DLC_FIRESONG</v>
      </c>
      <c r="L921" s="102" t="str">
        <f>VLOOKUP(J921,'&lt;Constants&gt;'!$A$4:$C$1020,3,FALSE)</f>
        <v>Firesong</v>
      </c>
    </row>
    <row r="922" spans="1:12" x14ac:dyDescent="0.25">
      <c r="A922">
        <v>1369</v>
      </c>
      <c r="B922">
        <v>917</v>
      </c>
      <c r="C922">
        <v>1383</v>
      </c>
      <c r="D922" t="s">
        <v>3425</v>
      </c>
      <c r="E922" t="str">
        <f>IF(NOT(ISERROR(VLOOKUP(D922,'ESO DungeonFinder'!$A$2:$A$999,1,FALSE))),"X","")</f>
        <v/>
      </c>
      <c r="F922" s="102" t="str">
        <f t="shared" si="59"/>
        <v/>
      </c>
      <c r="G922" s="102" t="str">
        <f t="shared" si="60"/>
        <v>Galen</v>
      </c>
      <c r="H922" s="103">
        <f t="shared" si="61"/>
        <v>1369</v>
      </c>
      <c r="I922" s="103">
        <f t="shared" si="62"/>
        <v>1383</v>
      </c>
      <c r="J922">
        <v>28</v>
      </c>
      <c r="K922" s="102" t="str">
        <f>VLOOKUP(J922,'&lt;Constants&gt;'!$A$4:$B$1020,2,FALSE)</f>
        <v>DLC_FIRESONG</v>
      </c>
      <c r="L922" s="102" t="str">
        <f>VLOOKUP(J922,'&lt;Constants&gt;'!$A$4:$C$1020,3,FALSE)</f>
        <v>Firesong</v>
      </c>
    </row>
    <row r="923" spans="1:12" x14ac:dyDescent="0.25">
      <c r="A923">
        <v>1370</v>
      </c>
      <c r="B923">
        <v>918</v>
      </c>
      <c r="C923">
        <v>1383</v>
      </c>
      <c r="D923" t="s">
        <v>3440</v>
      </c>
      <c r="E923" t="str">
        <f>IF(NOT(ISERROR(VLOOKUP(D923,'ESO DungeonFinder'!$A$2:$A$999,1,FALSE))),"X","")</f>
        <v/>
      </c>
      <c r="F923" s="102" t="str">
        <f t="shared" si="59"/>
        <v/>
      </c>
      <c r="G923" s="102" t="str">
        <f t="shared" si="60"/>
        <v>Galen</v>
      </c>
      <c r="H923" s="103">
        <f t="shared" si="61"/>
        <v>1370</v>
      </c>
      <c r="I923" s="103">
        <f t="shared" si="62"/>
        <v>1383</v>
      </c>
      <c r="J923">
        <v>28</v>
      </c>
      <c r="K923" s="102" t="str">
        <f>VLOOKUP(J923,'&lt;Constants&gt;'!$A$4:$B$1020,2,FALSE)</f>
        <v>DLC_FIRESONG</v>
      </c>
      <c r="L923" s="102" t="str">
        <f>VLOOKUP(J923,'&lt;Constants&gt;'!$A$4:$C$1020,3,FALSE)</f>
        <v>Firesong</v>
      </c>
    </row>
    <row r="924" spans="1:12" x14ac:dyDescent="0.25">
      <c r="A924">
        <v>1371</v>
      </c>
      <c r="B924">
        <v>919</v>
      </c>
      <c r="C924">
        <v>1383</v>
      </c>
      <c r="D924" t="s">
        <v>3439</v>
      </c>
      <c r="E924" t="str">
        <f>IF(NOT(ISERROR(VLOOKUP(D924,'ESO DungeonFinder'!$A$2:$A$999,1,FALSE))),"X","")</f>
        <v/>
      </c>
      <c r="F924" s="102" t="str">
        <f t="shared" si="59"/>
        <v/>
      </c>
      <c r="G924" s="102" t="str">
        <f t="shared" si="60"/>
        <v>Galen</v>
      </c>
      <c r="H924" s="103">
        <f t="shared" si="61"/>
        <v>1371</v>
      </c>
      <c r="I924" s="103">
        <f t="shared" si="62"/>
        <v>1383</v>
      </c>
      <c r="J924">
        <v>28</v>
      </c>
      <c r="K924" s="102" t="str">
        <f>VLOOKUP(J924,'&lt;Constants&gt;'!$A$4:$B$1020,2,FALSE)</f>
        <v>DLC_FIRESONG</v>
      </c>
      <c r="L924" s="102" t="str">
        <f>VLOOKUP(J924,'&lt;Constants&gt;'!$A$4:$C$1020,3,FALSE)</f>
        <v>Firesong</v>
      </c>
    </row>
    <row r="925" spans="1:12" x14ac:dyDescent="0.25">
      <c r="A925">
        <v>1372</v>
      </c>
      <c r="B925">
        <v>920</v>
      </c>
      <c r="C925">
        <v>1383</v>
      </c>
      <c r="D925" t="s">
        <v>3426</v>
      </c>
      <c r="E925" t="str">
        <f>IF(NOT(ISERROR(VLOOKUP(D925,'ESO DungeonFinder'!$A$2:$A$999,1,FALSE))),"X","")</f>
        <v/>
      </c>
      <c r="F925" s="102" t="str">
        <f t="shared" si="59"/>
        <v/>
      </c>
      <c r="G925" s="102" t="str">
        <f t="shared" si="60"/>
        <v>Galen</v>
      </c>
      <c r="H925" s="103">
        <f t="shared" si="61"/>
        <v>1372</v>
      </c>
      <c r="I925" s="103">
        <f t="shared" si="62"/>
        <v>1383</v>
      </c>
      <c r="J925">
        <v>28</v>
      </c>
      <c r="K925" s="102" t="str">
        <f>VLOOKUP(J925,'&lt;Constants&gt;'!$A$4:$B$1020,2,FALSE)</f>
        <v>DLC_FIRESONG</v>
      </c>
      <c r="L925" s="102" t="str">
        <f>VLOOKUP(J925,'&lt;Constants&gt;'!$A$4:$C$1020,3,FALSE)</f>
        <v>Firesong</v>
      </c>
    </row>
    <row r="926" spans="1:12" x14ac:dyDescent="0.25">
      <c r="A926">
        <v>1373</v>
      </c>
      <c r="B926">
        <v>921</v>
      </c>
      <c r="C926">
        <v>1383</v>
      </c>
      <c r="D926" t="s">
        <v>3427</v>
      </c>
      <c r="E926" t="str">
        <f>IF(NOT(ISERROR(VLOOKUP(D926,'ESO DungeonFinder'!$A$2:$A$999,1,FALSE))),"X","")</f>
        <v/>
      </c>
      <c r="F926" s="102" t="str">
        <f t="shared" si="59"/>
        <v/>
      </c>
      <c r="G926" s="102" t="str">
        <f t="shared" si="60"/>
        <v>Galen</v>
      </c>
      <c r="H926" s="103">
        <f t="shared" si="61"/>
        <v>1373</v>
      </c>
      <c r="I926" s="103">
        <f t="shared" si="62"/>
        <v>1383</v>
      </c>
      <c r="J926">
        <v>28</v>
      </c>
      <c r="K926" s="102" t="str">
        <f>VLOOKUP(J926,'&lt;Constants&gt;'!$A$4:$B$1020,2,FALSE)</f>
        <v>DLC_FIRESONG</v>
      </c>
      <c r="L926" s="102" t="str">
        <f>VLOOKUP(J926,'&lt;Constants&gt;'!$A$4:$C$1020,3,FALSE)</f>
        <v>Firesong</v>
      </c>
    </row>
    <row r="927" spans="1:12" x14ac:dyDescent="0.25">
      <c r="A927">
        <v>1374</v>
      </c>
      <c r="B927">
        <v>922</v>
      </c>
      <c r="C927">
        <v>1383</v>
      </c>
      <c r="D927" t="s">
        <v>3428</v>
      </c>
      <c r="E927" t="str">
        <f>IF(NOT(ISERROR(VLOOKUP(D927,'ESO DungeonFinder'!$A$2:$A$999,1,FALSE))),"X","")</f>
        <v/>
      </c>
      <c r="F927" s="102" t="str">
        <f t="shared" si="59"/>
        <v/>
      </c>
      <c r="G927" s="102" t="str">
        <f t="shared" si="60"/>
        <v>Galen</v>
      </c>
      <c r="H927" s="103">
        <f t="shared" si="61"/>
        <v>1374</v>
      </c>
      <c r="I927" s="103">
        <f t="shared" si="62"/>
        <v>1383</v>
      </c>
      <c r="J927">
        <v>28</v>
      </c>
      <c r="K927" s="102" t="str">
        <f>VLOOKUP(J927,'&lt;Constants&gt;'!$A$4:$B$1020,2,FALSE)</f>
        <v>DLC_FIRESONG</v>
      </c>
      <c r="L927" s="102" t="str">
        <f>VLOOKUP(J927,'&lt;Constants&gt;'!$A$4:$C$1020,3,FALSE)</f>
        <v>Firesong</v>
      </c>
    </row>
    <row r="928" spans="1:12" x14ac:dyDescent="0.25">
      <c r="A928">
        <v>1375</v>
      </c>
      <c r="B928">
        <v>923</v>
      </c>
      <c r="C928">
        <v>1383</v>
      </c>
      <c r="D928" t="s">
        <v>3429</v>
      </c>
      <c r="E928" t="str">
        <f>IF(NOT(ISERROR(VLOOKUP(D928,'ESO DungeonFinder'!$A$2:$A$999,1,FALSE))),"X","")</f>
        <v/>
      </c>
      <c r="F928" s="102" t="str">
        <f t="shared" si="59"/>
        <v/>
      </c>
      <c r="G928" s="102" t="str">
        <f t="shared" si="60"/>
        <v>Galen</v>
      </c>
      <c r="H928" s="103">
        <f t="shared" si="61"/>
        <v>1375</v>
      </c>
      <c r="I928" s="103">
        <f t="shared" si="62"/>
        <v>1383</v>
      </c>
      <c r="J928">
        <v>28</v>
      </c>
      <c r="K928" s="102" t="str">
        <f>VLOOKUP(J928,'&lt;Constants&gt;'!$A$4:$B$1020,2,FALSE)</f>
        <v>DLC_FIRESONG</v>
      </c>
      <c r="L928" s="102" t="str">
        <f>VLOOKUP(J928,'&lt;Constants&gt;'!$A$4:$C$1020,3,FALSE)</f>
        <v>Firesong</v>
      </c>
    </row>
    <row r="929" spans="1:12" x14ac:dyDescent="0.25">
      <c r="A929">
        <v>1376</v>
      </c>
      <c r="B929">
        <v>924</v>
      </c>
      <c r="C929">
        <v>1383</v>
      </c>
      <c r="D929" t="s">
        <v>3430</v>
      </c>
      <c r="E929" t="str">
        <f>IF(NOT(ISERROR(VLOOKUP(D929,'ESO DungeonFinder'!$A$2:$A$999,1,FALSE))),"X","")</f>
        <v/>
      </c>
      <c r="F929" s="102" t="str">
        <f t="shared" si="59"/>
        <v/>
      </c>
      <c r="G929" s="102" t="str">
        <f t="shared" si="60"/>
        <v>Galen</v>
      </c>
      <c r="H929" s="103">
        <f t="shared" si="61"/>
        <v>1376</v>
      </c>
      <c r="I929" s="103">
        <f t="shared" si="62"/>
        <v>1383</v>
      </c>
      <c r="J929">
        <v>28</v>
      </c>
      <c r="K929" s="102" t="str">
        <f>VLOOKUP(J929,'&lt;Constants&gt;'!$A$4:$B$1020,2,FALSE)</f>
        <v>DLC_FIRESONG</v>
      </c>
      <c r="L929" s="102" t="str">
        <f>VLOOKUP(J929,'&lt;Constants&gt;'!$A$4:$C$1020,3,FALSE)</f>
        <v>Firesong</v>
      </c>
    </row>
    <row r="930" spans="1:12" x14ac:dyDescent="0.25">
      <c r="A930">
        <v>1377</v>
      </c>
      <c r="B930">
        <v>925</v>
      </c>
      <c r="C930">
        <v>1383</v>
      </c>
      <c r="D930" t="s">
        <v>3438</v>
      </c>
      <c r="E930" t="str">
        <f>IF(NOT(ISERROR(VLOOKUP(D930,'ESO DungeonFinder'!$A$2:$A$999,1,FALSE))),"X","")</f>
        <v/>
      </c>
      <c r="F930" s="102" t="str">
        <f t="shared" si="59"/>
        <v/>
      </c>
      <c r="G930" s="102" t="str">
        <f t="shared" si="60"/>
        <v>Galen</v>
      </c>
      <c r="H930" s="103">
        <f t="shared" si="61"/>
        <v>1377</v>
      </c>
      <c r="I930" s="103">
        <f t="shared" si="62"/>
        <v>1383</v>
      </c>
      <c r="J930">
        <v>28</v>
      </c>
      <c r="K930" s="102" t="str">
        <f>VLOOKUP(J930,'&lt;Constants&gt;'!$A$4:$B$1020,2,FALSE)</f>
        <v>DLC_FIRESONG</v>
      </c>
      <c r="L930" s="102" t="str">
        <f>VLOOKUP(J930,'&lt;Constants&gt;'!$A$4:$C$1020,3,FALSE)</f>
        <v>Firesong</v>
      </c>
    </row>
    <row r="931" spans="1:12" x14ac:dyDescent="0.25">
      <c r="A931">
        <v>1378</v>
      </c>
      <c r="B931">
        <v>926</v>
      </c>
      <c r="C931">
        <v>1383</v>
      </c>
      <c r="D931" t="s">
        <v>3437</v>
      </c>
      <c r="E931" t="str">
        <f>IF(NOT(ISERROR(VLOOKUP(D931,'ESO DungeonFinder'!$A$2:$A$999,1,FALSE))),"X","")</f>
        <v/>
      </c>
      <c r="F931" s="102" t="str">
        <f t="shared" si="59"/>
        <v/>
      </c>
      <c r="G931" s="102" t="str">
        <f t="shared" si="60"/>
        <v>Galen</v>
      </c>
      <c r="H931" s="103">
        <f t="shared" si="61"/>
        <v>1378</v>
      </c>
      <c r="I931" s="103">
        <f t="shared" si="62"/>
        <v>1383</v>
      </c>
      <c r="J931">
        <v>28</v>
      </c>
      <c r="K931" s="102" t="str">
        <f>VLOOKUP(J931,'&lt;Constants&gt;'!$A$4:$B$1020,2,FALSE)</f>
        <v>DLC_FIRESONG</v>
      </c>
      <c r="L931" s="102" t="str">
        <f>VLOOKUP(J931,'&lt;Constants&gt;'!$A$4:$C$1020,3,FALSE)</f>
        <v>Firesong</v>
      </c>
    </row>
    <row r="932" spans="1:12" x14ac:dyDescent="0.25">
      <c r="A932">
        <v>1379</v>
      </c>
      <c r="B932">
        <v>927</v>
      </c>
      <c r="C932">
        <v>1383</v>
      </c>
      <c r="D932" t="s">
        <v>3431</v>
      </c>
      <c r="E932" t="str">
        <f>IF(NOT(ISERROR(VLOOKUP(D932,'ESO DungeonFinder'!$A$2:$A$999,1,FALSE))),"X","")</f>
        <v/>
      </c>
      <c r="F932" s="102" t="str">
        <f t="shared" si="59"/>
        <v/>
      </c>
      <c r="G932" s="102" t="str">
        <f t="shared" si="60"/>
        <v>Galen</v>
      </c>
      <c r="H932" s="103">
        <f t="shared" si="61"/>
        <v>1379</v>
      </c>
      <c r="I932" s="103">
        <f t="shared" si="62"/>
        <v>1383</v>
      </c>
      <c r="J932">
        <v>28</v>
      </c>
      <c r="K932" s="102" t="str">
        <f>VLOOKUP(J932,'&lt;Constants&gt;'!$A$4:$B$1020,2,FALSE)</f>
        <v>DLC_FIRESONG</v>
      </c>
      <c r="L932" s="102" t="str">
        <f>VLOOKUP(J932,'&lt;Constants&gt;'!$A$4:$C$1020,3,FALSE)</f>
        <v>Firesong</v>
      </c>
    </row>
    <row r="933" spans="1:12" x14ac:dyDescent="0.25">
      <c r="A933">
        <v>1380</v>
      </c>
      <c r="B933">
        <v>928</v>
      </c>
      <c r="C933">
        <v>1383</v>
      </c>
      <c r="D933" t="s">
        <v>3432</v>
      </c>
      <c r="E933" t="str">
        <f>IF(NOT(ISERROR(VLOOKUP(D933,'ESO DungeonFinder'!$A$2:$A$999,1,FALSE))),"X","")</f>
        <v/>
      </c>
      <c r="F933" s="102" t="str">
        <f t="shared" si="59"/>
        <v/>
      </c>
      <c r="G933" s="102" t="str">
        <f t="shared" si="60"/>
        <v>Galen</v>
      </c>
      <c r="H933" s="103">
        <f t="shared" si="61"/>
        <v>1380</v>
      </c>
      <c r="I933" s="103">
        <f t="shared" si="62"/>
        <v>1383</v>
      </c>
      <c r="J933">
        <v>28</v>
      </c>
      <c r="K933" s="102" t="str">
        <f>VLOOKUP(J933,'&lt;Constants&gt;'!$A$4:$B$1020,2,FALSE)</f>
        <v>DLC_FIRESONG</v>
      </c>
      <c r="L933" s="102" t="str">
        <f>VLOOKUP(J933,'&lt;Constants&gt;'!$A$4:$C$1020,3,FALSE)</f>
        <v>Firesong</v>
      </c>
    </row>
    <row r="934" spans="1:12" x14ac:dyDescent="0.25">
      <c r="A934">
        <v>1381</v>
      </c>
      <c r="B934">
        <v>929</v>
      </c>
      <c r="C934">
        <v>1383</v>
      </c>
      <c r="D934" t="s">
        <v>3433</v>
      </c>
      <c r="E934" t="str">
        <f>IF(NOT(ISERROR(VLOOKUP(D934,'ESO DungeonFinder'!$A$2:$A$999,1,FALSE))),"X","")</f>
        <v/>
      </c>
      <c r="F934" s="102" t="str">
        <f t="shared" si="59"/>
        <v/>
      </c>
      <c r="G934" s="102" t="str">
        <f t="shared" si="60"/>
        <v>Galen</v>
      </c>
      <c r="H934" s="103">
        <f t="shared" si="61"/>
        <v>1381</v>
      </c>
      <c r="I934" s="103">
        <f t="shared" si="62"/>
        <v>1383</v>
      </c>
      <c r="J934">
        <v>28</v>
      </c>
      <c r="K934" s="102" t="str">
        <f>VLOOKUP(J934,'&lt;Constants&gt;'!$A$4:$B$1020,2,FALSE)</f>
        <v>DLC_FIRESONG</v>
      </c>
      <c r="L934" s="102" t="str">
        <f>VLOOKUP(J934,'&lt;Constants&gt;'!$A$4:$C$1020,3,FALSE)</f>
        <v>Firesong</v>
      </c>
    </row>
    <row r="935" spans="1:12" x14ac:dyDescent="0.25">
      <c r="A935">
        <v>1382</v>
      </c>
      <c r="B935">
        <v>930</v>
      </c>
      <c r="C935">
        <v>1383</v>
      </c>
      <c r="D935" t="s">
        <v>3856</v>
      </c>
      <c r="E935" t="str">
        <f>IF(NOT(ISERROR(VLOOKUP(D935,'ESO DungeonFinder'!$A$2:$A$999,1,FALSE))),"X","")</f>
        <v/>
      </c>
      <c r="F935" s="102" t="str">
        <f t="shared" si="59"/>
        <v/>
      </c>
      <c r="G935" s="102" t="str">
        <f t="shared" si="60"/>
        <v>Galen</v>
      </c>
      <c r="H935" s="103">
        <f t="shared" si="61"/>
        <v>1382</v>
      </c>
      <c r="I935" s="103">
        <f t="shared" si="62"/>
        <v>1383</v>
      </c>
      <c r="J935">
        <v>8</v>
      </c>
      <c r="K935" s="102" t="str">
        <f>VLOOKUP(J935,'&lt;Constants&gt;'!$A$4:$B$1020,2,FALSE)</f>
        <v>DLC_CLOCKWORK_CITY</v>
      </c>
      <c r="L935" s="102" t="str">
        <f>VLOOKUP(J935,'&lt;Constants&gt;'!$A$4:$C$1020,3,FALSE)</f>
        <v>Clockwork City</v>
      </c>
    </row>
    <row r="936" spans="1:12" x14ac:dyDescent="0.25">
      <c r="A936">
        <v>1383</v>
      </c>
      <c r="B936">
        <v>931</v>
      </c>
      <c r="C936">
        <v>1383</v>
      </c>
      <c r="D936" t="s">
        <v>3436</v>
      </c>
      <c r="E936" t="str">
        <f>IF(NOT(ISERROR(VLOOKUP(D936,'ESO DungeonFinder'!$A$2:$A$999,1,FALSE))),"X","")</f>
        <v/>
      </c>
      <c r="F936" s="102" t="str">
        <f t="shared" si="59"/>
        <v>X</v>
      </c>
      <c r="G936" s="102" t="str">
        <f t="shared" si="60"/>
        <v/>
      </c>
      <c r="H936" s="103">
        <f t="shared" si="61"/>
        <v>1383</v>
      </c>
      <c r="I936" s="103">
        <f t="shared" si="62"/>
        <v>1383</v>
      </c>
      <c r="J936">
        <v>28</v>
      </c>
      <c r="K936" s="102" t="str">
        <f>VLOOKUP(J936,'&lt;Constants&gt;'!$A$4:$B$1020,2,FALSE)</f>
        <v>DLC_FIRESONG</v>
      </c>
      <c r="L936" s="102" t="str">
        <f>VLOOKUP(J936,'&lt;Constants&gt;'!$A$4:$C$1020,3,FALSE)</f>
        <v>Firesong</v>
      </c>
    </row>
    <row r="937" spans="1:12" x14ac:dyDescent="0.25">
      <c r="A937">
        <v>1385</v>
      </c>
      <c r="B937">
        <v>932</v>
      </c>
      <c r="C937">
        <v>1383</v>
      </c>
      <c r="D937" t="s">
        <v>3435</v>
      </c>
      <c r="E937" t="str">
        <f>IF(NOT(ISERROR(VLOOKUP(D937,'ESO DungeonFinder'!$A$2:$A$999,1,FALSE))),"X","")</f>
        <v/>
      </c>
      <c r="F937" s="102" t="str">
        <f t="shared" si="59"/>
        <v/>
      </c>
      <c r="G937" s="102" t="str">
        <f t="shared" si="60"/>
        <v>Galen</v>
      </c>
      <c r="H937" s="103">
        <f t="shared" si="61"/>
        <v>1385</v>
      </c>
      <c r="I937" s="103">
        <f t="shared" si="62"/>
        <v>1383</v>
      </c>
      <c r="J937">
        <v>28</v>
      </c>
      <c r="K937" s="102" t="str">
        <f>VLOOKUP(J937,'&lt;Constants&gt;'!$A$4:$B$1020,2,FALSE)</f>
        <v>DLC_FIRESONG</v>
      </c>
      <c r="L937" s="102" t="str">
        <f>VLOOKUP(J937,'&lt;Constants&gt;'!$A$4:$C$1020,3,FALSE)</f>
        <v>Firesong</v>
      </c>
    </row>
    <row r="938" spans="1:12" x14ac:dyDescent="0.25">
      <c r="A938">
        <v>1386</v>
      </c>
      <c r="B938">
        <v>933</v>
      </c>
      <c r="C938">
        <v>1383</v>
      </c>
      <c r="D938" t="s">
        <v>3426</v>
      </c>
      <c r="E938" t="str">
        <f>IF(NOT(ISERROR(VLOOKUP(D938,'ESO DungeonFinder'!$A$2:$A$999,1,FALSE))),"X","")</f>
        <v/>
      </c>
      <c r="F938" s="102" t="str">
        <f t="shared" si="59"/>
        <v/>
      </c>
      <c r="G938" s="102" t="str">
        <f t="shared" si="60"/>
        <v>Galen</v>
      </c>
      <c r="H938" s="103">
        <f t="shared" si="61"/>
        <v>1386</v>
      </c>
      <c r="I938" s="103">
        <f t="shared" si="62"/>
        <v>1383</v>
      </c>
      <c r="J938">
        <v>28</v>
      </c>
      <c r="K938" s="102" t="str">
        <f>VLOOKUP(J938,'&lt;Constants&gt;'!$A$4:$B$1020,2,FALSE)</f>
        <v>DLC_FIRESONG</v>
      </c>
      <c r="L938" s="102" t="str">
        <f>VLOOKUP(J938,'&lt;Constants&gt;'!$A$4:$C$1020,3,FALSE)</f>
        <v>Firesong</v>
      </c>
    </row>
    <row r="939" spans="1:12" x14ac:dyDescent="0.25">
      <c r="A939">
        <v>1387</v>
      </c>
      <c r="B939">
        <v>934</v>
      </c>
      <c r="C939">
        <v>1383</v>
      </c>
      <c r="D939" t="s">
        <v>3434</v>
      </c>
      <c r="E939" t="str">
        <f>IF(NOT(ISERROR(VLOOKUP(D939,'ESO DungeonFinder'!$A$2:$A$999,1,FALSE))),"X","")</f>
        <v/>
      </c>
      <c r="F939" s="102" t="str">
        <f t="shared" si="59"/>
        <v/>
      </c>
      <c r="G939" s="102" t="str">
        <f t="shared" si="60"/>
        <v>Galen</v>
      </c>
      <c r="H939" s="103">
        <f t="shared" si="61"/>
        <v>1387</v>
      </c>
      <c r="I939" s="103">
        <f t="shared" si="62"/>
        <v>1383</v>
      </c>
      <c r="J939">
        <v>29</v>
      </c>
      <c r="K939" s="102" t="str">
        <f>VLOOKUP(J939,'&lt;Constants&gt;'!$A$4:$B$1020,2,FALSE)</f>
        <v>DLC_SCRIBES_OF_FATE</v>
      </c>
      <c r="L939" s="102" t="str">
        <f>VLOOKUP(J939,'&lt;Constants&gt;'!$A$4:$C$1020,3,FALSE)</f>
        <v>Scribes of Fate</v>
      </c>
    </row>
    <row r="940" spans="1:12" x14ac:dyDescent="0.25">
      <c r="A940">
        <v>1389</v>
      </c>
      <c r="B940">
        <v>935</v>
      </c>
      <c r="C940">
        <v>41</v>
      </c>
      <c r="D940" t="s">
        <v>3518</v>
      </c>
      <c r="E940" t="str">
        <f>IF(NOT(ISERROR(VLOOKUP(D940,'ESO DungeonFinder'!$A$2:$A$999,1,FALSE))),"X","")</f>
        <v>X</v>
      </c>
      <c r="F940" s="102" t="str">
        <f t="shared" si="59"/>
        <v/>
      </c>
      <c r="G940" s="102" t="str">
        <f t="shared" si="60"/>
        <v>Stonefalls</v>
      </c>
      <c r="H940" s="103">
        <f t="shared" si="61"/>
        <v>1389</v>
      </c>
      <c r="I940" s="103">
        <f t="shared" si="62"/>
        <v>41</v>
      </c>
      <c r="J940">
        <v>29</v>
      </c>
      <c r="K940" s="102" t="str">
        <f>VLOOKUP(J940,'&lt;Constants&gt;'!$A$4:$B$1020,2,FALSE)</f>
        <v>DLC_SCRIBES_OF_FATE</v>
      </c>
      <c r="L940" s="102" t="str">
        <f>VLOOKUP(J940,'&lt;Constants&gt;'!$A$4:$C$1020,3,FALSE)</f>
        <v>Scribes of Fate</v>
      </c>
    </row>
    <row r="941" spans="1:12" x14ac:dyDescent="0.25">
      <c r="A941">
        <v>1390</v>
      </c>
      <c r="B941">
        <v>936</v>
      </c>
      <c r="C941">
        <v>103</v>
      </c>
      <c r="D941" t="s">
        <v>3544</v>
      </c>
      <c r="E941" t="str">
        <f>IF(NOT(ISERROR(VLOOKUP(D941,'ESO DungeonFinder'!$A$2:$A$999,1,FALSE))),"X","")</f>
        <v>X</v>
      </c>
      <c r="F941" s="102" t="str">
        <f t="shared" si="59"/>
        <v/>
      </c>
      <c r="G941" s="102" t="str">
        <f t="shared" si="60"/>
        <v>The Rift</v>
      </c>
      <c r="H941" s="103">
        <f t="shared" si="61"/>
        <v>1390</v>
      </c>
      <c r="I941" s="103">
        <f t="shared" si="62"/>
        <v>103</v>
      </c>
      <c r="J941">
        <v>0</v>
      </c>
      <c r="K941" s="102" t="str">
        <f>VLOOKUP(J941,'&lt;Constants&gt;'!$A$4:$B$1020,2,FALSE)</f>
        <v>DLC_BASE_GAME</v>
      </c>
      <c r="L941" s="102" t="str">
        <f>VLOOKUP(J941,'&lt;Constants&gt;'!$A$4:$C$1020,3,FALSE)</f>
        <v>Included in base game</v>
      </c>
    </row>
    <row r="942" spans="1:12" x14ac:dyDescent="0.25">
      <c r="A942">
        <v>1391</v>
      </c>
      <c r="B942">
        <v>937</v>
      </c>
      <c r="C942">
        <v>537</v>
      </c>
      <c r="D942" t="s">
        <v>3543</v>
      </c>
      <c r="E942" t="str">
        <f>IF(NOT(ISERROR(VLOOKUP(D942,'ESO DungeonFinder'!$A$2:$A$999,1,FALSE))),"X","")</f>
        <v/>
      </c>
      <c r="F942" s="102" t="str">
        <f t="shared" si="59"/>
        <v/>
      </c>
      <c r="G942" s="102" t="str">
        <f t="shared" si="60"/>
        <v>Khenarthi's Roost</v>
      </c>
      <c r="H942" s="103">
        <f t="shared" si="61"/>
        <v>1391</v>
      </c>
      <c r="I942" s="103">
        <f t="shared" si="62"/>
        <v>537</v>
      </c>
      <c r="J942">
        <v>0</v>
      </c>
      <c r="K942" s="102" t="str">
        <f>VLOOKUP(J942,'&lt;Constants&gt;'!$A$4:$B$1020,2,FALSE)</f>
        <v>DLC_BASE_GAME</v>
      </c>
      <c r="L942" s="102" t="str">
        <f>VLOOKUP(J942,'&lt;Constants&gt;'!$A$4:$C$1020,3,FALSE)</f>
        <v>Included in base game</v>
      </c>
    </row>
    <row r="943" spans="1:12" x14ac:dyDescent="0.25">
      <c r="A943">
        <v>1392</v>
      </c>
      <c r="B943">
        <v>938</v>
      </c>
      <c r="C943">
        <v>537</v>
      </c>
      <c r="D943" t="s">
        <v>3542</v>
      </c>
      <c r="E943" t="str">
        <f>IF(NOT(ISERROR(VLOOKUP(D943,'ESO DungeonFinder'!$A$2:$A$999,1,FALSE))),"X","")</f>
        <v/>
      </c>
      <c r="F943" s="102" t="str">
        <f t="shared" si="59"/>
        <v/>
      </c>
      <c r="G943" s="102" t="str">
        <f t="shared" si="60"/>
        <v>Khenarthi's Roost</v>
      </c>
      <c r="H943" s="103">
        <f t="shared" si="61"/>
        <v>1392</v>
      </c>
      <c r="I943" s="103">
        <f t="shared" si="62"/>
        <v>537</v>
      </c>
      <c r="J943">
        <v>30</v>
      </c>
      <c r="K943" s="102" t="str">
        <f>VLOOKUP(J943,'&lt;Constants&gt;'!$A$4:$B$1020,2,FALSE)</f>
        <v>DLC_NECROM</v>
      </c>
      <c r="L943" s="102" t="str">
        <f>VLOOKUP(J943,'&lt;Constants&gt;'!$A$4:$C$1020,3,FALSE)</f>
        <v>Necrom</v>
      </c>
    </row>
    <row r="944" spans="1:12" x14ac:dyDescent="0.25">
      <c r="A944">
        <v>1393</v>
      </c>
      <c r="B944">
        <v>939</v>
      </c>
      <c r="C944">
        <v>1414</v>
      </c>
      <c r="D944" t="s">
        <v>3658</v>
      </c>
      <c r="E944" t="str">
        <f>IF(NOT(ISERROR(VLOOKUP(D944,'ESO DungeonFinder'!$A$2:$A$999,1,FALSE))),"X","")</f>
        <v/>
      </c>
      <c r="F944" s="102" t="str">
        <f t="shared" si="59"/>
        <v/>
      </c>
      <c r="G944" s="102" t="str">
        <f t="shared" si="60"/>
        <v>Telvanni Peninsula</v>
      </c>
      <c r="H944" s="103">
        <f t="shared" si="61"/>
        <v>1393</v>
      </c>
      <c r="I944" s="103">
        <f t="shared" si="62"/>
        <v>1414</v>
      </c>
      <c r="J944">
        <v>30</v>
      </c>
      <c r="K944" s="102" t="str">
        <f>VLOOKUP(J944,'&lt;Constants&gt;'!$A$4:$B$1020,2,FALSE)</f>
        <v>DLC_NECROM</v>
      </c>
      <c r="L944" s="102" t="str">
        <f>VLOOKUP(J944,'&lt;Constants&gt;'!$A$4:$C$1020,3,FALSE)</f>
        <v>Necrom</v>
      </c>
    </row>
    <row r="945" spans="1:12" x14ac:dyDescent="0.25">
      <c r="A945">
        <v>1394</v>
      </c>
      <c r="B945">
        <v>940</v>
      </c>
      <c r="C945">
        <v>1414</v>
      </c>
      <c r="D945" t="s">
        <v>3657</v>
      </c>
      <c r="E945" t="str">
        <f>IF(NOT(ISERROR(VLOOKUP(D945,'ESO DungeonFinder'!$A$2:$A$999,1,FALSE))),"X","")</f>
        <v/>
      </c>
      <c r="F945" s="102" t="str">
        <f t="shared" si="59"/>
        <v/>
      </c>
      <c r="G945" s="102" t="str">
        <f t="shared" si="60"/>
        <v>Telvanni Peninsula</v>
      </c>
      <c r="H945" s="103">
        <f t="shared" si="61"/>
        <v>1394</v>
      </c>
      <c r="I945" s="103">
        <f t="shared" si="62"/>
        <v>1414</v>
      </c>
      <c r="J945">
        <v>30</v>
      </c>
      <c r="K945" s="102" t="str">
        <f>VLOOKUP(J945,'&lt;Constants&gt;'!$A$4:$B$1020,2,FALSE)</f>
        <v>DLC_NECROM</v>
      </c>
      <c r="L945" s="102" t="str">
        <f>VLOOKUP(J945,'&lt;Constants&gt;'!$A$4:$C$1020,3,FALSE)</f>
        <v>Necrom</v>
      </c>
    </row>
    <row r="946" spans="1:12" x14ac:dyDescent="0.25">
      <c r="A946">
        <v>1395</v>
      </c>
      <c r="B946">
        <v>941</v>
      </c>
      <c r="C946">
        <v>1414</v>
      </c>
      <c r="D946" t="s">
        <v>3657</v>
      </c>
      <c r="E946" t="str">
        <f>IF(NOT(ISERROR(VLOOKUP(D946,'ESO DungeonFinder'!$A$2:$A$999,1,FALSE))),"X","")</f>
        <v/>
      </c>
      <c r="F946" s="102" t="str">
        <f t="shared" si="59"/>
        <v/>
      </c>
      <c r="G946" s="102" t="str">
        <f t="shared" si="60"/>
        <v>Telvanni Peninsula</v>
      </c>
      <c r="H946" s="103">
        <f t="shared" si="61"/>
        <v>1395</v>
      </c>
      <c r="I946" s="103">
        <f t="shared" si="62"/>
        <v>1414</v>
      </c>
      <c r="J946">
        <v>30</v>
      </c>
      <c r="K946" s="102" t="str">
        <f>VLOOKUP(J946,'&lt;Constants&gt;'!$A$4:$B$1020,2,FALSE)</f>
        <v>DLC_NECROM</v>
      </c>
      <c r="L946" s="102" t="str">
        <f>VLOOKUP(J946,'&lt;Constants&gt;'!$A$4:$C$1020,3,FALSE)</f>
        <v>Necrom</v>
      </c>
    </row>
    <row r="947" spans="1:12" x14ac:dyDescent="0.25">
      <c r="A947">
        <v>1396</v>
      </c>
      <c r="B947">
        <v>942</v>
      </c>
      <c r="C947">
        <v>1414</v>
      </c>
      <c r="D947" t="s">
        <v>3656</v>
      </c>
      <c r="E947" t="str">
        <f>IF(NOT(ISERROR(VLOOKUP(D947,'ESO DungeonFinder'!$A$2:$A$999,1,FALSE))),"X","")</f>
        <v/>
      </c>
      <c r="F947" s="102" t="str">
        <f t="shared" si="59"/>
        <v/>
      </c>
      <c r="G947" s="102" t="str">
        <f t="shared" si="60"/>
        <v>Telvanni Peninsula</v>
      </c>
      <c r="H947" s="103">
        <f t="shared" si="61"/>
        <v>1396</v>
      </c>
      <c r="I947" s="103">
        <f t="shared" si="62"/>
        <v>1414</v>
      </c>
      <c r="J947">
        <v>30</v>
      </c>
      <c r="K947" s="102" t="str">
        <f>VLOOKUP(J947,'&lt;Constants&gt;'!$A$4:$B$1020,2,FALSE)</f>
        <v>DLC_NECROM</v>
      </c>
      <c r="L947" s="102" t="str">
        <f>VLOOKUP(J947,'&lt;Constants&gt;'!$A$4:$C$1020,3,FALSE)</f>
        <v>Necrom</v>
      </c>
    </row>
    <row r="948" spans="1:12" x14ac:dyDescent="0.25">
      <c r="A948">
        <v>1397</v>
      </c>
      <c r="B948">
        <v>943</v>
      </c>
      <c r="C948">
        <v>1414</v>
      </c>
      <c r="D948" t="s">
        <v>3632</v>
      </c>
      <c r="E948" t="str">
        <f>IF(NOT(ISERROR(VLOOKUP(D948,'ESO DungeonFinder'!$A$2:$A$999,1,FALSE))),"X","")</f>
        <v/>
      </c>
      <c r="F948" s="102" t="str">
        <f t="shared" si="59"/>
        <v/>
      </c>
      <c r="G948" s="102" t="str">
        <f t="shared" si="60"/>
        <v>Telvanni Peninsula</v>
      </c>
      <c r="H948" s="103">
        <f t="shared" si="61"/>
        <v>1397</v>
      </c>
      <c r="I948" s="103">
        <f t="shared" si="62"/>
        <v>1414</v>
      </c>
      <c r="J948">
        <v>30</v>
      </c>
      <c r="K948" s="102" t="str">
        <f>VLOOKUP(J948,'&lt;Constants&gt;'!$A$4:$B$1020,2,FALSE)</f>
        <v>DLC_NECROM</v>
      </c>
      <c r="L948" s="102" t="str">
        <f>VLOOKUP(J948,'&lt;Constants&gt;'!$A$4:$C$1020,3,FALSE)</f>
        <v>Necrom</v>
      </c>
    </row>
    <row r="949" spans="1:12" x14ac:dyDescent="0.25">
      <c r="A949">
        <v>1398</v>
      </c>
      <c r="B949">
        <v>944</v>
      </c>
      <c r="C949">
        <v>1414</v>
      </c>
      <c r="D949" t="s">
        <v>3655</v>
      </c>
      <c r="E949" t="str">
        <f>IF(NOT(ISERROR(VLOOKUP(D949,'ESO DungeonFinder'!$A$2:$A$999,1,FALSE))),"X","")</f>
        <v/>
      </c>
      <c r="F949" s="102" t="str">
        <f t="shared" si="59"/>
        <v/>
      </c>
      <c r="G949" s="102" t="str">
        <f t="shared" si="60"/>
        <v>Telvanni Peninsula</v>
      </c>
      <c r="H949" s="103">
        <f t="shared" si="61"/>
        <v>1398</v>
      </c>
      <c r="I949" s="103">
        <f t="shared" si="62"/>
        <v>1414</v>
      </c>
      <c r="J949">
        <v>30</v>
      </c>
      <c r="K949" s="102" t="str">
        <f>VLOOKUP(J949,'&lt;Constants&gt;'!$A$4:$B$1020,2,FALSE)</f>
        <v>DLC_NECROM</v>
      </c>
      <c r="L949" s="102" t="str">
        <f>VLOOKUP(J949,'&lt;Constants&gt;'!$A$4:$C$1020,3,FALSE)</f>
        <v>Necrom</v>
      </c>
    </row>
    <row r="950" spans="1:12" x14ac:dyDescent="0.25">
      <c r="A950">
        <v>1399</v>
      </c>
      <c r="B950">
        <v>945</v>
      </c>
      <c r="C950">
        <v>1414</v>
      </c>
      <c r="D950" t="s">
        <v>3654</v>
      </c>
      <c r="E950" t="str">
        <f>IF(NOT(ISERROR(VLOOKUP(D950,'ESO DungeonFinder'!$A$2:$A$999,1,FALSE))),"X","")</f>
        <v/>
      </c>
      <c r="F950" s="102" t="str">
        <f t="shared" si="59"/>
        <v/>
      </c>
      <c r="G950" s="102" t="str">
        <f t="shared" si="60"/>
        <v>Telvanni Peninsula</v>
      </c>
      <c r="H950" s="103">
        <f t="shared" si="61"/>
        <v>1399</v>
      </c>
      <c r="I950" s="103">
        <f t="shared" si="62"/>
        <v>1414</v>
      </c>
      <c r="J950">
        <v>30</v>
      </c>
      <c r="K950" s="102" t="str">
        <f>VLOOKUP(J950,'&lt;Constants&gt;'!$A$4:$B$1020,2,FALSE)</f>
        <v>DLC_NECROM</v>
      </c>
      <c r="L950" s="102" t="str">
        <f>VLOOKUP(J950,'&lt;Constants&gt;'!$A$4:$C$1020,3,FALSE)</f>
        <v>Necrom</v>
      </c>
    </row>
    <row r="951" spans="1:12" x14ac:dyDescent="0.25">
      <c r="A951">
        <v>1400</v>
      </c>
      <c r="B951">
        <v>946</v>
      </c>
      <c r="C951">
        <v>1414</v>
      </c>
      <c r="D951" t="s">
        <v>3653</v>
      </c>
      <c r="E951" t="str">
        <f>IF(NOT(ISERROR(VLOOKUP(D951,'ESO DungeonFinder'!$A$2:$A$999,1,FALSE))),"X","")</f>
        <v/>
      </c>
      <c r="F951" s="102" t="str">
        <f t="shared" si="59"/>
        <v/>
      </c>
      <c r="G951" s="102" t="str">
        <f t="shared" si="60"/>
        <v>Telvanni Peninsula</v>
      </c>
      <c r="H951" s="103">
        <f t="shared" si="61"/>
        <v>1400</v>
      </c>
      <c r="I951" s="103">
        <f t="shared" si="62"/>
        <v>1414</v>
      </c>
      <c r="J951">
        <v>30</v>
      </c>
      <c r="K951" s="102" t="str">
        <f>VLOOKUP(J951,'&lt;Constants&gt;'!$A$4:$B$1020,2,FALSE)</f>
        <v>DLC_NECROM</v>
      </c>
      <c r="L951" s="102" t="str">
        <f>VLOOKUP(J951,'&lt;Constants&gt;'!$A$4:$C$1020,3,FALSE)</f>
        <v>Necrom</v>
      </c>
    </row>
    <row r="952" spans="1:12" x14ac:dyDescent="0.25">
      <c r="A952">
        <v>1401</v>
      </c>
      <c r="B952">
        <v>947</v>
      </c>
      <c r="C952">
        <v>1414</v>
      </c>
      <c r="D952" t="s">
        <v>3652</v>
      </c>
      <c r="E952" t="str">
        <f>IF(NOT(ISERROR(VLOOKUP(D952,'ESO DungeonFinder'!$A$2:$A$999,1,FALSE))),"X","")</f>
        <v/>
      </c>
      <c r="F952" s="102" t="str">
        <f t="shared" si="59"/>
        <v/>
      </c>
      <c r="G952" s="102" t="str">
        <f t="shared" si="60"/>
        <v>Telvanni Peninsula</v>
      </c>
      <c r="H952" s="103">
        <f t="shared" si="61"/>
        <v>1401</v>
      </c>
      <c r="I952" s="103">
        <f t="shared" si="62"/>
        <v>1414</v>
      </c>
      <c r="J952">
        <v>30</v>
      </c>
      <c r="K952" s="102" t="str">
        <f>VLOOKUP(J952,'&lt;Constants&gt;'!$A$4:$B$1020,2,FALSE)</f>
        <v>DLC_NECROM</v>
      </c>
      <c r="L952" s="102" t="str">
        <f>VLOOKUP(J952,'&lt;Constants&gt;'!$A$4:$C$1020,3,FALSE)</f>
        <v>Necrom</v>
      </c>
    </row>
    <row r="953" spans="1:12" x14ac:dyDescent="0.25">
      <c r="A953">
        <v>1402</v>
      </c>
      <c r="B953">
        <v>948</v>
      </c>
      <c r="C953">
        <v>1414</v>
      </c>
      <c r="D953" t="s">
        <v>3651</v>
      </c>
      <c r="E953" t="str">
        <f>IF(NOT(ISERROR(VLOOKUP(D953,'ESO DungeonFinder'!$A$2:$A$999,1,FALSE))),"X","")</f>
        <v/>
      </c>
      <c r="F953" s="102" t="str">
        <f t="shared" si="59"/>
        <v/>
      </c>
      <c r="G953" s="102" t="str">
        <f t="shared" si="60"/>
        <v>Telvanni Peninsula</v>
      </c>
      <c r="H953" s="103">
        <f t="shared" si="61"/>
        <v>1402</v>
      </c>
      <c r="I953" s="103">
        <f t="shared" si="62"/>
        <v>1414</v>
      </c>
      <c r="J953">
        <v>30</v>
      </c>
      <c r="K953" s="102" t="str">
        <f>VLOOKUP(J953,'&lt;Constants&gt;'!$A$4:$B$1020,2,FALSE)</f>
        <v>DLC_NECROM</v>
      </c>
      <c r="L953" s="102" t="str">
        <f>VLOOKUP(J953,'&lt;Constants&gt;'!$A$4:$C$1020,3,FALSE)</f>
        <v>Necrom</v>
      </c>
    </row>
    <row r="954" spans="1:12" x14ac:dyDescent="0.25">
      <c r="A954">
        <v>1403</v>
      </c>
      <c r="B954">
        <v>949</v>
      </c>
      <c r="C954">
        <v>1414</v>
      </c>
      <c r="D954" t="s">
        <v>3650</v>
      </c>
      <c r="E954" t="str">
        <f>IF(NOT(ISERROR(VLOOKUP(D954,'ESO DungeonFinder'!$A$2:$A$999,1,FALSE))),"X","")</f>
        <v/>
      </c>
      <c r="F954" s="102" t="str">
        <f t="shared" si="59"/>
        <v/>
      </c>
      <c r="G954" s="102" t="str">
        <f t="shared" si="60"/>
        <v>Telvanni Peninsula</v>
      </c>
      <c r="H954" s="103">
        <f t="shared" si="61"/>
        <v>1403</v>
      </c>
      <c r="I954" s="103">
        <f t="shared" si="62"/>
        <v>1414</v>
      </c>
      <c r="J954">
        <v>30</v>
      </c>
      <c r="K954" s="102" t="str">
        <f>VLOOKUP(J954,'&lt;Constants&gt;'!$A$4:$B$1020,2,FALSE)</f>
        <v>DLC_NECROM</v>
      </c>
      <c r="L954" s="102" t="str">
        <f>VLOOKUP(J954,'&lt;Constants&gt;'!$A$4:$C$1020,3,FALSE)</f>
        <v>Necrom</v>
      </c>
    </row>
    <row r="955" spans="1:12" x14ac:dyDescent="0.25">
      <c r="A955">
        <v>1404</v>
      </c>
      <c r="B955">
        <v>950</v>
      </c>
      <c r="C955">
        <v>1414</v>
      </c>
      <c r="D955" t="s">
        <v>3659</v>
      </c>
      <c r="E955" t="str">
        <f>IF(NOT(ISERROR(VLOOKUP(D955,'ESO DungeonFinder'!$A$2:$A$999,1,FALSE))),"X","")</f>
        <v/>
      </c>
      <c r="F955" s="102" t="str">
        <f t="shared" si="59"/>
        <v/>
      </c>
      <c r="G955" s="102" t="str">
        <f t="shared" si="60"/>
        <v>Telvanni Peninsula</v>
      </c>
      <c r="H955" s="103">
        <f t="shared" si="61"/>
        <v>1404</v>
      </c>
      <c r="I955" s="103">
        <f t="shared" si="62"/>
        <v>1414</v>
      </c>
      <c r="J955">
        <v>30</v>
      </c>
      <c r="K955" s="102" t="str">
        <f>VLOOKUP(J955,'&lt;Constants&gt;'!$A$4:$B$1020,2,FALSE)</f>
        <v>DLC_NECROM</v>
      </c>
      <c r="L955" s="102" t="str">
        <f>VLOOKUP(J955,'&lt;Constants&gt;'!$A$4:$C$1020,3,FALSE)</f>
        <v>Necrom</v>
      </c>
    </row>
    <row r="956" spans="1:12" x14ac:dyDescent="0.25">
      <c r="A956">
        <v>1405</v>
      </c>
      <c r="B956">
        <v>951</v>
      </c>
      <c r="C956">
        <v>1414</v>
      </c>
      <c r="D956" t="s">
        <v>3660</v>
      </c>
      <c r="E956" t="str">
        <f>IF(NOT(ISERROR(VLOOKUP(D956,'ESO DungeonFinder'!$A$2:$A$999,1,FALSE))),"X","")</f>
        <v/>
      </c>
      <c r="F956" s="102" t="str">
        <f t="shared" si="59"/>
        <v/>
      </c>
      <c r="G956" s="102" t="str">
        <f t="shared" si="60"/>
        <v>Telvanni Peninsula</v>
      </c>
      <c r="H956" s="103">
        <f t="shared" si="61"/>
        <v>1405</v>
      </c>
      <c r="I956" s="103">
        <f t="shared" si="62"/>
        <v>1414</v>
      </c>
      <c r="J956">
        <v>30</v>
      </c>
      <c r="K956" s="102" t="str">
        <f>VLOOKUP(J956,'&lt;Constants&gt;'!$A$4:$B$1020,2,FALSE)</f>
        <v>DLC_NECROM</v>
      </c>
      <c r="L956" s="102" t="str">
        <f>VLOOKUP(J956,'&lt;Constants&gt;'!$A$4:$C$1020,3,FALSE)</f>
        <v>Necrom</v>
      </c>
    </row>
    <row r="957" spans="1:12" x14ac:dyDescent="0.25">
      <c r="A957">
        <v>1406</v>
      </c>
      <c r="B957">
        <v>952</v>
      </c>
      <c r="C957">
        <v>1414</v>
      </c>
      <c r="D957" t="s">
        <v>3661</v>
      </c>
      <c r="E957" t="str">
        <f>IF(NOT(ISERROR(VLOOKUP(D957,'ESO DungeonFinder'!$A$2:$A$999,1,FALSE))),"X","")</f>
        <v/>
      </c>
      <c r="F957" s="102" t="str">
        <f t="shared" si="59"/>
        <v/>
      </c>
      <c r="G957" s="102" t="str">
        <f t="shared" si="60"/>
        <v>Telvanni Peninsula</v>
      </c>
      <c r="H957" s="103">
        <f t="shared" si="61"/>
        <v>1406</v>
      </c>
      <c r="I957" s="103">
        <f t="shared" si="62"/>
        <v>1414</v>
      </c>
      <c r="J957">
        <v>30</v>
      </c>
      <c r="K957" s="102" t="str">
        <f>VLOOKUP(J957,'&lt;Constants&gt;'!$A$4:$B$1020,2,FALSE)</f>
        <v>DLC_NECROM</v>
      </c>
      <c r="L957" s="102" t="str">
        <f>VLOOKUP(J957,'&lt;Constants&gt;'!$A$4:$C$1020,3,FALSE)</f>
        <v>Necrom</v>
      </c>
    </row>
    <row r="958" spans="1:12" x14ac:dyDescent="0.25">
      <c r="A958">
        <v>1407</v>
      </c>
      <c r="B958">
        <v>953</v>
      </c>
      <c r="C958">
        <v>1414</v>
      </c>
      <c r="D958" t="s">
        <v>3649</v>
      </c>
      <c r="E958" t="str">
        <f>IF(NOT(ISERROR(VLOOKUP(D958,'ESO DungeonFinder'!$A$2:$A$999,1,FALSE))),"X","")</f>
        <v/>
      </c>
      <c r="F958" s="102" t="str">
        <f t="shared" si="59"/>
        <v/>
      </c>
      <c r="G958" s="102" t="str">
        <f t="shared" si="60"/>
        <v>Telvanni Peninsula</v>
      </c>
      <c r="H958" s="103">
        <f t="shared" si="61"/>
        <v>1407</v>
      </c>
      <c r="I958" s="103">
        <f t="shared" si="62"/>
        <v>1414</v>
      </c>
      <c r="J958">
        <v>30</v>
      </c>
      <c r="K958" s="102" t="str">
        <f>VLOOKUP(J958,'&lt;Constants&gt;'!$A$4:$B$1020,2,FALSE)</f>
        <v>DLC_NECROM</v>
      </c>
      <c r="L958" s="102" t="str">
        <f>VLOOKUP(J958,'&lt;Constants&gt;'!$A$4:$C$1020,3,FALSE)</f>
        <v>Necrom</v>
      </c>
    </row>
    <row r="959" spans="1:12" x14ac:dyDescent="0.25">
      <c r="A959">
        <v>1408</v>
      </c>
      <c r="B959">
        <v>954</v>
      </c>
      <c r="C959">
        <v>1414</v>
      </c>
      <c r="D959" t="s">
        <v>3633</v>
      </c>
      <c r="E959" t="str">
        <f>IF(NOT(ISERROR(VLOOKUP(D959,'ESO DungeonFinder'!$A$2:$A$999,1,FALSE))),"X","")</f>
        <v/>
      </c>
      <c r="F959" s="102" t="str">
        <f t="shared" si="59"/>
        <v/>
      </c>
      <c r="G959" s="102" t="str">
        <f t="shared" si="60"/>
        <v>Telvanni Peninsula</v>
      </c>
      <c r="H959" s="103">
        <f t="shared" si="61"/>
        <v>1408</v>
      </c>
      <c r="I959" s="103">
        <f t="shared" si="62"/>
        <v>1414</v>
      </c>
      <c r="J959">
        <v>30</v>
      </c>
      <c r="K959" s="102" t="str">
        <f>VLOOKUP(J959,'&lt;Constants&gt;'!$A$4:$B$1020,2,FALSE)</f>
        <v>DLC_NECROM</v>
      </c>
      <c r="L959" s="102" t="str">
        <f>VLOOKUP(J959,'&lt;Constants&gt;'!$A$4:$C$1020,3,FALSE)</f>
        <v>Necrom</v>
      </c>
    </row>
    <row r="960" spans="1:12" x14ac:dyDescent="0.25">
      <c r="A960">
        <v>1409</v>
      </c>
      <c r="B960">
        <v>955</v>
      </c>
      <c r="C960">
        <v>1414</v>
      </c>
      <c r="D960" t="s">
        <v>3648</v>
      </c>
      <c r="E960" t="str">
        <f>IF(NOT(ISERROR(VLOOKUP(D960,'ESO DungeonFinder'!$A$2:$A$999,1,FALSE))),"X","")</f>
        <v/>
      </c>
      <c r="F960" s="102" t="str">
        <f t="shared" si="59"/>
        <v/>
      </c>
      <c r="G960" s="102" t="str">
        <f t="shared" si="60"/>
        <v>Telvanni Peninsula</v>
      </c>
      <c r="H960" s="103">
        <f t="shared" si="61"/>
        <v>1409</v>
      </c>
      <c r="I960" s="103">
        <f t="shared" si="62"/>
        <v>1414</v>
      </c>
      <c r="J960">
        <v>30</v>
      </c>
      <c r="K960" s="102" t="str">
        <f>VLOOKUP(J960,'&lt;Constants&gt;'!$A$4:$B$1020,2,FALSE)</f>
        <v>DLC_NECROM</v>
      </c>
      <c r="L960" s="102" t="str">
        <f>VLOOKUP(J960,'&lt;Constants&gt;'!$A$4:$C$1020,3,FALSE)</f>
        <v>Necrom</v>
      </c>
    </row>
    <row r="961" spans="1:12" x14ac:dyDescent="0.25">
      <c r="A961">
        <v>1410</v>
      </c>
      <c r="B961">
        <v>956</v>
      </c>
      <c r="C961">
        <v>1414</v>
      </c>
      <c r="D961" t="s">
        <v>3647</v>
      </c>
      <c r="E961" t="str">
        <f>IF(NOT(ISERROR(VLOOKUP(D961,'ESO DungeonFinder'!$A$2:$A$999,1,FALSE))),"X","")</f>
        <v/>
      </c>
      <c r="F961" s="102" t="str">
        <f t="shared" si="59"/>
        <v/>
      </c>
      <c r="G961" s="102" t="str">
        <f t="shared" si="60"/>
        <v>Telvanni Peninsula</v>
      </c>
      <c r="H961" s="103">
        <f t="shared" si="61"/>
        <v>1410</v>
      </c>
      <c r="I961" s="103">
        <f t="shared" si="62"/>
        <v>1414</v>
      </c>
      <c r="J961">
        <v>30</v>
      </c>
      <c r="K961" s="102" t="str">
        <f>VLOOKUP(J961,'&lt;Constants&gt;'!$A$4:$B$1020,2,FALSE)</f>
        <v>DLC_NECROM</v>
      </c>
      <c r="L961" s="102" t="str">
        <f>VLOOKUP(J961,'&lt;Constants&gt;'!$A$4:$C$1020,3,FALSE)</f>
        <v>Necrom</v>
      </c>
    </row>
    <row r="962" spans="1:12" x14ac:dyDescent="0.25">
      <c r="A962">
        <v>1411</v>
      </c>
      <c r="B962">
        <v>957</v>
      </c>
      <c r="C962">
        <v>1414</v>
      </c>
      <c r="D962" t="s">
        <v>3646</v>
      </c>
      <c r="E962" t="str">
        <f>IF(NOT(ISERROR(VLOOKUP(D962,'ESO DungeonFinder'!$A$2:$A$999,1,FALSE))),"X","")</f>
        <v/>
      </c>
      <c r="F962" s="102" t="str">
        <f t="shared" si="59"/>
        <v/>
      </c>
      <c r="G962" s="102" t="str">
        <f t="shared" si="60"/>
        <v>Telvanni Peninsula</v>
      </c>
      <c r="H962" s="103">
        <f t="shared" si="61"/>
        <v>1411</v>
      </c>
      <c r="I962" s="103">
        <f t="shared" si="62"/>
        <v>1414</v>
      </c>
      <c r="J962">
        <v>30</v>
      </c>
      <c r="K962" s="102" t="str">
        <f>VLOOKUP(J962,'&lt;Constants&gt;'!$A$4:$B$1020,2,FALSE)</f>
        <v>DLC_NECROM</v>
      </c>
      <c r="L962" s="102" t="str">
        <f>VLOOKUP(J962,'&lt;Constants&gt;'!$A$4:$C$1020,3,FALSE)</f>
        <v>Necrom</v>
      </c>
    </row>
    <row r="963" spans="1:12" x14ac:dyDescent="0.25">
      <c r="A963">
        <v>1412</v>
      </c>
      <c r="B963">
        <v>958</v>
      </c>
      <c r="C963">
        <v>1414</v>
      </c>
      <c r="D963" t="s">
        <v>3645</v>
      </c>
      <c r="E963" t="str">
        <f>IF(NOT(ISERROR(VLOOKUP(D963,'ESO DungeonFinder'!$A$2:$A$999,1,FALSE))),"X","")</f>
        <v/>
      </c>
      <c r="F963" s="102" t="str">
        <f t="shared" si="59"/>
        <v/>
      </c>
      <c r="G963" s="102" t="str">
        <f t="shared" si="60"/>
        <v>Telvanni Peninsula</v>
      </c>
      <c r="H963" s="103">
        <f t="shared" si="61"/>
        <v>1412</v>
      </c>
      <c r="I963" s="103">
        <f t="shared" si="62"/>
        <v>1414</v>
      </c>
      <c r="J963">
        <v>30</v>
      </c>
      <c r="K963" s="102" t="str">
        <f>VLOOKUP(J963,'&lt;Constants&gt;'!$A$4:$B$1020,2,FALSE)</f>
        <v>DLC_NECROM</v>
      </c>
      <c r="L963" s="102" t="str">
        <f>VLOOKUP(J963,'&lt;Constants&gt;'!$A$4:$C$1020,3,FALSE)</f>
        <v>Necrom</v>
      </c>
    </row>
    <row r="964" spans="1:12" x14ac:dyDescent="0.25">
      <c r="A964">
        <v>1413</v>
      </c>
      <c r="B964">
        <v>959</v>
      </c>
      <c r="C964">
        <v>1414</v>
      </c>
      <c r="D964" t="s">
        <v>3588</v>
      </c>
      <c r="E964" t="str">
        <f>IF(NOT(ISERROR(VLOOKUP(D964,'ESO DungeonFinder'!$A$2:$A$999,1,FALSE))),"X","")</f>
        <v/>
      </c>
      <c r="F964" s="102" t="str">
        <f t="shared" si="59"/>
        <v/>
      </c>
      <c r="G964" s="102" t="str">
        <f t="shared" si="60"/>
        <v>Telvanni Peninsula</v>
      </c>
      <c r="H964" s="103">
        <f t="shared" si="61"/>
        <v>1413</v>
      </c>
      <c r="I964" s="103">
        <f t="shared" si="62"/>
        <v>1414</v>
      </c>
      <c r="J964">
        <v>30</v>
      </c>
      <c r="K964" s="102" t="str">
        <f>VLOOKUP(J964,'&lt;Constants&gt;'!$A$4:$B$1020,2,FALSE)</f>
        <v>DLC_NECROM</v>
      </c>
      <c r="L964" s="102" t="str">
        <f>VLOOKUP(J964,'&lt;Constants&gt;'!$A$4:$C$1020,3,FALSE)</f>
        <v>Necrom</v>
      </c>
    </row>
    <row r="965" spans="1:12" x14ac:dyDescent="0.25">
      <c r="A965">
        <v>1414</v>
      </c>
      <c r="B965">
        <v>960</v>
      </c>
      <c r="C965">
        <v>1414</v>
      </c>
      <c r="D965" t="s">
        <v>3644</v>
      </c>
      <c r="E965" t="str">
        <f>IF(NOT(ISERROR(VLOOKUP(D965,'ESO DungeonFinder'!$A$2:$A$999,1,FALSE))),"X","")</f>
        <v/>
      </c>
      <c r="F965" s="102" t="str">
        <f t="shared" si="59"/>
        <v>X</v>
      </c>
      <c r="G965" s="102" t="str">
        <f t="shared" si="60"/>
        <v/>
      </c>
      <c r="H965" s="103">
        <f t="shared" si="61"/>
        <v>1414</v>
      </c>
      <c r="I965" s="103">
        <f t="shared" si="62"/>
        <v>1414</v>
      </c>
      <c r="J965">
        <v>30</v>
      </c>
      <c r="K965" s="102" t="str">
        <f>VLOOKUP(J965,'&lt;Constants&gt;'!$A$4:$B$1020,2,FALSE)</f>
        <v>DLC_NECROM</v>
      </c>
      <c r="L965" s="102" t="str">
        <f>VLOOKUP(J965,'&lt;Constants&gt;'!$A$4:$C$1020,3,FALSE)</f>
        <v>Necrom</v>
      </c>
    </row>
    <row r="966" spans="1:12" x14ac:dyDescent="0.25">
      <c r="A966">
        <v>1415</v>
      </c>
      <c r="B966">
        <v>961</v>
      </c>
      <c r="C966">
        <v>1414</v>
      </c>
      <c r="D966" t="s">
        <v>3634</v>
      </c>
      <c r="E966" t="str">
        <f>IF(NOT(ISERROR(VLOOKUP(D966,'ESO DungeonFinder'!$A$2:$A$999,1,FALSE))),"X","")</f>
        <v/>
      </c>
      <c r="F966" s="102" t="str">
        <f t="shared" si="59"/>
        <v/>
      </c>
      <c r="G966" s="102" t="str">
        <f t="shared" si="60"/>
        <v>Telvanni Peninsula</v>
      </c>
      <c r="H966" s="103">
        <f t="shared" si="61"/>
        <v>1415</v>
      </c>
      <c r="I966" s="103">
        <f t="shared" si="62"/>
        <v>1414</v>
      </c>
      <c r="J966">
        <v>30</v>
      </c>
      <c r="K966" s="102" t="str">
        <f>VLOOKUP(J966,'&lt;Constants&gt;'!$A$4:$B$1020,2,FALSE)</f>
        <v>DLC_NECROM</v>
      </c>
      <c r="L966" s="102" t="str">
        <f>VLOOKUP(J966,'&lt;Constants&gt;'!$A$4:$C$1020,3,FALSE)</f>
        <v>Necrom</v>
      </c>
    </row>
    <row r="967" spans="1:12" x14ac:dyDescent="0.25">
      <c r="A967">
        <v>1416</v>
      </c>
      <c r="B967">
        <v>962</v>
      </c>
      <c r="C967">
        <v>1414</v>
      </c>
      <c r="D967" t="s">
        <v>3643</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102" t="str">
        <f>VLOOKUP(J967,'&lt;Constants&gt;'!$A$4:$B$1020,2,FALSE)</f>
        <v>DLC_NECROM</v>
      </c>
      <c r="L967" s="102" t="str">
        <f>VLOOKUP(J967,'&lt;Constants&gt;'!$A$4:$C$1020,3,FALSE)</f>
        <v>Necrom</v>
      </c>
    </row>
    <row r="968" spans="1:12" x14ac:dyDescent="0.25">
      <c r="A968">
        <v>1417</v>
      </c>
      <c r="B968">
        <v>963</v>
      </c>
      <c r="C968">
        <v>1414</v>
      </c>
      <c r="D968" t="s">
        <v>3642</v>
      </c>
      <c r="E968" t="str">
        <f>IF(NOT(ISERROR(VLOOKUP(D968,'ESO DungeonFinder'!$A$2:$A$999,1,FALSE))),"X","")</f>
        <v/>
      </c>
      <c r="F968" s="102" t="str">
        <f t="shared" si="63"/>
        <v/>
      </c>
      <c r="G968" s="102" t="str">
        <f t="shared" si="64"/>
        <v>Telvanni Peninsula</v>
      </c>
      <c r="H968" s="103">
        <f t="shared" si="65"/>
        <v>1417</v>
      </c>
      <c r="I968" s="103">
        <f t="shared" si="66"/>
        <v>1414</v>
      </c>
      <c r="J968">
        <v>30</v>
      </c>
      <c r="K968" s="102" t="str">
        <f>VLOOKUP(J968,'&lt;Constants&gt;'!$A$4:$B$1020,2,FALSE)</f>
        <v>DLC_NECROM</v>
      </c>
      <c r="L968" s="102" t="str">
        <f>VLOOKUP(J968,'&lt;Constants&gt;'!$A$4:$C$1020,3,FALSE)</f>
        <v>Necrom</v>
      </c>
    </row>
    <row r="969" spans="1:12" x14ac:dyDescent="0.25">
      <c r="A969">
        <v>1420</v>
      </c>
      <c r="B969">
        <v>964</v>
      </c>
      <c r="C969">
        <v>1414</v>
      </c>
      <c r="D969" t="s">
        <v>3641</v>
      </c>
      <c r="E969" t="str">
        <f>IF(NOT(ISERROR(VLOOKUP(D969,'ESO DungeonFinder'!$A$2:$A$999,1,FALSE))),"X","")</f>
        <v/>
      </c>
      <c r="F969" s="102" t="str">
        <f t="shared" si="63"/>
        <v/>
      </c>
      <c r="G969" s="102" t="str">
        <f t="shared" si="64"/>
        <v>Telvanni Peninsula</v>
      </c>
      <c r="H969" s="103">
        <f t="shared" si="65"/>
        <v>1420</v>
      </c>
      <c r="I969" s="103">
        <f t="shared" si="66"/>
        <v>1414</v>
      </c>
      <c r="J969">
        <v>30</v>
      </c>
      <c r="K969" s="102" t="str">
        <f>VLOOKUP(J969,'&lt;Constants&gt;'!$A$4:$B$1020,2,FALSE)</f>
        <v>DLC_NECROM</v>
      </c>
      <c r="L969" s="102" t="str">
        <f>VLOOKUP(J969,'&lt;Constants&gt;'!$A$4:$C$1020,3,FALSE)</f>
        <v>Necrom</v>
      </c>
    </row>
    <row r="970" spans="1:12" x14ac:dyDescent="0.25">
      <c r="A970">
        <v>1421</v>
      </c>
      <c r="B970">
        <v>965</v>
      </c>
      <c r="C970">
        <v>1414</v>
      </c>
      <c r="D970" t="s">
        <v>3640</v>
      </c>
      <c r="E970" t="str">
        <f>IF(NOT(ISERROR(VLOOKUP(D970,'ESO DungeonFinder'!$A$2:$A$999,1,FALSE))),"X","")</f>
        <v/>
      </c>
      <c r="F970" s="102" t="str">
        <f t="shared" si="63"/>
        <v/>
      </c>
      <c r="G970" s="102" t="str">
        <f t="shared" si="64"/>
        <v>Telvanni Peninsula</v>
      </c>
      <c r="H970" s="103">
        <f t="shared" si="65"/>
        <v>1421</v>
      </c>
      <c r="I970" s="103">
        <f t="shared" si="66"/>
        <v>1414</v>
      </c>
      <c r="J970">
        <v>30</v>
      </c>
      <c r="K970" s="102" t="str">
        <f>VLOOKUP(J970,'&lt;Constants&gt;'!$A$4:$B$1020,2,FALSE)</f>
        <v>DLC_NECROM</v>
      </c>
      <c r="L970" s="102" t="str">
        <f>VLOOKUP(J970,'&lt;Constants&gt;'!$A$4:$C$1020,3,FALSE)</f>
        <v>Necrom</v>
      </c>
    </row>
    <row r="971" spans="1:12" x14ac:dyDescent="0.25">
      <c r="A971">
        <v>1422</v>
      </c>
      <c r="B971">
        <v>966</v>
      </c>
      <c r="C971">
        <v>1414</v>
      </c>
      <c r="D971" t="s">
        <v>3639</v>
      </c>
      <c r="E971" t="str">
        <f>IF(NOT(ISERROR(VLOOKUP(D971,'ESO DungeonFinder'!$A$2:$A$999,1,FALSE))),"X","")</f>
        <v/>
      </c>
      <c r="F971" s="102" t="str">
        <f t="shared" si="63"/>
        <v/>
      </c>
      <c r="G971" s="102" t="str">
        <f t="shared" si="64"/>
        <v>Telvanni Peninsula</v>
      </c>
      <c r="H971" s="103">
        <f t="shared" si="65"/>
        <v>1422</v>
      </c>
      <c r="I971" s="103">
        <f t="shared" si="66"/>
        <v>1414</v>
      </c>
      <c r="J971">
        <v>30</v>
      </c>
      <c r="K971" s="102" t="str">
        <f>VLOOKUP(J971,'&lt;Constants&gt;'!$A$4:$B$1020,2,FALSE)</f>
        <v>DLC_NECROM</v>
      </c>
      <c r="L971" s="102" t="str">
        <f>VLOOKUP(J971,'&lt;Constants&gt;'!$A$4:$C$1020,3,FALSE)</f>
        <v>Necrom</v>
      </c>
    </row>
    <row r="972" spans="1:12" x14ac:dyDescent="0.25">
      <c r="A972">
        <v>1423</v>
      </c>
      <c r="B972">
        <v>967</v>
      </c>
      <c r="C972">
        <v>1414</v>
      </c>
      <c r="D972" t="s">
        <v>3638</v>
      </c>
      <c r="E972" t="str">
        <f>IF(NOT(ISERROR(VLOOKUP(D972,'ESO DungeonFinder'!$A$2:$A$999,1,FALSE))),"X","")</f>
        <v/>
      </c>
      <c r="F972" s="102" t="str">
        <f t="shared" si="63"/>
        <v/>
      </c>
      <c r="G972" s="102" t="str">
        <f t="shared" si="64"/>
        <v>Telvanni Peninsula</v>
      </c>
      <c r="H972" s="103">
        <f t="shared" si="65"/>
        <v>1423</v>
      </c>
      <c r="I972" s="103">
        <f t="shared" si="66"/>
        <v>1414</v>
      </c>
      <c r="J972">
        <v>30</v>
      </c>
      <c r="K972" s="102" t="str">
        <f>VLOOKUP(J972,'&lt;Constants&gt;'!$A$4:$B$1020,2,FALSE)</f>
        <v>DLC_NECROM</v>
      </c>
      <c r="L972" s="102" t="str">
        <f>VLOOKUP(J972,'&lt;Constants&gt;'!$A$4:$C$1020,3,FALSE)</f>
        <v>Necrom</v>
      </c>
    </row>
    <row r="973" spans="1:12" x14ac:dyDescent="0.25">
      <c r="A973">
        <v>1424</v>
      </c>
      <c r="B973">
        <v>968</v>
      </c>
      <c r="C973">
        <v>1414</v>
      </c>
      <c r="D973" t="s">
        <v>3637</v>
      </c>
      <c r="E973" t="str">
        <f>IF(NOT(ISERROR(VLOOKUP(D973,'ESO DungeonFinder'!$A$2:$A$999,1,FALSE))),"X","")</f>
        <v/>
      </c>
      <c r="F973" s="102" t="str">
        <f t="shared" si="63"/>
        <v/>
      </c>
      <c r="G973" s="102" t="str">
        <f t="shared" si="64"/>
        <v>Telvanni Peninsula</v>
      </c>
      <c r="H973" s="103">
        <f t="shared" si="65"/>
        <v>1424</v>
      </c>
      <c r="I973" s="103">
        <f t="shared" si="66"/>
        <v>1414</v>
      </c>
      <c r="J973">
        <v>32</v>
      </c>
      <c r="K973" s="102" t="str">
        <f>VLOOKUP(J973,'&lt;Constants&gt;'!$A$4:$B$1020,2,FALSE)</f>
        <v>NO_DLC_SECRET_OF_THE_TELVANNI</v>
      </c>
      <c r="L973" s="102" t="str">
        <f>VLOOKUP(J973,'&lt;Constants&gt;'!$A$4:$C$1020,3,FALSE)</f>
        <v>Secret of the Telvanni</v>
      </c>
    </row>
    <row r="974" spans="1:12" x14ac:dyDescent="0.25">
      <c r="A974">
        <v>1425</v>
      </c>
      <c r="B974">
        <v>969</v>
      </c>
      <c r="C974">
        <v>1414</v>
      </c>
      <c r="D974" t="s">
        <v>3636</v>
      </c>
      <c r="E974" t="str">
        <f>IF(NOT(ISERROR(VLOOKUP(D974,'ESO DungeonFinder'!$A$2:$A$999,1,FALSE))),"X","")</f>
        <v/>
      </c>
      <c r="F974" s="102" t="str">
        <f t="shared" si="63"/>
        <v/>
      </c>
      <c r="G974" s="102" t="str">
        <f t="shared" si="64"/>
        <v>Telvanni Peninsula</v>
      </c>
      <c r="H974" s="103">
        <f t="shared" si="65"/>
        <v>1425</v>
      </c>
      <c r="I974" s="103">
        <f t="shared" si="66"/>
        <v>1414</v>
      </c>
      <c r="J974">
        <v>29</v>
      </c>
      <c r="K974" s="102" t="str">
        <f>VLOOKUP(J974,'&lt;Constants&gt;'!$A$4:$B$1020,2,FALSE)</f>
        <v>DLC_SCRIBES_OF_FATE</v>
      </c>
      <c r="L974" s="102" t="str">
        <f>VLOOKUP(J974,'&lt;Constants&gt;'!$A$4:$C$1020,3,FALSE)</f>
        <v>Scribes of Fate</v>
      </c>
    </row>
    <row r="975" spans="1:12" x14ac:dyDescent="0.25">
      <c r="A975">
        <v>1427</v>
      </c>
      <c r="B975">
        <v>970</v>
      </c>
      <c r="C975">
        <v>1414</v>
      </c>
      <c r="D975" t="s">
        <v>3635</v>
      </c>
      <c r="E975" t="str">
        <f>IF(NOT(ISERROR(VLOOKUP(D975,'ESO DungeonFinder'!$A$2:$A$999,1,FALSE))),"X","")</f>
        <v/>
      </c>
      <c r="F975" s="102" t="str">
        <f t="shared" si="63"/>
        <v/>
      </c>
      <c r="G975" s="102" t="str">
        <f t="shared" si="64"/>
        <v>Telvanni Peninsula</v>
      </c>
      <c r="H975" s="103">
        <f t="shared" si="65"/>
        <v>1427</v>
      </c>
      <c r="I975" s="103">
        <f t="shared" si="66"/>
        <v>1414</v>
      </c>
      <c r="J975">
        <v>30</v>
      </c>
      <c r="K975" s="102" t="str">
        <f>VLOOKUP(J975,'&lt;Constants&gt;'!$A$4:$B$1020,2,FALSE)</f>
        <v>DLC_NECROM</v>
      </c>
      <c r="L975" s="102" t="str">
        <f>VLOOKUP(J975,'&lt;Constants&gt;'!$A$4:$C$1020,3,FALSE)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102" t="str">
        <f>VLOOKUP(J976,'&lt;Constants&gt;'!$A$4:$B$1020,2,FALSE)</f>
        <v>DLC_HIGH_ISLE</v>
      </c>
      <c r="L976" s="102" t="str">
        <f>VLOOKUP(J976,'&lt;Constants&gt;'!$A$4:$C$1020,3,FALSE)</f>
        <v>High Isle</v>
      </c>
    </row>
    <row r="977" spans="1:12" x14ac:dyDescent="0.25">
      <c r="A977">
        <v>1432</v>
      </c>
      <c r="B977">
        <v>972</v>
      </c>
      <c r="C977">
        <v>1318</v>
      </c>
      <c r="D977" t="s">
        <v>3530</v>
      </c>
      <c r="E977" t="str">
        <f>IF(NOT(ISERROR(VLOOKUP(D977,'ESO DungeonFinder'!$A$2:$A$999,1,FALSE))),"X","")</f>
        <v/>
      </c>
      <c r="F977" s="102" t="str">
        <f t="shared" si="63"/>
        <v/>
      </c>
      <c r="G977" s="102" t="str">
        <f t="shared" si="64"/>
        <v>High Isle</v>
      </c>
      <c r="H977" s="103">
        <f t="shared" si="65"/>
        <v>1432</v>
      </c>
      <c r="I977" s="103">
        <f t="shared" si="66"/>
        <v>1318</v>
      </c>
      <c r="J977">
        <v>32</v>
      </c>
      <c r="K977" s="102" t="str">
        <f>VLOOKUP(J977,'&lt;Constants&gt;'!$A$4:$B$1020,2,FALSE)</f>
        <v>NO_DLC_SECRET_OF_THE_TELVANNI</v>
      </c>
      <c r="L977" s="102" t="str">
        <f>VLOOKUP(J977,'&lt;Constants&gt;'!$A$4:$C$1020,3,FALSE)</f>
        <v>Secret of the Telvanni</v>
      </c>
    </row>
    <row r="978" spans="1:12" x14ac:dyDescent="0.25">
      <c r="A978">
        <v>1433</v>
      </c>
      <c r="B978">
        <v>973</v>
      </c>
      <c r="C978">
        <v>1414</v>
      </c>
      <c r="D978" t="s">
        <v>3629</v>
      </c>
      <c r="E978" t="str">
        <f>IF(NOT(ISERROR(VLOOKUP(D978,'ESO DungeonFinder'!$A$2:$A$999,1,FALSE))),"X","")</f>
        <v/>
      </c>
      <c r="F978" s="102" t="str">
        <f t="shared" si="63"/>
        <v/>
      </c>
      <c r="G978" s="102" t="str">
        <f t="shared" si="64"/>
        <v>Telvanni Peninsula</v>
      </c>
      <c r="H978" s="103">
        <f t="shared" si="65"/>
        <v>1433</v>
      </c>
      <c r="I978" s="103">
        <f t="shared" si="66"/>
        <v>1414</v>
      </c>
      <c r="J978">
        <v>32</v>
      </c>
      <c r="K978" s="102" t="str">
        <f>VLOOKUP(J978,'&lt;Constants&gt;'!$A$4:$B$1020,2,FALSE)</f>
        <v>NO_DLC_SECRET_OF_THE_TELVANNI</v>
      </c>
      <c r="L978" s="102" t="str">
        <f>VLOOKUP(J978,'&lt;Constants&gt;'!$A$4:$C$1020,3,FALSE)</f>
        <v>Secret of the Telvanni</v>
      </c>
    </row>
    <row r="979" spans="1:12" x14ac:dyDescent="0.25">
      <c r="A979">
        <v>1434</v>
      </c>
      <c r="B979">
        <v>974</v>
      </c>
      <c r="C979">
        <v>1414</v>
      </c>
      <c r="D979" t="s">
        <v>3630</v>
      </c>
      <c r="E979" t="str">
        <f>IF(NOT(ISERROR(VLOOKUP(D979,'ESO DungeonFinder'!$A$2:$A$999,1,FALSE))),"X","")</f>
        <v/>
      </c>
      <c r="F979" s="102" t="str">
        <f t="shared" si="63"/>
        <v/>
      </c>
      <c r="G979" s="102" t="str">
        <f t="shared" si="64"/>
        <v>Telvanni Peninsula</v>
      </c>
      <c r="H979" s="103">
        <f t="shared" si="65"/>
        <v>1434</v>
      </c>
      <c r="I979" s="103">
        <f t="shared" si="66"/>
        <v>1414</v>
      </c>
      <c r="J979">
        <v>28</v>
      </c>
      <c r="K979" s="102" t="str">
        <f>VLOOKUP(J979,'&lt;Constants&gt;'!$A$4:$B$1020,2,FALSE)</f>
        <v>DLC_FIRESONG</v>
      </c>
      <c r="L979" s="102" t="str">
        <f>VLOOKUP(J979,'&lt;Constants&gt;'!$A$4:$C$1020,3,FALSE)</f>
        <v>Firesong</v>
      </c>
    </row>
    <row r="980" spans="1:12" x14ac:dyDescent="0.25">
      <c r="A980">
        <v>1435</v>
      </c>
      <c r="B980">
        <v>975</v>
      </c>
      <c r="C980">
        <v>1383</v>
      </c>
      <c r="D980" t="s">
        <v>3628</v>
      </c>
      <c r="E980" t="str">
        <f>IF(NOT(ISERROR(VLOOKUP(D980,'ESO DungeonFinder'!$A$2:$A$999,1,FALSE))),"X","")</f>
        <v/>
      </c>
      <c r="F980" s="102" t="str">
        <f t="shared" si="63"/>
        <v/>
      </c>
      <c r="G980" s="102" t="str">
        <f t="shared" si="64"/>
        <v>Galen</v>
      </c>
      <c r="H980" s="103">
        <f t="shared" si="65"/>
        <v>1435</v>
      </c>
      <c r="I980" s="103">
        <f t="shared" si="66"/>
        <v>1383</v>
      </c>
      <c r="J980">
        <v>30</v>
      </c>
      <c r="K980" s="102" t="str">
        <f>VLOOKUP(J980,'&lt;Constants&gt;'!$A$4:$B$1020,2,FALSE)</f>
        <v>DLC_NECROM</v>
      </c>
      <c r="L980" s="102" t="str">
        <f>VLOOKUP(J980,'&lt;Constants&gt;'!$A$4:$C$1020,3,FALSE)</f>
        <v>Necrom</v>
      </c>
    </row>
    <row r="981" spans="1:12" x14ac:dyDescent="0.25">
      <c r="A981">
        <v>1436</v>
      </c>
      <c r="B981">
        <v>976</v>
      </c>
      <c r="C981">
        <v>1413</v>
      </c>
      <c r="D981" t="s">
        <v>3860</v>
      </c>
      <c r="E981" t="str">
        <f>IF(NOT(ISERROR(VLOOKUP(D981,'ESO DungeonFinder'!$A$2:$A$999,1,FALSE))),"X","")</f>
        <v/>
      </c>
      <c r="F981" s="102" t="str">
        <f t="shared" si="63"/>
        <v/>
      </c>
      <c r="G981" s="102" t="str">
        <f t="shared" si="64"/>
        <v>Apocrypha</v>
      </c>
      <c r="H981" s="103">
        <f t="shared" si="65"/>
        <v>1436</v>
      </c>
      <c r="I981" s="103">
        <f t="shared" si="66"/>
        <v>1413</v>
      </c>
      <c r="J981">
        <v>8</v>
      </c>
      <c r="K981" s="102" t="str">
        <f>VLOOKUP(J981,'&lt;Constants&gt;'!$A$4:$B$1020,2,FALSE)</f>
        <v>DLC_CLOCKWORK_CITY</v>
      </c>
      <c r="L981" s="102" t="str">
        <f>VLOOKUP(J981,'&lt;Constants&gt;'!$A$4:$C$1020,3,FALSE)</f>
        <v>Clockwork City</v>
      </c>
    </row>
    <row r="982" spans="1:12" x14ac:dyDescent="0.25">
      <c r="A982">
        <v>1437</v>
      </c>
      <c r="B982">
        <v>977</v>
      </c>
      <c r="C982">
        <v>981</v>
      </c>
      <c r="D982" t="s">
        <v>3724</v>
      </c>
      <c r="E982" t="str">
        <f>IF(NOT(ISERROR(VLOOKUP(D982,'ESO DungeonFinder'!$A$2:$A$999,1,FALSE))),"X","")</f>
        <v/>
      </c>
      <c r="F982" s="102" t="str">
        <f t="shared" si="63"/>
        <v/>
      </c>
      <c r="G982" s="102" t="str">
        <f t="shared" si="64"/>
        <v>The Brass Fortress</v>
      </c>
      <c r="H982" s="103">
        <f t="shared" si="65"/>
        <v>1437</v>
      </c>
      <c r="I982" s="103">
        <f t="shared" si="66"/>
        <v>981</v>
      </c>
      <c r="J982">
        <v>0</v>
      </c>
      <c r="K982" s="102" t="str">
        <f>VLOOKUP(J982,'&lt;Constants&gt;'!$A$4:$B$1020,2,FALSE)</f>
        <v>DLC_BASE_GAME</v>
      </c>
      <c r="L982" s="102" t="str">
        <f>VLOOKUP(J982,'&lt;Constants&gt;'!$A$4:$C$1020,3,FALSE)</f>
        <v>Included in base game</v>
      </c>
    </row>
    <row r="983" spans="1:12" x14ac:dyDescent="0.25">
      <c r="A983">
        <v>1438</v>
      </c>
      <c r="B983">
        <v>978</v>
      </c>
      <c r="C983">
        <v>104</v>
      </c>
      <c r="D983" t="s">
        <v>3859</v>
      </c>
      <c r="E983" t="str">
        <f>IF(NOT(ISERROR(VLOOKUP(D983,'ESO DungeonFinder'!$A$2:$A$999,1,FALSE))),"X","")</f>
        <v/>
      </c>
      <c r="F983" s="102" t="str">
        <f t="shared" si="63"/>
        <v/>
      </c>
      <c r="G983" s="102" t="str">
        <f t="shared" si="64"/>
        <v>Alik'r Desert</v>
      </c>
      <c r="H983" s="103">
        <f t="shared" si="65"/>
        <v>1438</v>
      </c>
      <c r="I983" s="103">
        <f t="shared" si="66"/>
        <v>104</v>
      </c>
      <c r="J983">
        <v>6</v>
      </c>
      <c r="K983" s="102" t="str">
        <f>VLOOKUP(J983,'&lt;Constants&gt;'!$A$4:$B$1020,2,FALSE)</f>
        <v>DLC_MORROWIND</v>
      </c>
      <c r="L983" s="102" t="str">
        <f>VLOOKUP(J983,'&lt;Constants&gt;'!$A$4:$C$1020,3,FALSE)</f>
        <v>Morrowind</v>
      </c>
    </row>
    <row r="984" spans="1:12" x14ac:dyDescent="0.25">
      <c r="A984">
        <v>1439</v>
      </c>
      <c r="B984">
        <v>979</v>
      </c>
      <c r="C984">
        <v>849</v>
      </c>
      <c r="D984" t="s">
        <v>3858</v>
      </c>
      <c r="E984" t="str">
        <f>IF(NOT(ISERROR(VLOOKUP(D984,'ESO DungeonFinder'!$A$2:$A$999,1,FALSE))),"X","")</f>
        <v/>
      </c>
      <c r="F984" s="102" t="str">
        <f t="shared" si="63"/>
        <v/>
      </c>
      <c r="G984" s="102" t="str">
        <f t="shared" si="64"/>
        <v>Vvardenfell</v>
      </c>
      <c r="H984" s="103">
        <f t="shared" si="65"/>
        <v>1439</v>
      </c>
      <c r="I984" s="103">
        <f t="shared" si="66"/>
        <v>849</v>
      </c>
      <c r="J984">
        <v>34</v>
      </c>
      <c r="K984" s="102" t="str">
        <f>VLOOKUP(J984,'&lt;Constants&gt;'!$A$4:$B$1020,2,FALSE)</f>
        <v>DLC_GOLD_ROAD</v>
      </c>
      <c r="L984" s="102" t="str">
        <f>VLOOKUP(J984,'&lt;Constants&gt;'!$A$4:$C$1020,3,FALSE)</f>
        <v>Gold Road</v>
      </c>
    </row>
    <row r="985" spans="1:12" x14ac:dyDescent="0.25">
      <c r="A985">
        <v>1440</v>
      </c>
      <c r="B985">
        <v>980</v>
      </c>
      <c r="C985">
        <v>1443</v>
      </c>
      <c r="D985" t="s">
        <v>3929</v>
      </c>
      <c r="E985" t="str">
        <f>IF(NOT(ISERROR(VLOOKUP(D985,'ESO DungeonFinder'!$A$2:$A$999,1,FALSE))),"X","")</f>
        <v/>
      </c>
      <c r="F985" s="102" t="str">
        <f t="shared" si="63"/>
        <v/>
      </c>
      <c r="G985" s="102" t="str">
        <f t="shared" si="64"/>
        <v>West Weald</v>
      </c>
      <c r="H985" s="103">
        <f t="shared" si="65"/>
        <v>1440</v>
      </c>
      <c r="I985" s="103">
        <f t="shared" si="66"/>
        <v>1443</v>
      </c>
      <c r="J985">
        <v>34</v>
      </c>
      <c r="K985" s="102" t="str">
        <f>VLOOKUP(J985,'&lt;Constants&gt;'!$A$4:$B$1020,2,FALSE)</f>
        <v>DLC_GOLD_ROAD</v>
      </c>
      <c r="L985" s="102" t="str">
        <f>VLOOKUP(J985,'&lt;Constants&gt;'!$A$4:$C$1020,3,FALSE)</f>
        <v>Gold Road</v>
      </c>
    </row>
    <row r="986" spans="1:12" x14ac:dyDescent="0.25">
      <c r="A986">
        <v>1441</v>
      </c>
      <c r="B986">
        <v>981</v>
      </c>
      <c r="C986">
        <v>1443</v>
      </c>
      <c r="D986" t="s">
        <v>3914</v>
      </c>
      <c r="E986" t="str">
        <f>IF(NOT(ISERROR(VLOOKUP(D986,'ESO DungeonFinder'!$A$2:$A$999,1,FALSE))),"X","")</f>
        <v/>
      </c>
      <c r="F986" s="102" t="str">
        <f t="shared" si="63"/>
        <v/>
      </c>
      <c r="G986" s="102" t="str">
        <f t="shared" si="64"/>
        <v>West Weald</v>
      </c>
      <c r="H986" s="103">
        <f t="shared" si="65"/>
        <v>1441</v>
      </c>
      <c r="I986" s="103">
        <f t="shared" si="66"/>
        <v>1443</v>
      </c>
      <c r="J986">
        <v>34</v>
      </c>
      <c r="K986" s="102" t="str">
        <f>VLOOKUP(J986,'&lt;Constants&gt;'!$A$4:$B$1020,2,FALSE)</f>
        <v>DLC_GOLD_ROAD</v>
      </c>
      <c r="L986" s="102" t="str">
        <f>VLOOKUP(J986,'&lt;Constants&gt;'!$A$4:$C$1020,3,FALSE)</f>
        <v>Gold Road</v>
      </c>
    </row>
    <row r="987" spans="1:12" x14ac:dyDescent="0.25">
      <c r="A987">
        <v>1442</v>
      </c>
      <c r="B987">
        <v>982</v>
      </c>
      <c r="C987">
        <v>1443</v>
      </c>
      <c r="D987" t="s">
        <v>3928</v>
      </c>
      <c r="E987" t="str">
        <f>IF(NOT(ISERROR(VLOOKUP(D987,'ESO DungeonFinder'!$A$2:$A$999,1,FALSE))),"X","")</f>
        <v/>
      </c>
      <c r="F987" s="102" t="str">
        <f t="shared" si="63"/>
        <v/>
      </c>
      <c r="G987" s="102" t="str">
        <f t="shared" si="64"/>
        <v>West Weald</v>
      </c>
      <c r="H987" s="103">
        <f t="shared" si="65"/>
        <v>1442</v>
      </c>
      <c r="I987" s="103">
        <f t="shared" si="66"/>
        <v>1443</v>
      </c>
      <c r="J987">
        <v>34</v>
      </c>
      <c r="K987" s="102" t="str">
        <f>VLOOKUP(J987,'&lt;Constants&gt;'!$A$4:$B$1020,2,FALSE)</f>
        <v>DLC_GOLD_ROAD</v>
      </c>
      <c r="L987" s="102" t="str">
        <f>VLOOKUP(J987,'&lt;Constants&gt;'!$A$4:$C$1020,3,FALSE)</f>
        <v>Gold Road</v>
      </c>
    </row>
    <row r="988" spans="1:12" x14ac:dyDescent="0.25">
      <c r="A988">
        <v>1443</v>
      </c>
      <c r="B988">
        <v>983</v>
      </c>
      <c r="C988">
        <v>1443</v>
      </c>
      <c r="D988" t="s">
        <v>3898</v>
      </c>
      <c r="E988" t="str">
        <f>IF(NOT(ISERROR(VLOOKUP(D988,'ESO DungeonFinder'!$A$2:$A$999,1,FALSE))),"X","")</f>
        <v/>
      </c>
      <c r="F988" s="102" t="str">
        <f t="shared" si="63"/>
        <v>X</v>
      </c>
      <c r="G988" s="102" t="str">
        <f t="shared" si="64"/>
        <v/>
      </c>
      <c r="H988" s="103">
        <f t="shared" si="65"/>
        <v>1443</v>
      </c>
      <c r="I988" s="103">
        <f t="shared" si="66"/>
        <v>1443</v>
      </c>
      <c r="J988">
        <v>34</v>
      </c>
      <c r="K988" s="102" t="str">
        <f>VLOOKUP(J988,'&lt;Constants&gt;'!$A$4:$B$1020,2,FALSE)</f>
        <v>DLC_GOLD_ROAD</v>
      </c>
      <c r="L988" s="102" t="str">
        <f>VLOOKUP(J988,'&lt;Constants&gt;'!$A$4:$C$1020,3,FALSE)</f>
        <v>Gold Road</v>
      </c>
    </row>
    <row r="989" spans="1:12" x14ac:dyDescent="0.25">
      <c r="A989">
        <v>1444</v>
      </c>
      <c r="B989">
        <v>984</v>
      </c>
      <c r="C989">
        <v>1443</v>
      </c>
      <c r="D989" t="s">
        <v>3927</v>
      </c>
      <c r="E989" t="str">
        <f>IF(NOT(ISERROR(VLOOKUP(D989,'ESO DungeonFinder'!$A$2:$A$999,1,FALSE))),"X","")</f>
        <v/>
      </c>
      <c r="F989" s="102" t="str">
        <f t="shared" si="63"/>
        <v/>
      </c>
      <c r="G989" s="102" t="str">
        <f t="shared" si="64"/>
        <v>West Weald</v>
      </c>
      <c r="H989" s="103">
        <f t="shared" si="65"/>
        <v>1444</v>
      </c>
      <c r="I989" s="103">
        <f t="shared" si="66"/>
        <v>1443</v>
      </c>
      <c r="J989">
        <v>34</v>
      </c>
      <c r="K989" s="102" t="str">
        <f>VLOOKUP(J989,'&lt;Constants&gt;'!$A$4:$B$1020,2,FALSE)</f>
        <v>DLC_GOLD_ROAD</v>
      </c>
      <c r="L989" s="102" t="str">
        <f>VLOOKUP(J989,'&lt;Constants&gt;'!$A$4:$C$1020,3,FALSE)</f>
        <v>Gold Road</v>
      </c>
    </row>
    <row r="990" spans="1:12" x14ac:dyDescent="0.25">
      <c r="A990">
        <v>1445</v>
      </c>
      <c r="B990">
        <v>985</v>
      </c>
      <c r="C990">
        <v>1443</v>
      </c>
      <c r="D990" t="s">
        <v>3926</v>
      </c>
      <c r="E990" t="str">
        <f>IF(NOT(ISERROR(VLOOKUP(D990,'ESO DungeonFinder'!$A$2:$A$999,1,FALSE))),"X","")</f>
        <v/>
      </c>
      <c r="F990" s="102" t="str">
        <f t="shared" si="63"/>
        <v/>
      </c>
      <c r="G990" s="102" t="str">
        <f t="shared" si="64"/>
        <v>West Weald</v>
      </c>
      <c r="H990" s="103">
        <f t="shared" si="65"/>
        <v>1445</v>
      </c>
      <c r="I990" s="103">
        <f t="shared" si="66"/>
        <v>1443</v>
      </c>
      <c r="J990">
        <v>34</v>
      </c>
      <c r="K990" s="102" t="str">
        <f>VLOOKUP(J990,'&lt;Constants&gt;'!$A$4:$B$1020,2,FALSE)</f>
        <v>DLC_GOLD_ROAD</v>
      </c>
      <c r="L990" s="102" t="str">
        <f>VLOOKUP(J990,'&lt;Constants&gt;'!$A$4:$C$1020,3,FALSE)</f>
        <v>Gold Road</v>
      </c>
    </row>
    <row r="991" spans="1:12" x14ac:dyDescent="0.25">
      <c r="A991">
        <v>1446</v>
      </c>
      <c r="B991">
        <v>986</v>
      </c>
      <c r="C991">
        <v>1443</v>
      </c>
      <c r="D991" t="s">
        <v>3925</v>
      </c>
      <c r="E991" t="str">
        <f>IF(NOT(ISERROR(VLOOKUP(D991,'ESO DungeonFinder'!$A$2:$A$999,1,FALSE))),"X","")</f>
        <v/>
      </c>
      <c r="F991" s="102" t="str">
        <f t="shared" si="63"/>
        <v/>
      </c>
      <c r="G991" s="102" t="str">
        <f t="shared" si="64"/>
        <v>West Weald</v>
      </c>
      <c r="H991" s="103">
        <f t="shared" si="65"/>
        <v>1446</v>
      </c>
      <c r="I991" s="103">
        <f t="shared" si="66"/>
        <v>1443</v>
      </c>
      <c r="J991">
        <v>34</v>
      </c>
      <c r="K991" s="102" t="str">
        <f>VLOOKUP(J991,'&lt;Constants&gt;'!$A$4:$B$1020,2,FALSE)</f>
        <v>DLC_GOLD_ROAD</v>
      </c>
      <c r="L991" s="102" t="str">
        <f>VLOOKUP(J991,'&lt;Constants&gt;'!$A$4:$C$1020,3,FALSE)</f>
        <v>Gold Road</v>
      </c>
    </row>
    <row r="992" spans="1:12" x14ac:dyDescent="0.25">
      <c r="A992">
        <v>1447</v>
      </c>
      <c r="B992">
        <v>987</v>
      </c>
      <c r="C992">
        <v>1443</v>
      </c>
      <c r="D992" t="s">
        <v>3915</v>
      </c>
      <c r="E992" t="str">
        <f>IF(NOT(ISERROR(VLOOKUP(D992,'ESO DungeonFinder'!$A$2:$A$999,1,FALSE))),"X","")</f>
        <v/>
      </c>
      <c r="F992" s="102" t="str">
        <f t="shared" si="63"/>
        <v/>
      </c>
      <c r="G992" s="102" t="str">
        <f t="shared" si="64"/>
        <v>West Weald</v>
      </c>
      <c r="H992" s="103">
        <f t="shared" si="65"/>
        <v>1447</v>
      </c>
      <c r="I992" s="103">
        <f t="shared" si="66"/>
        <v>1443</v>
      </c>
      <c r="J992">
        <v>34</v>
      </c>
      <c r="K992" s="102" t="str">
        <f>VLOOKUP(J992,'&lt;Constants&gt;'!$A$4:$B$1020,2,FALSE)</f>
        <v>DLC_GOLD_ROAD</v>
      </c>
      <c r="L992" s="102" t="str">
        <f>VLOOKUP(J992,'&lt;Constants&gt;'!$A$4:$C$1020,3,FALSE)</f>
        <v>Gold Road</v>
      </c>
    </row>
    <row r="993" spans="1:12" x14ac:dyDescent="0.25">
      <c r="A993">
        <v>1448</v>
      </c>
      <c r="B993">
        <v>988</v>
      </c>
      <c r="C993">
        <v>1443</v>
      </c>
      <c r="D993" t="s">
        <v>3924</v>
      </c>
      <c r="E993" t="str">
        <f>IF(NOT(ISERROR(VLOOKUP(D993,'ESO DungeonFinder'!$A$2:$A$999,1,FALSE))),"X","")</f>
        <v/>
      </c>
      <c r="F993" s="102" t="str">
        <f t="shared" si="63"/>
        <v/>
      </c>
      <c r="G993" s="102" t="str">
        <f t="shared" si="64"/>
        <v>West Weald</v>
      </c>
      <c r="H993" s="103">
        <f t="shared" si="65"/>
        <v>1448</v>
      </c>
      <c r="I993" s="103">
        <f t="shared" si="66"/>
        <v>1443</v>
      </c>
      <c r="J993">
        <v>34</v>
      </c>
      <c r="K993" s="102" t="str">
        <f>VLOOKUP(J993,'&lt;Constants&gt;'!$A$4:$B$1020,2,FALSE)</f>
        <v>DLC_GOLD_ROAD</v>
      </c>
      <c r="L993" s="102" t="str">
        <f>VLOOKUP(J993,'&lt;Constants&gt;'!$A$4:$C$1020,3,FALSE)</f>
        <v>Gold Road</v>
      </c>
    </row>
    <row r="994" spans="1:12" x14ac:dyDescent="0.25">
      <c r="A994">
        <v>1449</v>
      </c>
      <c r="B994">
        <v>989</v>
      </c>
      <c r="C994">
        <v>1443</v>
      </c>
      <c r="D994" t="s">
        <v>3923</v>
      </c>
      <c r="E994" t="str">
        <f>IF(NOT(ISERROR(VLOOKUP(D994,'ESO DungeonFinder'!$A$2:$A$999,1,FALSE))),"X","")</f>
        <v/>
      </c>
      <c r="F994" s="102" t="str">
        <f t="shared" si="63"/>
        <v/>
      </c>
      <c r="G994" s="102" t="str">
        <f t="shared" si="64"/>
        <v>West Weald</v>
      </c>
      <c r="H994" s="103">
        <f t="shared" si="65"/>
        <v>1449</v>
      </c>
      <c r="I994" s="103">
        <f t="shared" si="66"/>
        <v>1443</v>
      </c>
      <c r="J994">
        <v>34</v>
      </c>
      <c r="K994" s="102" t="str">
        <f>VLOOKUP(J994,'&lt;Constants&gt;'!$A$4:$B$1020,2,FALSE)</f>
        <v>DLC_GOLD_ROAD</v>
      </c>
      <c r="L994" s="102" t="str">
        <f>VLOOKUP(J994,'&lt;Constants&gt;'!$A$4:$C$1020,3,FALSE)</f>
        <v>Gold Road</v>
      </c>
    </row>
    <row r="995" spans="1:12" x14ac:dyDescent="0.25">
      <c r="A995">
        <v>1450</v>
      </c>
      <c r="B995">
        <v>990</v>
      </c>
      <c r="C995">
        <v>1443</v>
      </c>
      <c r="D995" t="s">
        <v>3922</v>
      </c>
      <c r="E995" t="str">
        <f>IF(NOT(ISERROR(VLOOKUP(D995,'ESO DungeonFinder'!$A$2:$A$999,1,FALSE))),"X","")</f>
        <v/>
      </c>
      <c r="F995" s="102" t="str">
        <f t="shared" si="63"/>
        <v/>
      </c>
      <c r="G995" s="102" t="str">
        <f t="shared" si="64"/>
        <v>West Weald</v>
      </c>
      <c r="H995" s="103">
        <f t="shared" si="65"/>
        <v>1450</v>
      </c>
      <c r="I995" s="103">
        <f t="shared" si="66"/>
        <v>1443</v>
      </c>
      <c r="J995">
        <v>34</v>
      </c>
      <c r="K995" s="102" t="str">
        <f>VLOOKUP(J995,'&lt;Constants&gt;'!$A$4:$B$1020,2,FALSE)</f>
        <v>DLC_GOLD_ROAD</v>
      </c>
      <c r="L995" s="102" t="str">
        <f>VLOOKUP(J995,'&lt;Constants&gt;'!$A$4:$C$1020,3,FALSE)</f>
        <v>Gold Road</v>
      </c>
    </row>
    <row r="996" spans="1:12" x14ac:dyDescent="0.25">
      <c r="A996">
        <v>1451</v>
      </c>
      <c r="B996">
        <v>991</v>
      </c>
      <c r="C996">
        <v>1443</v>
      </c>
      <c r="D996" t="s">
        <v>3916</v>
      </c>
      <c r="E996" t="str">
        <f>IF(NOT(ISERROR(VLOOKUP(D996,'ESO DungeonFinder'!$A$2:$A$999,1,FALSE))),"X","")</f>
        <v/>
      </c>
      <c r="F996" s="102" t="str">
        <f t="shared" si="63"/>
        <v/>
      </c>
      <c r="G996" s="102" t="str">
        <f t="shared" si="64"/>
        <v>West Weald</v>
      </c>
      <c r="H996" s="103">
        <f t="shared" si="65"/>
        <v>1451</v>
      </c>
      <c r="I996" s="103">
        <f t="shared" si="66"/>
        <v>1443</v>
      </c>
      <c r="J996">
        <v>34</v>
      </c>
      <c r="K996" s="102" t="str">
        <f>VLOOKUP(J996,'&lt;Constants&gt;'!$A$4:$B$1020,2,FALSE)</f>
        <v>DLC_GOLD_ROAD</v>
      </c>
      <c r="L996" s="102" t="str">
        <f>VLOOKUP(J996,'&lt;Constants&gt;'!$A$4:$C$1020,3,FALSE)</f>
        <v>Gold Road</v>
      </c>
    </row>
    <row r="997" spans="1:12" x14ac:dyDescent="0.25">
      <c r="A997">
        <v>1452</v>
      </c>
      <c r="B997">
        <v>992</v>
      </c>
      <c r="C997">
        <v>1443</v>
      </c>
      <c r="D997" t="s">
        <v>3917</v>
      </c>
      <c r="E997" t="str">
        <f>IF(NOT(ISERROR(VLOOKUP(D997,'ESO DungeonFinder'!$A$2:$A$999,1,FALSE))),"X","")</f>
        <v/>
      </c>
      <c r="F997" s="102" t="str">
        <f t="shared" si="63"/>
        <v/>
      </c>
      <c r="G997" s="102" t="str">
        <f t="shared" si="64"/>
        <v>West Weald</v>
      </c>
      <c r="H997" s="103">
        <f t="shared" si="65"/>
        <v>1452</v>
      </c>
      <c r="I997" s="103">
        <f t="shared" si="66"/>
        <v>1443</v>
      </c>
      <c r="J997">
        <v>34</v>
      </c>
      <c r="K997" s="102" t="str">
        <f>VLOOKUP(J997,'&lt;Constants&gt;'!$A$4:$B$1020,2,FALSE)</f>
        <v>DLC_GOLD_ROAD</v>
      </c>
      <c r="L997" s="102" t="str">
        <f>VLOOKUP(J997,'&lt;Constants&gt;'!$A$4:$C$1020,3,FALSE)</f>
        <v>Gold Road</v>
      </c>
    </row>
    <row r="998" spans="1:12" x14ac:dyDescent="0.25">
      <c r="A998">
        <v>1453</v>
      </c>
      <c r="B998">
        <v>993</v>
      </c>
      <c r="C998">
        <v>1443</v>
      </c>
      <c r="D998" t="s">
        <v>3921</v>
      </c>
      <c r="E998" t="str">
        <f>IF(NOT(ISERROR(VLOOKUP(D998,'ESO DungeonFinder'!$A$2:$A$999,1,FALSE))),"X","")</f>
        <v/>
      </c>
      <c r="F998" s="102" t="str">
        <f t="shared" si="63"/>
        <v/>
      </c>
      <c r="G998" s="102" t="str">
        <f t="shared" si="64"/>
        <v>West Weald</v>
      </c>
      <c r="H998" s="103">
        <f t="shared" si="65"/>
        <v>1453</v>
      </c>
      <c r="I998" s="103">
        <f t="shared" si="66"/>
        <v>1443</v>
      </c>
      <c r="J998">
        <v>34</v>
      </c>
      <c r="K998" s="102" t="str">
        <f>VLOOKUP(J998,'&lt;Constants&gt;'!$A$4:$B$1020,2,FALSE)</f>
        <v>DLC_GOLD_ROAD</v>
      </c>
      <c r="L998" s="102" t="str">
        <f>VLOOKUP(J998,'&lt;Constants&gt;'!$A$4:$C$1020,3,FALSE)</f>
        <v>Gold Road</v>
      </c>
    </row>
    <row r="999" spans="1:12" x14ac:dyDescent="0.25">
      <c r="A999">
        <v>1454</v>
      </c>
      <c r="B999">
        <v>994</v>
      </c>
      <c r="C999">
        <v>1443</v>
      </c>
      <c r="D999" t="s">
        <v>3905</v>
      </c>
      <c r="E999" t="str">
        <f>IF(NOT(ISERROR(VLOOKUP(D999,'ESO DungeonFinder'!$A$2:$A$999,1,FALSE))),"X","")</f>
        <v/>
      </c>
      <c r="F999" s="102" t="str">
        <f t="shared" si="63"/>
        <v/>
      </c>
      <c r="G999" s="102" t="str">
        <f t="shared" si="64"/>
        <v>West Weald</v>
      </c>
      <c r="H999" s="103">
        <f t="shared" si="65"/>
        <v>1454</v>
      </c>
      <c r="I999" s="103">
        <f t="shared" si="66"/>
        <v>1443</v>
      </c>
      <c r="J999">
        <v>34</v>
      </c>
      <c r="K999" s="102" t="str">
        <f>VLOOKUP(J999,'&lt;Constants&gt;'!$A$4:$B$1020,2,FALSE)</f>
        <v>DLC_GOLD_ROAD</v>
      </c>
      <c r="L999" s="102" t="str">
        <f>VLOOKUP(J999,'&lt;Constants&gt;'!$A$4:$C$1020,3,FALSE)</f>
        <v>Gold Road</v>
      </c>
    </row>
    <row r="1000" spans="1:12" x14ac:dyDescent="0.25">
      <c r="A1000">
        <v>1455</v>
      </c>
      <c r="B1000">
        <v>995</v>
      </c>
      <c r="C1000">
        <v>1443</v>
      </c>
      <c r="D1000" t="s">
        <v>3906</v>
      </c>
      <c r="E1000" t="str">
        <f>IF(NOT(ISERROR(VLOOKUP(D1000,'ESO DungeonFinder'!$A$2:$A$999,1,FALSE))),"X","")</f>
        <v/>
      </c>
      <c r="F1000" s="102" t="str">
        <f t="shared" si="63"/>
        <v/>
      </c>
      <c r="G1000" s="102" t="str">
        <f t="shared" si="64"/>
        <v>West Weald</v>
      </c>
      <c r="H1000" s="103">
        <f t="shared" si="65"/>
        <v>1455</v>
      </c>
      <c r="I1000" s="103">
        <f t="shared" si="66"/>
        <v>1443</v>
      </c>
      <c r="J1000">
        <v>34</v>
      </c>
      <c r="K1000" s="102" t="str">
        <f>VLOOKUP(J1000,'&lt;Constants&gt;'!$A$4:$B$1020,2,FALSE)</f>
        <v>DLC_GOLD_ROAD</v>
      </c>
      <c r="L1000" s="102" t="str">
        <f>VLOOKUP(J1000,'&lt;Constants&gt;'!$A$4:$C$1020,3,FALSE)</f>
        <v>Gold Road</v>
      </c>
    </row>
    <row r="1001" spans="1:12" x14ac:dyDescent="0.25">
      <c r="A1001">
        <v>1456</v>
      </c>
      <c r="B1001">
        <v>996</v>
      </c>
      <c r="C1001">
        <v>1443</v>
      </c>
      <c r="D1001" t="s">
        <v>3918</v>
      </c>
      <c r="E1001" t="str">
        <f>IF(NOT(ISERROR(VLOOKUP(D1001,'ESO DungeonFinder'!$A$2:$A$999,1,FALSE))),"X","")</f>
        <v/>
      </c>
      <c r="F1001" s="102" t="str">
        <f t="shared" si="63"/>
        <v/>
      </c>
      <c r="G1001" s="102" t="str">
        <f t="shared" si="64"/>
        <v>West Weald</v>
      </c>
      <c r="H1001" s="103">
        <f t="shared" si="65"/>
        <v>1456</v>
      </c>
      <c r="I1001" s="103">
        <f t="shared" si="66"/>
        <v>1443</v>
      </c>
      <c r="J1001">
        <v>34</v>
      </c>
      <c r="K1001" s="102" t="str">
        <f>VLOOKUP(J1001,'&lt;Constants&gt;'!$A$4:$B$1020,2,FALSE)</f>
        <v>DLC_GOLD_ROAD</v>
      </c>
      <c r="L1001" s="102" t="str">
        <f>VLOOKUP(J1001,'&lt;Constants&gt;'!$A$4:$C$1020,3,FALSE)</f>
        <v>Gold Road</v>
      </c>
    </row>
    <row r="1002" spans="1:12" x14ac:dyDescent="0.25">
      <c r="A1002">
        <v>1457</v>
      </c>
      <c r="B1002">
        <v>997</v>
      </c>
      <c r="C1002">
        <v>1463</v>
      </c>
      <c r="D1002" t="s">
        <v>3907</v>
      </c>
      <c r="E1002" t="str">
        <f>IF(NOT(ISERROR(VLOOKUP(D1002,'ESO DungeonFinder'!$A$2:$A$999,1,FALSE))),"X","")</f>
        <v/>
      </c>
      <c r="F1002" s="102" t="str">
        <f t="shared" si="63"/>
        <v/>
      </c>
      <c r="G1002" s="102" t="str">
        <f t="shared" si="64"/>
        <v>The Scholarium</v>
      </c>
      <c r="H1002" s="103">
        <f t="shared" si="65"/>
        <v>1457</v>
      </c>
      <c r="I1002" s="103">
        <f t="shared" si="66"/>
        <v>1463</v>
      </c>
      <c r="J1002">
        <v>34</v>
      </c>
      <c r="K1002" s="102" t="str">
        <f>VLOOKUP(J1002,'&lt;Constants&gt;'!$A$4:$B$1020,2,FALSE)</f>
        <v>DLC_GOLD_ROAD</v>
      </c>
      <c r="L1002" s="102" t="str">
        <f>VLOOKUP(J1002,'&lt;Constants&gt;'!$A$4:$C$1020,3,FALSE)</f>
        <v>Gold Road</v>
      </c>
    </row>
    <row r="1003" spans="1:12" x14ac:dyDescent="0.25">
      <c r="A1003">
        <v>1458</v>
      </c>
      <c r="B1003">
        <v>998</v>
      </c>
      <c r="C1003">
        <v>1443</v>
      </c>
      <c r="D1003" t="s">
        <v>3642</v>
      </c>
      <c r="E1003" t="str">
        <f>IF(NOT(ISERROR(VLOOKUP(D1003,'ESO DungeonFinder'!$A$2:$A$999,1,FALSE))),"X","")</f>
        <v/>
      </c>
      <c r="F1003" s="102" t="str">
        <f t="shared" si="63"/>
        <v/>
      </c>
      <c r="G1003" s="102" t="str">
        <f t="shared" si="64"/>
        <v>West Weald</v>
      </c>
      <c r="H1003" s="103">
        <f t="shared" si="65"/>
        <v>1458</v>
      </c>
      <c r="I1003" s="103">
        <f t="shared" si="66"/>
        <v>1443</v>
      </c>
      <c r="J1003">
        <v>34</v>
      </c>
      <c r="K1003" s="102" t="str">
        <f>VLOOKUP(J1003,'&lt;Constants&gt;'!$A$4:$B$1020,2,FALSE)</f>
        <v>DLC_GOLD_ROAD</v>
      </c>
      <c r="L1003" s="102" t="str">
        <f>VLOOKUP(J1003,'&lt;Constants&gt;'!$A$4:$C$1020,3,FALSE)</f>
        <v>Gold Road</v>
      </c>
    </row>
    <row r="1004" spans="1:12" x14ac:dyDescent="0.25">
      <c r="A1004">
        <v>1459</v>
      </c>
      <c r="B1004">
        <v>999</v>
      </c>
      <c r="C1004">
        <v>1443</v>
      </c>
      <c r="D1004" t="s">
        <v>3908</v>
      </c>
      <c r="E1004" t="str">
        <f>IF(NOT(ISERROR(VLOOKUP(D1004,'ESO DungeonFinder'!$A$2:$A$999,1,FALSE))),"X","")</f>
        <v/>
      </c>
      <c r="F1004" s="102" t="str">
        <f t="shared" si="63"/>
        <v/>
      </c>
      <c r="G1004" s="102" t="str">
        <f t="shared" si="64"/>
        <v>West Weald</v>
      </c>
      <c r="H1004" s="103">
        <f t="shared" si="65"/>
        <v>1459</v>
      </c>
      <c r="I1004" s="103">
        <f t="shared" si="66"/>
        <v>1443</v>
      </c>
      <c r="J1004">
        <v>34</v>
      </c>
      <c r="K1004" s="102" t="str">
        <f>VLOOKUP(J1004,'&lt;Constants&gt;'!$A$4:$B$1020,2,FALSE)</f>
        <v>DLC_GOLD_ROAD</v>
      </c>
      <c r="L1004" s="102" t="str">
        <f>VLOOKUP(J1004,'&lt;Constants&gt;'!$A$4:$C$1020,3,FALSE)</f>
        <v>Gold Road</v>
      </c>
    </row>
    <row r="1005" spans="1:12" x14ac:dyDescent="0.25">
      <c r="A1005">
        <v>1460</v>
      </c>
      <c r="B1005">
        <v>1000</v>
      </c>
      <c r="C1005">
        <v>1460</v>
      </c>
      <c r="D1005" t="s">
        <v>3910</v>
      </c>
      <c r="E1005" t="str">
        <f>IF(NOT(ISERROR(VLOOKUP(D1005,'ESO DungeonFinder'!$A$2:$A$999,1,FALSE))),"X","")</f>
        <v/>
      </c>
      <c r="F1005" s="102" t="str">
        <f t="shared" si="63"/>
        <v>X</v>
      </c>
      <c r="G1005" s="102" t="str">
        <f t="shared" si="64"/>
        <v/>
      </c>
      <c r="H1005" s="103">
        <f t="shared" si="65"/>
        <v>1460</v>
      </c>
      <c r="I1005" s="103">
        <f t="shared" si="66"/>
        <v>1460</v>
      </c>
      <c r="J1005">
        <v>34</v>
      </c>
      <c r="K1005" s="102" t="str">
        <f>VLOOKUP(J1005,'&lt;Constants&gt;'!$A$4:$B$1020,2,FALSE)</f>
        <v>DLC_GOLD_ROAD</v>
      </c>
      <c r="L1005" s="102" t="str">
        <f>VLOOKUP(J1005,'&lt;Constants&gt;'!$A$4:$C$1020,3,FALSE)</f>
        <v>Gold Road</v>
      </c>
    </row>
    <row r="1006" spans="1:12" x14ac:dyDescent="0.25">
      <c r="A1006">
        <v>1461</v>
      </c>
      <c r="B1006">
        <v>1001</v>
      </c>
      <c r="C1006">
        <v>1443</v>
      </c>
      <c r="D1006" t="s">
        <v>3993</v>
      </c>
      <c r="E1006" t="str">
        <f>IF(NOT(ISERROR(VLOOKUP(D1006,'ESO DungeonFinder'!$A$2:$A$999,1,FALSE))),"X","")</f>
        <v/>
      </c>
      <c r="F1006" s="102" t="str">
        <f t="shared" si="63"/>
        <v/>
      </c>
      <c r="G1006" s="102" t="str">
        <f t="shared" si="64"/>
        <v>West Weald</v>
      </c>
      <c r="H1006" s="103">
        <f t="shared" si="65"/>
        <v>1461</v>
      </c>
      <c r="I1006" s="103">
        <f t="shared" si="66"/>
        <v>1443</v>
      </c>
      <c r="J1006">
        <v>34</v>
      </c>
      <c r="K1006" s="102" t="str">
        <f>VLOOKUP(J1006,'&lt;Constants&gt;'!$A$4:$B$1020,2,FALSE)</f>
        <v>DLC_GOLD_ROAD</v>
      </c>
      <c r="L1006" s="102" t="str">
        <f>VLOOKUP(J1006,'&lt;Constants&gt;'!$A$4:$C$1020,3,FALSE)</f>
        <v>Gold Road</v>
      </c>
    </row>
    <row r="1007" spans="1:12" x14ac:dyDescent="0.25">
      <c r="A1007">
        <v>1462</v>
      </c>
      <c r="B1007">
        <v>1002</v>
      </c>
      <c r="C1007">
        <v>1443</v>
      </c>
      <c r="D1007" t="s">
        <v>3913</v>
      </c>
      <c r="E1007" t="str">
        <f>IF(NOT(ISERROR(VLOOKUP(D1007,'ESO DungeonFinder'!$A$2:$A$999,1,FALSE))),"X","")</f>
        <v/>
      </c>
      <c r="F1007" s="102" t="str">
        <f t="shared" si="63"/>
        <v/>
      </c>
      <c r="G1007" s="102" t="str">
        <f t="shared" si="64"/>
        <v>West Weald</v>
      </c>
      <c r="H1007" s="103">
        <f t="shared" si="65"/>
        <v>1462</v>
      </c>
      <c r="I1007" s="103">
        <f t="shared" si="66"/>
        <v>1443</v>
      </c>
      <c r="J1007">
        <v>34</v>
      </c>
      <c r="K1007" s="102" t="str">
        <f>VLOOKUP(J1007,'&lt;Constants&gt;'!$A$4:$B$1020,2,FALSE)</f>
        <v>DLC_GOLD_ROAD</v>
      </c>
      <c r="L1007" s="102" t="str">
        <f>VLOOKUP(J1007,'&lt;Constants&gt;'!$A$4:$C$1020,3,FALSE)</f>
        <v>Gold Road</v>
      </c>
    </row>
    <row r="1008" spans="1:12" x14ac:dyDescent="0.25">
      <c r="A1008">
        <v>1463</v>
      </c>
      <c r="B1008">
        <v>1003</v>
      </c>
      <c r="C1008">
        <v>1463</v>
      </c>
      <c r="D1008" t="s">
        <v>3912</v>
      </c>
      <c r="E1008" t="str">
        <f>IF(NOT(ISERROR(VLOOKUP(D1008,'ESO DungeonFinder'!$A$2:$A$999,1,FALSE))),"X","")</f>
        <v/>
      </c>
      <c r="F1008" s="102" t="str">
        <f t="shared" si="63"/>
        <v>X</v>
      </c>
      <c r="G1008" s="102" t="str">
        <f t="shared" si="64"/>
        <v/>
      </c>
      <c r="H1008" s="103">
        <f t="shared" si="65"/>
        <v>1463</v>
      </c>
      <c r="I1008" s="103">
        <f t="shared" si="66"/>
        <v>1463</v>
      </c>
      <c r="J1008">
        <v>34</v>
      </c>
      <c r="K1008" s="102" t="str">
        <f>VLOOKUP(J1008,'&lt;Constants&gt;'!$A$4:$B$1020,2,FALSE)</f>
        <v>DLC_GOLD_ROAD</v>
      </c>
      <c r="L1008" s="102" t="str">
        <f>VLOOKUP(J1008,'&lt;Constants&gt;'!$A$4:$C$1020,3,FALSE)</f>
        <v>Gold Road</v>
      </c>
    </row>
    <row r="1009" spans="1:12" x14ac:dyDescent="0.25">
      <c r="A1009">
        <v>1464</v>
      </c>
      <c r="B1009">
        <v>1004</v>
      </c>
      <c r="C1009">
        <v>1443</v>
      </c>
      <c r="D1009" t="s">
        <v>3911</v>
      </c>
      <c r="E1009" t="str">
        <f>IF(NOT(ISERROR(VLOOKUP(D1009,'ESO DungeonFinder'!$A$2:$A$999,1,FALSE))),"X","")</f>
        <v/>
      </c>
      <c r="F1009" s="102" t="str">
        <f t="shared" si="63"/>
        <v/>
      </c>
      <c r="G1009" s="102" t="str">
        <f t="shared" si="64"/>
        <v>West Weald</v>
      </c>
      <c r="H1009" s="103">
        <f t="shared" si="65"/>
        <v>1464</v>
      </c>
      <c r="I1009" s="103">
        <f t="shared" si="66"/>
        <v>1443</v>
      </c>
      <c r="J1009">
        <v>34</v>
      </c>
      <c r="K1009" s="102" t="str">
        <f>VLOOKUP(J1009,'&lt;Constants&gt;'!$A$4:$B$1020,2,FALSE)</f>
        <v>DLC_GOLD_ROAD</v>
      </c>
      <c r="L1009" s="102" t="str">
        <f>VLOOKUP(J1009,'&lt;Constants&gt;'!$A$4:$C$1020,3,FALSE)</f>
        <v>Gold Road</v>
      </c>
    </row>
    <row r="1010" spans="1:12" x14ac:dyDescent="0.25">
      <c r="A1010">
        <v>1465</v>
      </c>
      <c r="B1010">
        <v>1005</v>
      </c>
      <c r="C1010">
        <v>1443</v>
      </c>
      <c r="D1010" t="s">
        <v>3919</v>
      </c>
      <c r="E1010" t="str">
        <f>IF(NOT(ISERROR(VLOOKUP(D1010,'ESO DungeonFinder'!$A$2:$A$999,1,FALSE))),"X","")</f>
        <v/>
      </c>
      <c r="F1010" s="102" t="str">
        <f t="shared" si="63"/>
        <v/>
      </c>
      <c r="G1010" s="102" t="str">
        <f t="shared" si="64"/>
        <v>West Weald</v>
      </c>
      <c r="H1010" s="103">
        <f t="shared" si="65"/>
        <v>1465</v>
      </c>
      <c r="I1010" s="103">
        <f t="shared" si="66"/>
        <v>1443</v>
      </c>
      <c r="J1010">
        <v>34</v>
      </c>
      <c r="K1010" s="102" t="str">
        <f>VLOOKUP(J1010,'&lt;Constants&gt;'!$A$4:$B$1020,2,FALSE)</f>
        <v>DLC_GOLD_ROAD</v>
      </c>
      <c r="L1010" s="102" t="str">
        <f>VLOOKUP(J1010,'&lt;Constants&gt;'!$A$4:$C$1020,3,FALSE)</f>
        <v>Gold Road</v>
      </c>
    </row>
    <row r="1011" spans="1:12" x14ac:dyDescent="0.25">
      <c r="A1011">
        <v>1466</v>
      </c>
      <c r="B1011">
        <v>1006</v>
      </c>
      <c r="C1011">
        <v>1443</v>
      </c>
      <c r="D1011" t="s">
        <v>3909</v>
      </c>
      <c r="E1011" t="str">
        <f>IF(NOT(ISERROR(VLOOKUP(D1011,'ESO DungeonFinder'!$A$2:$A$999,1,FALSE))),"X","")</f>
        <v/>
      </c>
      <c r="F1011" s="102" t="str">
        <f t="shared" si="63"/>
        <v/>
      </c>
      <c r="G1011" s="102" t="str">
        <f t="shared" si="64"/>
        <v>West Weald</v>
      </c>
      <c r="H1011" s="103">
        <f t="shared" si="65"/>
        <v>1466</v>
      </c>
      <c r="I1011" s="103">
        <f t="shared" si="66"/>
        <v>1443</v>
      </c>
      <c r="J1011">
        <v>34</v>
      </c>
      <c r="K1011" s="102" t="str">
        <f>VLOOKUP(J1011,'&lt;Constants&gt;'!$A$4:$B$1020,2,FALSE)</f>
        <v>DLC_GOLD_ROAD</v>
      </c>
      <c r="L1011" s="102" t="str">
        <f>VLOOKUP(J1011,'&lt;Constants&gt;'!$A$4:$C$1020,3,FALSE)</f>
        <v>Gold Road</v>
      </c>
    </row>
    <row r="1012" spans="1:12" x14ac:dyDescent="0.25">
      <c r="A1012">
        <v>1467</v>
      </c>
      <c r="B1012">
        <v>1007</v>
      </c>
      <c r="C1012">
        <v>1443</v>
      </c>
      <c r="D1012" t="s">
        <v>3899</v>
      </c>
      <c r="E1012" t="str">
        <f>IF(NOT(ISERROR(VLOOKUP(D1012,'ESO DungeonFinder'!$A$2:$A$999,1,FALSE))),"X","")</f>
        <v/>
      </c>
      <c r="F1012" s="102" t="str">
        <f t="shared" si="63"/>
        <v/>
      </c>
      <c r="G1012" s="102" t="str">
        <f t="shared" si="64"/>
        <v>West Weald</v>
      </c>
      <c r="H1012" s="103">
        <f t="shared" si="65"/>
        <v>1467</v>
      </c>
      <c r="I1012" s="103">
        <f t="shared" si="66"/>
        <v>1443</v>
      </c>
      <c r="J1012">
        <v>34</v>
      </c>
      <c r="K1012" s="102" t="str">
        <f>VLOOKUP(J1012,'&lt;Constants&gt;'!$A$4:$B$1020,2,FALSE)</f>
        <v>DLC_GOLD_ROAD</v>
      </c>
      <c r="L1012" s="102" t="str">
        <f>VLOOKUP(J1012,'&lt;Constants&gt;'!$A$4:$C$1020,3,FALSE)</f>
        <v>Gold Road</v>
      </c>
    </row>
    <row r="1013" spans="1:12" x14ac:dyDescent="0.25">
      <c r="A1013">
        <v>1468</v>
      </c>
      <c r="B1013">
        <v>1008</v>
      </c>
      <c r="C1013">
        <v>1414</v>
      </c>
      <c r="D1013" t="s">
        <v>3723</v>
      </c>
      <c r="E1013" t="str">
        <f>IF(NOT(ISERROR(VLOOKUP(D1013,'ESO DungeonFinder'!$A$2:$A$999,1,FALSE))),"X","")</f>
        <v/>
      </c>
      <c r="F1013" s="102" t="str">
        <f t="shared" si="63"/>
        <v/>
      </c>
      <c r="G1013" s="102" t="str">
        <f t="shared" si="64"/>
        <v>Telvanni Peninsula</v>
      </c>
      <c r="H1013" s="103">
        <f t="shared" si="65"/>
        <v>1468</v>
      </c>
      <c r="I1013" s="103">
        <f t="shared" si="66"/>
        <v>1414</v>
      </c>
      <c r="J1013">
        <v>33</v>
      </c>
      <c r="K1013" s="102" t="str">
        <f>VLOOKUP(J1013,'&lt;Constants&gt;'!$A$4:$B$1020,2,FALSE)</f>
        <v>DLC_SCIONS_OF_ITHELIA</v>
      </c>
      <c r="L1013" s="102" t="str">
        <f>VLOOKUP(J1013,'&lt;Constants&gt;'!$A$4:$C$1020,3,FALSE)</f>
        <v>Scions of Ithelia</v>
      </c>
    </row>
    <row r="1014" spans="1:12" x14ac:dyDescent="0.25">
      <c r="A1014">
        <v>1470</v>
      </c>
      <c r="B1014">
        <v>1009</v>
      </c>
      <c r="C1014">
        <v>1207</v>
      </c>
      <c r="D1014" t="s">
        <v>3834</v>
      </c>
      <c r="E1014" t="str">
        <f>IF(NOT(ISERROR(VLOOKUP(D1014,'ESO DungeonFinder'!$A$2:$A$999,1,FALSE))),"X","")</f>
        <v>X</v>
      </c>
      <c r="F1014" s="102" t="str">
        <f t="shared" si="63"/>
        <v/>
      </c>
      <c r="G1014" s="102" t="str">
        <f t="shared" si="64"/>
        <v>The Reach</v>
      </c>
      <c r="H1014" s="103">
        <f t="shared" si="65"/>
        <v>1470</v>
      </c>
      <c r="I1014" s="103">
        <f t="shared" si="66"/>
        <v>1207</v>
      </c>
      <c r="J1014">
        <v>33</v>
      </c>
      <c r="K1014" s="102" t="str">
        <f>VLOOKUP(J1014,'&lt;Constants&gt;'!$A$4:$B$1020,2,FALSE)</f>
        <v>DLC_SCIONS_OF_ITHELIA</v>
      </c>
      <c r="L1014" s="102" t="str">
        <f>VLOOKUP(J1014,'&lt;Constants&gt;'!$A$4:$C$1020,3,FALSE)</f>
        <v>Scions of Ithelia</v>
      </c>
    </row>
    <row r="1015" spans="1:12" x14ac:dyDescent="0.25">
      <c r="A1015">
        <v>1471</v>
      </c>
      <c r="B1015">
        <v>1010</v>
      </c>
      <c r="C1015">
        <v>684</v>
      </c>
      <c r="D1015" t="s">
        <v>3835</v>
      </c>
      <c r="E1015" t="str">
        <f>IF(NOT(ISERROR(VLOOKUP(D1015,'ESO DungeonFinder'!$A$2:$A$999,1,FALSE))),"X","")</f>
        <v>X</v>
      </c>
      <c r="F1015" s="102" t="str">
        <f t="shared" si="63"/>
        <v/>
      </c>
      <c r="G1015" s="102" t="str">
        <f t="shared" si="64"/>
        <v>Wrothgar</v>
      </c>
      <c r="H1015" s="103">
        <f t="shared" si="65"/>
        <v>1471</v>
      </c>
      <c r="I1015" s="103">
        <f t="shared" si="66"/>
        <v>684</v>
      </c>
      <c r="J1015">
        <v>28</v>
      </c>
      <c r="K1015" s="102" t="str">
        <f>VLOOKUP(J1015,'&lt;Constants&gt;'!$A$4:$B$1020,2,FALSE)</f>
        <v>DLC_FIRESONG</v>
      </c>
      <c r="L1015" s="102" t="str">
        <f>VLOOKUP(J1015,'&lt;Constants&gt;'!$A$4:$C$1020,3,FALSE)</f>
        <v>Firesong</v>
      </c>
    </row>
    <row r="1016" spans="1:12" x14ac:dyDescent="0.25">
      <c r="A1016">
        <v>1472</v>
      </c>
      <c r="B1016">
        <v>1011</v>
      </c>
      <c r="C1016">
        <v>1383</v>
      </c>
      <c r="D1016" t="s">
        <v>3725</v>
      </c>
      <c r="E1016" t="str">
        <f>IF(NOT(ISERROR(VLOOKUP(D1016,'ESO DungeonFinder'!$A$2:$A$999,1,FALSE))),"X","")</f>
        <v/>
      </c>
      <c r="F1016" s="102" t="str">
        <f t="shared" si="63"/>
        <v/>
      </c>
      <c r="G1016" s="102" t="str">
        <f t="shared" si="64"/>
        <v>Galen</v>
      </c>
      <c r="H1016" s="103">
        <f t="shared" si="65"/>
        <v>1472</v>
      </c>
      <c r="I1016" s="103">
        <f t="shared" si="66"/>
        <v>1383</v>
      </c>
      <c r="J1016">
        <v>30</v>
      </c>
      <c r="K1016" s="102" t="str">
        <f>VLOOKUP(J1016,'&lt;Constants&gt;'!$A$4:$B$1020,2,FALSE)</f>
        <v>DLC_NECROM</v>
      </c>
      <c r="L1016" s="102" t="str">
        <f>VLOOKUP(J1016,'&lt;Constants&gt;'!$A$4:$C$1020,3,FALSE)</f>
        <v>Necrom</v>
      </c>
    </row>
    <row r="1017" spans="1:12" x14ac:dyDescent="0.25">
      <c r="A1017">
        <v>1473</v>
      </c>
      <c r="B1017">
        <v>1012</v>
      </c>
      <c r="C1017">
        <v>1413</v>
      </c>
      <c r="D1017" t="s">
        <v>3726</v>
      </c>
      <c r="E1017" t="str">
        <f>IF(NOT(ISERROR(VLOOKUP(D1017,'ESO DungeonFinder'!$A$2:$A$999,1,FALSE))),"X","")</f>
        <v/>
      </c>
      <c r="F1017" s="102" t="str">
        <f t="shared" si="63"/>
        <v/>
      </c>
      <c r="G1017" s="102" t="str">
        <f t="shared" si="64"/>
        <v>Apocrypha</v>
      </c>
      <c r="H1017" s="103">
        <f t="shared" si="65"/>
        <v>1473</v>
      </c>
      <c r="I1017" s="103">
        <f t="shared" si="66"/>
        <v>1413</v>
      </c>
      <c r="J1017">
        <v>34</v>
      </c>
      <c r="K1017" s="102" t="str">
        <f>VLOOKUP(J1017,'&lt;Constants&gt;'!$A$4:$B$1020,2,FALSE)</f>
        <v>DLC_GOLD_ROAD</v>
      </c>
      <c r="L1017" s="102" t="str">
        <f>VLOOKUP(J1017,'&lt;Constants&gt;'!$A$4:$C$1020,3,FALSE)</f>
        <v>Gold Road</v>
      </c>
    </row>
    <row r="1018" spans="1:12" x14ac:dyDescent="0.25">
      <c r="A1018">
        <v>1474</v>
      </c>
      <c r="B1018">
        <v>1013</v>
      </c>
      <c r="C1018">
        <v>1443</v>
      </c>
      <c r="D1018" t="s">
        <v>3642</v>
      </c>
      <c r="E1018" t="str">
        <f>IF(NOT(ISERROR(VLOOKUP(D1018,'ESO DungeonFinder'!$A$2:$A$999,1,FALSE))),"X","")</f>
        <v/>
      </c>
      <c r="F1018" s="102" t="str">
        <f t="shared" si="63"/>
        <v/>
      </c>
      <c r="G1018" s="102" t="str">
        <f t="shared" si="64"/>
        <v>West Weald</v>
      </c>
      <c r="H1018" s="103">
        <f t="shared" si="65"/>
        <v>1474</v>
      </c>
      <c r="I1018" s="103">
        <f t="shared" si="66"/>
        <v>1443</v>
      </c>
      <c r="J1018">
        <v>34</v>
      </c>
      <c r="K1018" s="102" t="str">
        <f>VLOOKUP(J1018,'&lt;Constants&gt;'!$A$4:$B$1020,2,FALSE)</f>
        <v>DLC_GOLD_ROAD</v>
      </c>
      <c r="L1018" s="102" t="str">
        <f>VLOOKUP(J1018,'&lt;Constants&gt;'!$A$4:$C$1020,3,FALSE)</f>
        <v>Gold Road</v>
      </c>
    </row>
    <row r="1019" spans="1:12" x14ac:dyDescent="0.25">
      <c r="A1019">
        <v>1475</v>
      </c>
      <c r="B1019">
        <v>1014</v>
      </c>
      <c r="C1019">
        <v>1475</v>
      </c>
      <c r="D1019" t="s">
        <v>3994</v>
      </c>
      <c r="E1019" t="str">
        <f>IF(NOT(ISERROR(VLOOKUP(D1019,'ESO DungeonFinder'!$A$2:$A$999,1,FALSE))),"X","")</f>
        <v/>
      </c>
      <c r="F1019" s="102" t="str">
        <f t="shared" si="63"/>
        <v>X</v>
      </c>
      <c r="G1019" s="102" t="str">
        <f t="shared" si="64"/>
        <v/>
      </c>
      <c r="H1019" s="103">
        <f t="shared" si="65"/>
        <v>1475</v>
      </c>
      <c r="I1019" s="103">
        <f t="shared" si="66"/>
        <v>1475</v>
      </c>
      <c r="J1019">
        <v>34</v>
      </c>
      <c r="K1019" s="102" t="str">
        <f>VLOOKUP(J1019,'&lt;Constants&gt;'!$A$4:$B$1020,2,FALSE)</f>
        <v>DLC_GOLD_ROAD</v>
      </c>
      <c r="L1019" s="102" t="str">
        <f>VLOOKUP(J1019,'&lt;Constants&gt;'!$A$4:$C$1020,3,FALSE)</f>
        <v>Gold Road</v>
      </c>
    </row>
    <row r="1020" spans="1:12" x14ac:dyDescent="0.25">
      <c r="A1020">
        <v>1478</v>
      </c>
      <c r="B1020">
        <v>1015</v>
      </c>
      <c r="C1020">
        <v>1443</v>
      </c>
      <c r="D1020" t="s">
        <v>3904</v>
      </c>
      <c r="E1020" t="str">
        <f>IF(NOT(ISERROR(VLOOKUP(D1020,'ESO DungeonFinder'!$A$2:$A$999,1,FALSE))),"X","")</f>
        <v/>
      </c>
      <c r="F1020" s="102" t="str">
        <f t="shared" si="63"/>
        <v/>
      </c>
      <c r="G1020" s="102" t="str">
        <f t="shared" si="64"/>
        <v>West Weald</v>
      </c>
      <c r="H1020" s="103">
        <f t="shared" si="65"/>
        <v>1478</v>
      </c>
      <c r="I1020" s="103">
        <f t="shared" si="66"/>
        <v>1443</v>
      </c>
      <c r="J1020">
        <v>34</v>
      </c>
      <c r="K1020" s="102" t="str">
        <f>VLOOKUP(J1020,'&lt;Constants&gt;'!$A$4:$B$1020,2,FALSE)</f>
        <v>DLC_GOLD_ROAD</v>
      </c>
      <c r="L1020" s="102" t="str">
        <f>VLOOKUP(J1020,'&lt;Constants&gt;'!$A$4:$C$1020,3,FALSE)</f>
        <v>Gold Road</v>
      </c>
    </row>
    <row r="1021" spans="1:12" x14ac:dyDescent="0.25">
      <c r="A1021">
        <v>1479</v>
      </c>
      <c r="B1021">
        <v>1016</v>
      </c>
      <c r="C1021">
        <v>1261</v>
      </c>
      <c r="D1021" t="s">
        <v>3857</v>
      </c>
      <c r="E1021" t="str">
        <f>IF(NOT(ISERROR(VLOOKUP(D1021,'ESO DungeonFinder'!$A$2:$A$999,1,FALSE))),"X","")</f>
        <v/>
      </c>
      <c r="F1021" s="102" t="str">
        <f t="shared" si="63"/>
        <v/>
      </c>
      <c r="G1021" s="102" t="str">
        <f t="shared" si="64"/>
        <v>Blackwood</v>
      </c>
      <c r="H1021" s="103">
        <f t="shared" si="65"/>
        <v>1479</v>
      </c>
      <c r="I1021" s="103">
        <f t="shared" si="66"/>
        <v>1261</v>
      </c>
      <c r="J1021">
        <v>34</v>
      </c>
      <c r="K1021" s="102" t="str">
        <f>VLOOKUP(J1021,'&lt;Constants&gt;'!$A$4:$B$1020,2,FALSE)</f>
        <v>DLC_GOLD_ROAD</v>
      </c>
      <c r="L1021" s="102" t="str">
        <f>VLOOKUP(J1021,'&lt;Constants&gt;'!$A$4:$C$1020,3,FALSE)</f>
        <v>Gold Road</v>
      </c>
    </row>
    <row r="1022" spans="1:12" x14ac:dyDescent="0.25">
      <c r="A1022">
        <v>1481</v>
      </c>
      <c r="B1022">
        <v>1017</v>
      </c>
      <c r="C1022">
        <v>1481</v>
      </c>
      <c r="D1022" t="s">
        <v>4018</v>
      </c>
      <c r="E1022" t="str">
        <f>IF(NOT(ISERROR(VLOOKUP(D1022,'ESO DungeonFinder'!$A$2:$A$999,1,FALSE))),"X","")</f>
        <v/>
      </c>
      <c r="F1022" s="102" t="str">
        <f t="shared" si="63"/>
        <v>X</v>
      </c>
      <c r="G1022" s="102" t="str">
        <f t="shared" si="64"/>
        <v/>
      </c>
      <c r="H1022" s="103">
        <f t="shared" si="65"/>
        <v>1481</v>
      </c>
      <c r="I1022" s="103">
        <f t="shared" si="66"/>
        <v>1481</v>
      </c>
      <c r="J1022">
        <v>34</v>
      </c>
      <c r="K1022" s="102" t="str">
        <f>VLOOKUP(J1022,'&lt;Constants&gt;'!$A$4:$B$1020,2,FALSE)</f>
        <v>DLC_GOLD_ROAD</v>
      </c>
      <c r="L1022" s="102" t="str">
        <f>VLOOKUP(J1022,'&lt;Constants&gt;'!$A$4:$C$1020,3,FALSE)</f>
        <v>Gold Road</v>
      </c>
    </row>
    <row r="1023" spans="1:12" x14ac:dyDescent="0.25">
      <c r="A1023">
        <v>1482</v>
      </c>
      <c r="B1023">
        <v>1018</v>
      </c>
      <c r="C1023">
        <v>1482</v>
      </c>
      <c r="D1023" t="s">
        <v>4076</v>
      </c>
      <c r="E1023" t="str">
        <f>IF(NOT(ISERROR(VLOOKUP(D1023,'ESO DungeonFinder'!$A$2:$A$999,1,FALSE))),"X","")</f>
        <v/>
      </c>
      <c r="F1023" s="102" t="str">
        <f t="shared" si="63"/>
        <v>X</v>
      </c>
      <c r="G1023" s="102" t="str">
        <f t="shared" si="64"/>
        <v/>
      </c>
      <c r="H1023" s="103">
        <f t="shared" si="65"/>
        <v>1482</v>
      </c>
      <c r="I1023" s="103">
        <f t="shared" si="66"/>
        <v>1482</v>
      </c>
      <c r="J1023">
        <v>35</v>
      </c>
      <c r="K1023" s="102" t="str">
        <f>VLOOKUP(J1023,'&lt;Constants&gt;'!$A$4:$B$1020,2,FALSE)</f>
        <v>NO_DLC_UPDATE43</v>
      </c>
      <c r="L1023" s="102" t="str">
        <f>VLOOKUP(J1023,'&lt;Constants&gt;'!$A$4:$C$1020,3,FALSE)</f>
        <v>Patch 43, House tours, QOL and other</v>
      </c>
    </row>
    <row r="1024" spans="1:12" x14ac:dyDescent="0.25">
      <c r="A1024">
        <v>1483</v>
      </c>
      <c r="B1024">
        <v>1019</v>
      </c>
      <c r="C1024">
        <v>1483</v>
      </c>
      <c r="D1024" t="s">
        <v>4019</v>
      </c>
      <c r="E1024" t="str">
        <f>IF(NOT(ISERROR(VLOOKUP(D1024,'ESO DungeonFinder'!$A$2:$A$999,1,FALSE))),"X","")</f>
        <v/>
      </c>
      <c r="F1024" s="102" t="str">
        <f t="shared" si="63"/>
        <v>X</v>
      </c>
      <c r="G1024" s="102" t="str">
        <f t="shared" si="64"/>
        <v/>
      </c>
      <c r="H1024" s="103">
        <f t="shared" si="65"/>
        <v>1483</v>
      </c>
      <c r="I1024" s="103">
        <f t="shared" si="66"/>
        <v>1483</v>
      </c>
      <c r="J1024">
        <v>35</v>
      </c>
      <c r="K1024" s="102" t="str">
        <f>VLOOKUP(J1024,'&lt;Constants&gt;'!$A$4:$B$1020,2,FALSE)</f>
        <v>NO_DLC_UPDATE43</v>
      </c>
      <c r="L1024" s="102" t="str">
        <f>VLOOKUP(J1024,'&lt;Constants&gt;'!$A$4:$C$1020,3,FALSE)</f>
        <v>Patch 43, House tours, QOL and other</v>
      </c>
    </row>
    <row r="1025" spans="1:12" x14ac:dyDescent="0.25">
      <c r="A1025">
        <v>1484</v>
      </c>
      <c r="B1025">
        <v>1020</v>
      </c>
      <c r="C1025">
        <v>1484</v>
      </c>
      <c r="D1025" t="s">
        <v>4020</v>
      </c>
      <c r="E1025" t="str">
        <f>IF(NOT(ISERROR(VLOOKUP(D1025,'ESO DungeonFinder'!$A$2:$A$999,1,FALSE))),"X","")</f>
        <v/>
      </c>
      <c r="F1025" s="102" t="str">
        <f t="shared" si="63"/>
        <v>X</v>
      </c>
      <c r="G1025" s="102" t="str">
        <f t="shared" si="64"/>
        <v/>
      </c>
      <c r="H1025" s="103">
        <f t="shared" si="65"/>
        <v>1484</v>
      </c>
      <c r="I1025" s="103">
        <f t="shared" si="66"/>
        <v>1484</v>
      </c>
      <c r="J1025">
        <v>36</v>
      </c>
      <c r="K1025" s="102" t="str">
        <f>VLOOKUP(J1025,'&lt;Constants&gt;'!$A$4:$B$1020,2,FALSE)</f>
        <v>NO_DLC_UPDATE44</v>
      </c>
      <c r="L1025" s="102" t="str">
        <f>VLOOKUP(J1025,'&lt;Constants&gt;'!$A$4:$C$1020,3,FALSE)</f>
        <v>Patch 44, BG changes, QOL and other</v>
      </c>
    </row>
    <row r="1026" spans="1:12" x14ac:dyDescent="0.25">
      <c r="A1026">
        <v>1485</v>
      </c>
      <c r="B1026">
        <v>1021</v>
      </c>
      <c r="C1026">
        <v>1485</v>
      </c>
      <c r="D1026" t="s">
        <v>4021</v>
      </c>
      <c r="E1026" t="str">
        <f>IF(NOT(ISERROR(VLOOKUP(D1026,'ESO DungeonFinder'!$A$2:$A$999,1,FALSE))),"X","")</f>
        <v/>
      </c>
      <c r="F1026" s="102" t="str">
        <f t="shared" si="63"/>
        <v>X</v>
      </c>
      <c r="G1026" s="102" t="str">
        <f t="shared" si="64"/>
        <v/>
      </c>
      <c r="H1026" s="103">
        <f t="shared" si="65"/>
        <v>1485</v>
      </c>
      <c r="I1026" s="103">
        <f t="shared" si="66"/>
        <v>1485</v>
      </c>
      <c r="J1026">
        <v>16</v>
      </c>
      <c r="K1026" s="102" t="str">
        <f>VLOOKUP(J1026,'&lt;Constants&gt;'!$A$4:$B$1020,2,FALSE)</f>
        <v>DLC_DRAGONHOLD</v>
      </c>
      <c r="L1026" s="102" t="str">
        <f>VLOOKUP(J1026,'&lt;Constants&gt;'!$A$4:$C$1020,3,FALSE)</f>
        <v>Dragonhold</v>
      </c>
    </row>
    <row r="1027" spans="1:12" x14ac:dyDescent="0.25">
      <c r="A1027">
        <v>1487</v>
      </c>
      <c r="B1027">
        <v>1022</v>
      </c>
      <c r="C1027">
        <v>1133</v>
      </c>
      <c r="D1027" t="s">
        <v>3903</v>
      </c>
      <c r="E1027" t="str">
        <f>IF(NOT(ISERROR(VLOOKUP(D1027,'ESO DungeonFinder'!$A$2:$A$999,1,FALSE))),"X","")</f>
        <v/>
      </c>
      <c r="F1027" s="102" t="str">
        <f t="shared" si="63"/>
        <v/>
      </c>
      <c r="G1027" s="102" t="str">
        <f t="shared" si="64"/>
        <v>Southern Elsweyr</v>
      </c>
      <c r="H1027" s="103">
        <f t="shared" si="65"/>
        <v>1487</v>
      </c>
      <c r="I1027" s="103">
        <f t="shared" si="66"/>
        <v>1133</v>
      </c>
      <c r="J1027">
        <v>34</v>
      </c>
      <c r="K1027" s="102" t="str">
        <f>VLOOKUP(J1027,'&lt;Constants&gt;'!$A$4:$B$1020,2,FALSE)</f>
        <v>DLC_GOLD_ROAD</v>
      </c>
      <c r="L1027" s="102" t="str">
        <f>VLOOKUP(J1027,'&lt;Constants&gt;'!$A$4:$C$1020,3,FALSE)</f>
        <v>Gold Road</v>
      </c>
    </row>
    <row r="1028" spans="1:12" x14ac:dyDescent="0.25">
      <c r="A1028">
        <v>1488</v>
      </c>
      <c r="B1028">
        <v>1023</v>
      </c>
      <c r="C1028">
        <v>1463</v>
      </c>
      <c r="D1028" t="s">
        <v>3902</v>
      </c>
      <c r="E1028" t="str">
        <f>IF(NOT(ISERROR(VLOOKUP(D1028,'ESO DungeonFinder'!$A$2:$A$999,1,FALSE))),"X","")</f>
        <v/>
      </c>
      <c r="F1028" s="102" t="str">
        <f t="shared" si="63"/>
        <v/>
      </c>
      <c r="G1028" s="102" t="str">
        <f t="shared" si="64"/>
        <v>The Scholarium</v>
      </c>
      <c r="H1028" s="103">
        <f t="shared" si="65"/>
        <v>1488</v>
      </c>
      <c r="I1028" s="103">
        <f t="shared" si="66"/>
        <v>1463</v>
      </c>
      <c r="J1028">
        <v>34</v>
      </c>
      <c r="K1028" s="102" t="str">
        <f>VLOOKUP(J1028,'&lt;Constants&gt;'!$A$4:$B$1020,2,FALSE)</f>
        <v>DLC_GOLD_ROAD</v>
      </c>
      <c r="L1028" s="102" t="str">
        <f>VLOOKUP(J1028,'&lt;Constants&gt;'!$A$4:$C$1020,3,FALSE)</f>
        <v>Gold Road</v>
      </c>
    </row>
    <row r="1029" spans="1:12" x14ac:dyDescent="0.25">
      <c r="A1029">
        <v>1491</v>
      </c>
      <c r="B1029">
        <v>1024</v>
      </c>
      <c r="C1029">
        <v>1443</v>
      </c>
      <c r="D1029" t="s">
        <v>3901</v>
      </c>
      <c r="E1029" t="str">
        <f>IF(NOT(ISERROR(VLOOKUP(D1029,'ESO DungeonFinder'!$A$2:$A$999,1,FALSE))),"X","")</f>
        <v/>
      </c>
      <c r="F1029" s="102" t="str">
        <f t="shared" si="63"/>
        <v/>
      </c>
      <c r="G1029" s="102" t="str">
        <f t="shared" si="64"/>
        <v>West Weald</v>
      </c>
      <c r="H1029" s="103">
        <f t="shared" si="65"/>
        <v>1491</v>
      </c>
      <c r="I1029" s="103">
        <f t="shared" si="66"/>
        <v>1443</v>
      </c>
      <c r="J1029">
        <v>34</v>
      </c>
      <c r="K1029" s="102" t="str">
        <f>VLOOKUP(J1029,'&lt;Constants&gt;'!$A$4:$B$1020,2,FALSE)</f>
        <v>DLC_GOLD_ROAD</v>
      </c>
      <c r="L1029" s="102" t="str">
        <f>VLOOKUP(J1029,'&lt;Constants&gt;'!$A$4:$C$1020,3,FALSE)</f>
        <v>Gold Road</v>
      </c>
    </row>
    <row r="1030" spans="1:12" x14ac:dyDescent="0.25">
      <c r="A1030">
        <v>1492</v>
      </c>
      <c r="B1030">
        <v>1025</v>
      </c>
      <c r="C1030">
        <v>1443</v>
      </c>
      <c r="D1030" t="s">
        <v>3900</v>
      </c>
      <c r="E1030" t="str">
        <f>IF(NOT(ISERROR(VLOOKUP(D1030,'ESO DungeonFinder'!$A$2:$A$999,1,FALSE))),"X","")</f>
        <v/>
      </c>
      <c r="F1030" s="102" t="str">
        <f t="shared" si="63"/>
        <v/>
      </c>
      <c r="G1030" s="102" t="str">
        <f t="shared" si="64"/>
        <v>West Weald</v>
      </c>
      <c r="H1030" s="103">
        <f t="shared" si="65"/>
        <v>1492</v>
      </c>
      <c r="I1030" s="103">
        <f t="shared" si="66"/>
        <v>1443</v>
      </c>
      <c r="J1030">
        <v>0</v>
      </c>
      <c r="K1030" s="102" t="str">
        <f>VLOOKUP(J1030,'&lt;Constants&gt;'!$A$4:$B$1020,2,FALSE)</f>
        <v>DLC_BASE_GAME</v>
      </c>
      <c r="L1030" s="102" t="str">
        <f>VLOOKUP(J1030,'&lt;Constants&gt;'!$A$4:$C$1020,3,FALSE)</f>
        <v>Included in base game</v>
      </c>
    </row>
    <row r="1031" spans="1:12" x14ac:dyDescent="0.25">
      <c r="A1031">
        <v>1494</v>
      </c>
      <c r="B1031">
        <v>1026</v>
      </c>
      <c r="C1031">
        <v>381</v>
      </c>
      <c r="D1031" t="s">
        <v>3991</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102" t="str">
        <f>VLOOKUP(J1031,'&lt;Constants&gt;'!$A$4:$B$1020,2,FALSE)</f>
        <v>DLC_GOLD_ROAD</v>
      </c>
      <c r="L1031" s="102" t="str">
        <f>VLOOKUP(J1031,'&lt;Constants&gt;'!$A$4:$C$1020,3,FALSE)</f>
        <v>Gold Road</v>
      </c>
    </row>
    <row r="1032" spans="1:12" x14ac:dyDescent="0.25">
      <c r="A1032">
        <v>1495</v>
      </c>
      <c r="B1032">
        <v>1027</v>
      </c>
      <c r="C1032">
        <v>1443</v>
      </c>
      <c r="D1032" t="s">
        <v>3992</v>
      </c>
      <c r="E1032" t="str">
        <f>IF(NOT(ISERROR(VLOOKUP(D1032,'ESO DungeonFinder'!$A$2:$A$999,1,FALSE))),"X","")</f>
        <v/>
      </c>
      <c r="F1032" s="102" t="str">
        <f t="shared" si="67"/>
        <v/>
      </c>
      <c r="G1032" s="102" t="str">
        <f t="shared" si="68"/>
        <v>West Weald</v>
      </c>
      <c r="H1032" s="103">
        <f t="shared" si="69"/>
        <v>1495</v>
      </c>
      <c r="I1032" s="103">
        <f t="shared" si="70"/>
        <v>1443</v>
      </c>
      <c r="J1032">
        <v>37</v>
      </c>
      <c r="K1032" s="102" t="str">
        <f>VLOOKUP(J1032,'&lt;Constants&gt;'!$A$4:$B$1020,2,FALSE)</f>
        <v>DLC_FALLEN_BANNERS</v>
      </c>
      <c r="L1032" s="102" t="str">
        <f>VLOOKUP(J1032,'&lt;Constants&gt;'!$A$4:$C$1020,3,FALSE)</f>
        <v>Fallen Banners</v>
      </c>
    </row>
    <row r="1033" spans="1:12" x14ac:dyDescent="0.25">
      <c r="A1033">
        <v>1496</v>
      </c>
      <c r="B1033">
        <v>1028</v>
      </c>
      <c r="C1033">
        <v>1443</v>
      </c>
      <c r="D1033" t="s">
        <v>4027</v>
      </c>
      <c r="E1033" t="str">
        <f>IF(NOT(ISERROR(VLOOKUP(D1033,'ESO DungeonFinder'!$A$2:$A$999,1,FALSE))),"X","")</f>
        <v>X</v>
      </c>
      <c r="F1033" s="102" t="str">
        <f t="shared" si="67"/>
        <v/>
      </c>
      <c r="G1033" s="102" t="str">
        <f t="shared" si="68"/>
        <v>West Weald</v>
      </c>
      <c r="H1033" s="103">
        <f t="shared" si="69"/>
        <v>1496</v>
      </c>
      <c r="I1033" s="103">
        <f t="shared" si="70"/>
        <v>1443</v>
      </c>
      <c r="J1033">
        <v>37</v>
      </c>
      <c r="K1033" s="102" t="str">
        <f>VLOOKUP(J1033,'&lt;Constants&gt;'!$A$4:$B$1020,2,FALSE)</f>
        <v>DLC_FALLEN_BANNERS</v>
      </c>
      <c r="L1033" s="102" t="str">
        <f>VLOOKUP(J1033,'&lt;Constants&gt;'!$A$4:$C$1020,3,FALSE)</f>
        <v>Fallen Banners</v>
      </c>
    </row>
    <row r="1034" spans="1:12" x14ac:dyDescent="0.25">
      <c r="A1034">
        <v>1497</v>
      </c>
      <c r="B1034">
        <v>1029</v>
      </c>
      <c r="C1034">
        <v>816</v>
      </c>
      <c r="D1034" t="s">
        <v>4031</v>
      </c>
      <c r="E1034" t="str">
        <f>IF(NOT(ISERROR(VLOOKUP(D1034,'ESO DungeonFinder'!$A$2:$A$999,1,FALSE))),"X","")</f>
        <v>X</v>
      </c>
      <c r="F1034" s="102" t="str">
        <f t="shared" si="67"/>
        <v/>
      </c>
      <c r="G1034" s="102" t="str">
        <f t="shared" si="68"/>
        <v>Hew's Bane</v>
      </c>
      <c r="H1034" s="103">
        <f t="shared" si="69"/>
        <v>1497</v>
      </c>
      <c r="I1034" s="103">
        <f t="shared" si="70"/>
        <v>816</v>
      </c>
      <c r="J1034">
        <v>36</v>
      </c>
      <c r="K1034" s="102" t="str">
        <f>VLOOKUP(J1034,'&lt;Constants&gt;'!$A$4:$B$1020,2,FALSE)</f>
        <v>NO_DLC_UPDATE44</v>
      </c>
      <c r="L1034" s="102" t="str">
        <f>VLOOKUP(J1034,'&lt;Constants&gt;'!$A$4:$C$1020,3,FALSE)</f>
        <v>Patch 44, BG changes, QOL and other</v>
      </c>
    </row>
    <row r="1035" spans="1:12" x14ac:dyDescent="0.25">
      <c r="A1035">
        <v>1498</v>
      </c>
      <c r="B1035">
        <v>1030</v>
      </c>
      <c r="C1035">
        <v>1498</v>
      </c>
      <c r="D1035" t="s">
        <v>4022</v>
      </c>
      <c r="E1035" t="str">
        <f>IF(NOT(ISERROR(VLOOKUP(D1035,'ESO DungeonFinder'!$A$2:$A$999,1,FALSE))),"X","")</f>
        <v/>
      </c>
      <c r="F1035" s="102" t="str">
        <f t="shared" si="67"/>
        <v>X</v>
      </c>
      <c r="G1035" s="102" t="str">
        <f t="shared" si="68"/>
        <v/>
      </c>
      <c r="H1035" s="103">
        <f t="shared" si="69"/>
        <v>1498</v>
      </c>
      <c r="I1035" s="103">
        <f t="shared" si="70"/>
        <v>1498</v>
      </c>
      <c r="J1035">
        <v>36</v>
      </c>
      <c r="K1035" s="102" t="str">
        <f>VLOOKUP(J1035,'&lt;Constants&gt;'!$A$4:$B$1020,2,FALSE)</f>
        <v>NO_DLC_UPDATE44</v>
      </c>
      <c r="L1035" s="102" t="str">
        <f>VLOOKUP(J1035,'&lt;Constants&gt;'!$A$4:$C$1020,3,FALSE)</f>
        <v>Patch 44, BG changes, QOL and other</v>
      </c>
    </row>
    <row r="1036" spans="1:12" x14ac:dyDescent="0.25">
      <c r="A1036">
        <v>1499</v>
      </c>
      <c r="B1036">
        <v>1031</v>
      </c>
      <c r="C1036">
        <v>1499</v>
      </c>
      <c r="D1036" t="s">
        <v>1384</v>
      </c>
      <c r="E1036" t="str">
        <f>IF(NOT(ISERROR(VLOOKUP(D1036,'ESO DungeonFinder'!$A$2:$A$999,1,FALSE))),"X","")</f>
        <v/>
      </c>
      <c r="F1036" s="102" t="str">
        <f t="shared" si="67"/>
        <v>X</v>
      </c>
      <c r="G1036" s="102" t="str">
        <f t="shared" si="68"/>
        <v/>
      </c>
      <c r="H1036" s="103">
        <f t="shared" si="69"/>
        <v>1499</v>
      </c>
      <c r="I1036" s="103">
        <f t="shared" si="70"/>
        <v>1499</v>
      </c>
      <c r="J1036">
        <v>18</v>
      </c>
      <c r="K1036" s="102" t="str">
        <f>VLOOKUP(J1036,'&lt;Constants&gt;'!$A$4:$B$1020,2,FALSE)</f>
        <v>DLC_GREYMOOR</v>
      </c>
      <c r="L1036" s="102" t="str">
        <f>VLOOKUP(J1036,'&lt;Constants&gt;'!$A$4:$C$1020,3,FALSE)</f>
        <v>Greymoor</v>
      </c>
    </row>
    <row r="1037" spans="1:12" x14ac:dyDescent="0.25">
      <c r="A1037">
        <v>1500</v>
      </c>
      <c r="B1037">
        <v>1032</v>
      </c>
      <c r="C1037">
        <v>1161</v>
      </c>
      <c r="D1037" t="s">
        <v>4009</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102" t="str">
        <f>VLOOKUP(J1037,'&lt;Constants&gt;'!$A$4:$B$1020,2,FALSE)</f>
        <v>DLC_BASE_GAME</v>
      </c>
      <c r="L1037" s="102" t="str">
        <f>VLOOKUP(J1037,'&lt;Constants&gt;'!$A$4:$C$1020,3,FALSE)</f>
        <v>Included in base game</v>
      </c>
    </row>
    <row r="1038" spans="1:12" x14ac:dyDescent="0.25">
      <c r="A1038">
        <v>1501</v>
      </c>
      <c r="B1038">
        <v>1033</v>
      </c>
      <c r="C1038">
        <v>103</v>
      </c>
      <c r="D1038" t="s">
        <v>4010</v>
      </c>
      <c r="E1038" t="str">
        <f>IF(NOT(ISERROR(VLOOKUP(D1038,'ESO DungeonFinder'!$A$2:$A$999,1,FALSE))),"X","")</f>
        <v/>
      </c>
      <c r="F1038" s="102" t="str">
        <f t="shared" si="67"/>
        <v/>
      </c>
      <c r="G1038" s="102" t="str">
        <f t="shared" si="68"/>
        <v>The Rift</v>
      </c>
      <c r="H1038" s="103">
        <f t="shared" si="69"/>
        <v>1501</v>
      </c>
      <c r="I1038" s="103">
        <f t="shared" si="70"/>
        <v>103</v>
      </c>
      <c r="J1038">
        <v>38</v>
      </c>
      <c r="K1038" s="102" t="str">
        <f>VLOOKUP(J1038,'&lt;Constants&gt;'!$A$4:$B$1020,2,FALSE)</f>
        <v>DLC_SEASONS_OF_THE_WORMCULT1</v>
      </c>
      <c r="L1038" s="102" t="str">
        <f>VLOOKUP(J1038,'&lt;Constants&gt;'!$A$4:$C$1020,3,FALSE)</f>
        <v>Seasons of the Wormcult Part 1</v>
      </c>
    </row>
    <row r="1039" spans="1:12" x14ac:dyDescent="0.25">
      <c r="A1039">
        <v>1502</v>
      </c>
      <c r="B1039">
        <v>1034</v>
      </c>
      <c r="C1039">
        <v>1502</v>
      </c>
      <c r="D1039" t="s">
        <v>4058</v>
      </c>
      <c r="E1039" t="str">
        <f>IF(NOT(ISERROR(VLOOKUP(D1039,'ESO DungeonFinder'!$A$2:$A$999,1,FALSE))),"X","")</f>
        <v/>
      </c>
      <c r="F1039" s="102" t="str">
        <f t="shared" si="67"/>
        <v>X</v>
      </c>
      <c r="G1039" s="102" t="str">
        <f t="shared" si="68"/>
        <v/>
      </c>
      <c r="H1039" s="103">
        <f t="shared" si="69"/>
        <v>1502</v>
      </c>
      <c r="I1039" s="103">
        <f t="shared" si="70"/>
        <v>1502</v>
      </c>
      <c r="J1039">
        <v>36</v>
      </c>
      <c r="K1039" s="102" t="str">
        <f>VLOOKUP(J1039,'&lt;Constants&gt;'!$A$4:$B$1020,2,FALSE)</f>
        <v>NO_DLC_UPDATE44</v>
      </c>
      <c r="L1039" s="102" t="str">
        <f>VLOOKUP(J1039,'&lt;Constants&gt;'!$A$4:$C$1020,3,FALSE)</f>
        <v>Patch 44, BG changes, QOL and other</v>
      </c>
    </row>
    <row r="1040" spans="1:12" x14ac:dyDescent="0.25">
      <c r="A1040">
        <v>1504</v>
      </c>
      <c r="B1040">
        <v>1035</v>
      </c>
      <c r="C1040">
        <v>1504</v>
      </c>
      <c r="D1040" t="s">
        <v>4023</v>
      </c>
      <c r="E1040" t="str">
        <f>IF(NOT(ISERROR(VLOOKUP(D1040,'ESO DungeonFinder'!$A$2:$A$999,1,FALSE))),"X","")</f>
        <v/>
      </c>
      <c r="F1040" s="102" t="str">
        <f t="shared" si="67"/>
        <v>X</v>
      </c>
      <c r="G1040" s="102" t="str">
        <f t="shared" si="68"/>
        <v/>
      </c>
      <c r="H1040" s="103">
        <f t="shared" si="69"/>
        <v>1504</v>
      </c>
      <c r="I1040" s="103">
        <f t="shared" si="70"/>
        <v>1504</v>
      </c>
      <c r="J1040">
        <v>37</v>
      </c>
      <c r="K1040" s="102" t="str">
        <f>VLOOKUP(J1040,'&lt;Constants&gt;'!$A$4:$B$1020,2,FALSE)</f>
        <v>DLC_FALLEN_BANNERS</v>
      </c>
      <c r="L1040" s="102" t="str">
        <f>VLOOKUP(J1040,'&lt;Constants&gt;'!$A$4:$C$1020,3,FALSE)</f>
        <v>Fallen Banners</v>
      </c>
    </row>
    <row r="1041" spans="1:12" x14ac:dyDescent="0.25">
      <c r="A1041">
        <v>1505</v>
      </c>
      <c r="B1041">
        <v>1036</v>
      </c>
      <c r="C1041">
        <v>20</v>
      </c>
      <c r="D1041" t="s">
        <v>4040</v>
      </c>
      <c r="E1041" t="str">
        <f>IF(NOT(ISERROR(VLOOKUP(D1041,'ESO DungeonFinder'!$A$2:$A$999,1,FALSE))),"X","")</f>
        <v/>
      </c>
      <c r="F1041" s="102" t="str">
        <f t="shared" si="67"/>
        <v/>
      </c>
      <c r="G1041" s="102" t="str">
        <f t="shared" si="68"/>
        <v>Rivenspire</v>
      </c>
      <c r="H1041" s="103">
        <f t="shared" si="69"/>
        <v>1505</v>
      </c>
      <c r="I1041" s="103">
        <f t="shared" si="70"/>
        <v>20</v>
      </c>
      <c r="J1041">
        <v>37</v>
      </c>
      <c r="K1041" s="102" t="str">
        <f>VLOOKUP(J1041,'&lt;Constants&gt;'!$A$4:$B$1020,2,FALSE)</f>
        <v>DLC_FALLEN_BANNERS</v>
      </c>
      <c r="L1041" s="102" t="str">
        <f>VLOOKUP(J1041,'&lt;Constants&gt;'!$A$4:$C$1020,3,FALSE)</f>
        <v>Fallen Banners</v>
      </c>
    </row>
    <row r="1042" spans="1:12" x14ac:dyDescent="0.25">
      <c r="A1042">
        <v>1506</v>
      </c>
      <c r="B1042">
        <v>1037</v>
      </c>
      <c r="C1042">
        <v>20</v>
      </c>
      <c r="D1042" t="s">
        <v>4041</v>
      </c>
      <c r="E1042" t="str">
        <f>IF(NOT(ISERROR(VLOOKUP(D1042,'ESO DungeonFinder'!$A$2:$A$999,1,FALSE))),"X","")</f>
        <v/>
      </c>
      <c r="F1042" s="102" t="str">
        <f t="shared" si="67"/>
        <v/>
      </c>
      <c r="G1042" s="102" t="str">
        <f t="shared" si="68"/>
        <v>Rivenspire</v>
      </c>
      <c r="H1042" s="103">
        <f t="shared" si="69"/>
        <v>1506</v>
      </c>
      <c r="I1042" s="103">
        <f t="shared" si="70"/>
        <v>20</v>
      </c>
      <c r="J1042">
        <v>37</v>
      </c>
      <c r="K1042" s="102" t="str">
        <f>VLOOKUP(J1042,'&lt;Constants&gt;'!$A$4:$B$1020,2,FALSE)</f>
        <v>DLC_FALLEN_BANNERS</v>
      </c>
      <c r="L1042" s="102" t="str">
        <f>VLOOKUP(J1042,'&lt;Constants&gt;'!$A$4:$C$1020,3,FALSE)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102" t="str">
        <f>VLOOKUP(J1043,'&lt;Constants&gt;'!$A$4:$B$1020,2,FALSE)</f>
        <v>DLC_FALLEN_BANNERS</v>
      </c>
      <c r="L1043" s="102" t="str">
        <f>VLOOKUP(J1043,'&lt;Constants&gt;'!$A$4:$C$1020,3,FALSE)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102" t="str">
        <f>VLOOKUP(J1044,'&lt;Constants&gt;'!$A$4:$B$1020,2,FALSE)</f>
        <v>DLC_SEASONS_OF_THE_WORMCULT1</v>
      </c>
      <c r="L1044" s="102" t="str">
        <f>VLOOKUP(J1044,'&lt;Constants&gt;'!$A$4:$C$1020,3,FALSE)</f>
        <v>Seasons of the Wormcult Part 1</v>
      </c>
    </row>
    <row r="1045" spans="1:12" x14ac:dyDescent="0.25">
      <c r="A1045">
        <v>1509</v>
      </c>
      <c r="B1045">
        <v>1040</v>
      </c>
      <c r="C1045">
        <v>1502</v>
      </c>
      <c r="D1045" t="s">
        <v>4077</v>
      </c>
      <c r="E1045" t="str">
        <f>IF(NOT(ISERROR(VLOOKUP(D1045,'ESO DungeonFinder'!$A$2:$A$999,1,FALSE))),"X","")</f>
        <v/>
      </c>
      <c r="F1045" s="102" t="str">
        <f t="shared" si="67"/>
        <v/>
      </c>
      <c r="G1045" s="102" t="str">
        <f t="shared" si="68"/>
        <v>Solstice</v>
      </c>
      <c r="H1045" s="103">
        <f t="shared" si="69"/>
        <v>1509</v>
      </c>
      <c r="I1045" s="103">
        <f t="shared" si="70"/>
        <v>1502</v>
      </c>
      <c r="J1045">
        <v>38</v>
      </c>
      <c r="K1045" s="102" t="str">
        <f>VLOOKUP(J1045,'&lt;Constants&gt;'!$A$4:$B$1020,2,FALSE)</f>
        <v>DLC_SEASONS_OF_THE_WORMCULT1</v>
      </c>
      <c r="L1045" s="102" t="str">
        <f>VLOOKUP(J1045,'&lt;Constants&gt;'!$A$4:$C$1020,3,FALSE)</f>
        <v>Seasons of the Wormcult Part 1</v>
      </c>
    </row>
    <row r="1046" spans="1:12" x14ac:dyDescent="0.25">
      <c r="A1046">
        <v>1510</v>
      </c>
      <c r="B1046">
        <v>1041</v>
      </c>
      <c r="C1046">
        <v>1502</v>
      </c>
      <c r="D1046" t="s">
        <v>4078</v>
      </c>
      <c r="E1046" t="str">
        <f>IF(NOT(ISERROR(VLOOKUP(D1046,'ESO DungeonFinder'!$A$2:$A$999,1,FALSE))),"X","")</f>
        <v/>
      </c>
      <c r="F1046" s="102" t="str">
        <f t="shared" si="67"/>
        <v/>
      </c>
      <c r="G1046" s="102" t="str">
        <f t="shared" si="68"/>
        <v>Solstice</v>
      </c>
      <c r="H1046" s="103">
        <f t="shared" si="69"/>
        <v>1510</v>
      </c>
      <c r="I1046" s="103">
        <f t="shared" si="70"/>
        <v>1502</v>
      </c>
      <c r="J1046">
        <v>38</v>
      </c>
      <c r="K1046" s="102" t="str">
        <f>VLOOKUP(J1046,'&lt;Constants&gt;'!$A$4:$B$1020,2,FALSE)</f>
        <v>DLC_SEASONS_OF_THE_WORMCULT1</v>
      </c>
      <c r="L1046" s="102" t="str">
        <f>VLOOKUP(J1046,'&lt;Constants&gt;'!$A$4:$C$1020,3,FALSE)</f>
        <v>Seasons of the Wormcult Part 1</v>
      </c>
    </row>
    <row r="1047" spans="1:12" x14ac:dyDescent="0.25">
      <c r="A1047">
        <v>1511</v>
      </c>
      <c r="B1047">
        <v>1042</v>
      </c>
      <c r="C1047">
        <v>1502</v>
      </c>
      <c r="D1047" t="s">
        <v>4079</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102" t="str">
        <f>VLOOKUP(J1047,'&lt;Constants&gt;'!$A$4:$B$1020,2,FALSE)</f>
        <v>DLC_SEASONS_OF_THE_WORMCULT1</v>
      </c>
      <c r="L1047" s="102" t="str">
        <f>VLOOKUP(J1047,'&lt;Constants&gt;'!$A$4:$C$1020,3,FALSE)</f>
        <v>Seasons of the Wormcult Part 1</v>
      </c>
    </row>
    <row r="1048" spans="1:12" x14ac:dyDescent="0.25">
      <c r="A1048">
        <v>1512</v>
      </c>
      <c r="B1048">
        <v>1043</v>
      </c>
      <c r="C1048">
        <v>1502</v>
      </c>
      <c r="D1048" t="s">
        <v>4080</v>
      </c>
      <c r="E1048" t="str">
        <f>IF(NOT(ISERROR(VLOOKUP(D1048,'ESO DungeonFinder'!$A$2:$A$999,1,FALSE))),"X","")</f>
        <v/>
      </c>
      <c r="F1048" s="102" t="str">
        <f t="shared" si="67"/>
        <v/>
      </c>
      <c r="G1048" s="102" t="str">
        <f t="shared" si="71"/>
        <v>Solstice</v>
      </c>
      <c r="H1048" s="103">
        <f t="shared" si="72"/>
        <v>1512</v>
      </c>
      <c r="I1048" s="103">
        <f t="shared" si="73"/>
        <v>1502</v>
      </c>
      <c r="J1048">
        <v>38</v>
      </c>
      <c r="K1048" s="102" t="str">
        <f>VLOOKUP(J1048,'&lt;Constants&gt;'!$A$4:$B$1020,2,FALSE)</f>
        <v>DLC_SEASONS_OF_THE_WORMCULT1</v>
      </c>
      <c r="L1048" s="102" t="str">
        <f>VLOOKUP(J1048,'&lt;Constants&gt;'!$A$4:$C$1020,3,FALSE)</f>
        <v>Seasons of the Wormcult Part 1</v>
      </c>
    </row>
    <row r="1049" spans="1:12" x14ac:dyDescent="0.25">
      <c r="A1049">
        <v>1513</v>
      </c>
      <c r="B1049">
        <v>1044</v>
      </c>
      <c r="C1049">
        <v>1502</v>
      </c>
      <c r="D1049" t="s">
        <v>4081</v>
      </c>
      <c r="E1049" t="str">
        <f>IF(NOT(ISERROR(VLOOKUP(D1049,'ESO DungeonFinder'!$A$2:$A$999,1,FALSE))),"X","")</f>
        <v/>
      </c>
      <c r="F1049" s="102" t="str">
        <f t="shared" si="67"/>
        <v/>
      </c>
      <c r="G1049" s="102" t="str">
        <f t="shared" si="71"/>
        <v>Solstice</v>
      </c>
      <c r="H1049" s="103">
        <f t="shared" si="72"/>
        <v>1513</v>
      </c>
      <c r="I1049" s="103">
        <f t="shared" si="73"/>
        <v>1502</v>
      </c>
      <c r="J1049">
        <v>38</v>
      </c>
      <c r="K1049" s="102" t="str">
        <f>VLOOKUP(J1049,'&lt;Constants&gt;'!$A$4:$B$1020,2,FALSE)</f>
        <v>DLC_SEASONS_OF_THE_WORMCULT1</v>
      </c>
      <c r="L1049" s="102" t="str">
        <f>VLOOKUP(J1049,'&lt;Constants&gt;'!$A$4:$C$1020,3,FALSE)</f>
        <v>Seasons of the Wormcult Part 1</v>
      </c>
    </row>
    <row r="1050" spans="1:12" x14ac:dyDescent="0.25">
      <c r="A1050">
        <v>1514</v>
      </c>
      <c r="B1050">
        <v>1045</v>
      </c>
      <c r="C1050">
        <v>1502</v>
      </c>
      <c r="D1050" t="s">
        <v>4082</v>
      </c>
      <c r="E1050" t="str">
        <f>IF(NOT(ISERROR(VLOOKUP(D1050,'ESO DungeonFinder'!$A$2:$A$999,1,FALSE))),"X","")</f>
        <v/>
      </c>
      <c r="F1050" s="102" t="str">
        <f t="shared" si="67"/>
        <v/>
      </c>
      <c r="G1050" s="102" t="str">
        <f t="shared" si="71"/>
        <v>Solstice</v>
      </c>
      <c r="H1050" s="103">
        <f t="shared" si="72"/>
        <v>1514</v>
      </c>
      <c r="I1050" s="103">
        <f t="shared" si="73"/>
        <v>1502</v>
      </c>
      <c r="J1050">
        <v>38</v>
      </c>
      <c r="K1050" s="102" t="str">
        <f>VLOOKUP(J1050,'&lt;Constants&gt;'!$A$4:$B$1020,2,FALSE)</f>
        <v>DLC_SEASONS_OF_THE_WORMCULT1</v>
      </c>
      <c r="L1050" s="102" t="str">
        <f>VLOOKUP(J1050,'&lt;Constants&gt;'!$A$4:$C$1020,3,FALSE)</f>
        <v>Seasons of the Wormcult Part 1</v>
      </c>
    </row>
    <row r="1051" spans="1:12" x14ac:dyDescent="0.25">
      <c r="A1051">
        <v>1515</v>
      </c>
      <c r="B1051">
        <v>1046</v>
      </c>
      <c r="C1051">
        <v>1502</v>
      </c>
      <c r="D1051" t="s">
        <v>4083</v>
      </c>
      <c r="E1051" t="str">
        <f>IF(NOT(ISERROR(VLOOKUP(D1051,'ESO DungeonFinder'!$A$2:$A$999,1,FALSE))),"X","")</f>
        <v/>
      </c>
      <c r="F1051" s="102" t="str">
        <f t="shared" si="67"/>
        <v/>
      </c>
      <c r="G1051" s="102" t="str">
        <f t="shared" si="71"/>
        <v>Solstice</v>
      </c>
      <c r="H1051" s="103">
        <f t="shared" si="72"/>
        <v>1515</v>
      </c>
      <c r="I1051" s="103">
        <f t="shared" si="73"/>
        <v>1502</v>
      </c>
      <c r="J1051">
        <v>38</v>
      </c>
      <c r="K1051" s="102" t="str">
        <f>VLOOKUP(J1051,'&lt;Constants&gt;'!$A$4:$B$1020,2,FALSE)</f>
        <v>DLC_SEASONS_OF_THE_WORMCULT1</v>
      </c>
      <c r="L1051" s="102" t="str">
        <f>VLOOKUP(J1051,'&lt;Constants&gt;'!$A$4:$C$1020,3,FALSE)</f>
        <v>Seasons of the Wormcult Part 1</v>
      </c>
    </row>
    <row r="1052" spans="1:12" x14ac:dyDescent="0.25">
      <c r="A1052">
        <v>1516</v>
      </c>
      <c r="B1052">
        <v>1047</v>
      </c>
      <c r="C1052">
        <v>1502</v>
      </c>
      <c r="D1052" t="s">
        <v>4084</v>
      </c>
      <c r="E1052" t="str">
        <f>IF(NOT(ISERROR(VLOOKUP(D1052,'ESO DungeonFinder'!$A$2:$A$999,1,FALSE))),"X","")</f>
        <v/>
      </c>
      <c r="F1052" s="102" t="str">
        <f t="shared" si="67"/>
        <v/>
      </c>
      <c r="G1052" s="102" t="str">
        <f t="shared" si="71"/>
        <v>Solstice</v>
      </c>
      <c r="H1052" s="103">
        <f t="shared" si="72"/>
        <v>1516</v>
      </c>
      <c r="I1052" s="103">
        <f t="shared" si="73"/>
        <v>1502</v>
      </c>
      <c r="J1052">
        <v>38</v>
      </c>
      <c r="K1052" s="102" t="str">
        <f>VLOOKUP(J1052,'&lt;Constants&gt;'!$A$4:$B$1020,2,FALSE)</f>
        <v>DLC_SEASONS_OF_THE_WORMCULT1</v>
      </c>
      <c r="L1052" s="102" t="str">
        <f>VLOOKUP(J1052,'&lt;Constants&gt;'!$A$4:$C$1020,3,FALSE)</f>
        <v>Seasons of the Wormcult Part 1</v>
      </c>
    </row>
    <row r="1053" spans="1:12" x14ac:dyDescent="0.25">
      <c r="A1053">
        <v>1517</v>
      </c>
      <c r="B1053">
        <v>1048</v>
      </c>
      <c r="C1053">
        <v>1502</v>
      </c>
      <c r="D1053" t="s">
        <v>4085</v>
      </c>
      <c r="E1053" t="str">
        <f>IF(NOT(ISERROR(VLOOKUP(D1053,'ESO DungeonFinder'!$A$2:$A$999,1,FALSE))),"X","")</f>
        <v/>
      </c>
      <c r="F1053" s="102" t="str">
        <f t="shared" si="67"/>
        <v/>
      </c>
      <c r="G1053" s="102" t="str">
        <f t="shared" si="71"/>
        <v>Solstice</v>
      </c>
      <c r="H1053" s="103">
        <f t="shared" si="72"/>
        <v>1517</v>
      </c>
      <c r="I1053" s="103">
        <f t="shared" si="73"/>
        <v>1502</v>
      </c>
      <c r="J1053">
        <v>38</v>
      </c>
      <c r="K1053" s="102" t="str">
        <f>VLOOKUP(J1053,'&lt;Constants&gt;'!$A$4:$B$1020,2,FALSE)</f>
        <v>DLC_SEASONS_OF_THE_WORMCULT1</v>
      </c>
      <c r="L1053" s="102" t="str">
        <f>VLOOKUP(J1053,'&lt;Constants&gt;'!$A$4:$C$1020,3,FALSE)</f>
        <v>Seasons of the Wormcult Part 1</v>
      </c>
    </row>
    <row r="1054" spans="1:12" x14ac:dyDescent="0.25">
      <c r="A1054">
        <v>1518</v>
      </c>
      <c r="B1054">
        <v>1049</v>
      </c>
      <c r="C1054">
        <v>1502</v>
      </c>
      <c r="D1054" t="s">
        <v>4086</v>
      </c>
      <c r="E1054" t="str">
        <f>IF(NOT(ISERROR(VLOOKUP(D1054,'ESO DungeonFinder'!$A$2:$A$999,1,FALSE))),"X","")</f>
        <v/>
      </c>
      <c r="F1054" s="102" t="str">
        <f t="shared" si="67"/>
        <v/>
      </c>
      <c r="G1054" s="102" t="str">
        <f t="shared" si="71"/>
        <v>Solstice</v>
      </c>
      <c r="H1054" s="103">
        <f t="shared" si="72"/>
        <v>1518</v>
      </c>
      <c r="I1054" s="103">
        <f t="shared" si="73"/>
        <v>1502</v>
      </c>
      <c r="J1054">
        <v>38</v>
      </c>
      <c r="K1054" s="102" t="str">
        <f>VLOOKUP(J1054,'&lt;Constants&gt;'!$A$4:$B$1020,2,FALSE)</f>
        <v>DLC_SEASONS_OF_THE_WORMCULT1</v>
      </c>
      <c r="L1054" s="102" t="str">
        <f>VLOOKUP(J1054,'&lt;Constants&gt;'!$A$4:$C$1020,3,FALSE)</f>
        <v>Seasons of the Wormcult Part 1</v>
      </c>
    </row>
    <row r="1055" spans="1:12" x14ac:dyDescent="0.25">
      <c r="A1055">
        <v>1520</v>
      </c>
      <c r="B1055">
        <v>1050</v>
      </c>
      <c r="C1055">
        <v>1502</v>
      </c>
      <c r="D1055" t="s">
        <v>4087</v>
      </c>
      <c r="E1055" t="str">
        <f>IF(NOT(ISERROR(VLOOKUP(D1055,'ESO DungeonFinder'!$A$2:$A$999,1,FALSE))),"X","")</f>
        <v/>
      </c>
      <c r="F1055" s="102" t="str">
        <f t="shared" si="67"/>
        <v/>
      </c>
      <c r="G1055" s="102" t="str">
        <f t="shared" si="71"/>
        <v>Solstice</v>
      </c>
      <c r="H1055" s="103">
        <f t="shared" si="72"/>
        <v>1520</v>
      </c>
      <c r="I1055" s="103">
        <f t="shared" si="73"/>
        <v>1502</v>
      </c>
      <c r="J1055">
        <v>38</v>
      </c>
      <c r="K1055" s="102" t="str">
        <f>VLOOKUP(J1055,'&lt;Constants&gt;'!$A$4:$B$1020,2,FALSE)</f>
        <v>DLC_SEASONS_OF_THE_WORMCULT1</v>
      </c>
      <c r="L1055" s="102" t="str">
        <f>VLOOKUP(J1055,'&lt;Constants&gt;'!$A$4:$C$1020,3,FALSE)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102" t="str">
        <f>VLOOKUP(J1056,'&lt;Constants&gt;'!$A$4:$B$1020,2,FALSE)</f>
        <v>DLC_SEASONS_OF_THE_WORMCULT1</v>
      </c>
      <c r="L1056" s="102" t="str">
        <f>VLOOKUP(J1056,'&lt;Constants&gt;'!$A$4:$C$1020,3,FALSE)</f>
        <v>Seasons of the Wormcult Part 1</v>
      </c>
    </row>
    <row r="1057" spans="1:12" x14ac:dyDescent="0.25">
      <c r="A1057">
        <v>1522</v>
      </c>
      <c r="B1057">
        <v>1052</v>
      </c>
      <c r="C1057">
        <v>1502</v>
      </c>
      <c r="D1057" t="s">
        <v>4187</v>
      </c>
      <c r="E1057" t="str">
        <f>IF(NOT(ISERROR(VLOOKUP(D1057,'ESO DungeonFinder'!$A$2:$A$999,1,FALSE))),"X","")</f>
        <v/>
      </c>
      <c r="F1057" s="102" t="str">
        <f t="shared" si="67"/>
        <v/>
      </c>
      <c r="G1057" s="102" t="str">
        <f t="shared" si="71"/>
        <v>Solstice</v>
      </c>
      <c r="H1057" s="103">
        <f t="shared" si="72"/>
        <v>1522</v>
      </c>
      <c r="I1057" s="103">
        <f t="shared" si="73"/>
        <v>1502</v>
      </c>
      <c r="J1057">
        <v>38</v>
      </c>
      <c r="K1057" s="102" t="str">
        <f>VLOOKUP(J1057,'&lt;Constants&gt;'!$A$4:$B$1020,2,FALSE)</f>
        <v>DLC_SEASONS_OF_THE_WORMCULT1</v>
      </c>
      <c r="L1057" s="102" t="str">
        <f>VLOOKUP(J1057,'&lt;Constants&gt;'!$A$4:$C$1020,3,FALSE)</f>
        <v>Seasons of the Wormcult Part 1</v>
      </c>
    </row>
    <row r="1058" spans="1:12" x14ac:dyDescent="0.25">
      <c r="A1058">
        <v>1523</v>
      </c>
      <c r="B1058">
        <v>1053</v>
      </c>
      <c r="C1058">
        <v>1502</v>
      </c>
      <c r="D1058" t="s">
        <v>4188</v>
      </c>
      <c r="E1058" t="str">
        <f>IF(NOT(ISERROR(VLOOKUP(D1058,'ESO DungeonFinder'!$A$2:$A$999,1,FALSE))),"X","")</f>
        <v/>
      </c>
      <c r="F1058" s="102" t="str">
        <f t="shared" si="67"/>
        <v/>
      </c>
      <c r="G1058" s="102" t="str">
        <f t="shared" si="71"/>
        <v>Solstice</v>
      </c>
      <c r="H1058" s="103">
        <f t="shared" si="72"/>
        <v>1523</v>
      </c>
      <c r="I1058" s="103">
        <f t="shared" si="73"/>
        <v>1502</v>
      </c>
      <c r="J1058">
        <v>37</v>
      </c>
      <c r="K1058" s="102" t="str">
        <f>VLOOKUP(J1058,'&lt;Constants&gt;'!$A$4:$B$1020,2,FALSE)</f>
        <v>DLC_FALLEN_BANNERS</v>
      </c>
      <c r="L1058" s="102" t="str">
        <f>VLOOKUP(J1058,'&lt;Constants&gt;'!$A$4:$C$1020,3,FALSE)</f>
        <v>Fallen Banners</v>
      </c>
    </row>
    <row r="1059" spans="1:12" x14ac:dyDescent="0.25">
      <c r="A1059">
        <v>1524</v>
      </c>
      <c r="B1059">
        <v>1054</v>
      </c>
      <c r="C1059">
        <v>1524</v>
      </c>
      <c r="D1059" t="s">
        <v>4108</v>
      </c>
      <c r="E1059" t="str">
        <f>IF(NOT(ISERROR(VLOOKUP(D1059,'ESO DungeonFinder'!$A$2:$A$999,1,FALSE))),"X","")</f>
        <v/>
      </c>
      <c r="F1059" s="102" t="str">
        <f t="shared" si="67"/>
        <v>X</v>
      </c>
      <c r="G1059" s="102" t="str">
        <f t="shared" si="71"/>
        <v/>
      </c>
      <c r="H1059" s="103">
        <f t="shared" si="72"/>
        <v>1524</v>
      </c>
      <c r="I1059" s="103">
        <f t="shared" si="73"/>
        <v>1524</v>
      </c>
      <c r="J1059">
        <v>37</v>
      </c>
      <c r="K1059" s="102" t="str">
        <f>VLOOKUP(J1059,'&lt;Constants&gt;'!$A$4:$B$1020,2,FALSE)</f>
        <v>DLC_FALLEN_BANNERS</v>
      </c>
      <c r="L1059" s="102" t="str">
        <f>VLOOKUP(J1059,'&lt;Constants&gt;'!$A$4:$C$1020,3,FALSE)</f>
        <v>Fallen Banners</v>
      </c>
    </row>
    <row r="1060" spans="1:12" x14ac:dyDescent="0.25">
      <c r="A1060">
        <v>1526</v>
      </c>
      <c r="B1060">
        <v>1055</v>
      </c>
      <c r="C1060">
        <v>1502</v>
      </c>
      <c r="D1060" t="s">
        <v>4189</v>
      </c>
      <c r="E1060" t="str">
        <f>IF(NOT(ISERROR(VLOOKUP(D1060,'ESO DungeonFinder'!$A$2:$A$999,1,FALSE))),"X","")</f>
        <v/>
      </c>
      <c r="F1060" s="102" t="str">
        <f t="shared" si="67"/>
        <v/>
      </c>
      <c r="G1060" s="102" t="str">
        <f t="shared" si="71"/>
        <v>Solstice</v>
      </c>
      <c r="H1060" s="103">
        <f t="shared" si="72"/>
        <v>1526</v>
      </c>
      <c r="I1060" s="103">
        <f t="shared" si="73"/>
        <v>1502</v>
      </c>
      <c r="J1060">
        <v>38</v>
      </c>
      <c r="K1060" s="102" t="str">
        <f>VLOOKUP(J1060,'&lt;Constants&gt;'!$A$4:$B$1020,2,FALSE)</f>
        <v>DLC_SEASONS_OF_THE_WORMCULT1</v>
      </c>
      <c r="L1060" s="102" t="str">
        <f>VLOOKUP(J1060,'&lt;Constants&gt;'!$A$4:$C$1020,3,FALSE)</f>
        <v>Seasons of the Wormcult Part 1</v>
      </c>
    </row>
    <row r="1061" spans="1:12" x14ac:dyDescent="0.25">
      <c r="A1061">
        <v>1527</v>
      </c>
      <c r="B1061">
        <v>1056</v>
      </c>
      <c r="C1061">
        <v>1502</v>
      </c>
      <c r="D1061" t="s">
        <v>4190</v>
      </c>
      <c r="E1061" t="str">
        <f>IF(NOT(ISERROR(VLOOKUP(D1061,'ESO DungeonFinder'!$A$2:$A$999,1,FALSE))),"X","")</f>
        <v/>
      </c>
      <c r="F1061" s="102" t="str">
        <f t="shared" si="67"/>
        <v/>
      </c>
      <c r="G1061" s="102" t="str">
        <f t="shared" si="71"/>
        <v>Solstice</v>
      </c>
      <c r="H1061" s="103">
        <f t="shared" si="72"/>
        <v>1527</v>
      </c>
      <c r="I1061" s="103">
        <f t="shared" si="73"/>
        <v>1502</v>
      </c>
      <c r="J1061">
        <v>38</v>
      </c>
      <c r="K1061" s="102" t="str">
        <f>VLOOKUP(J1061,'&lt;Constants&gt;'!$A$4:$B$1020,2,FALSE)</f>
        <v>DLC_SEASONS_OF_THE_WORMCULT1</v>
      </c>
      <c r="L1061" s="102" t="str">
        <f>VLOOKUP(J1061,'&lt;Constants&gt;'!$A$4:$C$1020,3,FALSE)</f>
        <v>Seasons of the Wormcult Part 1</v>
      </c>
    </row>
    <row r="1062" spans="1:12" x14ac:dyDescent="0.25">
      <c r="A1062">
        <v>1528</v>
      </c>
      <c r="B1062">
        <v>1057</v>
      </c>
      <c r="C1062">
        <v>1502</v>
      </c>
      <c r="D1062" t="s">
        <v>4191</v>
      </c>
      <c r="E1062" t="str">
        <f>IF(NOT(ISERROR(VLOOKUP(D1062,'ESO DungeonFinder'!$A$2:$A$999,1,FALSE))),"X","")</f>
        <v/>
      </c>
      <c r="F1062" s="102" t="str">
        <f t="shared" si="67"/>
        <v/>
      </c>
      <c r="G1062" s="102" t="str">
        <f t="shared" si="71"/>
        <v>Solstice</v>
      </c>
      <c r="H1062" s="103">
        <f t="shared" si="72"/>
        <v>1528</v>
      </c>
      <c r="I1062" s="103">
        <f t="shared" si="73"/>
        <v>1502</v>
      </c>
      <c r="J1062">
        <v>38</v>
      </c>
      <c r="K1062" s="102" t="str">
        <f>VLOOKUP(J1062,'&lt;Constants&gt;'!$A$4:$B$1020,2,FALSE)</f>
        <v>DLC_SEASONS_OF_THE_WORMCULT1</v>
      </c>
      <c r="L1062" s="102" t="str">
        <f>VLOOKUP(J1062,'&lt;Constants&gt;'!$A$4:$C$1020,3,FALSE)</f>
        <v>Seasons of the Wormcult Part 1</v>
      </c>
    </row>
    <row r="1063" spans="1:12" x14ac:dyDescent="0.25">
      <c r="A1063">
        <v>1529</v>
      </c>
      <c r="B1063">
        <v>1058</v>
      </c>
      <c r="C1063">
        <v>1502</v>
      </c>
      <c r="D1063" t="s">
        <v>4192</v>
      </c>
      <c r="E1063" t="str">
        <f>IF(NOT(ISERROR(VLOOKUP(D1063,'ESO DungeonFinder'!$A$2:$A$999,1,FALSE))),"X","")</f>
        <v/>
      </c>
      <c r="F1063" s="102" t="str">
        <f t="shared" si="67"/>
        <v/>
      </c>
      <c r="G1063" s="102" t="str">
        <f t="shared" si="71"/>
        <v>Solstice</v>
      </c>
      <c r="H1063" s="103">
        <f t="shared" si="72"/>
        <v>1529</v>
      </c>
      <c r="I1063" s="103">
        <f t="shared" si="73"/>
        <v>1502</v>
      </c>
      <c r="J1063">
        <v>38</v>
      </c>
      <c r="K1063" s="102" t="str">
        <f>VLOOKUP(J1063,'&lt;Constants&gt;'!$A$4:$B$1020,2,FALSE)</f>
        <v>DLC_SEASONS_OF_THE_WORMCULT1</v>
      </c>
      <c r="L1063" s="102" t="str">
        <f>VLOOKUP(J1063,'&lt;Constants&gt;'!$A$4:$C$1020,3,FALSE)</f>
        <v>Seasons of the Wormcult Part 1</v>
      </c>
    </row>
    <row r="1064" spans="1:12" x14ac:dyDescent="0.25">
      <c r="A1064">
        <v>1530</v>
      </c>
      <c r="B1064">
        <v>1059</v>
      </c>
      <c r="C1064">
        <v>1502</v>
      </c>
      <c r="D1064" t="s">
        <v>4193</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102" t="str">
        <f>VLOOKUP(J1064,'&lt;Constants&gt;'!$A$4:$B$1020,2,FALSE)</f>
        <v>DLC_SEASONS_OF_THE_WORMCULT1</v>
      </c>
      <c r="L1064" s="102" t="str">
        <f>VLOOKUP(J1064,'&lt;Constants&gt;'!$A$4:$C$1020,3,FALSE)</f>
        <v>Seasons of the Wormcult Part 1</v>
      </c>
    </row>
    <row r="1065" spans="1:12" x14ac:dyDescent="0.25">
      <c r="A1065">
        <v>1531</v>
      </c>
      <c r="B1065">
        <v>1060</v>
      </c>
      <c r="C1065">
        <v>1502</v>
      </c>
      <c r="D1065" t="s">
        <v>4194</v>
      </c>
      <c r="E1065" t="str">
        <f>IF(NOT(ISERROR(VLOOKUP(D1065,'ESO DungeonFinder'!$A$2:$A$999,1,FALSE))),"X","")</f>
        <v/>
      </c>
      <c r="F1065" s="102" t="str">
        <f t="shared" si="67"/>
        <v/>
      </c>
      <c r="G1065" s="102" t="str">
        <f t="shared" si="74"/>
        <v>Solstice</v>
      </c>
      <c r="H1065" s="103">
        <f t="shared" si="75"/>
        <v>1531</v>
      </c>
      <c r="I1065" s="103">
        <f t="shared" si="76"/>
        <v>1502</v>
      </c>
      <c r="J1065">
        <v>39</v>
      </c>
      <c r="K1065" s="102" t="str">
        <f>VLOOKUP(J1065,'&lt;Constants&gt;'!$A$4:$B$1020,2,FALSE)</f>
        <v>DLC_FEAST_OF_SHADOWS</v>
      </c>
      <c r="L1065" s="102" t="str">
        <f>VLOOKUP(J1065,'&lt;Constants&gt;'!$A$4:$C$1020,3,FALSE)</f>
        <v>Feast of Shadows</v>
      </c>
    </row>
    <row r="1066" spans="1:12" x14ac:dyDescent="0.25">
      <c r="A1066">
        <v>1532</v>
      </c>
      <c r="B1066">
        <v>1061</v>
      </c>
      <c r="C1066">
        <v>1502</v>
      </c>
      <c r="D1066" t="s">
        <v>4195</v>
      </c>
      <c r="E1066" t="str">
        <f>IF(NOT(ISERROR(VLOOKUP(D1066,'ESO DungeonFinder'!$A$2:$A$999,1,FALSE))),"X","")</f>
        <v/>
      </c>
      <c r="F1066" s="102" t="str">
        <f t="shared" si="67"/>
        <v/>
      </c>
      <c r="G1066" s="102" t="str">
        <f t="shared" si="74"/>
        <v>Solstice</v>
      </c>
      <c r="H1066" s="103">
        <f t="shared" si="75"/>
        <v>1532</v>
      </c>
      <c r="I1066" s="103">
        <f t="shared" si="76"/>
        <v>1502</v>
      </c>
      <c r="J1066">
        <v>39</v>
      </c>
      <c r="K1066" s="102" t="str">
        <f>VLOOKUP(J1066,'&lt;Constants&gt;'!$A$4:$B$1020,2,FALSE)</f>
        <v>DLC_FEAST_OF_SHADOWS</v>
      </c>
      <c r="L1066" s="102" t="str">
        <f>VLOOKUP(J1066,'&lt;Constants&gt;'!$A$4:$C$1020,3,FALSE)</f>
        <v>Feast of Shadows</v>
      </c>
    </row>
    <row r="1067" spans="1:12" x14ac:dyDescent="0.25">
      <c r="A1067">
        <v>1534</v>
      </c>
      <c r="B1067">
        <v>1062</v>
      </c>
      <c r="C1067">
        <v>1502</v>
      </c>
      <c r="D1067" t="s">
        <v>4088</v>
      </c>
      <c r="E1067" t="str">
        <f>IF(NOT(ISERROR(VLOOKUP(D1067,'ESO DungeonFinder'!$A$2:$A$999,1,FALSE))),"X","")</f>
        <v/>
      </c>
      <c r="F1067" s="102" t="str">
        <f t="shared" si="67"/>
        <v/>
      </c>
      <c r="G1067" s="102" t="str">
        <f t="shared" si="74"/>
        <v>Solstice</v>
      </c>
      <c r="H1067" s="103">
        <f t="shared" si="75"/>
        <v>1534</v>
      </c>
      <c r="I1067" s="103">
        <f t="shared" si="76"/>
        <v>1502</v>
      </c>
      <c r="J1067">
        <v>39</v>
      </c>
      <c r="K1067" s="102" t="str">
        <f>VLOOKUP(J1067,'&lt;Constants&gt;'!$A$4:$B$1020,2,FALSE)</f>
        <v>DLC_FEAST_OF_SHADOWS</v>
      </c>
      <c r="L1067" s="102" t="str">
        <f>VLOOKUP(J1067,'&lt;Constants&gt;'!$A$4:$C$1020,3,FALSE)</f>
        <v>Feast of Shadows</v>
      </c>
    </row>
    <row r="1068" spans="1:12" x14ac:dyDescent="0.25">
      <c r="A1068">
        <v>1535</v>
      </c>
      <c r="B1068">
        <v>1063</v>
      </c>
      <c r="C1068">
        <v>1502</v>
      </c>
      <c r="D1068" t="s">
        <v>4089</v>
      </c>
      <c r="E1068" t="str">
        <f>IF(NOT(ISERROR(VLOOKUP(D1068,'ESO DungeonFinder'!$A$2:$A$999,1,FALSE))),"X","")</f>
        <v/>
      </c>
      <c r="F1068" s="102" t="str">
        <f t="shared" si="67"/>
        <v/>
      </c>
      <c r="G1068" s="102" t="str">
        <f t="shared" si="74"/>
        <v>Solstice</v>
      </c>
      <c r="H1068" s="103">
        <f t="shared" si="75"/>
        <v>1535</v>
      </c>
      <c r="I1068" s="103">
        <f t="shared" si="76"/>
        <v>1502</v>
      </c>
      <c r="J1068">
        <v>39</v>
      </c>
      <c r="K1068" s="102" t="str">
        <f>VLOOKUP(J1068,'&lt;Constants&gt;'!$A$4:$B$1020,2,FALSE)</f>
        <v>DLC_FEAST_OF_SHADOWS</v>
      </c>
      <c r="L1068" s="102" t="str">
        <f>VLOOKUP(J1068,'&lt;Constants&gt;'!$A$4:$C$1020,3,FALSE)</f>
        <v>Feast of Shadows</v>
      </c>
    </row>
    <row r="1069" spans="1:12" x14ac:dyDescent="0.25">
      <c r="A1069">
        <v>1537</v>
      </c>
      <c r="B1069">
        <v>1064</v>
      </c>
      <c r="C1069">
        <v>1502</v>
      </c>
      <c r="D1069" t="s">
        <v>4196</v>
      </c>
      <c r="E1069" t="str">
        <f>IF(NOT(ISERROR(VLOOKUP(D1069,'ESO DungeonFinder'!$A$2:$A$999,1,FALSE))),"X","")</f>
        <v/>
      </c>
      <c r="F1069" s="102" t="str">
        <f t="shared" si="67"/>
        <v/>
      </c>
      <c r="G1069" s="102" t="str">
        <f t="shared" si="74"/>
        <v>Solstice</v>
      </c>
      <c r="H1069" s="103">
        <f t="shared" si="75"/>
        <v>1537</v>
      </c>
      <c r="I1069" s="103">
        <f t="shared" si="76"/>
        <v>1502</v>
      </c>
      <c r="J1069">
        <v>39</v>
      </c>
      <c r="K1069" s="102" t="str">
        <f>VLOOKUP(J1069,'&lt;Constants&gt;'!$A$4:$B$1020,2,FALSE)</f>
        <v>DLC_FEAST_OF_SHADOWS</v>
      </c>
      <c r="L1069" s="102" t="str">
        <f>VLOOKUP(J1069,'&lt;Constants&gt;'!$A$4:$C$1020,3,FALSE)</f>
        <v>Feast of Shadows</v>
      </c>
    </row>
    <row r="1070" spans="1:12" x14ac:dyDescent="0.25">
      <c r="A1070">
        <v>1546</v>
      </c>
      <c r="B1070">
        <v>1065</v>
      </c>
      <c r="C1070">
        <v>1282</v>
      </c>
      <c r="D1070" t="s">
        <v>4042</v>
      </c>
      <c r="E1070" t="str">
        <f>IF(NOT(ISERROR(VLOOKUP(D1070,'ESO DungeonFinder'!$A$2:$A$999,1,FALSE))),"X","")</f>
        <v/>
      </c>
      <c r="F1070" s="102" t="str">
        <f t="shared" si="67"/>
        <v/>
      </c>
      <c r="G1070" s="102" t="str">
        <f t="shared" si="74"/>
        <v>Fargrave</v>
      </c>
      <c r="H1070" s="103">
        <f t="shared" si="75"/>
        <v>1546</v>
      </c>
      <c r="I1070" s="103">
        <f t="shared" si="76"/>
        <v>1282</v>
      </c>
      <c r="J1070">
        <v>39</v>
      </c>
      <c r="K1070" s="102" t="str">
        <f>VLOOKUP(J1070,'&lt;Constants&gt;'!$A$4:$B$1020,2,FALSE)</f>
        <v>DLC_FEAST_OF_SHADOWS</v>
      </c>
      <c r="L1070" s="102" t="str">
        <f>VLOOKUP(J1070,'&lt;Constants&gt;'!$A$4:$C$1020,3,FALSE)</f>
        <v>Feast of Shadows</v>
      </c>
    </row>
    <row r="1071" spans="1:12" x14ac:dyDescent="0.25">
      <c r="A1071">
        <v>1547</v>
      </c>
      <c r="B1071">
        <v>1066</v>
      </c>
      <c r="C1071">
        <v>1443</v>
      </c>
      <c r="D1071" t="s">
        <v>4043</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102" t="str">
        <f>VLOOKUP(J1071,'&lt;Constants&gt;'!$A$4:$B$1020,2,FALSE)</f>
        <v>DLC_SEASONS_OF_THE_WORMCULT2</v>
      </c>
      <c r="L1071" s="102" t="str">
        <f>VLOOKUP(J1071,'&lt;Constants&gt;'!$A$4:$C$1020,3,FALSE)</f>
        <v>Seasons of the Wormcult Part 2</v>
      </c>
    </row>
    <row r="1072" spans="1:12" x14ac:dyDescent="0.25">
      <c r="A1072">
        <v>1548</v>
      </c>
      <c r="B1072">
        <v>1067</v>
      </c>
      <c r="C1072">
        <v>1502</v>
      </c>
      <c r="D1072" t="s">
        <v>4057</v>
      </c>
      <c r="E1072" t="str">
        <f>IF(NOT(ISERROR(VLOOKUP(D1072,'ESO DungeonFinder'!$A$2:$A$999,1,FALSE))),"X","")</f>
        <v/>
      </c>
      <c r="F1072" s="102" t="str">
        <f t="shared" si="67"/>
        <v/>
      </c>
      <c r="G1072" s="102" t="str">
        <f t="shared" si="74"/>
        <v>Solstice</v>
      </c>
      <c r="H1072" s="103">
        <f t="shared" si="77"/>
        <v>1548</v>
      </c>
      <c r="I1072" s="103">
        <f t="shared" si="78"/>
        <v>1502</v>
      </c>
      <c r="J1072">
        <v>40</v>
      </c>
      <c r="K1072" s="102" t="str">
        <f>VLOOKUP(J1072,'&lt;Constants&gt;'!$A$4:$B$1020,2,FALSE)</f>
        <v>DLC_SEASONS_OF_THE_WORMCULT2</v>
      </c>
      <c r="L1072" s="102" t="str">
        <f>VLOOKUP(J1072,'&lt;Constants&gt;'!$A$4:$C$1020,3,FALSE)</f>
        <v>Seasons of the Wormcult Part 2</v>
      </c>
    </row>
    <row r="1073" spans="1:12" x14ac:dyDescent="0.25">
      <c r="A1073">
        <v>1551</v>
      </c>
      <c r="B1073">
        <v>1068</v>
      </c>
      <c r="C1073">
        <v>1502</v>
      </c>
      <c r="D1073" t="s">
        <v>4104</v>
      </c>
      <c r="E1073" t="str">
        <f>IF(NOT(ISERROR(VLOOKUP(D1073,'ESO DungeonFinder'!$A$2:$A$999,1,FALSE))),"X","")</f>
        <v>X</v>
      </c>
      <c r="F1073" s="102" t="str">
        <f t="shared" si="67"/>
        <v/>
      </c>
      <c r="G1073" s="102" t="str">
        <f t="shared" si="74"/>
        <v>Solstice</v>
      </c>
      <c r="H1073" s="103">
        <f t="shared" si="77"/>
        <v>1551</v>
      </c>
      <c r="I1073" s="103">
        <f t="shared" si="78"/>
        <v>1502</v>
      </c>
      <c r="J1073">
        <v>40</v>
      </c>
      <c r="K1073" s="102" t="str">
        <f>VLOOKUP(J1073,'&lt;Constants&gt;'!$A$4:$B$1020,2,FALSE)</f>
        <v>DLC_SEASONS_OF_THE_WORMCULT2</v>
      </c>
      <c r="L1073" s="102" t="str">
        <f>VLOOKUP(J1073,'&lt;Constants&gt;'!$A$4:$C$1020,3,FALSE)</f>
        <v>Seasons of the Wormcult Part 2</v>
      </c>
    </row>
    <row r="1074" spans="1:12" x14ac:dyDescent="0.25">
      <c r="A1074">
        <v>1552</v>
      </c>
      <c r="B1074">
        <v>1069</v>
      </c>
      <c r="C1074">
        <v>1502</v>
      </c>
      <c r="D1074" t="s">
        <v>4105</v>
      </c>
      <c r="E1074" t="str">
        <f>IF(NOT(ISERROR(VLOOKUP(D1074,'ESO DungeonFinder'!$A$2:$A$999,1,FALSE))),"X","")</f>
        <v>X</v>
      </c>
      <c r="F1074" s="102" t="str">
        <f t="shared" si="67"/>
        <v/>
      </c>
      <c r="G1074" s="102" t="str">
        <f t="shared" si="74"/>
        <v>Solstice</v>
      </c>
      <c r="H1074" s="103">
        <f t="shared" si="77"/>
        <v>1552</v>
      </c>
      <c r="I1074" s="103">
        <f t="shared" si="78"/>
        <v>1502</v>
      </c>
      <c r="J1074">
        <v>40</v>
      </c>
      <c r="K1074" s="102" t="str">
        <f>VLOOKUP(J1074,'&lt;Constants&gt;'!$A$4:$B$1020,2,FALSE)</f>
        <v>DLC_SEASONS_OF_THE_WORMCULT2</v>
      </c>
      <c r="L1074" s="102" t="str">
        <f>VLOOKUP(J1074,'&lt;Constants&gt;'!$A$4:$C$1020,3,FALSE)</f>
        <v>Seasons of the Wormcult Part 2</v>
      </c>
    </row>
    <row r="1075" spans="1:12" x14ac:dyDescent="0.25">
      <c r="A1075">
        <v>1553</v>
      </c>
      <c r="B1075">
        <v>1070</v>
      </c>
      <c r="C1075">
        <v>1553</v>
      </c>
      <c r="D1075" t="s">
        <v>4109</v>
      </c>
      <c r="E1075" t="str">
        <f>IF(NOT(ISERROR(VLOOKUP(D1075,'ESO DungeonFinder'!$A$2:$A$999,1,FALSE))),"X","")</f>
        <v/>
      </c>
      <c r="F1075" s="102" t="str">
        <f t="shared" si="67"/>
        <v>X</v>
      </c>
      <c r="G1075" s="102" t="str">
        <f t="shared" si="74"/>
        <v/>
      </c>
      <c r="H1075" s="103">
        <f t="shared" si="77"/>
        <v>1553</v>
      </c>
      <c r="I1075" s="103">
        <f t="shared" si="78"/>
        <v>1553</v>
      </c>
      <c r="J1075">
        <v>40</v>
      </c>
      <c r="K1075" s="102" t="str">
        <f>VLOOKUP(J1075,'&lt;Constants&gt;'!$A$4:$B$1020,2,FALSE)</f>
        <v>DLC_SEASONS_OF_THE_WORMCULT2</v>
      </c>
      <c r="L1075" s="102" t="str">
        <f>VLOOKUP(J1075,'&lt;Constants&gt;'!$A$4:$C$1020,3,FALSE)</f>
        <v>Seasons of the Wormcult Part 2</v>
      </c>
    </row>
    <row r="1076" spans="1:12" x14ac:dyDescent="0.25">
      <c r="A1076">
        <v>1554</v>
      </c>
      <c r="B1076">
        <v>1071</v>
      </c>
      <c r="C1076">
        <v>1261</v>
      </c>
      <c r="D1076" t="s">
        <v>4090</v>
      </c>
      <c r="E1076" t="str">
        <f>IF(NOT(ISERROR(VLOOKUP(D1076,'ESO DungeonFinder'!$A$2:$A$999,1,FALSE))),"X","")</f>
        <v/>
      </c>
      <c r="F1076" s="102" t="str">
        <f t="shared" si="67"/>
        <v/>
      </c>
      <c r="G1076" s="102" t="str">
        <f t="shared" si="74"/>
        <v>Blackwood</v>
      </c>
      <c r="H1076" s="103">
        <f t="shared" si="77"/>
        <v>1554</v>
      </c>
      <c r="I1076" s="103">
        <f t="shared" si="78"/>
        <v>1261</v>
      </c>
      <c r="J1076">
        <v>40</v>
      </c>
      <c r="K1076" s="102" t="str">
        <f>VLOOKUP(J1076,'&lt;Constants&gt;'!$A$4:$B$1020,2,FALSE)</f>
        <v>DLC_SEASONS_OF_THE_WORMCULT2</v>
      </c>
      <c r="L1076" s="102" t="str">
        <f>VLOOKUP(J1076,'&lt;Constants&gt;'!$A$4:$C$1020,3,FALSE)</f>
        <v>Seasons of the Wormcult Part 2</v>
      </c>
    </row>
    <row r="1077" spans="1:12" x14ac:dyDescent="0.25">
      <c r="A1077">
        <v>1555</v>
      </c>
      <c r="B1077">
        <v>1072</v>
      </c>
      <c r="C1077">
        <v>1502</v>
      </c>
      <c r="D1077" t="s">
        <v>4091</v>
      </c>
      <c r="E1077" t="str">
        <f>IF(NOT(ISERROR(VLOOKUP(D1077,'ESO DungeonFinder'!$A$2:$A$999,1,FALSE))),"X","")</f>
        <v/>
      </c>
      <c r="F1077" s="102" t="str">
        <f t="shared" si="67"/>
        <v/>
      </c>
      <c r="G1077" s="102" t="str">
        <f t="shared" si="74"/>
        <v>Solstice</v>
      </c>
      <c r="H1077" s="103">
        <f t="shared" si="77"/>
        <v>1555</v>
      </c>
      <c r="I1077" s="103">
        <f t="shared" si="78"/>
        <v>1502</v>
      </c>
      <c r="J1077">
        <v>40</v>
      </c>
      <c r="K1077" s="102" t="str">
        <f>VLOOKUP(J1077,'&lt;Constants&gt;'!$A$4:$B$1020,2,FALSE)</f>
        <v>DLC_SEASONS_OF_THE_WORMCULT2</v>
      </c>
      <c r="L1077" s="102" t="str">
        <f>VLOOKUP(J1077,'&lt;Constants&gt;'!$A$4:$C$1020,3,FALSE)</f>
        <v>Seasons of the Wormcult Part 2</v>
      </c>
    </row>
    <row r="1078" spans="1:12" x14ac:dyDescent="0.25">
      <c r="A1078">
        <v>1556</v>
      </c>
      <c r="B1078">
        <v>1073</v>
      </c>
      <c r="C1078">
        <v>1502</v>
      </c>
      <c r="D1078" t="s">
        <v>4092</v>
      </c>
      <c r="E1078" t="str">
        <f>IF(NOT(ISERROR(VLOOKUP(D1078,'ESO DungeonFinder'!$A$2:$A$999,1,FALSE))),"X","")</f>
        <v/>
      </c>
      <c r="F1078" s="102" t="str">
        <f t="shared" si="67"/>
        <v/>
      </c>
      <c r="G1078" s="102" t="str">
        <f t="shared" si="74"/>
        <v>Solstice</v>
      </c>
      <c r="H1078" s="103">
        <f t="shared" si="77"/>
        <v>1556</v>
      </c>
      <c r="I1078" s="103">
        <f t="shared" si="78"/>
        <v>1502</v>
      </c>
      <c r="J1078">
        <v>40</v>
      </c>
      <c r="K1078" s="102" t="str">
        <f>VLOOKUP(J1078,'&lt;Constants&gt;'!$A$4:$B$1020,2,FALSE)</f>
        <v>DLC_SEASONS_OF_THE_WORMCULT2</v>
      </c>
      <c r="L1078" s="102" t="str">
        <f>VLOOKUP(J1078,'&lt;Constants&gt;'!$A$4:$C$1020,3,FALSE)</f>
        <v>Seasons of the Wormcult Part 2</v>
      </c>
    </row>
    <row r="1079" spans="1:12" x14ac:dyDescent="0.25">
      <c r="A1079">
        <v>1557</v>
      </c>
      <c r="B1079">
        <v>1074</v>
      </c>
      <c r="C1079">
        <v>1557</v>
      </c>
      <c r="D1079" t="s">
        <v>4093</v>
      </c>
      <c r="E1079" t="str">
        <f>IF(NOT(ISERROR(VLOOKUP(D1079,'ESO DungeonFinder'!$A$2:$A$999,1,FALSE))),"X","")</f>
        <v/>
      </c>
      <c r="F1079" s="102" t="str">
        <f t="shared" si="67"/>
        <v>X</v>
      </c>
      <c r="G1079" s="102" t="str">
        <f t="shared" si="74"/>
        <v/>
      </c>
      <c r="H1079" s="103">
        <f t="shared" si="77"/>
        <v>1557</v>
      </c>
      <c r="I1079" s="103">
        <f t="shared" si="78"/>
        <v>1557</v>
      </c>
      <c r="J1079">
        <v>40</v>
      </c>
      <c r="K1079" s="102" t="str">
        <f>VLOOKUP(J1079,'&lt;Constants&gt;'!$A$4:$B$1020,2,FALSE)</f>
        <v>DLC_SEASONS_OF_THE_WORMCULT2</v>
      </c>
      <c r="L1079" s="102" t="str">
        <f>VLOOKUP(J1079,'&lt;Constants&gt;'!$A$4:$C$1020,3,FALSE)</f>
        <v>Seasons of the Wormcult Part 2</v>
      </c>
    </row>
    <row r="1080" spans="1:12" x14ac:dyDescent="0.25">
      <c r="A1080">
        <v>1560</v>
      </c>
      <c r="B1080">
        <v>1075</v>
      </c>
      <c r="C1080">
        <v>823</v>
      </c>
      <c r="D1080" t="s">
        <v>4110</v>
      </c>
      <c r="E1080" t="str">
        <f>IF(NOT(ISERROR(VLOOKUP(D1080,'ESO DungeonFinder'!$A$2:$A$999,1,FALSE))),"X","")</f>
        <v/>
      </c>
      <c r="F1080" s="102" t="str">
        <f t="shared" si="67"/>
        <v/>
      </c>
      <c r="G1080" s="102" t="str">
        <f t="shared" si="74"/>
        <v>Gold Coast</v>
      </c>
      <c r="H1080" s="103">
        <f t="shared" si="77"/>
        <v>1560</v>
      </c>
      <c r="I1080" s="103">
        <f t="shared" si="78"/>
        <v>823</v>
      </c>
      <c r="J1080">
        <v>40</v>
      </c>
      <c r="K1080" s="102" t="str">
        <f>VLOOKUP(J1080,'&lt;Constants&gt;'!$A$4:$B$1020,2,FALSE)</f>
        <v>DLC_SEASONS_OF_THE_WORMCULT2</v>
      </c>
      <c r="L1080" s="102" t="str">
        <f>VLOOKUP(J1080,'&lt;Constants&gt;'!$A$4:$C$1020,3,FALSE)</f>
        <v>Seasons of the Wormcult Part 2</v>
      </c>
    </row>
    <row r="1081" spans="1:12" x14ac:dyDescent="0.25">
      <c r="A1081">
        <v>1561</v>
      </c>
      <c r="B1081">
        <v>1076</v>
      </c>
      <c r="C1081">
        <v>1443</v>
      </c>
      <c r="D1081" t="s">
        <v>4111</v>
      </c>
      <c r="E1081" t="str">
        <f>IF(NOT(ISERROR(VLOOKUP(D1081,'ESO DungeonFinder'!$A$2:$A$999,1,FALSE))),"X","")</f>
        <v/>
      </c>
      <c r="F1081" s="102" t="str">
        <f t="shared" si="67"/>
        <v/>
      </c>
      <c r="G1081" s="102" t="str">
        <f t="shared" si="74"/>
        <v>West Weald</v>
      </c>
      <c r="H1081" s="103">
        <f t="shared" si="77"/>
        <v>1561</v>
      </c>
      <c r="I1081" s="103">
        <f t="shared" si="78"/>
        <v>1443</v>
      </c>
      <c r="J1081">
        <v>40</v>
      </c>
      <c r="K1081" s="102" t="str">
        <f>VLOOKUP(J1081,'&lt;Constants&gt;'!$A$4:$B$1020,2,FALSE)</f>
        <v>DLC_SEASONS_OF_THE_WORMCULT2</v>
      </c>
      <c r="L1081" s="102" t="str">
        <f>VLOOKUP(J1081,'&lt;Constants&gt;'!$A$4:$C$1020,3,FALSE)</f>
        <v>Seasons of the Wormcult Part 2</v>
      </c>
    </row>
    <row r="1082" spans="1:12" x14ac:dyDescent="0.25">
      <c r="A1082">
        <v>1566</v>
      </c>
      <c r="B1082">
        <v>1077</v>
      </c>
      <c r="C1082">
        <v>1502</v>
      </c>
      <c r="D1082" t="s">
        <v>4197</v>
      </c>
      <c r="E1082" t="str">
        <f>IF(NOT(ISERROR(VLOOKUP(D1082,'ESO DungeonFinder'!$A$2:$A$999,1,FALSE))),"X","")</f>
        <v/>
      </c>
      <c r="F1082" s="102" t="str">
        <f t="shared" si="67"/>
        <v/>
      </c>
      <c r="G1082" s="102" t="str">
        <f t="shared" si="74"/>
        <v>Solstice</v>
      </c>
      <c r="H1082" s="103">
        <f t="shared" si="77"/>
        <v>1566</v>
      </c>
      <c r="I1082" s="103">
        <f t="shared" si="78"/>
        <v>1502</v>
      </c>
      <c r="J1082">
        <v>40</v>
      </c>
      <c r="K1082" s="102" t="str">
        <f>VLOOKUP(J1082,'&lt;Constants&gt;'!$A$4:$B$1020,2,FALSE)</f>
        <v>DLC_SEASONS_OF_THE_WORMCULT2</v>
      </c>
      <c r="L1082" s="102" t="str">
        <f>VLOOKUP(J1082,'&lt;Constants&gt;'!$A$4:$C$1020,3,FALSE)</f>
        <v>Seasons of the Wormcult Part 2</v>
      </c>
    </row>
    <row r="1083" spans="1:12" x14ac:dyDescent="0.25">
      <c r="A1083">
        <v>1567</v>
      </c>
      <c r="B1083">
        <v>1078</v>
      </c>
      <c r="C1083">
        <v>1318</v>
      </c>
      <c r="D1083" t="s">
        <v>4198</v>
      </c>
      <c r="E1083" t="str">
        <f>IF(NOT(ISERROR(VLOOKUP(D1083,'ESO DungeonFinder'!$A$2:$A$999,1,FALSE))),"X","")</f>
        <v/>
      </c>
      <c r="F1083" s="102" t="str">
        <f t="shared" si="67"/>
        <v/>
      </c>
      <c r="G1083" s="102" t="str">
        <f t="shared" si="74"/>
        <v>High Isle</v>
      </c>
      <c r="H1083" s="103">
        <f t="shared" si="77"/>
        <v>1567</v>
      </c>
      <c r="I1083" s="103">
        <f t="shared" si="78"/>
        <v>1318</v>
      </c>
      <c r="J1083">
        <v>40</v>
      </c>
      <c r="K1083" s="102" t="str">
        <f>VLOOKUP(J1083,'&lt;Constants&gt;'!$A$4:$B$1020,2,FALSE)</f>
        <v>DLC_SEASONS_OF_THE_WORMCULT2</v>
      </c>
      <c r="L1083" s="102" t="str">
        <f>VLOOKUP(J1083,'&lt;Constants&gt;'!$A$4:$C$1020,3,FALSE)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102" t="str">
        <f>VLOOKUP(J1084,'&lt;Constants&gt;'!$A$4:$B$1020,2,FALSE)</f>
        <v>DLC_SEASONS_OF_THE_WORMCULT2</v>
      </c>
      <c r="L1084" s="102" t="str">
        <f>VLOOKUP(J1084,'&lt;Constants&gt;'!$A$4:$C$1020,3,FALSE)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4212</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1560</v>
      </c>
      <c r="D38">
        <v>1133</v>
      </c>
      <c r="E38" t="s">
        <v>1560</v>
      </c>
      <c r="F38" s="3">
        <f>VLOOKUP(D38,'ESO zones'!$A$5:$B$10004,2,FALSE)</f>
        <v>721</v>
      </c>
      <c r="G38"/>
    </row>
    <row r="39" spans="1:7" x14ac:dyDescent="0.25">
      <c r="A39">
        <v>1719</v>
      </c>
      <c r="B39">
        <v>38</v>
      </c>
      <c r="C39" t="s">
        <v>1660</v>
      </c>
      <c r="D39">
        <v>1160</v>
      </c>
      <c r="E39" t="s">
        <v>1660</v>
      </c>
      <c r="F39" s="3">
        <f>VLOOKUP(D39,'ESO zones'!$A$5:$B$10004,2,FALSE)</f>
        <v>744</v>
      </c>
      <c r="G39"/>
    </row>
    <row r="40" spans="1:7" x14ac:dyDescent="0.25">
      <c r="A40">
        <v>1747</v>
      </c>
      <c r="B40">
        <v>39</v>
      </c>
      <c r="C40" t="s">
        <v>1690</v>
      </c>
      <c r="D40">
        <v>1161</v>
      </c>
      <c r="E40" t="s">
        <v>1690</v>
      </c>
      <c r="F40" s="3">
        <f>VLOOKUP(D40,'ESO zones'!$A$5:$B$10004,2,FALSE)</f>
        <v>745</v>
      </c>
      <c r="G40"/>
    </row>
    <row r="41" spans="1:7" x14ac:dyDescent="0.25">
      <c r="A41">
        <v>1814</v>
      </c>
      <c r="B41">
        <v>42</v>
      </c>
      <c r="C41" t="s">
        <v>2185</v>
      </c>
      <c r="D41">
        <v>1207</v>
      </c>
      <c r="E41" t="s">
        <v>2185</v>
      </c>
      <c r="F41" s="3">
        <f>VLOOKUP(D41,'ESO zones'!$A$5:$B$10004,2,FALSE)</f>
        <v>784</v>
      </c>
      <c r="G41"/>
    </row>
    <row r="42" spans="1:7" x14ac:dyDescent="0.25">
      <c r="A42">
        <v>1850</v>
      </c>
      <c r="B42">
        <v>41</v>
      </c>
      <c r="C42" t="s">
        <v>2186</v>
      </c>
      <c r="D42">
        <v>1208</v>
      </c>
      <c r="E42" t="s">
        <v>2186</v>
      </c>
      <c r="F42" s="3">
        <f>VLOOKUP(D42,'ESO zones'!$A$5:$B$10004,2,FALSE)</f>
        <v>785</v>
      </c>
      <c r="G42"/>
    </row>
    <row r="43" spans="1:7" x14ac:dyDescent="0.25">
      <c r="A43">
        <v>1887</v>
      </c>
      <c r="B43">
        <v>43</v>
      </c>
      <c r="C43" t="s">
        <v>2360</v>
      </c>
      <c r="D43">
        <v>1261</v>
      </c>
      <c r="E43" t="s">
        <v>2360</v>
      </c>
      <c r="F43" s="3">
        <f>VLOOKUP(D43,'ESO zones'!$A$5:$B$10004,2,FALSE)</f>
        <v>835</v>
      </c>
      <c r="G43"/>
    </row>
    <row r="44" spans="1:7" x14ac:dyDescent="0.25">
      <c r="A44">
        <v>2021</v>
      </c>
      <c r="B44">
        <v>45</v>
      </c>
      <c r="C44" t="s">
        <v>2416</v>
      </c>
      <c r="D44">
        <v>1286</v>
      </c>
      <c r="E44" t="s">
        <v>2416</v>
      </c>
      <c r="F44" s="3">
        <f>VLOOKUP(D44,'ESO zones'!$A$5:$B$10004,2,FALSE)</f>
        <v>858</v>
      </c>
      <c r="G44"/>
    </row>
    <row r="45" spans="1:7" x14ac:dyDescent="0.25">
      <c r="A45">
        <v>2035</v>
      </c>
      <c r="B45">
        <v>47</v>
      </c>
      <c r="C45" t="s">
        <v>3379</v>
      </c>
      <c r="D45">
        <v>1282</v>
      </c>
      <c r="E45" t="s">
        <v>2651</v>
      </c>
      <c r="F45" s="3">
        <f>VLOOKUP(D45,'ESO zones'!$A$5:$B$10004,2,FALSE)</f>
        <v>854</v>
      </c>
      <c r="G45"/>
    </row>
    <row r="46" spans="1:7" x14ac:dyDescent="0.25">
      <c r="A46">
        <v>2114</v>
      </c>
      <c r="B46">
        <v>46</v>
      </c>
      <c r="C46" t="s">
        <v>3318</v>
      </c>
      <c r="D46">
        <v>1318</v>
      </c>
      <c r="E46" t="s">
        <v>3295</v>
      </c>
      <c r="F46" s="3">
        <f>VLOOKUP(D46,'ESO zones'!$A$5:$B$10004,2,FALSE)</f>
        <v>884</v>
      </c>
    </row>
    <row r="47" spans="1:7" x14ac:dyDescent="0.25">
      <c r="A47">
        <v>2119</v>
      </c>
      <c r="B47">
        <v>44</v>
      </c>
      <c r="C47" t="s">
        <v>2651</v>
      </c>
      <c r="D47">
        <v>1283</v>
      </c>
      <c r="E47" t="s">
        <v>2652</v>
      </c>
      <c r="F47" s="3">
        <f>VLOOKUP(D47,'ESO zones'!$A$5:$B$10004,2,FALSE)</f>
        <v>855</v>
      </c>
    </row>
    <row r="48" spans="1:7" s="33" customFormat="1" x14ac:dyDescent="0.25">
      <c r="A48">
        <v>2212</v>
      </c>
      <c r="B48">
        <v>48</v>
      </c>
      <c r="C48" t="s">
        <v>3441</v>
      </c>
      <c r="D48">
        <v>1383</v>
      </c>
      <c r="E48" t="s">
        <v>3436</v>
      </c>
      <c r="F48" s="3">
        <f>VLOOKUP(D48,'ESO zones'!$A$5:$B$10004,2,FALSE)</f>
        <v>931</v>
      </c>
    </row>
    <row r="49" spans="1:6" x14ac:dyDescent="0.25">
      <c r="A49">
        <v>2274</v>
      </c>
      <c r="B49">
        <v>49</v>
      </c>
      <c r="C49" t="s">
        <v>3644</v>
      </c>
      <c r="D49">
        <v>1414</v>
      </c>
      <c r="E49" t="s">
        <v>3644</v>
      </c>
      <c r="F49" s="3">
        <f>VLOOKUP(D49,'ESO zones'!$A$5:$B$10004,2,FALSE)</f>
        <v>960</v>
      </c>
    </row>
    <row r="50" spans="1:6" x14ac:dyDescent="0.25">
      <c r="A50">
        <v>2275</v>
      </c>
      <c r="B50">
        <v>50</v>
      </c>
      <c r="C50" t="s">
        <v>3588</v>
      </c>
      <c r="D50">
        <v>1413</v>
      </c>
      <c r="E50" t="s">
        <v>3588</v>
      </c>
      <c r="F50" s="3">
        <f>VLOOKUP(D50,'ESO zones'!$A$5:$B$10004,2,FALSE)</f>
        <v>959</v>
      </c>
    </row>
    <row r="51" spans="1:6" x14ac:dyDescent="0.25">
      <c r="A51">
        <v>2427</v>
      </c>
      <c r="B51">
        <v>51</v>
      </c>
      <c r="C51" t="s">
        <v>3898</v>
      </c>
      <c r="D51">
        <v>1443</v>
      </c>
      <c r="E51" t="s">
        <v>3898</v>
      </c>
      <c r="F51" s="3">
        <f>VLOOKUP(D51,'ESO zones'!$A$5:$B$10004,2,FALSE)</f>
        <v>983</v>
      </c>
    </row>
    <row r="52" spans="1:6" x14ac:dyDescent="0.25">
      <c r="A52">
        <v>2603</v>
      </c>
      <c r="B52">
        <v>53</v>
      </c>
      <c r="C52" t="s">
        <v>4058</v>
      </c>
      <c r="D52">
        <v>1502</v>
      </c>
      <c r="E52" t="s">
        <v>4058</v>
      </c>
      <c r="F52" s="3">
        <f>VLOOKUP(D52,'ESO zones'!$A$5:$B$10004,2,FALSE)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2"/>
  <sheetViews>
    <sheetView zoomScale="85" zoomScaleNormal="85" workbookViewId="0">
      <pane ySplit="2" topLeftCell="A530" activePane="bottomLeft" state="frozen"/>
      <selection pane="bottomLeft" activeCell="B564" sqref="B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4185</v>
      </c>
      <c r="J1" s="27"/>
      <c r="K1" s="3"/>
      <c r="L1" s="3"/>
      <c r="M1" s="3"/>
      <c r="N1" s="3"/>
    </row>
    <row r="2" spans="1:14" x14ac:dyDescent="0.25">
      <c r="A2" s="51" t="s">
        <v>1691</v>
      </c>
      <c r="B2" s="1" t="s">
        <v>1692</v>
      </c>
      <c r="C2" s="1" t="s">
        <v>1693</v>
      </c>
      <c r="D2" s="1" t="s">
        <v>1694</v>
      </c>
      <c r="E2" s="1" t="s">
        <v>1696</v>
      </c>
      <c r="F2" s="1" t="s">
        <v>1695</v>
      </c>
      <c r="G2" s="1" t="s">
        <v>1697</v>
      </c>
      <c r="H2" s="1" t="s">
        <v>1698</v>
      </c>
      <c r="I2" s="1" t="s">
        <v>3163</v>
      </c>
      <c r="J2" s="27" t="s">
        <v>2377</v>
      </c>
      <c r="K2" s="3" t="s">
        <v>1691</v>
      </c>
      <c r="L2" s="3" t="s">
        <v>1354</v>
      </c>
      <c r="M2" s="3" t="s">
        <v>1351</v>
      </c>
      <c r="N2" s="3" t="s">
        <v>98</v>
      </c>
    </row>
    <row r="3" spans="1:14" x14ac:dyDescent="0.25">
      <c r="A3" s="86">
        <v>1</v>
      </c>
      <c r="B3">
        <v>2</v>
      </c>
      <c r="C3">
        <v>1</v>
      </c>
      <c r="D3" t="s">
        <v>102</v>
      </c>
      <c r="E3">
        <v>2</v>
      </c>
      <c r="F3">
        <v>3</v>
      </c>
      <c r="G3" t="s">
        <v>102</v>
      </c>
      <c r="H3">
        <v>1</v>
      </c>
      <c r="I3" t="s">
        <v>2749</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2750</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2751</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2752</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3728</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2753</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2754</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2755</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2280</v>
      </c>
      <c r="E11">
        <v>5</v>
      </c>
      <c r="F11">
        <v>20</v>
      </c>
      <c r="G11" t="s">
        <v>2280</v>
      </c>
      <c r="H11">
        <v>1</v>
      </c>
      <c r="I11" t="s">
        <v>2756</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2280</v>
      </c>
      <c r="E12">
        <v>5</v>
      </c>
      <c r="F12">
        <v>20</v>
      </c>
      <c r="G12" t="s">
        <v>2280</v>
      </c>
      <c r="H12">
        <v>1</v>
      </c>
      <c r="I12" t="s">
        <v>2757</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2280</v>
      </c>
      <c r="E13">
        <v>5</v>
      </c>
      <c r="F13">
        <v>20</v>
      </c>
      <c r="G13" t="s">
        <v>2280</v>
      </c>
      <c r="H13">
        <v>1</v>
      </c>
      <c r="I13" t="s">
        <v>2758</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2280</v>
      </c>
      <c r="E14">
        <v>5</v>
      </c>
      <c r="F14">
        <v>20</v>
      </c>
      <c r="G14" t="s">
        <v>2280</v>
      </c>
      <c r="H14">
        <v>1</v>
      </c>
      <c r="I14" t="s">
        <v>2759</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2280</v>
      </c>
      <c r="E15">
        <v>5</v>
      </c>
      <c r="F15">
        <v>20</v>
      </c>
      <c r="G15" t="s">
        <v>2280</v>
      </c>
      <c r="H15">
        <v>1</v>
      </c>
      <c r="I15" t="s">
        <v>2760</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2281</v>
      </c>
      <c r="E16">
        <v>4</v>
      </c>
      <c r="F16">
        <v>19</v>
      </c>
      <c r="G16" t="s">
        <v>2281</v>
      </c>
      <c r="H16">
        <v>1</v>
      </c>
      <c r="I16" t="s">
        <v>3729</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2281</v>
      </c>
      <c r="E17">
        <v>4</v>
      </c>
      <c r="F17">
        <v>19</v>
      </c>
      <c r="G17" t="s">
        <v>2281</v>
      </c>
      <c r="H17">
        <v>1</v>
      </c>
      <c r="I17" t="s">
        <v>3730</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2281</v>
      </c>
      <c r="E18">
        <v>4</v>
      </c>
      <c r="F18">
        <v>19</v>
      </c>
      <c r="G18" t="s">
        <v>2281</v>
      </c>
      <c r="H18">
        <v>1</v>
      </c>
      <c r="I18" t="s">
        <v>3731</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2281</v>
      </c>
      <c r="E19">
        <v>4</v>
      </c>
      <c r="F19">
        <v>19</v>
      </c>
      <c r="G19" t="s">
        <v>2281</v>
      </c>
      <c r="H19">
        <v>1</v>
      </c>
      <c r="I19" t="s">
        <v>3732</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2281</v>
      </c>
      <c r="E20">
        <v>4</v>
      </c>
      <c r="F20">
        <v>19</v>
      </c>
      <c r="G20" t="s">
        <v>2281</v>
      </c>
      <c r="H20">
        <v>1</v>
      </c>
      <c r="I20" t="s">
        <v>3733</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2281</v>
      </c>
      <c r="E21">
        <v>4</v>
      </c>
      <c r="F21">
        <v>19</v>
      </c>
      <c r="G21" t="s">
        <v>2281</v>
      </c>
      <c r="H21">
        <v>1</v>
      </c>
      <c r="I21" t="s">
        <v>3734</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2761</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2264</v>
      </c>
      <c r="E23">
        <v>181</v>
      </c>
      <c r="F23">
        <v>383</v>
      </c>
      <c r="G23" t="s">
        <v>2264</v>
      </c>
      <c r="H23">
        <v>1</v>
      </c>
      <c r="I23" t="s">
        <v>2762</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2281</v>
      </c>
      <c r="E24">
        <v>4</v>
      </c>
      <c r="F24">
        <v>19</v>
      </c>
      <c r="G24" t="s">
        <v>2281</v>
      </c>
      <c r="H24">
        <v>1</v>
      </c>
      <c r="I24" t="s">
        <v>3735</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2281</v>
      </c>
      <c r="E25">
        <v>4</v>
      </c>
      <c r="F25">
        <v>19</v>
      </c>
      <c r="G25" t="s">
        <v>2281</v>
      </c>
      <c r="H25">
        <v>1</v>
      </c>
      <c r="I25" t="s">
        <v>3736</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2763</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2764</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2765</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2766</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2767</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3156</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2768</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2281</v>
      </c>
      <c r="E33">
        <v>4</v>
      </c>
      <c r="F33">
        <v>19</v>
      </c>
      <c r="G33" t="s">
        <v>2281</v>
      </c>
      <c r="H33">
        <v>1</v>
      </c>
      <c r="I33" t="s">
        <v>3737</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2769</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2770</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2771</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2772</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2773</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2774</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2775</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2776</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2777</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2285</v>
      </c>
      <c r="E43">
        <v>9</v>
      </c>
      <c r="F43">
        <v>41</v>
      </c>
      <c r="G43" t="s">
        <v>2285</v>
      </c>
      <c r="H43">
        <v>1</v>
      </c>
      <c r="I43" t="s">
        <v>2778</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3157</v>
      </c>
      <c r="E44">
        <v>17</v>
      </c>
      <c r="F44">
        <v>104</v>
      </c>
      <c r="G44" t="s">
        <v>2279</v>
      </c>
      <c r="H44">
        <v>1</v>
      </c>
      <c r="I44" t="s">
        <v>2779</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3157</v>
      </c>
      <c r="E45">
        <v>17</v>
      </c>
      <c r="F45">
        <v>104</v>
      </c>
      <c r="G45" t="s">
        <v>2279</v>
      </c>
      <c r="H45">
        <v>1</v>
      </c>
      <c r="I45" t="s">
        <v>2780</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3157</v>
      </c>
      <c r="E46">
        <v>17</v>
      </c>
      <c r="F46">
        <v>104</v>
      </c>
      <c r="G46" t="s">
        <v>2279</v>
      </c>
      <c r="H46">
        <v>1</v>
      </c>
      <c r="I46" t="s">
        <v>2781</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3157</v>
      </c>
      <c r="E47">
        <v>17</v>
      </c>
      <c r="F47">
        <v>104</v>
      </c>
      <c r="G47" t="s">
        <v>2279</v>
      </c>
      <c r="H47">
        <v>1</v>
      </c>
      <c r="I47" t="s">
        <v>2782</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3157</v>
      </c>
      <c r="E48">
        <v>17</v>
      </c>
      <c r="F48">
        <v>104</v>
      </c>
      <c r="G48" t="s">
        <v>2279</v>
      </c>
      <c r="H48">
        <v>1</v>
      </c>
      <c r="I48" t="s">
        <v>2783</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2284</v>
      </c>
      <c r="E49">
        <v>19</v>
      </c>
      <c r="F49">
        <v>117</v>
      </c>
      <c r="G49" t="s">
        <v>2284</v>
      </c>
      <c r="H49">
        <v>1</v>
      </c>
      <c r="I49" t="s">
        <v>2784</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2284</v>
      </c>
      <c r="E50">
        <v>19</v>
      </c>
      <c r="F50">
        <v>117</v>
      </c>
      <c r="G50" t="s">
        <v>2284</v>
      </c>
      <c r="H50">
        <v>1</v>
      </c>
      <c r="I50" t="s">
        <v>2785</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2284</v>
      </c>
      <c r="E51">
        <v>19</v>
      </c>
      <c r="F51">
        <v>117</v>
      </c>
      <c r="G51" t="s">
        <v>2284</v>
      </c>
      <c r="H51">
        <v>1</v>
      </c>
      <c r="I51" t="s">
        <v>2786</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2284</v>
      </c>
      <c r="E52">
        <v>19</v>
      </c>
      <c r="F52">
        <v>117</v>
      </c>
      <c r="G52" t="s">
        <v>2284</v>
      </c>
      <c r="H52">
        <v>1</v>
      </c>
      <c r="I52" t="s">
        <v>2787</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2284</v>
      </c>
      <c r="E53">
        <v>19</v>
      </c>
      <c r="F53">
        <v>117</v>
      </c>
      <c r="G53" t="s">
        <v>2284</v>
      </c>
      <c r="H53">
        <v>1</v>
      </c>
      <c r="I53" t="s">
        <v>2788</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2284</v>
      </c>
      <c r="E54">
        <v>19</v>
      </c>
      <c r="F54">
        <v>117</v>
      </c>
      <c r="G54" t="s">
        <v>2284</v>
      </c>
      <c r="H54">
        <v>1</v>
      </c>
      <c r="I54" t="s">
        <v>2789</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2284</v>
      </c>
      <c r="E55">
        <v>19</v>
      </c>
      <c r="F55">
        <v>117</v>
      </c>
      <c r="G55" t="s">
        <v>2284</v>
      </c>
      <c r="H55">
        <v>1</v>
      </c>
      <c r="I55" t="s">
        <v>2790</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2280</v>
      </c>
      <c r="E56">
        <v>5</v>
      </c>
      <c r="F56">
        <v>20</v>
      </c>
      <c r="G56" t="s">
        <v>2280</v>
      </c>
      <c r="H56">
        <v>1</v>
      </c>
      <c r="I56" t="s">
        <v>2791</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2281</v>
      </c>
      <c r="E57">
        <v>4</v>
      </c>
      <c r="F57">
        <v>19</v>
      </c>
      <c r="G57" t="s">
        <v>2281</v>
      </c>
      <c r="H57">
        <v>1</v>
      </c>
      <c r="I57" t="s">
        <v>3738</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3157</v>
      </c>
      <c r="E58">
        <v>17</v>
      </c>
      <c r="F58">
        <v>104</v>
      </c>
      <c r="G58" t="s">
        <v>2279</v>
      </c>
      <c r="H58">
        <v>1</v>
      </c>
      <c r="I58" t="s">
        <v>2792</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3157</v>
      </c>
      <c r="E59">
        <v>17</v>
      </c>
      <c r="F59">
        <v>104</v>
      </c>
      <c r="G59" t="s">
        <v>2279</v>
      </c>
      <c r="H59">
        <v>1</v>
      </c>
      <c r="I59" t="s">
        <v>2793</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3157</v>
      </c>
      <c r="E60">
        <v>17</v>
      </c>
      <c r="F60">
        <v>104</v>
      </c>
      <c r="G60" t="s">
        <v>2279</v>
      </c>
      <c r="H60">
        <v>1</v>
      </c>
      <c r="I60" t="s">
        <v>2794</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3157</v>
      </c>
      <c r="E61">
        <v>17</v>
      </c>
      <c r="F61">
        <v>104</v>
      </c>
      <c r="G61" t="s">
        <v>2279</v>
      </c>
      <c r="H61">
        <v>1</v>
      </c>
      <c r="I61" t="s">
        <v>2795</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3157</v>
      </c>
      <c r="E62">
        <v>17</v>
      </c>
      <c r="F62">
        <v>104</v>
      </c>
      <c r="G62" t="s">
        <v>2279</v>
      </c>
      <c r="H62">
        <v>1</v>
      </c>
      <c r="I62" t="s">
        <v>2796</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2797</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2798</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2799</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2285</v>
      </c>
      <c r="E66">
        <v>9</v>
      </c>
      <c r="F66">
        <v>41</v>
      </c>
      <c r="G66" t="s">
        <v>2285</v>
      </c>
      <c r="H66">
        <v>1</v>
      </c>
      <c r="I66" t="s">
        <v>2800</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2285</v>
      </c>
      <c r="E67">
        <v>9</v>
      </c>
      <c r="F67">
        <v>41</v>
      </c>
      <c r="G67" t="s">
        <v>2285</v>
      </c>
      <c r="H67">
        <v>1</v>
      </c>
      <c r="I67" t="s">
        <v>2801</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2285</v>
      </c>
      <c r="E68">
        <v>9</v>
      </c>
      <c r="F68">
        <v>41</v>
      </c>
      <c r="G68" t="s">
        <v>2285</v>
      </c>
      <c r="H68">
        <v>1</v>
      </c>
      <c r="I68" t="s">
        <v>2802</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2285</v>
      </c>
      <c r="E69">
        <v>9</v>
      </c>
      <c r="F69">
        <v>41</v>
      </c>
      <c r="G69" t="s">
        <v>2285</v>
      </c>
      <c r="H69">
        <v>1</v>
      </c>
      <c r="I69" t="s">
        <v>2803</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2285</v>
      </c>
      <c r="E70">
        <v>9</v>
      </c>
      <c r="F70">
        <v>41</v>
      </c>
      <c r="G70" t="s">
        <v>2285</v>
      </c>
      <c r="H70">
        <v>1</v>
      </c>
      <c r="I70" t="s">
        <v>2804</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2285</v>
      </c>
      <c r="E71">
        <v>9</v>
      </c>
      <c r="F71">
        <v>41</v>
      </c>
      <c r="G71" t="s">
        <v>2285</v>
      </c>
      <c r="H71">
        <v>1</v>
      </c>
      <c r="I71" t="s">
        <v>2805</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2285</v>
      </c>
      <c r="E72">
        <v>9</v>
      </c>
      <c r="F72">
        <v>41</v>
      </c>
      <c r="G72" t="s">
        <v>2285</v>
      </c>
      <c r="H72">
        <v>1</v>
      </c>
      <c r="I72" t="s">
        <v>2806</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2285</v>
      </c>
      <c r="E73">
        <v>9</v>
      </c>
      <c r="F73">
        <v>41</v>
      </c>
      <c r="G73" t="s">
        <v>2285</v>
      </c>
      <c r="H73">
        <v>1</v>
      </c>
      <c r="I73" t="s">
        <v>2807</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2285</v>
      </c>
      <c r="E74">
        <v>9</v>
      </c>
      <c r="F74">
        <v>41</v>
      </c>
      <c r="G74" t="s">
        <v>2285</v>
      </c>
      <c r="H74">
        <v>1</v>
      </c>
      <c r="I74" t="s">
        <v>2808</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2285</v>
      </c>
      <c r="E75">
        <v>9</v>
      </c>
      <c r="F75">
        <v>41</v>
      </c>
      <c r="G75" t="s">
        <v>2285</v>
      </c>
      <c r="H75">
        <v>1</v>
      </c>
      <c r="I75" t="s">
        <v>2809</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2285</v>
      </c>
      <c r="E76">
        <v>9</v>
      </c>
      <c r="F76">
        <v>41</v>
      </c>
      <c r="G76" t="s">
        <v>2285</v>
      </c>
      <c r="H76">
        <v>1</v>
      </c>
      <c r="I76" t="s">
        <v>2810</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2285</v>
      </c>
      <c r="E77">
        <v>9</v>
      </c>
      <c r="F77">
        <v>41</v>
      </c>
      <c r="G77" t="s">
        <v>2285</v>
      </c>
      <c r="H77">
        <v>1</v>
      </c>
      <c r="I77" t="s">
        <v>2811</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2284</v>
      </c>
      <c r="E78">
        <v>19</v>
      </c>
      <c r="F78">
        <v>117</v>
      </c>
      <c r="G78" t="s">
        <v>2284</v>
      </c>
      <c r="H78">
        <v>1</v>
      </c>
      <c r="I78" t="s">
        <v>2812</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2813</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2814</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2815</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2280</v>
      </c>
      <c r="E82">
        <v>5</v>
      </c>
      <c r="F82">
        <v>20</v>
      </c>
      <c r="G82" t="s">
        <v>2280</v>
      </c>
      <c r="H82">
        <v>1</v>
      </c>
      <c r="I82" t="s">
        <v>2816</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2280</v>
      </c>
      <c r="E83">
        <v>5</v>
      </c>
      <c r="F83">
        <v>20</v>
      </c>
      <c r="G83" t="s">
        <v>2280</v>
      </c>
      <c r="H83">
        <v>1</v>
      </c>
      <c r="I83" t="s">
        <v>2817</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2280</v>
      </c>
      <c r="E84">
        <v>5</v>
      </c>
      <c r="F84">
        <v>20</v>
      </c>
      <c r="G84" t="s">
        <v>2280</v>
      </c>
      <c r="H84">
        <v>1</v>
      </c>
      <c r="I84" t="s">
        <v>2818</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2284</v>
      </c>
      <c r="E85">
        <v>19</v>
      </c>
      <c r="F85">
        <v>117</v>
      </c>
      <c r="G85" t="s">
        <v>2284</v>
      </c>
      <c r="H85">
        <v>1</v>
      </c>
      <c r="I85" t="s">
        <v>2819</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2280</v>
      </c>
      <c r="E86">
        <v>5</v>
      </c>
      <c r="F86">
        <v>20</v>
      </c>
      <c r="G86" t="s">
        <v>2280</v>
      </c>
      <c r="H86">
        <v>1</v>
      </c>
      <c r="I86" t="s">
        <v>2820</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2282</v>
      </c>
      <c r="E87">
        <v>15</v>
      </c>
      <c r="F87">
        <v>101</v>
      </c>
      <c r="G87" t="s">
        <v>2282</v>
      </c>
      <c r="H87">
        <v>1</v>
      </c>
      <c r="I87" t="s">
        <v>3225</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2282</v>
      </c>
      <c r="E88">
        <v>15</v>
      </c>
      <c r="F88">
        <v>101</v>
      </c>
      <c r="G88" t="s">
        <v>2282</v>
      </c>
      <c r="H88">
        <v>1</v>
      </c>
      <c r="I88" t="s">
        <v>3222</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2282</v>
      </c>
      <c r="E89">
        <v>15</v>
      </c>
      <c r="F89">
        <v>101</v>
      </c>
      <c r="G89" t="s">
        <v>2282</v>
      </c>
      <c r="H89">
        <v>1</v>
      </c>
      <c r="I89" t="s">
        <v>3227</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2282</v>
      </c>
      <c r="E90">
        <v>15</v>
      </c>
      <c r="F90">
        <v>101</v>
      </c>
      <c r="G90" t="s">
        <v>2282</v>
      </c>
      <c r="H90">
        <v>1</v>
      </c>
      <c r="I90" t="s">
        <v>3228</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2282</v>
      </c>
      <c r="E91">
        <v>15</v>
      </c>
      <c r="F91">
        <v>101</v>
      </c>
      <c r="G91" t="s">
        <v>2282</v>
      </c>
      <c r="H91">
        <v>1</v>
      </c>
      <c r="I91" t="s">
        <v>3229</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2282</v>
      </c>
      <c r="E92">
        <v>15</v>
      </c>
      <c r="F92">
        <v>101</v>
      </c>
      <c r="G92" t="s">
        <v>2282</v>
      </c>
      <c r="H92">
        <v>1</v>
      </c>
      <c r="I92" t="s">
        <v>3224</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2282</v>
      </c>
      <c r="E93">
        <v>15</v>
      </c>
      <c r="F93">
        <v>101</v>
      </c>
      <c r="G93" t="s">
        <v>2282</v>
      </c>
      <c r="H93">
        <v>1</v>
      </c>
      <c r="I93" t="s">
        <v>3231</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2282</v>
      </c>
      <c r="E94">
        <v>15</v>
      </c>
      <c r="F94">
        <v>101</v>
      </c>
      <c r="G94" t="s">
        <v>2282</v>
      </c>
      <c r="H94">
        <v>1</v>
      </c>
      <c r="I94" t="s">
        <v>3232</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2282</v>
      </c>
      <c r="E95">
        <v>15</v>
      </c>
      <c r="F95">
        <v>101</v>
      </c>
      <c r="G95" t="s">
        <v>2282</v>
      </c>
      <c r="H95">
        <v>1</v>
      </c>
      <c r="I95" t="s">
        <v>3233</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2282</v>
      </c>
      <c r="E96">
        <v>15</v>
      </c>
      <c r="F96">
        <v>101</v>
      </c>
      <c r="G96" t="s">
        <v>2282</v>
      </c>
      <c r="H96">
        <v>1</v>
      </c>
      <c r="I96" t="s">
        <v>3218</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2282</v>
      </c>
      <c r="E97">
        <v>15</v>
      </c>
      <c r="F97">
        <v>101</v>
      </c>
      <c r="G97" t="s">
        <v>2282</v>
      </c>
      <c r="H97">
        <v>1</v>
      </c>
      <c r="I97" t="s">
        <v>3219</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2285</v>
      </c>
      <c r="E98">
        <v>9</v>
      </c>
      <c r="F98">
        <v>41</v>
      </c>
      <c r="G98" t="s">
        <v>2285</v>
      </c>
      <c r="H98">
        <v>6</v>
      </c>
      <c r="I98" t="s">
        <v>2821</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2822</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2823</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3158</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2824</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2825</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2826</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2827</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3739</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2828</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2285</v>
      </c>
      <c r="E108">
        <v>9</v>
      </c>
      <c r="F108">
        <v>41</v>
      </c>
      <c r="G108" t="s">
        <v>2285</v>
      </c>
      <c r="H108">
        <v>1</v>
      </c>
      <c r="I108" t="s">
        <v>2829</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2283</v>
      </c>
      <c r="E109">
        <v>16</v>
      </c>
      <c r="F109">
        <v>103</v>
      </c>
      <c r="G109" t="s">
        <v>2283</v>
      </c>
      <c r="H109">
        <v>1</v>
      </c>
      <c r="I109" t="s">
        <v>2830</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2283</v>
      </c>
      <c r="E110">
        <v>16</v>
      </c>
      <c r="F110">
        <v>103</v>
      </c>
      <c r="G110" t="s">
        <v>2283</v>
      </c>
      <c r="H110">
        <v>1</v>
      </c>
      <c r="I110" t="s">
        <v>2831</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2283</v>
      </c>
      <c r="E111">
        <v>16</v>
      </c>
      <c r="F111">
        <v>103</v>
      </c>
      <c r="G111" t="s">
        <v>2283</v>
      </c>
      <c r="H111">
        <v>1</v>
      </c>
      <c r="I111" t="s">
        <v>2832</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2283</v>
      </c>
      <c r="E112">
        <v>16</v>
      </c>
      <c r="F112">
        <v>103</v>
      </c>
      <c r="G112" t="s">
        <v>2283</v>
      </c>
      <c r="H112">
        <v>1</v>
      </c>
      <c r="I112" t="s">
        <v>2833</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2283</v>
      </c>
      <c r="E113">
        <v>16</v>
      </c>
      <c r="F113">
        <v>103</v>
      </c>
      <c r="G113" t="s">
        <v>2283</v>
      </c>
      <c r="H113">
        <v>1</v>
      </c>
      <c r="I113" t="s">
        <v>2834</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2283</v>
      </c>
      <c r="E114">
        <v>16</v>
      </c>
      <c r="F114">
        <v>103</v>
      </c>
      <c r="G114" t="s">
        <v>2283</v>
      </c>
      <c r="H114">
        <v>1</v>
      </c>
      <c r="I114" t="s">
        <v>2835</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2283</v>
      </c>
      <c r="E115">
        <v>16</v>
      </c>
      <c r="F115">
        <v>103</v>
      </c>
      <c r="G115" t="s">
        <v>2283</v>
      </c>
      <c r="H115">
        <v>1</v>
      </c>
      <c r="I115" t="s">
        <v>2836</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2283</v>
      </c>
      <c r="E116">
        <v>16</v>
      </c>
      <c r="F116">
        <v>103</v>
      </c>
      <c r="G116" t="s">
        <v>2283</v>
      </c>
      <c r="H116">
        <v>1</v>
      </c>
      <c r="I116" t="s">
        <v>2837</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2283</v>
      </c>
      <c r="E117">
        <v>16</v>
      </c>
      <c r="F117">
        <v>103</v>
      </c>
      <c r="G117" t="s">
        <v>2283</v>
      </c>
      <c r="H117">
        <v>1</v>
      </c>
      <c r="I117" t="s">
        <v>2838</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2283</v>
      </c>
      <c r="E118">
        <v>16</v>
      </c>
      <c r="F118">
        <v>103</v>
      </c>
      <c r="G118" t="s">
        <v>2283</v>
      </c>
      <c r="H118">
        <v>1</v>
      </c>
      <c r="I118" t="s">
        <v>2839</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2283</v>
      </c>
      <c r="E119">
        <v>16</v>
      </c>
      <c r="F119">
        <v>103</v>
      </c>
      <c r="G119" t="s">
        <v>2283</v>
      </c>
      <c r="H119">
        <v>1</v>
      </c>
      <c r="I119" t="s">
        <v>2840</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2283</v>
      </c>
      <c r="E120">
        <v>16</v>
      </c>
      <c r="F120">
        <v>103</v>
      </c>
      <c r="G120" t="s">
        <v>2283</v>
      </c>
      <c r="H120">
        <v>1</v>
      </c>
      <c r="I120" t="s">
        <v>2841</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2842</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2843</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2844</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2845</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2846</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2847</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2848</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2341</v>
      </c>
      <c r="E128">
        <v>155</v>
      </c>
      <c r="F128">
        <v>347</v>
      </c>
      <c r="G128" t="s">
        <v>2341</v>
      </c>
      <c r="H128">
        <v>1</v>
      </c>
      <c r="I128" t="s">
        <v>2849</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2341</v>
      </c>
      <c r="E129">
        <v>155</v>
      </c>
      <c r="F129">
        <v>347</v>
      </c>
      <c r="G129" t="s">
        <v>2341</v>
      </c>
      <c r="H129">
        <v>1</v>
      </c>
      <c r="I129" t="s">
        <v>2850</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2341</v>
      </c>
      <c r="E130">
        <v>155</v>
      </c>
      <c r="F130">
        <v>347</v>
      </c>
      <c r="G130" t="s">
        <v>2341</v>
      </c>
      <c r="H130">
        <v>1</v>
      </c>
      <c r="I130" t="s">
        <v>2851</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2341</v>
      </c>
      <c r="E131">
        <v>155</v>
      </c>
      <c r="F131">
        <v>347</v>
      </c>
      <c r="G131" t="s">
        <v>2341</v>
      </c>
      <c r="H131">
        <v>1</v>
      </c>
      <c r="I131" t="s">
        <v>2852</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2341</v>
      </c>
      <c r="E132">
        <v>155</v>
      </c>
      <c r="F132">
        <v>347</v>
      </c>
      <c r="G132" t="s">
        <v>2341</v>
      </c>
      <c r="H132">
        <v>1</v>
      </c>
      <c r="I132" t="s">
        <v>2853</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2341</v>
      </c>
      <c r="E133">
        <v>155</v>
      </c>
      <c r="F133">
        <v>347</v>
      </c>
      <c r="G133" t="s">
        <v>2341</v>
      </c>
      <c r="H133">
        <v>1</v>
      </c>
      <c r="I133" t="s">
        <v>2854</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2341</v>
      </c>
      <c r="E134">
        <v>155</v>
      </c>
      <c r="F134">
        <v>347</v>
      </c>
      <c r="G134" t="s">
        <v>2341</v>
      </c>
      <c r="H134">
        <v>1</v>
      </c>
      <c r="I134" t="s">
        <v>2855</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2341</v>
      </c>
      <c r="E135">
        <v>155</v>
      </c>
      <c r="F135">
        <v>347</v>
      </c>
      <c r="G135" t="s">
        <v>2341</v>
      </c>
      <c r="H135">
        <v>1</v>
      </c>
      <c r="I135" t="s">
        <v>2856</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2341</v>
      </c>
      <c r="E136">
        <v>155</v>
      </c>
      <c r="F136">
        <v>347</v>
      </c>
      <c r="G136" t="s">
        <v>2341</v>
      </c>
      <c r="H136">
        <v>1</v>
      </c>
      <c r="I136" t="s">
        <v>2857</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3157</v>
      </c>
      <c r="E137">
        <v>17</v>
      </c>
      <c r="F137">
        <v>104</v>
      </c>
      <c r="G137" t="s">
        <v>2279</v>
      </c>
      <c r="H137">
        <v>1</v>
      </c>
      <c r="I137" t="s">
        <v>2858</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2859</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2341</v>
      </c>
      <c r="E139">
        <v>155</v>
      </c>
      <c r="F139">
        <v>347</v>
      </c>
      <c r="G139" t="s">
        <v>2341</v>
      </c>
      <c r="H139">
        <v>1</v>
      </c>
      <c r="I139" t="s">
        <v>2860</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2341</v>
      </c>
      <c r="E140">
        <v>155</v>
      </c>
      <c r="F140">
        <v>347</v>
      </c>
      <c r="G140" t="s">
        <v>2341</v>
      </c>
      <c r="H140">
        <v>1</v>
      </c>
      <c r="I140" t="s">
        <v>2861</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2862</v>
      </c>
      <c r="E141">
        <v>307</v>
      </c>
      <c r="F141">
        <v>537</v>
      </c>
      <c r="G141" t="s">
        <v>2862</v>
      </c>
      <c r="H141">
        <v>1</v>
      </c>
      <c r="I141" t="s">
        <v>2863</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2862</v>
      </c>
      <c r="E142">
        <v>307</v>
      </c>
      <c r="F142">
        <v>537</v>
      </c>
      <c r="G142" t="s">
        <v>2862</v>
      </c>
      <c r="H142">
        <v>1</v>
      </c>
      <c r="I142" t="s">
        <v>2864</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2266</v>
      </c>
      <c r="E143">
        <v>18</v>
      </c>
      <c r="F143">
        <v>108</v>
      </c>
      <c r="G143" t="s">
        <v>2266</v>
      </c>
      <c r="H143">
        <v>1</v>
      </c>
      <c r="I143" t="s">
        <v>2865</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2267</v>
      </c>
      <c r="E144">
        <v>180</v>
      </c>
      <c r="F144">
        <v>382</v>
      </c>
      <c r="G144" t="s">
        <v>2267</v>
      </c>
      <c r="H144">
        <v>1</v>
      </c>
      <c r="I144" t="s">
        <v>2866</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2341</v>
      </c>
      <c r="E145">
        <v>155</v>
      </c>
      <c r="F145">
        <v>347</v>
      </c>
      <c r="G145" t="s">
        <v>2341</v>
      </c>
      <c r="H145">
        <v>1</v>
      </c>
      <c r="I145" t="s">
        <v>2867</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2341</v>
      </c>
      <c r="E146">
        <v>155</v>
      </c>
      <c r="F146">
        <v>347</v>
      </c>
      <c r="G146" t="s">
        <v>2341</v>
      </c>
      <c r="H146">
        <v>1</v>
      </c>
      <c r="I146" t="s">
        <v>2868</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2266</v>
      </c>
      <c r="E147">
        <v>18</v>
      </c>
      <c r="F147">
        <v>108</v>
      </c>
      <c r="G147" t="s">
        <v>2266</v>
      </c>
      <c r="H147">
        <v>1</v>
      </c>
      <c r="I147" t="s">
        <v>2869</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2266</v>
      </c>
      <c r="E148">
        <v>18</v>
      </c>
      <c r="F148">
        <v>108</v>
      </c>
      <c r="G148" t="s">
        <v>2266</v>
      </c>
      <c r="H148">
        <v>1</v>
      </c>
      <c r="I148" t="s">
        <v>2870</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2266</v>
      </c>
      <c r="E149">
        <v>18</v>
      </c>
      <c r="F149">
        <v>108</v>
      </c>
      <c r="G149" t="s">
        <v>2266</v>
      </c>
      <c r="H149">
        <v>1</v>
      </c>
      <c r="I149" t="s">
        <v>2871</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2266</v>
      </c>
      <c r="E150">
        <v>18</v>
      </c>
      <c r="F150">
        <v>108</v>
      </c>
      <c r="G150" t="s">
        <v>2266</v>
      </c>
      <c r="H150">
        <v>1</v>
      </c>
      <c r="I150" t="s">
        <v>2872</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2266</v>
      </c>
      <c r="E151">
        <v>18</v>
      </c>
      <c r="F151">
        <v>108</v>
      </c>
      <c r="G151" t="s">
        <v>2266</v>
      </c>
      <c r="H151">
        <v>1</v>
      </c>
      <c r="I151" t="s">
        <v>2873</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2266</v>
      </c>
      <c r="E152">
        <v>18</v>
      </c>
      <c r="F152">
        <v>108</v>
      </c>
      <c r="G152" t="s">
        <v>2266</v>
      </c>
      <c r="H152">
        <v>1</v>
      </c>
      <c r="I152" t="s">
        <v>2874</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2266</v>
      </c>
      <c r="E153">
        <v>18</v>
      </c>
      <c r="F153">
        <v>108</v>
      </c>
      <c r="G153" t="s">
        <v>2266</v>
      </c>
      <c r="H153">
        <v>1</v>
      </c>
      <c r="I153" t="s">
        <v>2875</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2266</v>
      </c>
      <c r="E154">
        <v>18</v>
      </c>
      <c r="F154">
        <v>108</v>
      </c>
      <c r="G154" t="s">
        <v>2266</v>
      </c>
      <c r="H154">
        <v>1</v>
      </c>
      <c r="I154" t="s">
        <v>2876</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3157</v>
      </c>
      <c r="E155">
        <v>17</v>
      </c>
      <c r="F155">
        <v>104</v>
      </c>
      <c r="G155" t="s">
        <v>2279</v>
      </c>
      <c r="H155">
        <v>1</v>
      </c>
      <c r="I155" t="s">
        <v>2877</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2267</v>
      </c>
      <c r="E156">
        <v>180</v>
      </c>
      <c r="F156">
        <v>382</v>
      </c>
      <c r="G156" t="s">
        <v>2267</v>
      </c>
      <c r="H156">
        <v>1</v>
      </c>
      <c r="I156" t="s">
        <v>2878</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2267</v>
      </c>
      <c r="E157">
        <v>180</v>
      </c>
      <c r="F157">
        <v>382</v>
      </c>
      <c r="G157" t="s">
        <v>2267</v>
      </c>
      <c r="H157">
        <v>1</v>
      </c>
      <c r="I157" t="s">
        <v>2879</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2267</v>
      </c>
      <c r="E158">
        <v>180</v>
      </c>
      <c r="F158">
        <v>382</v>
      </c>
      <c r="G158" t="s">
        <v>2267</v>
      </c>
      <c r="H158">
        <v>1</v>
      </c>
      <c r="I158" t="s">
        <v>2880</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2267</v>
      </c>
      <c r="E159">
        <v>180</v>
      </c>
      <c r="F159">
        <v>382</v>
      </c>
      <c r="G159" t="s">
        <v>2267</v>
      </c>
      <c r="H159">
        <v>1</v>
      </c>
      <c r="I159" t="s">
        <v>2881</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2267</v>
      </c>
      <c r="E160">
        <v>180</v>
      </c>
      <c r="F160">
        <v>382</v>
      </c>
      <c r="G160" t="s">
        <v>2267</v>
      </c>
      <c r="H160">
        <v>1</v>
      </c>
      <c r="I160" t="s">
        <v>2882</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2267</v>
      </c>
      <c r="E161">
        <v>180</v>
      </c>
      <c r="F161">
        <v>382</v>
      </c>
      <c r="G161" t="s">
        <v>2267</v>
      </c>
      <c r="H161">
        <v>1</v>
      </c>
      <c r="I161" t="s">
        <v>2883</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2267</v>
      </c>
      <c r="E162">
        <v>180</v>
      </c>
      <c r="F162">
        <v>382</v>
      </c>
      <c r="G162" t="s">
        <v>2267</v>
      </c>
      <c r="H162">
        <v>1</v>
      </c>
      <c r="I162" t="s">
        <v>3159</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2267</v>
      </c>
      <c r="E163">
        <v>180</v>
      </c>
      <c r="F163">
        <v>382</v>
      </c>
      <c r="G163" t="s">
        <v>2267</v>
      </c>
      <c r="H163">
        <v>1</v>
      </c>
      <c r="I163" t="s">
        <v>3160</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2264</v>
      </c>
      <c r="E164">
        <v>181</v>
      </c>
      <c r="F164">
        <v>383</v>
      </c>
      <c r="G164" t="s">
        <v>2264</v>
      </c>
      <c r="H164">
        <v>1</v>
      </c>
      <c r="I164" t="s">
        <v>2884</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2264</v>
      </c>
      <c r="E165">
        <v>181</v>
      </c>
      <c r="F165">
        <v>383</v>
      </c>
      <c r="G165" t="s">
        <v>2264</v>
      </c>
      <c r="H165">
        <v>1</v>
      </c>
      <c r="I165" t="s">
        <v>2885</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2264</v>
      </c>
      <c r="E166">
        <v>181</v>
      </c>
      <c r="F166">
        <v>383</v>
      </c>
      <c r="G166" t="s">
        <v>2264</v>
      </c>
      <c r="H166">
        <v>1</v>
      </c>
      <c r="I166" t="s">
        <v>2886</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2264</v>
      </c>
      <c r="E167">
        <v>181</v>
      </c>
      <c r="F167">
        <v>383</v>
      </c>
      <c r="G167" t="s">
        <v>2264</v>
      </c>
      <c r="H167">
        <v>1</v>
      </c>
      <c r="I167" t="s">
        <v>2887</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2264</v>
      </c>
      <c r="E168">
        <v>181</v>
      </c>
      <c r="F168">
        <v>383</v>
      </c>
      <c r="G168" t="s">
        <v>2264</v>
      </c>
      <c r="H168">
        <v>1</v>
      </c>
      <c r="I168" t="s">
        <v>2888</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2264</v>
      </c>
      <c r="E169">
        <v>181</v>
      </c>
      <c r="F169">
        <v>383</v>
      </c>
      <c r="G169" t="s">
        <v>2264</v>
      </c>
      <c r="H169">
        <v>1</v>
      </c>
      <c r="I169" t="s">
        <v>2889</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2890</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2284</v>
      </c>
      <c r="E171">
        <v>19</v>
      </c>
      <c r="F171">
        <v>117</v>
      </c>
      <c r="G171" t="s">
        <v>2284</v>
      </c>
      <c r="H171">
        <v>1</v>
      </c>
      <c r="I171" t="s">
        <v>2891</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3740</v>
      </c>
      <c r="E172">
        <v>110</v>
      </c>
      <c r="F172">
        <v>280</v>
      </c>
      <c r="G172" t="s">
        <v>3740</v>
      </c>
      <c r="H172">
        <v>1</v>
      </c>
      <c r="I172" t="s">
        <v>3741</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2892</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2893</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2894</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2895</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2896</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2897</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2898</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2899</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2900</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2901</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2902</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2341</v>
      </c>
      <c r="E184">
        <v>155</v>
      </c>
      <c r="F184">
        <v>347</v>
      </c>
      <c r="G184" t="s">
        <v>2341</v>
      </c>
      <c r="H184">
        <v>6</v>
      </c>
      <c r="I184" t="s">
        <v>2903</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2267</v>
      </c>
      <c r="E185">
        <v>180</v>
      </c>
      <c r="F185">
        <v>382</v>
      </c>
      <c r="G185" t="s">
        <v>2267</v>
      </c>
      <c r="H185">
        <v>6</v>
      </c>
      <c r="I185" t="s">
        <v>2904</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2905</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2283</v>
      </c>
      <c r="E187">
        <v>16</v>
      </c>
      <c r="F187">
        <v>103</v>
      </c>
      <c r="G187" t="s">
        <v>2283</v>
      </c>
      <c r="H187">
        <v>6</v>
      </c>
      <c r="I187" t="s">
        <v>2906</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2907</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2281</v>
      </c>
      <c r="E189">
        <v>4</v>
      </c>
      <c r="F189">
        <v>19</v>
      </c>
      <c r="G189" t="s">
        <v>2281</v>
      </c>
      <c r="H189">
        <v>6</v>
      </c>
      <c r="I189" t="s">
        <v>3742</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2280</v>
      </c>
      <c r="E190">
        <v>5</v>
      </c>
      <c r="F190">
        <v>20</v>
      </c>
      <c r="G190" t="s">
        <v>2280</v>
      </c>
      <c r="H190">
        <v>6</v>
      </c>
      <c r="I190" t="s">
        <v>2908</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2264</v>
      </c>
      <c r="E191">
        <v>181</v>
      </c>
      <c r="F191">
        <v>383</v>
      </c>
      <c r="G191" t="s">
        <v>2264</v>
      </c>
      <c r="H191">
        <v>6</v>
      </c>
      <c r="I191" t="s">
        <v>2909</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2284</v>
      </c>
      <c r="E192">
        <v>19</v>
      </c>
      <c r="F192">
        <v>117</v>
      </c>
      <c r="G192" t="s">
        <v>2284</v>
      </c>
      <c r="H192">
        <v>6</v>
      </c>
      <c r="I192" t="s">
        <v>2910</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2911</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2912</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2282</v>
      </c>
      <c r="E195">
        <v>15</v>
      </c>
      <c r="F195">
        <v>101</v>
      </c>
      <c r="G195" t="s">
        <v>2282</v>
      </c>
      <c r="H195">
        <v>6</v>
      </c>
      <c r="I195" t="s">
        <v>3221</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3157</v>
      </c>
      <c r="E196">
        <v>17</v>
      </c>
      <c r="F196">
        <v>104</v>
      </c>
      <c r="G196" t="s">
        <v>2279</v>
      </c>
      <c r="H196">
        <v>6</v>
      </c>
      <c r="I196" t="s">
        <v>2913</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2266</v>
      </c>
      <c r="E197">
        <v>18</v>
      </c>
      <c r="F197">
        <v>108</v>
      </c>
      <c r="G197" t="s">
        <v>2266</v>
      </c>
      <c r="H197">
        <v>6</v>
      </c>
      <c r="I197" t="s">
        <v>2914</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2915</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2916</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2917</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2918</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2919</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2920</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2921</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2922</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2923</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2264</v>
      </c>
      <c r="E207">
        <v>181</v>
      </c>
      <c r="F207">
        <v>383</v>
      </c>
      <c r="G207" t="s">
        <v>2264</v>
      </c>
      <c r="H207">
        <v>1</v>
      </c>
      <c r="I207" t="s">
        <v>2924</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2280</v>
      </c>
      <c r="E208">
        <v>5</v>
      </c>
      <c r="F208">
        <v>20</v>
      </c>
      <c r="G208" t="s">
        <v>2280</v>
      </c>
      <c r="H208">
        <v>1</v>
      </c>
      <c r="I208" t="s">
        <v>2925</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2926</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2926</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2285</v>
      </c>
      <c r="E211">
        <v>9</v>
      </c>
      <c r="F211">
        <v>41</v>
      </c>
      <c r="G211" t="s">
        <v>2285</v>
      </c>
      <c r="H211">
        <v>1</v>
      </c>
      <c r="I211" t="s">
        <v>2926</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2264</v>
      </c>
      <c r="E212">
        <v>181</v>
      </c>
      <c r="F212">
        <v>383</v>
      </c>
      <c r="G212" t="s">
        <v>2264</v>
      </c>
      <c r="H212">
        <v>1</v>
      </c>
      <c r="I212" t="s">
        <v>2927</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2264</v>
      </c>
      <c r="E213">
        <v>181</v>
      </c>
      <c r="F213">
        <v>383</v>
      </c>
      <c r="G213" t="s">
        <v>2264</v>
      </c>
      <c r="H213">
        <v>1</v>
      </c>
      <c r="I213" t="s">
        <v>2928</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2929</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2342</v>
      </c>
      <c r="E215">
        <v>501</v>
      </c>
      <c r="F215">
        <v>888</v>
      </c>
      <c r="G215" t="s">
        <v>2342</v>
      </c>
      <c r="H215">
        <v>1</v>
      </c>
      <c r="I215" t="s">
        <v>3743</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2342</v>
      </c>
      <c r="E216">
        <v>501</v>
      </c>
      <c r="F216">
        <v>888</v>
      </c>
      <c r="G216" t="s">
        <v>2342</v>
      </c>
      <c r="H216">
        <v>1</v>
      </c>
      <c r="I216" t="s">
        <v>3744</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2342</v>
      </c>
      <c r="E217">
        <v>501</v>
      </c>
      <c r="F217">
        <v>888</v>
      </c>
      <c r="G217" t="s">
        <v>2342</v>
      </c>
      <c r="H217">
        <v>1</v>
      </c>
      <c r="I217" t="s">
        <v>3745</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2342</v>
      </c>
      <c r="E218">
        <v>501</v>
      </c>
      <c r="F218">
        <v>888</v>
      </c>
      <c r="G218" t="s">
        <v>2342</v>
      </c>
      <c r="H218">
        <v>1</v>
      </c>
      <c r="I218" t="s">
        <v>3746</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2342</v>
      </c>
      <c r="E219">
        <v>501</v>
      </c>
      <c r="F219">
        <v>888</v>
      </c>
      <c r="G219" t="s">
        <v>2342</v>
      </c>
      <c r="H219">
        <v>1</v>
      </c>
      <c r="I219" t="s">
        <v>3747</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2342</v>
      </c>
      <c r="E220">
        <v>501</v>
      </c>
      <c r="F220">
        <v>888</v>
      </c>
      <c r="G220" t="s">
        <v>2342</v>
      </c>
      <c r="H220">
        <v>1</v>
      </c>
      <c r="I220" t="s">
        <v>3748</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2342</v>
      </c>
      <c r="E221">
        <v>501</v>
      </c>
      <c r="F221">
        <v>888</v>
      </c>
      <c r="G221" t="s">
        <v>2342</v>
      </c>
      <c r="H221">
        <v>1</v>
      </c>
      <c r="I221" t="s">
        <v>3749</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2342</v>
      </c>
      <c r="E222">
        <v>501</v>
      </c>
      <c r="F222">
        <v>888</v>
      </c>
      <c r="G222" t="s">
        <v>2342</v>
      </c>
      <c r="H222">
        <v>1</v>
      </c>
      <c r="I222" t="s">
        <v>3750</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2342</v>
      </c>
      <c r="E223">
        <v>501</v>
      </c>
      <c r="F223">
        <v>888</v>
      </c>
      <c r="G223" t="s">
        <v>2342</v>
      </c>
      <c r="H223">
        <v>3</v>
      </c>
      <c r="I223" t="s">
        <v>3751</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2342</v>
      </c>
      <c r="E224">
        <v>501</v>
      </c>
      <c r="F224">
        <v>888</v>
      </c>
      <c r="G224" t="s">
        <v>2342</v>
      </c>
      <c r="H224">
        <v>3</v>
      </c>
      <c r="I224" t="s">
        <v>3752</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2342</v>
      </c>
      <c r="E225">
        <v>501</v>
      </c>
      <c r="F225">
        <v>888</v>
      </c>
      <c r="G225" t="s">
        <v>2342</v>
      </c>
      <c r="H225">
        <v>3</v>
      </c>
      <c r="I225" t="s">
        <v>3753</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2342</v>
      </c>
      <c r="E226">
        <v>501</v>
      </c>
      <c r="F226">
        <v>888</v>
      </c>
      <c r="G226" t="s">
        <v>2342</v>
      </c>
      <c r="H226">
        <v>1</v>
      </c>
      <c r="I226" t="s">
        <v>3754</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2342</v>
      </c>
      <c r="E227">
        <v>501</v>
      </c>
      <c r="F227">
        <v>888</v>
      </c>
      <c r="G227" t="s">
        <v>2342</v>
      </c>
      <c r="H227">
        <v>1</v>
      </c>
      <c r="I227" t="s">
        <v>3755</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2342</v>
      </c>
      <c r="E228">
        <v>501</v>
      </c>
      <c r="F228">
        <v>888</v>
      </c>
      <c r="G228" t="s">
        <v>2342</v>
      </c>
      <c r="H228">
        <v>1</v>
      </c>
      <c r="I228" t="s">
        <v>3756</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2930</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2004</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2005</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2006</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2007</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2008</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2009</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2010</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2011</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2012</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2013</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2931</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2286</v>
      </c>
      <c r="E243">
        <v>449</v>
      </c>
      <c r="F243">
        <v>823</v>
      </c>
      <c r="G243" t="s">
        <v>2932</v>
      </c>
      <c r="H243">
        <v>1</v>
      </c>
      <c r="I243" t="s">
        <v>2933</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2286</v>
      </c>
      <c r="E244">
        <v>449</v>
      </c>
      <c r="F244">
        <v>823</v>
      </c>
      <c r="G244" t="s">
        <v>2932</v>
      </c>
      <c r="H244">
        <v>1</v>
      </c>
      <c r="I244" t="s">
        <v>2934</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2286</v>
      </c>
      <c r="E245">
        <v>449</v>
      </c>
      <c r="F245">
        <v>823</v>
      </c>
      <c r="G245" t="s">
        <v>2932</v>
      </c>
      <c r="H245">
        <v>1</v>
      </c>
      <c r="I245" t="s">
        <v>2935</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2286</v>
      </c>
      <c r="E246">
        <v>449</v>
      </c>
      <c r="F246">
        <v>823</v>
      </c>
      <c r="G246" t="s">
        <v>2932</v>
      </c>
      <c r="H246">
        <v>1</v>
      </c>
      <c r="I246" t="s">
        <v>2936</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2287</v>
      </c>
      <c r="E247">
        <v>443</v>
      </c>
      <c r="F247">
        <v>816</v>
      </c>
      <c r="G247" t="s">
        <v>2287</v>
      </c>
      <c r="H247">
        <v>1</v>
      </c>
      <c r="I247" t="s">
        <v>2937</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2287</v>
      </c>
      <c r="E248">
        <v>443</v>
      </c>
      <c r="F248">
        <v>816</v>
      </c>
      <c r="G248" t="s">
        <v>2287</v>
      </c>
      <c r="H248">
        <v>1</v>
      </c>
      <c r="I248" t="s">
        <v>2938</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2287</v>
      </c>
      <c r="E249">
        <v>443</v>
      </c>
      <c r="F249">
        <v>816</v>
      </c>
      <c r="G249" t="s">
        <v>2287</v>
      </c>
      <c r="H249">
        <v>1</v>
      </c>
      <c r="I249" t="s">
        <v>2939</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2267</v>
      </c>
      <c r="E250">
        <v>180</v>
      </c>
      <c r="F250">
        <v>382</v>
      </c>
      <c r="G250" t="s">
        <v>2267</v>
      </c>
      <c r="H250">
        <v>3</v>
      </c>
      <c r="I250" t="s">
        <v>2940</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2284</v>
      </c>
      <c r="E251">
        <v>19</v>
      </c>
      <c r="F251">
        <v>117</v>
      </c>
      <c r="G251" t="s">
        <v>2284</v>
      </c>
      <c r="H251">
        <v>6</v>
      </c>
      <c r="I251" t="s">
        <v>2941</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2284</v>
      </c>
      <c r="E252">
        <v>19</v>
      </c>
      <c r="F252">
        <v>117</v>
      </c>
      <c r="G252" t="s">
        <v>2284</v>
      </c>
      <c r="H252">
        <v>6</v>
      </c>
      <c r="I252" t="s">
        <v>2942</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2943</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2281</v>
      </c>
      <c r="E254">
        <v>4</v>
      </c>
      <c r="F254">
        <v>19</v>
      </c>
      <c r="G254" t="s">
        <v>2281</v>
      </c>
      <c r="H254">
        <v>6</v>
      </c>
      <c r="I254" t="s">
        <v>3757</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2944</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2264</v>
      </c>
      <c r="E256">
        <v>181</v>
      </c>
      <c r="F256">
        <v>383</v>
      </c>
      <c r="G256" t="s">
        <v>2264</v>
      </c>
      <c r="H256">
        <v>6</v>
      </c>
      <c r="I256" t="s">
        <v>2945</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2285</v>
      </c>
      <c r="E257">
        <v>9</v>
      </c>
      <c r="F257">
        <v>41</v>
      </c>
      <c r="G257" t="s">
        <v>2285</v>
      </c>
      <c r="H257">
        <v>6</v>
      </c>
      <c r="I257" t="s">
        <v>2946</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2947</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2266</v>
      </c>
      <c r="E259">
        <v>18</v>
      </c>
      <c r="F259">
        <v>108</v>
      </c>
      <c r="G259" t="s">
        <v>2266</v>
      </c>
      <c r="H259">
        <v>6</v>
      </c>
      <c r="I259" t="s">
        <v>2948</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2280</v>
      </c>
      <c r="E260">
        <v>5</v>
      </c>
      <c r="F260">
        <v>20</v>
      </c>
      <c r="G260" t="s">
        <v>2280</v>
      </c>
      <c r="H260">
        <v>6</v>
      </c>
      <c r="I260" t="s">
        <v>2949</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2342</v>
      </c>
      <c r="E261">
        <v>501</v>
      </c>
      <c r="F261">
        <v>888</v>
      </c>
      <c r="G261" t="s">
        <v>2342</v>
      </c>
      <c r="H261">
        <v>2</v>
      </c>
      <c r="I261" t="s">
        <v>3758</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2950</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2951</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3161</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2952</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2953</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2954</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2955</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2956</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2957</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2958</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2959</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2960</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2961</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3157</v>
      </c>
      <c r="E275">
        <v>17</v>
      </c>
      <c r="F275">
        <v>104</v>
      </c>
      <c r="G275" t="s">
        <v>2279</v>
      </c>
      <c r="H275">
        <v>7</v>
      </c>
      <c r="I275" t="s">
        <v>2962</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2963</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2964</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2965</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2285</v>
      </c>
      <c r="E279">
        <v>9</v>
      </c>
      <c r="F279">
        <v>41</v>
      </c>
      <c r="G279" t="s">
        <v>2285</v>
      </c>
      <c r="H279">
        <v>7</v>
      </c>
      <c r="I279" t="s">
        <v>2966</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2267</v>
      </c>
      <c r="E280">
        <v>180</v>
      </c>
      <c r="F280">
        <v>382</v>
      </c>
      <c r="G280" t="s">
        <v>2267</v>
      </c>
      <c r="H280">
        <v>7</v>
      </c>
      <c r="I280" t="s">
        <v>2967</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2968</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2285</v>
      </c>
      <c r="E282">
        <v>9</v>
      </c>
      <c r="F282">
        <v>41</v>
      </c>
      <c r="G282" t="s">
        <v>2285</v>
      </c>
      <c r="H282">
        <v>7</v>
      </c>
      <c r="I282" t="s">
        <v>2969</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2970</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2971</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2264</v>
      </c>
      <c r="E285">
        <v>181</v>
      </c>
      <c r="F285">
        <v>383</v>
      </c>
      <c r="G285" t="s">
        <v>2264</v>
      </c>
      <c r="H285">
        <v>7</v>
      </c>
      <c r="I285" t="s">
        <v>2972</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3162</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2285</v>
      </c>
      <c r="E287">
        <v>9</v>
      </c>
      <c r="F287">
        <v>41</v>
      </c>
      <c r="G287" t="s">
        <v>2285</v>
      </c>
      <c r="H287">
        <v>7</v>
      </c>
      <c r="I287" t="s">
        <v>2973</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2974</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2862</v>
      </c>
      <c r="E289">
        <v>307</v>
      </c>
      <c r="F289">
        <v>537</v>
      </c>
      <c r="G289" t="s">
        <v>2862</v>
      </c>
      <c r="H289">
        <v>7</v>
      </c>
      <c r="I289" t="s">
        <v>2975</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2283</v>
      </c>
      <c r="E290">
        <v>16</v>
      </c>
      <c r="F290">
        <v>103</v>
      </c>
      <c r="G290" t="s">
        <v>2283</v>
      </c>
      <c r="H290">
        <v>7</v>
      </c>
      <c r="I290" t="s">
        <v>2976</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2281</v>
      </c>
      <c r="E291">
        <v>4</v>
      </c>
      <c r="F291">
        <v>19</v>
      </c>
      <c r="G291" t="s">
        <v>2281</v>
      </c>
      <c r="H291">
        <v>7</v>
      </c>
      <c r="I291" t="s">
        <v>3759</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2977</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2266</v>
      </c>
      <c r="E293">
        <v>18</v>
      </c>
      <c r="F293">
        <v>108</v>
      </c>
      <c r="G293" t="s">
        <v>2266</v>
      </c>
      <c r="H293">
        <v>7</v>
      </c>
      <c r="I293" t="s">
        <v>2978</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2284</v>
      </c>
      <c r="E294">
        <v>19</v>
      </c>
      <c r="F294">
        <v>117</v>
      </c>
      <c r="G294" t="s">
        <v>2284</v>
      </c>
      <c r="H294">
        <v>7</v>
      </c>
      <c r="I294" t="s">
        <v>2979</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2266</v>
      </c>
      <c r="E295">
        <v>18</v>
      </c>
      <c r="F295">
        <v>108</v>
      </c>
      <c r="G295" t="s">
        <v>2266</v>
      </c>
      <c r="H295">
        <v>7</v>
      </c>
      <c r="I295" t="s">
        <v>2980</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2280</v>
      </c>
      <c r="E296">
        <v>5</v>
      </c>
      <c r="F296">
        <v>20</v>
      </c>
      <c r="G296" t="s">
        <v>2280</v>
      </c>
      <c r="H296">
        <v>7</v>
      </c>
      <c r="I296" t="s">
        <v>2981</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2982</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2342</v>
      </c>
      <c r="E298">
        <v>501</v>
      </c>
      <c r="F298">
        <v>888</v>
      </c>
      <c r="G298" t="s">
        <v>2342</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2267</v>
      </c>
      <c r="E299">
        <v>180</v>
      </c>
      <c r="F299">
        <v>382</v>
      </c>
      <c r="G299" t="s">
        <v>2267</v>
      </c>
      <c r="H299">
        <v>7</v>
      </c>
      <c r="I299" t="s">
        <v>2983</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2282</v>
      </c>
      <c r="E300">
        <v>15</v>
      </c>
      <c r="F300">
        <v>101</v>
      </c>
      <c r="G300" t="s">
        <v>2282</v>
      </c>
      <c r="H300">
        <v>7</v>
      </c>
      <c r="I300" t="s">
        <v>3226</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2984</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3157</v>
      </c>
      <c r="E302">
        <v>17</v>
      </c>
      <c r="F302">
        <v>104</v>
      </c>
      <c r="G302" t="s">
        <v>2279</v>
      </c>
      <c r="H302">
        <v>7</v>
      </c>
      <c r="I302" t="s">
        <v>2985</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2986</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2284</v>
      </c>
      <c r="E304">
        <v>19</v>
      </c>
      <c r="F304">
        <v>117</v>
      </c>
      <c r="G304" t="s">
        <v>2284</v>
      </c>
      <c r="H304">
        <v>7</v>
      </c>
      <c r="I304" t="s">
        <v>2987</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2264</v>
      </c>
      <c r="E305">
        <v>181</v>
      </c>
      <c r="F305">
        <v>383</v>
      </c>
      <c r="G305" t="s">
        <v>2264</v>
      </c>
      <c r="H305">
        <v>7</v>
      </c>
      <c r="I305" t="s">
        <v>2988</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2281</v>
      </c>
      <c r="E306">
        <v>4</v>
      </c>
      <c r="F306">
        <v>19</v>
      </c>
      <c r="G306" t="s">
        <v>2281</v>
      </c>
      <c r="H306">
        <v>7</v>
      </c>
      <c r="I306" t="s">
        <v>3760</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2267</v>
      </c>
      <c r="E308">
        <v>180</v>
      </c>
      <c r="F308">
        <v>382</v>
      </c>
      <c r="G308" t="s">
        <v>2267</v>
      </c>
      <c r="H308">
        <v>7</v>
      </c>
      <c r="I308" t="s">
        <v>2989</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2267</v>
      </c>
      <c r="E309">
        <v>180</v>
      </c>
      <c r="F309">
        <v>382</v>
      </c>
      <c r="G309" t="s">
        <v>2267</v>
      </c>
      <c r="H309">
        <v>7</v>
      </c>
      <c r="I309" t="s">
        <v>2990</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2283</v>
      </c>
      <c r="E310">
        <v>16</v>
      </c>
      <c r="F310">
        <v>103</v>
      </c>
      <c r="G310" t="s">
        <v>2283</v>
      </c>
      <c r="H310">
        <v>7</v>
      </c>
      <c r="I310" t="s">
        <v>2991</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2992</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2993</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2264</v>
      </c>
      <c r="E313">
        <v>181</v>
      </c>
      <c r="F313">
        <v>383</v>
      </c>
      <c r="G313" t="s">
        <v>2264</v>
      </c>
      <c r="H313">
        <v>7</v>
      </c>
      <c r="I313" t="s">
        <v>2994</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2342</v>
      </c>
      <c r="E314">
        <v>501</v>
      </c>
      <c r="F314">
        <v>888</v>
      </c>
      <c r="G314" t="s">
        <v>2342</v>
      </c>
      <c r="H314">
        <v>6</v>
      </c>
      <c r="I314" t="s">
        <v>3761</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2342</v>
      </c>
      <c r="E315">
        <v>501</v>
      </c>
      <c r="F315">
        <v>888</v>
      </c>
      <c r="G315" t="s">
        <v>2342</v>
      </c>
      <c r="H315">
        <v>7</v>
      </c>
      <c r="I315" t="s">
        <v>3762</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2995</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2996</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2997</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2998</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2342</v>
      </c>
      <c r="E320">
        <v>501</v>
      </c>
      <c r="F320">
        <v>888</v>
      </c>
      <c r="G320" t="s">
        <v>2342</v>
      </c>
      <c r="H320">
        <v>6</v>
      </c>
      <c r="I320" t="s">
        <v>3763</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2999</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3000</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3001</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2290</v>
      </c>
      <c r="E325">
        <v>590</v>
      </c>
      <c r="F325">
        <v>980</v>
      </c>
      <c r="G325" t="s">
        <v>3002</v>
      </c>
      <c r="H325">
        <v>1</v>
      </c>
      <c r="I325" t="s">
        <v>3003</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2290</v>
      </c>
      <c r="E326">
        <v>590</v>
      </c>
      <c r="F326">
        <v>980</v>
      </c>
      <c r="G326" t="s">
        <v>3002</v>
      </c>
      <c r="H326">
        <v>1</v>
      </c>
      <c r="I326" t="s">
        <v>3004</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2290</v>
      </c>
      <c r="E327">
        <v>590</v>
      </c>
      <c r="F327">
        <v>980</v>
      </c>
      <c r="G327" t="s">
        <v>3002</v>
      </c>
      <c r="H327">
        <v>1</v>
      </c>
      <c r="I327" t="s">
        <v>3005</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2290</v>
      </c>
      <c r="E328">
        <v>590</v>
      </c>
      <c r="F328">
        <v>980</v>
      </c>
      <c r="G328" t="s">
        <v>3002</v>
      </c>
      <c r="H328">
        <v>1</v>
      </c>
      <c r="I328" t="s">
        <v>3006</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3007</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3008</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2286</v>
      </c>
      <c r="E331">
        <v>449</v>
      </c>
      <c r="F331">
        <v>823</v>
      </c>
      <c r="G331" t="s">
        <v>2932</v>
      </c>
      <c r="H331">
        <v>7</v>
      </c>
      <c r="I331" t="s">
        <v>3009</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2341</v>
      </c>
      <c r="E332">
        <v>155</v>
      </c>
      <c r="F332">
        <v>347</v>
      </c>
      <c r="G332" t="s">
        <v>2341</v>
      </c>
      <c r="H332">
        <v>7</v>
      </c>
      <c r="I332" t="s">
        <v>3010</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2342</v>
      </c>
      <c r="E333">
        <v>501</v>
      </c>
      <c r="F333">
        <v>888</v>
      </c>
      <c r="G333" t="s">
        <v>2342</v>
      </c>
      <c r="H333">
        <v>7</v>
      </c>
      <c r="I333" t="s">
        <v>3764</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2290</v>
      </c>
      <c r="E334">
        <v>590</v>
      </c>
      <c r="F334">
        <v>980</v>
      </c>
      <c r="G334" t="s">
        <v>3002</v>
      </c>
      <c r="H334">
        <v>3</v>
      </c>
      <c r="I334" t="s">
        <v>3011</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2290</v>
      </c>
      <c r="E335">
        <v>590</v>
      </c>
      <c r="F335">
        <v>980</v>
      </c>
      <c r="G335" t="s">
        <v>3002</v>
      </c>
      <c r="H335">
        <v>7</v>
      </c>
      <c r="I335" t="s">
        <v>3012</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2289</v>
      </c>
      <c r="E337">
        <v>617</v>
      </c>
      <c r="F337">
        <v>1011</v>
      </c>
      <c r="G337" t="s">
        <v>2289</v>
      </c>
      <c r="H337">
        <v>1</v>
      </c>
      <c r="I337" t="s">
        <v>3013</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2289</v>
      </c>
      <c r="E338">
        <v>617</v>
      </c>
      <c r="F338">
        <v>1011</v>
      </c>
      <c r="G338" t="s">
        <v>2289</v>
      </c>
      <c r="H338">
        <v>1</v>
      </c>
      <c r="I338" t="s">
        <v>3014</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2289</v>
      </c>
      <c r="E339">
        <v>617</v>
      </c>
      <c r="F339">
        <v>1011</v>
      </c>
      <c r="G339" t="s">
        <v>2289</v>
      </c>
      <c r="H339">
        <v>1</v>
      </c>
      <c r="I339" t="s">
        <v>3015</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2289</v>
      </c>
      <c r="E340">
        <v>617</v>
      </c>
      <c r="F340">
        <v>1011</v>
      </c>
      <c r="G340" t="s">
        <v>2289</v>
      </c>
      <c r="H340">
        <v>1</v>
      </c>
      <c r="I340" t="s">
        <v>3016</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2289</v>
      </c>
      <c r="E341">
        <v>617</v>
      </c>
      <c r="F341">
        <v>1011</v>
      </c>
      <c r="G341" t="s">
        <v>2289</v>
      </c>
      <c r="H341">
        <v>1</v>
      </c>
      <c r="I341" t="s">
        <v>3017</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2289</v>
      </c>
      <c r="E342">
        <v>617</v>
      </c>
      <c r="F342">
        <v>1011</v>
      </c>
      <c r="G342" t="s">
        <v>2289</v>
      </c>
      <c r="H342">
        <v>1</v>
      </c>
      <c r="I342" t="s">
        <v>3018</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2289</v>
      </c>
      <c r="E343">
        <v>617</v>
      </c>
      <c r="F343">
        <v>1011</v>
      </c>
      <c r="G343" t="s">
        <v>2289</v>
      </c>
      <c r="H343">
        <v>1</v>
      </c>
      <c r="I343" t="s">
        <v>3019</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2289</v>
      </c>
      <c r="E344">
        <v>617</v>
      </c>
      <c r="F344">
        <v>1011</v>
      </c>
      <c r="G344" t="s">
        <v>2289</v>
      </c>
      <c r="H344">
        <v>1</v>
      </c>
      <c r="I344" t="s">
        <v>3020</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2289</v>
      </c>
      <c r="E345">
        <v>617</v>
      </c>
      <c r="F345">
        <v>1011</v>
      </c>
      <c r="G345" t="s">
        <v>2289</v>
      </c>
      <c r="H345">
        <v>1</v>
      </c>
      <c r="I345" t="s">
        <v>3021</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2289</v>
      </c>
      <c r="E346">
        <v>617</v>
      </c>
      <c r="F346">
        <v>1011</v>
      </c>
      <c r="G346" t="s">
        <v>2289</v>
      </c>
      <c r="H346">
        <v>1</v>
      </c>
      <c r="I346" t="s">
        <v>3022</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2289</v>
      </c>
      <c r="E347">
        <v>617</v>
      </c>
      <c r="F347">
        <v>1011</v>
      </c>
      <c r="G347" t="s">
        <v>2289</v>
      </c>
      <c r="H347">
        <v>1</v>
      </c>
      <c r="I347" t="s">
        <v>3023</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3024</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2287</v>
      </c>
      <c r="E349">
        <v>443</v>
      </c>
      <c r="F349">
        <v>816</v>
      </c>
      <c r="G349" t="s">
        <v>2287</v>
      </c>
      <c r="H349">
        <v>7</v>
      </c>
      <c r="I349" t="s">
        <v>3025</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2286</v>
      </c>
      <c r="E350">
        <v>449</v>
      </c>
      <c r="F350">
        <v>823</v>
      </c>
      <c r="G350" t="s">
        <v>2932</v>
      </c>
      <c r="H350">
        <v>7</v>
      </c>
      <c r="I350" t="s">
        <v>3026</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2281</v>
      </c>
      <c r="E351">
        <v>4</v>
      </c>
      <c r="F351">
        <v>19</v>
      </c>
      <c r="G351" t="s">
        <v>2281</v>
      </c>
      <c r="H351">
        <v>6</v>
      </c>
      <c r="I351" t="s">
        <v>3765</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2289</v>
      </c>
      <c r="E352">
        <v>617</v>
      </c>
      <c r="F352">
        <v>1011</v>
      </c>
      <c r="G352" t="s">
        <v>2289</v>
      </c>
      <c r="H352">
        <v>3</v>
      </c>
      <c r="I352" t="s">
        <v>3027</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2289</v>
      </c>
      <c r="E353">
        <v>617</v>
      </c>
      <c r="F353">
        <v>1011</v>
      </c>
      <c r="G353" t="s">
        <v>2289</v>
      </c>
      <c r="H353">
        <v>1</v>
      </c>
      <c r="I353" t="s">
        <v>3028</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2289</v>
      </c>
      <c r="E354">
        <v>617</v>
      </c>
      <c r="F354">
        <v>1011</v>
      </c>
      <c r="G354" t="s">
        <v>2289</v>
      </c>
      <c r="H354">
        <v>7</v>
      </c>
      <c r="I354" t="s">
        <v>3029</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2289</v>
      </c>
      <c r="E355">
        <v>617</v>
      </c>
      <c r="F355">
        <v>1011</v>
      </c>
      <c r="G355" t="s">
        <v>2289</v>
      </c>
      <c r="H355">
        <v>7</v>
      </c>
      <c r="I355" t="s">
        <v>3030</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2289</v>
      </c>
      <c r="E356">
        <v>617</v>
      </c>
      <c r="F356">
        <v>1011</v>
      </c>
      <c r="G356" t="s">
        <v>2289</v>
      </c>
      <c r="H356">
        <v>7</v>
      </c>
      <c r="I356" t="s">
        <v>3031</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2289</v>
      </c>
      <c r="E357">
        <v>617</v>
      </c>
      <c r="F357">
        <v>1011</v>
      </c>
      <c r="G357" t="s">
        <v>2289</v>
      </c>
      <c r="H357">
        <v>1</v>
      </c>
      <c r="I357" t="s">
        <v>3032</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2266</v>
      </c>
      <c r="E358">
        <v>18</v>
      </c>
      <c r="F358">
        <v>108</v>
      </c>
      <c r="G358" t="s">
        <v>2266</v>
      </c>
      <c r="H358">
        <v>6</v>
      </c>
      <c r="I358" t="s">
        <v>3033</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2267</v>
      </c>
      <c r="E359">
        <v>180</v>
      </c>
      <c r="F359">
        <v>382</v>
      </c>
      <c r="G359" t="s">
        <v>2267</v>
      </c>
      <c r="H359">
        <v>6</v>
      </c>
      <c r="I359" t="s">
        <v>3034</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2283</v>
      </c>
      <c r="E360">
        <v>16</v>
      </c>
      <c r="F360">
        <v>103</v>
      </c>
      <c r="G360" t="s">
        <v>2283</v>
      </c>
      <c r="H360">
        <v>7</v>
      </c>
      <c r="I360" t="s">
        <v>3035</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3036</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2292</v>
      </c>
      <c r="E362">
        <v>408</v>
      </c>
      <c r="F362">
        <v>726</v>
      </c>
      <c r="G362" t="s">
        <v>2292</v>
      </c>
      <c r="H362">
        <v>1</v>
      </c>
      <c r="I362" t="s">
        <v>3037</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2292</v>
      </c>
      <c r="E363">
        <v>408</v>
      </c>
      <c r="F363">
        <v>726</v>
      </c>
      <c r="G363" t="s">
        <v>2292</v>
      </c>
      <c r="H363">
        <v>1</v>
      </c>
      <c r="I363" t="s">
        <v>3038</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2292</v>
      </c>
      <c r="E364">
        <v>408</v>
      </c>
      <c r="F364">
        <v>726</v>
      </c>
      <c r="G364" t="s">
        <v>2292</v>
      </c>
      <c r="H364">
        <v>1</v>
      </c>
      <c r="I364" t="s">
        <v>3039</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2292</v>
      </c>
      <c r="E365">
        <v>408</v>
      </c>
      <c r="F365">
        <v>726</v>
      </c>
      <c r="G365" t="s">
        <v>2292</v>
      </c>
      <c r="H365">
        <v>1</v>
      </c>
      <c r="I365" t="s">
        <v>3040</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2292</v>
      </c>
      <c r="E366">
        <v>408</v>
      </c>
      <c r="F366">
        <v>726</v>
      </c>
      <c r="G366" t="s">
        <v>2292</v>
      </c>
      <c r="H366">
        <v>6</v>
      </c>
      <c r="I366" t="s">
        <v>3041</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2292</v>
      </c>
      <c r="E367">
        <v>408</v>
      </c>
      <c r="F367">
        <v>726</v>
      </c>
      <c r="G367" t="s">
        <v>2292</v>
      </c>
      <c r="H367">
        <v>1</v>
      </c>
      <c r="I367" t="s">
        <v>3042</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2282</v>
      </c>
      <c r="E368">
        <v>15</v>
      </c>
      <c r="F368">
        <v>101</v>
      </c>
      <c r="G368" t="s">
        <v>2282</v>
      </c>
      <c r="H368">
        <v>7</v>
      </c>
      <c r="I368" t="s">
        <v>3230</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3043</v>
      </c>
      <c r="E369">
        <v>682</v>
      </c>
      <c r="F369">
        <v>1086</v>
      </c>
      <c r="G369" t="s">
        <v>3043</v>
      </c>
      <c r="H369">
        <v>1</v>
      </c>
      <c r="I369" t="s">
        <v>3044</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3043</v>
      </c>
      <c r="E370">
        <v>682</v>
      </c>
      <c r="F370">
        <v>1086</v>
      </c>
      <c r="G370" t="s">
        <v>3043</v>
      </c>
      <c r="H370">
        <v>1</v>
      </c>
      <c r="I370" t="s">
        <v>3045</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3043</v>
      </c>
      <c r="E371">
        <v>682</v>
      </c>
      <c r="F371">
        <v>1086</v>
      </c>
      <c r="G371" t="s">
        <v>3043</v>
      </c>
      <c r="H371">
        <v>1</v>
      </c>
      <c r="I371" t="s">
        <v>3046</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3043</v>
      </c>
      <c r="E372">
        <v>682</v>
      </c>
      <c r="F372">
        <v>1086</v>
      </c>
      <c r="G372" t="s">
        <v>3043</v>
      </c>
      <c r="H372">
        <v>1</v>
      </c>
      <c r="I372" t="s">
        <v>3047</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3043</v>
      </c>
      <c r="E373">
        <v>682</v>
      </c>
      <c r="F373">
        <v>1086</v>
      </c>
      <c r="G373" t="s">
        <v>3043</v>
      </c>
      <c r="H373">
        <v>1</v>
      </c>
      <c r="I373" t="s">
        <v>3048</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3043</v>
      </c>
      <c r="E374">
        <v>682</v>
      </c>
      <c r="F374">
        <v>1086</v>
      </c>
      <c r="G374" t="s">
        <v>3043</v>
      </c>
      <c r="H374">
        <v>1</v>
      </c>
      <c r="I374" t="s">
        <v>3049</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2292</v>
      </c>
      <c r="E375">
        <v>408</v>
      </c>
      <c r="F375">
        <v>726</v>
      </c>
      <c r="G375" t="s">
        <v>2292</v>
      </c>
      <c r="H375">
        <v>7</v>
      </c>
      <c r="I375" t="s">
        <v>3050</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2282</v>
      </c>
      <c r="E376">
        <v>15</v>
      </c>
      <c r="F376">
        <v>101</v>
      </c>
      <c r="G376" t="s">
        <v>2282</v>
      </c>
      <c r="H376">
        <v>6</v>
      </c>
      <c r="I376" t="s">
        <v>3223</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2286</v>
      </c>
      <c r="E377">
        <v>449</v>
      </c>
      <c r="F377">
        <v>823</v>
      </c>
      <c r="G377" t="s">
        <v>2932</v>
      </c>
      <c r="H377">
        <v>6</v>
      </c>
      <c r="I377" t="s">
        <v>3051</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3043</v>
      </c>
      <c r="E378">
        <v>682</v>
      </c>
      <c r="F378">
        <v>1086</v>
      </c>
      <c r="G378" t="s">
        <v>3043</v>
      </c>
      <c r="H378">
        <v>6</v>
      </c>
      <c r="I378" t="s">
        <v>3052</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2282</v>
      </c>
      <c r="E379">
        <v>15</v>
      </c>
      <c r="F379">
        <v>101</v>
      </c>
      <c r="G379" t="s">
        <v>2282</v>
      </c>
      <c r="H379">
        <v>7</v>
      </c>
      <c r="I379" t="s">
        <v>3220</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2342</v>
      </c>
      <c r="E380">
        <v>501</v>
      </c>
      <c r="F380">
        <v>888</v>
      </c>
      <c r="G380" t="s">
        <v>2342</v>
      </c>
      <c r="H380">
        <v>7</v>
      </c>
      <c r="I380" t="s">
        <v>3766</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3043</v>
      </c>
      <c r="E381">
        <v>682</v>
      </c>
      <c r="F381">
        <v>1086</v>
      </c>
      <c r="G381" t="s">
        <v>3043</v>
      </c>
      <c r="H381">
        <v>7</v>
      </c>
      <c r="I381" t="s">
        <v>3053</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3043</v>
      </c>
      <c r="E382">
        <v>682</v>
      </c>
      <c r="F382">
        <v>1086</v>
      </c>
      <c r="G382" t="s">
        <v>3043</v>
      </c>
      <c r="H382">
        <v>1</v>
      </c>
      <c r="I382" t="s">
        <v>3054</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2264</v>
      </c>
      <c r="E383">
        <v>181</v>
      </c>
      <c r="F383">
        <v>383</v>
      </c>
      <c r="G383" t="s">
        <v>2264</v>
      </c>
      <c r="H383">
        <v>6</v>
      </c>
      <c r="I383" t="s">
        <v>3055</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3043</v>
      </c>
      <c r="E384">
        <v>682</v>
      </c>
      <c r="F384">
        <v>1086</v>
      </c>
      <c r="G384" t="s">
        <v>3043</v>
      </c>
      <c r="H384">
        <v>3</v>
      </c>
      <c r="I384" t="s">
        <v>3056</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3043</v>
      </c>
      <c r="E385">
        <v>682</v>
      </c>
      <c r="F385">
        <v>1086</v>
      </c>
      <c r="G385" t="s">
        <v>3043</v>
      </c>
      <c r="H385">
        <v>7</v>
      </c>
      <c r="I385" t="s">
        <v>3057</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3043</v>
      </c>
      <c r="E386">
        <v>682</v>
      </c>
      <c r="F386">
        <v>1086</v>
      </c>
      <c r="G386" t="s">
        <v>3043</v>
      </c>
      <c r="H386">
        <v>7</v>
      </c>
      <c r="I386" t="s">
        <v>3058</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3059</v>
      </c>
      <c r="E387">
        <v>721</v>
      </c>
      <c r="F387">
        <v>1133</v>
      </c>
      <c r="G387" t="s">
        <v>3059</v>
      </c>
      <c r="H387">
        <v>1</v>
      </c>
      <c r="I387" t="s">
        <v>3060</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3059</v>
      </c>
      <c r="E388">
        <v>721</v>
      </c>
      <c r="F388">
        <v>1133</v>
      </c>
      <c r="G388" t="s">
        <v>3059</v>
      </c>
      <c r="H388">
        <v>1</v>
      </c>
      <c r="I388" t="s">
        <v>3061</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3059</v>
      </c>
      <c r="E389">
        <v>721</v>
      </c>
      <c r="F389">
        <v>1133</v>
      </c>
      <c r="G389" t="s">
        <v>3059</v>
      </c>
      <c r="H389">
        <v>1</v>
      </c>
      <c r="I389" t="s">
        <v>3062</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3059</v>
      </c>
      <c r="E390">
        <v>721</v>
      </c>
      <c r="F390">
        <v>1133</v>
      </c>
      <c r="G390" t="s">
        <v>3059</v>
      </c>
      <c r="H390">
        <v>1</v>
      </c>
      <c r="I390" t="s">
        <v>3063</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3059</v>
      </c>
      <c r="E391">
        <v>721</v>
      </c>
      <c r="F391">
        <v>1133</v>
      </c>
      <c r="G391" t="s">
        <v>3059</v>
      </c>
      <c r="H391">
        <v>1</v>
      </c>
      <c r="I391" t="s">
        <v>3064</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3059</v>
      </c>
      <c r="E392">
        <v>721</v>
      </c>
      <c r="F392">
        <v>1133</v>
      </c>
      <c r="G392" t="s">
        <v>3059</v>
      </c>
      <c r="H392">
        <v>1</v>
      </c>
      <c r="I392" t="s">
        <v>3669</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2280</v>
      </c>
      <c r="E393">
        <v>5</v>
      </c>
      <c r="F393">
        <v>20</v>
      </c>
      <c r="G393" t="s">
        <v>2280</v>
      </c>
      <c r="H393">
        <v>7</v>
      </c>
      <c r="I393" t="s">
        <v>3065</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3043</v>
      </c>
      <c r="E394">
        <v>682</v>
      </c>
      <c r="F394">
        <v>1086</v>
      </c>
      <c r="G394" t="s">
        <v>3043</v>
      </c>
      <c r="H394">
        <v>7</v>
      </c>
      <c r="I394" t="s">
        <v>3066</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3067</v>
      </c>
      <c r="E395">
        <v>4294967296</v>
      </c>
      <c r="F395">
        <v>0</v>
      </c>
      <c r="H395">
        <v>1</v>
      </c>
      <c r="I395" t="s">
        <v>3068</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3067</v>
      </c>
      <c r="E396">
        <v>4294967296</v>
      </c>
      <c r="F396">
        <v>0</v>
      </c>
      <c r="H396">
        <v>1</v>
      </c>
      <c r="I396" t="s">
        <v>3069</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3067</v>
      </c>
      <c r="E397">
        <v>4294967296</v>
      </c>
      <c r="F397">
        <v>0</v>
      </c>
      <c r="H397">
        <v>1</v>
      </c>
      <c r="I397" t="s">
        <v>3070</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3067</v>
      </c>
      <c r="E398">
        <v>4294967296</v>
      </c>
      <c r="F398">
        <v>0</v>
      </c>
      <c r="H398">
        <v>1</v>
      </c>
      <c r="I398" t="s">
        <v>3071</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3072</v>
      </c>
      <c r="E399">
        <v>744</v>
      </c>
      <c r="F399">
        <v>1160</v>
      </c>
      <c r="G399" t="s">
        <v>3072</v>
      </c>
      <c r="H399">
        <v>1</v>
      </c>
      <c r="I399" t="s">
        <v>3073</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3072</v>
      </c>
      <c r="E400">
        <v>744</v>
      </c>
      <c r="F400">
        <v>1160</v>
      </c>
      <c r="G400" t="s">
        <v>3072</v>
      </c>
      <c r="H400">
        <v>1</v>
      </c>
      <c r="I400" t="s">
        <v>3074</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3072</v>
      </c>
      <c r="E401">
        <v>744</v>
      </c>
      <c r="F401">
        <v>1160</v>
      </c>
      <c r="G401" t="s">
        <v>3072</v>
      </c>
      <c r="H401">
        <v>1</v>
      </c>
      <c r="I401" t="s">
        <v>3075</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3072</v>
      </c>
      <c r="E402">
        <v>744</v>
      </c>
      <c r="F402">
        <v>1160</v>
      </c>
      <c r="G402" t="s">
        <v>3072</v>
      </c>
      <c r="H402">
        <v>1</v>
      </c>
      <c r="I402" t="s">
        <v>3076</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3072</v>
      </c>
      <c r="E403">
        <v>744</v>
      </c>
      <c r="F403">
        <v>1160</v>
      </c>
      <c r="G403" t="s">
        <v>3072</v>
      </c>
      <c r="H403">
        <v>1</v>
      </c>
      <c r="I403" t="s">
        <v>3077</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3072</v>
      </c>
      <c r="E404">
        <v>744</v>
      </c>
      <c r="F404">
        <v>1160</v>
      </c>
      <c r="G404" t="s">
        <v>3072</v>
      </c>
      <c r="H404">
        <v>1</v>
      </c>
      <c r="I404" t="s">
        <v>3078</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3072</v>
      </c>
      <c r="E405">
        <v>744</v>
      </c>
      <c r="F405">
        <v>1160</v>
      </c>
      <c r="G405" t="s">
        <v>3072</v>
      </c>
      <c r="H405">
        <v>1</v>
      </c>
      <c r="I405" t="s">
        <v>3079</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3059</v>
      </c>
      <c r="E406">
        <v>721</v>
      </c>
      <c r="F406">
        <v>1133</v>
      </c>
      <c r="G406" t="s">
        <v>3059</v>
      </c>
      <c r="H406">
        <v>7</v>
      </c>
      <c r="I406" t="s">
        <v>3080</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3059</v>
      </c>
      <c r="E407">
        <v>721</v>
      </c>
      <c r="F407">
        <v>1133</v>
      </c>
      <c r="G407" t="s">
        <v>3059</v>
      </c>
      <c r="H407">
        <v>7</v>
      </c>
      <c r="I407" t="s">
        <v>3081</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2109</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3082</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3072</v>
      </c>
      <c r="E410">
        <v>744</v>
      </c>
      <c r="F410">
        <v>1160</v>
      </c>
      <c r="G410" t="s">
        <v>3072</v>
      </c>
      <c r="H410">
        <v>1</v>
      </c>
      <c r="I410" t="s">
        <v>3083</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3084</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1631</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3072</v>
      </c>
      <c r="E413">
        <v>744</v>
      </c>
      <c r="F413">
        <v>1160</v>
      </c>
      <c r="G413" t="s">
        <v>3072</v>
      </c>
      <c r="H413">
        <v>1</v>
      </c>
      <c r="I413" t="s">
        <v>3085</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3067</v>
      </c>
      <c r="E414">
        <v>4294967296</v>
      </c>
      <c r="F414">
        <v>0</v>
      </c>
      <c r="H414">
        <v>1</v>
      </c>
      <c r="I414" t="s">
        <v>3086</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3067</v>
      </c>
      <c r="E415">
        <v>4294967296</v>
      </c>
      <c r="F415">
        <v>0</v>
      </c>
      <c r="H415">
        <v>1</v>
      </c>
      <c r="I415" t="s">
        <v>3087</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3067</v>
      </c>
      <c r="E416">
        <v>4294967296</v>
      </c>
      <c r="F416">
        <v>0</v>
      </c>
      <c r="H416">
        <v>1</v>
      </c>
      <c r="I416" t="s">
        <v>3088</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3067</v>
      </c>
      <c r="E417">
        <v>4294967296</v>
      </c>
      <c r="F417">
        <v>0</v>
      </c>
      <c r="H417">
        <v>1</v>
      </c>
      <c r="I417" t="s">
        <v>3089</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3072</v>
      </c>
      <c r="E418">
        <v>744</v>
      </c>
      <c r="F418">
        <v>1160</v>
      </c>
      <c r="G418" t="s">
        <v>3072</v>
      </c>
      <c r="H418">
        <v>3</v>
      </c>
      <c r="I418" t="s">
        <v>3090</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3067</v>
      </c>
      <c r="E419">
        <v>4294967296</v>
      </c>
      <c r="F419">
        <v>0</v>
      </c>
      <c r="H419">
        <v>6</v>
      </c>
      <c r="I419" t="s">
        <v>3091</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3072</v>
      </c>
      <c r="E420">
        <v>744</v>
      </c>
      <c r="F420">
        <v>1160</v>
      </c>
      <c r="G420" t="s">
        <v>3072</v>
      </c>
      <c r="H420">
        <v>6</v>
      </c>
      <c r="I420" t="s">
        <v>3092</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2286</v>
      </c>
      <c r="E421">
        <v>449</v>
      </c>
      <c r="F421">
        <v>823</v>
      </c>
      <c r="G421" t="s">
        <v>2932</v>
      </c>
      <c r="H421">
        <v>6</v>
      </c>
      <c r="I421" t="s">
        <v>3093</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3072</v>
      </c>
      <c r="E422">
        <v>744</v>
      </c>
      <c r="F422">
        <v>1160</v>
      </c>
      <c r="G422" t="s">
        <v>3072</v>
      </c>
      <c r="H422">
        <v>7</v>
      </c>
      <c r="I422" t="s">
        <v>3094</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3072</v>
      </c>
      <c r="E423">
        <v>744</v>
      </c>
      <c r="F423">
        <v>1160</v>
      </c>
      <c r="G423" t="s">
        <v>3072</v>
      </c>
      <c r="H423">
        <v>7</v>
      </c>
      <c r="I423" t="s">
        <v>3095</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3067</v>
      </c>
      <c r="E424">
        <v>4294967296</v>
      </c>
      <c r="F424">
        <v>0</v>
      </c>
      <c r="G424"/>
      <c r="H424">
        <v>7</v>
      </c>
      <c r="I424" t="s">
        <v>3096</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2185</v>
      </c>
      <c r="E425">
        <v>784</v>
      </c>
      <c r="F425">
        <v>1207</v>
      </c>
      <c r="G425" t="s">
        <v>2185</v>
      </c>
      <c r="H425">
        <v>1</v>
      </c>
      <c r="I425" t="s">
        <v>2173</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2185</v>
      </c>
      <c r="E426">
        <v>784</v>
      </c>
      <c r="F426">
        <v>1207</v>
      </c>
      <c r="G426" t="s">
        <v>2185</v>
      </c>
      <c r="H426">
        <v>1</v>
      </c>
      <c r="I426" t="s">
        <v>2174</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2185</v>
      </c>
      <c r="E427">
        <v>784</v>
      </c>
      <c r="F427">
        <v>1207</v>
      </c>
      <c r="G427" t="s">
        <v>2185</v>
      </c>
      <c r="H427">
        <v>1</v>
      </c>
      <c r="I427" t="s">
        <v>2175</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2185</v>
      </c>
      <c r="E428">
        <v>784</v>
      </c>
      <c r="F428">
        <v>1207</v>
      </c>
      <c r="G428" t="s">
        <v>2185</v>
      </c>
      <c r="H428">
        <v>1</v>
      </c>
      <c r="I428" t="s">
        <v>2176</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2185</v>
      </c>
      <c r="E429">
        <v>784</v>
      </c>
      <c r="F429">
        <v>1207</v>
      </c>
      <c r="G429" t="s">
        <v>2185</v>
      </c>
      <c r="H429">
        <v>1</v>
      </c>
      <c r="I429" t="s">
        <v>2177</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3067</v>
      </c>
      <c r="E430">
        <v>4294967296</v>
      </c>
      <c r="F430">
        <v>0</v>
      </c>
      <c r="H430">
        <v>1</v>
      </c>
      <c r="I430" t="s">
        <v>3097</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2185</v>
      </c>
      <c r="E431">
        <v>784</v>
      </c>
      <c r="F431">
        <v>1207</v>
      </c>
      <c r="G431" t="s">
        <v>2185</v>
      </c>
      <c r="H431">
        <v>1</v>
      </c>
      <c r="I431" t="s">
        <v>2179</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3067</v>
      </c>
      <c r="E432">
        <v>4294967296</v>
      </c>
      <c r="F432">
        <v>0</v>
      </c>
      <c r="H432">
        <v>1</v>
      </c>
      <c r="I432" t="s">
        <v>3098</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2185</v>
      </c>
      <c r="E433">
        <v>784</v>
      </c>
      <c r="F433">
        <v>1207</v>
      </c>
      <c r="G433" t="s">
        <v>2185</v>
      </c>
      <c r="H433">
        <v>1</v>
      </c>
      <c r="I433" t="s">
        <v>2181</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3072</v>
      </c>
      <c r="E434">
        <v>744</v>
      </c>
      <c r="F434">
        <v>1160</v>
      </c>
      <c r="G434" t="s">
        <v>3072</v>
      </c>
      <c r="H434">
        <v>1</v>
      </c>
      <c r="I434" t="s">
        <v>3099</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3072</v>
      </c>
      <c r="E435">
        <v>744</v>
      </c>
      <c r="F435">
        <v>1160</v>
      </c>
      <c r="G435" t="s">
        <v>3072</v>
      </c>
      <c r="H435">
        <v>1</v>
      </c>
      <c r="I435" t="s">
        <v>3100</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3072</v>
      </c>
      <c r="E436">
        <v>744</v>
      </c>
      <c r="F436">
        <v>1160</v>
      </c>
      <c r="G436" t="s">
        <v>3072</v>
      </c>
      <c r="H436">
        <v>7</v>
      </c>
      <c r="I436" t="s">
        <v>3101</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3072</v>
      </c>
      <c r="E437">
        <v>744</v>
      </c>
      <c r="F437">
        <v>1160</v>
      </c>
      <c r="G437" t="s">
        <v>3072</v>
      </c>
      <c r="H437">
        <v>7</v>
      </c>
      <c r="I437" t="s">
        <v>3102</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3103</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3072</v>
      </c>
      <c r="E439">
        <v>744</v>
      </c>
      <c r="F439">
        <v>1160</v>
      </c>
      <c r="G439" t="s">
        <v>3072</v>
      </c>
      <c r="H439">
        <v>7</v>
      </c>
      <c r="I439" t="s">
        <v>3104</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2185</v>
      </c>
      <c r="E440">
        <v>784</v>
      </c>
      <c r="F440">
        <v>1207</v>
      </c>
      <c r="G440" t="s">
        <v>2185</v>
      </c>
      <c r="H440">
        <v>7</v>
      </c>
      <c r="I440" t="s">
        <v>2183</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2185</v>
      </c>
      <c r="E441">
        <v>784</v>
      </c>
      <c r="F441">
        <v>1207</v>
      </c>
      <c r="G441" t="s">
        <v>2185</v>
      </c>
      <c r="H441">
        <v>0</v>
      </c>
      <c r="I441" t="s">
        <v>2184</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3105</v>
      </c>
      <c r="E442">
        <v>835</v>
      </c>
      <c r="F442">
        <v>1261</v>
      </c>
      <c r="G442" t="s">
        <v>3105</v>
      </c>
      <c r="H442">
        <v>1</v>
      </c>
      <c r="I442" t="s">
        <v>3106</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3105</v>
      </c>
      <c r="E443">
        <v>835</v>
      </c>
      <c r="F443">
        <v>1261</v>
      </c>
      <c r="G443" t="s">
        <v>3105</v>
      </c>
      <c r="H443">
        <v>1</v>
      </c>
      <c r="I443" t="s">
        <v>3107</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3105</v>
      </c>
      <c r="E444">
        <v>835</v>
      </c>
      <c r="F444">
        <v>1261</v>
      </c>
      <c r="G444" t="s">
        <v>3105</v>
      </c>
      <c r="H444">
        <v>1</v>
      </c>
      <c r="I444" t="s">
        <v>3108</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3105</v>
      </c>
      <c r="E445">
        <v>835</v>
      </c>
      <c r="F445">
        <v>1261</v>
      </c>
      <c r="G445" t="s">
        <v>3105</v>
      </c>
      <c r="H445">
        <v>1</v>
      </c>
      <c r="I445" t="s">
        <v>3109</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3105</v>
      </c>
      <c r="E446">
        <v>835</v>
      </c>
      <c r="F446">
        <v>1261</v>
      </c>
      <c r="G446" t="s">
        <v>3105</v>
      </c>
      <c r="H446">
        <v>1</v>
      </c>
      <c r="I446" t="s">
        <v>3110</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3105</v>
      </c>
      <c r="E447">
        <v>835</v>
      </c>
      <c r="F447">
        <v>1261</v>
      </c>
      <c r="G447" t="s">
        <v>3105</v>
      </c>
      <c r="H447">
        <v>1</v>
      </c>
      <c r="I447" t="s">
        <v>3111</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3105</v>
      </c>
      <c r="E448">
        <v>835</v>
      </c>
      <c r="F448">
        <v>1261</v>
      </c>
      <c r="G448" t="s">
        <v>3105</v>
      </c>
      <c r="H448">
        <v>1</v>
      </c>
      <c r="I448" t="s">
        <v>3112</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3113</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2286</v>
      </c>
      <c r="E450">
        <v>449</v>
      </c>
      <c r="F450">
        <v>823</v>
      </c>
      <c r="G450" t="s">
        <v>2932</v>
      </c>
      <c r="H450">
        <v>7</v>
      </c>
      <c r="I450" t="s">
        <v>3114</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3105</v>
      </c>
      <c r="E451">
        <v>835</v>
      </c>
      <c r="F451">
        <v>1261</v>
      </c>
      <c r="G451" t="s">
        <v>3105</v>
      </c>
      <c r="H451">
        <v>1</v>
      </c>
      <c r="I451" t="s">
        <v>3115</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3105</v>
      </c>
      <c r="E452">
        <v>835</v>
      </c>
      <c r="F452">
        <v>1261</v>
      </c>
      <c r="G452" t="s">
        <v>3105</v>
      </c>
      <c r="H452">
        <v>3</v>
      </c>
      <c r="I452" t="s">
        <v>3116</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3105</v>
      </c>
      <c r="E453">
        <v>835</v>
      </c>
      <c r="F453">
        <v>1261</v>
      </c>
      <c r="G453" t="s">
        <v>3105</v>
      </c>
      <c r="H453">
        <v>6</v>
      </c>
      <c r="I453" t="s">
        <v>3117</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3118</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3105</v>
      </c>
      <c r="E455">
        <v>835</v>
      </c>
      <c r="F455">
        <v>1261</v>
      </c>
      <c r="G455" t="s">
        <v>3105</v>
      </c>
      <c r="H455">
        <v>7</v>
      </c>
      <c r="I455" t="s">
        <v>3119</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3105</v>
      </c>
      <c r="E456">
        <v>835</v>
      </c>
      <c r="F456">
        <v>1261</v>
      </c>
      <c r="G456" t="s">
        <v>3105</v>
      </c>
      <c r="H456">
        <v>7</v>
      </c>
      <c r="I456" t="s">
        <v>3120</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3105</v>
      </c>
      <c r="E457">
        <v>835</v>
      </c>
      <c r="F457">
        <v>1261</v>
      </c>
      <c r="G457" t="s">
        <v>3105</v>
      </c>
      <c r="H457">
        <v>7</v>
      </c>
      <c r="I457" t="s">
        <v>3121</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3122</v>
      </c>
      <c r="E458">
        <v>858</v>
      </c>
      <c r="F458">
        <v>1286</v>
      </c>
      <c r="G458" t="s">
        <v>3122</v>
      </c>
      <c r="H458">
        <v>1</v>
      </c>
      <c r="I458" t="s">
        <v>3123</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3122</v>
      </c>
      <c r="E459">
        <v>858</v>
      </c>
      <c r="F459">
        <v>1286</v>
      </c>
      <c r="G459" t="s">
        <v>3122</v>
      </c>
      <c r="H459">
        <v>1</v>
      </c>
      <c r="I459" t="s">
        <v>3124</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3122</v>
      </c>
      <c r="E460">
        <v>858</v>
      </c>
      <c r="F460">
        <v>1286</v>
      </c>
      <c r="G460" t="s">
        <v>3122</v>
      </c>
      <c r="H460">
        <v>1</v>
      </c>
      <c r="I460" t="s">
        <v>3125</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3122</v>
      </c>
      <c r="E461">
        <v>858</v>
      </c>
      <c r="F461">
        <v>1286</v>
      </c>
      <c r="G461" t="s">
        <v>3122</v>
      </c>
      <c r="H461">
        <v>1</v>
      </c>
      <c r="I461" t="s">
        <v>3126</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3122</v>
      </c>
      <c r="E462">
        <v>858</v>
      </c>
      <c r="F462">
        <v>1286</v>
      </c>
      <c r="G462" t="s">
        <v>3122</v>
      </c>
      <c r="H462">
        <v>1</v>
      </c>
      <c r="I462" t="s">
        <v>3127</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3105</v>
      </c>
      <c r="E463">
        <v>835</v>
      </c>
      <c r="F463">
        <v>1261</v>
      </c>
      <c r="G463" t="s">
        <v>3105</v>
      </c>
      <c r="H463">
        <v>1</v>
      </c>
      <c r="I463" t="s">
        <v>3128</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3105</v>
      </c>
      <c r="E464">
        <v>835</v>
      </c>
      <c r="F464">
        <v>1261</v>
      </c>
      <c r="G464" t="s">
        <v>3105</v>
      </c>
      <c r="H464">
        <v>1</v>
      </c>
      <c r="I464" t="s">
        <v>3129</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3105</v>
      </c>
      <c r="E465">
        <v>835</v>
      </c>
      <c r="F465">
        <v>1261</v>
      </c>
      <c r="G465" t="s">
        <v>3105</v>
      </c>
      <c r="H465">
        <v>1</v>
      </c>
      <c r="I465" t="s">
        <v>3130</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3105</v>
      </c>
      <c r="E466">
        <v>835</v>
      </c>
      <c r="F466">
        <v>1261</v>
      </c>
      <c r="G466" t="s">
        <v>3105</v>
      </c>
      <c r="H466">
        <v>1</v>
      </c>
      <c r="I466" t="s">
        <v>3131</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3132</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3105</v>
      </c>
      <c r="E468">
        <v>835</v>
      </c>
      <c r="F468">
        <v>1261</v>
      </c>
      <c r="G468" t="s">
        <v>3105</v>
      </c>
      <c r="H468">
        <v>7</v>
      </c>
      <c r="I468" t="s">
        <v>3133</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2667</v>
      </c>
      <c r="E469">
        <v>855</v>
      </c>
      <c r="F469">
        <v>1283</v>
      </c>
      <c r="G469" t="s">
        <v>2668</v>
      </c>
      <c r="H469">
        <v>1</v>
      </c>
      <c r="I469" t="s">
        <v>2670</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3382</v>
      </c>
      <c r="E470">
        <v>884</v>
      </c>
      <c r="F470">
        <v>1318</v>
      </c>
      <c r="G470" t="s">
        <v>3275</v>
      </c>
      <c r="H470">
        <v>3</v>
      </c>
      <c r="I470" t="s">
        <v>3281</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2667</v>
      </c>
      <c r="E471">
        <v>855</v>
      </c>
      <c r="F471">
        <v>1283</v>
      </c>
      <c r="G471" t="s">
        <v>2668</v>
      </c>
      <c r="H471">
        <v>1</v>
      </c>
      <c r="I471" t="s">
        <v>3134</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3122</v>
      </c>
      <c r="E472">
        <v>858</v>
      </c>
      <c r="F472">
        <v>1286</v>
      </c>
      <c r="G472" t="s">
        <v>3122</v>
      </c>
      <c r="H472">
        <v>1</v>
      </c>
      <c r="I472" t="s">
        <v>3135</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3122</v>
      </c>
      <c r="E473">
        <v>858</v>
      </c>
      <c r="F473">
        <v>1286</v>
      </c>
      <c r="G473" t="s">
        <v>3122</v>
      </c>
      <c r="H473">
        <v>1</v>
      </c>
      <c r="I473" t="s">
        <v>3136</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2667</v>
      </c>
      <c r="E474">
        <v>855</v>
      </c>
      <c r="F474">
        <v>1283</v>
      </c>
      <c r="G474" t="s">
        <v>2668</v>
      </c>
      <c r="H474">
        <v>1</v>
      </c>
      <c r="I474" t="s">
        <v>2669</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3122</v>
      </c>
      <c r="E475">
        <v>858</v>
      </c>
      <c r="F475">
        <v>1286</v>
      </c>
      <c r="G475" t="s">
        <v>3122</v>
      </c>
      <c r="H475">
        <v>1</v>
      </c>
      <c r="I475" t="s">
        <v>3137</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2667</v>
      </c>
      <c r="E476">
        <v>855</v>
      </c>
      <c r="F476">
        <v>1283</v>
      </c>
      <c r="G476" t="s">
        <v>2668</v>
      </c>
      <c r="H476">
        <v>7</v>
      </c>
      <c r="I476" t="s">
        <v>2671</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3122</v>
      </c>
      <c r="E477">
        <v>858</v>
      </c>
      <c r="F477">
        <v>1286</v>
      </c>
      <c r="G477" t="s">
        <v>3122</v>
      </c>
      <c r="H477">
        <v>7</v>
      </c>
      <c r="I477" t="s">
        <v>3138</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2289</v>
      </c>
      <c r="E478">
        <v>617</v>
      </c>
      <c r="F478">
        <v>1011</v>
      </c>
      <c r="G478" t="s">
        <v>2289</v>
      </c>
      <c r="H478">
        <v>6</v>
      </c>
      <c r="I478" t="s">
        <v>3139</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2280</v>
      </c>
      <c r="E479">
        <v>5</v>
      </c>
      <c r="F479">
        <v>20</v>
      </c>
      <c r="G479" t="s">
        <v>2280</v>
      </c>
      <c r="H479">
        <v>6</v>
      </c>
      <c r="I479" t="s">
        <v>3140</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3141</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3382</v>
      </c>
      <c r="E481">
        <v>884</v>
      </c>
      <c r="F481">
        <v>1318</v>
      </c>
      <c r="G481" t="s">
        <v>3275</v>
      </c>
      <c r="H481">
        <v>1</v>
      </c>
      <c r="I481" t="s">
        <v>3284</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3382</v>
      </c>
      <c r="E482">
        <v>884</v>
      </c>
      <c r="F482">
        <v>1318</v>
      </c>
      <c r="G482" t="s">
        <v>3275</v>
      </c>
      <c r="H482">
        <v>1</v>
      </c>
      <c r="I482" t="s">
        <v>3285</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3382</v>
      </c>
      <c r="E483">
        <v>884</v>
      </c>
      <c r="F483">
        <v>1318</v>
      </c>
      <c r="G483" t="s">
        <v>3275</v>
      </c>
      <c r="H483">
        <v>1</v>
      </c>
      <c r="I483" t="s">
        <v>3286</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3382</v>
      </c>
      <c r="E484">
        <v>884</v>
      </c>
      <c r="F484">
        <v>1318</v>
      </c>
      <c r="G484" t="s">
        <v>3275</v>
      </c>
      <c r="H484">
        <v>1</v>
      </c>
      <c r="I484" t="s">
        <v>3287</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3382</v>
      </c>
      <c r="E485">
        <v>884</v>
      </c>
      <c r="F485">
        <v>1318</v>
      </c>
      <c r="G485" t="s">
        <v>3275</v>
      </c>
      <c r="H485">
        <v>1</v>
      </c>
      <c r="I485" t="s">
        <v>3288</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3382</v>
      </c>
      <c r="E486">
        <v>884</v>
      </c>
      <c r="F486">
        <v>1318</v>
      </c>
      <c r="G486" t="s">
        <v>3275</v>
      </c>
      <c r="H486">
        <v>1</v>
      </c>
      <c r="I486" t="s">
        <v>3289</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3382</v>
      </c>
      <c r="E487">
        <v>884</v>
      </c>
      <c r="F487">
        <v>1318</v>
      </c>
      <c r="G487" t="s">
        <v>3275</v>
      </c>
      <c r="H487">
        <v>1</v>
      </c>
      <c r="I487" t="s">
        <v>3290</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3382</v>
      </c>
      <c r="E488">
        <v>884</v>
      </c>
      <c r="F488">
        <v>1318</v>
      </c>
      <c r="G488" t="s">
        <v>3275</v>
      </c>
      <c r="H488">
        <v>1</v>
      </c>
      <c r="I488" t="s">
        <v>3291</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3382</v>
      </c>
      <c r="E489">
        <v>884</v>
      </c>
      <c r="F489">
        <v>1318</v>
      </c>
      <c r="G489" t="s">
        <v>3275</v>
      </c>
      <c r="H489">
        <v>1</v>
      </c>
      <c r="I489" t="s">
        <v>3292</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3382</v>
      </c>
      <c r="E490">
        <v>884</v>
      </c>
      <c r="F490">
        <v>1318</v>
      </c>
      <c r="G490" t="s">
        <v>3275</v>
      </c>
      <c r="H490">
        <v>1</v>
      </c>
      <c r="I490" t="s">
        <v>3293</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3382</v>
      </c>
      <c r="E491">
        <v>884</v>
      </c>
      <c r="F491">
        <v>1318</v>
      </c>
      <c r="G491" t="s">
        <v>3275</v>
      </c>
      <c r="H491">
        <v>1</v>
      </c>
      <c r="I491" t="s">
        <v>3294</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3382</v>
      </c>
      <c r="E492">
        <v>884</v>
      </c>
      <c r="F492">
        <v>1318</v>
      </c>
      <c r="G492" t="s">
        <v>3275</v>
      </c>
      <c r="H492">
        <v>1</v>
      </c>
      <c r="I492" t="s">
        <v>3276</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3382</v>
      </c>
      <c r="E493">
        <v>884</v>
      </c>
      <c r="F493">
        <v>1318</v>
      </c>
      <c r="G493" t="s">
        <v>3275</v>
      </c>
      <c r="H493">
        <v>1</v>
      </c>
      <c r="I493" t="s">
        <v>3277</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3382</v>
      </c>
      <c r="E494">
        <v>884</v>
      </c>
      <c r="F494">
        <v>1318</v>
      </c>
      <c r="G494" t="s">
        <v>3275</v>
      </c>
      <c r="H494">
        <v>0</v>
      </c>
      <c r="I494" t="s">
        <v>3278</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3382</v>
      </c>
      <c r="E495">
        <v>884</v>
      </c>
      <c r="F495">
        <v>1318</v>
      </c>
      <c r="G495" t="s">
        <v>3275</v>
      </c>
      <c r="H495">
        <v>1</v>
      </c>
      <c r="I495" t="s">
        <v>3279</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3382</v>
      </c>
      <c r="E496">
        <v>884</v>
      </c>
      <c r="F496">
        <v>1318</v>
      </c>
      <c r="G496" t="s">
        <v>3275</v>
      </c>
      <c r="H496">
        <v>1</v>
      </c>
      <c r="I496" t="s">
        <v>3280</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3382</v>
      </c>
      <c r="E497">
        <v>884</v>
      </c>
      <c r="F497">
        <v>1318</v>
      </c>
      <c r="G497" t="s">
        <v>3275</v>
      </c>
      <c r="H497">
        <v>6</v>
      </c>
      <c r="I497" t="s">
        <v>3383</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3382</v>
      </c>
      <c r="E498">
        <v>884</v>
      </c>
      <c r="F498">
        <v>1318</v>
      </c>
      <c r="G498" t="s">
        <v>3275</v>
      </c>
      <c r="H498">
        <v>6</v>
      </c>
      <c r="I498" t="s">
        <v>3376</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3382</v>
      </c>
      <c r="E499">
        <v>884</v>
      </c>
      <c r="F499">
        <v>1318</v>
      </c>
      <c r="G499" t="s">
        <v>3275</v>
      </c>
      <c r="H499">
        <v>7</v>
      </c>
      <c r="I499" t="s">
        <v>3282</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3382</v>
      </c>
      <c r="E500">
        <v>884</v>
      </c>
      <c r="F500">
        <v>1318</v>
      </c>
      <c r="G500" t="s">
        <v>3275</v>
      </c>
      <c r="H500">
        <v>7</v>
      </c>
      <c r="I500" t="s">
        <v>3283</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3448</v>
      </c>
      <c r="E501">
        <v>929</v>
      </c>
      <c r="F501">
        <v>1383</v>
      </c>
      <c r="G501" t="s">
        <v>3436</v>
      </c>
      <c r="H501">
        <v>1</v>
      </c>
      <c r="I501" t="s">
        <v>3452</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3448</v>
      </c>
      <c r="E502">
        <v>929</v>
      </c>
      <c r="F502">
        <v>1383</v>
      </c>
      <c r="G502" t="s">
        <v>3436</v>
      </c>
      <c r="H502">
        <v>1</v>
      </c>
      <c r="I502" t="s">
        <v>3453</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3448</v>
      </c>
      <c r="E503">
        <v>929</v>
      </c>
      <c r="F503">
        <v>1383</v>
      </c>
      <c r="G503" t="s">
        <v>3436</v>
      </c>
      <c r="H503">
        <v>1</v>
      </c>
      <c r="I503" t="s">
        <v>3454</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3448</v>
      </c>
      <c r="E504">
        <v>929</v>
      </c>
      <c r="F504">
        <v>1383</v>
      </c>
      <c r="G504" t="s">
        <v>3436</v>
      </c>
      <c r="H504">
        <v>1</v>
      </c>
      <c r="I504" t="s">
        <v>3455</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3448</v>
      </c>
      <c r="E505">
        <v>929</v>
      </c>
      <c r="F505">
        <v>1383</v>
      </c>
      <c r="G505" t="s">
        <v>3436</v>
      </c>
      <c r="H505">
        <v>1</v>
      </c>
      <c r="I505" t="s">
        <v>3449</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3448</v>
      </c>
      <c r="E506">
        <v>929</v>
      </c>
      <c r="F506">
        <v>1383</v>
      </c>
      <c r="G506" t="s">
        <v>3436</v>
      </c>
      <c r="H506">
        <v>1</v>
      </c>
      <c r="I506" t="s">
        <v>3450</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3448</v>
      </c>
      <c r="E507">
        <v>929</v>
      </c>
      <c r="F507">
        <v>1383</v>
      </c>
      <c r="G507" t="s">
        <v>3436</v>
      </c>
      <c r="H507">
        <v>1</v>
      </c>
      <c r="I507" t="s">
        <v>3451</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2285</v>
      </c>
      <c r="E508">
        <v>9</v>
      </c>
      <c r="F508">
        <v>41</v>
      </c>
      <c r="G508" t="s">
        <v>2285</v>
      </c>
      <c r="H508">
        <v>6</v>
      </c>
      <c r="I508" t="s">
        <v>3545</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2283</v>
      </c>
      <c r="E509">
        <v>16</v>
      </c>
      <c r="F509">
        <v>103</v>
      </c>
      <c r="G509" t="s">
        <v>2283</v>
      </c>
      <c r="H509">
        <v>6</v>
      </c>
      <c r="I509" t="s">
        <v>3546</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3382</v>
      </c>
      <c r="E510">
        <v>884</v>
      </c>
      <c r="F510">
        <v>1318</v>
      </c>
      <c r="G510" t="s">
        <v>3275</v>
      </c>
      <c r="H510">
        <v>7</v>
      </c>
      <c r="I510" t="s">
        <v>3767</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3594</v>
      </c>
      <c r="E511">
        <v>958</v>
      </c>
      <c r="F511">
        <v>1414</v>
      </c>
      <c r="G511" t="s">
        <v>3594</v>
      </c>
      <c r="H511">
        <v>3</v>
      </c>
      <c r="I511" t="s">
        <v>3599</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3594</v>
      </c>
      <c r="E512">
        <v>958</v>
      </c>
      <c r="F512">
        <v>1414</v>
      </c>
      <c r="G512" t="s">
        <v>3594</v>
      </c>
      <c r="H512">
        <v>1</v>
      </c>
      <c r="I512" t="s">
        <v>3600</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3594</v>
      </c>
      <c r="E513">
        <v>958</v>
      </c>
      <c r="F513">
        <v>1414</v>
      </c>
      <c r="G513" t="s">
        <v>3594</v>
      </c>
      <c r="H513">
        <v>1</v>
      </c>
      <c r="I513" t="s">
        <v>3601</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3594</v>
      </c>
      <c r="E514">
        <v>958</v>
      </c>
      <c r="F514">
        <v>1414</v>
      </c>
      <c r="G514" t="s">
        <v>3594</v>
      </c>
      <c r="H514">
        <v>1</v>
      </c>
      <c r="I514" t="s">
        <v>3768</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3594</v>
      </c>
      <c r="E515">
        <v>958</v>
      </c>
      <c r="F515">
        <v>1414</v>
      </c>
      <c r="G515" t="s">
        <v>3594</v>
      </c>
      <c r="H515">
        <v>1</v>
      </c>
      <c r="I515" t="s">
        <v>3602</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3594</v>
      </c>
      <c r="E516">
        <v>958</v>
      </c>
      <c r="F516">
        <v>1414</v>
      </c>
      <c r="G516" t="s">
        <v>3594</v>
      </c>
      <c r="H516">
        <v>1</v>
      </c>
      <c r="I516" t="s">
        <v>3603</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3588</v>
      </c>
      <c r="E517">
        <v>957</v>
      </c>
      <c r="F517">
        <v>1413</v>
      </c>
      <c r="G517" t="s">
        <v>3588</v>
      </c>
      <c r="H517">
        <v>1</v>
      </c>
      <c r="I517" t="s">
        <v>3604</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3588</v>
      </c>
      <c r="E518">
        <v>957</v>
      </c>
      <c r="F518">
        <v>1413</v>
      </c>
      <c r="G518" t="s">
        <v>3588</v>
      </c>
      <c r="H518">
        <v>1</v>
      </c>
      <c r="I518" t="s">
        <v>3605</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3588</v>
      </c>
      <c r="E519">
        <v>957</v>
      </c>
      <c r="F519">
        <v>1413</v>
      </c>
      <c r="G519" t="s">
        <v>3588</v>
      </c>
      <c r="H519">
        <v>1</v>
      </c>
      <c r="I519" t="s">
        <v>3606</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3588</v>
      </c>
      <c r="E520">
        <v>957</v>
      </c>
      <c r="F520">
        <v>1413</v>
      </c>
      <c r="G520" t="s">
        <v>3588</v>
      </c>
      <c r="H520">
        <v>1</v>
      </c>
      <c r="I520" t="s">
        <v>3607</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3588</v>
      </c>
      <c r="E521">
        <v>957</v>
      </c>
      <c r="F521">
        <v>1413</v>
      </c>
      <c r="G521" t="s">
        <v>3588</v>
      </c>
      <c r="H521">
        <v>1</v>
      </c>
      <c r="I521" t="s">
        <v>3589</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3588</v>
      </c>
      <c r="E522">
        <v>957</v>
      </c>
      <c r="F522">
        <v>1413</v>
      </c>
      <c r="G522" t="s">
        <v>3588</v>
      </c>
      <c r="H522">
        <v>1</v>
      </c>
      <c r="I522" t="s">
        <v>3590</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3588</v>
      </c>
      <c r="E523">
        <v>957</v>
      </c>
      <c r="F523">
        <v>1413</v>
      </c>
      <c r="G523" t="s">
        <v>3588</v>
      </c>
      <c r="H523">
        <v>1</v>
      </c>
      <c r="I523" t="s">
        <v>3591</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3588</v>
      </c>
      <c r="E524">
        <v>957</v>
      </c>
      <c r="F524">
        <v>1413</v>
      </c>
      <c r="G524" t="s">
        <v>3588</v>
      </c>
      <c r="H524">
        <v>1</v>
      </c>
      <c r="I524" t="s">
        <v>3592</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3588</v>
      </c>
      <c r="E525">
        <v>957</v>
      </c>
      <c r="F525">
        <v>1413</v>
      </c>
      <c r="G525" t="s">
        <v>3588</v>
      </c>
      <c r="H525">
        <v>1</v>
      </c>
      <c r="I525" t="s">
        <v>3593</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3594</v>
      </c>
      <c r="E526">
        <v>958</v>
      </c>
      <c r="F526">
        <v>1414</v>
      </c>
      <c r="G526" t="s">
        <v>3594</v>
      </c>
      <c r="H526">
        <v>1</v>
      </c>
      <c r="I526" t="s">
        <v>3595</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3588</v>
      </c>
      <c r="E527">
        <v>957</v>
      </c>
      <c r="F527">
        <v>1413</v>
      </c>
      <c r="G527" t="s">
        <v>3588</v>
      </c>
      <c r="H527">
        <v>6</v>
      </c>
      <c r="I527" t="s">
        <v>3700</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3448</v>
      </c>
      <c r="E528">
        <v>929</v>
      </c>
      <c r="F528">
        <v>1383</v>
      </c>
      <c r="G528" t="s">
        <v>3436</v>
      </c>
      <c r="H528">
        <v>7</v>
      </c>
      <c r="I528" t="s">
        <v>3769</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3594</v>
      </c>
      <c r="E529">
        <v>958</v>
      </c>
      <c r="F529">
        <v>1414</v>
      </c>
      <c r="G529" t="s">
        <v>3594</v>
      </c>
      <c r="H529">
        <v>7</v>
      </c>
      <c r="I529" t="s">
        <v>3596</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3594</v>
      </c>
      <c r="E530">
        <v>958</v>
      </c>
      <c r="F530">
        <v>1414</v>
      </c>
      <c r="G530" t="s">
        <v>3594</v>
      </c>
      <c r="H530">
        <v>7</v>
      </c>
      <c r="I530" t="s">
        <v>3597</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3594</v>
      </c>
      <c r="E531">
        <v>958</v>
      </c>
      <c r="F531">
        <v>1414</v>
      </c>
      <c r="G531" t="s">
        <v>3594</v>
      </c>
      <c r="H531">
        <v>1</v>
      </c>
      <c r="I531" t="s">
        <v>3598</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3594</v>
      </c>
      <c r="E532">
        <v>958</v>
      </c>
      <c r="F532">
        <v>1414</v>
      </c>
      <c r="G532" t="s">
        <v>3594</v>
      </c>
      <c r="H532">
        <v>7</v>
      </c>
      <c r="I532" t="s">
        <v>3723</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2185</v>
      </c>
      <c r="E533">
        <v>784</v>
      </c>
      <c r="F533">
        <v>1207</v>
      </c>
      <c r="G533" t="s">
        <v>2185</v>
      </c>
      <c r="H533">
        <v>6</v>
      </c>
      <c r="I533" t="s">
        <v>3864</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2290</v>
      </c>
      <c r="E534">
        <v>590</v>
      </c>
      <c r="F534">
        <v>980</v>
      </c>
      <c r="G534" t="s">
        <v>3002</v>
      </c>
      <c r="H534">
        <v>7</v>
      </c>
      <c r="I534" t="s">
        <v>3770</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3897</v>
      </c>
      <c r="E535" s="33">
        <v>982</v>
      </c>
      <c r="F535" s="33">
        <v>1443</v>
      </c>
      <c r="G535" s="33" t="s">
        <v>3897</v>
      </c>
      <c r="H535" s="33">
        <v>1</v>
      </c>
      <c r="I535" s="33" t="s">
        <v>3951</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3897</v>
      </c>
      <c r="E536" s="33">
        <v>982</v>
      </c>
      <c r="F536" s="33">
        <v>1443</v>
      </c>
      <c r="G536" s="33" t="s">
        <v>3897</v>
      </c>
      <c r="H536" s="33">
        <v>1</v>
      </c>
      <c r="I536" s="33" t="s">
        <v>3950</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3897</v>
      </c>
      <c r="E537" s="33">
        <v>982</v>
      </c>
      <c r="F537" s="33">
        <v>1443</v>
      </c>
      <c r="G537" s="33" t="s">
        <v>3897</v>
      </c>
      <c r="H537" s="33">
        <v>1</v>
      </c>
      <c r="I537" s="33" t="s">
        <v>3945</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3897</v>
      </c>
      <c r="E538" s="33">
        <v>982</v>
      </c>
      <c r="F538" s="33">
        <v>1443</v>
      </c>
      <c r="G538" s="33" t="s">
        <v>3897</v>
      </c>
      <c r="H538" s="33">
        <v>1</v>
      </c>
      <c r="I538" s="33" t="s">
        <v>3946</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3897</v>
      </c>
      <c r="E539" s="33">
        <v>982</v>
      </c>
      <c r="F539" s="33">
        <v>1443</v>
      </c>
      <c r="G539" s="33" t="s">
        <v>3897</v>
      </c>
      <c r="H539" s="33">
        <v>1</v>
      </c>
      <c r="I539" s="33" t="s">
        <v>3947</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3897</v>
      </c>
      <c r="E540" s="33">
        <v>982</v>
      </c>
      <c r="F540" s="33">
        <v>1443</v>
      </c>
      <c r="G540" s="33" t="s">
        <v>3897</v>
      </c>
      <c r="H540" s="33">
        <v>1</v>
      </c>
      <c r="I540" s="33" t="s">
        <v>3955</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3897</v>
      </c>
      <c r="E541" s="33">
        <v>982</v>
      </c>
      <c r="F541" s="33">
        <v>1443</v>
      </c>
      <c r="G541" s="33" t="s">
        <v>3897</v>
      </c>
      <c r="H541" s="33">
        <v>1</v>
      </c>
      <c r="I541" s="33" t="s">
        <v>3956</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3865</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3448</v>
      </c>
      <c r="E543">
        <v>929</v>
      </c>
      <c r="F543">
        <v>1383</v>
      </c>
      <c r="G543" t="s">
        <v>3436</v>
      </c>
      <c r="H543">
        <v>7</v>
      </c>
      <c r="I543" t="s">
        <v>3771</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3588</v>
      </c>
      <c r="E544">
        <v>957</v>
      </c>
      <c r="F544">
        <v>1413</v>
      </c>
      <c r="G544" t="s">
        <v>3588</v>
      </c>
      <c r="H544">
        <v>7</v>
      </c>
      <c r="I544" t="s">
        <v>3772</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3897</v>
      </c>
      <c r="E545" s="33">
        <v>982</v>
      </c>
      <c r="F545" s="33">
        <v>1443</v>
      </c>
      <c r="G545" s="33" t="s">
        <v>3897</v>
      </c>
      <c r="H545" s="33">
        <v>3</v>
      </c>
      <c r="I545" s="33" t="s">
        <v>3953</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3897</v>
      </c>
      <c r="E546" s="33">
        <v>982</v>
      </c>
      <c r="F546" s="33">
        <v>1443</v>
      </c>
      <c r="G546" s="33" t="s">
        <v>3897</v>
      </c>
      <c r="H546" s="33">
        <v>7</v>
      </c>
      <c r="I546" s="33" t="s">
        <v>3958</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3897</v>
      </c>
      <c r="E547" s="33">
        <v>982</v>
      </c>
      <c r="F547" s="33">
        <v>1443</v>
      </c>
      <c r="G547" s="33" t="s">
        <v>3897</v>
      </c>
      <c r="H547" s="33">
        <v>7</v>
      </c>
      <c r="I547" s="33" t="s">
        <v>3959</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3897</v>
      </c>
      <c r="E548" s="33">
        <v>982</v>
      </c>
      <c r="F548" s="33">
        <v>1443</v>
      </c>
      <c r="G548" s="33" t="s">
        <v>3897</v>
      </c>
      <c r="H548" s="33">
        <v>1</v>
      </c>
      <c r="I548" s="33" t="s">
        <v>3960</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3897</v>
      </c>
      <c r="E549" s="33">
        <v>982</v>
      </c>
      <c r="F549" s="33">
        <v>1443</v>
      </c>
      <c r="G549" s="33" t="s">
        <v>3897</v>
      </c>
      <c r="H549" s="33">
        <v>1</v>
      </c>
      <c r="I549" s="33" t="s">
        <v>3957</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3897</v>
      </c>
      <c r="E550" s="33">
        <v>982</v>
      </c>
      <c r="F550" s="33">
        <v>1443</v>
      </c>
      <c r="G550" s="33" t="s">
        <v>3897</v>
      </c>
      <c r="H550" s="33">
        <v>1</v>
      </c>
      <c r="I550" s="33" t="s">
        <v>3954</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3897</v>
      </c>
      <c r="E551" s="33">
        <v>982</v>
      </c>
      <c r="F551" s="33">
        <v>1443</v>
      </c>
      <c r="G551" s="33" t="s">
        <v>3897</v>
      </c>
      <c r="H551" s="33">
        <v>1</v>
      </c>
      <c r="I551" s="33" t="s">
        <v>3948</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3897</v>
      </c>
      <c r="E552" s="33">
        <v>982</v>
      </c>
      <c r="F552" s="33">
        <v>1443</v>
      </c>
      <c r="G552" s="33" t="s">
        <v>3897</v>
      </c>
      <c r="H552" s="33">
        <v>1</v>
      </c>
      <c r="I552" s="33" t="s">
        <v>3949</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3897</v>
      </c>
      <c r="E553" s="33">
        <v>982</v>
      </c>
      <c r="F553" s="33">
        <v>1443</v>
      </c>
      <c r="G553" s="33" t="s">
        <v>3897</v>
      </c>
      <c r="H553" s="33">
        <v>6</v>
      </c>
      <c r="I553" s="33" t="s">
        <v>4044</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2287</v>
      </c>
      <c r="E554">
        <v>443</v>
      </c>
      <c r="F554">
        <v>816</v>
      </c>
      <c r="G554" t="s">
        <v>2287</v>
      </c>
      <c r="H554" s="33">
        <v>6</v>
      </c>
      <c r="I554" s="33" t="s">
        <v>4045</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3897</v>
      </c>
      <c r="E555" s="33">
        <v>982</v>
      </c>
      <c r="F555" s="33">
        <v>1443</v>
      </c>
      <c r="G555" s="33" t="s">
        <v>3897</v>
      </c>
      <c r="H555" s="33">
        <v>1</v>
      </c>
      <c r="I555" s="33" t="s">
        <v>3952</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3897</v>
      </c>
      <c r="E556" s="33">
        <v>982</v>
      </c>
      <c r="F556" s="33">
        <v>1443</v>
      </c>
      <c r="G556" s="33" t="s">
        <v>3897</v>
      </c>
      <c r="H556" s="33">
        <v>1</v>
      </c>
      <c r="I556" t="s">
        <v>3990</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3991</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3897</v>
      </c>
      <c r="E558" s="33">
        <v>982</v>
      </c>
      <c r="F558" s="33">
        <v>1443</v>
      </c>
      <c r="G558" s="33" t="s">
        <v>3897</v>
      </c>
      <c r="H558" s="33">
        <v>7</v>
      </c>
      <c r="I558" t="s">
        <v>3992</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3067</v>
      </c>
      <c r="E559" s="101">
        <v>4294967296</v>
      </c>
      <c r="F559" s="101">
        <v>0</v>
      </c>
      <c r="G559" s="101" t="s">
        <v>3067</v>
      </c>
      <c r="H559" s="33">
        <v>7</v>
      </c>
      <c r="I559" t="s">
        <v>4009</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2283</v>
      </c>
      <c r="E560">
        <v>16</v>
      </c>
      <c r="F560">
        <v>103</v>
      </c>
      <c r="G560" t="s">
        <v>2283</v>
      </c>
      <c r="H560" s="33">
        <v>7</v>
      </c>
      <c r="I560" t="s">
        <v>4010</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4066</v>
      </c>
      <c r="E561">
        <v>1034</v>
      </c>
      <c r="F561">
        <v>1502</v>
      </c>
      <c r="G561" t="s">
        <v>4066</v>
      </c>
      <c r="H561">
        <v>3</v>
      </c>
      <c r="I561" t="s">
        <v>4075</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2651</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3897</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4066</v>
      </c>
      <c r="E564">
        <v>1034</v>
      </c>
      <c r="F564">
        <v>1502</v>
      </c>
      <c r="G564" t="s">
        <v>4066</v>
      </c>
      <c r="H564">
        <v>1</v>
      </c>
      <c r="I564" t="s">
        <v>4067</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4066</v>
      </c>
      <c r="E565">
        <v>1034</v>
      </c>
      <c r="F565">
        <v>1502</v>
      </c>
      <c r="G565" t="s">
        <v>4066</v>
      </c>
      <c r="H565">
        <v>1</v>
      </c>
      <c r="I565" t="s">
        <v>3276</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4066</v>
      </c>
      <c r="E566">
        <v>1034</v>
      </c>
      <c r="F566">
        <v>1502</v>
      </c>
      <c r="G566" t="s">
        <v>4066</v>
      </c>
      <c r="H566">
        <v>1</v>
      </c>
      <c r="I566" t="s">
        <v>4068</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4066</v>
      </c>
      <c r="E567">
        <v>1034</v>
      </c>
      <c r="F567">
        <v>1502</v>
      </c>
      <c r="G567" t="s">
        <v>4066</v>
      </c>
      <c r="H567">
        <v>1</v>
      </c>
      <c r="I567" t="s">
        <v>4069</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4066</v>
      </c>
      <c r="E568">
        <v>1034</v>
      </c>
      <c r="F568">
        <v>1502</v>
      </c>
      <c r="G568" t="s">
        <v>4066</v>
      </c>
      <c r="H568">
        <v>1</v>
      </c>
      <c r="I568" t="s">
        <v>4070</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4066</v>
      </c>
      <c r="E569">
        <v>1034</v>
      </c>
      <c r="F569">
        <v>1502</v>
      </c>
      <c r="G569" t="s">
        <v>4066</v>
      </c>
      <c r="H569">
        <v>1</v>
      </c>
      <c r="I569" t="s">
        <v>4071</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4066</v>
      </c>
      <c r="E570">
        <v>1034</v>
      </c>
      <c r="F570">
        <v>1502</v>
      </c>
      <c r="G570" t="s">
        <v>4066</v>
      </c>
      <c r="H570">
        <v>1</v>
      </c>
      <c r="I570" t="s">
        <v>4072</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4066</v>
      </c>
      <c r="E571">
        <v>1034</v>
      </c>
      <c r="F571">
        <v>1502</v>
      </c>
      <c r="G571" t="s">
        <v>4066</v>
      </c>
      <c r="H571">
        <v>7</v>
      </c>
      <c r="I571" t="s">
        <v>4073</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4066</v>
      </c>
      <c r="E572">
        <v>1034</v>
      </c>
      <c r="F572">
        <v>1502</v>
      </c>
      <c r="G572" t="s">
        <v>4066</v>
      </c>
      <c r="H572">
        <v>7</v>
      </c>
      <c r="I572" t="s">
        <v>4074</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4066</v>
      </c>
      <c r="E573">
        <v>1034</v>
      </c>
      <c r="F573">
        <v>1502</v>
      </c>
      <c r="G573" t="s">
        <v>4066</v>
      </c>
      <c r="H573">
        <v>6</v>
      </c>
      <c r="I573" t="s">
        <v>4128</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4066</v>
      </c>
      <c r="E574">
        <v>1034</v>
      </c>
      <c r="F574">
        <v>1502</v>
      </c>
      <c r="G574" t="s">
        <v>4066</v>
      </c>
      <c r="H574">
        <v>6</v>
      </c>
      <c r="I574" t="s">
        <v>4127</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4066</v>
      </c>
      <c r="E575">
        <v>1034</v>
      </c>
      <c r="F575">
        <v>1502</v>
      </c>
      <c r="G575" t="s">
        <v>4066</v>
      </c>
      <c r="H575">
        <v>1</v>
      </c>
      <c r="I575" t="s">
        <v>4184</v>
      </c>
      <c r="J575" s="27" t="str">
        <f t="shared" ref="J575:J582"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4066</v>
      </c>
      <c r="E576">
        <v>1034</v>
      </c>
      <c r="F576">
        <v>1502</v>
      </c>
      <c r="G576" t="s">
        <v>4066</v>
      </c>
      <c r="H576">
        <v>1</v>
      </c>
      <c r="I576" t="s">
        <v>4177</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4066</v>
      </c>
      <c r="E577">
        <v>1034</v>
      </c>
      <c r="F577">
        <v>1502</v>
      </c>
      <c r="G577" t="s">
        <v>4066</v>
      </c>
      <c r="H577">
        <v>1</v>
      </c>
      <c r="I577" t="s">
        <v>4178</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4066</v>
      </c>
      <c r="E578">
        <v>1034</v>
      </c>
      <c r="F578">
        <v>1502</v>
      </c>
      <c r="G578" t="s">
        <v>4066</v>
      </c>
      <c r="H578">
        <v>1</v>
      </c>
      <c r="I578" t="s">
        <v>4179</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4066</v>
      </c>
      <c r="E579">
        <v>1034</v>
      </c>
      <c r="F579">
        <v>1502</v>
      </c>
      <c r="G579" t="s">
        <v>4066</v>
      </c>
      <c r="H579">
        <v>1</v>
      </c>
      <c r="I579" t="s">
        <v>4180</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4066</v>
      </c>
      <c r="E580">
        <v>1034</v>
      </c>
      <c r="F580">
        <v>1502</v>
      </c>
      <c r="G580" t="s">
        <v>4066</v>
      </c>
      <c r="H580">
        <v>1</v>
      </c>
      <c r="I580" t="s">
        <v>4181</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4066</v>
      </c>
      <c r="E581">
        <v>1034</v>
      </c>
      <c r="F581">
        <v>1502</v>
      </c>
      <c r="G581" t="s">
        <v>4066</v>
      </c>
      <c r="H581">
        <v>7</v>
      </c>
      <c r="I581" t="s">
        <v>4182</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4066</v>
      </c>
      <c r="E582">
        <v>1034</v>
      </c>
      <c r="F582">
        <v>1502</v>
      </c>
      <c r="G582" t="s">
        <v>4066</v>
      </c>
      <c r="H582">
        <v>1</v>
      </c>
      <c r="I582" t="s">
        <v>4183</v>
      </c>
      <c r="J582" s="27" t="str">
        <f t="shared" si="27"/>
        <v>[615]=1502,</v>
      </c>
      <c r="K582" s="3">
        <f t="shared" si="28"/>
        <v>615</v>
      </c>
      <c r="L582" s="3">
        <f t="shared" si="29"/>
        <v>1502</v>
      </c>
      <c r="M582" s="8" t="str">
        <f>VLOOKUP(A582,WayshrineNames!$A$3:$B$967,2,)</f>
        <v>Rampart Camp Wayshrine</v>
      </c>
      <c r="N582" s="3" t="str">
        <f>VLOOKUP(F582,'ESO zones'!$A$5:$D$10004,4,FALSE)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18"/>
  <sheetViews>
    <sheetView workbookViewId="0">
      <pane xSplit="1" ySplit="2" topLeftCell="B588" activePane="bottomRight" state="frozen"/>
      <selection pane="topRight" activeCell="B1" sqref="B1"/>
      <selection pane="bottomLeft" activeCell="A2" sqref="A2"/>
      <selection pane="bottomRight" activeCell="K610" sqref="K610"/>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4185</v>
      </c>
      <c r="C1" s="48"/>
      <c r="D1" s="48" t="s">
        <v>3611</v>
      </c>
      <c r="E1" s="48"/>
      <c r="F1" s="48"/>
      <c r="G1" s="48"/>
      <c r="H1" s="48"/>
      <c r="I1" s="48"/>
      <c r="J1" s="48"/>
      <c r="K1" s="48"/>
      <c r="L1" s="48"/>
    </row>
    <row r="2" spans="1:12" s="1" customFormat="1" x14ac:dyDescent="0.25">
      <c r="A2" s="5" t="s">
        <v>3989</v>
      </c>
      <c r="B2" s="1" t="s">
        <v>4046</v>
      </c>
    </row>
    <row r="3" spans="1:12" x14ac:dyDescent="0.25">
      <c r="A3">
        <v>1</v>
      </c>
      <c r="B3" t="s">
        <v>1781</v>
      </c>
    </row>
    <row r="4" spans="1:12" x14ac:dyDescent="0.25">
      <c r="A4">
        <v>2</v>
      </c>
      <c r="B4" t="s">
        <v>1782</v>
      </c>
    </row>
    <row r="5" spans="1:12" x14ac:dyDescent="0.25">
      <c r="A5">
        <v>3</v>
      </c>
      <c r="B5" t="s">
        <v>1783</v>
      </c>
    </row>
    <row r="6" spans="1:12" x14ac:dyDescent="0.25">
      <c r="A6">
        <v>4</v>
      </c>
      <c r="B6" t="s">
        <v>1784</v>
      </c>
    </row>
    <row r="7" spans="1:12" x14ac:dyDescent="0.25">
      <c r="A7">
        <v>5</v>
      </c>
      <c r="B7" t="s">
        <v>1785</v>
      </c>
    </row>
    <row r="8" spans="1:12" x14ac:dyDescent="0.25">
      <c r="A8">
        <v>6</v>
      </c>
      <c r="B8" t="s">
        <v>1786</v>
      </c>
    </row>
    <row r="9" spans="1:12" x14ac:dyDescent="0.25">
      <c r="A9">
        <v>7</v>
      </c>
      <c r="B9" t="s">
        <v>1787</v>
      </c>
    </row>
    <row r="10" spans="1:12" x14ac:dyDescent="0.25">
      <c r="A10">
        <v>8</v>
      </c>
      <c r="B10" t="s">
        <v>1788</v>
      </c>
    </row>
    <row r="11" spans="1:12" x14ac:dyDescent="0.25">
      <c r="A11">
        <v>9</v>
      </c>
      <c r="B11" t="s">
        <v>1789</v>
      </c>
    </row>
    <row r="12" spans="1:12" x14ac:dyDescent="0.25">
      <c r="A12">
        <v>10</v>
      </c>
      <c r="B12" t="s">
        <v>1790</v>
      </c>
    </row>
    <row r="13" spans="1:12" x14ac:dyDescent="0.25">
      <c r="A13">
        <v>11</v>
      </c>
      <c r="B13" t="s">
        <v>1791</v>
      </c>
    </row>
    <row r="14" spans="1:12" x14ac:dyDescent="0.25">
      <c r="A14">
        <v>12</v>
      </c>
      <c r="B14" t="s">
        <v>1792</v>
      </c>
    </row>
    <row r="15" spans="1:12" x14ac:dyDescent="0.25">
      <c r="A15">
        <v>13</v>
      </c>
      <c r="B15" t="s">
        <v>1793</v>
      </c>
    </row>
    <row r="16" spans="1:12" x14ac:dyDescent="0.25">
      <c r="A16">
        <v>14</v>
      </c>
      <c r="B16" t="s">
        <v>1794</v>
      </c>
    </row>
    <row r="17" spans="1:2" x14ac:dyDescent="0.25">
      <c r="A17">
        <v>15</v>
      </c>
      <c r="B17" t="s">
        <v>1795</v>
      </c>
    </row>
    <row r="18" spans="1:2" x14ac:dyDescent="0.25">
      <c r="A18">
        <v>16</v>
      </c>
      <c r="B18" t="s">
        <v>1796</v>
      </c>
    </row>
    <row r="19" spans="1:2" x14ac:dyDescent="0.25">
      <c r="A19">
        <v>17</v>
      </c>
      <c r="B19" t="s">
        <v>1797</v>
      </c>
    </row>
    <row r="20" spans="1:2" x14ac:dyDescent="0.25">
      <c r="A20">
        <v>18</v>
      </c>
      <c r="B20" t="s">
        <v>1798</v>
      </c>
    </row>
    <row r="21" spans="1:2" x14ac:dyDescent="0.25">
      <c r="A21">
        <v>19</v>
      </c>
      <c r="B21" t="s">
        <v>1799</v>
      </c>
    </row>
    <row r="22" spans="1:2" x14ac:dyDescent="0.25">
      <c r="A22">
        <v>20</v>
      </c>
      <c r="B22" t="s">
        <v>1800</v>
      </c>
    </row>
    <row r="23" spans="1:2" x14ac:dyDescent="0.25">
      <c r="A23">
        <v>21</v>
      </c>
      <c r="B23" t="s">
        <v>1801</v>
      </c>
    </row>
    <row r="24" spans="1:2" x14ac:dyDescent="0.25">
      <c r="A24">
        <v>22</v>
      </c>
      <c r="B24" t="s">
        <v>1802</v>
      </c>
    </row>
    <row r="25" spans="1:2" x14ac:dyDescent="0.25">
      <c r="A25">
        <v>23</v>
      </c>
      <c r="B25" t="s">
        <v>1803</v>
      </c>
    </row>
    <row r="26" spans="1:2" x14ac:dyDescent="0.25">
      <c r="A26">
        <v>24</v>
      </c>
      <c r="B26" t="s">
        <v>1804</v>
      </c>
    </row>
    <row r="27" spans="1:2" x14ac:dyDescent="0.25">
      <c r="A27">
        <v>25</v>
      </c>
      <c r="B27" t="s">
        <v>1805</v>
      </c>
    </row>
    <row r="28" spans="1:2" x14ac:dyDescent="0.25">
      <c r="A28">
        <v>26</v>
      </c>
      <c r="B28" t="s">
        <v>1806</v>
      </c>
    </row>
    <row r="29" spans="1:2" x14ac:dyDescent="0.25">
      <c r="A29">
        <v>27</v>
      </c>
      <c r="B29" t="s">
        <v>1807</v>
      </c>
    </row>
    <row r="30" spans="1:2" x14ac:dyDescent="0.25">
      <c r="A30">
        <v>28</v>
      </c>
      <c r="B30" t="s">
        <v>1808</v>
      </c>
    </row>
    <row r="31" spans="1:2" x14ac:dyDescent="0.25">
      <c r="A31">
        <v>29</v>
      </c>
      <c r="B31" t="s">
        <v>1809</v>
      </c>
    </row>
    <row r="32" spans="1:2" x14ac:dyDescent="0.25">
      <c r="A32">
        <v>30</v>
      </c>
      <c r="B32" t="s">
        <v>1810</v>
      </c>
    </row>
    <row r="33" spans="1:2" x14ac:dyDescent="0.25">
      <c r="A33">
        <v>31</v>
      </c>
      <c r="B33" t="s">
        <v>1811</v>
      </c>
    </row>
    <row r="34" spans="1:2" x14ac:dyDescent="0.25">
      <c r="A34">
        <v>32</v>
      </c>
      <c r="B34" t="s">
        <v>1812</v>
      </c>
    </row>
    <row r="35" spans="1:2" x14ac:dyDescent="0.25">
      <c r="A35">
        <v>33</v>
      </c>
      <c r="B35" t="s">
        <v>1813</v>
      </c>
    </row>
    <row r="36" spans="1:2" x14ac:dyDescent="0.25">
      <c r="A36">
        <v>34</v>
      </c>
      <c r="B36" t="s">
        <v>1814</v>
      </c>
    </row>
    <row r="37" spans="1:2" x14ac:dyDescent="0.25">
      <c r="A37">
        <v>35</v>
      </c>
      <c r="B37" t="s">
        <v>1815</v>
      </c>
    </row>
    <row r="38" spans="1:2" x14ac:dyDescent="0.25">
      <c r="A38">
        <v>36</v>
      </c>
      <c r="B38" t="s">
        <v>1816</v>
      </c>
    </row>
    <row r="39" spans="1:2" x14ac:dyDescent="0.25">
      <c r="A39">
        <v>37</v>
      </c>
      <c r="B39" t="s">
        <v>1817</v>
      </c>
    </row>
    <row r="40" spans="1:2" x14ac:dyDescent="0.25">
      <c r="A40">
        <v>38</v>
      </c>
      <c r="B40" t="s">
        <v>1818</v>
      </c>
    </row>
    <row r="41" spans="1:2" x14ac:dyDescent="0.25">
      <c r="A41">
        <v>39</v>
      </c>
      <c r="B41" t="s">
        <v>1819</v>
      </c>
    </row>
    <row r="42" spans="1:2" x14ac:dyDescent="0.25">
      <c r="A42">
        <v>40</v>
      </c>
      <c r="B42" t="s">
        <v>1820</v>
      </c>
    </row>
    <row r="43" spans="1:2" x14ac:dyDescent="0.25">
      <c r="A43">
        <v>41</v>
      </c>
      <c r="B43" t="s">
        <v>1821</v>
      </c>
    </row>
    <row r="44" spans="1:2" x14ac:dyDescent="0.25">
      <c r="A44">
        <v>42</v>
      </c>
      <c r="B44" t="s">
        <v>1822</v>
      </c>
    </row>
    <row r="45" spans="1:2" x14ac:dyDescent="0.25">
      <c r="A45">
        <v>43</v>
      </c>
      <c r="B45" t="s">
        <v>1823</v>
      </c>
    </row>
    <row r="46" spans="1:2" x14ac:dyDescent="0.25">
      <c r="A46">
        <v>44</v>
      </c>
      <c r="B46" t="s">
        <v>1824</v>
      </c>
    </row>
    <row r="47" spans="1:2" x14ac:dyDescent="0.25">
      <c r="A47">
        <v>45</v>
      </c>
      <c r="B47" t="s">
        <v>1825</v>
      </c>
    </row>
    <row r="48" spans="1:2" x14ac:dyDescent="0.25">
      <c r="A48">
        <v>46</v>
      </c>
      <c r="B48" t="s">
        <v>1826</v>
      </c>
    </row>
    <row r="49" spans="1:2" x14ac:dyDescent="0.25">
      <c r="A49">
        <v>47</v>
      </c>
      <c r="B49" t="s">
        <v>1827</v>
      </c>
    </row>
    <row r="50" spans="1:2" x14ac:dyDescent="0.25">
      <c r="A50">
        <v>48</v>
      </c>
      <c r="B50" t="s">
        <v>1828</v>
      </c>
    </row>
    <row r="51" spans="1:2" x14ac:dyDescent="0.25">
      <c r="A51">
        <v>49</v>
      </c>
      <c r="B51" t="s">
        <v>1829</v>
      </c>
    </row>
    <row r="52" spans="1:2" x14ac:dyDescent="0.25">
      <c r="A52">
        <v>50</v>
      </c>
      <c r="B52" t="s">
        <v>1830</v>
      </c>
    </row>
    <row r="53" spans="1:2" x14ac:dyDescent="0.25">
      <c r="A53">
        <v>51</v>
      </c>
      <c r="B53" t="s">
        <v>1831</v>
      </c>
    </row>
    <row r="54" spans="1:2" x14ac:dyDescent="0.25">
      <c r="A54">
        <v>52</v>
      </c>
      <c r="B54" t="s">
        <v>1832</v>
      </c>
    </row>
    <row r="55" spans="1:2" x14ac:dyDescent="0.25">
      <c r="A55">
        <v>53</v>
      </c>
      <c r="B55" t="s">
        <v>1833</v>
      </c>
    </row>
    <row r="56" spans="1:2" x14ac:dyDescent="0.25">
      <c r="A56">
        <v>54</v>
      </c>
    </row>
    <row r="57" spans="1:2" x14ac:dyDescent="0.25">
      <c r="A57">
        <v>55</v>
      </c>
      <c r="B57" t="s">
        <v>1834</v>
      </c>
    </row>
    <row r="58" spans="1:2" x14ac:dyDescent="0.25">
      <c r="A58">
        <v>56</v>
      </c>
      <c r="B58" t="s">
        <v>1835</v>
      </c>
    </row>
    <row r="59" spans="1:2" x14ac:dyDescent="0.25">
      <c r="A59">
        <v>57</v>
      </c>
      <c r="B59" t="s">
        <v>1836</v>
      </c>
    </row>
    <row r="60" spans="1:2" x14ac:dyDescent="0.25">
      <c r="A60">
        <v>58</v>
      </c>
      <c r="B60" t="s">
        <v>1837</v>
      </c>
    </row>
    <row r="61" spans="1:2" x14ac:dyDescent="0.25">
      <c r="A61">
        <v>59</v>
      </c>
      <c r="B61" t="s">
        <v>1838</v>
      </c>
    </row>
    <row r="62" spans="1:2" x14ac:dyDescent="0.25">
      <c r="A62">
        <v>60</v>
      </c>
      <c r="B62" t="s">
        <v>1839</v>
      </c>
    </row>
    <row r="63" spans="1:2" x14ac:dyDescent="0.25">
      <c r="A63">
        <v>61</v>
      </c>
      <c r="B63" t="s">
        <v>1840</v>
      </c>
    </row>
    <row r="64" spans="1:2" x14ac:dyDescent="0.25">
      <c r="A64">
        <v>62</v>
      </c>
      <c r="B64" t="s">
        <v>1841</v>
      </c>
    </row>
    <row r="65" spans="1:2" x14ac:dyDescent="0.25">
      <c r="A65">
        <v>63</v>
      </c>
      <c r="B65" t="s">
        <v>1842</v>
      </c>
    </row>
    <row r="66" spans="1:2" x14ac:dyDescent="0.25">
      <c r="A66">
        <v>64</v>
      </c>
      <c r="B66" t="s">
        <v>1843</v>
      </c>
    </row>
    <row r="67" spans="1:2" x14ac:dyDescent="0.25">
      <c r="A67">
        <v>65</v>
      </c>
      <c r="B67" t="s">
        <v>1844</v>
      </c>
    </row>
    <row r="68" spans="1:2" x14ac:dyDescent="0.25">
      <c r="A68">
        <v>66</v>
      </c>
      <c r="B68" t="s">
        <v>1845</v>
      </c>
    </row>
    <row r="69" spans="1:2" x14ac:dyDescent="0.25">
      <c r="A69">
        <v>67</v>
      </c>
      <c r="B69" t="s">
        <v>1846</v>
      </c>
    </row>
    <row r="70" spans="1:2" x14ac:dyDescent="0.25">
      <c r="A70">
        <v>68</v>
      </c>
      <c r="B70" t="s">
        <v>1847</v>
      </c>
    </row>
    <row r="71" spans="1:2" x14ac:dyDescent="0.25">
      <c r="A71">
        <v>69</v>
      </c>
      <c r="B71" t="s">
        <v>1848</v>
      </c>
    </row>
    <row r="72" spans="1:2" x14ac:dyDescent="0.25">
      <c r="A72">
        <v>70</v>
      </c>
    </row>
    <row r="73" spans="1:2" x14ac:dyDescent="0.25">
      <c r="A73">
        <v>71</v>
      </c>
      <c r="B73" t="s">
        <v>1849</v>
      </c>
    </row>
    <row r="74" spans="1:2" x14ac:dyDescent="0.25">
      <c r="A74">
        <v>72</v>
      </c>
      <c r="B74" t="s">
        <v>1850</v>
      </c>
    </row>
    <row r="75" spans="1:2" x14ac:dyDescent="0.25">
      <c r="A75">
        <v>73</v>
      </c>
      <c r="B75" t="s">
        <v>1851</v>
      </c>
    </row>
    <row r="76" spans="1:2" x14ac:dyDescent="0.25">
      <c r="A76">
        <v>74</v>
      </c>
      <c r="B76" t="s">
        <v>1852</v>
      </c>
    </row>
    <row r="77" spans="1:2" x14ac:dyDescent="0.25">
      <c r="A77">
        <v>75</v>
      </c>
      <c r="B77" t="s">
        <v>1853</v>
      </c>
    </row>
    <row r="78" spans="1:2" x14ac:dyDescent="0.25">
      <c r="A78">
        <v>76</v>
      </c>
      <c r="B78" t="s">
        <v>1854</v>
      </c>
    </row>
    <row r="79" spans="1:2" x14ac:dyDescent="0.25">
      <c r="A79">
        <v>77</v>
      </c>
      <c r="B79" t="s">
        <v>1855</v>
      </c>
    </row>
    <row r="80" spans="1:2" x14ac:dyDescent="0.25">
      <c r="A80">
        <v>78</v>
      </c>
      <c r="B80" t="s">
        <v>1856</v>
      </c>
    </row>
    <row r="81" spans="1:2" x14ac:dyDescent="0.25">
      <c r="A81">
        <v>79</v>
      </c>
      <c r="B81" t="s">
        <v>1857</v>
      </c>
    </row>
    <row r="82" spans="1:2" x14ac:dyDescent="0.25">
      <c r="A82">
        <v>80</v>
      </c>
      <c r="B82" t="s">
        <v>1858</v>
      </c>
    </row>
    <row r="83" spans="1:2" x14ac:dyDescent="0.25">
      <c r="A83">
        <v>81</v>
      </c>
      <c r="B83" t="s">
        <v>1859</v>
      </c>
    </row>
    <row r="84" spans="1:2" x14ac:dyDescent="0.25">
      <c r="A84">
        <v>82</v>
      </c>
      <c r="B84" t="s">
        <v>1860</v>
      </c>
    </row>
    <row r="85" spans="1:2" x14ac:dyDescent="0.25">
      <c r="A85">
        <v>83</v>
      </c>
      <c r="B85" t="s">
        <v>1861</v>
      </c>
    </row>
    <row r="86" spans="1:2" x14ac:dyDescent="0.25">
      <c r="A86">
        <v>84</v>
      </c>
      <c r="B86" t="s">
        <v>1862</v>
      </c>
    </row>
    <row r="87" spans="1:2" x14ac:dyDescent="0.25">
      <c r="A87">
        <v>85</v>
      </c>
      <c r="B87" t="s">
        <v>1863</v>
      </c>
    </row>
    <row r="88" spans="1:2" x14ac:dyDescent="0.25">
      <c r="A88">
        <v>86</v>
      </c>
      <c r="B88" t="s">
        <v>1864</v>
      </c>
    </row>
    <row r="89" spans="1:2" x14ac:dyDescent="0.25">
      <c r="A89">
        <v>87</v>
      </c>
      <c r="B89" t="s">
        <v>1865</v>
      </c>
    </row>
    <row r="90" spans="1:2" x14ac:dyDescent="0.25">
      <c r="A90">
        <v>88</v>
      </c>
      <c r="B90" t="s">
        <v>1866</v>
      </c>
    </row>
    <row r="91" spans="1:2" x14ac:dyDescent="0.25">
      <c r="A91">
        <v>89</v>
      </c>
      <c r="B91" t="s">
        <v>1867</v>
      </c>
    </row>
    <row r="92" spans="1:2" x14ac:dyDescent="0.25">
      <c r="A92">
        <v>90</v>
      </c>
      <c r="B92" t="s">
        <v>1868</v>
      </c>
    </row>
    <row r="93" spans="1:2" x14ac:dyDescent="0.25">
      <c r="A93">
        <v>91</v>
      </c>
      <c r="B93" t="s">
        <v>1869</v>
      </c>
    </row>
    <row r="94" spans="1:2" x14ac:dyDescent="0.25">
      <c r="A94">
        <v>92</v>
      </c>
      <c r="B94" t="s">
        <v>1870</v>
      </c>
    </row>
    <row r="95" spans="1:2" x14ac:dyDescent="0.25">
      <c r="A95">
        <v>93</v>
      </c>
      <c r="B95" t="s">
        <v>1871</v>
      </c>
    </row>
    <row r="96" spans="1:2" x14ac:dyDescent="0.25">
      <c r="A96">
        <v>94</v>
      </c>
      <c r="B96" t="s">
        <v>1872</v>
      </c>
    </row>
    <row r="97" spans="1:2" x14ac:dyDescent="0.25">
      <c r="A97">
        <v>95</v>
      </c>
      <c r="B97" t="s">
        <v>1873</v>
      </c>
    </row>
    <row r="98" spans="1:2" x14ac:dyDescent="0.25">
      <c r="A98">
        <v>96</v>
      </c>
      <c r="B98" t="s">
        <v>1874</v>
      </c>
    </row>
    <row r="99" spans="1:2" x14ac:dyDescent="0.25">
      <c r="A99">
        <v>97</v>
      </c>
      <c r="B99" t="s">
        <v>1875</v>
      </c>
    </row>
    <row r="100" spans="1:2" x14ac:dyDescent="0.25">
      <c r="A100">
        <v>98</v>
      </c>
      <c r="B100" t="s">
        <v>1876</v>
      </c>
    </row>
    <row r="101" spans="1:2" x14ac:dyDescent="0.25">
      <c r="A101">
        <v>99</v>
      </c>
      <c r="B101" t="s">
        <v>1877</v>
      </c>
    </row>
    <row r="102" spans="1:2" x14ac:dyDescent="0.25">
      <c r="A102">
        <v>100</v>
      </c>
      <c r="B102" t="s">
        <v>1878</v>
      </c>
    </row>
    <row r="103" spans="1:2" x14ac:dyDescent="0.25">
      <c r="A103">
        <v>101</v>
      </c>
      <c r="B103" t="s">
        <v>1879</v>
      </c>
    </row>
    <row r="104" spans="1:2" x14ac:dyDescent="0.25">
      <c r="A104">
        <v>102</v>
      </c>
      <c r="B104" t="s">
        <v>1880</v>
      </c>
    </row>
    <row r="105" spans="1:2" x14ac:dyDescent="0.25">
      <c r="A105">
        <v>103</v>
      </c>
      <c r="B105" t="s">
        <v>1881</v>
      </c>
    </row>
    <row r="106" spans="1:2" x14ac:dyDescent="0.25">
      <c r="A106">
        <v>104</v>
      </c>
      <c r="B106" t="s">
        <v>1882</v>
      </c>
    </row>
    <row r="107" spans="1:2" x14ac:dyDescent="0.25">
      <c r="A107">
        <v>105</v>
      </c>
      <c r="B107" t="s">
        <v>1883</v>
      </c>
    </row>
    <row r="108" spans="1:2" x14ac:dyDescent="0.25">
      <c r="A108">
        <v>106</v>
      </c>
      <c r="B108" t="s">
        <v>3863</v>
      </c>
    </row>
    <row r="109" spans="1:2" x14ac:dyDescent="0.25">
      <c r="A109">
        <v>107</v>
      </c>
      <c r="B109" t="s">
        <v>1884</v>
      </c>
    </row>
    <row r="110" spans="1:2" x14ac:dyDescent="0.25">
      <c r="A110">
        <v>108</v>
      </c>
      <c r="B110" t="s">
        <v>1885</v>
      </c>
    </row>
    <row r="111" spans="1:2" x14ac:dyDescent="0.25">
      <c r="A111">
        <v>109</v>
      </c>
      <c r="B111" t="s">
        <v>1886</v>
      </c>
    </row>
    <row r="112" spans="1:2" x14ac:dyDescent="0.25">
      <c r="A112">
        <v>110</v>
      </c>
      <c r="B112" t="s">
        <v>1887</v>
      </c>
    </row>
    <row r="113" spans="1:2" x14ac:dyDescent="0.25">
      <c r="A113">
        <v>111</v>
      </c>
      <c r="B113" t="s">
        <v>1888</v>
      </c>
    </row>
    <row r="114" spans="1:2" x14ac:dyDescent="0.25">
      <c r="A114">
        <v>112</v>
      </c>
      <c r="B114" t="s">
        <v>1889</v>
      </c>
    </row>
    <row r="115" spans="1:2" x14ac:dyDescent="0.25">
      <c r="A115">
        <v>113</v>
      </c>
      <c r="B115" t="s">
        <v>1890</v>
      </c>
    </row>
    <row r="116" spans="1:2" x14ac:dyDescent="0.25">
      <c r="A116">
        <v>114</v>
      </c>
      <c r="B116" t="s">
        <v>1891</v>
      </c>
    </row>
    <row r="117" spans="1:2" x14ac:dyDescent="0.25">
      <c r="A117">
        <v>115</v>
      </c>
      <c r="B117" t="s">
        <v>1892</v>
      </c>
    </row>
    <row r="118" spans="1:2" x14ac:dyDescent="0.25">
      <c r="A118">
        <v>116</v>
      </c>
      <c r="B118" t="s">
        <v>1893</v>
      </c>
    </row>
    <row r="119" spans="1:2" x14ac:dyDescent="0.25">
      <c r="A119">
        <v>117</v>
      </c>
      <c r="B119" t="s">
        <v>1894</v>
      </c>
    </row>
    <row r="120" spans="1:2" x14ac:dyDescent="0.25">
      <c r="A120">
        <v>118</v>
      </c>
      <c r="B120" t="s">
        <v>1895</v>
      </c>
    </row>
    <row r="121" spans="1:2" x14ac:dyDescent="0.25">
      <c r="A121">
        <v>119</v>
      </c>
      <c r="B121" t="s">
        <v>1896</v>
      </c>
    </row>
    <row r="122" spans="1:2" x14ac:dyDescent="0.25">
      <c r="A122">
        <v>120</v>
      </c>
      <c r="B122" t="s">
        <v>1897</v>
      </c>
    </row>
    <row r="123" spans="1:2" x14ac:dyDescent="0.25">
      <c r="A123">
        <v>121</v>
      </c>
      <c r="B123" t="s">
        <v>1898</v>
      </c>
    </row>
    <row r="124" spans="1:2" x14ac:dyDescent="0.25">
      <c r="A124">
        <v>122</v>
      </c>
      <c r="B124" t="s">
        <v>1899</v>
      </c>
    </row>
    <row r="125" spans="1:2" x14ac:dyDescent="0.25">
      <c r="A125">
        <v>123</v>
      </c>
      <c r="B125" t="s">
        <v>1900</v>
      </c>
    </row>
    <row r="126" spans="1:2" x14ac:dyDescent="0.25">
      <c r="A126">
        <v>124</v>
      </c>
      <c r="B126" t="s">
        <v>1901</v>
      </c>
    </row>
    <row r="127" spans="1:2" x14ac:dyDescent="0.25">
      <c r="A127">
        <v>125</v>
      </c>
      <c r="B127" t="s">
        <v>1902</v>
      </c>
    </row>
    <row r="128" spans="1:2" x14ac:dyDescent="0.25">
      <c r="A128">
        <v>126</v>
      </c>
      <c r="B128" t="s">
        <v>1903</v>
      </c>
    </row>
    <row r="129" spans="1:2" x14ac:dyDescent="0.25">
      <c r="A129">
        <v>127</v>
      </c>
      <c r="B129" t="s">
        <v>1904</v>
      </c>
    </row>
    <row r="130" spans="1:2" x14ac:dyDescent="0.25">
      <c r="A130">
        <v>128</v>
      </c>
      <c r="B130" t="s">
        <v>1905</v>
      </c>
    </row>
    <row r="131" spans="1:2" x14ac:dyDescent="0.25">
      <c r="A131">
        <v>129</v>
      </c>
      <c r="B131" t="s">
        <v>1906</v>
      </c>
    </row>
    <row r="132" spans="1:2" x14ac:dyDescent="0.25">
      <c r="A132">
        <v>130</v>
      </c>
      <c r="B132" t="s">
        <v>1907</v>
      </c>
    </row>
    <row r="133" spans="1:2" x14ac:dyDescent="0.25">
      <c r="A133">
        <v>131</v>
      </c>
      <c r="B133" t="s">
        <v>1908</v>
      </c>
    </row>
    <row r="134" spans="1:2" x14ac:dyDescent="0.25">
      <c r="A134">
        <v>132</v>
      </c>
      <c r="B134" t="s">
        <v>1909</v>
      </c>
    </row>
    <row r="135" spans="1:2" x14ac:dyDescent="0.25">
      <c r="A135">
        <v>133</v>
      </c>
      <c r="B135" t="s">
        <v>1910</v>
      </c>
    </row>
    <row r="136" spans="1:2" x14ac:dyDescent="0.25">
      <c r="A136">
        <v>134</v>
      </c>
      <c r="B136" t="s">
        <v>1911</v>
      </c>
    </row>
    <row r="137" spans="1:2" x14ac:dyDescent="0.25">
      <c r="A137">
        <v>135</v>
      </c>
      <c r="B137" t="s">
        <v>1912</v>
      </c>
    </row>
    <row r="138" spans="1:2" x14ac:dyDescent="0.25">
      <c r="A138">
        <v>136</v>
      </c>
      <c r="B138" t="s">
        <v>1913</v>
      </c>
    </row>
    <row r="139" spans="1:2" x14ac:dyDescent="0.25">
      <c r="A139">
        <v>137</v>
      </c>
      <c r="B139" t="s">
        <v>1914</v>
      </c>
    </row>
    <row r="140" spans="1:2" x14ac:dyDescent="0.25">
      <c r="A140">
        <v>138</v>
      </c>
      <c r="B140" t="s">
        <v>1915</v>
      </c>
    </row>
    <row r="141" spans="1:2" x14ac:dyDescent="0.25">
      <c r="A141">
        <v>139</v>
      </c>
      <c r="B141" t="s">
        <v>1916</v>
      </c>
    </row>
    <row r="142" spans="1:2" x14ac:dyDescent="0.25">
      <c r="A142">
        <v>140</v>
      </c>
      <c r="B142" t="s">
        <v>1917</v>
      </c>
    </row>
    <row r="143" spans="1:2" x14ac:dyDescent="0.25">
      <c r="A143">
        <v>141</v>
      </c>
      <c r="B143" t="s">
        <v>1918</v>
      </c>
    </row>
    <row r="144" spans="1:2" x14ac:dyDescent="0.25">
      <c r="A144">
        <v>142</v>
      </c>
      <c r="B144" t="s">
        <v>1919</v>
      </c>
    </row>
    <row r="145" spans="1:2" x14ac:dyDescent="0.25">
      <c r="A145">
        <v>143</v>
      </c>
      <c r="B145" t="s">
        <v>1920</v>
      </c>
    </row>
    <row r="146" spans="1:2" x14ac:dyDescent="0.25">
      <c r="A146">
        <v>144</v>
      </c>
      <c r="B146" t="s">
        <v>1921</v>
      </c>
    </row>
    <row r="147" spans="1:2" x14ac:dyDescent="0.25">
      <c r="A147">
        <v>145</v>
      </c>
      <c r="B147" t="s">
        <v>1922</v>
      </c>
    </row>
    <row r="148" spans="1:2" x14ac:dyDescent="0.25">
      <c r="A148">
        <v>146</v>
      </c>
      <c r="B148" t="s">
        <v>1923</v>
      </c>
    </row>
    <row r="149" spans="1:2" x14ac:dyDescent="0.25">
      <c r="A149">
        <v>147</v>
      </c>
      <c r="B149" t="s">
        <v>1924</v>
      </c>
    </row>
    <row r="150" spans="1:2" x14ac:dyDescent="0.25">
      <c r="A150">
        <v>148</v>
      </c>
      <c r="B150" t="s">
        <v>1925</v>
      </c>
    </row>
    <row r="151" spans="1:2" x14ac:dyDescent="0.25">
      <c r="A151">
        <v>149</v>
      </c>
      <c r="B151" t="s">
        <v>1926</v>
      </c>
    </row>
    <row r="152" spans="1:2" x14ac:dyDescent="0.25">
      <c r="A152">
        <v>150</v>
      </c>
      <c r="B152" t="s">
        <v>1927</v>
      </c>
    </row>
    <row r="153" spans="1:2" x14ac:dyDescent="0.25">
      <c r="A153">
        <v>151</v>
      </c>
      <c r="B153" t="s">
        <v>1928</v>
      </c>
    </row>
    <row r="154" spans="1:2" x14ac:dyDescent="0.25">
      <c r="A154">
        <v>152</v>
      </c>
      <c r="B154" t="s">
        <v>1929</v>
      </c>
    </row>
    <row r="155" spans="1:2" x14ac:dyDescent="0.25">
      <c r="A155">
        <v>153</v>
      </c>
      <c r="B155" t="s">
        <v>1930</v>
      </c>
    </row>
    <row r="156" spans="1:2" x14ac:dyDescent="0.25">
      <c r="A156">
        <v>154</v>
      </c>
      <c r="B156" t="s">
        <v>1931</v>
      </c>
    </row>
    <row r="157" spans="1:2" x14ac:dyDescent="0.25">
      <c r="A157">
        <v>155</v>
      </c>
      <c r="B157" t="s">
        <v>1932</v>
      </c>
    </row>
    <row r="158" spans="1:2" x14ac:dyDescent="0.25">
      <c r="A158">
        <v>156</v>
      </c>
      <c r="B158" t="s">
        <v>1933</v>
      </c>
    </row>
    <row r="159" spans="1:2" x14ac:dyDescent="0.25">
      <c r="A159">
        <v>157</v>
      </c>
      <c r="B159" t="s">
        <v>1934</v>
      </c>
    </row>
    <row r="160" spans="1:2" x14ac:dyDescent="0.25">
      <c r="A160">
        <v>158</v>
      </c>
      <c r="B160" t="s">
        <v>1935</v>
      </c>
    </row>
    <row r="161" spans="1:2" x14ac:dyDescent="0.25">
      <c r="A161">
        <v>159</v>
      </c>
      <c r="B161" t="s">
        <v>1936</v>
      </c>
    </row>
    <row r="162" spans="1:2" x14ac:dyDescent="0.25">
      <c r="A162">
        <v>160</v>
      </c>
      <c r="B162" t="s">
        <v>1937</v>
      </c>
    </row>
    <row r="163" spans="1:2" x14ac:dyDescent="0.25">
      <c r="A163">
        <v>161</v>
      </c>
      <c r="B163" t="s">
        <v>1938</v>
      </c>
    </row>
    <row r="164" spans="1:2" x14ac:dyDescent="0.25">
      <c r="A164">
        <v>162</v>
      </c>
      <c r="B164" t="s">
        <v>1939</v>
      </c>
    </row>
    <row r="165" spans="1:2" x14ac:dyDescent="0.25">
      <c r="A165">
        <v>163</v>
      </c>
      <c r="B165" t="s">
        <v>1940</v>
      </c>
    </row>
    <row r="166" spans="1:2" x14ac:dyDescent="0.25">
      <c r="A166">
        <v>164</v>
      </c>
      <c r="B166" t="s">
        <v>1941</v>
      </c>
    </row>
    <row r="167" spans="1:2" x14ac:dyDescent="0.25">
      <c r="A167">
        <v>165</v>
      </c>
      <c r="B167" t="s">
        <v>1942</v>
      </c>
    </row>
    <row r="168" spans="1:2" x14ac:dyDescent="0.25">
      <c r="A168">
        <v>166</v>
      </c>
      <c r="B168" t="s">
        <v>1943</v>
      </c>
    </row>
    <row r="169" spans="1:2" x14ac:dyDescent="0.25">
      <c r="A169">
        <v>167</v>
      </c>
      <c r="B169" t="s">
        <v>1944</v>
      </c>
    </row>
    <row r="170" spans="1:2" x14ac:dyDescent="0.25">
      <c r="A170">
        <v>168</v>
      </c>
      <c r="B170" t="s">
        <v>1945</v>
      </c>
    </row>
    <row r="171" spans="1:2" x14ac:dyDescent="0.25">
      <c r="A171">
        <v>169</v>
      </c>
      <c r="B171" t="s">
        <v>1946</v>
      </c>
    </row>
    <row r="172" spans="1:2" x14ac:dyDescent="0.25">
      <c r="A172">
        <v>170</v>
      </c>
      <c r="B172" t="s">
        <v>1947</v>
      </c>
    </row>
    <row r="173" spans="1:2" x14ac:dyDescent="0.25">
      <c r="A173">
        <v>171</v>
      </c>
      <c r="B173" t="s">
        <v>1948</v>
      </c>
    </row>
    <row r="174" spans="1:2" x14ac:dyDescent="0.25">
      <c r="A174">
        <v>172</v>
      </c>
      <c r="B174" t="s">
        <v>1949</v>
      </c>
    </row>
    <row r="175" spans="1:2" x14ac:dyDescent="0.25">
      <c r="A175">
        <v>173</v>
      </c>
      <c r="B175" t="s">
        <v>1950</v>
      </c>
    </row>
    <row r="176" spans="1:2" x14ac:dyDescent="0.25">
      <c r="A176">
        <v>174</v>
      </c>
      <c r="B176" t="s">
        <v>1951</v>
      </c>
    </row>
    <row r="177" spans="1:2" x14ac:dyDescent="0.25">
      <c r="A177">
        <v>175</v>
      </c>
      <c r="B177" t="s">
        <v>1952</v>
      </c>
    </row>
    <row r="178" spans="1:2" x14ac:dyDescent="0.25">
      <c r="A178">
        <v>176</v>
      </c>
      <c r="B178" t="s">
        <v>1953</v>
      </c>
    </row>
    <row r="179" spans="1:2" x14ac:dyDescent="0.25">
      <c r="A179">
        <v>177</v>
      </c>
      <c r="B179" t="s">
        <v>1954</v>
      </c>
    </row>
    <row r="180" spans="1:2" x14ac:dyDescent="0.25">
      <c r="A180">
        <v>178</v>
      </c>
      <c r="B180" t="s">
        <v>1955</v>
      </c>
    </row>
    <row r="181" spans="1:2" x14ac:dyDescent="0.25">
      <c r="A181">
        <v>179</v>
      </c>
      <c r="B181" t="s">
        <v>1956</v>
      </c>
    </row>
    <row r="182" spans="1:2" x14ac:dyDescent="0.25">
      <c r="A182">
        <v>180</v>
      </c>
      <c r="B182" t="s">
        <v>1957</v>
      </c>
    </row>
    <row r="183" spans="1:2" x14ac:dyDescent="0.25">
      <c r="A183">
        <v>181</v>
      </c>
      <c r="B183" t="s">
        <v>1958</v>
      </c>
    </row>
    <row r="184" spans="1:2" x14ac:dyDescent="0.25">
      <c r="A184">
        <v>182</v>
      </c>
      <c r="B184" t="s">
        <v>1959</v>
      </c>
    </row>
    <row r="185" spans="1:2" x14ac:dyDescent="0.25">
      <c r="A185">
        <v>183</v>
      </c>
      <c r="B185" t="s">
        <v>1960</v>
      </c>
    </row>
    <row r="186" spans="1:2" x14ac:dyDescent="0.25">
      <c r="A186">
        <v>184</v>
      </c>
      <c r="B186" t="s">
        <v>1961</v>
      </c>
    </row>
    <row r="187" spans="1:2" x14ac:dyDescent="0.25">
      <c r="A187">
        <v>185</v>
      </c>
      <c r="B187" t="s">
        <v>1962</v>
      </c>
    </row>
    <row r="188" spans="1:2" x14ac:dyDescent="0.25">
      <c r="A188">
        <v>186</v>
      </c>
      <c r="B188" t="s">
        <v>1963</v>
      </c>
    </row>
    <row r="189" spans="1:2" x14ac:dyDescent="0.25">
      <c r="A189">
        <v>187</v>
      </c>
      <c r="B189" t="s">
        <v>1964</v>
      </c>
    </row>
    <row r="190" spans="1:2" x14ac:dyDescent="0.25">
      <c r="A190">
        <v>188</v>
      </c>
      <c r="B190" t="s">
        <v>1965</v>
      </c>
    </row>
    <row r="191" spans="1:2" x14ac:dyDescent="0.25">
      <c r="A191">
        <v>189</v>
      </c>
      <c r="B191" t="s">
        <v>1966</v>
      </c>
    </row>
    <row r="192" spans="1:2" x14ac:dyDescent="0.25">
      <c r="A192">
        <v>190</v>
      </c>
      <c r="B192" t="s">
        <v>1967</v>
      </c>
    </row>
    <row r="193" spans="1:2" x14ac:dyDescent="0.25">
      <c r="A193">
        <v>191</v>
      </c>
      <c r="B193" t="s">
        <v>1968</v>
      </c>
    </row>
    <row r="194" spans="1:2" x14ac:dyDescent="0.25">
      <c r="A194">
        <v>192</v>
      </c>
      <c r="B194" t="s">
        <v>1969</v>
      </c>
    </row>
    <row r="195" spans="1:2" x14ac:dyDescent="0.25">
      <c r="A195">
        <v>193</v>
      </c>
      <c r="B195" t="s">
        <v>1970</v>
      </c>
    </row>
    <row r="196" spans="1:2" x14ac:dyDescent="0.25">
      <c r="A196">
        <v>194</v>
      </c>
      <c r="B196" t="s">
        <v>1971</v>
      </c>
    </row>
    <row r="197" spans="1:2" x14ac:dyDescent="0.25">
      <c r="A197">
        <v>195</v>
      </c>
      <c r="B197" t="s">
        <v>1972</v>
      </c>
    </row>
    <row r="198" spans="1:2" x14ac:dyDescent="0.25">
      <c r="A198">
        <v>196</v>
      </c>
      <c r="B198" t="s">
        <v>1973</v>
      </c>
    </row>
    <row r="199" spans="1:2" x14ac:dyDescent="0.25">
      <c r="A199">
        <v>197</v>
      </c>
      <c r="B199" t="s">
        <v>1974</v>
      </c>
    </row>
    <row r="200" spans="1:2" x14ac:dyDescent="0.25">
      <c r="A200">
        <v>198</v>
      </c>
      <c r="B200" t="s">
        <v>1975</v>
      </c>
    </row>
    <row r="201" spans="1:2" x14ac:dyDescent="0.25">
      <c r="A201">
        <v>199</v>
      </c>
      <c r="B201" t="s">
        <v>1976</v>
      </c>
    </row>
    <row r="202" spans="1:2" x14ac:dyDescent="0.25">
      <c r="A202">
        <v>200</v>
      </c>
      <c r="B202" t="s">
        <v>1977</v>
      </c>
    </row>
    <row r="203" spans="1:2" x14ac:dyDescent="0.25">
      <c r="A203">
        <v>201</v>
      </c>
      <c r="B203" t="s">
        <v>1978</v>
      </c>
    </row>
    <row r="204" spans="1:2" x14ac:dyDescent="0.25">
      <c r="A204">
        <v>202</v>
      </c>
      <c r="B204" t="s">
        <v>1979</v>
      </c>
    </row>
    <row r="205" spans="1:2" x14ac:dyDescent="0.25">
      <c r="A205">
        <v>203</v>
      </c>
      <c r="B205" t="s">
        <v>1980</v>
      </c>
    </row>
    <row r="206" spans="1:2" x14ac:dyDescent="0.25">
      <c r="A206">
        <v>204</v>
      </c>
      <c r="B206" t="s">
        <v>1981</v>
      </c>
    </row>
    <row r="207" spans="1:2" x14ac:dyDescent="0.25">
      <c r="A207">
        <v>205</v>
      </c>
      <c r="B207" t="s">
        <v>1982</v>
      </c>
    </row>
    <row r="208" spans="1:2" x14ac:dyDescent="0.25">
      <c r="A208">
        <v>206</v>
      </c>
      <c r="B208" t="s">
        <v>1983</v>
      </c>
    </row>
    <row r="209" spans="1:2" x14ac:dyDescent="0.25">
      <c r="A209">
        <v>207</v>
      </c>
      <c r="B209" t="s">
        <v>1984</v>
      </c>
    </row>
    <row r="210" spans="1:2" x14ac:dyDescent="0.25">
      <c r="A210">
        <v>208</v>
      </c>
      <c r="B210" t="s">
        <v>1985</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1986</v>
      </c>
    </row>
    <row r="216" spans="1:2" x14ac:dyDescent="0.25">
      <c r="A216">
        <v>214</v>
      </c>
      <c r="B216" t="s">
        <v>1987</v>
      </c>
    </row>
    <row r="217" spans="1:2" x14ac:dyDescent="0.25">
      <c r="A217">
        <v>215</v>
      </c>
      <c r="B217" t="s">
        <v>185</v>
      </c>
    </row>
    <row r="218" spans="1:2" x14ac:dyDescent="0.25">
      <c r="A218">
        <v>216</v>
      </c>
      <c r="B218" t="s">
        <v>1988</v>
      </c>
    </row>
    <row r="219" spans="1:2" x14ac:dyDescent="0.25">
      <c r="A219">
        <v>217</v>
      </c>
      <c r="B219" t="s">
        <v>1989</v>
      </c>
    </row>
    <row r="220" spans="1:2" x14ac:dyDescent="0.25">
      <c r="A220">
        <v>218</v>
      </c>
      <c r="B220" t="s">
        <v>1990</v>
      </c>
    </row>
    <row r="221" spans="1:2" x14ac:dyDescent="0.25">
      <c r="A221">
        <v>219</v>
      </c>
      <c r="B221" t="s">
        <v>1991</v>
      </c>
    </row>
    <row r="222" spans="1:2" x14ac:dyDescent="0.25">
      <c r="A222">
        <v>220</v>
      </c>
      <c r="B222" t="s">
        <v>1992</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1993</v>
      </c>
    </row>
    <row r="228" spans="1:2" x14ac:dyDescent="0.25">
      <c r="A228">
        <v>226</v>
      </c>
      <c r="B228" t="s">
        <v>1994</v>
      </c>
    </row>
    <row r="229" spans="1:2" x14ac:dyDescent="0.25">
      <c r="A229">
        <v>227</v>
      </c>
      <c r="B229" t="s">
        <v>1995</v>
      </c>
    </row>
    <row r="230" spans="1:2" x14ac:dyDescent="0.25">
      <c r="A230">
        <v>228</v>
      </c>
    </row>
    <row r="231" spans="1:2" x14ac:dyDescent="0.25">
      <c r="A231">
        <v>229</v>
      </c>
      <c r="B231" t="s">
        <v>1996</v>
      </c>
    </row>
    <row r="232" spans="1:2" x14ac:dyDescent="0.25">
      <c r="A232">
        <v>230</v>
      </c>
      <c r="B232" t="s">
        <v>1997</v>
      </c>
    </row>
    <row r="233" spans="1:2" x14ac:dyDescent="0.25">
      <c r="A233">
        <v>231</v>
      </c>
      <c r="B233" t="s">
        <v>1998</v>
      </c>
    </row>
    <row r="234" spans="1:2" x14ac:dyDescent="0.25">
      <c r="A234">
        <v>232</v>
      </c>
      <c r="B234" t="s">
        <v>1999</v>
      </c>
    </row>
    <row r="235" spans="1:2" x14ac:dyDescent="0.25">
      <c r="A235">
        <v>233</v>
      </c>
      <c r="B235" t="s">
        <v>2000</v>
      </c>
    </row>
    <row r="236" spans="1:2" x14ac:dyDescent="0.25">
      <c r="A236">
        <v>234</v>
      </c>
      <c r="B236" t="s">
        <v>2001</v>
      </c>
    </row>
    <row r="237" spans="1:2" x14ac:dyDescent="0.25">
      <c r="A237">
        <v>235</v>
      </c>
      <c r="B237" t="s">
        <v>2002</v>
      </c>
    </row>
    <row r="238" spans="1:2" x14ac:dyDescent="0.25">
      <c r="A238">
        <v>236</v>
      </c>
      <c r="B238" t="s">
        <v>2003</v>
      </c>
    </row>
    <row r="239" spans="1:2" x14ac:dyDescent="0.25">
      <c r="A239">
        <v>237</v>
      </c>
      <c r="B239" t="s">
        <v>2004</v>
      </c>
    </row>
    <row r="240" spans="1:2" x14ac:dyDescent="0.25">
      <c r="A240">
        <v>238</v>
      </c>
      <c r="B240" t="s">
        <v>2005</v>
      </c>
    </row>
    <row r="241" spans="1:2" x14ac:dyDescent="0.25">
      <c r="A241">
        <v>239</v>
      </c>
      <c r="B241" t="s">
        <v>2006</v>
      </c>
    </row>
    <row r="242" spans="1:2" x14ac:dyDescent="0.25">
      <c r="A242">
        <v>240</v>
      </c>
      <c r="B242" t="s">
        <v>2007</v>
      </c>
    </row>
    <row r="243" spans="1:2" x14ac:dyDescent="0.25">
      <c r="A243">
        <v>241</v>
      </c>
      <c r="B243" t="s">
        <v>2008</v>
      </c>
    </row>
    <row r="244" spans="1:2" x14ac:dyDescent="0.25">
      <c r="A244">
        <v>242</v>
      </c>
      <c r="B244" t="s">
        <v>2009</v>
      </c>
    </row>
    <row r="245" spans="1:2" x14ac:dyDescent="0.25">
      <c r="A245">
        <v>243</v>
      </c>
      <c r="B245" t="s">
        <v>2010</v>
      </c>
    </row>
    <row r="246" spans="1:2" x14ac:dyDescent="0.25">
      <c r="A246">
        <v>244</v>
      </c>
      <c r="B246" t="s">
        <v>2011</v>
      </c>
    </row>
    <row r="247" spans="1:2" x14ac:dyDescent="0.25">
      <c r="A247">
        <v>245</v>
      </c>
      <c r="B247" t="s">
        <v>2012</v>
      </c>
    </row>
    <row r="248" spans="1:2" x14ac:dyDescent="0.25">
      <c r="A248">
        <v>246</v>
      </c>
      <c r="B248" t="s">
        <v>2013</v>
      </c>
    </row>
    <row r="249" spans="1:2" x14ac:dyDescent="0.25">
      <c r="A249">
        <v>247</v>
      </c>
      <c r="B249" t="s">
        <v>2014</v>
      </c>
    </row>
    <row r="250" spans="1:2" x14ac:dyDescent="0.25">
      <c r="A250">
        <v>248</v>
      </c>
    </row>
    <row r="251" spans="1:2" x14ac:dyDescent="0.25">
      <c r="A251">
        <v>249</v>
      </c>
      <c r="B251" t="s">
        <v>447</v>
      </c>
    </row>
    <row r="252" spans="1:2" x14ac:dyDescent="0.25">
      <c r="A252">
        <v>250</v>
      </c>
      <c r="B252" t="s">
        <v>447</v>
      </c>
    </row>
    <row r="253" spans="1:2" x14ac:dyDescent="0.25">
      <c r="A253">
        <v>251</v>
      </c>
      <c r="B253" t="s">
        <v>2015</v>
      </c>
    </row>
    <row r="254" spans="1:2" x14ac:dyDescent="0.25">
      <c r="A254">
        <v>252</v>
      </c>
      <c r="B254" t="s">
        <v>2016</v>
      </c>
    </row>
    <row r="255" spans="1:2" x14ac:dyDescent="0.25">
      <c r="A255">
        <v>253</v>
      </c>
      <c r="B255" t="s">
        <v>2017</v>
      </c>
    </row>
    <row r="256" spans="1:2" x14ac:dyDescent="0.25">
      <c r="A256">
        <v>254</v>
      </c>
      <c r="B256" t="s">
        <v>2018</v>
      </c>
    </row>
    <row r="257" spans="1:2" x14ac:dyDescent="0.25">
      <c r="A257">
        <v>255</v>
      </c>
      <c r="B257" t="s">
        <v>2019</v>
      </c>
    </row>
    <row r="258" spans="1:2" x14ac:dyDescent="0.25">
      <c r="A258">
        <v>256</v>
      </c>
      <c r="B258" t="s">
        <v>2020</v>
      </c>
    </row>
    <row r="259" spans="1:2" x14ac:dyDescent="0.25">
      <c r="A259">
        <v>257</v>
      </c>
      <c r="B259" t="s">
        <v>2021</v>
      </c>
    </row>
    <row r="260" spans="1:2" x14ac:dyDescent="0.25">
      <c r="A260">
        <v>258</v>
      </c>
      <c r="B260" t="s">
        <v>2022</v>
      </c>
    </row>
    <row r="261" spans="1:2" x14ac:dyDescent="0.25">
      <c r="A261">
        <v>259</v>
      </c>
    </row>
    <row r="262" spans="1:2" x14ac:dyDescent="0.25">
      <c r="A262">
        <v>260</v>
      </c>
      <c r="B262" t="s">
        <v>2023</v>
      </c>
    </row>
    <row r="263" spans="1:2" x14ac:dyDescent="0.25">
      <c r="A263">
        <v>261</v>
      </c>
      <c r="B263" t="s">
        <v>2024</v>
      </c>
    </row>
    <row r="264" spans="1:2" x14ac:dyDescent="0.25">
      <c r="A264">
        <v>262</v>
      </c>
      <c r="B264" t="s">
        <v>2025</v>
      </c>
    </row>
    <row r="265" spans="1:2" x14ac:dyDescent="0.25">
      <c r="A265">
        <v>263</v>
      </c>
      <c r="B265" t="s">
        <v>2026</v>
      </c>
    </row>
    <row r="266" spans="1:2" x14ac:dyDescent="0.25">
      <c r="A266">
        <v>264</v>
      </c>
      <c r="B266" t="s">
        <v>2027</v>
      </c>
    </row>
    <row r="267" spans="1:2" x14ac:dyDescent="0.25">
      <c r="A267">
        <v>265</v>
      </c>
      <c r="B267" t="s">
        <v>2028</v>
      </c>
    </row>
    <row r="268" spans="1:2" x14ac:dyDescent="0.25">
      <c r="A268">
        <v>266</v>
      </c>
      <c r="B268" t="s">
        <v>2029</v>
      </c>
    </row>
    <row r="269" spans="1:2" x14ac:dyDescent="0.25">
      <c r="A269">
        <v>267</v>
      </c>
      <c r="B269" t="s">
        <v>2030</v>
      </c>
    </row>
    <row r="270" spans="1:2" x14ac:dyDescent="0.25">
      <c r="A270">
        <v>268</v>
      </c>
      <c r="B270" t="s">
        <v>2031</v>
      </c>
    </row>
    <row r="271" spans="1:2" x14ac:dyDescent="0.25">
      <c r="A271">
        <v>269</v>
      </c>
      <c r="B271" t="s">
        <v>2032</v>
      </c>
    </row>
    <row r="272" spans="1:2" x14ac:dyDescent="0.25">
      <c r="A272">
        <v>270</v>
      </c>
      <c r="B272" t="s">
        <v>437</v>
      </c>
    </row>
    <row r="273" spans="1:2" x14ac:dyDescent="0.25">
      <c r="A273">
        <v>271</v>
      </c>
    </row>
    <row r="274" spans="1:2" x14ac:dyDescent="0.25">
      <c r="A274">
        <v>272</v>
      </c>
      <c r="B274" t="s">
        <v>2033</v>
      </c>
    </row>
    <row r="275" spans="1:2" x14ac:dyDescent="0.25">
      <c r="A275">
        <v>273</v>
      </c>
      <c r="B275" t="s">
        <v>2034</v>
      </c>
    </row>
    <row r="276" spans="1:2" x14ac:dyDescent="0.25">
      <c r="A276">
        <v>274</v>
      </c>
      <c r="B276" t="s">
        <v>2035</v>
      </c>
    </row>
    <row r="277" spans="1:2" x14ac:dyDescent="0.25">
      <c r="A277">
        <v>275</v>
      </c>
      <c r="B277" t="s">
        <v>2036</v>
      </c>
    </row>
    <row r="278" spans="1:2" x14ac:dyDescent="0.25">
      <c r="A278">
        <v>276</v>
      </c>
      <c r="B278" t="s">
        <v>2037</v>
      </c>
    </row>
    <row r="279" spans="1:2" x14ac:dyDescent="0.25">
      <c r="A279">
        <v>277</v>
      </c>
      <c r="B279" t="s">
        <v>2038</v>
      </c>
    </row>
    <row r="280" spans="1:2" x14ac:dyDescent="0.25">
      <c r="A280">
        <v>278</v>
      </c>
      <c r="B280" t="s">
        <v>2039</v>
      </c>
    </row>
    <row r="281" spans="1:2" x14ac:dyDescent="0.25">
      <c r="A281">
        <v>279</v>
      </c>
      <c r="B281" t="s">
        <v>2040</v>
      </c>
    </row>
    <row r="282" spans="1:2" x14ac:dyDescent="0.25">
      <c r="A282">
        <v>280</v>
      </c>
      <c r="B282" t="s">
        <v>2041</v>
      </c>
    </row>
    <row r="283" spans="1:2" x14ac:dyDescent="0.25">
      <c r="A283">
        <v>281</v>
      </c>
      <c r="B283" t="s">
        <v>2042</v>
      </c>
    </row>
    <row r="284" spans="1:2" x14ac:dyDescent="0.25">
      <c r="A284">
        <v>282</v>
      </c>
      <c r="B284" t="s">
        <v>2043</v>
      </c>
    </row>
    <row r="285" spans="1:2" x14ac:dyDescent="0.25">
      <c r="A285">
        <v>283</v>
      </c>
    </row>
    <row r="286" spans="1:2" x14ac:dyDescent="0.25">
      <c r="A286">
        <v>284</v>
      </c>
      <c r="B286" t="s">
        <v>2044</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2045</v>
      </c>
    </row>
    <row r="329" spans="1:2" x14ac:dyDescent="0.25">
      <c r="A329">
        <v>327</v>
      </c>
      <c r="B329" t="s">
        <v>560</v>
      </c>
    </row>
    <row r="330" spans="1:2" x14ac:dyDescent="0.25">
      <c r="A330">
        <v>328</v>
      </c>
      <c r="B330" t="s">
        <v>2046</v>
      </c>
    </row>
    <row r="331" spans="1:2" x14ac:dyDescent="0.25">
      <c r="A331">
        <v>329</v>
      </c>
      <c r="B331" t="s">
        <v>2047</v>
      </c>
    </row>
    <row r="332" spans="1:2" x14ac:dyDescent="0.25">
      <c r="A332">
        <v>330</v>
      </c>
      <c r="B332" t="s">
        <v>2048</v>
      </c>
    </row>
    <row r="333" spans="1:2" x14ac:dyDescent="0.25">
      <c r="A333">
        <v>331</v>
      </c>
      <c r="B333" t="s">
        <v>2049</v>
      </c>
    </row>
    <row r="334" spans="1:2" x14ac:dyDescent="0.25">
      <c r="A334">
        <v>332</v>
      </c>
      <c r="B334" t="s">
        <v>2050</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2051</v>
      </c>
    </row>
    <row r="340" spans="1:2" x14ac:dyDescent="0.25">
      <c r="A340">
        <v>338</v>
      </c>
      <c r="B340" t="s">
        <v>2052</v>
      </c>
    </row>
    <row r="341" spans="1:2" x14ac:dyDescent="0.25">
      <c r="A341">
        <v>339</v>
      </c>
      <c r="B341" t="s">
        <v>2053</v>
      </c>
    </row>
    <row r="342" spans="1:2" x14ac:dyDescent="0.25">
      <c r="A342">
        <v>340</v>
      </c>
      <c r="B342" t="s">
        <v>2054</v>
      </c>
    </row>
    <row r="343" spans="1:2" x14ac:dyDescent="0.25">
      <c r="A343">
        <v>341</v>
      </c>
      <c r="B343" t="s">
        <v>2055</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2056</v>
      </c>
    </row>
    <row r="349" spans="1:2" x14ac:dyDescent="0.25">
      <c r="A349">
        <v>347</v>
      </c>
      <c r="B349" t="s">
        <v>690</v>
      </c>
    </row>
    <row r="350" spans="1:2" x14ac:dyDescent="0.25">
      <c r="A350">
        <v>348</v>
      </c>
      <c r="B350" t="s">
        <v>689</v>
      </c>
    </row>
    <row r="351" spans="1:2" x14ac:dyDescent="0.25">
      <c r="A351">
        <v>349</v>
      </c>
      <c r="B351" t="s">
        <v>2057</v>
      </c>
    </row>
    <row r="352" spans="1:2" x14ac:dyDescent="0.25">
      <c r="A352">
        <v>350</v>
      </c>
      <c r="B352" t="s">
        <v>2058</v>
      </c>
    </row>
    <row r="353" spans="1:2" x14ac:dyDescent="0.25">
      <c r="A353">
        <v>351</v>
      </c>
      <c r="B353" t="s">
        <v>2059</v>
      </c>
    </row>
    <row r="354" spans="1:2" x14ac:dyDescent="0.25">
      <c r="A354">
        <v>352</v>
      </c>
      <c r="B354" t="s">
        <v>2060</v>
      </c>
    </row>
    <row r="355" spans="1:2" x14ac:dyDescent="0.25">
      <c r="A355">
        <v>353</v>
      </c>
      <c r="B355" t="s">
        <v>2061</v>
      </c>
    </row>
    <row r="356" spans="1:2" x14ac:dyDescent="0.25">
      <c r="A356">
        <v>354</v>
      </c>
      <c r="B356" t="s">
        <v>2062</v>
      </c>
    </row>
    <row r="357" spans="1:2" x14ac:dyDescent="0.25">
      <c r="A357">
        <v>355</v>
      </c>
      <c r="B357" t="s">
        <v>2063</v>
      </c>
    </row>
    <row r="358" spans="1:2" x14ac:dyDescent="0.25">
      <c r="A358">
        <v>356</v>
      </c>
      <c r="B358" t="s">
        <v>2064</v>
      </c>
    </row>
    <row r="359" spans="1:2" x14ac:dyDescent="0.25">
      <c r="A359">
        <v>357</v>
      </c>
      <c r="B359" t="s">
        <v>2065</v>
      </c>
    </row>
    <row r="360" spans="1:2" x14ac:dyDescent="0.25">
      <c r="A360">
        <v>358</v>
      </c>
      <c r="B360" t="s">
        <v>2066</v>
      </c>
    </row>
    <row r="361" spans="1:2" x14ac:dyDescent="0.25">
      <c r="A361">
        <v>359</v>
      </c>
      <c r="B361" t="s">
        <v>2067</v>
      </c>
    </row>
    <row r="362" spans="1:2" x14ac:dyDescent="0.25">
      <c r="A362">
        <v>360</v>
      </c>
      <c r="B362" t="s">
        <v>2068</v>
      </c>
    </row>
    <row r="363" spans="1:2" x14ac:dyDescent="0.25">
      <c r="A363">
        <v>361</v>
      </c>
      <c r="B363" t="s">
        <v>692</v>
      </c>
    </row>
    <row r="364" spans="1:2" x14ac:dyDescent="0.25">
      <c r="A364">
        <v>362</v>
      </c>
      <c r="B364" t="s">
        <v>691</v>
      </c>
    </row>
    <row r="365" spans="1:2" x14ac:dyDescent="0.25">
      <c r="A365">
        <v>363</v>
      </c>
      <c r="B365" t="s">
        <v>2069</v>
      </c>
    </row>
    <row r="366" spans="1:2" x14ac:dyDescent="0.25">
      <c r="A366">
        <v>364</v>
      </c>
      <c r="B366" t="s">
        <v>2070</v>
      </c>
    </row>
    <row r="367" spans="1:2" x14ac:dyDescent="0.25">
      <c r="A367">
        <v>365</v>
      </c>
      <c r="B367" t="s">
        <v>2071</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2072</v>
      </c>
    </row>
    <row r="372" spans="1:2" x14ac:dyDescent="0.25">
      <c r="A372">
        <v>370</v>
      </c>
      <c r="B372" t="s">
        <v>2073</v>
      </c>
    </row>
    <row r="373" spans="1:2" x14ac:dyDescent="0.25">
      <c r="A373">
        <v>371</v>
      </c>
      <c r="B373" t="s">
        <v>2074</v>
      </c>
    </row>
    <row r="374" spans="1:2" x14ac:dyDescent="0.25">
      <c r="A374">
        <v>372</v>
      </c>
      <c r="B374" t="s">
        <v>703</v>
      </c>
    </row>
    <row r="375" spans="1:2" x14ac:dyDescent="0.25">
      <c r="A375">
        <v>373</v>
      </c>
      <c r="B375" t="s">
        <v>702</v>
      </c>
    </row>
    <row r="376" spans="1:2" x14ac:dyDescent="0.25">
      <c r="A376">
        <v>374</v>
      </c>
      <c r="B376" t="s">
        <v>2075</v>
      </c>
    </row>
    <row r="377" spans="1:2" x14ac:dyDescent="0.25">
      <c r="A377">
        <v>375</v>
      </c>
      <c r="B377" t="s">
        <v>2076</v>
      </c>
    </row>
    <row r="378" spans="1:2" x14ac:dyDescent="0.25">
      <c r="A378">
        <v>376</v>
      </c>
      <c r="B378" t="s">
        <v>2077</v>
      </c>
    </row>
    <row r="379" spans="1:2" x14ac:dyDescent="0.25">
      <c r="A379">
        <v>377</v>
      </c>
      <c r="B379" t="s">
        <v>2078</v>
      </c>
    </row>
    <row r="380" spans="1:2" x14ac:dyDescent="0.25">
      <c r="A380">
        <v>378</v>
      </c>
      <c r="B380" t="s">
        <v>717</v>
      </c>
    </row>
    <row r="381" spans="1:2" x14ac:dyDescent="0.25">
      <c r="A381">
        <v>379</v>
      </c>
      <c r="B381" t="s">
        <v>2079</v>
      </c>
    </row>
    <row r="382" spans="1:2" x14ac:dyDescent="0.25">
      <c r="A382">
        <v>380</v>
      </c>
      <c r="B382" t="s">
        <v>719</v>
      </c>
    </row>
    <row r="383" spans="1:2" x14ac:dyDescent="0.25">
      <c r="A383">
        <v>381</v>
      </c>
      <c r="B383" t="s">
        <v>2080</v>
      </c>
    </row>
    <row r="384" spans="1:2" x14ac:dyDescent="0.25">
      <c r="A384">
        <v>382</v>
      </c>
      <c r="B384" t="s">
        <v>2081</v>
      </c>
    </row>
    <row r="385" spans="1:2" x14ac:dyDescent="0.25">
      <c r="A385">
        <v>383</v>
      </c>
      <c r="B385" t="s">
        <v>2082</v>
      </c>
    </row>
    <row r="386" spans="1:2" x14ac:dyDescent="0.25">
      <c r="A386">
        <v>384</v>
      </c>
      <c r="B386" t="s">
        <v>2083</v>
      </c>
    </row>
    <row r="387" spans="1:2" x14ac:dyDescent="0.25">
      <c r="A387">
        <v>385</v>
      </c>
    </row>
    <row r="388" spans="1:2" x14ac:dyDescent="0.25">
      <c r="A388">
        <v>386</v>
      </c>
      <c r="B388" t="s">
        <v>2084</v>
      </c>
    </row>
    <row r="389" spans="1:2" x14ac:dyDescent="0.25">
      <c r="A389">
        <v>387</v>
      </c>
      <c r="B389" t="s">
        <v>2085</v>
      </c>
    </row>
    <row r="390" spans="1:2" x14ac:dyDescent="0.25">
      <c r="A390">
        <v>388</v>
      </c>
      <c r="B390" t="s">
        <v>721</v>
      </c>
    </row>
    <row r="391" spans="1:2" x14ac:dyDescent="0.25">
      <c r="A391">
        <v>389</v>
      </c>
      <c r="B391" t="s">
        <v>2086</v>
      </c>
    </row>
    <row r="392" spans="1:2" x14ac:dyDescent="0.25">
      <c r="A392">
        <v>390</v>
      </c>
      <c r="B392" t="s">
        <v>2087</v>
      </c>
    </row>
    <row r="393" spans="1:2" x14ac:dyDescent="0.25">
      <c r="A393">
        <v>391</v>
      </c>
      <c r="B393" t="s">
        <v>2088</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2089</v>
      </c>
    </row>
    <row r="400" spans="1:2" x14ac:dyDescent="0.25">
      <c r="A400">
        <v>398</v>
      </c>
      <c r="B400" t="s">
        <v>2090</v>
      </c>
    </row>
    <row r="401" spans="1:2" x14ac:dyDescent="0.25">
      <c r="A401">
        <v>399</v>
      </c>
      <c r="B401" t="s">
        <v>2091</v>
      </c>
    </row>
    <row r="402" spans="1:2" x14ac:dyDescent="0.25">
      <c r="A402">
        <v>400</v>
      </c>
      <c r="B402" t="s">
        <v>1367</v>
      </c>
    </row>
    <row r="403" spans="1:2" x14ac:dyDescent="0.25">
      <c r="A403">
        <v>401</v>
      </c>
      <c r="B403" t="s">
        <v>1368</v>
      </c>
    </row>
    <row r="404" spans="1:2" x14ac:dyDescent="0.25">
      <c r="A404">
        <v>402</v>
      </c>
      <c r="B404" t="s">
        <v>2092</v>
      </c>
    </row>
    <row r="405" spans="1:2" x14ac:dyDescent="0.25">
      <c r="A405">
        <v>403</v>
      </c>
      <c r="B405" t="s">
        <v>2093</v>
      </c>
    </row>
    <row r="406" spans="1:2" x14ac:dyDescent="0.25">
      <c r="A406">
        <v>404</v>
      </c>
      <c r="B406" t="s">
        <v>2094</v>
      </c>
    </row>
    <row r="407" spans="1:2" x14ac:dyDescent="0.25">
      <c r="A407">
        <v>405</v>
      </c>
      <c r="B407" t="s">
        <v>2095</v>
      </c>
    </row>
    <row r="408" spans="1:2" x14ac:dyDescent="0.25">
      <c r="A408">
        <v>406</v>
      </c>
      <c r="B408" t="s">
        <v>2096</v>
      </c>
    </row>
    <row r="409" spans="1:2" x14ac:dyDescent="0.25">
      <c r="A409">
        <v>407</v>
      </c>
      <c r="B409" t="s">
        <v>2097</v>
      </c>
    </row>
    <row r="410" spans="1:2" x14ac:dyDescent="0.25">
      <c r="A410">
        <v>408</v>
      </c>
    </row>
    <row r="411" spans="1:2" x14ac:dyDescent="0.25">
      <c r="A411">
        <v>409</v>
      </c>
      <c r="B411" t="s">
        <v>1473</v>
      </c>
    </row>
    <row r="412" spans="1:2" x14ac:dyDescent="0.25">
      <c r="A412">
        <v>410</v>
      </c>
      <c r="B412" t="s">
        <v>1472</v>
      </c>
    </row>
    <row r="413" spans="1:2" x14ac:dyDescent="0.25">
      <c r="A413">
        <v>411</v>
      </c>
      <c r="B413" t="s">
        <v>2098</v>
      </c>
    </row>
    <row r="414" spans="1:2" x14ac:dyDescent="0.25">
      <c r="A414">
        <v>412</v>
      </c>
      <c r="B414" t="s">
        <v>2099</v>
      </c>
    </row>
    <row r="415" spans="1:2" x14ac:dyDescent="0.25">
      <c r="A415">
        <v>413</v>
      </c>
      <c r="B415" t="s">
        <v>2100</v>
      </c>
    </row>
    <row r="416" spans="1:2" x14ac:dyDescent="0.25">
      <c r="A416">
        <v>414</v>
      </c>
      <c r="B416" t="s">
        <v>2101</v>
      </c>
    </row>
    <row r="417" spans="1:2" x14ac:dyDescent="0.25">
      <c r="A417">
        <v>415</v>
      </c>
      <c r="B417" t="s">
        <v>2102</v>
      </c>
    </row>
    <row r="418" spans="1:2" x14ac:dyDescent="0.25">
      <c r="A418">
        <v>416</v>
      </c>
      <c r="B418" t="s">
        <v>2103</v>
      </c>
    </row>
    <row r="419" spans="1:2" x14ac:dyDescent="0.25">
      <c r="A419">
        <v>417</v>
      </c>
      <c r="B419" t="s">
        <v>2104</v>
      </c>
    </row>
    <row r="420" spans="1:2" x14ac:dyDescent="0.25">
      <c r="A420">
        <v>418</v>
      </c>
      <c r="B420" t="s">
        <v>2105</v>
      </c>
    </row>
    <row r="421" spans="1:2" x14ac:dyDescent="0.25">
      <c r="A421">
        <v>419</v>
      </c>
      <c r="B421" t="s">
        <v>2106</v>
      </c>
    </row>
    <row r="422" spans="1:2" x14ac:dyDescent="0.25">
      <c r="A422">
        <v>420</v>
      </c>
      <c r="B422" t="s">
        <v>2107</v>
      </c>
    </row>
    <row r="423" spans="1:2" x14ac:dyDescent="0.25">
      <c r="A423">
        <v>421</v>
      </c>
      <c r="B423" t="s">
        <v>2108</v>
      </c>
    </row>
    <row r="424" spans="1:2" x14ac:dyDescent="0.25">
      <c r="A424">
        <v>422</v>
      </c>
      <c r="B424" t="s">
        <v>1573</v>
      </c>
    </row>
    <row r="425" spans="1:2" x14ac:dyDescent="0.25">
      <c r="A425">
        <v>423</v>
      </c>
      <c r="B425" t="s">
        <v>1574</v>
      </c>
    </row>
    <row r="426" spans="1:2" x14ac:dyDescent="0.25">
      <c r="A426">
        <v>424</v>
      </c>
      <c r="B426" t="s">
        <v>2109</v>
      </c>
    </row>
    <row r="427" spans="1:2" x14ac:dyDescent="0.25">
      <c r="A427">
        <v>425</v>
      </c>
      <c r="B427" t="s">
        <v>2110</v>
      </c>
    </row>
    <row r="428" spans="1:2" x14ac:dyDescent="0.25">
      <c r="A428">
        <v>426</v>
      </c>
      <c r="B428" t="s">
        <v>2111</v>
      </c>
    </row>
    <row r="429" spans="1:2" x14ac:dyDescent="0.25">
      <c r="A429">
        <v>427</v>
      </c>
      <c r="B429" t="s">
        <v>1630</v>
      </c>
    </row>
    <row r="430" spans="1:2" x14ac:dyDescent="0.25">
      <c r="A430">
        <v>428</v>
      </c>
      <c r="B430" t="s">
        <v>1631</v>
      </c>
    </row>
    <row r="431" spans="1:2" x14ac:dyDescent="0.25">
      <c r="A431">
        <v>429</v>
      </c>
      <c r="B431" t="s">
        <v>2112</v>
      </c>
    </row>
    <row r="432" spans="1:2" x14ac:dyDescent="0.25">
      <c r="A432">
        <v>430</v>
      </c>
      <c r="B432" t="s">
        <v>2113</v>
      </c>
    </row>
    <row r="433" spans="1:2" x14ac:dyDescent="0.25">
      <c r="A433">
        <v>431</v>
      </c>
      <c r="B433" t="s">
        <v>2114</v>
      </c>
    </row>
    <row r="434" spans="1:2" x14ac:dyDescent="0.25">
      <c r="A434">
        <v>432</v>
      </c>
      <c r="B434" t="s">
        <v>2115</v>
      </c>
    </row>
    <row r="435" spans="1:2" x14ac:dyDescent="0.25">
      <c r="A435">
        <v>433</v>
      </c>
      <c r="B435" t="s">
        <v>2116</v>
      </c>
    </row>
    <row r="436" spans="1:2" x14ac:dyDescent="0.25">
      <c r="A436">
        <v>434</v>
      </c>
      <c r="B436" t="s">
        <v>2117</v>
      </c>
    </row>
    <row r="437" spans="1:2" x14ac:dyDescent="0.25">
      <c r="A437">
        <v>435</v>
      </c>
      <c r="B437" t="s">
        <v>2118</v>
      </c>
    </row>
    <row r="438" spans="1:2" x14ac:dyDescent="0.25">
      <c r="A438">
        <v>436</v>
      </c>
      <c r="B438" t="s">
        <v>2119</v>
      </c>
    </row>
    <row r="439" spans="1:2" x14ac:dyDescent="0.25">
      <c r="A439">
        <v>437</v>
      </c>
      <c r="B439" t="s">
        <v>2376</v>
      </c>
    </row>
    <row r="440" spans="1:2" x14ac:dyDescent="0.25">
      <c r="A440">
        <v>438</v>
      </c>
      <c r="B440" t="s">
        <v>1680</v>
      </c>
    </row>
    <row r="441" spans="1:2" x14ac:dyDescent="0.25">
      <c r="A441">
        <v>439</v>
      </c>
      <c r="B441" t="s">
        <v>1681</v>
      </c>
    </row>
    <row r="442" spans="1:2" x14ac:dyDescent="0.25">
      <c r="A442">
        <v>440</v>
      </c>
      <c r="B442" t="s">
        <v>1682</v>
      </c>
    </row>
    <row r="443" spans="1:2" x14ac:dyDescent="0.25">
      <c r="A443">
        <v>441</v>
      </c>
      <c r="B443" t="s">
        <v>2173</v>
      </c>
    </row>
    <row r="444" spans="1:2" x14ac:dyDescent="0.25">
      <c r="A444">
        <v>442</v>
      </c>
      <c r="B444" t="s">
        <v>2174</v>
      </c>
    </row>
    <row r="445" spans="1:2" x14ac:dyDescent="0.25">
      <c r="A445">
        <v>443</v>
      </c>
      <c r="B445" t="s">
        <v>2175</v>
      </c>
    </row>
    <row r="446" spans="1:2" x14ac:dyDescent="0.25">
      <c r="A446">
        <v>444</v>
      </c>
      <c r="B446" t="s">
        <v>2176</v>
      </c>
    </row>
    <row r="447" spans="1:2" x14ac:dyDescent="0.25">
      <c r="A447">
        <v>445</v>
      </c>
      <c r="B447" t="s">
        <v>2177</v>
      </c>
    </row>
    <row r="448" spans="1:2" x14ac:dyDescent="0.25">
      <c r="A448">
        <v>446</v>
      </c>
      <c r="B448" t="s">
        <v>2178</v>
      </c>
    </row>
    <row r="449" spans="1:2" x14ac:dyDescent="0.25">
      <c r="A449">
        <v>447</v>
      </c>
      <c r="B449" t="s">
        <v>2179</v>
      </c>
    </row>
    <row r="450" spans="1:2" x14ac:dyDescent="0.25">
      <c r="A450">
        <v>448</v>
      </c>
      <c r="B450" t="s">
        <v>2180</v>
      </c>
    </row>
    <row r="451" spans="1:2" x14ac:dyDescent="0.25">
      <c r="A451">
        <v>449</v>
      </c>
      <c r="B451" t="s">
        <v>2181</v>
      </c>
    </row>
    <row r="452" spans="1:2" x14ac:dyDescent="0.25">
      <c r="A452">
        <v>450</v>
      </c>
      <c r="B452" t="s">
        <v>2120</v>
      </c>
    </row>
    <row r="453" spans="1:2" x14ac:dyDescent="0.25">
      <c r="A453">
        <v>451</v>
      </c>
      <c r="B453" t="s">
        <v>2121</v>
      </c>
    </row>
    <row r="454" spans="1:2" x14ac:dyDescent="0.25">
      <c r="A454">
        <v>452</v>
      </c>
      <c r="B454" t="s">
        <v>2122</v>
      </c>
    </row>
    <row r="455" spans="1:2" x14ac:dyDescent="0.25">
      <c r="A455">
        <v>453</v>
      </c>
      <c r="B455" t="s">
        <v>2123</v>
      </c>
    </row>
    <row r="456" spans="1:2" x14ac:dyDescent="0.25">
      <c r="A456">
        <v>454</v>
      </c>
      <c r="B456" t="s">
        <v>2375</v>
      </c>
    </row>
    <row r="457" spans="1:2" x14ac:dyDescent="0.25">
      <c r="A457">
        <v>455</v>
      </c>
      <c r="B457" t="s">
        <v>2182</v>
      </c>
    </row>
    <row r="458" spans="1:2" x14ac:dyDescent="0.25">
      <c r="A458">
        <v>456</v>
      </c>
      <c r="B458" t="s">
        <v>2183</v>
      </c>
    </row>
    <row r="459" spans="1:2" x14ac:dyDescent="0.25">
      <c r="A459">
        <v>457</v>
      </c>
      <c r="B459" t="s">
        <v>2184</v>
      </c>
    </row>
    <row r="460" spans="1:2" x14ac:dyDescent="0.25">
      <c r="A460">
        <v>458</v>
      </c>
      <c r="B460" t="s">
        <v>2422</v>
      </c>
    </row>
    <row r="461" spans="1:2" x14ac:dyDescent="0.25">
      <c r="A461">
        <v>459</v>
      </c>
      <c r="B461" t="s">
        <v>2423</v>
      </c>
    </row>
    <row r="462" spans="1:2" x14ac:dyDescent="0.25">
      <c r="A462">
        <v>460</v>
      </c>
      <c r="B462" t="s">
        <v>2424</v>
      </c>
    </row>
    <row r="463" spans="1:2" x14ac:dyDescent="0.25">
      <c r="A463">
        <v>461</v>
      </c>
      <c r="B463" t="s">
        <v>2425</v>
      </c>
    </row>
    <row r="464" spans="1:2" x14ac:dyDescent="0.25">
      <c r="A464">
        <v>462</v>
      </c>
      <c r="B464" t="s">
        <v>2426</v>
      </c>
    </row>
    <row r="465" spans="1:2" x14ac:dyDescent="0.25">
      <c r="A465">
        <v>463</v>
      </c>
      <c r="B465" t="s">
        <v>2427</v>
      </c>
    </row>
    <row r="466" spans="1:2" x14ac:dyDescent="0.25">
      <c r="A466">
        <v>464</v>
      </c>
      <c r="B466" t="s">
        <v>2419</v>
      </c>
    </row>
    <row r="467" spans="1:2" x14ac:dyDescent="0.25">
      <c r="A467">
        <v>465</v>
      </c>
      <c r="B467" t="s">
        <v>2371</v>
      </c>
    </row>
    <row r="468" spans="1:2" x14ac:dyDescent="0.25">
      <c r="A468">
        <v>466</v>
      </c>
      <c r="B468" t="s">
        <v>2370</v>
      </c>
    </row>
    <row r="469" spans="1:2" x14ac:dyDescent="0.25">
      <c r="A469">
        <v>467</v>
      </c>
      <c r="B469" t="s">
        <v>2420</v>
      </c>
    </row>
    <row r="470" spans="1:2" x14ac:dyDescent="0.25">
      <c r="A470">
        <v>468</v>
      </c>
      <c r="B470" t="s">
        <v>2421</v>
      </c>
    </row>
    <row r="471" spans="1:2" x14ac:dyDescent="0.25">
      <c r="A471">
        <v>469</v>
      </c>
      <c r="B471" t="s">
        <v>2480</v>
      </c>
    </row>
    <row r="472" spans="1:2" x14ac:dyDescent="0.25">
      <c r="A472">
        <v>470</v>
      </c>
      <c r="B472" t="s">
        <v>2481</v>
      </c>
    </row>
    <row r="473" spans="1:2" x14ac:dyDescent="0.25">
      <c r="A473">
        <v>471</v>
      </c>
      <c r="B473" t="s">
        <v>2417</v>
      </c>
    </row>
    <row r="474" spans="1:2" x14ac:dyDescent="0.25">
      <c r="A474">
        <v>472</v>
      </c>
      <c r="B474" t="s">
        <v>2418</v>
      </c>
    </row>
    <row r="475" spans="1:2" x14ac:dyDescent="0.25">
      <c r="A475">
        <v>473</v>
      </c>
      <c r="B475" t="s">
        <v>2389</v>
      </c>
    </row>
    <row r="476" spans="1:2" x14ac:dyDescent="0.25">
      <c r="A476">
        <v>474</v>
      </c>
    </row>
    <row r="477" spans="1:2" x14ac:dyDescent="0.25">
      <c r="A477">
        <v>475</v>
      </c>
    </row>
    <row r="478" spans="1:2" x14ac:dyDescent="0.25">
      <c r="A478">
        <v>476</v>
      </c>
      <c r="B478" t="s">
        <v>2638</v>
      </c>
    </row>
    <row r="479" spans="1:2" x14ac:dyDescent="0.25">
      <c r="A479">
        <v>477</v>
      </c>
      <c r="B479" t="s">
        <v>2639</v>
      </c>
    </row>
    <row r="480" spans="1:2" x14ac:dyDescent="0.25">
      <c r="A480">
        <v>478</v>
      </c>
      <c r="B480" t="s">
        <v>2640</v>
      </c>
    </row>
    <row r="481" spans="1:2" x14ac:dyDescent="0.25">
      <c r="A481">
        <v>479</v>
      </c>
      <c r="B481" t="s">
        <v>2641</v>
      </c>
    </row>
    <row r="482" spans="1:2" x14ac:dyDescent="0.25">
      <c r="A482">
        <v>480</v>
      </c>
      <c r="B482" t="s">
        <v>2642</v>
      </c>
    </row>
    <row r="483" spans="1:2" x14ac:dyDescent="0.25">
      <c r="A483">
        <v>481</v>
      </c>
      <c r="B483" t="s">
        <v>2482</v>
      </c>
    </row>
    <row r="484" spans="1:2" x14ac:dyDescent="0.25">
      <c r="A484">
        <v>482</v>
      </c>
      <c r="B484" t="s">
        <v>2483</v>
      </c>
    </row>
    <row r="485" spans="1:2" x14ac:dyDescent="0.25">
      <c r="A485">
        <v>483</v>
      </c>
      <c r="B485" t="s">
        <v>2484</v>
      </c>
    </row>
    <row r="486" spans="1:2" x14ac:dyDescent="0.25">
      <c r="A486">
        <v>484</v>
      </c>
      <c r="B486" t="s">
        <v>2485</v>
      </c>
    </row>
    <row r="487" spans="1:2" x14ac:dyDescent="0.25">
      <c r="A487">
        <v>485</v>
      </c>
      <c r="B487" t="s">
        <v>2474</v>
      </c>
    </row>
    <row r="488" spans="1:2" x14ac:dyDescent="0.25">
      <c r="A488">
        <v>486</v>
      </c>
      <c r="B488" t="s">
        <v>2479</v>
      </c>
    </row>
    <row r="489" spans="1:2" x14ac:dyDescent="0.25">
      <c r="A489">
        <v>487</v>
      </c>
      <c r="B489" t="s">
        <v>2643</v>
      </c>
    </row>
    <row r="490" spans="1:2" x14ac:dyDescent="0.25">
      <c r="A490">
        <v>488</v>
      </c>
      <c r="B490" t="s">
        <v>3298</v>
      </c>
    </row>
    <row r="491" spans="1:2" x14ac:dyDescent="0.25">
      <c r="A491">
        <v>489</v>
      </c>
      <c r="B491" t="s">
        <v>2644</v>
      </c>
    </row>
    <row r="492" spans="1:2" x14ac:dyDescent="0.25">
      <c r="A492">
        <v>490</v>
      </c>
      <c r="B492" t="s">
        <v>2645</v>
      </c>
    </row>
    <row r="493" spans="1:2" x14ac:dyDescent="0.25">
      <c r="A493">
        <v>491</v>
      </c>
      <c r="B493" t="s">
        <v>2646</v>
      </c>
    </row>
    <row r="494" spans="1:2" x14ac:dyDescent="0.25">
      <c r="A494">
        <v>492</v>
      </c>
    </row>
    <row r="495" spans="1:2" x14ac:dyDescent="0.25">
      <c r="A495">
        <v>493</v>
      </c>
      <c r="B495" t="s">
        <v>2647</v>
      </c>
    </row>
    <row r="496" spans="1:2" x14ac:dyDescent="0.25">
      <c r="A496">
        <v>494</v>
      </c>
      <c r="B496" t="s">
        <v>2648</v>
      </c>
    </row>
    <row r="497" spans="1:2" x14ac:dyDescent="0.25">
      <c r="A497">
        <v>495</v>
      </c>
      <c r="B497" t="s">
        <v>2649</v>
      </c>
    </row>
    <row r="498" spans="1:2" x14ac:dyDescent="0.25">
      <c r="A498">
        <v>496</v>
      </c>
      <c r="B498" t="s">
        <v>2650</v>
      </c>
    </row>
    <row r="499" spans="1:2" x14ac:dyDescent="0.25">
      <c r="A499">
        <v>497</v>
      </c>
      <c r="B499" t="s">
        <v>2701</v>
      </c>
    </row>
    <row r="500" spans="1:2" x14ac:dyDescent="0.25">
      <c r="A500">
        <v>498</v>
      </c>
      <c r="B500" t="s">
        <v>2702</v>
      </c>
    </row>
    <row r="501" spans="1:2" x14ac:dyDescent="0.25">
      <c r="A501">
        <v>499</v>
      </c>
      <c r="B501" t="s">
        <v>2698</v>
      </c>
    </row>
    <row r="502" spans="1:2" x14ac:dyDescent="0.25">
      <c r="A502">
        <v>500</v>
      </c>
    </row>
    <row r="503" spans="1:2" x14ac:dyDescent="0.25">
      <c r="A503">
        <v>501</v>
      </c>
      <c r="B503" t="s">
        <v>3299</v>
      </c>
    </row>
    <row r="504" spans="1:2" x14ac:dyDescent="0.25">
      <c r="A504">
        <v>502</v>
      </c>
      <c r="B504" t="s">
        <v>3300</v>
      </c>
    </row>
    <row r="505" spans="1:2" x14ac:dyDescent="0.25">
      <c r="A505">
        <v>503</v>
      </c>
      <c r="B505" t="s">
        <v>3301</v>
      </c>
    </row>
    <row r="506" spans="1:2" x14ac:dyDescent="0.25">
      <c r="A506">
        <v>504</v>
      </c>
      <c r="B506" t="s">
        <v>3302</v>
      </c>
    </row>
    <row r="507" spans="1:2" x14ac:dyDescent="0.25">
      <c r="A507">
        <v>505</v>
      </c>
      <c r="B507" t="s">
        <v>3303</v>
      </c>
    </row>
    <row r="508" spans="1:2" x14ac:dyDescent="0.25">
      <c r="A508">
        <v>506</v>
      </c>
      <c r="B508" t="s">
        <v>3304</v>
      </c>
    </row>
    <row r="509" spans="1:2" x14ac:dyDescent="0.25">
      <c r="A509">
        <v>507</v>
      </c>
      <c r="B509" t="s">
        <v>3305</v>
      </c>
    </row>
    <row r="510" spans="1:2" x14ac:dyDescent="0.25">
      <c r="A510">
        <v>508</v>
      </c>
      <c r="B510" t="s">
        <v>3306</v>
      </c>
    </row>
    <row r="511" spans="1:2" x14ac:dyDescent="0.25">
      <c r="A511">
        <v>509</v>
      </c>
      <c r="B511" t="s">
        <v>3307</v>
      </c>
    </row>
    <row r="512" spans="1:2" x14ac:dyDescent="0.25">
      <c r="A512">
        <v>510</v>
      </c>
      <c r="B512" t="s">
        <v>3308</v>
      </c>
    </row>
    <row r="513" spans="1:2" x14ac:dyDescent="0.25">
      <c r="A513">
        <v>511</v>
      </c>
      <c r="B513" t="s">
        <v>3309</v>
      </c>
    </row>
    <row r="514" spans="1:2" x14ac:dyDescent="0.25">
      <c r="A514">
        <v>512</v>
      </c>
      <c r="B514" t="s">
        <v>3310</v>
      </c>
    </row>
    <row r="515" spans="1:2" x14ac:dyDescent="0.25">
      <c r="A515">
        <v>513</v>
      </c>
      <c r="B515" t="s">
        <v>3311</v>
      </c>
    </row>
    <row r="516" spans="1:2" x14ac:dyDescent="0.25">
      <c r="A516">
        <v>514</v>
      </c>
    </row>
    <row r="517" spans="1:2" x14ac:dyDescent="0.25">
      <c r="A517">
        <v>515</v>
      </c>
    </row>
    <row r="518" spans="1:2" x14ac:dyDescent="0.25">
      <c r="A518">
        <v>516</v>
      </c>
    </row>
    <row r="519" spans="1:2" x14ac:dyDescent="0.25">
      <c r="A519">
        <v>517</v>
      </c>
      <c r="B519" t="s">
        <v>3312</v>
      </c>
    </row>
    <row r="520" spans="1:2" x14ac:dyDescent="0.25">
      <c r="A520">
        <v>518</v>
      </c>
      <c r="B520" t="s">
        <v>3313</v>
      </c>
    </row>
    <row r="521" spans="1:2" x14ac:dyDescent="0.25">
      <c r="A521">
        <v>519</v>
      </c>
      <c r="B521" t="s">
        <v>3314</v>
      </c>
    </row>
    <row r="522" spans="1:2" x14ac:dyDescent="0.25">
      <c r="A522">
        <v>520</v>
      </c>
      <c r="B522" t="s">
        <v>3380</v>
      </c>
    </row>
    <row r="523" spans="1:2" x14ac:dyDescent="0.25">
      <c r="A523">
        <v>521</v>
      </c>
      <c r="B523" t="s">
        <v>3381</v>
      </c>
    </row>
    <row r="524" spans="1:2" x14ac:dyDescent="0.25">
      <c r="A524">
        <v>522</v>
      </c>
      <c r="B524" t="s">
        <v>3315</v>
      </c>
    </row>
    <row r="525" spans="1:2" x14ac:dyDescent="0.25">
      <c r="A525">
        <v>523</v>
      </c>
      <c r="B525" t="s">
        <v>3316</v>
      </c>
    </row>
    <row r="526" spans="1:2" x14ac:dyDescent="0.25">
      <c r="A526">
        <v>524</v>
      </c>
      <c r="B526" t="s">
        <v>3442</v>
      </c>
    </row>
    <row r="527" spans="1:2" x14ac:dyDescent="0.25">
      <c r="A527">
        <v>525</v>
      </c>
      <c r="B527" t="s">
        <v>3443</v>
      </c>
    </row>
    <row r="528" spans="1:2" x14ac:dyDescent="0.25">
      <c r="A528">
        <v>526</v>
      </c>
      <c r="B528" t="s">
        <v>3444</v>
      </c>
    </row>
    <row r="529" spans="1:2" x14ac:dyDescent="0.25">
      <c r="A529">
        <v>527</v>
      </c>
      <c r="B529" t="s">
        <v>3445</v>
      </c>
    </row>
    <row r="530" spans="1:2" x14ac:dyDescent="0.25">
      <c r="A530">
        <v>528</v>
      </c>
      <c r="B530" t="s">
        <v>3527</v>
      </c>
    </row>
    <row r="531" spans="1:2" x14ac:dyDescent="0.25">
      <c r="A531">
        <v>529</v>
      </c>
      <c r="B531" t="s">
        <v>3446</v>
      </c>
    </row>
    <row r="532" spans="1:2" x14ac:dyDescent="0.25">
      <c r="A532">
        <v>530</v>
      </c>
      <c r="B532" t="s">
        <v>3447</v>
      </c>
    </row>
    <row r="533" spans="1:2" x14ac:dyDescent="0.25">
      <c r="A533">
        <v>531</v>
      </c>
      <c r="B533" t="s">
        <v>3528</v>
      </c>
    </row>
    <row r="534" spans="1:2" x14ac:dyDescent="0.25">
      <c r="A534">
        <v>532</v>
      </c>
      <c r="B534" t="s">
        <v>3529</v>
      </c>
    </row>
    <row r="535" spans="1:2" x14ac:dyDescent="0.25">
      <c r="A535">
        <v>533</v>
      </c>
      <c r="B535" t="s">
        <v>3530</v>
      </c>
    </row>
    <row r="536" spans="1:2" x14ac:dyDescent="0.25">
      <c r="A536">
        <v>534</v>
      </c>
      <c r="B536" t="s">
        <v>3612</v>
      </c>
    </row>
    <row r="537" spans="1:2" x14ac:dyDescent="0.25">
      <c r="A537">
        <v>535</v>
      </c>
      <c r="B537" t="s">
        <v>3613</v>
      </c>
    </row>
    <row r="538" spans="1:2" x14ac:dyDescent="0.25">
      <c r="A538">
        <v>536</v>
      </c>
      <c r="B538" t="s">
        <v>3614</v>
      </c>
    </row>
    <row r="539" spans="1:2" x14ac:dyDescent="0.25">
      <c r="A539">
        <v>537</v>
      </c>
      <c r="B539" t="s">
        <v>3615</v>
      </c>
    </row>
    <row r="540" spans="1:2" x14ac:dyDescent="0.25">
      <c r="A540">
        <v>538</v>
      </c>
      <c r="B540" t="s">
        <v>3616</v>
      </c>
    </row>
    <row r="541" spans="1:2" x14ac:dyDescent="0.25">
      <c r="A541">
        <v>539</v>
      </c>
      <c r="B541" t="s">
        <v>3617</v>
      </c>
    </row>
    <row r="542" spans="1:2" x14ac:dyDescent="0.25">
      <c r="A542">
        <v>540</v>
      </c>
      <c r="B542" t="s">
        <v>3618</v>
      </c>
    </row>
    <row r="543" spans="1:2" x14ac:dyDescent="0.25">
      <c r="A543">
        <v>541</v>
      </c>
      <c r="B543" t="s">
        <v>3619</v>
      </c>
    </row>
    <row r="544" spans="1:2" x14ac:dyDescent="0.25">
      <c r="A544">
        <v>542</v>
      </c>
      <c r="B544" t="s">
        <v>3620</v>
      </c>
    </row>
    <row r="545" spans="1:2" x14ac:dyDescent="0.25">
      <c r="A545">
        <v>543</v>
      </c>
      <c r="B545" t="s">
        <v>3621</v>
      </c>
    </row>
    <row r="546" spans="1:2" x14ac:dyDescent="0.25">
      <c r="A546">
        <v>544</v>
      </c>
      <c r="B546" t="s">
        <v>3622</v>
      </c>
    </row>
    <row r="547" spans="1:2" x14ac:dyDescent="0.25">
      <c r="A547">
        <v>545</v>
      </c>
      <c r="B547" t="s">
        <v>3623</v>
      </c>
    </row>
    <row r="548" spans="1:2" x14ac:dyDescent="0.25">
      <c r="A548">
        <v>546</v>
      </c>
      <c r="B548" t="s">
        <v>3624</v>
      </c>
    </row>
    <row r="549" spans="1:2" x14ac:dyDescent="0.25">
      <c r="A549">
        <v>547</v>
      </c>
      <c r="B549" t="s">
        <v>3625</v>
      </c>
    </row>
    <row r="550" spans="1:2" x14ac:dyDescent="0.25">
      <c r="A550">
        <v>548</v>
      </c>
      <c r="B550" t="s">
        <v>3626</v>
      </c>
    </row>
    <row r="551" spans="1:2" x14ac:dyDescent="0.25">
      <c r="A551">
        <v>549</v>
      </c>
      <c r="B551" t="s">
        <v>3627</v>
      </c>
    </row>
    <row r="552" spans="1:2" x14ac:dyDescent="0.25">
      <c r="A552">
        <v>550</v>
      </c>
      <c r="B552" t="s">
        <v>3860</v>
      </c>
    </row>
    <row r="553" spans="1:2" x14ac:dyDescent="0.25">
      <c r="A553">
        <v>551</v>
      </c>
      <c r="B553" t="s">
        <v>3628</v>
      </c>
    </row>
    <row r="554" spans="1:2" x14ac:dyDescent="0.25">
      <c r="A554">
        <v>552</v>
      </c>
      <c r="B554" t="s">
        <v>3629</v>
      </c>
    </row>
    <row r="555" spans="1:2" x14ac:dyDescent="0.25">
      <c r="A555">
        <v>553</v>
      </c>
      <c r="B555" t="s">
        <v>3630</v>
      </c>
    </row>
    <row r="556" spans="1:2" x14ac:dyDescent="0.25">
      <c r="A556">
        <v>554</v>
      </c>
      <c r="B556" t="s">
        <v>3631</v>
      </c>
    </row>
    <row r="557" spans="1:2" x14ac:dyDescent="0.25">
      <c r="A557">
        <v>555</v>
      </c>
      <c r="B557" t="s">
        <v>3723</v>
      </c>
    </row>
    <row r="558" spans="1:2" x14ac:dyDescent="0.25">
      <c r="A558">
        <v>556</v>
      </c>
      <c r="B558" t="s">
        <v>3864</v>
      </c>
    </row>
    <row r="559" spans="1:2" x14ac:dyDescent="0.25">
      <c r="A559">
        <v>557</v>
      </c>
      <c r="B559" t="s">
        <v>3724</v>
      </c>
    </row>
    <row r="560" spans="1:2" x14ac:dyDescent="0.25">
      <c r="A560">
        <v>558</v>
      </c>
      <c r="B560" t="s">
        <v>3930</v>
      </c>
    </row>
    <row r="561" spans="1:2" x14ac:dyDescent="0.25">
      <c r="A561">
        <v>559</v>
      </c>
      <c r="B561" t="s">
        <v>3931</v>
      </c>
    </row>
    <row r="562" spans="1:2" x14ac:dyDescent="0.25">
      <c r="A562">
        <v>560</v>
      </c>
      <c r="B562" t="s">
        <v>3932</v>
      </c>
    </row>
    <row r="563" spans="1:2" x14ac:dyDescent="0.25">
      <c r="A563">
        <v>561</v>
      </c>
      <c r="B563" t="s">
        <v>3933</v>
      </c>
    </row>
    <row r="564" spans="1:2" x14ac:dyDescent="0.25">
      <c r="A564">
        <v>562</v>
      </c>
      <c r="B564" t="s">
        <v>3934</v>
      </c>
    </row>
    <row r="565" spans="1:2" x14ac:dyDescent="0.25">
      <c r="A565">
        <v>563</v>
      </c>
      <c r="B565" t="s">
        <v>3935</v>
      </c>
    </row>
    <row r="566" spans="1:2" x14ac:dyDescent="0.25">
      <c r="A566">
        <v>564</v>
      </c>
      <c r="B566" t="s">
        <v>3936</v>
      </c>
    </row>
    <row r="567" spans="1:2" x14ac:dyDescent="0.25">
      <c r="A567">
        <v>565</v>
      </c>
      <c r="B567" t="s">
        <v>3865</v>
      </c>
    </row>
    <row r="568" spans="1:2" x14ac:dyDescent="0.25">
      <c r="A568">
        <v>566</v>
      </c>
      <c r="B568" t="s">
        <v>3725</v>
      </c>
    </row>
    <row r="569" spans="1:2" x14ac:dyDescent="0.25">
      <c r="A569">
        <v>567</v>
      </c>
      <c r="B569" t="s">
        <v>3726</v>
      </c>
    </row>
    <row r="570" spans="1:2" x14ac:dyDescent="0.25">
      <c r="A570">
        <v>568</v>
      </c>
      <c r="B570" t="s">
        <v>3937</v>
      </c>
    </row>
    <row r="571" spans="1:2" x14ac:dyDescent="0.25">
      <c r="A571">
        <v>569</v>
      </c>
      <c r="B571" t="s">
        <v>3859</v>
      </c>
    </row>
    <row r="572" spans="1:2" x14ac:dyDescent="0.25">
      <c r="A572">
        <v>570</v>
      </c>
      <c r="B572" t="s">
        <v>3857</v>
      </c>
    </row>
    <row r="573" spans="1:2" x14ac:dyDescent="0.25">
      <c r="A573">
        <v>571</v>
      </c>
      <c r="B573" t="s">
        <v>1781</v>
      </c>
    </row>
    <row r="574" spans="1:2" x14ac:dyDescent="0.25">
      <c r="A574">
        <v>572</v>
      </c>
      <c r="B574" t="s">
        <v>3938</v>
      </c>
    </row>
    <row r="575" spans="1:2" x14ac:dyDescent="0.25">
      <c r="A575">
        <v>573</v>
      </c>
      <c r="B575" t="s">
        <v>3900</v>
      </c>
    </row>
    <row r="576" spans="1:2" x14ac:dyDescent="0.25">
      <c r="A576">
        <v>574</v>
      </c>
      <c r="B576" t="s">
        <v>3901</v>
      </c>
    </row>
    <row r="577" spans="1:2" x14ac:dyDescent="0.25">
      <c r="A577">
        <v>575</v>
      </c>
      <c r="B577" t="s">
        <v>3939</v>
      </c>
    </row>
    <row r="578" spans="1:2" x14ac:dyDescent="0.25">
      <c r="A578">
        <v>576</v>
      </c>
      <c r="B578" t="s">
        <v>3903</v>
      </c>
    </row>
    <row r="579" spans="1:2" x14ac:dyDescent="0.25">
      <c r="A579">
        <v>577</v>
      </c>
      <c r="B579" t="s">
        <v>3940</v>
      </c>
    </row>
    <row r="580" spans="1:2" x14ac:dyDescent="0.25">
      <c r="A580">
        <v>578</v>
      </c>
      <c r="B580" t="s">
        <v>3941</v>
      </c>
    </row>
    <row r="581" spans="1:2" x14ac:dyDescent="0.25">
      <c r="A581">
        <v>579</v>
      </c>
      <c r="B581" t="s">
        <v>3942</v>
      </c>
    </row>
    <row r="582" spans="1:2" x14ac:dyDescent="0.25">
      <c r="A582">
        <v>580</v>
      </c>
      <c r="B582" t="s">
        <v>3943</v>
      </c>
    </row>
    <row r="583" spans="1:2" x14ac:dyDescent="0.25">
      <c r="A583">
        <v>581</v>
      </c>
      <c r="B583" t="s">
        <v>4044</v>
      </c>
    </row>
    <row r="584" spans="1:2" x14ac:dyDescent="0.25">
      <c r="A584">
        <v>582</v>
      </c>
      <c r="B584" t="s">
        <v>4045</v>
      </c>
    </row>
    <row r="585" spans="1:2" x14ac:dyDescent="0.25">
      <c r="A585">
        <v>583</v>
      </c>
      <c r="B585" t="s">
        <v>3944</v>
      </c>
    </row>
    <row r="586" spans="1:2" x14ac:dyDescent="0.25">
      <c r="A586">
        <v>584</v>
      </c>
      <c r="B586" t="s">
        <v>3990</v>
      </c>
    </row>
    <row r="587" spans="1:2" x14ac:dyDescent="0.25">
      <c r="A587">
        <v>585</v>
      </c>
      <c r="B587" t="s">
        <v>3991</v>
      </c>
    </row>
    <row r="588" spans="1:2" x14ac:dyDescent="0.25">
      <c r="A588">
        <v>586</v>
      </c>
      <c r="B588" t="s">
        <v>3992</v>
      </c>
    </row>
    <row r="589" spans="1:2" x14ac:dyDescent="0.25">
      <c r="A589">
        <v>587</v>
      </c>
      <c r="B589" t="s">
        <v>4009</v>
      </c>
    </row>
    <row r="590" spans="1:2" x14ac:dyDescent="0.25">
      <c r="A590">
        <v>588</v>
      </c>
      <c r="B590" t="s">
        <v>4010</v>
      </c>
    </row>
    <row r="591" spans="1:2" x14ac:dyDescent="0.25">
      <c r="A591">
        <v>589</v>
      </c>
      <c r="B591" t="s">
        <v>4094</v>
      </c>
    </row>
    <row r="592" spans="1:2" x14ac:dyDescent="0.25">
      <c r="A592">
        <v>590</v>
      </c>
      <c r="B592" t="s">
        <v>4042</v>
      </c>
    </row>
    <row r="593" spans="1:2" x14ac:dyDescent="0.25">
      <c r="A593">
        <v>591</v>
      </c>
      <c r="B593" t="s">
        <v>4043</v>
      </c>
    </row>
    <row r="594" spans="1:2" x14ac:dyDescent="0.25">
      <c r="A594">
        <v>592</v>
      </c>
      <c r="B594" t="s">
        <v>4095</v>
      </c>
    </row>
    <row r="595" spans="1:2" x14ac:dyDescent="0.25">
      <c r="A595">
        <v>593</v>
      </c>
      <c r="B595" t="s">
        <v>4096</v>
      </c>
    </row>
    <row r="596" spans="1:2" x14ac:dyDescent="0.25">
      <c r="A596">
        <v>594</v>
      </c>
      <c r="B596" t="s">
        <v>4097</v>
      </c>
    </row>
    <row r="597" spans="1:2" x14ac:dyDescent="0.25">
      <c r="A597">
        <v>595</v>
      </c>
      <c r="B597" t="s">
        <v>4098</v>
      </c>
    </row>
    <row r="598" spans="1:2" x14ac:dyDescent="0.25">
      <c r="A598">
        <v>596</v>
      </c>
      <c r="B598" t="s">
        <v>4099</v>
      </c>
    </row>
    <row r="599" spans="1:2" x14ac:dyDescent="0.25">
      <c r="A599">
        <v>597</v>
      </c>
      <c r="B599" t="s">
        <v>4100</v>
      </c>
    </row>
    <row r="600" spans="1:2" x14ac:dyDescent="0.25">
      <c r="A600">
        <v>598</v>
      </c>
      <c r="B600" t="s">
        <v>4101</v>
      </c>
    </row>
    <row r="601" spans="1:2" x14ac:dyDescent="0.25">
      <c r="A601">
        <v>599</v>
      </c>
      <c r="B601" t="s">
        <v>4092</v>
      </c>
    </row>
    <row r="602" spans="1:2" x14ac:dyDescent="0.25">
      <c r="A602">
        <v>600</v>
      </c>
      <c r="B602" t="s">
        <v>4090</v>
      </c>
    </row>
    <row r="603" spans="1:2" x14ac:dyDescent="0.25">
      <c r="A603">
        <v>601</v>
      </c>
      <c r="B603" t="s">
        <v>4091</v>
      </c>
    </row>
    <row r="604" spans="1:2" x14ac:dyDescent="0.25">
      <c r="A604">
        <v>602</v>
      </c>
      <c r="B604" t="s">
        <v>4124</v>
      </c>
    </row>
    <row r="605" spans="1:2" x14ac:dyDescent="0.25">
      <c r="A605">
        <v>603</v>
      </c>
      <c r="B605" t="s">
        <v>4110</v>
      </c>
    </row>
    <row r="606" spans="1:2" x14ac:dyDescent="0.25">
      <c r="A606">
        <v>604</v>
      </c>
      <c r="B606" t="s">
        <v>4111</v>
      </c>
    </row>
    <row r="607" spans="1:2" x14ac:dyDescent="0.25">
      <c r="A607">
        <v>605</v>
      </c>
      <c r="B607" t="s">
        <v>4125</v>
      </c>
    </row>
    <row r="608" spans="1:2" x14ac:dyDescent="0.25">
      <c r="A608">
        <v>606</v>
      </c>
      <c r="B608" t="s">
        <v>4126</v>
      </c>
    </row>
    <row r="609" spans="1:2" x14ac:dyDescent="0.25">
      <c r="A609">
        <v>607</v>
      </c>
      <c r="B609" t="s">
        <v>4201</v>
      </c>
    </row>
    <row r="610" spans="1:2" x14ac:dyDescent="0.25">
      <c r="A610">
        <v>608</v>
      </c>
      <c r="B610" t="s">
        <v>4202</v>
      </c>
    </row>
    <row r="611" spans="1:2" x14ac:dyDescent="0.25">
      <c r="A611">
        <v>609</v>
      </c>
      <c r="B611" t="s">
        <v>4203</v>
      </c>
    </row>
    <row r="612" spans="1:2" x14ac:dyDescent="0.25">
      <c r="A612">
        <v>610</v>
      </c>
      <c r="B612" t="s">
        <v>4204</v>
      </c>
    </row>
    <row r="613" spans="1:2" x14ac:dyDescent="0.25">
      <c r="A613">
        <v>611</v>
      </c>
      <c r="B613" t="s">
        <v>4205</v>
      </c>
    </row>
    <row r="614" spans="1:2" x14ac:dyDescent="0.25">
      <c r="A614">
        <v>612</v>
      </c>
      <c r="B614" t="s">
        <v>4206</v>
      </c>
    </row>
    <row r="615" spans="1:2" x14ac:dyDescent="0.25">
      <c r="A615">
        <v>613</v>
      </c>
      <c r="B615" t="s">
        <v>4198</v>
      </c>
    </row>
    <row r="616" spans="1:2" x14ac:dyDescent="0.25">
      <c r="A616">
        <v>614</v>
      </c>
      <c r="B616" t="s">
        <v>4197</v>
      </c>
    </row>
    <row r="617" spans="1:2" x14ac:dyDescent="0.25">
      <c r="A617">
        <v>615</v>
      </c>
      <c r="B617" t="s">
        <v>4183</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39" t="s">
        <v>3727</v>
      </c>
      <c r="B1" s="139"/>
      <c r="C1" s="139"/>
      <c r="D1" s="139"/>
      <c r="E1" s="139"/>
      <c r="F1" s="139"/>
      <c r="G1" s="139"/>
      <c r="H1" s="139"/>
      <c r="I1" s="139"/>
    </row>
    <row r="2" spans="1:10" ht="75" x14ac:dyDescent="0.25">
      <c r="A2" s="1" t="s">
        <v>2261</v>
      </c>
      <c r="B2" s="1" t="s">
        <v>2262</v>
      </c>
      <c r="C2" s="1" t="s">
        <v>2263</v>
      </c>
      <c r="D2" s="89" t="s">
        <v>2358</v>
      </c>
      <c r="E2" s="1" t="s">
        <v>2268</v>
      </c>
      <c r="F2" s="1" t="s">
        <v>2269</v>
      </c>
      <c r="G2" s="1" t="s">
        <v>2295</v>
      </c>
      <c r="H2" s="1" t="s">
        <v>2345</v>
      </c>
      <c r="I2" s="1" t="s">
        <v>2346</v>
      </c>
      <c r="J2" s="66" t="s">
        <v>2348</v>
      </c>
    </row>
    <row r="3" spans="1:10" x14ac:dyDescent="0.25">
      <c r="A3">
        <v>124</v>
      </c>
      <c r="B3">
        <v>124</v>
      </c>
      <c r="C3" t="str">
        <f t="shared" ref="C3:C25" si="0">IF(A3=B3,"X","")</f>
        <v>X</v>
      </c>
      <c r="D3" s="90" t="e">
        <f>VLOOKUP(E3,'ESO zones'!$D$5:$H$10006,5,FALSE)</f>
        <v>#N/A</v>
      </c>
      <c r="E3" s="1" t="s">
        <v>3971</v>
      </c>
      <c r="F3" t="s">
        <v>3972</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4129</v>
      </c>
      <c r="E4" t="s">
        <v>4058</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2265</v>
      </c>
      <c r="F5" t="s">
        <v>2265</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2264</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2266</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2267</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2349</v>
      </c>
      <c r="F11" t="s">
        <v>2270</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2279</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2280</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2281</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2350</v>
      </c>
      <c r="F17" t="s">
        <v>2271</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2282</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2283</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2284</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2285</v>
      </c>
      <c r="G22" t="str">
        <f t="shared" si="4"/>
        <v/>
      </c>
      <c r="H22" t="str">
        <f t="shared" si="5"/>
        <v/>
      </c>
      <c r="I22" t="str">
        <f t="shared" si="6"/>
        <v/>
      </c>
      <c r="J22" s="27" t="str">
        <f t="shared" si="7"/>
        <v>{ parentCategory=3, category=25, zoneIds={41}},--Stonefalls</v>
      </c>
    </row>
    <row r="23" spans="1:10" x14ac:dyDescent="0.25">
      <c r="A23">
        <v>109</v>
      </c>
      <c r="B23">
        <v>109</v>
      </c>
      <c r="C23" t="s">
        <v>3773</v>
      </c>
      <c r="D23" s="90">
        <f>VLOOKUP(E23,'ESO zones'!$D$5:$H$10006,5,FALSE)</f>
        <v>1436</v>
      </c>
      <c r="E23" s="1" t="s">
        <v>3860</v>
      </c>
      <c r="F23" t="s">
        <v>3700</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3973</v>
      </c>
      <c r="E24" t="s">
        <v>3974</v>
      </c>
      <c r="F24" t="s">
        <v>3975</v>
      </c>
      <c r="J24" s="27" t="str">
        <f t="shared" si="7"/>
        <v>{ parentCategory=109, category=117, zoneIds={1436}},--All classes</v>
      </c>
    </row>
    <row r="25" spans="1:10" x14ac:dyDescent="0.25">
      <c r="A25">
        <v>4</v>
      </c>
      <c r="B25">
        <v>4</v>
      </c>
      <c r="C25" t="str">
        <f t="shared" si="0"/>
        <v>X</v>
      </c>
      <c r="D25" s="90" t="e">
        <f>VLOOKUP(E25,'ESO zones'!$D$5:$H$10006,5,FALSE)</f>
        <v>#N/A</v>
      </c>
      <c r="E25" s="1" t="s">
        <v>2351</v>
      </c>
      <c r="F25" t="s">
        <v>2272</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2287</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2286</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3270</v>
      </c>
      <c r="F30" t="s">
        <v>3269</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3263</v>
      </c>
      <c r="F31" t="s">
        <v>3264</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2292</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2288</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1560</v>
      </c>
      <c r="F34" t="s">
        <v>2291</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3271</v>
      </c>
      <c r="F35" t="s">
        <v>3272</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3273</v>
      </c>
      <c r="F36" t="s">
        <v>3274</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2360</v>
      </c>
      <c r="F37" t="s">
        <v>3105</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3265</v>
      </c>
      <c r="E38" t="s">
        <v>3266</v>
      </c>
      <c r="F38" t="s">
        <v>3267</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3586</v>
      </c>
      <c r="E39" t="s">
        <v>3295</v>
      </c>
      <c r="F39" t="s">
        <v>3275</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3436</v>
      </c>
      <c r="F40" t="s">
        <v>3436</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3693</v>
      </c>
      <c r="E41" t="s">
        <v>3694</v>
      </c>
      <c r="F41" t="s">
        <v>3695</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4129</v>
      </c>
      <c r="E42" t="s">
        <v>4058</v>
      </c>
      <c r="F42" t="s">
        <v>4058</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2352</v>
      </c>
      <c r="F43" t="s">
        <v>2273</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2307</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2303</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2297</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2306</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2300</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3585</v>
      </c>
      <c r="E50" t="s">
        <v>61</v>
      </c>
      <c r="F50" t="s">
        <v>2294</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2293</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2296</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2302</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2304</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2305</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2301</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2298</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2299</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2353</v>
      </c>
      <c r="F60" t="s">
        <v>2274</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2312</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2324</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2325</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2320</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2308</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2310</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2316</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2313</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2317</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2319</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2322</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2311</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1464</v>
      </c>
      <c r="F73" t="s">
        <v>2314</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1463</v>
      </c>
      <c r="F74" t="s">
        <v>2318</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1621</v>
      </c>
      <c r="F75" t="s">
        <v>2309</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1620</v>
      </c>
      <c r="F76" t="s">
        <v>2323</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1774</v>
      </c>
      <c r="F77" t="s">
        <v>2315</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1779</v>
      </c>
      <c r="F78" t="s">
        <v>2321</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2366</v>
      </c>
      <c r="F79" t="s">
        <v>2384</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2367</v>
      </c>
      <c r="F80" t="s">
        <v>2385</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2465</v>
      </c>
      <c r="F81" t="s">
        <v>2465</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2468</v>
      </c>
      <c r="F82" t="s">
        <v>3268</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2685</v>
      </c>
      <c r="F83" t="s">
        <v>2685</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2696</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3354</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3355</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3518</v>
      </c>
      <c r="F87" s="33" t="s">
        <v>3518</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3544</v>
      </c>
      <c r="F88" s="33" t="s">
        <v>3547</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3834</v>
      </c>
      <c r="F89" s="33" t="s">
        <v>3834</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3835</v>
      </c>
      <c r="F90" s="33" t="s">
        <v>3835</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4027</v>
      </c>
      <c r="F91" s="33" t="s">
        <v>4027</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4031</v>
      </c>
      <c r="F92" s="33" t="s">
        <v>4031</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zones'!$D$5:$H$10006,5,FALSE)</f>
        <v>1551</v>
      </c>
      <c r="E93" s="116" t="s">
        <v>4104</v>
      </c>
      <c r="F93" s="116" t="s">
        <v>4104</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zones'!$D$5:$H$10006,5,FALSE)</f>
        <v>1552</v>
      </c>
      <c r="E94" s="50" t="s">
        <v>4105</v>
      </c>
      <c r="F94" s="50" t="s">
        <v>4105</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2354</v>
      </c>
      <c r="F95" t="s">
        <v>2275</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2327</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2333</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2330</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2328</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2326</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2332</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2331</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1679</v>
      </c>
      <c r="F104" t="s">
        <v>2329</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3317</v>
      </c>
      <c r="F105" t="s">
        <v>3297</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3635</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3904</v>
      </c>
      <c r="F107" t="s">
        <v>3904</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4057</v>
      </c>
      <c r="F108" t="s">
        <v>4057</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2355</v>
      </c>
      <c r="F109" t="s">
        <v>2276</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2334</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2336</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2337</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2184</v>
      </c>
      <c r="F113" t="s">
        <v>2335</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2277</v>
      </c>
      <c r="F114" t="s">
        <v>2277</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2338</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2347</v>
      </c>
      <c r="F117" t="s">
        <v>2339</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2356</v>
      </c>
      <c r="F118" t="s">
        <v>2278</v>
      </c>
      <c r="G118" t="str">
        <f t="shared" si="29"/>
        <v/>
      </c>
      <c r="H118" t="str">
        <f t="shared" si="30"/>
        <v/>
      </c>
      <c r="I118" t="str">
        <f t="shared" si="31"/>
        <v/>
      </c>
      <c r="J118" s="27" t="str">
        <f t="shared" si="45"/>
        <v>--Miscellaneous</v>
      </c>
    </row>
    <row r="119" spans="1:10" x14ac:dyDescent="0.25">
      <c r="A119">
        <v>10</v>
      </c>
      <c r="B119">
        <v>26</v>
      </c>
      <c r="C119" t="str">
        <f t="shared" si="44"/>
        <v/>
      </c>
      <c r="D119" s="2" t="s">
        <v>3587</v>
      </c>
      <c r="E119" t="s">
        <v>2357</v>
      </c>
      <c r="F119" t="s">
        <v>2343</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2341</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2342</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1767</v>
      </c>
      <c r="F122" t="s">
        <v>2340</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
  <sheetViews>
    <sheetView workbookViewId="0">
      <selection activeCell="E18" sqref="E18"/>
    </sheetView>
  </sheetViews>
  <sheetFormatPr baseColWidth="10" defaultRowHeight="15" x14ac:dyDescent="0.25"/>
  <sheetData/>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33" t="s">
        <v>2387</v>
      </c>
      <c r="B1" s="133"/>
      <c r="C1" s="133"/>
      <c r="D1" s="20" t="s">
        <v>2344</v>
      </c>
      <c r="G1" s="64" t="s">
        <v>2172</v>
      </c>
    </row>
    <row r="2" spans="1:7" x14ac:dyDescent="0.25">
      <c r="A2" s="6" t="s">
        <v>83</v>
      </c>
      <c r="B2" s="7" t="s">
        <v>1646</v>
      </c>
      <c r="C2" s="7" t="s">
        <v>1647</v>
      </c>
      <c r="D2" s="1" t="s">
        <v>2148</v>
      </c>
      <c r="E2" s="1" t="s">
        <v>2140</v>
      </c>
      <c r="F2" s="1" t="s">
        <v>2141</v>
      </c>
      <c r="G2" s="63" t="s">
        <v>2146</v>
      </c>
    </row>
    <row r="3" spans="1:7" x14ac:dyDescent="0.25">
      <c r="A3" s="11">
        <v>19</v>
      </c>
      <c r="B3" s="8" t="str">
        <f>VLOOKUP(A3,'Sets (lua data)'!$A$3:$C$9920,3,FALSE)</f>
        <v>Vestments of the Warlock</v>
      </c>
      <c r="C3" s="8" t="str">
        <f>VLOOKUP(A3,'Sets (lua data)'!$A$3:$C$9920,2,FALSE)</f>
        <v>Gewänder des Hexers</v>
      </c>
      <c r="G3" s="62" t="str">
        <f>IF(AND(A3&lt;&gt;"",NOT(ISERROR(A3)),ISNUMBER(A3),D3&lt;&gt;""),CONCATENATE("[",A3,"] = {",D3,"},","     --",B3," -&gt; ",E3," / ",F3),"")</f>
        <v/>
      </c>
    </row>
    <row r="4" spans="1:7" x14ac:dyDescent="0.25">
      <c r="A4" s="11">
        <v>20</v>
      </c>
      <c r="B4" s="8" t="str">
        <f>VLOOKUP(A4,'Sets (lua data)'!$A$3:$C$9920,3,FALSE)</f>
        <v>Witchman Armor</v>
      </c>
      <c r="C4" s="8" t="str">
        <f>VLOOKUP(A4,'Sets (lua data)'!$A$3:$C$9920,2,FALSE)</f>
        <v>Hexenwerk</v>
      </c>
      <c r="G4" s="62" t="str">
        <f t="shared" ref="G4:G66" si="0">IF(AND(A4&lt;&gt;"",NOT(ISERROR(A4)),ISNUMBER(A4),D4&lt;&gt;""),CONCATENATE("[",A4,"] = {",D4,"},","     --",B4," -&gt; ",E4," / ",F4),"")</f>
        <v/>
      </c>
    </row>
    <row r="5" spans="1:7" x14ac:dyDescent="0.25">
      <c r="A5" s="11">
        <v>21</v>
      </c>
      <c r="B5" s="8" t="str">
        <f>VLOOKUP(A5,'Sets (lua data)'!$A$3:$C$9920,3,FALSE)</f>
        <v>Akaviri Dragonguard</v>
      </c>
      <c r="C5" s="8" t="str">
        <f>VLOOKUP(A5,'Sets (lua data)'!$A$3:$C$9920,2,FALSE)</f>
        <v>Akavirische Drachengarde</v>
      </c>
      <c r="G5" s="62" t="str">
        <f t="shared" si="0"/>
        <v/>
      </c>
    </row>
    <row r="6" spans="1:7" x14ac:dyDescent="0.25">
      <c r="A6" s="11">
        <v>22</v>
      </c>
      <c r="B6" s="8" t="str">
        <f>VLOOKUP(A6,'Sets (lua data)'!$A$3:$C$9920,3,FALSE)</f>
        <v>Dreamer\'s Mantle</v>
      </c>
      <c r="C6" s="8" t="str">
        <f>VLOOKUP(A6,'Sets (lua data)'!$A$3:$C$9920,2,FALSE)</f>
        <v>Mantel des Träumers</v>
      </c>
      <c r="G6" s="62" t="str">
        <f t="shared" si="0"/>
        <v/>
      </c>
    </row>
    <row r="7" spans="1:7" x14ac:dyDescent="0.25">
      <c r="A7" s="11">
        <v>23</v>
      </c>
      <c r="B7" s="8" t="str">
        <f>VLOOKUP(A7,'Sets (lua data)'!$A$3:$C$9920,3,FALSE)</f>
        <v>Archer\'s Mind</v>
      </c>
      <c r="C7" s="8" t="str">
        <f>VLOOKUP(A7,'Sets (lua data)'!$A$3:$C$9920,2,FALSE)</f>
        <v>Schützensinn</v>
      </c>
      <c r="G7" s="62" t="str">
        <f t="shared" si="0"/>
        <v/>
      </c>
    </row>
    <row r="8" spans="1:7" x14ac:dyDescent="0.25">
      <c r="A8" s="11">
        <v>24</v>
      </c>
      <c r="B8" s="8" t="str">
        <f>VLOOKUP(A8,'Sets (lua data)'!$A$3:$C$9920,3,FALSE)</f>
        <v>Footman\'s Fortune</v>
      </c>
      <c r="C8" s="8" t="str">
        <f>VLOOKUP(A8,'Sets (lua data)'!$A$3:$C$9920,2,FALSE)</f>
        <v>Geschick des Fußsoldaten</v>
      </c>
      <c r="G8" s="62" t="str">
        <f t="shared" si="0"/>
        <v/>
      </c>
    </row>
    <row r="9" spans="1:7" x14ac:dyDescent="0.25">
      <c r="A9" s="11">
        <v>25</v>
      </c>
      <c r="B9" s="8" t="str">
        <f>VLOOKUP(A9,'Sets (lua data)'!$A$3:$C$9920,3,FALSE)</f>
        <v>Desert Rose</v>
      </c>
      <c r="C9" s="8" t="str">
        <f>VLOOKUP(A9,'Sets (lua data)'!$A$3:$C$9920,2,FALSE)</f>
        <v>Wüstenrose</v>
      </c>
      <c r="G9" s="62" t="str">
        <f t="shared" si="0"/>
        <v/>
      </c>
    </row>
    <row r="10" spans="1:7" x14ac:dyDescent="0.25">
      <c r="A10" s="11">
        <v>26</v>
      </c>
      <c r="B10" s="8" t="str">
        <f>VLOOKUP(A10,'Sets (lua data)'!$A$3:$C$9920,3,FALSE)</f>
        <v>Prisoner\'s Rags</v>
      </c>
      <c r="C10" s="8" t="str">
        <f>VLOOKUP(A10,'Sets (lua data)'!$A$3:$C$9920,2,FALSE)</f>
        <v>Lumpen des Gefangenen</v>
      </c>
      <c r="G10" s="62" t="str">
        <f t="shared" si="0"/>
        <v/>
      </c>
    </row>
    <row r="11" spans="1:7" x14ac:dyDescent="0.25">
      <c r="A11" s="11">
        <v>27</v>
      </c>
      <c r="B11" s="8" t="str">
        <f>VLOOKUP(A11,'Sets (lua data)'!$A$3:$C$9920,3,FALSE)</f>
        <v>Fiord\'s Legacy</v>
      </c>
      <c r="C11" s="8" t="str">
        <f>VLOOKUP(A11,'Sets (lua data)'!$A$3:$C$9920,2,FALSE)</f>
        <v>Fiords Erbe</v>
      </c>
      <c r="G11" s="62" t="str">
        <f t="shared" si="0"/>
        <v/>
      </c>
    </row>
    <row r="12" spans="1:7" x14ac:dyDescent="0.25">
      <c r="A12" s="11">
        <v>28</v>
      </c>
      <c r="B12" s="8" t="str">
        <f>VLOOKUP(A12,'Sets (lua data)'!$A$3:$C$9920,3,FALSE)</f>
        <v>Barkskin</v>
      </c>
      <c r="C12" s="8" t="str">
        <f>VLOOKUP(A12,'Sets (lua data)'!$A$3:$C$9920,2,FALSE)</f>
        <v>Borkenhaut</v>
      </c>
      <c r="G12" s="62" t="str">
        <f t="shared" si="0"/>
        <v/>
      </c>
    </row>
    <row r="13" spans="1:7" x14ac:dyDescent="0.25">
      <c r="A13" s="11">
        <v>29</v>
      </c>
      <c r="B13" s="8" t="str">
        <f>VLOOKUP(A13,'Sets (lua data)'!$A$3:$C$9920,3,FALSE)</f>
        <v>Sergeant\'s Mail</v>
      </c>
      <c r="C13" s="8" t="str">
        <f>VLOOKUP(A13,'Sets (lua data)'!$A$3:$C$9920,2,FALSE)</f>
        <v>Rüstung des Feldwebels</v>
      </c>
      <c r="G13" s="62" t="str">
        <f t="shared" si="0"/>
        <v/>
      </c>
    </row>
    <row r="14" spans="1:7" x14ac:dyDescent="0.25">
      <c r="A14" s="11">
        <v>30</v>
      </c>
      <c r="B14" s="8" t="str">
        <f>VLOOKUP(A14,'Sets (lua data)'!$A$3:$C$9920,3,FALSE)</f>
        <v>Thunderbug\'s Carapace</v>
      </c>
      <c r="C14" s="8" t="str">
        <f>VLOOKUP(A14,'Sets (lua data)'!$A$3:$C$9920,2,FALSE)</f>
        <v>Donnerkäferpanzer</v>
      </c>
      <c r="G14" s="62" t="str">
        <f t="shared" si="0"/>
        <v/>
      </c>
    </row>
    <row r="15" spans="1:7" x14ac:dyDescent="0.25">
      <c r="A15" s="11">
        <v>31</v>
      </c>
      <c r="B15" s="8" t="str">
        <f>VLOOKUP(A15,'Sets (lua data)'!$A$3:$C$9920,3,FALSE)</f>
        <v>Silks of the Sun</v>
      </c>
      <c r="C15" s="8" t="str">
        <f>VLOOKUP(A15,'Sets (lua data)'!$A$3:$C$9920,2,FALSE)</f>
        <v>Sonnenseide</v>
      </c>
      <c r="G15" s="62" t="str">
        <f t="shared" si="0"/>
        <v/>
      </c>
    </row>
    <row r="16" spans="1:7" x14ac:dyDescent="0.25">
      <c r="A16" s="11">
        <v>32</v>
      </c>
      <c r="B16" s="8" t="str">
        <f>VLOOKUP(A16,'Sets (lua data)'!$A$3:$C$9920,3,FALSE)</f>
        <v>Healer\'s Habit</v>
      </c>
      <c r="C16" s="8" t="str">
        <f>VLOOKUP(A16,'Sets (lua data)'!$A$3:$C$9920,2,FALSE)</f>
        <v>Bräuche des Heilers</v>
      </c>
      <c r="G16" s="62" t="str">
        <f t="shared" si="0"/>
        <v/>
      </c>
    </row>
    <row r="17" spans="1:7" x14ac:dyDescent="0.25">
      <c r="A17" s="11">
        <v>33</v>
      </c>
      <c r="B17" s="8" t="str">
        <f>VLOOKUP(A17,'Sets (lua data)'!$A$3:$C$9920,3,FALSE)</f>
        <v>Viper\'s Sting</v>
      </c>
      <c r="C17" s="8" t="str">
        <f>VLOOKUP(A17,'Sets (lua data)'!$A$3:$C$9920,2,FALSE)</f>
        <v>Vipernbiss</v>
      </c>
      <c r="G17" s="62" t="str">
        <f t="shared" si="0"/>
        <v/>
      </c>
    </row>
    <row r="18" spans="1:7" x14ac:dyDescent="0.25">
      <c r="A18" s="11">
        <v>34</v>
      </c>
      <c r="B18" s="8" t="str">
        <f>VLOOKUP(A18,'Sets (lua data)'!$A$3:$C$9920,3,FALSE)</f>
        <v>Night Mother\'s Embrace</v>
      </c>
      <c r="C18" s="8" t="str">
        <f>VLOOKUP(A18,'Sets (lua data)'!$A$3:$C$9920,2,FALSE)</f>
        <v>Umarmung der Mutter der Nacht</v>
      </c>
      <c r="G18" s="62" t="str">
        <f t="shared" si="0"/>
        <v/>
      </c>
    </row>
    <row r="19" spans="1:7" x14ac:dyDescent="0.25">
      <c r="A19" s="11">
        <v>35</v>
      </c>
      <c r="B19" s="8" t="str">
        <f>VLOOKUP(A19,'Sets (lua data)'!$A$3:$C$9920,3,FALSE)</f>
        <v>Knightmare</v>
      </c>
      <c r="C19" s="8" t="str">
        <f>VLOOKUP(A19,'Sets (lua data)'!$A$3:$C$9920,2,FALSE)</f>
        <v>Albtraumritter</v>
      </c>
      <c r="G19" s="62" t="str">
        <f t="shared" si="0"/>
        <v/>
      </c>
    </row>
    <row r="20" spans="1:7" x14ac:dyDescent="0.25">
      <c r="A20" s="11">
        <v>36</v>
      </c>
      <c r="B20" s="8" t="str">
        <f>VLOOKUP(A20,'Sets (lua data)'!$A$3:$C$9920,3,FALSE)</f>
        <v>Armor of the Veiled Heritance</v>
      </c>
      <c r="C20" s="8" t="str">
        <f>VLOOKUP(A20,'Sets (lua data)'!$A$3:$C$9920,2,FALSE)</f>
        <v>Rüstung des Schleiererbes</v>
      </c>
      <c r="G20" s="62" t="str">
        <f t="shared" si="0"/>
        <v/>
      </c>
    </row>
    <row r="21" spans="1:7" x14ac:dyDescent="0.25">
      <c r="A21" s="5">
        <v>37</v>
      </c>
      <c r="B21" s="8" t="str">
        <f>VLOOKUP(A21,'Sets (lua data)'!$A$3:$C$9920,3,FALSE)</f>
        <v>Death\'s Wind</v>
      </c>
      <c r="C21" s="8" t="str">
        <f>VLOOKUP(A21,'Sets (lua data)'!$A$3:$C$9920,2,FALSE)</f>
        <v>Todeswind</v>
      </c>
      <c r="G21" s="62" t="str">
        <f t="shared" si="0"/>
        <v/>
      </c>
    </row>
    <row r="22" spans="1:7" x14ac:dyDescent="0.25">
      <c r="A22" s="5">
        <v>38</v>
      </c>
      <c r="B22" s="8" t="str">
        <f>VLOOKUP(A22,'Sets (lua data)'!$A$3:$C$9920,3,FALSE)</f>
        <v>Twilight\'s Embrace</v>
      </c>
      <c r="C22" s="8" t="str">
        <f>VLOOKUP(A22,'Sets (lua data)'!$A$3:$C$9920,2,FALSE)</f>
        <v>Zwielichtkuss</v>
      </c>
      <c r="G22" s="62" t="str">
        <f t="shared" si="0"/>
        <v/>
      </c>
    </row>
    <row r="23" spans="1:7" x14ac:dyDescent="0.25">
      <c r="A23" s="11">
        <v>39</v>
      </c>
      <c r="B23" s="8" t="str">
        <f>VLOOKUP(A23,'Sets (lua data)'!$A$3:$C$9920,3,FALSE)</f>
        <v>Alessian Order</v>
      </c>
      <c r="C23" s="8" t="str">
        <f>VLOOKUP(A23,'Sets (lua data)'!$A$3:$C$9920,2,FALSE)</f>
        <v>Alessianischer Orden</v>
      </c>
      <c r="G23" s="62" t="str">
        <f t="shared" si="0"/>
        <v/>
      </c>
    </row>
    <row r="24" spans="1:7" x14ac:dyDescent="0.25">
      <c r="A24" s="5">
        <v>40</v>
      </c>
      <c r="B24" s="8" t="str">
        <f>VLOOKUP(A24,'Sets (lua data)'!$A$3:$C$9920,3,FALSE)</f>
        <v>Night\'s Silence</v>
      </c>
      <c r="C24" s="8" t="str">
        <f>VLOOKUP(A24,'Sets (lua data)'!$A$3:$C$9920,2,FALSE)</f>
        <v>Stille der Nacht</v>
      </c>
      <c r="G24" s="62" t="str">
        <f t="shared" si="0"/>
        <v/>
      </c>
    </row>
    <row r="25" spans="1:7" x14ac:dyDescent="0.25">
      <c r="A25" s="5">
        <v>41</v>
      </c>
      <c r="B25" s="8" t="str">
        <f>VLOOKUP(A25,'Sets (lua data)'!$A$3:$C$9920,3,FALSE)</f>
        <v>Whitestrake\'s Retribution</v>
      </c>
      <c r="C25" s="8" t="str">
        <f>VLOOKUP(A25,'Sets (lua data)'!$A$3:$C$9920,2,FALSE)</f>
        <v>Weißplankes Vergeltung</v>
      </c>
      <c r="G25" s="62" t="str">
        <f t="shared" si="0"/>
        <v/>
      </c>
    </row>
    <row r="26" spans="1:7" x14ac:dyDescent="0.25">
      <c r="A26" s="5">
        <v>43</v>
      </c>
      <c r="B26" s="8" t="str">
        <f>VLOOKUP(A26,'Sets (lua data)'!$A$3:$C$9920,3,FALSE)</f>
        <v>Armor of the Seducer</v>
      </c>
      <c r="C26" s="8" t="str">
        <f>VLOOKUP(A26,'Sets (lua data)'!$A$3:$C$9920,2,FALSE)</f>
        <v>Rüstung der Verführung</v>
      </c>
      <c r="G26" s="62" t="str">
        <f t="shared" si="0"/>
        <v/>
      </c>
    </row>
    <row r="27" spans="1:7" x14ac:dyDescent="0.25">
      <c r="A27" s="5">
        <v>44</v>
      </c>
      <c r="B27" s="8" t="str">
        <f>VLOOKUP(A27,'Sets (lua data)'!$A$3:$C$9920,3,FALSE)</f>
        <v>Vampire\'s Kiss</v>
      </c>
      <c r="C27" s="8" t="str">
        <f>VLOOKUP(A27,'Sets (lua data)'!$A$3:$C$9920,2,FALSE)</f>
        <v>Kuss des Vampirs</v>
      </c>
      <c r="G27" s="62" t="str">
        <f t="shared" si="0"/>
        <v/>
      </c>
    </row>
    <row r="28" spans="1:7" x14ac:dyDescent="0.25">
      <c r="A28" s="11">
        <v>46</v>
      </c>
      <c r="B28" s="8" t="str">
        <f>VLOOKUP(A28,'Sets (lua data)'!$A$3:$C$9920,3,FALSE)</f>
        <v>Noble Duelist\'s Silks</v>
      </c>
      <c r="C28" s="8" t="str">
        <f>VLOOKUP(A28,'Sets (lua data)'!$A$3:$C$9920,2,FALSE)</f>
        <v>Seide des edlen Duellanten</v>
      </c>
      <c r="G28" s="62" t="str">
        <f t="shared" si="0"/>
        <v/>
      </c>
    </row>
    <row r="29" spans="1:7" x14ac:dyDescent="0.25">
      <c r="A29" s="11">
        <v>47</v>
      </c>
      <c r="B29" s="8" t="str">
        <f>VLOOKUP(A29,'Sets (lua data)'!$A$3:$C$9920,3,FALSE)</f>
        <v>Robes of the Withered Hand</v>
      </c>
      <c r="C29" s="8" t="str">
        <f>VLOOKUP(A29,'Sets (lua data)'!$A$3:$C$9920,2,FALSE)</f>
        <v>Roben der Verdorrten Hand</v>
      </c>
      <c r="G29" s="62" t="str">
        <f t="shared" si="0"/>
        <v/>
      </c>
    </row>
    <row r="30" spans="1:7" x14ac:dyDescent="0.25">
      <c r="A30" s="5">
        <v>48</v>
      </c>
      <c r="B30" s="8" t="str">
        <f>VLOOKUP(A30,'Sets (lua data)'!$A$3:$C$9920,3,FALSE)</f>
        <v>Magnus\' Gift</v>
      </c>
      <c r="C30" s="8" t="str">
        <f>VLOOKUP(A30,'Sets (lua data)'!$A$3:$C$9920,2,FALSE)</f>
        <v>Magnus' Gabe</v>
      </c>
      <c r="G30" s="62" t="str">
        <f t="shared" si="0"/>
        <v/>
      </c>
    </row>
    <row r="31" spans="1:7" x14ac:dyDescent="0.25">
      <c r="A31" s="11">
        <v>49</v>
      </c>
      <c r="B31" s="8" t="str">
        <f>VLOOKUP(A31,'Sets (lua data)'!$A$3:$C$9920,3,FALSE)</f>
        <v>Shadow of the Red Mountain</v>
      </c>
      <c r="C31" s="8" t="str">
        <f>VLOOKUP(A31,'Sets (lua data)'!$A$3:$C$9920,2,FALSE)</f>
        <v>Schatten des Roten Berges</v>
      </c>
      <c r="G31" s="62" t="str">
        <f t="shared" si="0"/>
        <v/>
      </c>
    </row>
    <row r="32" spans="1:7" x14ac:dyDescent="0.25">
      <c r="A32" s="11">
        <v>50</v>
      </c>
      <c r="B32" s="8" t="str">
        <f>VLOOKUP(A32,'Sets (lua data)'!$A$3:$C$9920,3,FALSE)</f>
        <v>The Morag Tong</v>
      </c>
      <c r="C32" s="8" t="str">
        <f>VLOOKUP(A32,'Sets (lua data)'!$A$3:$C$9920,2,FALSE)</f>
        <v>Morag Tong</v>
      </c>
      <c r="G32" s="62" t="str">
        <f t="shared" si="0"/>
        <v/>
      </c>
    </row>
    <row r="33" spans="1:7" x14ac:dyDescent="0.25">
      <c r="A33" s="5">
        <v>51</v>
      </c>
      <c r="B33" s="8" t="str">
        <f>VLOOKUP(A33,'Sets (lua data)'!$A$3:$C$9920,3,FALSE)</f>
        <v>Night Mother\'s Gaze</v>
      </c>
      <c r="C33" s="8" t="str">
        <f>VLOOKUP(A33,'Sets (lua data)'!$A$3:$C$9920,2,FALSE)</f>
        <v>Blick der Mutter der Nacht</v>
      </c>
      <c r="G33" s="62" t="str">
        <f t="shared" si="0"/>
        <v/>
      </c>
    </row>
    <row r="34" spans="1:7" x14ac:dyDescent="0.25">
      <c r="A34" s="11">
        <v>52</v>
      </c>
      <c r="B34" s="8" t="str">
        <f>VLOOKUP(A34,'Sets (lua data)'!$A$3:$C$9920,3,FALSE)</f>
        <v>Beckoning Steel</v>
      </c>
      <c r="C34" s="8" t="str">
        <f>VLOOKUP(A34,'Sets (lua data)'!$A$3:$C$9920,2,FALSE)</f>
        <v>Klingender Stahl</v>
      </c>
      <c r="G34" s="62" t="str">
        <f t="shared" si="0"/>
        <v/>
      </c>
    </row>
    <row r="35" spans="1:7" x14ac:dyDescent="0.25">
      <c r="A35" s="11">
        <v>53</v>
      </c>
      <c r="B35" s="8" t="str">
        <f>VLOOKUP(A35,'Sets (lua data)'!$A$3:$C$9920,3,FALSE)</f>
        <v>The Ice Furnace</v>
      </c>
      <c r="C35" s="8" t="str">
        <f>VLOOKUP(A35,'Sets (lua data)'!$A$3:$C$9920,2,FALSE)</f>
        <v>Eisschmiede</v>
      </c>
      <c r="G35" s="62" t="str">
        <f t="shared" si="0"/>
        <v/>
      </c>
    </row>
    <row r="36" spans="1:7" x14ac:dyDescent="0.25">
      <c r="A36" s="5">
        <v>54</v>
      </c>
      <c r="B36" s="8" t="str">
        <f>VLOOKUP(A36,'Sets (lua data)'!$A$3:$C$9920,3,FALSE)</f>
        <v>Ashen Grip</v>
      </c>
      <c r="C36" s="8" t="str">
        <f>VLOOKUP(A36,'Sets (lua data)'!$A$3:$C$9920,2,FALSE)</f>
        <v>Aschengriff</v>
      </c>
      <c r="G36" s="62" t="str">
        <f t="shared" si="0"/>
        <v/>
      </c>
    </row>
    <row r="37" spans="1:7" x14ac:dyDescent="0.25">
      <c r="A37" s="11">
        <v>55</v>
      </c>
      <c r="B37" s="8" t="str">
        <f>VLOOKUP(A37,'Sets (lua data)'!$A$3:$C$9920,3,FALSE)</f>
        <v>Prayer Shawl</v>
      </c>
      <c r="C37" s="8" t="str">
        <f>VLOOKUP(A37,'Sets (lua data)'!$A$3:$C$9920,2,FALSE)</f>
        <v>Gebetstuch</v>
      </c>
      <c r="G37" s="62" t="str">
        <f t="shared" si="0"/>
        <v/>
      </c>
    </row>
    <row r="38" spans="1:7" x14ac:dyDescent="0.25">
      <c r="A38" s="11">
        <v>56</v>
      </c>
      <c r="B38" s="8" t="str">
        <f>VLOOKUP(A38,'Sets (lua data)'!$A$3:$C$9920,3,FALSE)</f>
        <v>Stendarr\'s Embrace</v>
      </c>
      <c r="C38" s="8" t="str">
        <f>VLOOKUP(A38,'Sets (lua data)'!$A$3:$C$9920,2,FALSE)</f>
        <v>Stendarrs Umarmung</v>
      </c>
      <c r="G38" s="62" t="str">
        <f t="shared" si="0"/>
        <v/>
      </c>
    </row>
    <row r="39" spans="1:7" x14ac:dyDescent="0.25">
      <c r="A39" s="11">
        <v>57</v>
      </c>
      <c r="B39" s="8" t="str">
        <f>VLOOKUP(A39,'Sets (lua data)'!$A$3:$C$9920,3,FALSE)</f>
        <v>Syrabane\'s Grip</v>
      </c>
      <c r="C39" s="8" t="str">
        <f>VLOOKUP(A39,'Sets (lua data)'!$A$3:$C$9920,2,FALSE)</f>
        <v>Syrabanns Griff</v>
      </c>
      <c r="G39" s="62" t="str">
        <f t="shared" si="0"/>
        <v/>
      </c>
    </row>
    <row r="40" spans="1:7" x14ac:dyDescent="0.25">
      <c r="A40" s="11">
        <v>58</v>
      </c>
      <c r="B40" s="8" t="str">
        <f>VLOOKUP(A40,'Sets (lua data)'!$A$3:$C$9920,3,FALSE)</f>
        <v>Hide of the Werewolf</v>
      </c>
      <c r="C40" s="8" t="str">
        <f>VLOOKUP(A40,'Sets (lua data)'!$A$3:$C$9920,2,FALSE)</f>
        <v>Fell des Werwolfs</v>
      </c>
      <c r="G40" s="62" t="str">
        <f t="shared" si="0"/>
        <v/>
      </c>
    </row>
    <row r="41" spans="1:7" x14ac:dyDescent="0.25">
      <c r="A41" s="11">
        <v>59</v>
      </c>
      <c r="B41" s="8" t="str">
        <f>VLOOKUP(A41,'Sets (lua data)'!$A$3:$C$9920,3,FALSE)</f>
        <v>Kyne\'s Kiss</v>
      </c>
      <c r="C41" s="8" t="str">
        <f>VLOOKUP(A41,'Sets (lua data)'!$A$3:$C$9920,2,FALSE)</f>
        <v>Kynes Kuss</v>
      </c>
      <c r="G41" s="62" t="str">
        <f t="shared" si="0"/>
        <v/>
      </c>
    </row>
    <row r="42" spans="1:7" x14ac:dyDescent="0.25">
      <c r="A42" s="11">
        <v>60</v>
      </c>
      <c r="B42" s="8" t="str">
        <f>VLOOKUP(A42,'Sets (lua data)'!$A$3:$C$9920,3,FALSE)</f>
        <v>Darkstride</v>
      </c>
      <c r="C42" s="8" t="str">
        <f>VLOOKUP(A42,'Sets (lua data)'!$A$3:$C$9920,2,FALSE)</f>
        <v>Dunkelschritt</v>
      </c>
      <c r="G42" s="62" t="str">
        <f t="shared" si="0"/>
        <v/>
      </c>
    </row>
    <row r="43" spans="1:7" x14ac:dyDescent="0.25">
      <c r="A43" s="11">
        <v>61</v>
      </c>
      <c r="B43" s="8" t="str">
        <f>VLOOKUP(A43,'Sets (lua data)'!$A$3:$C$9920,3,FALSE)</f>
        <v>Dreugh King Slayer</v>
      </c>
      <c r="C43" s="8" t="str">
        <f>VLOOKUP(A43,'Sets (lua data)'!$A$3:$C$9920,2,FALSE)</f>
        <v>Dreughkönigsschlächter</v>
      </c>
      <c r="G43" s="62" t="str">
        <f t="shared" si="0"/>
        <v/>
      </c>
    </row>
    <row r="44" spans="1:7" x14ac:dyDescent="0.25">
      <c r="A44" s="11">
        <v>62</v>
      </c>
      <c r="B44" s="8" t="str">
        <f>VLOOKUP(A44,'Sets (lua data)'!$A$3:$C$9920,3,FALSE)</f>
        <v>Hatchling\'s Shell</v>
      </c>
      <c r="C44" s="8" t="str">
        <f>VLOOKUP(A44,'Sets (lua data)'!$A$3:$C$9920,2,FALSE)</f>
        <v>Schlüpflingspanzer</v>
      </c>
      <c r="G44" s="62" t="str">
        <f t="shared" si="0"/>
        <v/>
      </c>
    </row>
    <row r="45" spans="1:7" x14ac:dyDescent="0.25">
      <c r="A45" s="11">
        <v>63</v>
      </c>
      <c r="B45" s="8" t="str">
        <f>VLOOKUP(A45,'Sets (lua data)'!$A$3:$C$9920,3,FALSE)</f>
        <v>The Juggernaut</v>
      </c>
      <c r="C45" s="8" t="str">
        <f>VLOOKUP(A45,'Sets (lua data)'!$A$3:$C$9920,2,FALSE)</f>
        <v>Koloss</v>
      </c>
      <c r="G45" s="62" t="str">
        <f t="shared" si="0"/>
        <v/>
      </c>
    </row>
    <row r="46" spans="1:7" x14ac:dyDescent="0.25">
      <c r="A46" s="11">
        <v>64</v>
      </c>
      <c r="B46" s="8" t="str">
        <f>VLOOKUP(A46,'Sets (lua data)'!$A$3:$C$9920,3,FALSE)</f>
        <v>Shadow Dancer\'s Raiment</v>
      </c>
      <c r="C46" s="8" t="str">
        <f>VLOOKUP(A46,'Sets (lua data)'!$A$3:$C$9920,2,FALSE)</f>
        <v>Kleidung des Schattentänzers</v>
      </c>
      <c r="G46" s="62" t="str">
        <f t="shared" si="0"/>
        <v/>
      </c>
    </row>
    <row r="47" spans="1:7" x14ac:dyDescent="0.25">
      <c r="A47" s="11">
        <v>65</v>
      </c>
      <c r="B47" s="8" t="str">
        <f>VLOOKUP(A47,'Sets (lua data)'!$A$3:$C$9920,3,FALSE)</f>
        <v>Bloodthorn\'s Touch</v>
      </c>
      <c r="C47" s="8" t="str">
        <f>VLOOKUP(A47,'Sets (lua data)'!$A$3:$C$9920,2,FALSE)</f>
        <v>Spur eines Blutdorns</v>
      </c>
      <c r="G47" s="62" t="str">
        <f t="shared" si="0"/>
        <v/>
      </c>
    </row>
    <row r="48" spans="1:7" x14ac:dyDescent="0.25">
      <c r="A48" s="11">
        <v>66</v>
      </c>
      <c r="B48" s="8" t="str">
        <f>VLOOKUP(A48,'Sets (lua data)'!$A$3:$C$9920,3,FALSE)</f>
        <v>Robes of the Hist</v>
      </c>
      <c r="C48" s="8" t="str">
        <f>VLOOKUP(A48,'Sets (lua data)'!$A$3:$C$9920,2,FALSE)</f>
        <v>Roben des Hist</v>
      </c>
      <c r="G48" s="62" t="str">
        <f t="shared" si="0"/>
        <v/>
      </c>
    </row>
    <row r="49" spans="1:7" x14ac:dyDescent="0.25">
      <c r="A49" s="11">
        <v>67</v>
      </c>
      <c r="B49" s="8" t="str">
        <f>VLOOKUP(A49,'Sets (lua data)'!$A$3:$C$9920,3,FALSE)</f>
        <v>Shadow Walker</v>
      </c>
      <c r="C49" s="8" t="str">
        <f>VLOOKUP(A49,'Sets (lua data)'!$A$3:$C$9920,2,FALSE)</f>
        <v>Schattengänger</v>
      </c>
      <c r="G49" s="62" t="str">
        <f t="shared" si="0"/>
        <v/>
      </c>
    </row>
    <row r="50" spans="1:7" x14ac:dyDescent="0.25">
      <c r="A50" s="11">
        <v>68</v>
      </c>
      <c r="B50" s="8" t="str">
        <f>VLOOKUP(A50,'Sets (lua data)'!$A$3:$C$9920,3,FALSE)</f>
        <v>Stygian</v>
      </c>
      <c r="C50" s="8" t="str">
        <f>VLOOKUP(A50,'Sets (lua data)'!$A$3:$C$9920,2,FALSE)</f>
        <v>Stygier</v>
      </c>
      <c r="G50" s="62" t="str">
        <f t="shared" si="0"/>
        <v/>
      </c>
    </row>
    <row r="51" spans="1:7" x14ac:dyDescent="0.25">
      <c r="A51" s="11">
        <v>69</v>
      </c>
      <c r="B51" s="8" t="str">
        <f>VLOOKUP(A51,'Sets (lua data)'!$A$3:$C$9920,3,FALSE)</f>
        <v>Ranger\'s Gait</v>
      </c>
      <c r="C51" s="8" t="str">
        <f>VLOOKUP(A51,'Sets (lua data)'!$A$3:$C$9920,2,FALSE)</f>
        <v>Laufstil des Waldläufers</v>
      </c>
      <c r="G51" s="62" t="str">
        <f t="shared" si="0"/>
        <v/>
      </c>
    </row>
    <row r="52" spans="1:7" x14ac:dyDescent="0.25">
      <c r="A52" s="11">
        <v>70</v>
      </c>
      <c r="B52" s="8" t="str">
        <f>VLOOKUP(A52,'Sets (lua data)'!$A$3:$C$9920,3,FALSE)</f>
        <v>Seventh Legion Brute</v>
      </c>
      <c r="C52" s="8" t="str">
        <f>VLOOKUP(A52,'Sets (lua data)'!$A$3:$C$9920,2,FALSE)</f>
        <v>Rohling der siebten Legion</v>
      </c>
      <c r="G52" s="62" t="str">
        <f t="shared" si="0"/>
        <v/>
      </c>
    </row>
    <row r="53" spans="1:7" x14ac:dyDescent="0.25">
      <c r="A53" s="11">
        <v>71</v>
      </c>
      <c r="B53" s="8" t="str">
        <f>VLOOKUP(A53,'Sets (lua data)'!$A$3:$C$9920,3,FALSE)</f>
        <v>Durok\'s Bane</v>
      </c>
      <c r="C53" s="8" t="str">
        <f>VLOOKUP(A53,'Sets (lua data)'!$A$3:$C$9920,2,FALSE)</f>
        <v>Duroks Fluch</v>
      </c>
      <c r="G53" s="62" t="str">
        <f t="shared" si="0"/>
        <v/>
      </c>
    </row>
    <row r="54" spans="1:7" x14ac:dyDescent="0.25">
      <c r="A54" s="11">
        <v>72</v>
      </c>
      <c r="B54" s="8" t="str">
        <f>VLOOKUP(A54,'Sets (lua data)'!$A$3:$C$9920,3,FALSE)</f>
        <v>Nikulas\' Heavy Armor</v>
      </c>
      <c r="C54" s="8" t="str">
        <f>VLOOKUP(A54,'Sets (lua data)'!$A$3:$C$9920,2,FALSE)</f>
        <v>Nikulas' schwere Rüstung</v>
      </c>
      <c r="G54" s="62" t="str">
        <f t="shared" si="0"/>
        <v/>
      </c>
    </row>
    <row r="55" spans="1:7" x14ac:dyDescent="0.25">
      <c r="A55" s="5">
        <v>73</v>
      </c>
      <c r="B55" s="8" t="str">
        <f>VLOOKUP(A55,'Sets (lua data)'!$A$3:$C$9920,3,FALSE)</f>
        <v>Oblivion\'s Foe</v>
      </c>
      <c r="C55" s="8" t="str">
        <f>VLOOKUP(A55,'Sets (lua data)'!$A$3:$C$9920,2,FALSE)</f>
        <v>Erinnerung</v>
      </c>
      <c r="G55" s="62" t="str">
        <f t="shared" si="0"/>
        <v/>
      </c>
    </row>
    <row r="56" spans="1:7" x14ac:dyDescent="0.25">
      <c r="A56" s="5">
        <v>74</v>
      </c>
      <c r="B56" s="8" t="str">
        <f>VLOOKUP(A56,'Sets (lua data)'!$A$3:$C$9920,3,FALSE)</f>
        <v>Spectre\'s Eye</v>
      </c>
      <c r="C56" s="8" t="str">
        <f>VLOOKUP(A56,'Sets (lua data)'!$A$3:$C$9920,2,FALSE)</f>
        <v>Schemenauge</v>
      </c>
      <c r="G56" s="62" t="str">
        <f t="shared" si="0"/>
        <v/>
      </c>
    </row>
    <row r="57" spans="1:7" x14ac:dyDescent="0.25">
      <c r="A57" s="5">
        <v>75</v>
      </c>
      <c r="B57" s="8" t="str">
        <f>VLOOKUP(A57,'Sets (lua data)'!$A$3:$C$9920,3,FALSE)</f>
        <v>Torug\'s Pact</v>
      </c>
      <c r="C57" s="8" t="str">
        <f>VLOOKUP(A57,'Sets (lua data)'!$A$3:$C$9920,2,FALSE)</f>
        <v>Torugs Pakt</v>
      </c>
      <c r="G57" s="62" t="str">
        <f t="shared" si="0"/>
        <v/>
      </c>
    </row>
    <row r="58" spans="1:7" x14ac:dyDescent="0.25">
      <c r="A58" s="11">
        <v>76</v>
      </c>
      <c r="B58" s="8" t="str">
        <f>VLOOKUP(A58,'Sets (lua data)'!$A$3:$C$9920,3,FALSE)</f>
        <v>Robes of Alteration Mastery</v>
      </c>
      <c r="C58" s="8" t="str">
        <f>VLOOKUP(A58,'Sets (lua data)'!$A$3:$C$9920,2,FALSE)</f>
        <v>Roben der Veränderungsbeherrschung</v>
      </c>
      <c r="G58" s="62" t="str">
        <f t="shared" si="0"/>
        <v/>
      </c>
    </row>
    <row r="59" spans="1:7" x14ac:dyDescent="0.25">
      <c r="A59" s="11">
        <v>77</v>
      </c>
      <c r="B59" s="8" t="str">
        <f>VLOOKUP(A59,'Sets (lua data)'!$A$3:$C$9920,3,FALSE)</f>
        <v>Crusader</v>
      </c>
      <c r="C59" s="8" t="str">
        <f>VLOOKUP(A59,'Sets (lua data)'!$A$3:$C$9920,2,FALSE)</f>
        <v>Glaubenskrieger</v>
      </c>
      <c r="G59" s="62" t="str">
        <f t="shared" si="0"/>
        <v/>
      </c>
    </row>
    <row r="60" spans="1:7" x14ac:dyDescent="0.25">
      <c r="A60" s="5">
        <v>78</v>
      </c>
      <c r="B60" s="8" t="str">
        <f>VLOOKUP(A60,'Sets (lua data)'!$A$3:$C$9920,3,FALSE)</f>
        <v>Hist Bark</v>
      </c>
      <c r="C60" s="8" t="str">
        <f>VLOOKUP(A60,'Sets (lua data)'!$A$3:$C$9920,2,FALSE)</f>
        <v>Histrinde</v>
      </c>
      <c r="G60" s="62" t="str">
        <f t="shared" si="0"/>
        <v/>
      </c>
    </row>
    <row r="61" spans="1:7" x14ac:dyDescent="0.25">
      <c r="A61" s="5">
        <v>79</v>
      </c>
      <c r="B61" s="8" t="str">
        <f>VLOOKUP(A61,'Sets (lua data)'!$A$3:$C$9920,3,FALSE)</f>
        <v>Willow\'s Path</v>
      </c>
      <c r="C61" s="8" t="str">
        <f>VLOOKUP(A61,'Sets (lua data)'!$A$3:$C$9920,2,FALSE)</f>
        <v>Weidenpfad</v>
      </c>
      <c r="G61" s="62" t="str">
        <f t="shared" si="0"/>
        <v/>
      </c>
    </row>
    <row r="62" spans="1:7" x14ac:dyDescent="0.25">
      <c r="A62" s="5">
        <v>80</v>
      </c>
      <c r="B62" s="8" t="str">
        <f>VLOOKUP(A62,'Sets (lua data)'!$A$3:$C$9920,3,FALSE)</f>
        <v>Hunding\'s Rage</v>
      </c>
      <c r="C62" s="8" t="str">
        <f>VLOOKUP(A62,'Sets (lua data)'!$A$3:$C$9920,2,FALSE)</f>
        <v>Hundings Zorn</v>
      </c>
      <c r="G62" s="62" t="str">
        <f t="shared" si="0"/>
        <v/>
      </c>
    </row>
    <row r="63" spans="1:7" x14ac:dyDescent="0.25">
      <c r="A63" s="5">
        <v>81</v>
      </c>
      <c r="B63" s="8" t="str">
        <f>VLOOKUP(A63,'Sets (lua data)'!$A$3:$C$9920,3,FALSE)</f>
        <v>Song of Lamae</v>
      </c>
      <c r="C63" s="8" t="str">
        <f>VLOOKUP(A63,'Sets (lua data)'!$A$3:$C$9920,2,FALSE)</f>
        <v>Lied der Lamien</v>
      </c>
      <c r="G63" s="62" t="str">
        <f t="shared" si="0"/>
        <v/>
      </c>
    </row>
    <row r="64" spans="1:7" x14ac:dyDescent="0.25">
      <c r="A64" s="5">
        <v>82</v>
      </c>
      <c r="B64" s="8" t="str">
        <f>VLOOKUP(A64,'Sets (lua data)'!$A$3:$C$9920,3,FALSE)</f>
        <v>Alessia\'s Bulwark</v>
      </c>
      <c r="C64" s="8" t="str">
        <f>VLOOKUP(A64,'Sets (lua data)'!$A$3:$C$9920,2,FALSE)</f>
        <v>Alessias Bollwerk</v>
      </c>
      <c r="G64" s="62" t="str">
        <f t="shared" si="0"/>
        <v/>
      </c>
    </row>
    <row r="65" spans="1:7" x14ac:dyDescent="0.25">
      <c r="A65" s="11">
        <v>83</v>
      </c>
      <c r="B65" s="8" t="str">
        <f>VLOOKUP(A65,'Sets (lua data)'!$A$3:$C$9920,3,FALSE)</f>
        <v>Elf Bane</v>
      </c>
      <c r="C65" s="8" t="str">
        <f>VLOOKUP(A65,'Sets (lua data)'!$A$3:$C$9920,2,FALSE)</f>
        <v>Elfenfluch</v>
      </c>
      <c r="G65" s="62" t="str">
        <f t="shared" si="0"/>
        <v/>
      </c>
    </row>
    <row r="66" spans="1:7" x14ac:dyDescent="0.25">
      <c r="A66" s="5">
        <v>84</v>
      </c>
      <c r="B66" s="8" t="str">
        <f>VLOOKUP(A66,'Sets (lua data)'!$A$3:$C$9920,3,FALSE)</f>
        <v>Orgnum\'s Scales</v>
      </c>
      <c r="C66" s="8" t="str">
        <f>VLOOKUP(A66,'Sets (lua data)'!$A$3:$C$9920,2,FALSE)</f>
        <v>Orgnums Schuppen</v>
      </c>
      <c r="G66" s="62" t="str">
        <f t="shared" si="0"/>
        <v/>
      </c>
    </row>
    <row r="67" spans="1:7" x14ac:dyDescent="0.25">
      <c r="A67" s="11">
        <v>85</v>
      </c>
      <c r="B67" s="8" t="str">
        <f>VLOOKUP(A67,'Sets (lua data)'!$A$3:$C$9920,3,FALSE)</f>
        <v>Almalexia\'s Mercy</v>
      </c>
      <c r="C67" s="8" t="str">
        <f>VLOOKUP(A67,'Sets (lua data)'!$A$3:$C$9920,2,FALSE)</f>
        <v>Almalexias Gnade</v>
      </c>
      <c r="G67" s="62" t="str">
        <f t="shared" ref="G67:G127" si="1">IF(AND(A67&lt;&gt;"",NOT(ISERROR(A67)),ISNUMBER(A67),D67&lt;&gt;""),CONCATENATE("[",A67,"] = {",D67,"},","     --",B67," -&gt; ",E67," / ",F67),"")</f>
        <v/>
      </c>
    </row>
    <row r="68" spans="1:7" x14ac:dyDescent="0.25">
      <c r="A68" s="11">
        <v>86</v>
      </c>
      <c r="B68" s="8" t="str">
        <f>VLOOKUP(A68,'Sets (lua data)'!$A$3:$C$9920,3,FALSE)</f>
        <v>Queen\'s Elegance</v>
      </c>
      <c r="C68" s="8" t="str">
        <f>VLOOKUP(A68,'Sets (lua data)'!$A$3:$C$9920,2,FALSE)</f>
        <v>Eleganz der Königin</v>
      </c>
      <c r="G68" s="62" t="str">
        <f t="shared" si="1"/>
        <v/>
      </c>
    </row>
    <row r="69" spans="1:7" x14ac:dyDescent="0.25">
      <c r="A69" s="5">
        <v>87</v>
      </c>
      <c r="B69" s="8" t="str">
        <f>VLOOKUP(A69,'Sets (lua data)'!$A$3:$C$9920,3,FALSE)</f>
        <v>Eyes of Mara</v>
      </c>
      <c r="C69" s="8" t="str">
        <f>VLOOKUP(A69,'Sets (lua data)'!$A$3:$C$9920,2,FALSE)</f>
        <v>Augen von Mara</v>
      </c>
      <c r="G69" s="62" t="str">
        <f t="shared" si="1"/>
        <v/>
      </c>
    </row>
    <row r="70" spans="1:7" x14ac:dyDescent="0.25">
      <c r="A70" s="11">
        <v>88</v>
      </c>
      <c r="B70" s="8" t="str">
        <f>VLOOKUP(A70,'Sets (lua data)'!$A$3:$C$9920,3,FALSE)</f>
        <v>Robes of Destruction Mastery</v>
      </c>
      <c r="C70" s="8" t="str">
        <f>VLOOKUP(A70,'Sets (lua data)'!$A$3:$C$9920,2,FALSE)</f>
        <v>Roben der Zerstörungsbeherrschung</v>
      </c>
      <c r="G70" s="62" t="str">
        <f t="shared" si="1"/>
        <v/>
      </c>
    </row>
    <row r="71" spans="1:7" x14ac:dyDescent="0.25">
      <c r="A71" s="11">
        <v>89</v>
      </c>
      <c r="B71" s="8" t="str">
        <f>VLOOKUP(A71,'Sets (lua data)'!$A$3:$C$9920,3,FALSE)</f>
        <v>Sentry</v>
      </c>
      <c r="C71" s="8" t="str">
        <f>VLOOKUP(A71,'Sets (lua data)'!$A$3:$C$9920,2,FALSE)</f>
        <v>Wachposten</v>
      </c>
      <c r="G71" s="62" t="str">
        <f t="shared" si="1"/>
        <v/>
      </c>
    </row>
    <row r="72" spans="1:7" x14ac:dyDescent="0.25">
      <c r="A72" s="11">
        <v>90</v>
      </c>
      <c r="B72" s="8" t="str">
        <f>VLOOKUP(A72,'Sets (lua data)'!$A$3:$C$9920,3,FALSE)</f>
        <v>Senche\'s Bite</v>
      </c>
      <c r="C72" s="8" t="str">
        <f>VLOOKUP(A72,'Sets (lua data)'!$A$3:$C$9920,2,FALSE)</f>
        <v>Biss des Senche</v>
      </c>
      <c r="G72" s="62" t="str">
        <f t="shared" si="1"/>
        <v/>
      </c>
    </row>
    <row r="73" spans="1:7" x14ac:dyDescent="0.25">
      <c r="A73" s="11">
        <v>91</v>
      </c>
      <c r="B73" s="8" t="str">
        <f>VLOOKUP(A73,'Sets (lua data)'!$A$3:$C$9920,3,FALSE)</f>
        <v>Oblivion\'s Edge</v>
      </c>
      <c r="C73" s="8" t="str">
        <f>VLOOKUP(A73,'Sets (lua data)'!$A$3:$C$9920,2,FALSE)</f>
        <v>Vorteil des Vergessens</v>
      </c>
      <c r="G73" s="62" t="str">
        <f t="shared" si="1"/>
        <v/>
      </c>
    </row>
    <row r="74" spans="1:7" x14ac:dyDescent="0.25">
      <c r="A74" s="5">
        <v>92</v>
      </c>
      <c r="B74" s="8" t="str">
        <f>VLOOKUP(A74,'Sets (lua data)'!$A$3:$C$9920,3,FALSE)</f>
        <v>Kagrenac\'s Hope</v>
      </c>
      <c r="C74" s="8" t="str">
        <f>VLOOKUP(A74,'Sets (lua data)'!$A$3:$C$9920,2,FALSE)</f>
        <v>Kagrenacs Hoffnung</v>
      </c>
      <c r="G74" s="62" t="str">
        <f t="shared" si="1"/>
        <v/>
      </c>
    </row>
    <row r="75" spans="1:7" x14ac:dyDescent="0.25">
      <c r="A75" s="11">
        <v>93</v>
      </c>
      <c r="B75" s="8" t="str">
        <f>VLOOKUP(A75,'Sets (lua data)'!$A$3:$C$9920,3,FALSE)</f>
        <v>Storm Knight\'s Plate</v>
      </c>
      <c r="C75" s="8" t="str">
        <f>VLOOKUP(A75,'Sets (lua data)'!$A$3:$C$9920,2,FALSE)</f>
        <v>Wut des Sturmritters</v>
      </c>
      <c r="G75" s="62" t="str">
        <f t="shared" si="1"/>
        <v/>
      </c>
    </row>
    <row r="76" spans="1:7" x14ac:dyDescent="0.25">
      <c r="A76" s="11">
        <v>94</v>
      </c>
      <c r="B76" s="8" t="str">
        <f>VLOOKUP(A76,'Sets (lua data)'!$A$3:$C$9920,3,FALSE)</f>
        <v>Meridia\'s Blessed Armor</v>
      </c>
      <c r="C76" s="8" t="str">
        <f>VLOOKUP(A76,'Sets (lua data)'!$A$3:$C$9920,2,FALSE)</f>
        <v>Meridias gesegnete Rüstung</v>
      </c>
      <c r="G76" s="62" t="str">
        <f t="shared" si="1"/>
        <v/>
      </c>
    </row>
    <row r="77" spans="1:7" x14ac:dyDescent="0.25">
      <c r="A77" s="5">
        <v>95</v>
      </c>
      <c r="B77" s="8" t="str">
        <f>VLOOKUP(A77,'Sets (lua data)'!$A$3:$C$9920,3,FALSE)</f>
        <v>Shalidor\'s Curse</v>
      </c>
      <c r="C77" s="8" t="str">
        <f>VLOOKUP(A77,'Sets (lua data)'!$A$3:$C$9920,2,FALSE)</f>
        <v>Shalidors Fluch</v>
      </c>
      <c r="G77" s="62" t="str">
        <f t="shared" si="1"/>
        <v/>
      </c>
    </row>
    <row r="78" spans="1:7" x14ac:dyDescent="0.25">
      <c r="A78" s="11">
        <v>96</v>
      </c>
      <c r="B78" s="8" t="str">
        <f>VLOOKUP(A78,'Sets (lua data)'!$A$3:$C$9920,3,FALSE)</f>
        <v>Armor of Truth</v>
      </c>
      <c r="C78" s="8" t="str">
        <f>VLOOKUP(A78,'Sets (lua data)'!$A$3:$C$9920,2,FALSE)</f>
        <v>Rüstung der Wahrheit</v>
      </c>
      <c r="G78" s="62" t="str">
        <f t="shared" si="1"/>
        <v/>
      </c>
    </row>
    <row r="79" spans="1:7" x14ac:dyDescent="0.25">
      <c r="A79" s="11">
        <v>97</v>
      </c>
      <c r="B79" s="8" t="str">
        <f>VLOOKUP(A79,'Sets (lua data)'!$A$3:$C$9920,3,FALSE)</f>
        <v>The Arch-Mage</v>
      </c>
      <c r="C79" s="8" t="str">
        <f>VLOOKUP(A79,'Sets (lua data)'!$A$3:$C$9920,2,FALSE)</f>
        <v>Erzmagier</v>
      </c>
      <c r="G79" s="62" t="str">
        <f t="shared" si="1"/>
        <v/>
      </c>
    </row>
    <row r="80" spans="1:7" x14ac:dyDescent="0.25">
      <c r="A80" s="11">
        <v>98</v>
      </c>
      <c r="B80" s="8" t="str">
        <f>VLOOKUP(A80,'Sets (lua data)'!$A$3:$C$9920,3,FALSE)</f>
        <v>Necropotence</v>
      </c>
      <c r="C80" s="8" t="str">
        <f>VLOOKUP(A80,'Sets (lua data)'!$A$3:$C$9920,2,FALSE)</f>
        <v>Nekropotenz</v>
      </c>
      <c r="G80" s="62" t="str">
        <f t="shared" si="1"/>
        <v/>
      </c>
    </row>
    <row r="81" spans="1:7" x14ac:dyDescent="0.25">
      <c r="A81" s="11">
        <v>99</v>
      </c>
      <c r="B81" s="8" t="str">
        <f>VLOOKUP(A81,'Sets (lua data)'!$A$3:$C$9920,3,FALSE)</f>
        <v>Salvation</v>
      </c>
      <c r="C81" s="8" t="str">
        <f>VLOOKUP(A81,'Sets (lua data)'!$A$3:$C$9920,2,FALSE)</f>
        <v>Erlösung</v>
      </c>
      <c r="G81" s="62" t="str">
        <f t="shared" si="1"/>
        <v/>
      </c>
    </row>
    <row r="82" spans="1:7" x14ac:dyDescent="0.25">
      <c r="A82" s="11">
        <v>100</v>
      </c>
      <c r="B82" s="8" t="str">
        <f>VLOOKUP(A82,'Sets (lua data)'!$A$3:$C$9920,3,FALSE)</f>
        <v>Hawk\'s Eye</v>
      </c>
      <c r="C82" s="8" t="str">
        <f>VLOOKUP(A82,'Sets (lua data)'!$A$3:$C$9920,2,FALSE)</f>
        <v>Falkenauge</v>
      </c>
      <c r="G82" s="62" t="str">
        <f t="shared" si="1"/>
        <v/>
      </c>
    </row>
    <row r="83" spans="1:7" x14ac:dyDescent="0.25">
      <c r="A83" s="11">
        <v>101</v>
      </c>
      <c r="B83" s="8" t="str">
        <f>VLOOKUP(A83,'Sets (lua data)'!$A$3:$C$9920,3,FALSE)</f>
        <v>Affliction</v>
      </c>
      <c r="C83" s="8" t="str">
        <f>VLOOKUP(A83,'Sets (lua data)'!$A$3:$C$9920,2,FALSE)</f>
        <v>Elend (Befallen)</v>
      </c>
      <c r="G83" s="62" t="str">
        <f t="shared" si="1"/>
        <v/>
      </c>
    </row>
    <row r="84" spans="1:7" x14ac:dyDescent="0.25">
      <c r="A84" s="11">
        <v>102</v>
      </c>
      <c r="B84" s="8" t="str">
        <f>VLOOKUP(A84,'Sets (lua data)'!$A$3:$C$9920,3,FALSE)</f>
        <v>Duneripper\'s Scales</v>
      </c>
      <c r="C84" s="8" t="str">
        <f>VLOOKUP(A84,'Sets (lua data)'!$A$3:$C$9920,2,FALSE)</f>
        <v>Schuppen des Dünenbrechers</v>
      </c>
      <c r="G84" s="62" t="str">
        <f t="shared" si="1"/>
        <v/>
      </c>
    </row>
    <row r="85" spans="1:7" x14ac:dyDescent="0.25">
      <c r="A85" s="11">
        <v>103</v>
      </c>
      <c r="B85" s="8" t="str">
        <f>VLOOKUP(A85,'Sets (lua data)'!$A$3:$C$9920,3,FALSE)</f>
        <v>Magicka Furnace</v>
      </c>
      <c r="C85" s="8" t="str">
        <f>VLOOKUP(A85,'Sets (lua data)'!$A$3:$C$9920,2,FALSE)</f>
        <v>Magickaschmiede</v>
      </c>
      <c r="G85" s="62" t="str">
        <f t="shared" si="1"/>
        <v/>
      </c>
    </row>
    <row r="86" spans="1:7" x14ac:dyDescent="0.25">
      <c r="A86" s="11">
        <v>104</v>
      </c>
      <c r="B86" s="8" t="str">
        <f>VLOOKUP(A86,'Sets (lua data)'!$A$3:$C$9920,3,FALSE)</f>
        <v>Curse Eater</v>
      </c>
      <c r="C86" s="8" t="str">
        <f>VLOOKUP(A86,'Sets (lua data)'!$A$3:$C$9920,2,FALSE)</f>
        <v>Fluchfresser</v>
      </c>
      <c r="G86" s="62" t="str">
        <f t="shared" si="1"/>
        <v/>
      </c>
    </row>
    <row r="87" spans="1:7" x14ac:dyDescent="0.25">
      <c r="A87" s="11">
        <v>105</v>
      </c>
      <c r="B87" s="8" t="str">
        <f>VLOOKUP(A87,'Sets (lua data)'!$A$3:$C$9920,3,FALSE)</f>
        <v>Twin Sisters</v>
      </c>
      <c r="C87" s="8" t="str">
        <f>VLOOKUP(A87,'Sets (lua data)'!$A$3:$C$9920,2,FALSE)</f>
        <v>Zwillingsschwestern</v>
      </c>
      <c r="G87" s="62" t="str">
        <f t="shared" si="1"/>
        <v/>
      </c>
    </row>
    <row r="88" spans="1:7" x14ac:dyDescent="0.25">
      <c r="A88" s="11">
        <v>106</v>
      </c>
      <c r="B88" s="8" t="str">
        <f>VLOOKUP(A88,'Sets (lua data)'!$A$3:$C$9920,3,FALSE)</f>
        <v>Wilderqueen\'s Arch</v>
      </c>
      <c r="C88" s="8" t="str">
        <f>VLOOKUP(A88,'Sets (lua data)'!$A$3:$C$9920,2,FALSE)</f>
        <v>Bogen der Wildkönigin</v>
      </c>
      <c r="G88" s="62" t="str">
        <f t="shared" si="1"/>
        <v/>
      </c>
    </row>
    <row r="89" spans="1:7" x14ac:dyDescent="0.25">
      <c r="A89" s="11">
        <v>107</v>
      </c>
      <c r="B89" s="8" t="str">
        <f>VLOOKUP(A89,'Sets (lua data)'!$A$3:$C$9920,3,FALSE)</f>
        <v>Wyrd Tree\'s Blessing</v>
      </c>
      <c r="C89" s="8" t="str">
        <f>VLOOKUP(A89,'Sets (lua data)'!$A$3:$C$9920,2,FALSE)</f>
        <v>Segen des Wyrdbaums</v>
      </c>
      <c r="G89" s="62" t="str">
        <f t="shared" si="1"/>
        <v/>
      </c>
    </row>
    <row r="90" spans="1:7" x14ac:dyDescent="0.25">
      <c r="A90" s="11">
        <v>108</v>
      </c>
      <c r="B90" s="8" t="str">
        <f>VLOOKUP(A90,'Sets (lua data)'!$A$3:$C$9920,3,FALSE)</f>
        <v>Ravager</v>
      </c>
      <c r="C90" s="8" t="str">
        <f>VLOOKUP(A90,'Sets (lua data)'!$A$3:$C$9920,2,FALSE)</f>
        <v>Verwüster</v>
      </c>
      <c r="G90" s="62" t="str">
        <f t="shared" si="1"/>
        <v/>
      </c>
    </row>
    <row r="91" spans="1:7" x14ac:dyDescent="0.25">
      <c r="A91" s="11">
        <v>109</v>
      </c>
      <c r="B91" s="8" t="str">
        <f>VLOOKUP(A91,'Sets (lua data)'!$A$3:$C$9920,3,FALSE)</f>
        <v>Light of Cyrodiil</v>
      </c>
      <c r="C91" s="8" t="str">
        <f>VLOOKUP(A91,'Sets (lua data)'!$A$3:$C$9920,2,FALSE)</f>
        <v>Licht von Cyrodiil</v>
      </c>
      <c r="G91" s="62" t="str">
        <f t="shared" si="1"/>
        <v/>
      </c>
    </row>
    <row r="92" spans="1:7" x14ac:dyDescent="0.25">
      <c r="A92" s="11">
        <v>110</v>
      </c>
      <c r="B92" s="8" t="str">
        <f>VLOOKUP(A92,'Sets (lua data)'!$A$3:$C$9920,3,FALSE)</f>
        <v>Sanctuary</v>
      </c>
      <c r="C92" s="8" t="str">
        <f>VLOOKUP(A92,'Sets (lua data)'!$A$3:$C$9920,2,FALSE)</f>
        <v>Heiligtum</v>
      </c>
      <c r="G92" s="62" t="str">
        <f t="shared" si="1"/>
        <v/>
      </c>
    </row>
    <row r="93" spans="1:7" x14ac:dyDescent="0.25">
      <c r="A93" s="11">
        <v>111</v>
      </c>
      <c r="B93" s="8" t="str">
        <f>VLOOKUP(A93,'Sets (lua data)'!$A$3:$C$9920,3,FALSE)</f>
        <v>Ward of Cyrodiil</v>
      </c>
      <c r="C93" s="8" t="str">
        <f>VLOOKUP(A93,'Sets (lua data)'!$A$3:$C$9920,2,FALSE)</f>
        <v>Schutz von Cyrodiil</v>
      </c>
      <c r="G93" s="62" t="str">
        <f t="shared" si="1"/>
        <v/>
      </c>
    </row>
    <row r="94" spans="1:7" x14ac:dyDescent="0.25">
      <c r="A94" s="11">
        <v>112</v>
      </c>
      <c r="B94" s="8" t="str">
        <f>VLOOKUP(A94,'Sets (lua data)'!$A$3:$C$9920,3,FALSE)</f>
        <v>Night Terror</v>
      </c>
      <c r="C94" s="8" t="str">
        <f>VLOOKUP(A94,'Sets (lua data)'!$A$3:$C$9920,2,FALSE)</f>
        <v>Nachtschrecken</v>
      </c>
      <c r="G94" s="62" t="str">
        <f t="shared" si="1"/>
        <v/>
      </c>
    </row>
    <row r="95" spans="1:7" x14ac:dyDescent="0.25">
      <c r="A95" s="11">
        <v>113</v>
      </c>
      <c r="B95" s="8" t="str">
        <f>VLOOKUP(A95,'Sets (lua data)'!$A$3:$C$9920,3,FALSE)</f>
        <v>Crest of Cyrodiil</v>
      </c>
      <c r="C95" s="8" t="str">
        <f>VLOOKUP(A95,'Sets (lua data)'!$A$3:$C$9920,2,FALSE)</f>
        <v>Wappen von Cyrodiil</v>
      </c>
      <c r="G95" s="62" t="str">
        <f t="shared" si="1"/>
        <v/>
      </c>
    </row>
    <row r="96" spans="1:7" x14ac:dyDescent="0.25">
      <c r="A96" s="11">
        <v>114</v>
      </c>
      <c r="B96" s="8" t="str">
        <f>VLOOKUP(A96,'Sets (lua data)'!$A$3:$C$9920,3,FALSE)</f>
        <v>Soulshine</v>
      </c>
      <c r="C96" s="8" t="str">
        <f>VLOOKUP(A96,'Sets (lua data)'!$A$3:$C$9920,2,FALSE)</f>
        <v>Seelenschein</v>
      </c>
      <c r="G96" s="62" t="str">
        <f t="shared" si="1"/>
        <v/>
      </c>
    </row>
    <row r="97" spans="1:7" x14ac:dyDescent="0.25">
      <c r="A97" s="11">
        <v>116</v>
      </c>
      <c r="B97" s="8" t="str">
        <f>VLOOKUP(A97,'Sets (lua data)'!$A$3:$C$9920,3,FALSE)</f>
        <v>The Destruction Suite</v>
      </c>
      <c r="C97" s="8" t="str">
        <f>VLOOKUP(A97,'Sets (lua data)'!$A$3:$C$9920,2,FALSE)</f>
        <v>Garnitur der Zerstörung</v>
      </c>
      <c r="G97" s="62" t="str">
        <f t="shared" si="1"/>
        <v/>
      </c>
    </row>
    <row r="98" spans="1:7" x14ac:dyDescent="0.25">
      <c r="A98" s="11">
        <v>117</v>
      </c>
      <c r="B98" s="8" t="str">
        <f>VLOOKUP(A98,'Sets (lua data)'!$A$3:$C$9920,3,FALSE)</f>
        <v>Relics of the Physician, Ansur</v>
      </c>
      <c r="C98" s="8" t="str">
        <f>VLOOKUP(A98,'Sets (lua data)'!$A$3:$C$9920,2,FALSE)</f>
        <v>Relikte des Mediziners Ansur</v>
      </c>
      <c r="G98" s="62" t="str">
        <f t="shared" si="1"/>
        <v/>
      </c>
    </row>
    <row r="99" spans="1:7" x14ac:dyDescent="0.25">
      <c r="A99" s="11">
        <v>118</v>
      </c>
      <c r="B99" s="8" t="str">
        <f>VLOOKUP(A99,'Sets (lua data)'!$A$3:$C$9920,3,FALSE)</f>
        <v>Treasures of the Earthforge</v>
      </c>
      <c r="C99" s="8" t="str">
        <f>VLOOKUP(A99,'Sets (lua data)'!$A$3:$C$9920,2,FALSE)</f>
        <v>Schätze der Erdenschmiede</v>
      </c>
      <c r="G99" s="62" t="str">
        <f t="shared" si="1"/>
        <v/>
      </c>
    </row>
    <row r="100" spans="1:7" x14ac:dyDescent="0.25">
      <c r="A100" s="11">
        <v>119</v>
      </c>
      <c r="B100" s="8" t="str">
        <f>VLOOKUP(A100,'Sets (lua data)'!$A$3:$C$9920,3,FALSE)</f>
        <v>Relics of the Rebellion</v>
      </c>
      <c r="C100" s="8" t="str">
        <f>VLOOKUP(A100,'Sets (lua data)'!$A$3:$C$9920,2,FALSE)</f>
        <v>Relikte der Rebellion</v>
      </c>
      <c r="G100" s="62" t="str">
        <f t="shared" si="1"/>
        <v/>
      </c>
    </row>
    <row r="101" spans="1:7" x14ac:dyDescent="0.25">
      <c r="A101" s="11">
        <v>120</v>
      </c>
      <c r="B101" s="8" t="str">
        <f>VLOOKUP(A101,'Sets (lua data)'!$A$3:$C$9920,3,FALSE)</f>
        <v>Arms of Infernace</v>
      </c>
      <c r="C101" s="8" t="str">
        <f>VLOOKUP(A101,'Sets (lua data)'!$A$3:$C$9920,2,FALSE)</f>
        <v>Waffen Infernals</v>
      </c>
      <c r="G101" s="62" t="str">
        <f t="shared" si="1"/>
        <v/>
      </c>
    </row>
    <row r="102" spans="1:7" x14ac:dyDescent="0.25">
      <c r="A102" s="11">
        <v>121</v>
      </c>
      <c r="B102" s="8" t="str">
        <f>VLOOKUP(A102,'Sets (lua data)'!$A$3:$C$9920,3,FALSE)</f>
        <v>Arms of the Ancestors</v>
      </c>
      <c r="C102" s="8" t="str">
        <f>VLOOKUP(A102,'Sets (lua data)'!$A$3:$C$9920,2,FALSE)</f>
        <v>Waffen der Ahnen</v>
      </c>
      <c r="G102" s="62" t="str">
        <f t="shared" si="1"/>
        <v/>
      </c>
    </row>
    <row r="103" spans="1:7" x14ac:dyDescent="0.25">
      <c r="A103" s="11">
        <v>122</v>
      </c>
      <c r="B103" s="8" t="str">
        <f>VLOOKUP(A103,'Sets (lua data)'!$A$3:$C$9920,3,FALSE)</f>
        <v>Ebon Armory</v>
      </c>
      <c r="C103" s="8" t="str">
        <f>VLOOKUP(A103,'Sets (lua data)'!$A$3:$C$9920,2,FALSE)</f>
        <v>Ebenerzarsenal</v>
      </c>
      <c r="G103" s="62" t="str">
        <f t="shared" si="1"/>
        <v/>
      </c>
    </row>
    <row r="104" spans="1:7" x14ac:dyDescent="0.25">
      <c r="A104" s="11">
        <v>123</v>
      </c>
      <c r="B104" s="8" t="str">
        <f>VLOOKUP(A104,'Sets (lua data)'!$A$3:$C$9920,3,FALSE)</f>
        <v>Hircine\'s Veneer</v>
      </c>
      <c r="C104" s="8" t="str">
        <f>VLOOKUP(A104,'Sets (lua data)'!$A$3:$C$9920,2,FALSE)</f>
        <v>Hircines Schein</v>
      </c>
      <c r="G104" s="62" t="str">
        <f t="shared" si="1"/>
        <v/>
      </c>
    </row>
    <row r="105" spans="1:7" x14ac:dyDescent="0.25">
      <c r="A105" s="11">
        <v>124</v>
      </c>
      <c r="B105" s="8" t="str">
        <f>VLOOKUP(A105,'Sets (lua data)'!$A$3:$C$9920,3,FALSE)</f>
        <v>The Worm\'s Raiment</v>
      </c>
      <c r="C105" s="8" t="str">
        <f>VLOOKUP(A105,'Sets (lua data)'!$A$3:$C$9920,2,FALSE)</f>
        <v>Garderobe des Wurms</v>
      </c>
      <c r="G105" s="62" t="str">
        <f t="shared" si="1"/>
        <v/>
      </c>
    </row>
    <row r="106" spans="1:7" x14ac:dyDescent="0.25">
      <c r="A106" s="11">
        <v>125</v>
      </c>
      <c r="B106" s="8" t="str">
        <f>VLOOKUP(A106,'Sets (lua data)'!$A$3:$C$9920,3,FALSE)</f>
        <v>Wrath of the Imperium</v>
      </c>
      <c r="C106" s="8" t="str">
        <f>VLOOKUP(A106,'Sets (lua data)'!$A$3:$C$9920,2,FALSE)</f>
        <v>Zorn des Kaiserreichs</v>
      </c>
      <c r="G106" s="62" t="str">
        <f t="shared" si="1"/>
        <v/>
      </c>
    </row>
    <row r="107" spans="1:7" x14ac:dyDescent="0.25">
      <c r="A107" s="11">
        <v>126</v>
      </c>
      <c r="B107" s="8" t="str">
        <f>VLOOKUP(A107,'Sets (lua data)'!$A$3:$C$9920,3,FALSE)</f>
        <v>Grace of the Ancients</v>
      </c>
      <c r="C107" s="8" t="str">
        <f>VLOOKUP(A107,'Sets (lua data)'!$A$3:$C$9920,2,FALSE)</f>
        <v>Anmut der Ahnen</v>
      </c>
      <c r="G107" s="62" t="str">
        <f t="shared" si="1"/>
        <v/>
      </c>
    </row>
    <row r="108" spans="1:7" x14ac:dyDescent="0.25">
      <c r="A108" s="11">
        <v>127</v>
      </c>
      <c r="B108" s="8" t="str">
        <f>VLOOKUP(A108,'Sets (lua data)'!$A$3:$C$9920,3,FALSE)</f>
        <v>Deadly Strike</v>
      </c>
      <c r="C108" s="8" t="str">
        <f>VLOOKUP(A108,'Sets (lua data)'!$A$3:$C$9920,2,FALSE)</f>
        <v>Tödlicher Stoß</v>
      </c>
      <c r="G108" s="62" t="str">
        <f t="shared" si="1"/>
        <v/>
      </c>
    </row>
    <row r="109" spans="1:7" x14ac:dyDescent="0.25">
      <c r="A109" s="11">
        <v>128</v>
      </c>
      <c r="B109" s="8" t="str">
        <f>VLOOKUP(A109,'Sets (lua data)'!$A$3:$C$9920,3,FALSE)</f>
        <v>Blessing of the Potentates</v>
      </c>
      <c r="C109" s="8" t="str">
        <f>VLOOKUP(A109,'Sets (lua data)'!$A$3:$C$9920,2,FALSE)</f>
        <v>Segen des Potentaten</v>
      </c>
      <c r="G109" s="62" t="str">
        <f t="shared" si="1"/>
        <v/>
      </c>
    </row>
    <row r="110" spans="1:7" x14ac:dyDescent="0.25">
      <c r="A110" s="11">
        <v>129</v>
      </c>
      <c r="B110" s="8" t="str">
        <f>VLOOKUP(A110,'Sets (lua data)'!$A$3:$C$9920,3,FALSE)</f>
        <v>Vengeance Leech</v>
      </c>
      <c r="C110" s="8" t="str">
        <f>VLOOKUP(A110,'Sets (lua data)'!$A$3:$C$9920,2,FALSE)</f>
        <v>Saugende Vergeltung</v>
      </c>
      <c r="G110" s="62" t="str">
        <f t="shared" si="1"/>
        <v/>
      </c>
    </row>
    <row r="111" spans="1:7" x14ac:dyDescent="0.25">
      <c r="A111" s="11">
        <v>130</v>
      </c>
      <c r="B111" s="8" t="str">
        <f>VLOOKUP(A111,'Sets (lua data)'!$A$3:$C$9920,3,FALSE)</f>
        <v>Eagle Eye</v>
      </c>
      <c r="C111" s="8" t="str">
        <f>VLOOKUP(A111,'Sets (lua data)'!$A$3:$C$9920,2,FALSE)</f>
        <v>Adlerauge</v>
      </c>
      <c r="G111" s="62" t="str">
        <f t="shared" si="1"/>
        <v/>
      </c>
    </row>
    <row r="112" spans="1:7" x14ac:dyDescent="0.25">
      <c r="A112" s="11">
        <v>131</v>
      </c>
      <c r="B112" s="8" t="str">
        <f>VLOOKUP(A112,'Sets (lua data)'!$A$3:$C$9920,3,FALSE)</f>
        <v>Bastion of the Heartland</v>
      </c>
      <c r="C112" s="8" t="str">
        <f>VLOOKUP(A112,'Sets (lua data)'!$A$3:$C$9920,2,FALSE)</f>
        <v>Bastion des Herzlandes</v>
      </c>
      <c r="G112" s="62" t="str">
        <f t="shared" si="1"/>
        <v/>
      </c>
    </row>
    <row r="113" spans="1:7" x14ac:dyDescent="0.25">
      <c r="A113" s="11">
        <v>132</v>
      </c>
      <c r="B113" s="8" t="str">
        <f>VLOOKUP(A113,'Sets (lua data)'!$A$3:$C$9920,3,FALSE)</f>
        <v>Shield of the Valiant</v>
      </c>
      <c r="C113" s="8" t="str">
        <f>VLOOKUP(A113,'Sets (lua data)'!$A$3:$C$9920,2,FALSE)</f>
        <v>Schild des Tapferen</v>
      </c>
      <c r="G113" s="62" t="str">
        <f t="shared" si="1"/>
        <v/>
      </c>
    </row>
    <row r="114" spans="1:7" x14ac:dyDescent="0.25">
      <c r="A114" s="11">
        <v>133</v>
      </c>
      <c r="B114" s="8" t="str">
        <f>VLOOKUP(A114,'Sets (lua data)'!$A$3:$C$9920,3,FALSE)</f>
        <v>Buffer of the Swift</v>
      </c>
      <c r="C114" s="8" t="str">
        <f>VLOOKUP(A114,'Sets (lua data)'!$A$3:$C$9920,2,FALSE)</f>
        <v>Dämpfer des Geschwinden</v>
      </c>
      <c r="G114" s="62" t="str">
        <f t="shared" si="1"/>
        <v/>
      </c>
    </row>
    <row r="115" spans="1:7" x14ac:dyDescent="0.25">
      <c r="A115" s="11">
        <v>134</v>
      </c>
      <c r="B115" s="8" t="str">
        <f>VLOOKUP(A115,'Sets (lua data)'!$A$3:$C$9920,3,FALSE)</f>
        <v>Shroud of the Lich</v>
      </c>
      <c r="C115" s="8" t="str">
        <f>VLOOKUP(A115,'Sets (lua data)'!$A$3:$C$9920,2,FALSE)</f>
        <v>Tuch des Lich</v>
      </c>
      <c r="G115" s="62" t="str">
        <f t="shared" si="1"/>
        <v/>
      </c>
    </row>
    <row r="116" spans="1:7" x14ac:dyDescent="0.25">
      <c r="A116" s="11">
        <v>135</v>
      </c>
      <c r="B116" s="8" t="str">
        <f>VLOOKUP(A116,'Sets (lua data)'!$A$3:$C$9920,3,FALSE)</f>
        <v>Draugr\'s Heritage</v>
      </c>
      <c r="C116" s="8" t="str">
        <f>VLOOKUP(A116,'Sets (lua data)'!$A$3:$C$9920,2,FALSE)</f>
        <v>Erbe des Draugrs</v>
      </c>
      <c r="G116" s="62" t="str">
        <f t="shared" si="1"/>
        <v/>
      </c>
    </row>
    <row r="117" spans="1:7" x14ac:dyDescent="0.25">
      <c r="A117" s="11">
        <v>136</v>
      </c>
      <c r="B117" s="8" t="str">
        <f>VLOOKUP(A117,'Sets (lua data)'!$A$3:$C$9920,3,FALSE)</f>
        <v>Immortal Warrior</v>
      </c>
      <c r="C117" s="8" t="str">
        <f>VLOOKUP(A117,'Sets (lua data)'!$A$3:$C$9920,2,FALSE)</f>
        <v>Unsterblicher Krieger</v>
      </c>
      <c r="G117" s="62" t="str">
        <f t="shared" si="1"/>
        <v/>
      </c>
    </row>
    <row r="118" spans="1:7" x14ac:dyDescent="0.25">
      <c r="A118" s="11">
        <v>137</v>
      </c>
      <c r="B118" s="8" t="str">
        <f>VLOOKUP(A118,'Sets (lua data)'!$A$3:$C$9920,3,FALSE)</f>
        <v>Berserking Warrior</v>
      </c>
      <c r="C118" s="8" t="str">
        <f>VLOOKUP(A118,'Sets (lua data)'!$A$3:$C$9920,2,FALSE)</f>
        <v>Tobender Krieger</v>
      </c>
      <c r="G118" s="62" t="str">
        <f t="shared" si="1"/>
        <v/>
      </c>
    </row>
    <row r="119" spans="1:7" x14ac:dyDescent="0.25">
      <c r="A119" s="11">
        <v>138</v>
      </c>
      <c r="B119" s="8" t="str">
        <f>VLOOKUP(A119,'Sets (lua data)'!$A$3:$C$9920,3,FALSE)</f>
        <v>Defending Warrior</v>
      </c>
      <c r="C119" s="8" t="str">
        <f>VLOOKUP(A119,'Sets (lua data)'!$A$3:$C$9920,2,FALSE)</f>
        <v>Verteidigender Krieger</v>
      </c>
      <c r="G119" s="62" t="str">
        <f t="shared" si="1"/>
        <v/>
      </c>
    </row>
    <row r="120" spans="1:7" x14ac:dyDescent="0.25">
      <c r="A120" s="11">
        <v>139</v>
      </c>
      <c r="B120" s="8" t="str">
        <f>VLOOKUP(A120,'Sets (lua data)'!$A$3:$C$9920,3,FALSE)</f>
        <v>Wise Mage</v>
      </c>
      <c r="C120" s="8" t="str">
        <f>VLOOKUP(A120,'Sets (lua data)'!$A$3:$C$9920,2,FALSE)</f>
        <v>Weiser Magier</v>
      </c>
      <c r="G120" s="62" t="str">
        <f t="shared" si="1"/>
        <v/>
      </c>
    </row>
    <row r="121" spans="1:7" x14ac:dyDescent="0.25">
      <c r="A121" s="11">
        <v>140</v>
      </c>
      <c r="B121" s="8" t="str">
        <f>VLOOKUP(A121,'Sets (lua data)'!$A$3:$C$9920,3,FALSE)</f>
        <v>Destructive Mage</v>
      </c>
      <c r="C121" s="8" t="str">
        <f>VLOOKUP(A121,'Sets (lua data)'!$A$3:$C$9920,2,FALSE)</f>
        <v>Zerstörerischer Magier</v>
      </c>
      <c r="G121" s="62" t="str">
        <f t="shared" si="1"/>
        <v/>
      </c>
    </row>
    <row r="122" spans="1:7" x14ac:dyDescent="0.25">
      <c r="A122" s="11">
        <v>141</v>
      </c>
      <c r="B122" s="8" t="str">
        <f>VLOOKUP(A122,'Sets (lua data)'!$A$3:$C$9920,3,FALSE)</f>
        <v>Healing Mage</v>
      </c>
      <c r="C122" s="8" t="str">
        <f>VLOOKUP(A122,'Sets (lua data)'!$A$3:$C$9920,2,FALSE)</f>
        <v>Heilender Magier</v>
      </c>
      <c r="G122" s="62" t="str">
        <f t="shared" si="1"/>
        <v/>
      </c>
    </row>
    <row r="123" spans="1:7" x14ac:dyDescent="0.25">
      <c r="A123" s="11">
        <v>142</v>
      </c>
      <c r="B123" s="8" t="str">
        <f>VLOOKUP(A123,'Sets (lua data)'!$A$3:$C$9920,3,FALSE)</f>
        <v>Quick Serpent</v>
      </c>
      <c r="C123" s="8" t="str">
        <f>VLOOKUP(A123,'Sets (lua data)'!$A$3:$C$9920,2,FALSE)</f>
        <v>Flinke Schlange</v>
      </c>
      <c r="G123" s="62" t="str">
        <f t="shared" si="1"/>
        <v/>
      </c>
    </row>
    <row r="124" spans="1:7" x14ac:dyDescent="0.25">
      <c r="A124" s="11">
        <v>143</v>
      </c>
      <c r="B124" s="8" t="str">
        <f>VLOOKUP(A124,'Sets (lua data)'!$A$3:$C$9920,3,FALSE)</f>
        <v>Poisonous Serpent</v>
      </c>
      <c r="C124" s="8" t="str">
        <f>VLOOKUP(A124,'Sets (lua data)'!$A$3:$C$9920,2,FALSE)</f>
        <v>Giftschlange</v>
      </c>
      <c r="G124" s="62" t="str">
        <f t="shared" si="1"/>
        <v/>
      </c>
    </row>
    <row r="125" spans="1:7" x14ac:dyDescent="0.25">
      <c r="A125" s="11">
        <v>144</v>
      </c>
      <c r="B125" s="8" t="str">
        <f>VLOOKUP(A125,'Sets (lua data)'!$A$3:$C$9920,3,FALSE)</f>
        <v>Twice-Fanged Serpent</v>
      </c>
      <c r="C125" s="8" t="str">
        <f>VLOOKUP(A125,'Sets (lua data)'!$A$3:$C$9920,2,FALSE)</f>
        <v>Doppelzüngige Schlange</v>
      </c>
      <c r="G125" s="62" t="str">
        <f t="shared" si="1"/>
        <v/>
      </c>
    </row>
    <row r="126" spans="1:7" x14ac:dyDescent="0.25">
      <c r="A126" s="11">
        <v>145</v>
      </c>
      <c r="B126" s="8" t="str">
        <f>VLOOKUP(A126,'Sets (lua data)'!$A$3:$C$9920,3,FALSE)</f>
        <v>Way of Fire</v>
      </c>
      <c r="C126" s="8" t="str">
        <f>VLOOKUP(A126,'Sets (lua data)'!$A$3:$C$9920,2,FALSE)</f>
        <v>Weg des Feuers</v>
      </c>
      <c r="G126" s="62" t="str">
        <f t="shared" si="1"/>
        <v/>
      </c>
    </row>
    <row r="127" spans="1:7" x14ac:dyDescent="0.25">
      <c r="A127" s="11">
        <v>146</v>
      </c>
      <c r="B127" s="8" t="str">
        <f>VLOOKUP(A127,'Sets (lua data)'!$A$3:$C$9920,3,FALSE)</f>
        <v>Way of Air</v>
      </c>
      <c r="C127" s="8" t="str">
        <f>VLOOKUP(A127,'Sets (lua data)'!$A$3:$C$9920,2,FALSE)</f>
        <v>Weg der Luft</v>
      </c>
      <c r="G127" s="62" t="str">
        <f t="shared" si="1"/>
        <v/>
      </c>
    </row>
    <row r="128" spans="1:7" ht="240" x14ac:dyDescent="0.25">
      <c r="A128" s="11">
        <v>147</v>
      </c>
      <c r="B128" s="8" t="str">
        <f>VLOOKUP(A128,'Sets (lua data)'!$A$3:$C$9920,3,FALSE)</f>
        <v>Way of Martial Knowledge</v>
      </c>
      <c r="C128" s="8" t="str">
        <f>VLOOKUP(A128,'Sets (lua data)'!$A$3:$C$9920,2,FALSE)</f>
        <v>Weg der Kampfkunst</v>
      </c>
      <c r="D128" s="20" t="s">
        <v>2169</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data)'!$A$3:$C$9920,3,FALSE)</f>
        <v>Way of the Arena</v>
      </c>
      <c r="C129" s="8" t="str">
        <f>VLOOKUP(A129,'Sets (lua data)'!$A$3:$C$9920,2,FALSE)</f>
        <v>Weg der Arena</v>
      </c>
      <c r="G129" s="62" t="str">
        <f t="shared" si="2"/>
        <v/>
      </c>
    </row>
    <row r="130" spans="1:7" x14ac:dyDescent="0.25">
      <c r="A130" s="11">
        <v>155</v>
      </c>
      <c r="B130" s="8" t="str">
        <f>VLOOKUP(A130,'Sets (lua data)'!$A$3:$C$9920,3,FALSE)</f>
        <v>Undaunted Bastion</v>
      </c>
      <c r="C130" s="8" t="str">
        <f>VLOOKUP(A130,'Sets (lua data)'!$A$3:$C$9920,2,FALSE)</f>
        <v>Unerschrockenen-Bastion</v>
      </c>
      <c r="G130" s="62" t="str">
        <f t="shared" si="2"/>
        <v/>
      </c>
    </row>
    <row r="131" spans="1:7" x14ac:dyDescent="0.25">
      <c r="A131" s="11">
        <v>156</v>
      </c>
      <c r="B131" s="8" t="str">
        <f>VLOOKUP(A131,'Sets (lua data)'!$A$3:$C$9920,3,FALSE)</f>
        <v>Undaunted Infiltrator</v>
      </c>
      <c r="C131" s="8" t="str">
        <f>VLOOKUP(A131,'Sets (lua data)'!$A$3:$C$9920,2,FALSE)</f>
        <v>Unerschrockener Infiltrator</v>
      </c>
      <c r="G131" s="62" t="str">
        <f t="shared" si="2"/>
        <v/>
      </c>
    </row>
    <row r="132" spans="1:7" x14ac:dyDescent="0.25">
      <c r="A132" s="11">
        <v>157</v>
      </c>
      <c r="B132" s="8" t="str">
        <f>VLOOKUP(A132,'Sets (lua data)'!$A$3:$C$9920,3,FALSE)</f>
        <v>Undaunted Unweaver</v>
      </c>
      <c r="C132" s="8" t="str">
        <f>VLOOKUP(A132,'Sets (lua data)'!$A$3:$C$9920,2,FALSE)</f>
        <v>Unerschrockener Entflechter</v>
      </c>
      <c r="G132" s="62" t="str">
        <f t="shared" si="2"/>
        <v/>
      </c>
    </row>
    <row r="133" spans="1:7" x14ac:dyDescent="0.25">
      <c r="A133" s="11">
        <v>158</v>
      </c>
      <c r="B133" s="8" t="str">
        <f>VLOOKUP(A133,'Sets (lua data)'!$A$3:$C$9920,3,FALSE)</f>
        <v>Embershield</v>
      </c>
      <c r="C133" s="8" t="str">
        <f>VLOOKUP(A133,'Sets (lua data)'!$A$3:$C$9920,2,FALSE)</f>
        <v>Glutschild</v>
      </c>
      <c r="G133" s="62" t="str">
        <f t="shared" si="2"/>
        <v/>
      </c>
    </row>
    <row r="134" spans="1:7" x14ac:dyDescent="0.25">
      <c r="A134" s="11">
        <v>159</v>
      </c>
      <c r="B134" s="8" t="str">
        <f>VLOOKUP(A134,'Sets (lua data)'!$A$3:$C$9920,3,FALSE)</f>
        <v>Sunderflame</v>
      </c>
      <c r="C134" s="8" t="str">
        <f>VLOOKUP(A134,'Sets (lua data)'!$A$3:$C$9920,2,FALSE)</f>
        <v>Trennflamme</v>
      </c>
      <c r="G134" s="62" t="str">
        <f t="shared" si="2"/>
        <v/>
      </c>
    </row>
    <row r="135" spans="1:7" ht="105" x14ac:dyDescent="0.25">
      <c r="A135" s="11">
        <v>160</v>
      </c>
      <c r="B135" s="8" t="str">
        <f>VLOOKUP(A135,'Sets (lua data)'!$A$3:$C$9920,3,FALSE)</f>
        <v>Burning Spellweave</v>
      </c>
      <c r="C135" s="8" t="str">
        <f>VLOOKUP(A135,'Sets (lua data)'!$A$3:$C$9920,2,FALSE)</f>
        <v>Branntzauberweber</v>
      </c>
      <c r="D135" s="20" t="s">
        <v>2167</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data)'!$A$3:$C$9920,3,FALSE)</f>
        <v>Twice-Born Star</v>
      </c>
      <c r="C136" s="8" t="str">
        <f>VLOOKUP(A136,'Sets (lua data)'!$A$3:$C$9920,2,FALSE)</f>
        <v>Doppelstern</v>
      </c>
      <c r="G136" s="62" t="str">
        <f t="shared" si="2"/>
        <v/>
      </c>
    </row>
    <row r="137" spans="1:7" x14ac:dyDescent="0.25">
      <c r="A137" s="5">
        <v>162</v>
      </c>
      <c r="B137" s="8" t="str">
        <f>VLOOKUP(A137,'Sets (lua data)'!$A$3:$C$9920,3,FALSE)</f>
        <v>Spawn of Mephala</v>
      </c>
      <c r="C137" s="8" t="str">
        <f>VLOOKUP(A137,'Sets (lua data)'!$A$3:$C$9920,2,FALSE)</f>
        <v>Mephalas Brut</v>
      </c>
      <c r="G137" s="62" t="str">
        <f t="shared" si="2"/>
        <v/>
      </c>
    </row>
    <row r="138" spans="1:7" x14ac:dyDescent="0.25">
      <c r="A138" s="5">
        <v>163</v>
      </c>
      <c r="B138" s="8" t="str">
        <f>VLOOKUP(A138,'Sets (lua data)'!$A$3:$C$9920,3,FALSE)</f>
        <v>Blood Spawn</v>
      </c>
      <c r="C138" s="8" t="str">
        <f>VLOOKUP(A138,'Sets (lua data)'!$A$3:$C$9920,2,FALSE)</f>
        <v>Blutbrut</v>
      </c>
      <c r="G138" s="62" t="str">
        <f t="shared" si="2"/>
        <v/>
      </c>
    </row>
    <row r="139" spans="1:7" x14ac:dyDescent="0.25">
      <c r="A139" s="5">
        <v>164</v>
      </c>
      <c r="B139" s="8" t="str">
        <f>VLOOKUP(A139,'Sets (lua data)'!$A$3:$C$9920,3,FALSE)</f>
        <v>Lord Warden</v>
      </c>
      <c r="C139" s="8" t="str">
        <f>VLOOKUP(A139,'Sets (lua data)'!$A$3:$C$9920,2,FALSE)</f>
        <v>Hochwärter</v>
      </c>
      <c r="G139" s="62" t="str">
        <f t="shared" si="2"/>
        <v/>
      </c>
    </row>
    <row r="140" spans="1:7" x14ac:dyDescent="0.25">
      <c r="A140" s="5">
        <v>165</v>
      </c>
      <c r="B140" s="8" t="str">
        <f>VLOOKUP(A140,'Sets (lua data)'!$A$3:$C$9920,3,FALSE)</f>
        <v>Scourge Harvester</v>
      </c>
      <c r="C140" s="8" t="str">
        <f>VLOOKUP(A140,'Sets (lua data)'!$A$3:$C$9920,2,FALSE)</f>
        <v>Geißelernter</v>
      </c>
      <c r="G140" s="62" t="str">
        <f t="shared" si="2"/>
        <v/>
      </c>
    </row>
    <row r="141" spans="1:7" x14ac:dyDescent="0.25">
      <c r="A141" s="5">
        <v>166</v>
      </c>
      <c r="B141" s="8" t="str">
        <f>VLOOKUP(A141,'Sets (lua data)'!$A$3:$C$9920,3,FALSE)</f>
        <v>Engine Guardian</v>
      </c>
      <c r="C141" s="8" t="str">
        <f>VLOOKUP(A141,'Sets (lua data)'!$A$3:$C$9920,2,FALSE)</f>
        <v>Maschinenwächter</v>
      </c>
      <c r="G141" s="62" t="str">
        <f t="shared" si="2"/>
        <v/>
      </c>
    </row>
    <row r="142" spans="1:7" ht="105" x14ac:dyDescent="0.25">
      <c r="A142" s="5">
        <v>167</v>
      </c>
      <c r="B142" s="8" t="str">
        <f>VLOOKUP(A142,'Sets (lua data)'!$A$3:$C$9920,3,FALSE)</f>
        <v>Nightflame</v>
      </c>
      <c r="C142" s="8" t="str">
        <f>VLOOKUP(A142,'Sets (lua data)'!$A$3:$C$9920,2,FALSE)</f>
        <v>Nachtflamme</v>
      </c>
      <c r="D142" s="20" t="s">
        <v>2168</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data)'!$A$3:$C$9920,3,FALSE)</f>
        <v>Nerien\'eth</v>
      </c>
      <c r="C143" s="8" t="str">
        <f>VLOOKUP(A143,'Sets (lua data)'!$A$3:$C$9920,2,FALSE)</f>
        <v>Nerien'eth</v>
      </c>
      <c r="G143" s="62" t="str">
        <f t="shared" si="2"/>
        <v/>
      </c>
    </row>
    <row r="144" spans="1:7" x14ac:dyDescent="0.25">
      <c r="A144" s="5">
        <v>169</v>
      </c>
      <c r="B144" s="8" t="str">
        <f>VLOOKUP(A144,'Sets (lua data)'!$A$3:$C$9920,3,FALSE)</f>
        <v>Valkyn Skoria</v>
      </c>
      <c r="C144" s="8" t="str">
        <f>VLOOKUP(A144,'Sets (lua data)'!$A$3:$C$9920,2,FALSE)</f>
        <v>Valkyn Skoria</v>
      </c>
      <c r="G144" s="62" t="str">
        <f t="shared" si="2"/>
        <v/>
      </c>
    </row>
    <row r="145" spans="1:7" x14ac:dyDescent="0.25">
      <c r="A145" s="5">
        <v>170</v>
      </c>
      <c r="B145" s="8" t="str">
        <f>VLOOKUP(A145,'Sets (lua data)'!$A$3:$C$9920,3,FALSE)</f>
        <v>Maw of the Infernal</v>
      </c>
      <c r="C145" s="8" t="str">
        <f>VLOOKUP(A145,'Sets (lua data)'!$A$3:$C$9920,2,FALSE)</f>
        <v>Schlund des Infernalen</v>
      </c>
      <c r="G145" s="62" t="str">
        <f t="shared" si="2"/>
        <v/>
      </c>
    </row>
    <row r="146" spans="1:7" x14ac:dyDescent="0.25">
      <c r="A146" s="11">
        <v>171</v>
      </c>
      <c r="B146" s="8" t="str">
        <f>VLOOKUP(A146,'Sets (lua data)'!$A$3:$C$9920,3,FALSE)</f>
        <v>Eternal Warrior</v>
      </c>
      <c r="C146" s="8" t="str">
        <f>VLOOKUP(A146,'Sets (lua data)'!$A$3:$C$9920,2,FALSE)</f>
        <v>Ewiger Krieger</v>
      </c>
      <c r="G146" s="62" t="str">
        <f t="shared" si="2"/>
        <v/>
      </c>
    </row>
    <row r="147" spans="1:7" x14ac:dyDescent="0.25">
      <c r="A147" s="11">
        <v>172</v>
      </c>
      <c r="B147" s="8" t="str">
        <f>VLOOKUP(A147,'Sets (lua data)'!$A$3:$C$9920,3,FALSE)</f>
        <v>Infallible Mage</v>
      </c>
      <c r="C147" s="8" t="str">
        <f>VLOOKUP(A147,'Sets (lua data)'!$A$3:$C$9920,2,FALSE)</f>
        <v>Unfehlbare Magierin</v>
      </c>
      <c r="G147" s="62" t="str">
        <f t="shared" si="2"/>
        <v/>
      </c>
    </row>
    <row r="148" spans="1:7" x14ac:dyDescent="0.25">
      <c r="A148" s="11">
        <v>173</v>
      </c>
      <c r="B148" s="8" t="str">
        <f>VLOOKUP(A148,'Sets (lua data)'!$A$3:$C$9920,3,FALSE)</f>
        <v>Vicious Serpent</v>
      </c>
      <c r="C148" s="8" t="str">
        <f>VLOOKUP(A148,'Sets (lua data)'!$A$3:$C$9920,2,FALSE)</f>
        <v>Boshafte Schlange</v>
      </c>
      <c r="G148" s="62" t="str">
        <f t="shared" si="2"/>
        <v/>
      </c>
    </row>
    <row r="149" spans="1:7" x14ac:dyDescent="0.25">
      <c r="A149" s="5">
        <v>176</v>
      </c>
      <c r="B149" s="8" t="str">
        <f>VLOOKUP(A149,'Sets (lua data)'!$A$3:$C$9920,3,FALSE)</f>
        <v>Noble\'s Conquest</v>
      </c>
      <c r="C149" s="8" t="str">
        <f>VLOOKUP(A149,'Sets (lua data)'!$A$3:$C$9920,2,FALSE)</f>
        <v>Adelssieg</v>
      </c>
      <c r="G149" s="62" t="str">
        <f t="shared" si="2"/>
        <v/>
      </c>
    </row>
    <row r="150" spans="1:7" x14ac:dyDescent="0.25">
      <c r="A150" s="5">
        <v>177</v>
      </c>
      <c r="B150" s="8" t="str">
        <f>VLOOKUP(A150,'Sets (lua data)'!$A$3:$C$9920,3,FALSE)</f>
        <v>Redistributor</v>
      </c>
      <c r="C150" s="8" t="str">
        <f>VLOOKUP(A150,'Sets (lua data)'!$A$3:$C$9920,2,FALSE)</f>
        <v>Umverteilung</v>
      </c>
      <c r="G150" s="62" t="str">
        <f t="shared" si="2"/>
        <v/>
      </c>
    </row>
    <row r="151" spans="1:7" x14ac:dyDescent="0.25">
      <c r="A151" s="5">
        <v>178</v>
      </c>
      <c r="B151" s="8" t="str">
        <f>VLOOKUP(A151,'Sets (lua data)'!$A$3:$C$9920,3,FALSE)</f>
        <v>Armor Master</v>
      </c>
      <c r="C151" s="8" t="str">
        <f>VLOOKUP(A151,'Sets (lua data)'!$A$3:$C$9920,2,FALSE)</f>
        <v>Rüstungsmeister</v>
      </c>
      <c r="G151" s="62" t="str">
        <f t="shared" si="2"/>
        <v/>
      </c>
    </row>
    <row r="152" spans="1:7" x14ac:dyDescent="0.25">
      <c r="A152" s="11">
        <v>179</v>
      </c>
      <c r="B152" s="8" t="str">
        <f>VLOOKUP(A152,'Sets (lua data)'!$A$3:$C$9920,3,FALSE)</f>
        <v>Black Rose</v>
      </c>
      <c r="C152" s="8" t="str">
        <f>VLOOKUP(A152,'Sets (lua data)'!$A$3:$C$9920,2,FALSE)</f>
        <v>Schwarze Rose</v>
      </c>
      <c r="G152" s="62" t="str">
        <f t="shared" si="2"/>
        <v/>
      </c>
    </row>
    <row r="153" spans="1:7" ht="90" x14ac:dyDescent="0.25">
      <c r="A153" s="11">
        <v>180</v>
      </c>
      <c r="B153" s="8" t="str">
        <f>VLOOKUP(A153,'Sets (lua data)'!$A$3:$C$9920,3,FALSE)</f>
        <v>Powerful Assault</v>
      </c>
      <c r="C153" s="8" t="str">
        <f>VLOOKUP(A153,'Sets (lua data)'!$A$3:$C$9920,2,FALSE)</f>
        <v>Kraftvoller Ansturm</v>
      </c>
      <c r="D153" s="20" t="s">
        <v>2170</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data)'!$A$3:$C$9920,3,FALSE)</f>
        <v>Meritorious Service</v>
      </c>
      <c r="C154" s="8" t="str">
        <f>VLOOKUP(A154,'Sets (lua data)'!$A$3:$C$9920,2,FALSE)</f>
        <v>Meritorischer Dienst</v>
      </c>
      <c r="D154" s="20" t="s">
        <v>2171</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data)'!$A$3:$C$9920,3,FALSE)</f>
        <v>Molag Kena</v>
      </c>
      <c r="C155" s="8" t="str">
        <f>VLOOKUP(A155,'Sets (lua data)'!$A$3:$C$9920,2,FALSE)</f>
        <v>Molag Kena</v>
      </c>
      <c r="G155" s="62" t="str">
        <f t="shared" si="2"/>
        <v/>
      </c>
    </row>
    <row r="156" spans="1:7" x14ac:dyDescent="0.25">
      <c r="A156" s="11">
        <v>184</v>
      </c>
      <c r="B156" s="8" t="str">
        <f>VLOOKUP(A156,'Sets (lua data)'!$A$3:$C$9920,3,FALSE)</f>
        <v>Brands of Imperium</v>
      </c>
      <c r="C156" s="8" t="str">
        <f>VLOOKUP(A156,'Sets (lua data)'!$A$3:$C$9920,2,FALSE)</f>
        <v>Male des Kaiserreichs</v>
      </c>
      <c r="G156" s="62" t="str">
        <f t="shared" si="2"/>
        <v/>
      </c>
    </row>
    <row r="157" spans="1:7" ht="105" x14ac:dyDescent="0.25">
      <c r="A157" s="11">
        <v>185</v>
      </c>
      <c r="B157" s="8" t="str">
        <f>VLOOKUP(A157,'Sets (lua data)'!$A$3:$C$9920,3,FALSE)</f>
        <v>Spell Power Cure</v>
      </c>
      <c r="C157" s="8" t="str">
        <f>VLOOKUP(A157,'Sets (lua data)'!$A$3:$C$9920,2,FALSE)</f>
        <v>Magiekraftheilung</v>
      </c>
      <c r="D157" s="20" t="s">
        <v>2255</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data)'!$A$3:$C$9920,3,FALSE)</f>
        <v>Jolting Arms</v>
      </c>
      <c r="C158" s="8" t="str">
        <f>VLOOKUP(A158,'Sets (lua data)'!$A$3:$C$9920,2,FALSE)</f>
        <v>Rüttelnde Rüstung</v>
      </c>
      <c r="G158" s="62" t="str">
        <f t="shared" si="2"/>
        <v/>
      </c>
    </row>
    <row r="159" spans="1:7" x14ac:dyDescent="0.25">
      <c r="A159" s="11">
        <v>187</v>
      </c>
      <c r="B159" s="8" t="str">
        <f>VLOOKUP(A159,'Sets (lua data)'!$A$3:$C$9920,3,FALSE)</f>
        <v>Swamp Raider</v>
      </c>
      <c r="C159" s="8" t="str">
        <f>VLOOKUP(A159,'Sets (lua data)'!$A$3:$C$9920,2,FALSE)</f>
        <v>Sumpfräuber</v>
      </c>
      <c r="G159" s="62" t="str">
        <f t="shared" si="2"/>
        <v/>
      </c>
    </row>
    <row r="160" spans="1:7" x14ac:dyDescent="0.25">
      <c r="A160" s="11">
        <v>188</v>
      </c>
      <c r="B160" s="8" t="str">
        <f>VLOOKUP(A160,'Sets (lua data)'!$A$3:$C$9920,3,FALSE)</f>
        <v>Storm Master</v>
      </c>
      <c r="C160" s="8" t="str">
        <f>VLOOKUP(A160,'Sets (lua data)'!$A$3:$C$9920,2,FALSE)</f>
        <v>Sturmmeister</v>
      </c>
      <c r="G160" s="62" t="str">
        <f t="shared" si="2"/>
        <v/>
      </c>
    </row>
    <row r="161" spans="1:7" x14ac:dyDescent="0.25">
      <c r="A161" s="11">
        <v>190</v>
      </c>
      <c r="B161" s="8" t="str">
        <f>VLOOKUP(A161,'Sets (lua data)'!$A$3:$C$9920,3,FALSE)</f>
        <v>Scathing Mage</v>
      </c>
      <c r="C161" s="8" t="str">
        <f>VLOOKUP(A161,'Sets (lua data)'!$A$3:$C$9920,2,FALSE)</f>
        <v>Verletzender Magier</v>
      </c>
      <c r="G161" s="62" t="str">
        <f t="shared" si="2"/>
        <v/>
      </c>
    </row>
    <row r="162" spans="1:7" x14ac:dyDescent="0.25">
      <c r="A162" s="11">
        <v>193</v>
      </c>
      <c r="B162" s="8" t="str">
        <f>VLOOKUP(A162,'Sets (lua data)'!$A$3:$C$9920,3,FALSE)</f>
        <v>Overwhelming Surge</v>
      </c>
      <c r="C162" s="8" t="str">
        <f>VLOOKUP(A162,'Sets (lua data)'!$A$3:$C$9920,2,FALSE)</f>
        <v>Überwältigende Woge</v>
      </c>
      <c r="G162" s="62" t="str">
        <f t="shared" si="2"/>
        <v/>
      </c>
    </row>
    <row r="163" spans="1:7" x14ac:dyDescent="0.25">
      <c r="A163" s="11">
        <v>194</v>
      </c>
      <c r="B163" s="8" t="str">
        <f>VLOOKUP(A163,'Sets (lua data)'!$A$3:$C$9920,3,FALSE)</f>
        <v>Combat Physician</v>
      </c>
      <c r="C163" s="8" t="str">
        <f>VLOOKUP(A163,'Sets (lua data)'!$A$3:$C$9920,2,FALSE)</f>
        <v>Feldarzt</v>
      </c>
      <c r="G163" s="62" t="str">
        <f t="shared" si="2"/>
        <v/>
      </c>
    </row>
    <row r="164" spans="1:7" x14ac:dyDescent="0.25">
      <c r="A164" s="11">
        <v>195</v>
      </c>
      <c r="B164" s="8" t="str">
        <f>VLOOKUP(A164,'Sets (lua data)'!$A$3:$C$9920,3,FALSE)</f>
        <v>Sheer Venom</v>
      </c>
      <c r="C164" s="8" t="str">
        <f>VLOOKUP(A164,'Sets (lua data)'!$A$3:$C$9920,2,FALSE)</f>
        <v>Reingift</v>
      </c>
      <c r="G164" s="62" t="str">
        <f t="shared" si="2"/>
        <v/>
      </c>
    </row>
    <row r="165" spans="1:7" x14ac:dyDescent="0.25">
      <c r="A165" s="11">
        <v>196</v>
      </c>
      <c r="B165" s="8" t="str">
        <f>VLOOKUP(A165,'Sets (lua data)'!$A$3:$C$9920,3,FALSE)</f>
        <v>Leeching Plate</v>
      </c>
      <c r="C165" s="8" t="str">
        <f>VLOOKUP(A165,'Sets (lua data)'!$A$3:$C$9920,2,FALSE)</f>
        <v>Auslaugende Rüstung</v>
      </c>
      <c r="G165" s="62" t="str">
        <f t="shared" si="2"/>
        <v/>
      </c>
    </row>
    <row r="166" spans="1:7" x14ac:dyDescent="0.25">
      <c r="A166" s="11">
        <v>197</v>
      </c>
      <c r="B166" s="8" t="str">
        <f>VLOOKUP(A166,'Sets (lua data)'!$A$3:$C$9920,3,FALSE)</f>
        <v>Tormentor</v>
      </c>
      <c r="C166" s="8" t="str">
        <f>VLOOKUP(A166,'Sets (lua data)'!$A$3:$C$9920,2,FALSE)</f>
        <v>Quälender</v>
      </c>
      <c r="G166" s="62" t="str">
        <f t="shared" si="2"/>
        <v/>
      </c>
    </row>
    <row r="167" spans="1:7" x14ac:dyDescent="0.25">
      <c r="A167" s="11">
        <v>198</v>
      </c>
      <c r="B167" s="8" t="str">
        <f>VLOOKUP(A167,'Sets (lua data)'!$A$3:$C$9920,3,FALSE)</f>
        <v>Essence Thief</v>
      </c>
      <c r="C167" s="8" t="str">
        <f>VLOOKUP(A167,'Sets (lua data)'!$A$3:$C$9920,2,FALSE)</f>
        <v>Essenzdieb</v>
      </c>
      <c r="G167" s="62" t="str">
        <f t="shared" si="2"/>
        <v/>
      </c>
    </row>
    <row r="168" spans="1:7" x14ac:dyDescent="0.25">
      <c r="A168" s="11">
        <v>199</v>
      </c>
      <c r="B168" s="8" t="str">
        <f>VLOOKUP(A168,'Sets (lua data)'!$A$3:$C$9920,3,FALSE)</f>
        <v>Shield Breaker</v>
      </c>
      <c r="C168" s="8" t="str">
        <f>VLOOKUP(A168,'Sets (lua data)'!$A$3:$C$9920,2,FALSE)</f>
        <v>Schildbrecher</v>
      </c>
      <c r="G168" s="62" t="str">
        <f t="shared" si="2"/>
        <v/>
      </c>
    </row>
    <row r="169" spans="1:7" x14ac:dyDescent="0.25">
      <c r="A169" s="11">
        <v>200</v>
      </c>
      <c r="B169" s="8" t="str">
        <f>VLOOKUP(A169,'Sets (lua data)'!$A$3:$C$9920,3,FALSE)</f>
        <v>Phoenix</v>
      </c>
      <c r="C169" s="8" t="str">
        <f>VLOOKUP(A169,'Sets (lua data)'!$A$3:$C$9920,2,FALSE)</f>
        <v>Phönix</v>
      </c>
      <c r="G169" s="62" t="str">
        <f t="shared" si="2"/>
        <v/>
      </c>
    </row>
    <row r="170" spans="1:7" x14ac:dyDescent="0.25">
      <c r="A170" s="11">
        <v>201</v>
      </c>
      <c r="B170" s="8" t="str">
        <f>VLOOKUP(A170,'Sets (lua data)'!$A$3:$C$9920,3,FALSE)</f>
        <v>Reactive Armor</v>
      </c>
      <c r="C170" s="8" t="str">
        <f>VLOOKUP(A170,'Sets (lua data)'!$A$3:$C$9920,2,FALSE)</f>
        <v>Reaktive Rüstung</v>
      </c>
      <c r="G170" s="62" t="str">
        <f t="shared" si="2"/>
        <v/>
      </c>
    </row>
    <row r="171" spans="1:7" x14ac:dyDescent="0.25">
      <c r="A171" s="11">
        <v>204</v>
      </c>
      <c r="B171" s="8" t="str">
        <f>VLOOKUP(A171,'Sets (lua data)'!$A$3:$C$9920,3,FALSE)</f>
        <v>Endurance</v>
      </c>
      <c r="C171" s="8" t="str">
        <f>VLOOKUP(A171,'Sets (lua data)'!$A$3:$C$9920,2,FALSE)</f>
        <v>Beständigkeit</v>
      </c>
      <c r="G171" s="62" t="str">
        <f t="shared" si="2"/>
        <v/>
      </c>
    </row>
    <row r="172" spans="1:7" x14ac:dyDescent="0.25">
      <c r="A172" s="11">
        <v>205</v>
      </c>
      <c r="B172" s="8" t="str">
        <f>VLOOKUP(A172,'Sets (lua data)'!$A$3:$C$9920,3,FALSE)</f>
        <v>Willpower</v>
      </c>
      <c r="C172" s="8" t="str">
        <f>VLOOKUP(A172,'Sets (lua data)'!$A$3:$C$9920,2,FALSE)</f>
        <v>Willenskraft</v>
      </c>
      <c r="G172" s="62" t="str">
        <f t="shared" si="2"/>
        <v/>
      </c>
    </row>
    <row r="173" spans="1:7" x14ac:dyDescent="0.25">
      <c r="A173" s="11">
        <v>206</v>
      </c>
      <c r="B173" s="8" t="str">
        <f>VLOOKUP(A173,'Sets (lua data)'!$A$3:$C$9920,3,FALSE)</f>
        <v>Agility</v>
      </c>
      <c r="C173" s="8" t="str">
        <f>VLOOKUP(A173,'Sets (lua data)'!$A$3:$C$9920,2,FALSE)</f>
        <v>Agilität</v>
      </c>
      <c r="G173" s="62" t="str">
        <f t="shared" si="2"/>
        <v/>
      </c>
    </row>
    <row r="174" spans="1:7" x14ac:dyDescent="0.25">
      <c r="A174" s="5">
        <v>207</v>
      </c>
      <c r="B174" s="8" t="str">
        <f>VLOOKUP(A174,'Sets (lua data)'!$A$3:$C$9920,3,FALSE)</f>
        <v>Law of Julianos</v>
      </c>
      <c r="C174" s="8" t="str">
        <f>VLOOKUP(A174,'Sets (lua data)'!$A$3:$C$9920,2,FALSE)</f>
        <v>Gesetz von Julianos</v>
      </c>
      <c r="G174" s="62" t="str">
        <f t="shared" si="2"/>
        <v/>
      </c>
    </row>
    <row r="175" spans="1:7" x14ac:dyDescent="0.25">
      <c r="A175" s="5">
        <v>208</v>
      </c>
      <c r="B175" s="8" t="str">
        <f>VLOOKUP(A175,'Sets (lua data)'!$A$3:$C$9920,3,FALSE)</f>
        <v>Trial by Fire</v>
      </c>
      <c r="C175" s="8" t="str">
        <f>VLOOKUP(A175,'Sets (lua data)'!$A$3:$C$9920,2,FALSE)</f>
        <v>Feuertaufe</v>
      </c>
      <c r="G175" s="62" t="str">
        <f t="shared" si="2"/>
        <v/>
      </c>
    </row>
    <row r="176" spans="1:7" x14ac:dyDescent="0.25">
      <c r="A176" s="21">
        <v>209</v>
      </c>
      <c r="B176" s="8" t="str">
        <f>VLOOKUP(A176,'Sets (lua data)'!$A$3:$C$9920,3,FALSE)</f>
        <v>Armor of the Code</v>
      </c>
      <c r="C176" s="8" t="str">
        <f>VLOOKUP(A176,'Sets (lua data)'!$A$3:$C$9920,2,FALSE)</f>
        <v>Armor of the Code</v>
      </c>
      <c r="G176" s="62" t="str">
        <f t="shared" si="2"/>
        <v/>
      </c>
    </row>
    <row r="177" spans="1:7" x14ac:dyDescent="0.25">
      <c r="A177" s="11">
        <v>210</v>
      </c>
      <c r="B177" s="8" t="str">
        <f>VLOOKUP(A177,'Sets (lua data)'!$A$3:$C$9920,3,FALSE)</f>
        <v>Mark of the Pariah</v>
      </c>
      <c r="C177" s="8" t="str">
        <f>VLOOKUP(A177,'Sets (lua data)'!$A$3:$C$9920,2,FALSE)</f>
        <v>Zeichen des Ausgestoßenen</v>
      </c>
      <c r="G177" s="62" t="str">
        <f t="shared" si="2"/>
        <v/>
      </c>
    </row>
    <row r="178" spans="1:7" ht="105" x14ac:dyDescent="0.25">
      <c r="A178" s="11">
        <v>211</v>
      </c>
      <c r="B178" s="8" t="str">
        <f>VLOOKUP(A178,'Sets (lua data)'!$A$3:$C$9920,3,FALSE)</f>
        <v>Permafrost</v>
      </c>
      <c r="C178" s="8" t="str">
        <f>VLOOKUP(A178,'Sets (lua data)'!$A$3:$C$9920,2,FALSE)</f>
        <v>Permafrost</v>
      </c>
      <c r="D178" s="20" t="s">
        <v>2251</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data)'!$A$3:$C$9920,3,FALSE)</f>
        <v>Briarheart</v>
      </c>
      <c r="C179" s="8" t="str">
        <f>VLOOKUP(A179,'Sets (lua data)'!$A$3:$C$9920,2,FALSE)</f>
        <v>Dornenherz</v>
      </c>
      <c r="G179" s="62" t="str">
        <f t="shared" si="2"/>
        <v/>
      </c>
    </row>
    <row r="180" spans="1:7" x14ac:dyDescent="0.25">
      <c r="A180" s="11">
        <v>213</v>
      </c>
      <c r="B180" s="8" t="str">
        <f>VLOOKUP(A180,'Sets (lua data)'!$A$3:$C$9920,3,FALSE)</f>
        <v>Glorious Defender</v>
      </c>
      <c r="C180" s="8" t="str">
        <f>VLOOKUP(A180,'Sets (lua data)'!$A$3:$C$9920,2,FALSE)</f>
        <v>Ruhmreicher Verteidiger</v>
      </c>
      <c r="G180" s="62" t="str">
        <f t="shared" si="2"/>
        <v/>
      </c>
    </row>
    <row r="181" spans="1:7" x14ac:dyDescent="0.25">
      <c r="A181" s="11">
        <v>214</v>
      </c>
      <c r="B181" s="8" t="str">
        <f>VLOOKUP(A181,'Sets (lua data)'!$A$3:$C$9920,3,FALSE)</f>
        <v>Para Bellum</v>
      </c>
      <c r="C181" s="8" t="str">
        <f>VLOOKUP(A181,'Sets (lua data)'!$A$3:$C$9920,2,FALSE)</f>
        <v>Para Bellum</v>
      </c>
      <c r="G181" s="62" t="str">
        <f t="shared" si="2"/>
        <v/>
      </c>
    </row>
    <row r="182" spans="1:7" x14ac:dyDescent="0.25">
      <c r="A182" s="11">
        <v>215</v>
      </c>
      <c r="B182" s="8" t="str">
        <f>VLOOKUP(A182,'Sets (lua data)'!$A$3:$C$9920,3,FALSE)</f>
        <v>Elemental Succession</v>
      </c>
      <c r="C182" s="8" t="str">
        <f>VLOOKUP(A182,'Sets (lua data)'!$A$3:$C$9920,2,FALSE)</f>
        <v>Elementarfolge</v>
      </c>
      <c r="G182" s="62" t="str">
        <f t="shared" si="2"/>
        <v/>
      </c>
    </row>
    <row r="183" spans="1:7" x14ac:dyDescent="0.25">
      <c r="A183" s="11">
        <v>216</v>
      </c>
      <c r="B183" s="8" t="str">
        <f>VLOOKUP(A183,'Sets (lua data)'!$A$3:$C$9920,3,FALSE)</f>
        <v>Hunt Leader</v>
      </c>
      <c r="C183" s="8" t="str">
        <f>VLOOKUP(A183,'Sets (lua data)'!$A$3:$C$9920,2,FALSE)</f>
        <v>Jagdleiter</v>
      </c>
      <c r="G183" s="62" t="str">
        <f t="shared" si="2"/>
        <v/>
      </c>
    </row>
    <row r="184" spans="1:7" x14ac:dyDescent="0.25">
      <c r="A184" s="11">
        <v>217</v>
      </c>
      <c r="B184" s="8" t="str">
        <f>VLOOKUP(A184,'Sets (lua data)'!$A$3:$C$9920,3,FALSE)</f>
        <v>Winterborn</v>
      </c>
      <c r="C184" s="8" t="str">
        <f>VLOOKUP(A184,'Sets (lua data)'!$A$3:$C$9920,2,FALSE)</f>
        <v>Winterkind</v>
      </c>
      <c r="G184" s="62" t="str">
        <f t="shared" si="2"/>
        <v/>
      </c>
    </row>
    <row r="185" spans="1:7" x14ac:dyDescent="0.25">
      <c r="A185" s="11">
        <v>218</v>
      </c>
      <c r="B185" s="8" t="str">
        <f>VLOOKUP(A185,'Sets (lua data)'!$A$3:$C$9920,3,FALSE)</f>
        <v>Trinimac\'s Valor</v>
      </c>
      <c r="C185" s="8" t="str">
        <f>VLOOKUP(A185,'Sets (lua data)'!$A$3:$C$9920,2,FALSE)</f>
        <v>Trinimacs Heldenmut</v>
      </c>
      <c r="G185" s="62" t="str">
        <f t="shared" si="2"/>
        <v/>
      </c>
    </row>
    <row r="186" spans="1:7" x14ac:dyDescent="0.25">
      <c r="A186" s="5">
        <v>219</v>
      </c>
      <c r="B186" s="8" t="str">
        <f>VLOOKUP(A186,'Sets (lua data)'!$A$3:$C$9920,3,FALSE)</f>
        <v>Morkuldin</v>
      </c>
      <c r="C186" s="8" t="str">
        <f>VLOOKUP(A186,'Sets (lua data)'!$A$3:$C$9920,2,FALSE)</f>
        <v>Morkuldin</v>
      </c>
      <c r="G186" s="62" t="str">
        <f t="shared" si="2"/>
        <v/>
      </c>
    </row>
    <row r="187" spans="1:7" x14ac:dyDescent="0.25">
      <c r="A187" s="5">
        <v>224</v>
      </c>
      <c r="B187" s="8" t="str">
        <f>VLOOKUP(A187,'Sets (lua data)'!$A$3:$C$9920,3,FALSE)</f>
        <v>Tava\'s Favor</v>
      </c>
      <c r="C187" s="8" t="str">
        <f>VLOOKUP(A187,'Sets (lua data)'!$A$3:$C$9920,2,FALSE)</f>
        <v>Tavas Gunst</v>
      </c>
      <c r="G187" s="62" t="str">
        <f t="shared" si="2"/>
        <v/>
      </c>
    </row>
    <row r="188" spans="1:7" ht="90" x14ac:dyDescent="0.25">
      <c r="A188" s="5">
        <v>225</v>
      </c>
      <c r="B188" s="8" t="str">
        <f>VLOOKUP(A188,'Sets (lua data)'!$A$3:$C$9920,3,FALSE)</f>
        <v>Clever Alchemist</v>
      </c>
      <c r="C188" s="8" t="str">
        <f>VLOOKUP(A188,'Sets (lua data)'!$A$3:$C$9920,2,FALSE)</f>
        <v>Schlauer Alchemist</v>
      </c>
      <c r="D188" s="20" t="s">
        <v>2254</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data)'!$A$3:$C$9920,3,FALSE)</f>
        <v>Eternal Hunt</v>
      </c>
      <c r="C189" s="8" t="str">
        <f>VLOOKUP(A189,'Sets (lua data)'!$A$3:$C$9920,2,FALSE)</f>
        <v>Ewige Jagd</v>
      </c>
      <c r="G189" s="62" t="str">
        <f t="shared" si="2"/>
        <v/>
      </c>
    </row>
    <row r="190" spans="1:7" x14ac:dyDescent="0.25">
      <c r="A190" s="11">
        <v>227</v>
      </c>
      <c r="B190" s="8" t="str">
        <f>VLOOKUP(A190,'Sets (lua data)'!$A$3:$C$9920,3,FALSE)</f>
        <v>Bahraha\'s Curse</v>
      </c>
      <c r="C190" s="8" t="str">
        <f>VLOOKUP(A190,'Sets (lua data)'!$A$3:$C$9920,2,FALSE)</f>
        <v>Bahrahas Fluch</v>
      </c>
      <c r="G190" s="62" t="str">
        <f t="shared" si="2"/>
        <v/>
      </c>
    </row>
    <row r="191" spans="1:7" x14ac:dyDescent="0.25">
      <c r="A191" s="11">
        <v>228</v>
      </c>
      <c r="B191" s="8" t="str">
        <f>VLOOKUP(A191,'Sets (lua data)'!$A$3:$C$9920,3,FALSE)</f>
        <v>Syvarra\'s Scales</v>
      </c>
      <c r="C191" s="8" t="str">
        <f>VLOOKUP(A191,'Sets (lua data)'!$A$3:$C$9920,2,FALSE)</f>
        <v>Syvarras Schuppen</v>
      </c>
      <c r="G191" s="62" t="str">
        <f t="shared" si="2"/>
        <v/>
      </c>
    </row>
    <row r="192" spans="1:7" x14ac:dyDescent="0.25">
      <c r="A192" s="11">
        <v>229</v>
      </c>
      <c r="B192" s="8" t="str">
        <f>VLOOKUP(A192,'Sets (lua data)'!$A$3:$C$9920,3,FALSE)</f>
        <v>Twilight Remedy</v>
      </c>
      <c r="C192" s="8" t="str">
        <f>VLOOKUP(A192,'Sets (lua data)'!$A$3:$C$9920,2,FALSE)</f>
        <v>Zwielichtgenesung</v>
      </c>
      <c r="G192" s="62" t="str">
        <f t="shared" ref="G192:G255" si="3">IF(AND(A192&lt;&gt;"",NOT(ISERROR(A192)),ISNUMBER(A192),D192&lt;&gt;""),CONCATENATE("[",A192,"] = {",D192,"},","     --",B192," -&gt; ",E192," / ",F192),"")</f>
        <v/>
      </c>
    </row>
    <row r="193" spans="1:7" ht="90" x14ac:dyDescent="0.25">
      <c r="A193" s="11">
        <v>230</v>
      </c>
      <c r="B193" s="8" t="str">
        <f>VLOOKUP(A193,'Sets (lua data)'!$A$3:$C$9920,3,FALSE)</f>
        <v>Moondancer</v>
      </c>
      <c r="C193" s="8" t="str">
        <f>VLOOKUP(A193,'Sets (lua data)'!$A$3:$C$9920,2,FALSE)</f>
        <v>Mondtänzer</v>
      </c>
      <c r="D193" s="20" t="s">
        <v>2158</v>
      </c>
      <c r="E193" t="s">
        <v>2149</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data)'!$A$3:$C$9920,3,FALSE)</f>
        <v>Lunar Bastion</v>
      </c>
      <c r="C194" s="8" t="str">
        <f>VLOOKUP(A194,'Sets (lua data)'!$A$3:$C$9920,2,FALSE)</f>
        <v>Mondbastion</v>
      </c>
      <c r="G194" s="62" t="str">
        <f t="shared" si="3"/>
        <v/>
      </c>
    </row>
    <row r="195" spans="1:7" x14ac:dyDescent="0.25">
      <c r="A195" s="11">
        <v>232</v>
      </c>
      <c r="B195" s="8" t="str">
        <f>VLOOKUP(A195,'Sets (lua data)'!$A$3:$C$9920,3,FALSE)</f>
        <v>Roar of Alkosh</v>
      </c>
      <c r="C195" s="8" t="str">
        <f>VLOOKUP(A195,'Sets (lua data)'!$A$3:$C$9920,2,FALSE)</f>
        <v>Brüllen von Alkosh</v>
      </c>
      <c r="G195" s="62" t="str">
        <f t="shared" si="3"/>
        <v/>
      </c>
    </row>
    <row r="196" spans="1:7" x14ac:dyDescent="0.25">
      <c r="A196" s="11">
        <v>234</v>
      </c>
      <c r="B196" s="8" t="str">
        <f>VLOOKUP(A196,'Sets (lua data)'!$A$3:$C$9920,3,FALSE)</f>
        <v>Marksman\'s Crest</v>
      </c>
      <c r="C196" s="8" t="str">
        <f>VLOOKUP(A196,'Sets (lua data)'!$A$3:$C$9920,2,FALSE)</f>
        <v>Wappen des Meisterschützen</v>
      </c>
      <c r="G196" s="62" t="str">
        <f t="shared" si="3"/>
        <v/>
      </c>
    </row>
    <row r="197" spans="1:7" x14ac:dyDescent="0.25">
      <c r="A197" s="11">
        <v>235</v>
      </c>
      <c r="B197" s="8" t="str">
        <f>VLOOKUP(A197,'Sets (lua data)'!$A$3:$C$9920,3,FALSE)</f>
        <v>Robes of Transmutation</v>
      </c>
      <c r="C197" s="8" t="str">
        <f>VLOOKUP(A197,'Sets (lua data)'!$A$3:$C$9920,2,FALSE)</f>
        <v>Roben der Transmutation</v>
      </c>
      <c r="G197" s="62" t="str">
        <f t="shared" si="3"/>
        <v/>
      </c>
    </row>
    <row r="198" spans="1:7" x14ac:dyDescent="0.25">
      <c r="A198" s="11">
        <v>236</v>
      </c>
      <c r="B198" s="8" t="str">
        <f>VLOOKUP(A198,'Sets (lua data)'!$A$3:$C$9920,3,FALSE)</f>
        <v>Vicious Death</v>
      </c>
      <c r="C198" s="8" t="str">
        <f>VLOOKUP(A198,'Sets (lua data)'!$A$3:$C$9920,2,FALSE)</f>
        <v>Grausamer Tod</v>
      </c>
      <c r="G198" s="62" t="str">
        <f t="shared" si="3"/>
        <v/>
      </c>
    </row>
    <row r="199" spans="1:7" x14ac:dyDescent="0.25">
      <c r="A199" s="11">
        <v>237</v>
      </c>
      <c r="B199" s="8" t="str">
        <f>VLOOKUP(A199,'Sets (lua data)'!$A$3:$C$9920,3,FALSE)</f>
        <v>Leki\'s Focus</v>
      </c>
      <c r="C199" s="8" t="str">
        <f>VLOOKUP(A199,'Sets (lua data)'!$A$3:$C$9920,2,FALSE)</f>
        <v>Lekis Fokus</v>
      </c>
      <c r="G199" s="62" t="str">
        <f t="shared" si="3"/>
        <v/>
      </c>
    </row>
    <row r="200" spans="1:7" x14ac:dyDescent="0.25">
      <c r="A200" s="11">
        <v>238</v>
      </c>
      <c r="B200" s="8" t="str">
        <f>VLOOKUP(A200,'Sets (lua data)'!$A$3:$C$9920,3,FALSE)</f>
        <v>Fasalla\'s Guile</v>
      </c>
      <c r="C200" s="8" t="str">
        <f>VLOOKUP(A200,'Sets (lua data)'!$A$3:$C$9920,2,FALSE)</f>
        <v>Fasallas List</v>
      </c>
      <c r="G200" s="62" t="str">
        <f t="shared" si="3"/>
        <v/>
      </c>
    </row>
    <row r="201" spans="1:7" x14ac:dyDescent="0.25">
      <c r="A201" s="11">
        <v>239</v>
      </c>
      <c r="B201" s="8" t="str">
        <f>VLOOKUP(A201,'Sets (lua data)'!$A$3:$C$9920,3,FALSE)</f>
        <v>Warrior\'s Fury</v>
      </c>
      <c r="C201" s="8" t="str">
        <f>VLOOKUP(A201,'Sets (lua data)'!$A$3:$C$9920,2,FALSE)</f>
        <v>Raserei des Kriegers</v>
      </c>
      <c r="G201" s="62" t="str">
        <f t="shared" si="3"/>
        <v/>
      </c>
    </row>
    <row r="202" spans="1:7" x14ac:dyDescent="0.25">
      <c r="A202" s="5">
        <v>240</v>
      </c>
      <c r="B202" s="8" t="str">
        <f>VLOOKUP(A202,'Sets (lua data)'!$A$3:$C$9920,3,FALSE)</f>
        <v>Kvatch Gladiator</v>
      </c>
      <c r="C202" s="8" t="str">
        <f>VLOOKUP(A202,'Sets (lua data)'!$A$3:$C$9920,2,FALSE)</f>
        <v>Gladiator von Kvatch</v>
      </c>
      <c r="G202" s="62" t="str">
        <f t="shared" si="3"/>
        <v/>
      </c>
    </row>
    <row r="203" spans="1:7" x14ac:dyDescent="0.25">
      <c r="A203" s="5">
        <v>241</v>
      </c>
      <c r="B203" s="8" t="str">
        <f>VLOOKUP(A203,'Sets (lua data)'!$A$3:$C$9920,3,FALSE)</f>
        <v>Varen\'s Legacy</v>
      </c>
      <c r="C203" s="8" t="str">
        <f>VLOOKUP(A203,'Sets (lua data)'!$A$3:$C$9920,2,FALSE)</f>
        <v>Varens Erbe</v>
      </c>
      <c r="G203" s="62" t="str">
        <f t="shared" si="3"/>
        <v/>
      </c>
    </row>
    <row r="204" spans="1:7" x14ac:dyDescent="0.25">
      <c r="A204" s="5">
        <v>242</v>
      </c>
      <c r="B204" s="8" t="str">
        <f>VLOOKUP(A204,'Sets (lua data)'!$A$3:$C$9920,3,FALSE)</f>
        <v>Pelinal\'s Wrath</v>
      </c>
      <c r="C204" s="8" t="str">
        <f>VLOOKUP(A204,'Sets (lua data)'!$A$3:$C$9920,2,FALSE)</f>
        <v>Pelinals Talent</v>
      </c>
      <c r="G204" s="62" t="str">
        <f t="shared" si="3"/>
        <v/>
      </c>
    </row>
    <row r="205" spans="1:7" x14ac:dyDescent="0.25">
      <c r="A205" s="11">
        <v>243</v>
      </c>
      <c r="B205" s="8" t="str">
        <f>VLOOKUP(A205,'Sets (lua data)'!$A$3:$C$9920,3,FALSE)</f>
        <v>Hide of Morihaus</v>
      </c>
      <c r="C205" s="8" t="str">
        <f>VLOOKUP(A205,'Sets (lua data)'!$A$3:$C$9920,2,FALSE)</f>
        <v>Haut von Morihaus</v>
      </c>
      <c r="G205" s="62" t="str">
        <f t="shared" si="3"/>
        <v/>
      </c>
    </row>
    <row r="206" spans="1:7" x14ac:dyDescent="0.25">
      <c r="A206" s="11">
        <v>244</v>
      </c>
      <c r="B206" s="8" t="str">
        <f>VLOOKUP(A206,'Sets (lua data)'!$A$3:$C$9920,3,FALSE)</f>
        <v>Flanking Strategist</v>
      </c>
      <c r="C206" s="8" t="str">
        <f>VLOOKUP(A206,'Sets (lua data)'!$A$3:$C$9920,2,FALSE)</f>
        <v>Flankierender Stratege</v>
      </c>
      <c r="G206" s="62" t="str">
        <f t="shared" si="3"/>
        <v/>
      </c>
    </row>
    <row r="207" spans="1:7" x14ac:dyDescent="0.25">
      <c r="A207" s="11">
        <v>245</v>
      </c>
      <c r="B207" s="8" t="str">
        <f>VLOOKUP(A207,'Sets (lua data)'!$A$3:$C$9920,3,FALSE)</f>
        <v>Sithis\' Touch</v>
      </c>
      <c r="C207" s="8" t="str">
        <f>VLOOKUP(A207,'Sets (lua data)'!$A$3:$C$9920,2,FALSE)</f>
        <v>Sithis' Berührung</v>
      </c>
      <c r="G207" s="62" t="str">
        <f t="shared" si="3"/>
        <v/>
      </c>
    </row>
    <row r="208" spans="1:7" x14ac:dyDescent="0.25">
      <c r="A208" s="11">
        <v>246</v>
      </c>
      <c r="B208" s="8" t="str">
        <f>VLOOKUP(A208,'Sets (lua data)'!$A$3:$C$9920,3,FALSE)</f>
        <v>Galerion\'s Revenge</v>
      </c>
      <c r="C208" s="8" t="str">
        <f>VLOOKUP(A208,'Sets (lua data)'!$A$3:$C$9920,2,FALSE)</f>
        <v>Galerions Revanche</v>
      </c>
      <c r="G208" s="62" t="str">
        <f t="shared" si="3"/>
        <v/>
      </c>
    </row>
    <row r="209" spans="1:7" x14ac:dyDescent="0.25">
      <c r="A209" s="11">
        <v>247</v>
      </c>
      <c r="B209" s="8" t="str">
        <f>VLOOKUP(A209,'Sets (lua data)'!$A$3:$C$9920,3,FALSE)</f>
        <v>Vicecanon of Venom</v>
      </c>
      <c r="C209" s="8" t="str">
        <f>VLOOKUP(A209,'Sets (lua data)'!$A$3:$C$9920,2,FALSE)</f>
        <v>Vizekanoniker des Gifts</v>
      </c>
      <c r="G209" s="62" t="str">
        <f t="shared" si="3"/>
        <v/>
      </c>
    </row>
    <row r="210" spans="1:7" x14ac:dyDescent="0.25">
      <c r="A210" s="11">
        <v>248</v>
      </c>
      <c r="B210" s="8" t="str">
        <f>VLOOKUP(A210,'Sets (lua data)'!$A$3:$C$9920,3,FALSE)</f>
        <v>Thews of the Harbinger</v>
      </c>
      <c r="C210" s="8" t="str">
        <f>VLOOKUP(A210,'Sets (lua data)'!$A$3:$C$9920,2,FALSE)</f>
        <v>Muskeln des Vorboten</v>
      </c>
      <c r="G210" s="62" t="str">
        <f t="shared" si="3"/>
        <v/>
      </c>
    </row>
    <row r="211" spans="1:7" x14ac:dyDescent="0.25">
      <c r="A211" s="11">
        <v>253</v>
      </c>
      <c r="B211" s="8" t="str">
        <f>VLOOKUP(A211,'Sets (lua data)'!$A$3:$C$9920,3,FALSE)</f>
        <v>Imperial Physique</v>
      </c>
      <c r="C211" s="8" t="str">
        <f>VLOOKUP(A211,'Sets (lua data)'!$A$3:$C$9920,2,FALSE)</f>
        <v>Kaiserliche Physis</v>
      </c>
      <c r="G211" s="62" t="str">
        <f t="shared" si="3"/>
        <v/>
      </c>
    </row>
    <row r="212" spans="1:7" x14ac:dyDescent="0.25">
      <c r="A212" s="5">
        <v>256</v>
      </c>
      <c r="B212" s="8" t="str">
        <f>VLOOKUP(A212,'Sets (lua data)'!$A$3:$C$9920,3,FALSE)</f>
        <v>Mighty Chudan</v>
      </c>
      <c r="C212" s="8" t="str">
        <f>VLOOKUP(A212,'Sets (lua data)'!$A$3:$C$9920,2,FALSE)</f>
        <v>Mächtiger Chudan</v>
      </c>
      <c r="G212" s="62" t="str">
        <f t="shared" si="3"/>
        <v/>
      </c>
    </row>
    <row r="213" spans="1:7" x14ac:dyDescent="0.25">
      <c r="A213" s="5">
        <v>257</v>
      </c>
      <c r="B213" s="8" t="str">
        <f>VLOOKUP(A213,'Sets (lua data)'!$A$3:$C$9920,3,FALSE)</f>
        <v>Velidreth</v>
      </c>
      <c r="C213" s="8" t="str">
        <f>VLOOKUP(A213,'Sets (lua data)'!$A$3:$C$9920,2,FALSE)</f>
        <v>Velidreth</v>
      </c>
      <c r="G213" s="62" t="str">
        <f t="shared" si="3"/>
        <v/>
      </c>
    </row>
    <row r="214" spans="1:7" x14ac:dyDescent="0.25">
      <c r="A214" s="11">
        <v>258</v>
      </c>
      <c r="B214" s="8" t="str">
        <f>VLOOKUP(A214,'Sets (lua data)'!$A$3:$C$9920,3,FALSE)</f>
        <v>Amber Plasm</v>
      </c>
      <c r="C214" s="8" t="str">
        <f>VLOOKUP(A214,'Sets (lua data)'!$A$3:$C$9920,2,FALSE)</f>
        <v>Bernsteinplasma</v>
      </c>
      <c r="G214" s="62" t="str">
        <f t="shared" si="3"/>
        <v/>
      </c>
    </row>
    <row r="215" spans="1:7" x14ac:dyDescent="0.25">
      <c r="A215" s="11">
        <v>259</v>
      </c>
      <c r="B215" s="8" t="str">
        <f>VLOOKUP(A215,'Sets (lua data)'!$A$3:$C$9920,3,FALSE)</f>
        <v>Heem-Jas\' Retribution</v>
      </c>
      <c r="C215" s="8" t="str">
        <f>VLOOKUP(A215,'Sets (lua data)'!$A$3:$C$9920,2,FALSE)</f>
        <v>Heem-Jas' Vergeltung</v>
      </c>
      <c r="G215" s="62" t="str">
        <f t="shared" si="3"/>
        <v/>
      </c>
    </row>
    <row r="216" spans="1:7" x14ac:dyDescent="0.25">
      <c r="A216" s="11">
        <v>260</v>
      </c>
      <c r="B216" s="8" t="str">
        <f>VLOOKUP(A216,'Sets (lua data)'!$A$3:$C$9920,3,FALSE)</f>
        <v>Aspect of Mazzatun</v>
      </c>
      <c r="C216" s="8" t="str">
        <f>VLOOKUP(A216,'Sets (lua data)'!$A$3:$C$9920,2,FALSE)</f>
        <v>Aspekt von Mazzatun</v>
      </c>
      <c r="G216" s="62" t="str">
        <f t="shared" si="3"/>
        <v/>
      </c>
    </row>
    <row r="217" spans="1:7" x14ac:dyDescent="0.25">
      <c r="A217" s="11">
        <v>261</v>
      </c>
      <c r="B217" s="8" t="str">
        <f>VLOOKUP(A217,'Sets (lua data)'!$A$3:$C$9920,3,FALSE)</f>
        <v>Gossamer</v>
      </c>
      <c r="C217" s="8" t="str">
        <f>VLOOKUP(A217,'Sets (lua data)'!$A$3:$C$9920,2,FALSE)</f>
        <v>Gespinst</v>
      </c>
      <c r="G217" s="62" t="str">
        <f t="shared" si="3"/>
        <v/>
      </c>
    </row>
    <row r="218" spans="1:7" x14ac:dyDescent="0.25">
      <c r="A218" s="11">
        <v>262</v>
      </c>
      <c r="B218" s="8" t="str">
        <f>VLOOKUP(A218,'Sets (lua data)'!$A$3:$C$9920,3,FALSE)</f>
        <v>Widowmaker</v>
      </c>
      <c r="C218" s="8" t="str">
        <f>VLOOKUP(A218,'Sets (lua data)'!$A$3:$C$9920,2,FALSE)</f>
        <v>Witwenmacher</v>
      </c>
      <c r="G218" s="62" t="str">
        <f t="shared" si="3"/>
        <v/>
      </c>
    </row>
    <row r="219" spans="1:7" x14ac:dyDescent="0.25">
      <c r="A219" s="11">
        <v>263</v>
      </c>
      <c r="B219" s="8" t="str">
        <f>VLOOKUP(A219,'Sets (lua data)'!$A$3:$C$9920,3,FALSE)</f>
        <v>Hand of Mephala</v>
      </c>
      <c r="C219" s="8" t="str">
        <f>VLOOKUP(A219,'Sets (lua data)'!$A$3:$C$9920,2,FALSE)</f>
        <v>Hand von Mephala</v>
      </c>
      <c r="G219" s="62" t="str">
        <f t="shared" si="3"/>
        <v/>
      </c>
    </row>
    <row r="220" spans="1:7" x14ac:dyDescent="0.25">
      <c r="A220" s="14">
        <v>264</v>
      </c>
      <c r="B220" s="8" t="str">
        <f>VLOOKUP(A220,'Sets (lua data)'!$A$3:$C$9920,3,FALSE)</f>
        <v>Giant Spider</v>
      </c>
      <c r="C220" s="8" t="str">
        <f>VLOOKUP(A220,'Sets (lua data)'!$A$3:$C$9920,2,FALSE)</f>
        <v>Riesenspinne</v>
      </c>
      <c r="G220" s="62" t="str">
        <f t="shared" si="3"/>
        <v/>
      </c>
    </row>
    <row r="221" spans="1:7" x14ac:dyDescent="0.25">
      <c r="A221" s="5">
        <v>265</v>
      </c>
      <c r="B221" s="8" t="str">
        <f>VLOOKUP(A221,'Sets (lua data)'!$A$3:$C$9920,3,FALSE)</f>
        <v>Shadowrend</v>
      </c>
      <c r="C221" s="8" t="str">
        <f>VLOOKUP(A221,'Sets (lua data)'!$A$3:$C$9920,2,FALSE)</f>
        <v>Schattenriss</v>
      </c>
      <c r="G221" s="62" t="str">
        <f t="shared" si="3"/>
        <v/>
      </c>
    </row>
    <row r="222" spans="1:7" x14ac:dyDescent="0.25">
      <c r="A222" s="5">
        <v>266</v>
      </c>
      <c r="B222" s="8" t="str">
        <f>VLOOKUP(A222,'Sets (lua data)'!$A$3:$C$9920,3,FALSE)</f>
        <v>Kra\'gh</v>
      </c>
      <c r="C222" s="8" t="str">
        <f>VLOOKUP(A222,'Sets (lua data)'!$A$3:$C$9920,2,FALSE)</f>
        <v>Kra'gh</v>
      </c>
      <c r="G222" s="62" t="str">
        <f t="shared" si="3"/>
        <v/>
      </c>
    </row>
    <row r="223" spans="1:7" x14ac:dyDescent="0.25">
      <c r="A223" s="5">
        <v>267</v>
      </c>
      <c r="B223" s="8" t="str">
        <f>VLOOKUP(A223,'Sets (lua data)'!$A$3:$C$9920,3,FALSE)</f>
        <v>Swarm Mother</v>
      </c>
      <c r="C223" s="8" t="str">
        <f>VLOOKUP(A223,'Sets (lua data)'!$A$3:$C$9920,2,FALSE)</f>
        <v>Schwarmmutter</v>
      </c>
      <c r="G223" s="62" t="str">
        <f t="shared" si="3"/>
        <v/>
      </c>
    </row>
    <row r="224" spans="1:7" ht="105" x14ac:dyDescent="0.25">
      <c r="A224" s="5">
        <v>268</v>
      </c>
      <c r="B224" s="8" t="str">
        <f>VLOOKUP(A224,'Sets (lua data)'!$A$3:$C$9920,3,FALSE)</f>
        <v>Sentinel of Rkugamz</v>
      </c>
      <c r="C224" s="8" t="str">
        <f>VLOOKUP(A224,'Sets (lua data)'!$A$3:$C$9920,2,FALSE)</f>
        <v>Wachposten von Rkugamz</v>
      </c>
      <c r="D224" s="20" t="s">
        <v>2159</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data)'!$A$3:$C$9920,3,FALSE)</f>
        <v>Chokethorn</v>
      </c>
      <c r="C225" s="8" t="str">
        <f>VLOOKUP(A225,'Sets (lua data)'!$A$3:$C$9920,2,FALSE)</f>
        <v>Würgedorn</v>
      </c>
      <c r="G225" s="62" t="str">
        <f t="shared" si="3"/>
        <v/>
      </c>
    </row>
    <row r="226" spans="1:7" x14ac:dyDescent="0.25">
      <c r="A226" s="5">
        <v>270</v>
      </c>
      <c r="B226" s="8" t="str">
        <f>VLOOKUP(A226,'Sets (lua data)'!$A$3:$C$9920,3,FALSE)</f>
        <v>Slimecraw</v>
      </c>
      <c r="C226" s="8" t="str">
        <f>VLOOKUP(A226,'Sets (lua data)'!$A$3:$C$9920,2,FALSE)</f>
        <v>Schleimkropf</v>
      </c>
      <c r="G226" s="62" t="str">
        <f t="shared" si="3"/>
        <v/>
      </c>
    </row>
    <row r="227" spans="1:7" ht="105" x14ac:dyDescent="0.25">
      <c r="A227" s="5">
        <v>271</v>
      </c>
      <c r="B227" s="8" t="str">
        <f>VLOOKUP(A227,'Sets (lua data)'!$A$3:$C$9920,3,FALSE)</f>
        <v>Sellistrix</v>
      </c>
      <c r="C227" s="8" t="str">
        <f>VLOOKUP(A227,'Sets (lua data)'!$A$3:$C$9920,2,FALSE)</f>
        <v>Sellistrix</v>
      </c>
      <c r="D227" s="20" t="s">
        <v>2249</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data)'!$A$3:$C$9920,3,FALSE)</f>
        <v>Infernal Guardian</v>
      </c>
      <c r="C228" s="8" t="str">
        <f>VLOOKUP(A228,'Sets (lua data)'!$A$3:$C$9920,2,FALSE)</f>
        <v>Infernaler Wächter</v>
      </c>
      <c r="G228" s="62" t="str">
        <f t="shared" si="3"/>
        <v/>
      </c>
    </row>
    <row r="229" spans="1:7" x14ac:dyDescent="0.25">
      <c r="A229" s="5">
        <v>273</v>
      </c>
      <c r="B229" s="8" t="str">
        <f>VLOOKUP(A229,'Sets (lua data)'!$A$3:$C$9920,3,FALSE)</f>
        <v>Ilambris</v>
      </c>
      <c r="C229" s="8" t="str">
        <f>VLOOKUP(A229,'Sets (lua data)'!$A$3:$C$9920,2,FALSE)</f>
        <v>Ilambris</v>
      </c>
      <c r="G229" s="62" t="str">
        <f t="shared" si="3"/>
        <v/>
      </c>
    </row>
    <row r="230" spans="1:7" x14ac:dyDescent="0.25">
      <c r="A230" s="5">
        <v>274</v>
      </c>
      <c r="B230" s="8" t="str">
        <f>VLOOKUP(A230,'Sets (lua data)'!$A$3:$C$9920,3,FALSE)</f>
        <v>Iceheart</v>
      </c>
      <c r="C230" s="8" t="str">
        <f>VLOOKUP(A230,'Sets (lua data)'!$A$3:$C$9920,2,FALSE)</f>
        <v>Eisherz</v>
      </c>
      <c r="G230" s="62" t="str">
        <f t="shared" si="3"/>
        <v/>
      </c>
    </row>
    <row r="231" spans="1:7" x14ac:dyDescent="0.25">
      <c r="A231" s="5">
        <v>275</v>
      </c>
      <c r="B231" s="8" t="str">
        <f>VLOOKUP(A231,'Sets (lua data)'!$A$3:$C$9920,3,FALSE)</f>
        <v>Stormfist</v>
      </c>
      <c r="C231" s="8" t="str">
        <f>VLOOKUP(A231,'Sets (lua data)'!$A$3:$C$9920,2,FALSE)</f>
        <v>Sturmfaust</v>
      </c>
      <c r="G231" s="62" t="str">
        <f t="shared" si="3"/>
        <v/>
      </c>
    </row>
    <row r="232" spans="1:7" ht="105" x14ac:dyDescent="0.25">
      <c r="A232" s="5">
        <v>276</v>
      </c>
      <c r="B232" s="8" t="str">
        <f>VLOOKUP(A232,'Sets (lua data)'!$A$3:$C$9920,3,FALSE)</f>
        <v>Tremorscale</v>
      </c>
      <c r="C232" s="8" t="str">
        <f>VLOOKUP(A232,'Sets (lua data)'!$A$3:$C$9920,2,FALSE)</f>
        <v>Bebenschuppe</v>
      </c>
      <c r="D232" s="20" t="s">
        <v>2247</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data)'!$A$3:$C$9920,3,FALSE)</f>
        <v>Pirate Skeleton</v>
      </c>
      <c r="C233" s="8" t="str">
        <f>VLOOKUP(A233,'Sets (lua data)'!$A$3:$C$9920,2,FALSE)</f>
        <v>Piratenskelett</v>
      </c>
      <c r="G233" s="62" t="str">
        <f t="shared" si="3"/>
        <v/>
      </c>
    </row>
    <row r="234" spans="1:7" x14ac:dyDescent="0.25">
      <c r="A234" s="5">
        <v>278</v>
      </c>
      <c r="B234" s="8" t="str">
        <f>VLOOKUP(A234,'Sets (lua data)'!$A$3:$C$9920,3,FALSE)</f>
        <v>The Troll King</v>
      </c>
      <c r="C234" s="8" t="str">
        <f>VLOOKUP(A234,'Sets (lua data)'!$A$3:$C$9920,2,FALSE)</f>
        <v>Trollkönig</v>
      </c>
      <c r="G234" s="62" t="str">
        <f t="shared" si="3"/>
        <v/>
      </c>
    </row>
    <row r="235" spans="1:7" x14ac:dyDescent="0.25">
      <c r="A235" s="5">
        <v>279</v>
      </c>
      <c r="B235" s="8" t="str">
        <f>VLOOKUP(A235,'Sets (lua data)'!$A$3:$C$9920,3,FALSE)</f>
        <v>Selene</v>
      </c>
      <c r="C235" s="8" t="str">
        <f>VLOOKUP(A235,'Sets (lua data)'!$A$3:$C$9920,2,FALSE)</f>
        <v>Selene</v>
      </c>
      <c r="G235" s="62" t="str">
        <f t="shared" si="3"/>
        <v/>
      </c>
    </row>
    <row r="236" spans="1:7" ht="105" x14ac:dyDescent="0.25">
      <c r="A236" s="5">
        <v>280</v>
      </c>
      <c r="B236" s="8" t="str">
        <f>VLOOKUP(A236,'Sets (lua data)'!$A$3:$C$9920,3,FALSE)</f>
        <v>Grothdarr</v>
      </c>
      <c r="C236" s="8" t="str">
        <f>VLOOKUP(A236,'Sets (lua data)'!$A$3:$C$9920,2,FALSE)</f>
        <v>Grothdarr</v>
      </c>
      <c r="D236" s="20" t="s">
        <v>2160</v>
      </c>
      <c r="E236" t="s">
        <v>2147</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data)'!$A$3:$C$9920,3,FALSE)</f>
        <v>Armor of the Trainee</v>
      </c>
      <c r="C237" s="8" t="str">
        <f>VLOOKUP(A237,'Sets (lua data)'!$A$3:$C$9920,2,FALSE)</f>
        <v>Rüstung des Auszubildenden</v>
      </c>
      <c r="G237" s="62" t="str">
        <f t="shared" si="3"/>
        <v/>
      </c>
    </row>
    <row r="238" spans="1:7" x14ac:dyDescent="0.25">
      <c r="A238" s="11">
        <v>282</v>
      </c>
      <c r="B238" s="8" t="str">
        <f>VLOOKUP(A238,'Sets (lua data)'!$A$3:$C$9920,3,FALSE)</f>
        <v>Vampire Cloak</v>
      </c>
      <c r="C238" s="8" t="str">
        <f>VLOOKUP(A238,'Sets (lua data)'!$A$3:$C$9920,2,FALSE)</f>
        <v>Vampirumhang</v>
      </c>
      <c r="G238" s="62" t="str">
        <f t="shared" si="3"/>
        <v/>
      </c>
    </row>
    <row r="239" spans="1:7" x14ac:dyDescent="0.25">
      <c r="A239" s="11">
        <v>283</v>
      </c>
      <c r="B239" s="8" t="str">
        <f>VLOOKUP(A239,'Sets (lua data)'!$A$3:$C$9920,3,FALSE)</f>
        <v>Sword-Singer</v>
      </c>
      <c r="C239" s="8" t="str">
        <f>VLOOKUP(A239,'Sets (lua data)'!$A$3:$C$9920,2,FALSE)</f>
        <v>Schwertsänger</v>
      </c>
      <c r="G239" s="62" t="str">
        <f t="shared" si="3"/>
        <v/>
      </c>
    </row>
    <row r="240" spans="1:7" x14ac:dyDescent="0.25">
      <c r="A240" s="11">
        <v>284</v>
      </c>
      <c r="B240" s="8" t="str">
        <f>VLOOKUP(A240,'Sets (lua data)'!$A$3:$C$9920,3,FALSE)</f>
        <v>Order of Diagna</v>
      </c>
      <c r="C240" s="8" t="str">
        <f>VLOOKUP(A240,'Sets (lua data)'!$A$3:$C$9920,2,FALSE)</f>
        <v>Orden von Diagna</v>
      </c>
      <c r="G240" s="62" t="str">
        <f t="shared" si="3"/>
        <v/>
      </c>
    </row>
    <row r="241" spans="1:7" x14ac:dyDescent="0.25">
      <c r="A241" s="11">
        <v>285</v>
      </c>
      <c r="B241" s="8" t="str">
        <f>VLOOKUP(A241,'Sets (lua data)'!$A$3:$C$9920,3,FALSE)</f>
        <v>Vampire Lord</v>
      </c>
      <c r="C241" s="8" t="str">
        <f>VLOOKUP(A241,'Sets (lua data)'!$A$3:$C$9920,2,FALSE)</f>
        <v>Vampirfürst</v>
      </c>
      <c r="G241" s="62" t="str">
        <f t="shared" si="3"/>
        <v/>
      </c>
    </row>
    <row r="242" spans="1:7" x14ac:dyDescent="0.25">
      <c r="A242" s="11">
        <v>286</v>
      </c>
      <c r="B242" s="8" t="str">
        <f>VLOOKUP(A242,'Sets (lua data)'!$A$3:$C$9920,3,FALSE)</f>
        <v>Spriggan\'s Thorns</v>
      </c>
      <c r="C242" s="8" t="str">
        <f>VLOOKUP(A242,'Sets (lua data)'!$A$3:$C$9920,2,FALSE)</f>
        <v>Dornen des Zweiglings</v>
      </c>
      <c r="G242" s="62" t="str">
        <f t="shared" si="3"/>
        <v/>
      </c>
    </row>
    <row r="243" spans="1:7" x14ac:dyDescent="0.25">
      <c r="A243" s="11">
        <v>287</v>
      </c>
      <c r="B243" s="8" t="str">
        <f>VLOOKUP(A243,'Sets (lua data)'!$A$3:$C$9920,3,FALSE)</f>
        <v>Green Pact</v>
      </c>
      <c r="C243" s="8" t="str">
        <f>VLOOKUP(A243,'Sets (lua data)'!$A$3:$C$9920,2,FALSE)</f>
        <v>Der Grüne Pakt</v>
      </c>
      <c r="G243" s="62" t="str">
        <f t="shared" si="3"/>
        <v/>
      </c>
    </row>
    <row r="244" spans="1:7" x14ac:dyDescent="0.25">
      <c r="A244" s="11">
        <v>288</v>
      </c>
      <c r="B244" s="8" t="str">
        <f>VLOOKUP(A244,'Sets (lua data)'!$A$3:$C$9920,3,FALSE)</f>
        <v>Beekeeper\'s Gear</v>
      </c>
      <c r="C244" s="8" t="str">
        <f>VLOOKUP(A244,'Sets (lua data)'!$A$3:$C$9920,2,FALSE)</f>
        <v>Werkzeug des Bienenhüters</v>
      </c>
      <c r="G244" s="62" t="str">
        <f t="shared" si="3"/>
        <v/>
      </c>
    </row>
    <row r="245" spans="1:7" x14ac:dyDescent="0.25">
      <c r="A245" s="11">
        <v>289</v>
      </c>
      <c r="B245" s="8" t="str">
        <f>VLOOKUP(A245,'Sets (lua data)'!$A$3:$C$9920,3,FALSE)</f>
        <v>Spinner\'s Garments</v>
      </c>
      <c r="C245" s="8" t="str">
        <f>VLOOKUP(A245,'Sets (lua data)'!$A$3:$C$9920,2,FALSE)</f>
        <v>Gewänder des Webers</v>
      </c>
      <c r="G245" s="62" t="str">
        <f t="shared" si="3"/>
        <v/>
      </c>
    </row>
    <row r="246" spans="1:7" x14ac:dyDescent="0.25">
      <c r="A246" s="11">
        <v>290</v>
      </c>
      <c r="B246" s="8" t="str">
        <f>VLOOKUP(A246,'Sets (lua data)'!$A$3:$C$9920,3,FALSE)</f>
        <v>Skooma Smuggler</v>
      </c>
      <c r="C246" s="8" t="str">
        <f>VLOOKUP(A246,'Sets (lua data)'!$A$3:$C$9920,2,FALSE)</f>
        <v>Skoomaschmuggler</v>
      </c>
      <c r="G246" s="62" t="str">
        <f t="shared" si="3"/>
        <v/>
      </c>
    </row>
    <row r="247" spans="1:7" x14ac:dyDescent="0.25">
      <c r="A247" s="11">
        <v>291</v>
      </c>
      <c r="B247" s="8" t="str">
        <f>VLOOKUP(A247,'Sets (lua data)'!$A$3:$C$9920,3,FALSE)</f>
        <v>Shalk Exoskeleton</v>
      </c>
      <c r="C247" s="8" t="str">
        <f>VLOOKUP(A247,'Sets (lua data)'!$A$3:$C$9920,2,FALSE)</f>
        <v>Schröterpanzer</v>
      </c>
      <c r="G247" s="62" t="str">
        <f t="shared" si="3"/>
        <v/>
      </c>
    </row>
    <row r="248" spans="1:7" x14ac:dyDescent="0.25">
      <c r="A248" s="11">
        <v>292</v>
      </c>
      <c r="B248" s="8" t="str">
        <f>VLOOKUP(A248,'Sets (lua data)'!$A$3:$C$9920,3,FALSE)</f>
        <v>Mother\'s Sorrow</v>
      </c>
      <c r="C248" s="8" t="str">
        <f>VLOOKUP(A248,'Sets (lua data)'!$A$3:$C$9920,2,FALSE)</f>
        <v>Muttertränen</v>
      </c>
      <c r="G248" s="62" t="str">
        <f t="shared" si="3"/>
        <v/>
      </c>
    </row>
    <row r="249" spans="1:7" x14ac:dyDescent="0.25">
      <c r="A249" s="11">
        <v>293</v>
      </c>
      <c r="B249" s="8" t="str">
        <f>VLOOKUP(A249,'Sets (lua data)'!$A$3:$C$9920,3,FALSE)</f>
        <v>Plague Doctor</v>
      </c>
      <c r="C249" s="8" t="str">
        <f>VLOOKUP(A249,'Sets (lua data)'!$A$3:$C$9920,2,FALSE)</f>
        <v>Seuchendoktor</v>
      </c>
      <c r="G249" s="62" t="str">
        <f t="shared" si="3"/>
        <v/>
      </c>
    </row>
    <row r="250" spans="1:7" x14ac:dyDescent="0.25">
      <c r="A250" s="11">
        <v>294</v>
      </c>
      <c r="B250" s="8" t="str">
        <f>VLOOKUP(A250,'Sets (lua data)'!$A$3:$C$9920,3,FALSE)</f>
        <v>Ysgramor\'s Birthright</v>
      </c>
      <c r="C250" s="8" t="str">
        <f>VLOOKUP(A250,'Sets (lua data)'!$A$3:$C$9920,2,FALSE)</f>
        <v>Ysgramors Geburtsrecht</v>
      </c>
      <c r="G250" s="62" t="str">
        <f t="shared" si="3"/>
        <v/>
      </c>
    </row>
    <row r="251" spans="1:7" x14ac:dyDescent="0.25">
      <c r="A251" s="11">
        <v>295</v>
      </c>
      <c r="B251" s="8" t="str">
        <f>VLOOKUP(A251,'Sets (lua data)'!$A$3:$C$9920,3,FALSE)</f>
        <v>Jailbreaker</v>
      </c>
      <c r="C251" s="8" t="str">
        <f>VLOOKUP(A251,'Sets (lua data)'!$A$3:$C$9920,2,FALSE)</f>
        <v>Ausbrecher</v>
      </c>
      <c r="G251" s="62" t="str">
        <f t="shared" si="3"/>
        <v/>
      </c>
    </row>
    <row r="252" spans="1:7" x14ac:dyDescent="0.25">
      <c r="A252" s="11">
        <v>296</v>
      </c>
      <c r="B252" s="8" t="str">
        <f>VLOOKUP(A252,'Sets (lua data)'!$A$3:$C$9920,3,FALSE)</f>
        <v>Spelunker</v>
      </c>
      <c r="C252" s="8" t="str">
        <f>VLOOKUP(A252,'Sets (lua data)'!$A$3:$C$9920,2,FALSE)</f>
        <v>Höhlenforscher</v>
      </c>
      <c r="G252" s="62" t="str">
        <f t="shared" si="3"/>
        <v/>
      </c>
    </row>
    <row r="253" spans="1:7" x14ac:dyDescent="0.25">
      <c r="A253" s="11">
        <v>297</v>
      </c>
      <c r="B253" s="8" t="str">
        <f>VLOOKUP(A253,'Sets (lua data)'!$A$3:$C$9920,3,FALSE)</f>
        <v>Spider Cultist Cowl</v>
      </c>
      <c r="C253" s="8" t="str">
        <f>VLOOKUP(A253,'Sets (lua data)'!$A$3:$C$9920,2,FALSE)</f>
        <v>Spinnenkultistenkutte</v>
      </c>
      <c r="G253" s="62" t="str">
        <f t="shared" si="3"/>
        <v/>
      </c>
    </row>
    <row r="254" spans="1:7" x14ac:dyDescent="0.25">
      <c r="A254" s="11">
        <v>298</v>
      </c>
      <c r="B254" s="8" t="str">
        <f>VLOOKUP(A254,'Sets (lua data)'!$A$3:$C$9920,3,FALSE)</f>
        <v>Light Speaker</v>
      </c>
      <c r="C254" s="8" t="str">
        <f>VLOOKUP(A254,'Sets (lua data)'!$A$3:$C$9920,2,FALSE)</f>
        <v>Lichtsprecher</v>
      </c>
      <c r="G254" s="62" t="str">
        <f t="shared" si="3"/>
        <v/>
      </c>
    </row>
    <row r="255" spans="1:7" x14ac:dyDescent="0.25">
      <c r="A255" s="11">
        <v>299</v>
      </c>
      <c r="B255" s="8" t="str">
        <f>VLOOKUP(A255,'Sets (lua data)'!$A$3:$C$9920,3,FALSE)</f>
        <v>Toothrow</v>
      </c>
      <c r="C255" s="8" t="str">
        <f>VLOOKUP(A255,'Sets (lua data)'!$A$3:$C$9920,2,FALSE)</f>
        <v>Zahnreihe</v>
      </c>
      <c r="G255" s="62" t="str">
        <f t="shared" si="3"/>
        <v/>
      </c>
    </row>
    <row r="256" spans="1:7" x14ac:dyDescent="0.25">
      <c r="A256" s="11">
        <v>300</v>
      </c>
      <c r="B256" s="8" t="str">
        <f>VLOOKUP(A256,'Sets (lua data)'!$A$3:$C$9920,3,FALSE)</f>
        <v>Netch\'s Touch</v>
      </c>
      <c r="C256" s="8" t="str">
        <f>VLOOKUP(A256,'Sets (lua data)'!$A$3:$C$9920,2,FALSE)</f>
        <v>Berührung des Netch</v>
      </c>
      <c r="G256" s="62" t="str">
        <f t="shared" ref="G256:G319" si="4">IF(AND(A256&lt;&gt;"",NOT(ISERROR(A256)),ISNUMBER(A256),D256&lt;&gt;""),CONCATENATE("[",A256,"] = {",D256,"},","     --",B256," -&gt; ",E256," / ",F256),"")</f>
        <v/>
      </c>
    </row>
    <row r="257" spans="1:7" x14ac:dyDescent="0.25">
      <c r="A257" s="11">
        <v>301</v>
      </c>
      <c r="B257" s="8" t="str">
        <f>VLOOKUP(A257,'Sets (lua data)'!$A$3:$C$9920,3,FALSE)</f>
        <v>Strength of the Automaton</v>
      </c>
      <c r="C257" s="8" t="str">
        <f>VLOOKUP(A257,'Sets (lua data)'!$A$3:$C$9920,2,FALSE)</f>
        <v>Stärke des Automaten</v>
      </c>
      <c r="G257" s="62" t="str">
        <f t="shared" si="4"/>
        <v/>
      </c>
    </row>
    <row r="258" spans="1:7" x14ac:dyDescent="0.25">
      <c r="A258" s="11">
        <v>302</v>
      </c>
      <c r="B258" s="8" t="str">
        <f>VLOOKUP(A258,'Sets (lua data)'!$A$3:$C$9920,3,FALSE)</f>
        <v>Leviathan</v>
      </c>
      <c r="C258" s="8" t="str">
        <f>VLOOKUP(A258,'Sets (lua data)'!$A$3:$C$9920,2,FALSE)</f>
        <v>Leviathan</v>
      </c>
      <c r="G258" s="62" t="str">
        <f t="shared" si="4"/>
        <v/>
      </c>
    </row>
    <row r="259" spans="1:7" x14ac:dyDescent="0.25">
      <c r="A259" s="11">
        <v>303</v>
      </c>
      <c r="B259" s="8" t="str">
        <f>VLOOKUP(A259,'Sets (lua data)'!$A$3:$C$9920,3,FALSE)</f>
        <v>Lamia\'s Song</v>
      </c>
      <c r="C259" s="8" t="str">
        <f>VLOOKUP(A259,'Sets (lua data)'!$A$3:$C$9920,2,FALSE)</f>
        <v>Lied der Lamie</v>
      </c>
      <c r="G259" s="62" t="str">
        <f t="shared" si="4"/>
        <v/>
      </c>
    </row>
    <row r="260" spans="1:7" x14ac:dyDescent="0.25">
      <c r="A260" s="11">
        <v>304</v>
      </c>
      <c r="B260" s="8" t="str">
        <f>VLOOKUP(A260,'Sets (lua data)'!$A$3:$C$9920,3,FALSE)</f>
        <v>Medusa</v>
      </c>
      <c r="C260" s="8" t="str">
        <f>VLOOKUP(A260,'Sets (lua data)'!$A$3:$C$9920,2,FALSE)</f>
        <v>Versteinernder Blick</v>
      </c>
      <c r="G260" s="62" t="str">
        <f t="shared" si="4"/>
        <v/>
      </c>
    </row>
    <row r="261" spans="1:7" x14ac:dyDescent="0.25">
      <c r="A261" s="11">
        <v>305</v>
      </c>
      <c r="B261" s="8" t="str">
        <f>VLOOKUP(A261,'Sets (lua data)'!$A$3:$C$9920,3,FALSE)</f>
        <v>Treasure Hunter</v>
      </c>
      <c r="C261" s="8" t="str">
        <f>VLOOKUP(A261,'Sets (lua data)'!$A$3:$C$9920,2,FALSE)</f>
        <v>Schatzjäger</v>
      </c>
      <c r="G261" s="62" t="str">
        <f t="shared" si="4"/>
        <v/>
      </c>
    </row>
    <row r="262" spans="1:7" x14ac:dyDescent="0.25">
      <c r="A262" s="11">
        <v>307</v>
      </c>
      <c r="B262" s="8" t="str">
        <f>VLOOKUP(A262,'Sets (lua data)'!$A$3:$C$9920,3,FALSE)</f>
        <v>Draugr Hulk</v>
      </c>
      <c r="C262" s="8" t="str">
        <f>VLOOKUP(A262,'Sets (lua data)'!$A$3:$C$9920,2,FALSE)</f>
        <v>Schwerfälliger Draugr</v>
      </c>
      <c r="G262" s="62" t="str">
        <f t="shared" si="4"/>
        <v/>
      </c>
    </row>
    <row r="263" spans="1:7" x14ac:dyDescent="0.25">
      <c r="A263" s="11">
        <v>308</v>
      </c>
      <c r="B263" s="8" t="str">
        <f>VLOOKUP(A263,'Sets (lua data)'!$A$3:$C$9920,3,FALSE)</f>
        <v>Bone Pirate\'s Tatters</v>
      </c>
      <c r="C263" s="8" t="str">
        <f>VLOOKUP(A263,'Sets (lua data)'!$A$3:$C$9920,2,FALSE)</f>
        <v>Lumpen des Knochenpiraten</v>
      </c>
      <c r="G263" s="62" t="str">
        <f t="shared" si="4"/>
        <v/>
      </c>
    </row>
    <row r="264" spans="1:7" x14ac:dyDescent="0.25">
      <c r="A264" s="11">
        <v>309</v>
      </c>
      <c r="B264" s="8" t="str">
        <f>VLOOKUP(A264,'Sets (lua data)'!$A$3:$C$9920,3,FALSE)</f>
        <v>Knight-errant\'s Mail</v>
      </c>
      <c r="C264" s="8" t="str">
        <f>VLOOKUP(A264,'Sets (lua data)'!$A$3:$C$9920,2,FALSE)</f>
        <v>Platten des Wanderritters</v>
      </c>
      <c r="G264" s="62" t="str">
        <f t="shared" si="4"/>
        <v/>
      </c>
    </row>
    <row r="265" spans="1:7" x14ac:dyDescent="0.25">
      <c r="A265" s="11">
        <v>310</v>
      </c>
      <c r="B265" s="8" t="str">
        <f>VLOOKUP(A265,'Sets (lua data)'!$A$3:$C$9920,3,FALSE)</f>
        <v>Sword Dancer</v>
      </c>
      <c r="C265" s="8" t="str">
        <f>VLOOKUP(A265,'Sets (lua data)'!$A$3:$C$9920,2,FALSE)</f>
        <v>Schwerttänzer</v>
      </c>
      <c r="G265" s="62" t="str">
        <f t="shared" si="4"/>
        <v/>
      </c>
    </row>
    <row r="266" spans="1:7" x14ac:dyDescent="0.25">
      <c r="A266" s="11">
        <v>311</v>
      </c>
      <c r="B266" s="8" t="str">
        <f>VLOOKUP(A266,'Sets (lua data)'!$A$3:$C$9920,3,FALSE)</f>
        <v>Rattlecage</v>
      </c>
      <c r="C266" s="8" t="str">
        <f>VLOOKUP(A266,'Sets (lua data)'!$A$3:$C$9920,2,FALSE)</f>
        <v>Klapperkäfig</v>
      </c>
      <c r="G266" s="62" t="str">
        <f t="shared" si="4"/>
        <v/>
      </c>
    </row>
    <row r="267" spans="1:7" x14ac:dyDescent="0.25">
      <c r="A267" s="11">
        <v>313</v>
      </c>
      <c r="B267" s="8" t="str">
        <f>VLOOKUP(A267,'Sets (lua data)'!$A$3:$C$9920,3,FALSE)</f>
        <v>Titanic Cleave</v>
      </c>
      <c r="C267" s="8" t="str">
        <f>VLOOKUP(A267,'Sets (lua data)'!$A$3:$C$9920,2,FALSE)</f>
        <v>Titanisches Trennen</v>
      </c>
      <c r="G267" s="62" t="str">
        <f t="shared" si="4"/>
        <v/>
      </c>
    </row>
    <row r="268" spans="1:7" x14ac:dyDescent="0.25">
      <c r="A268" s="11">
        <v>314</v>
      </c>
      <c r="B268" s="8" t="str">
        <f>VLOOKUP(A268,'Sets (lua data)'!$A$3:$C$9920,3,FALSE)</f>
        <v>Puncturing Remedy</v>
      </c>
      <c r="C268" s="8" t="str">
        <f>VLOOKUP(A268,'Sets (lua data)'!$A$3:$C$9920,2,FALSE)</f>
        <v>Durchschlagende Genesung</v>
      </c>
      <c r="G268" s="62" t="str">
        <f t="shared" si="4"/>
        <v/>
      </c>
    </row>
    <row r="269" spans="1:7" x14ac:dyDescent="0.25">
      <c r="A269" s="11">
        <v>315</v>
      </c>
      <c r="B269" s="8" t="str">
        <f>VLOOKUP(A269,'Sets (lua data)'!$A$3:$C$9920,3,FALSE)</f>
        <v>Stinging Slashes</v>
      </c>
      <c r="C269" s="8" t="str">
        <f>VLOOKUP(A269,'Sets (lua data)'!$A$3:$C$9920,2,FALSE)</f>
        <v>Stechende Schnitte</v>
      </c>
      <c r="G269" s="62" t="str">
        <f t="shared" si="4"/>
        <v/>
      </c>
    </row>
    <row r="270" spans="1:7" x14ac:dyDescent="0.25">
      <c r="A270" s="11">
        <v>316</v>
      </c>
      <c r="B270" s="8" t="str">
        <f>VLOOKUP(A270,'Sets (lua data)'!$A$3:$C$9920,3,FALSE)</f>
        <v>Caustic Arrow</v>
      </c>
      <c r="C270" s="8" t="str">
        <f>VLOOKUP(A270,'Sets (lua data)'!$A$3:$C$9920,2,FALSE)</f>
        <v>Beißender Pfeil</v>
      </c>
      <c r="G270" s="62" t="str">
        <f t="shared" si="4"/>
        <v/>
      </c>
    </row>
    <row r="271" spans="1:7" x14ac:dyDescent="0.25">
      <c r="A271" s="11">
        <v>317</v>
      </c>
      <c r="B271" s="8" t="str">
        <f>VLOOKUP(A271,'Sets (lua data)'!$A$3:$C$9920,3,FALSE)</f>
        <v>Destructive Impact</v>
      </c>
      <c r="C271" s="8" t="str">
        <f>VLOOKUP(A271,'Sets (lua data)'!$A$3:$C$9920,2,FALSE)</f>
        <v>Zerstörerischer Einschlag</v>
      </c>
      <c r="G271" s="62" t="str">
        <f t="shared" si="4"/>
        <v/>
      </c>
    </row>
    <row r="272" spans="1:7" x14ac:dyDescent="0.25">
      <c r="A272" s="11">
        <v>318</v>
      </c>
      <c r="B272" s="8" t="str">
        <f>VLOOKUP(A272,'Sets (lua data)'!$A$3:$C$9920,3,FALSE)</f>
        <v>Grand Rejuvenation</v>
      </c>
      <c r="C272" s="8" t="str">
        <f>VLOOKUP(A272,'Sets (lua data)'!$A$3:$C$9920,2,FALSE)</f>
        <v>Große Verjüngung</v>
      </c>
      <c r="G272" s="62" t="str">
        <f t="shared" si="4"/>
        <v/>
      </c>
    </row>
    <row r="273" spans="1:7" x14ac:dyDescent="0.25">
      <c r="A273" s="11">
        <v>320</v>
      </c>
      <c r="B273" s="8" t="str">
        <f>VLOOKUP(A273,'Sets (lua data)'!$A$3:$C$9920,3,FALSE)</f>
        <v>War Maiden</v>
      </c>
      <c r="C273" s="8" t="str">
        <f>VLOOKUP(A273,'Sets (lua data)'!$A$3:$C$9920,2,FALSE)</f>
        <v>Kriegsjungfer</v>
      </c>
      <c r="G273" s="62" t="str">
        <f t="shared" si="4"/>
        <v/>
      </c>
    </row>
    <row r="274" spans="1:7" x14ac:dyDescent="0.25">
      <c r="A274" s="11">
        <v>321</v>
      </c>
      <c r="B274" s="8" t="str">
        <f>VLOOKUP(A274,'Sets (lua data)'!$A$3:$C$9920,3,FALSE)</f>
        <v>Defiler</v>
      </c>
      <c r="C274" s="8" t="str">
        <f>VLOOKUP(A274,'Sets (lua data)'!$A$3:$C$9920,2,FALSE)</f>
        <v>Schänder</v>
      </c>
      <c r="G274" s="62" t="str">
        <f t="shared" si="4"/>
        <v/>
      </c>
    </row>
    <row r="275" spans="1:7" x14ac:dyDescent="0.25">
      <c r="A275" s="11">
        <v>322</v>
      </c>
      <c r="B275" s="8" t="str">
        <f>VLOOKUP(A275,'Sets (lua data)'!$A$3:$C$9920,3,FALSE)</f>
        <v>Warrior-Poet</v>
      </c>
      <c r="C275" s="8" t="str">
        <f>VLOOKUP(A275,'Sets (lua data)'!$A$3:$C$9920,2,FALSE)</f>
        <v>Kriegerpoet</v>
      </c>
      <c r="G275" s="62" t="str">
        <f t="shared" si="4"/>
        <v/>
      </c>
    </row>
    <row r="276" spans="1:7" x14ac:dyDescent="0.25">
      <c r="A276" s="5">
        <v>323</v>
      </c>
      <c r="B276" s="8" t="str">
        <f>VLOOKUP(A276,'Sets (lua data)'!$A$3:$C$9920,3,FALSE)</f>
        <v>Assassin\'s Guile</v>
      </c>
      <c r="C276" s="8" t="str">
        <f>VLOOKUP(A276,'Sets (lua data)'!$A$3:$C$9920,2,FALSE)</f>
        <v>Assassinenlist</v>
      </c>
      <c r="G276" s="62" t="str">
        <f t="shared" si="4"/>
        <v/>
      </c>
    </row>
    <row r="277" spans="1:7" x14ac:dyDescent="0.25">
      <c r="A277" s="5">
        <v>324</v>
      </c>
      <c r="B277" s="8" t="str">
        <f>VLOOKUP(A277,'Sets (lua data)'!$A$3:$C$9920,3,FALSE)</f>
        <v>Daedric Trickery</v>
      </c>
      <c r="C277" s="8" t="str">
        <f>VLOOKUP(A277,'Sets (lua data)'!$A$3:$C$9920,2,FALSE)</f>
        <v>Daedrische Gaunerei</v>
      </c>
      <c r="G277" s="62" t="str">
        <f t="shared" si="4"/>
        <v/>
      </c>
    </row>
    <row r="278" spans="1:7" x14ac:dyDescent="0.25">
      <c r="A278" s="5">
        <v>325</v>
      </c>
      <c r="B278" s="8" t="str">
        <f>VLOOKUP(A278,'Sets (lua data)'!$A$3:$C$9920,3,FALSE)</f>
        <v>Shacklebreaker</v>
      </c>
      <c r="C278" s="8" t="str">
        <f>VLOOKUP(A278,'Sets (lua data)'!$A$3:$C$9920,2,FALSE)</f>
        <v>Kettensprenger</v>
      </c>
      <c r="G278" s="62" t="str">
        <f t="shared" si="4"/>
        <v/>
      </c>
    </row>
    <row r="279" spans="1:7" x14ac:dyDescent="0.25">
      <c r="A279" s="11">
        <v>326</v>
      </c>
      <c r="B279" s="8" t="str">
        <f>VLOOKUP(A279,'Sets (lua data)'!$A$3:$C$9920,3,FALSE)</f>
        <v>Vanguard\'s Challenge</v>
      </c>
      <c r="C279" s="8" t="str">
        <f>VLOOKUP(A279,'Sets (lua data)'!$A$3:$C$9920,2,FALSE)</f>
        <v>Vorhutdisput</v>
      </c>
      <c r="G279" s="62" t="str">
        <f t="shared" si="4"/>
        <v/>
      </c>
    </row>
    <row r="280" spans="1:7" x14ac:dyDescent="0.25">
      <c r="A280" s="11">
        <v>327</v>
      </c>
      <c r="B280" s="8" t="str">
        <f>VLOOKUP(A280,'Sets (lua data)'!$A$3:$C$9920,3,FALSE)</f>
        <v>Coward\'s Gear</v>
      </c>
      <c r="C280" s="8" t="str">
        <f>VLOOKUP(A280,'Sets (lua data)'!$A$3:$C$9920,2,FALSE)</f>
        <v>Feiglingstracht</v>
      </c>
      <c r="G280" s="62" t="str">
        <f t="shared" si="4"/>
        <v/>
      </c>
    </row>
    <row r="281" spans="1:7" x14ac:dyDescent="0.25">
      <c r="A281" s="11">
        <v>328</v>
      </c>
      <c r="B281" s="8" t="str">
        <f>VLOOKUP(A281,'Sets (lua data)'!$A$3:$C$9920,3,FALSE)</f>
        <v>Knight Slayer</v>
      </c>
      <c r="C281" s="8" t="str">
        <f>VLOOKUP(A281,'Sets (lua data)'!$A$3:$C$9920,2,FALSE)</f>
        <v>Ritterschlächter</v>
      </c>
      <c r="G281" s="62" t="str">
        <f t="shared" si="4"/>
        <v/>
      </c>
    </row>
    <row r="282" spans="1:7" x14ac:dyDescent="0.25">
      <c r="A282" s="11">
        <v>329</v>
      </c>
      <c r="B282" s="8" t="str">
        <f>VLOOKUP(A282,'Sets (lua data)'!$A$3:$C$9920,3,FALSE)</f>
        <v>Wizard\'s Riposte</v>
      </c>
      <c r="C282" s="8" t="str">
        <f>VLOOKUP(A282,'Sets (lua data)'!$A$3:$C$9920,2,FALSE)</f>
        <v>Zaubererreplik</v>
      </c>
      <c r="G282" s="62" t="str">
        <f t="shared" si="4"/>
        <v/>
      </c>
    </row>
    <row r="283" spans="1:7" x14ac:dyDescent="0.25">
      <c r="A283" s="11">
        <v>330</v>
      </c>
      <c r="B283" s="8" t="str">
        <f>VLOOKUP(A283,'Sets (lua data)'!$A$3:$C$9920,3,FALSE)</f>
        <v>Automated Defense</v>
      </c>
      <c r="C283" s="8" t="str">
        <f>VLOOKUP(A283,'Sets (lua data)'!$A$3:$C$9920,2,FALSE)</f>
        <v>Automatisierte Verteidigung</v>
      </c>
      <c r="G283" s="62" t="str">
        <f t="shared" si="4"/>
        <v/>
      </c>
    </row>
    <row r="284" spans="1:7" x14ac:dyDescent="0.25">
      <c r="A284" s="11">
        <v>331</v>
      </c>
      <c r="B284" s="8" t="str">
        <f>VLOOKUP(A284,'Sets (lua data)'!$A$3:$C$9920,3,FALSE)</f>
        <v>War Machine</v>
      </c>
      <c r="C284" s="8" t="str">
        <f>VLOOKUP(A284,'Sets (lua data)'!$A$3:$C$9920,2,FALSE)</f>
        <v>Kriegsmaschine</v>
      </c>
      <c r="G284" s="62" t="str">
        <f t="shared" si="4"/>
        <v/>
      </c>
    </row>
    <row r="285" spans="1:7" x14ac:dyDescent="0.25">
      <c r="A285" s="11">
        <v>332</v>
      </c>
      <c r="B285" s="8" t="str">
        <f>VLOOKUP(A285,'Sets (lua data)'!$A$3:$C$9920,3,FALSE)</f>
        <v>Master Architect</v>
      </c>
      <c r="C285" s="8" t="str">
        <f>VLOOKUP(A285,'Sets (lua data)'!$A$3:$C$9920,2,FALSE)</f>
        <v>Meisterarchitekt</v>
      </c>
      <c r="G285" s="62" t="str">
        <f t="shared" si="4"/>
        <v/>
      </c>
    </row>
    <row r="286" spans="1:7" x14ac:dyDescent="0.25">
      <c r="A286" s="11">
        <v>333</v>
      </c>
      <c r="B286" s="8" t="str">
        <f>VLOOKUP(A286,'Sets (lua data)'!$A$3:$C$9920,3,FALSE)</f>
        <v>Inventor\'s Guard</v>
      </c>
      <c r="C286" s="8" t="str">
        <f>VLOOKUP(A286,'Sets (lua data)'!$A$3:$C$9920,2,FALSE)</f>
        <v>Erfindergarde</v>
      </c>
      <c r="G286" s="62" t="str">
        <f t="shared" si="4"/>
        <v/>
      </c>
    </row>
    <row r="287" spans="1:7" x14ac:dyDescent="0.25">
      <c r="A287" s="11">
        <v>334</v>
      </c>
      <c r="B287" s="8" t="str">
        <f>VLOOKUP(A287,'Sets (lua data)'!$A$3:$C$9920,3,FALSE)</f>
        <v>Impregnable Armor</v>
      </c>
      <c r="C287" s="8" t="str">
        <f>VLOOKUP(A287,'Sets (lua data)'!$A$3:$C$9920,2,FALSE)</f>
        <v>Unüberwindliche Rüstung</v>
      </c>
      <c r="G287" s="62" t="str">
        <f t="shared" si="4"/>
        <v/>
      </c>
    </row>
    <row r="288" spans="1:7" x14ac:dyDescent="0.25">
      <c r="A288" s="11">
        <v>335</v>
      </c>
      <c r="B288" s="8" t="str">
        <f>VLOOKUP(A288,'Sets (lua data)'!$A$3:$C$9920,3,FALSE)</f>
        <v>Draugr\'s Rest</v>
      </c>
      <c r="C288" s="8" t="str">
        <f>VLOOKUP(A288,'Sets (lua data)'!$A$3:$C$9920,2,FALSE)</f>
        <v>Draugrruhe</v>
      </c>
      <c r="G288" s="62" t="str">
        <f t="shared" si="4"/>
        <v/>
      </c>
    </row>
    <row r="289" spans="1:7" x14ac:dyDescent="0.25">
      <c r="A289" s="11">
        <v>336</v>
      </c>
      <c r="B289" s="8" t="str">
        <f>VLOOKUP(A289,'Sets (lua data)'!$A$3:$C$9920,3,FALSE)</f>
        <v>Pillar of Nirn</v>
      </c>
      <c r="C289" s="8" t="str">
        <f>VLOOKUP(A289,'Sets (lua data)'!$A$3:$C$9920,2,FALSE)</f>
        <v>Säulen von Nirn</v>
      </c>
      <c r="G289" s="62" t="str">
        <f t="shared" si="4"/>
        <v/>
      </c>
    </row>
    <row r="290" spans="1:7" x14ac:dyDescent="0.25">
      <c r="A290" s="11">
        <v>337</v>
      </c>
      <c r="B290" s="8" t="str">
        <f>VLOOKUP(A290,'Sets (lua data)'!$A$3:$C$9920,3,FALSE)</f>
        <v>Ironblood</v>
      </c>
      <c r="C290" s="8" t="str">
        <f>VLOOKUP(A290,'Sets (lua data)'!$A$3:$C$9920,2,FALSE)</f>
        <v>Eisenblut</v>
      </c>
      <c r="G290" s="62" t="str">
        <f t="shared" si="4"/>
        <v/>
      </c>
    </row>
    <row r="291" spans="1:7" x14ac:dyDescent="0.25">
      <c r="A291" s="11">
        <v>338</v>
      </c>
      <c r="B291" s="8" t="str">
        <f>VLOOKUP(A291,'Sets (lua data)'!$A$3:$C$9920,3,FALSE)</f>
        <v>Flame Blossom</v>
      </c>
      <c r="C291" s="8" t="str">
        <f>VLOOKUP(A291,'Sets (lua data)'!$A$3:$C$9920,2,FALSE)</f>
        <v>Flammenblüte</v>
      </c>
      <c r="G291" s="62" t="str">
        <f t="shared" si="4"/>
        <v/>
      </c>
    </row>
    <row r="292" spans="1:7" x14ac:dyDescent="0.25">
      <c r="A292" s="11">
        <v>339</v>
      </c>
      <c r="B292" s="8" t="str">
        <f>VLOOKUP(A292,'Sets (lua data)'!$A$3:$C$9920,3,FALSE)</f>
        <v>Blooddrinker</v>
      </c>
      <c r="C292" s="8" t="str">
        <f>VLOOKUP(A292,'Sets (lua data)'!$A$3:$C$9920,2,FALSE)</f>
        <v>Bluttrinker</v>
      </c>
      <c r="G292" s="62" t="str">
        <f t="shared" si="4"/>
        <v/>
      </c>
    </row>
    <row r="293" spans="1:7" x14ac:dyDescent="0.25">
      <c r="A293" s="11">
        <v>340</v>
      </c>
      <c r="B293" s="8" t="str">
        <f>VLOOKUP(A293,'Sets (lua data)'!$A$3:$C$9920,3,FALSE)</f>
        <v>Hagraven\'s Garden</v>
      </c>
      <c r="C293" s="8" t="str">
        <f>VLOOKUP(A293,'Sets (lua data)'!$A$3:$C$9920,2,FALSE)</f>
        <v>Vettelgarten</v>
      </c>
      <c r="G293" s="62" t="str">
        <f t="shared" si="4"/>
        <v/>
      </c>
    </row>
    <row r="294" spans="1:7" ht="105" x14ac:dyDescent="0.25">
      <c r="A294" s="5">
        <v>341</v>
      </c>
      <c r="B294" s="8" t="str">
        <f>VLOOKUP(A294,'Sets (lua data)'!$A$3:$C$9920,3,FALSE)</f>
        <v>Earthgore</v>
      </c>
      <c r="C294" s="8" t="str">
        <f>VLOOKUP(A294,'Sets (lua data)'!$A$3:$C$9920,2,FALSE)</f>
        <v>Erdbluter</v>
      </c>
      <c r="D294" s="20" t="s">
        <v>2161</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data)'!$A$3:$C$9920,3,FALSE)</f>
        <v>Domihaus</v>
      </c>
      <c r="C295" s="8" t="str">
        <f>VLOOKUP(A295,'Sets (lua data)'!$A$3:$C$9920,2,FALSE)</f>
        <v>Domihaus</v>
      </c>
      <c r="G295" s="62" t="str">
        <f t="shared" si="4"/>
        <v/>
      </c>
    </row>
    <row r="296" spans="1:7" x14ac:dyDescent="0.25">
      <c r="A296" s="11">
        <v>343</v>
      </c>
      <c r="B296" s="8" t="str">
        <f>VLOOKUP(A296,'Sets (lua data)'!$A$3:$C$9920,3,FALSE)</f>
        <v>Caluurion\'s Legacy</v>
      </c>
      <c r="C296" s="8" t="str">
        <f>VLOOKUP(A296,'Sets (lua data)'!$A$3:$C$9920,2,FALSE)</f>
        <v>Caluurions Erbe</v>
      </c>
      <c r="G296" s="62" t="str">
        <f t="shared" si="4"/>
        <v/>
      </c>
    </row>
    <row r="297" spans="1:7" x14ac:dyDescent="0.25">
      <c r="A297" s="11">
        <v>344</v>
      </c>
      <c r="B297" s="8" t="str">
        <f>VLOOKUP(A297,'Sets (lua data)'!$A$3:$C$9920,3,FALSE)</f>
        <v>Trappings of Invigoration</v>
      </c>
      <c r="C297" s="8" t="str">
        <f>VLOOKUP(A297,'Sets (lua data)'!$A$3:$C$9920,2,FALSE)</f>
        <v>Stärkungsprunk</v>
      </c>
      <c r="G297" s="62" t="str">
        <f t="shared" si="4"/>
        <v/>
      </c>
    </row>
    <row r="298" spans="1:7" x14ac:dyDescent="0.25">
      <c r="A298" s="11">
        <v>345</v>
      </c>
      <c r="B298" s="8" t="str">
        <f>VLOOKUP(A298,'Sets (lua data)'!$A$3:$C$9920,3,FALSE)</f>
        <v>Ulfnor\'s Favor</v>
      </c>
      <c r="C298" s="8" t="str">
        <f>VLOOKUP(A298,'Sets (lua data)'!$A$3:$C$9920,2,FALSE)</f>
        <v>Ulfnors Gunst</v>
      </c>
      <c r="G298" s="62" t="str">
        <f t="shared" si="4"/>
        <v/>
      </c>
    </row>
    <row r="299" spans="1:7" x14ac:dyDescent="0.25">
      <c r="A299" s="11">
        <v>346</v>
      </c>
      <c r="B299" s="8" t="str">
        <f>VLOOKUP(A299,'Sets (lua data)'!$A$3:$C$9920,3,FALSE)</f>
        <v>Jorvuld\'s Guidance</v>
      </c>
      <c r="C299" s="8" t="str">
        <f>VLOOKUP(A299,'Sets (lua data)'!$A$3:$C$9920,2,FALSE)</f>
        <v>Jorvulds Führung</v>
      </c>
      <c r="G299" s="62" t="str">
        <f t="shared" si="4"/>
        <v/>
      </c>
    </row>
    <row r="300" spans="1:7" x14ac:dyDescent="0.25">
      <c r="A300" s="11">
        <v>347</v>
      </c>
      <c r="B300" s="8" t="str">
        <f>VLOOKUP(A300,'Sets (lua data)'!$A$3:$C$9920,3,FALSE)</f>
        <v>Plague Slinger</v>
      </c>
      <c r="C300" s="8" t="str">
        <f>VLOOKUP(A300,'Sets (lua data)'!$A$3:$C$9920,2,FALSE)</f>
        <v>Seuchenschleuder</v>
      </c>
      <c r="G300" s="62" t="str">
        <f t="shared" si="4"/>
        <v/>
      </c>
    </row>
    <row r="301" spans="1:7" x14ac:dyDescent="0.25">
      <c r="A301" s="11">
        <v>348</v>
      </c>
      <c r="B301" s="8" t="str">
        <f>VLOOKUP(A301,'Sets (lua data)'!$A$3:$C$9920,3,FALSE)</f>
        <v>Curse of Doylemish</v>
      </c>
      <c r="C301" s="8" t="str">
        <f>VLOOKUP(A301,'Sets (lua data)'!$A$3:$C$9920,2,FALSE)</f>
        <v>Fluch von Doylemish</v>
      </c>
      <c r="G301" s="62" t="str">
        <f t="shared" si="4"/>
        <v/>
      </c>
    </row>
    <row r="302" spans="1:7" x14ac:dyDescent="0.25">
      <c r="A302" s="5">
        <v>349</v>
      </c>
      <c r="B302" s="8" t="str">
        <f>VLOOKUP(A302,'Sets (lua data)'!$A$3:$C$9920,3,FALSE)</f>
        <v>Thurvokun</v>
      </c>
      <c r="C302" s="8" t="str">
        <f>VLOOKUP(A302,'Sets (lua data)'!$A$3:$C$9920,2,FALSE)</f>
        <v>Thurvokun</v>
      </c>
      <c r="G302" s="62" t="str">
        <f t="shared" si="4"/>
        <v/>
      </c>
    </row>
    <row r="303" spans="1:7" x14ac:dyDescent="0.25">
      <c r="A303" s="5">
        <v>350</v>
      </c>
      <c r="B303" s="8" t="str">
        <f>VLOOKUP(A303,'Sets (lua data)'!$A$3:$C$9920,3,FALSE)</f>
        <v>Zaan</v>
      </c>
      <c r="C303" s="8" t="str">
        <f>VLOOKUP(A303,'Sets (lua data)'!$A$3:$C$9920,2,FALSE)</f>
        <v>Zaan</v>
      </c>
      <c r="G303" s="62" t="str">
        <f t="shared" si="4"/>
        <v/>
      </c>
    </row>
    <row r="304" spans="1:7" x14ac:dyDescent="0.25">
      <c r="A304" s="5">
        <v>351</v>
      </c>
      <c r="B304" s="8" t="str">
        <f>VLOOKUP(A304,'Sets (lua data)'!$A$3:$C$9920,3,FALSE)</f>
        <v>Innate Axiom</v>
      </c>
      <c r="C304" s="8" t="str">
        <f>VLOOKUP(A304,'Sets (lua data)'!$A$3:$C$9920,2,FALSE)</f>
        <v>Kernaxiom</v>
      </c>
      <c r="G304" s="62" t="str">
        <f t="shared" si="4"/>
        <v/>
      </c>
    </row>
    <row r="305" spans="1:7" x14ac:dyDescent="0.25">
      <c r="A305" s="5">
        <v>352</v>
      </c>
      <c r="B305" s="8" t="str">
        <f>VLOOKUP(A305,'Sets (lua data)'!$A$3:$C$9920,3,FALSE)</f>
        <v>Fortified Brass</v>
      </c>
      <c r="C305" s="8" t="str">
        <f>VLOOKUP(A305,'Sets (lua data)'!$A$3:$C$9920,2,FALSE)</f>
        <v>Messingpanzer</v>
      </c>
      <c r="G305" s="62" t="str">
        <f t="shared" si="4"/>
        <v/>
      </c>
    </row>
    <row r="306" spans="1:7" ht="105" x14ac:dyDescent="0.25">
      <c r="A306" s="5">
        <v>353</v>
      </c>
      <c r="B306" s="8" t="str">
        <f>VLOOKUP(A306,'Sets (lua data)'!$A$3:$C$9920,3,FALSE)</f>
        <v>Mechanical Acuity</v>
      </c>
      <c r="C306" s="8" t="str">
        <f>VLOOKUP(A306,'Sets (lua data)'!$A$3:$C$9920,2,FALSE)</f>
        <v>Mechanikblick</v>
      </c>
      <c r="D306" s="20" t="s">
        <v>2162</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data)'!$A$3:$C$9920,3,FALSE)</f>
        <v>Mad Tinkerer</v>
      </c>
      <c r="C307" s="8" t="str">
        <f>VLOOKUP(A307,'Sets (lua data)'!$A$3:$C$9920,2,FALSE)</f>
        <v>Wahntüftler</v>
      </c>
      <c r="G307" s="62" t="str">
        <f t="shared" si="4"/>
        <v/>
      </c>
    </row>
    <row r="308" spans="1:7" x14ac:dyDescent="0.25">
      <c r="A308" s="11">
        <v>355</v>
      </c>
      <c r="B308" s="8" t="str">
        <f>VLOOKUP(A308,'Sets (lua data)'!$A$3:$C$9920,3,FALSE)</f>
        <v>Unfathomable Darkness</v>
      </c>
      <c r="C308" s="8" t="str">
        <f>VLOOKUP(A308,'Sets (lua data)'!$A$3:$C$9920,2,FALSE)</f>
        <v>Unermessliche Dunkelheit</v>
      </c>
      <c r="G308" s="62" t="str">
        <f t="shared" si="4"/>
        <v/>
      </c>
    </row>
    <row r="309" spans="1:7" x14ac:dyDescent="0.25">
      <c r="A309" s="11">
        <v>356</v>
      </c>
      <c r="B309" s="8" t="str">
        <f>VLOOKUP(A309,'Sets (lua data)'!$A$3:$C$9920,3,FALSE)</f>
        <v>Livewire</v>
      </c>
      <c r="C309" s="8" t="str">
        <f>VLOOKUP(A309,'Sets (lua data)'!$A$3:$C$9920,2,FALSE)</f>
        <v>Stromschlag</v>
      </c>
      <c r="G309" s="62" t="str">
        <f t="shared" si="4"/>
        <v/>
      </c>
    </row>
    <row r="310" spans="1:7" x14ac:dyDescent="0.25">
      <c r="A310" s="11">
        <v>357</v>
      </c>
      <c r="B310" s="8" t="str">
        <f>VLOOKUP(A310,'Sets (lua data)'!$A$3:$C$9920,3,FALSE)</f>
        <v>Perfected Disciplined Slash</v>
      </c>
      <c r="C310" s="8" t="str">
        <f>VLOOKUP(A310,'Sets (lua data)'!$A$3:$C$9920,2,FALSE)</f>
        <v>Vollendeter Disziplinierter Schnitt</v>
      </c>
      <c r="G310" s="62" t="str">
        <f t="shared" si="4"/>
        <v/>
      </c>
    </row>
    <row r="311" spans="1:7" x14ac:dyDescent="0.25">
      <c r="A311" s="11">
        <v>358</v>
      </c>
      <c r="B311" s="8" t="str">
        <f>VLOOKUP(A311,'Sets (lua data)'!$A$3:$C$9920,3,FALSE)</f>
        <v>Perfected Defensive Position</v>
      </c>
      <c r="C311" s="8" t="str">
        <f>VLOOKUP(A311,'Sets (lua data)'!$A$3:$C$9920,2,FALSE)</f>
        <v>Vollendete Defensive Position</v>
      </c>
      <c r="G311" s="62" t="str">
        <f t="shared" si="4"/>
        <v/>
      </c>
    </row>
    <row r="312" spans="1:7" x14ac:dyDescent="0.25">
      <c r="A312" s="11">
        <v>359</v>
      </c>
      <c r="B312" s="8" t="str">
        <f>VLOOKUP(A312,'Sets (lua data)'!$A$3:$C$9920,3,FALSE)</f>
        <v>Perfected Chaotic Whirlwind</v>
      </c>
      <c r="C312" s="8" t="str">
        <f>VLOOKUP(A312,'Sets (lua data)'!$A$3:$C$9920,2,FALSE)</f>
        <v>Vollendeter Chaotischer Wirbelwind</v>
      </c>
      <c r="G312" s="62" t="str">
        <f t="shared" si="4"/>
        <v/>
      </c>
    </row>
    <row r="313" spans="1:7" x14ac:dyDescent="0.25">
      <c r="A313" s="11">
        <v>360</v>
      </c>
      <c r="B313" s="8" t="str">
        <f>VLOOKUP(A313,'Sets (lua data)'!$A$3:$C$9920,3,FALSE)</f>
        <v>Perfected Piercing Spray</v>
      </c>
      <c r="C313" s="8" t="str">
        <f>VLOOKUP(A313,'Sets (lua data)'!$A$3:$C$9920,2,FALSE)</f>
        <v>Vollendete Durchdringende Salve</v>
      </c>
      <c r="G313" s="62" t="str">
        <f t="shared" si="4"/>
        <v/>
      </c>
    </row>
    <row r="314" spans="1:7" x14ac:dyDescent="0.25">
      <c r="A314" s="11">
        <v>361</v>
      </c>
      <c r="B314" s="8" t="str">
        <f>VLOOKUP(A314,'Sets (lua data)'!$A$3:$C$9920,3,FALSE)</f>
        <v>Perfected Concentrated Force</v>
      </c>
      <c r="C314" s="8" t="str">
        <f>VLOOKUP(A314,'Sets (lua data)'!$A$3:$C$9920,2,FALSE)</f>
        <v>Vollendete Konzentrierte Kraft</v>
      </c>
      <c r="G314" s="62" t="str">
        <f t="shared" si="4"/>
        <v/>
      </c>
    </row>
    <row r="315" spans="1:7" x14ac:dyDescent="0.25">
      <c r="A315" s="11">
        <v>362</v>
      </c>
      <c r="B315" s="8" t="str">
        <f>VLOOKUP(A315,'Sets (lua data)'!$A$3:$C$9920,3,FALSE)</f>
        <v>Perfected Timeless Blessing</v>
      </c>
      <c r="C315" s="8" t="str">
        <f>VLOOKUP(A315,'Sets (lua data)'!$A$3:$C$9920,2,FALSE)</f>
        <v>Vollendeter Zeitloser Segen</v>
      </c>
      <c r="G315" s="62" t="str">
        <f t="shared" si="4"/>
        <v/>
      </c>
    </row>
    <row r="316" spans="1:7" x14ac:dyDescent="0.25">
      <c r="A316" s="11">
        <v>363</v>
      </c>
      <c r="B316" s="8" t="str">
        <f>VLOOKUP(A316,'Sets (lua data)'!$A$3:$C$9920,3,FALSE)</f>
        <v>Disciplined Slash</v>
      </c>
      <c r="C316" s="8" t="str">
        <f>VLOOKUP(A316,'Sets (lua data)'!$A$3:$C$9920,2,FALSE)</f>
        <v>Disziplinierter Schnitt</v>
      </c>
      <c r="G316" s="62" t="str">
        <f t="shared" si="4"/>
        <v/>
      </c>
    </row>
    <row r="317" spans="1:7" x14ac:dyDescent="0.25">
      <c r="A317" s="11">
        <v>364</v>
      </c>
      <c r="B317" s="8" t="str">
        <f>VLOOKUP(A317,'Sets (lua data)'!$A$3:$C$9920,3,FALSE)</f>
        <v>Defensive Position</v>
      </c>
      <c r="C317" s="8" t="str">
        <f>VLOOKUP(A317,'Sets (lua data)'!$A$3:$C$9920,2,FALSE)</f>
        <v>Defensive Position</v>
      </c>
      <c r="G317" s="62" t="str">
        <f t="shared" si="4"/>
        <v/>
      </c>
    </row>
    <row r="318" spans="1:7" x14ac:dyDescent="0.25">
      <c r="A318" s="11">
        <v>365</v>
      </c>
      <c r="B318" s="8" t="str">
        <f>VLOOKUP(A318,'Sets (lua data)'!$A$3:$C$9920,3,FALSE)</f>
        <v>Chaotic Whirlwind</v>
      </c>
      <c r="C318" s="8" t="str">
        <f>VLOOKUP(A318,'Sets (lua data)'!$A$3:$C$9920,2,FALSE)</f>
        <v>Chaotischer Wirbelwind</v>
      </c>
      <c r="G318" s="62" t="str">
        <f t="shared" si="4"/>
        <v/>
      </c>
    </row>
    <row r="319" spans="1:7" x14ac:dyDescent="0.25">
      <c r="A319" s="11">
        <v>366</v>
      </c>
      <c r="B319" s="8" t="str">
        <f>VLOOKUP(A319,'Sets (lua data)'!$A$3:$C$9920,3,FALSE)</f>
        <v>Piercing Spray</v>
      </c>
      <c r="C319" s="8" t="str">
        <f>VLOOKUP(A319,'Sets (lua data)'!$A$3:$C$9920,2,FALSE)</f>
        <v>Durchdringende Salve</v>
      </c>
      <c r="G319" s="62" t="str">
        <f t="shared" si="4"/>
        <v/>
      </c>
    </row>
    <row r="320" spans="1:7" x14ac:dyDescent="0.25">
      <c r="A320" s="11">
        <v>367</v>
      </c>
      <c r="B320" s="8" t="str">
        <f>VLOOKUP(A320,'Sets (lua data)'!$A$3:$C$9920,3,FALSE)</f>
        <v>Concentrated Force</v>
      </c>
      <c r="C320" s="8" t="str">
        <f>VLOOKUP(A320,'Sets (lua data)'!$A$3:$C$9920,2,FALSE)</f>
        <v>Konzentrierte Kraft</v>
      </c>
      <c r="G320" s="62" t="str">
        <f t="shared" ref="G320:G383" si="5">IF(AND(A320&lt;&gt;"",NOT(ISERROR(A320)),ISNUMBER(A320),D320&lt;&gt;""),CONCATENATE("[",A320,"] = {",D320,"},","     --",B320," -&gt; ",E320," / ",F320),"")</f>
        <v/>
      </c>
    </row>
    <row r="321" spans="1:7" x14ac:dyDescent="0.25">
      <c r="A321" s="11">
        <v>368</v>
      </c>
      <c r="B321" s="8" t="str">
        <f>VLOOKUP(A321,'Sets (lua data)'!$A$3:$C$9920,3,FALSE)</f>
        <v>Timeless Blessing</v>
      </c>
      <c r="C321" s="8" t="str">
        <f>VLOOKUP(A321,'Sets (lua data)'!$A$3:$C$9920,2,FALSE)</f>
        <v>Zeitloser Segen</v>
      </c>
      <c r="G321" s="62" t="str">
        <f t="shared" si="5"/>
        <v/>
      </c>
    </row>
    <row r="322" spans="1:7" x14ac:dyDescent="0.25">
      <c r="A322" s="11">
        <v>369</v>
      </c>
      <c r="B322" s="8" t="str">
        <f>VLOOKUP(A322,'Sets (lua data)'!$A$3:$C$9920,3,FALSE)</f>
        <v>Merciless Charge</v>
      </c>
      <c r="C322" s="8" t="str">
        <f>VLOOKUP(A322,'Sets (lua data)'!$A$3:$C$9920,2,FALSE)</f>
        <v>Gnadenloser Ansturm</v>
      </c>
      <c r="G322" s="62" t="str">
        <f t="shared" si="5"/>
        <v/>
      </c>
    </row>
    <row r="323" spans="1:7" x14ac:dyDescent="0.25">
      <c r="A323" s="11">
        <v>370</v>
      </c>
      <c r="B323" s="8" t="str">
        <f>VLOOKUP(A323,'Sets (lua data)'!$A$3:$C$9920,3,FALSE)</f>
        <v>Rampaging Slash</v>
      </c>
      <c r="C323" s="8" t="str">
        <f>VLOOKUP(A323,'Sets (lua data)'!$A$3:$C$9920,2,FALSE)</f>
        <v>Tobender Schnitt</v>
      </c>
      <c r="G323" s="62" t="str">
        <f t="shared" si="5"/>
        <v/>
      </c>
    </row>
    <row r="324" spans="1:7" x14ac:dyDescent="0.25">
      <c r="A324" s="11">
        <v>371</v>
      </c>
      <c r="B324" s="8" t="str">
        <f>VLOOKUP(A324,'Sets (lua data)'!$A$3:$C$9920,3,FALSE)</f>
        <v>Cruel Flurry</v>
      </c>
      <c r="C324" s="8" t="str">
        <f>VLOOKUP(A324,'Sets (lua data)'!$A$3:$C$9920,2,FALSE)</f>
        <v>Grausamer Schlaghagel</v>
      </c>
      <c r="G324" s="62" t="str">
        <f t="shared" si="5"/>
        <v/>
      </c>
    </row>
    <row r="325" spans="1:7" x14ac:dyDescent="0.25">
      <c r="A325" s="11">
        <v>372</v>
      </c>
      <c r="B325" s="8" t="str">
        <f>VLOOKUP(A325,'Sets (lua data)'!$A$3:$C$9920,3,FALSE)</f>
        <v>Thunderous Volley</v>
      </c>
      <c r="C325" s="8" t="str">
        <f>VLOOKUP(A325,'Sets (lua data)'!$A$3:$C$9920,2,FALSE)</f>
        <v>Donnernde Salve</v>
      </c>
      <c r="G325" s="62" t="str">
        <f t="shared" si="5"/>
        <v/>
      </c>
    </row>
    <row r="326" spans="1:7" x14ac:dyDescent="0.25">
      <c r="A326" s="11">
        <v>373</v>
      </c>
      <c r="B326" s="8" t="str">
        <f>VLOOKUP(A326,'Sets (lua data)'!$A$3:$C$9920,3,FALSE)</f>
        <v>Crushing Wall</v>
      </c>
      <c r="C326" s="8" t="str">
        <f>VLOOKUP(A326,'Sets (lua data)'!$A$3:$C$9920,2,FALSE)</f>
        <v>Zermalmende Mauer</v>
      </c>
      <c r="G326" s="62" t="str">
        <f t="shared" si="5"/>
        <v/>
      </c>
    </row>
    <row r="327" spans="1:7" x14ac:dyDescent="0.25">
      <c r="A327" s="11">
        <v>374</v>
      </c>
      <c r="B327" s="8" t="str">
        <f>VLOOKUP(A327,'Sets (lua data)'!$A$3:$C$9920,3,FALSE)</f>
        <v>Precise Regeneration</v>
      </c>
      <c r="C327" s="8" t="str">
        <f>VLOOKUP(A327,'Sets (lua data)'!$A$3:$C$9920,2,FALSE)</f>
        <v>Präzise Regeneration</v>
      </c>
      <c r="G327" s="62" t="str">
        <f t="shared" si="5"/>
        <v/>
      </c>
    </row>
    <row r="328" spans="1:7" x14ac:dyDescent="0.25">
      <c r="A328" s="11">
        <v>380</v>
      </c>
      <c r="B328" s="8" t="str">
        <f>VLOOKUP(A328,'Sets (lua data)'!$A$3:$C$9920,3,FALSE)</f>
        <v>Prophet\'s</v>
      </c>
      <c r="C328" s="8" t="str">
        <f>VLOOKUP(A328,'Sets (lua data)'!$A$3:$C$9920,2,FALSE)</f>
        <v>Prophet</v>
      </c>
      <c r="G328" s="62" t="str">
        <f t="shared" si="5"/>
        <v/>
      </c>
    </row>
    <row r="329" spans="1:7" x14ac:dyDescent="0.25">
      <c r="A329" s="11">
        <v>381</v>
      </c>
      <c r="B329" s="8" t="str">
        <f>VLOOKUP(A329,'Sets (lua data)'!$A$3:$C$9920,3,FALSE)</f>
        <v>Broken Soul</v>
      </c>
      <c r="C329" s="8" t="str">
        <f>VLOOKUP(A329,'Sets (lua data)'!$A$3:$C$9920,2,FALSE)</f>
        <v>Zerbrochene Seele</v>
      </c>
      <c r="G329" s="62" t="str">
        <f t="shared" si="5"/>
        <v/>
      </c>
    </row>
    <row r="330" spans="1:7" x14ac:dyDescent="0.25">
      <c r="A330" s="11">
        <v>382</v>
      </c>
      <c r="B330" s="8" t="str">
        <f>VLOOKUP(A330,'Sets (lua data)'!$A$3:$C$9920,3,FALSE)</f>
        <v>Grace of Gloom</v>
      </c>
      <c r="C330" s="8" t="str">
        <f>VLOOKUP(A330,'Sets (lua data)'!$A$3:$C$9920,2,FALSE)</f>
        <v>Anmut der Gräue</v>
      </c>
      <c r="G330" s="62" t="str">
        <f t="shared" si="5"/>
        <v/>
      </c>
    </row>
    <row r="331" spans="1:7" x14ac:dyDescent="0.25">
      <c r="A331" s="11">
        <v>383</v>
      </c>
      <c r="B331" s="8" t="str">
        <f>VLOOKUP(A331,'Sets (lua data)'!$A$3:$C$9920,3,FALSE)</f>
        <v>Gryphon\'s Ferocity</v>
      </c>
      <c r="C331" s="8" t="str">
        <f>VLOOKUP(A331,'Sets (lua data)'!$A$3:$C$9920,2,FALSE)</f>
        <v>Wildheit des Greifen</v>
      </c>
      <c r="G331" s="62" t="str">
        <f t="shared" si="5"/>
        <v/>
      </c>
    </row>
    <row r="332" spans="1:7" x14ac:dyDescent="0.25">
      <c r="A332" s="11">
        <v>384</v>
      </c>
      <c r="B332" s="8" t="str">
        <f>VLOOKUP(A332,'Sets (lua data)'!$A$3:$C$9920,3,FALSE)</f>
        <v>Wisdom of Vanus</v>
      </c>
      <c r="C332" s="8" t="str">
        <f>VLOOKUP(A332,'Sets (lua data)'!$A$3:$C$9920,2,FALSE)</f>
        <v>Weisheit von Vanus</v>
      </c>
      <c r="G332" s="62" t="str">
        <f t="shared" si="5"/>
        <v/>
      </c>
    </row>
    <row r="333" spans="1:7" x14ac:dyDescent="0.25">
      <c r="A333" s="5">
        <v>385</v>
      </c>
      <c r="B333" s="8" t="str">
        <f>VLOOKUP(A333,'Sets (lua data)'!$A$3:$C$9920,3,FALSE)</f>
        <v>Adept Rider</v>
      </c>
      <c r="C333" s="8" t="str">
        <f>VLOOKUP(A333,'Sets (lua data)'!$A$3:$C$9920,2,FALSE)</f>
        <v>Versierter Reiter</v>
      </c>
      <c r="G333" s="62" t="str">
        <f t="shared" si="5"/>
        <v/>
      </c>
    </row>
    <row r="334" spans="1:7" x14ac:dyDescent="0.25">
      <c r="A334" s="5">
        <v>386</v>
      </c>
      <c r="B334" s="8" t="str">
        <f>VLOOKUP(A334,'Sets (lua data)'!$A$3:$C$9920,3,FALSE)</f>
        <v>Sload\'s Semblance</v>
      </c>
      <c r="C334" s="8" t="str">
        <f>VLOOKUP(A334,'Sets (lua data)'!$A$3:$C$9920,2,FALSE)</f>
        <v>Kreckenantlitz</v>
      </c>
      <c r="G334" s="62" t="str">
        <f t="shared" si="5"/>
        <v/>
      </c>
    </row>
    <row r="335" spans="1:7" x14ac:dyDescent="0.25">
      <c r="A335" s="5">
        <v>387</v>
      </c>
      <c r="B335" s="8" t="str">
        <f>VLOOKUP(A335,'Sets (lua data)'!$A$3:$C$9920,3,FALSE)</f>
        <v>Nocturnal\'s Favor</v>
      </c>
      <c r="C335" s="8" t="str">
        <f>VLOOKUP(A335,'Sets (lua data)'!$A$3:$C$9920,2,FALSE)</f>
        <v>Nocturnals Gunst</v>
      </c>
      <c r="G335" s="62" t="str">
        <f t="shared" si="5"/>
        <v/>
      </c>
    </row>
    <row r="336" spans="1:7" x14ac:dyDescent="0.25">
      <c r="A336" s="11">
        <v>388</v>
      </c>
      <c r="B336" s="8" t="str">
        <f>VLOOKUP(A336,'Sets (lua data)'!$A$3:$C$9920,3,FALSE)</f>
        <v>Aegis of Galenwe</v>
      </c>
      <c r="C336" s="8" t="str">
        <f>VLOOKUP(A336,'Sets (lua data)'!$A$3:$C$9920,2,FALSE)</f>
        <v>Ägis von Galenwe</v>
      </c>
      <c r="G336" s="62" t="str">
        <f t="shared" si="5"/>
        <v/>
      </c>
    </row>
    <row r="337" spans="1:7" x14ac:dyDescent="0.25">
      <c r="A337" s="11">
        <v>389</v>
      </c>
      <c r="B337" s="8" t="str">
        <f>VLOOKUP(A337,'Sets (lua data)'!$A$3:$C$9920,3,FALSE)</f>
        <v>Arms of Relequen</v>
      </c>
      <c r="C337" s="8" t="str">
        <f>VLOOKUP(A337,'Sets (lua data)'!$A$3:$C$9920,2,FALSE)</f>
        <v>Waffen von Relequen</v>
      </c>
      <c r="G337" s="62" t="str">
        <f t="shared" si="5"/>
        <v/>
      </c>
    </row>
    <row r="338" spans="1:7" x14ac:dyDescent="0.25">
      <c r="A338" s="11">
        <v>390</v>
      </c>
      <c r="B338" s="8" t="str">
        <f>VLOOKUP(A338,'Sets (lua data)'!$A$3:$C$9920,3,FALSE)</f>
        <v>Mantle of Siroria</v>
      </c>
      <c r="C338" s="8" t="str">
        <f>VLOOKUP(A338,'Sets (lua data)'!$A$3:$C$9920,2,FALSE)</f>
        <v>Mantel von Siroria</v>
      </c>
      <c r="G338" s="62" t="str">
        <f t="shared" si="5"/>
        <v/>
      </c>
    </row>
    <row r="339" spans="1:7" ht="105" x14ac:dyDescent="0.25">
      <c r="A339" s="11">
        <v>391</v>
      </c>
      <c r="B339" s="8" t="str">
        <f>VLOOKUP(A339,'Sets (lua data)'!$A$3:$C$9920,3,FALSE)</f>
        <v>Vestment of Olorime</v>
      </c>
      <c r="C339" s="8" t="str">
        <f>VLOOKUP(A339,'Sets (lua data)'!$A$3:$C$9920,2,FALSE)</f>
        <v>Gewandung von Olorime</v>
      </c>
      <c r="D339" s="20" t="s">
        <v>2163</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data)'!$A$3:$C$9920,3,FALSE)</f>
        <v>Perfect Aegis of Galenwe</v>
      </c>
      <c r="C340" s="8" t="str">
        <f>VLOOKUP(A340,'Sets (lua data)'!$A$3:$C$9920,2,FALSE)</f>
        <v>Perfekte Ägis von Galenwe</v>
      </c>
      <c r="G340" s="62" t="str">
        <f t="shared" si="5"/>
        <v/>
      </c>
    </row>
    <row r="341" spans="1:7" x14ac:dyDescent="0.25">
      <c r="A341" s="40">
        <v>393</v>
      </c>
      <c r="B341" s="8" t="str">
        <f>VLOOKUP(A341,'Sets (lua data)'!$A$3:$C$9920,3,FALSE)</f>
        <v>Perfect Arms of Relequen</v>
      </c>
      <c r="C341" s="8" t="str">
        <f>VLOOKUP(A341,'Sets (lua data)'!$A$3:$C$9920,2,FALSE)</f>
        <v>Perfekte Waffen von Relequen</v>
      </c>
      <c r="G341" s="62" t="str">
        <f t="shared" si="5"/>
        <v/>
      </c>
    </row>
    <row r="342" spans="1:7" x14ac:dyDescent="0.25">
      <c r="A342" s="11">
        <v>394</v>
      </c>
      <c r="B342" s="8" t="str">
        <f>VLOOKUP(A342,'Sets (lua data)'!$A$3:$C$9920,3,FALSE)</f>
        <v>Perfect Mantle of Siroria</v>
      </c>
      <c r="C342" s="8" t="str">
        <f>VLOOKUP(A342,'Sets (lua data)'!$A$3:$C$9920,2,FALSE)</f>
        <v>Perfekter Mantel von Siroria</v>
      </c>
      <c r="G342" s="62" t="str">
        <f t="shared" si="5"/>
        <v/>
      </c>
    </row>
    <row r="343" spans="1:7" ht="105" x14ac:dyDescent="0.25">
      <c r="A343" s="11">
        <v>395</v>
      </c>
      <c r="B343" s="8" t="str">
        <f>VLOOKUP(A343,'Sets (lua data)'!$A$3:$C$9920,3,FALSE)</f>
        <v>Perfect Vestment of Olorime</v>
      </c>
      <c r="C343" s="8" t="str">
        <f>VLOOKUP(A343,'Sets (lua data)'!$A$3:$C$9920,2,FALSE)</f>
        <v>Perfekte Gewandung von Olorime</v>
      </c>
      <c r="D343" s="20" t="s">
        <v>2164</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data)'!$A$3:$C$9920,3,FALSE)</f>
        <v>Balorgh</v>
      </c>
      <c r="C344" s="8" t="str">
        <f>VLOOKUP(A344,'Sets (lua data)'!$A$3:$C$9920,2,FALSE)</f>
        <v>Balorgh</v>
      </c>
      <c r="G344" s="62" t="str">
        <f t="shared" si="5"/>
        <v/>
      </c>
    </row>
    <row r="345" spans="1:7" x14ac:dyDescent="0.25">
      <c r="A345" s="5">
        <v>398</v>
      </c>
      <c r="B345" s="8" t="str">
        <f>VLOOKUP(A345,'Sets (lua data)'!$A$3:$C$9920,3,FALSE)</f>
        <v>Vykosa</v>
      </c>
      <c r="C345" s="8" t="str">
        <f>VLOOKUP(A345,'Sets (lua data)'!$A$3:$C$9920,2,FALSE)</f>
        <v>Vykosa</v>
      </c>
      <c r="G345" s="62" t="str">
        <f t="shared" si="5"/>
        <v/>
      </c>
    </row>
    <row r="346" spans="1:7" x14ac:dyDescent="0.25">
      <c r="A346" s="11">
        <v>399</v>
      </c>
      <c r="B346" s="8" t="str">
        <f>VLOOKUP(A346,'Sets (lua data)'!$A$3:$C$9920,3,FALSE)</f>
        <v>Hanu\'s Compassion</v>
      </c>
      <c r="C346" s="8" t="str">
        <f>VLOOKUP(A346,'Sets (lua data)'!$A$3:$C$9920,2,FALSE)</f>
        <v>Hanus Mitgefühl</v>
      </c>
      <c r="G346" s="62" t="str">
        <f t="shared" si="5"/>
        <v/>
      </c>
    </row>
    <row r="347" spans="1:7" x14ac:dyDescent="0.25">
      <c r="A347" s="11">
        <v>400</v>
      </c>
      <c r="B347" s="8" t="str">
        <f>VLOOKUP(A347,'Sets (lua data)'!$A$3:$C$9920,3,FALSE)</f>
        <v>Blood Moon</v>
      </c>
      <c r="C347" s="8" t="str">
        <f>VLOOKUP(A347,'Sets (lua data)'!$A$3:$C$9920,2,FALSE)</f>
        <v>Blutmond</v>
      </c>
      <c r="G347" s="62" t="str">
        <f t="shared" si="5"/>
        <v/>
      </c>
    </row>
    <row r="348" spans="1:7" x14ac:dyDescent="0.25">
      <c r="A348" s="11">
        <v>401</v>
      </c>
      <c r="B348" s="8" t="str">
        <f>VLOOKUP(A348,'Sets (lua data)'!$A$3:$C$9920,3,FALSE)</f>
        <v>Haven of Ursus</v>
      </c>
      <c r="C348" s="8" t="str">
        <f>VLOOKUP(A348,'Sets (lua data)'!$A$3:$C$9920,2,FALSE)</f>
        <v>Zuflucht von Ursus</v>
      </c>
      <c r="G348" s="62" t="str">
        <f t="shared" si="5"/>
        <v/>
      </c>
    </row>
    <row r="349" spans="1:7" x14ac:dyDescent="0.25">
      <c r="A349" s="11">
        <v>402</v>
      </c>
      <c r="B349" s="8" t="str">
        <f>VLOOKUP(A349,'Sets (lua data)'!$A$3:$C$9920,3,FALSE)</f>
        <v>Moon Hunter</v>
      </c>
      <c r="C349" s="8" t="str">
        <f>VLOOKUP(A349,'Sets (lua data)'!$A$3:$C$9920,2,FALSE)</f>
        <v>Mondjäger</v>
      </c>
      <c r="G349" s="62" t="str">
        <f t="shared" si="5"/>
        <v/>
      </c>
    </row>
    <row r="350" spans="1:7" x14ac:dyDescent="0.25">
      <c r="A350" s="11">
        <v>403</v>
      </c>
      <c r="B350" s="8" t="str">
        <f>VLOOKUP(A350,'Sets (lua data)'!$A$3:$C$9920,3,FALSE)</f>
        <v>Savage Werewolf</v>
      </c>
      <c r="C350" s="8" t="str">
        <f>VLOOKUP(A350,'Sets (lua data)'!$A$3:$C$9920,2,FALSE)</f>
        <v>Wilder Werwolf</v>
      </c>
      <c r="G350" s="62" t="str">
        <f t="shared" si="5"/>
        <v/>
      </c>
    </row>
    <row r="351" spans="1:7" x14ac:dyDescent="0.25">
      <c r="A351" s="11">
        <v>404</v>
      </c>
      <c r="B351" s="8" t="str">
        <f>VLOOKUP(A351,'Sets (lua data)'!$A$3:$C$9920,3,FALSE)</f>
        <v>Jailer\'s Tenacity</v>
      </c>
      <c r="C351" s="8" t="str">
        <f>VLOOKUP(A351,'Sets (lua data)'!$A$3:$C$9920,2,FALSE)</f>
        <v>Tenazität des Kerkermeisters</v>
      </c>
      <c r="G351" s="62" t="str">
        <f t="shared" si="5"/>
        <v/>
      </c>
    </row>
    <row r="352" spans="1:7" x14ac:dyDescent="0.25">
      <c r="A352" s="11">
        <v>405</v>
      </c>
      <c r="B352" s="8" t="str">
        <f>VLOOKUP(A352,'Sets (lua data)'!$A$3:$C$9920,3,FALSE)</f>
        <v>Bright-Throat\'s Boast</v>
      </c>
      <c r="C352" s="8" t="str">
        <f>VLOOKUP(A352,'Sets (lua data)'!$A$3:$C$9920,2,FALSE)</f>
        <v>Hellhalsstolz</v>
      </c>
      <c r="G352" s="62" t="str">
        <f t="shared" si="5"/>
        <v/>
      </c>
    </row>
    <row r="353" spans="1:7" x14ac:dyDescent="0.25">
      <c r="A353" s="11">
        <v>406</v>
      </c>
      <c r="B353" s="8" t="str">
        <f>VLOOKUP(A353,'Sets (lua data)'!$A$3:$C$9920,3,FALSE)</f>
        <v>Dead-Water\'s Guile</v>
      </c>
      <c r="C353" s="8" t="str">
        <f>VLOOKUP(A353,'Sets (lua data)'!$A$3:$C$9920,2,FALSE)</f>
        <v>Totwassertücke</v>
      </c>
      <c r="G353" s="62" t="str">
        <f t="shared" si="5"/>
        <v/>
      </c>
    </row>
    <row r="354" spans="1:7" x14ac:dyDescent="0.25">
      <c r="A354" s="11">
        <v>407</v>
      </c>
      <c r="B354" s="8" t="str">
        <f>VLOOKUP(A354,'Sets (lua data)'!$A$3:$C$9920,3,FALSE)</f>
        <v>Champion of the Hist</v>
      </c>
      <c r="C354" s="8" t="str">
        <f>VLOOKUP(A354,'Sets (lua data)'!$A$3:$C$9920,2,FALSE)</f>
        <v>Histchampion</v>
      </c>
      <c r="G354" s="62" t="str">
        <f t="shared" si="5"/>
        <v/>
      </c>
    </row>
    <row r="355" spans="1:7" x14ac:dyDescent="0.25">
      <c r="A355" s="5">
        <v>408</v>
      </c>
      <c r="B355" s="8" t="str">
        <f>VLOOKUP(A355,'Sets (lua data)'!$A$3:$C$9920,3,FALSE)</f>
        <v>Grave-Stake Collector</v>
      </c>
      <c r="C355" s="8" t="str">
        <f>VLOOKUP(A355,'Sets (lua data)'!$A$3:$C$9920,2,FALSE)</f>
        <v>Grabpflocksammler</v>
      </c>
      <c r="G355" s="62" t="str">
        <f t="shared" si="5"/>
        <v/>
      </c>
    </row>
    <row r="356" spans="1:7" x14ac:dyDescent="0.25">
      <c r="A356" s="5">
        <v>409</v>
      </c>
      <c r="B356" s="8" t="str">
        <f>VLOOKUP(A356,'Sets (lua data)'!$A$3:$C$9920,3,FALSE)</f>
        <v>Naga Shaman</v>
      </c>
      <c r="C356" s="8" t="str">
        <f>VLOOKUP(A356,'Sets (lua data)'!$A$3:$C$9920,2,FALSE)</f>
        <v>Nagaschamane</v>
      </c>
      <c r="G356" s="62" t="str">
        <f t="shared" si="5"/>
        <v/>
      </c>
    </row>
    <row r="357" spans="1:7" x14ac:dyDescent="0.25">
      <c r="A357" s="5">
        <v>410</v>
      </c>
      <c r="B357" s="8" t="str">
        <f>VLOOKUP(A357,'Sets (lua data)'!$A$3:$C$9920,3,FALSE)</f>
        <v>Might of the Lost Legion</v>
      </c>
      <c r="C357" s="8" t="str">
        <f>VLOOKUP(A357,'Sets (lua data)'!$A$3:$C$9920,2,FALSE)</f>
        <v>Macht der Verlorenen Legion</v>
      </c>
      <c r="G357" s="62" t="str">
        <f t="shared" si="5"/>
        <v/>
      </c>
    </row>
    <row r="358" spans="1:7" x14ac:dyDescent="0.25">
      <c r="A358" s="11">
        <v>411</v>
      </c>
      <c r="B358" s="8" t="str">
        <f>VLOOKUP(A358,'Sets (lua data)'!$A$3:$C$9920,3,FALSE)</f>
        <v>Gallant Charge</v>
      </c>
      <c r="C358" s="8" t="str">
        <f>VLOOKUP(A358,'Sets (lua data)'!$A$3:$C$9920,2,FALSE)</f>
        <v>Galanter Ansturm</v>
      </c>
      <c r="G358" s="62" t="str">
        <f t="shared" si="5"/>
        <v/>
      </c>
    </row>
    <row r="359" spans="1:7" x14ac:dyDescent="0.25">
      <c r="A359" s="11">
        <v>412</v>
      </c>
      <c r="B359" s="8" t="str">
        <f>VLOOKUP(A359,'Sets (lua data)'!$A$3:$C$9920,3,FALSE)</f>
        <v>Radial Uppercut</v>
      </c>
      <c r="C359" s="8" t="str">
        <f>VLOOKUP(A359,'Sets (lua data)'!$A$3:$C$9920,2,FALSE)</f>
        <v>Rundum-Aufwärtsschnitt</v>
      </c>
      <c r="G359" s="62" t="str">
        <f t="shared" si="5"/>
        <v/>
      </c>
    </row>
    <row r="360" spans="1:7" x14ac:dyDescent="0.25">
      <c r="A360" s="11">
        <v>413</v>
      </c>
      <c r="B360" s="8" t="str">
        <f>VLOOKUP(A360,'Sets (lua data)'!$A$3:$C$9920,3,FALSE)</f>
        <v>Spectral Cloak</v>
      </c>
      <c r="C360" s="8" t="str">
        <f>VLOOKUP(A360,'Sets (lua data)'!$A$3:$C$9920,2,FALSE)</f>
        <v>Spektraler Mantel</v>
      </c>
      <c r="G360" s="62" t="str">
        <f t="shared" si="5"/>
        <v/>
      </c>
    </row>
    <row r="361" spans="1:7" x14ac:dyDescent="0.25">
      <c r="A361" s="11">
        <v>414</v>
      </c>
      <c r="B361" s="8" t="str">
        <f>VLOOKUP(A361,'Sets (lua data)'!$A$3:$C$9920,3,FALSE)</f>
        <v>Virulent Shot</v>
      </c>
      <c r="C361" s="8" t="str">
        <f>VLOOKUP(A361,'Sets (lua data)'!$A$3:$C$9920,2,FALSE)</f>
        <v>Virulenter Schuss</v>
      </c>
      <c r="G361" s="62" t="str">
        <f t="shared" si="5"/>
        <v/>
      </c>
    </row>
    <row r="362" spans="1:7" x14ac:dyDescent="0.25">
      <c r="A362" s="11">
        <v>415</v>
      </c>
      <c r="B362" s="8" t="str">
        <f>VLOOKUP(A362,'Sets (lua data)'!$A$3:$C$9920,3,FALSE)</f>
        <v>Wild Impulse</v>
      </c>
      <c r="C362" s="8" t="str">
        <f>VLOOKUP(A362,'Sets (lua data)'!$A$3:$C$9920,2,FALSE)</f>
        <v>Wilder Impuls</v>
      </c>
      <c r="G362" s="62" t="str">
        <f t="shared" si="5"/>
        <v/>
      </c>
    </row>
    <row r="363" spans="1:7" x14ac:dyDescent="0.25">
      <c r="A363" s="11">
        <v>416</v>
      </c>
      <c r="B363" s="8" t="str">
        <f>VLOOKUP(A363,'Sets (lua data)'!$A$3:$C$9920,3,FALSE)</f>
        <v>Mender\'s Ward</v>
      </c>
      <c r="C363" s="8" t="str">
        <f>VLOOKUP(A363,'Sets (lua data)'!$A$3:$C$9920,2,FALSE)</f>
        <v>Schutz des Pflegers</v>
      </c>
      <c r="G363" s="62" t="str">
        <f t="shared" si="5"/>
        <v/>
      </c>
    </row>
    <row r="364" spans="1:7" x14ac:dyDescent="0.25">
      <c r="A364" s="11">
        <v>417</v>
      </c>
      <c r="B364" s="8" t="str">
        <f>VLOOKUP(A364,'Sets (lua data)'!$A$3:$C$9920,3,FALSE)</f>
        <v>Indomitable Fury</v>
      </c>
      <c r="C364" s="8" t="str">
        <f>VLOOKUP(A364,'Sets (lua data)'!$A$3:$C$9920,2,FALSE)</f>
        <v>Unbeugsamer Zorn</v>
      </c>
      <c r="G364" s="62" t="str">
        <f t="shared" si="5"/>
        <v/>
      </c>
    </row>
    <row r="365" spans="1:7" x14ac:dyDescent="0.25">
      <c r="A365" s="11">
        <v>418</v>
      </c>
      <c r="B365" s="8" t="str">
        <f>VLOOKUP(A365,'Sets (lua data)'!$A$3:$C$9920,3,FALSE)</f>
        <v>Spell Strategist</v>
      </c>
      <c r="C365" s="8" t="str">
        <f>VLOOKUP(A365,'Sets (lua data)'!$A$3:$C$9920,2,FALSE)</f>
        <v>Zauberstratege</v>
      </c>
      <c r="G365" s="62" t="str">
        <f t="shared" si="5"/>
        <v/>
      </c>
    </row>
    <row r="366" spans="1:7" x14ac:dyDescent="0.25">
      <c r="A366" s="11">
        <v>419</v>
      </c>
      <c r="B366" s="8" t="str">
        <f>VLOOKUP(A366,'Sets (lua data)'!$A$3:$C$9920,3,FALSE)</f>
        <v>Battlefield Acrobat</v>
      </c>
      <c r="C366" s="8" t="str">
        <f>VLOOKUP(A366,'Sets (lua data)'!$A$3:$C$9920,2,FALSE)</f>
        <v>Schlachtfeldakrobat</v>
      </c>
      <c r="G366" s="62" t="str">
        <f t="shared" si="5"/>
        <v/>
      </c>
    </row>
    <row r="367" spans="1:7" x14ac:dyDescent="0.25">
      <c r="A367" s="11">
        <v>420</v>
      </c>
      <c r="B367" s="8" t="str">
        <f>VLOOKUP(A367,'Sets (lua data)'!$A$3:$C$9920,3,FALSE)</f>
        <v>Soldier of Anguish</v>
      </c>
      <c r="C367" s="8" t="str">
        <f>VLOOKUP(A367,'Sets (lua data)'!$A$3:$C$9920,2,FALSE)</f>
        <v>Soldat der Pein</v>
      </c>
      <c r="G367" s="62" t="str">
        <f t="shared" si="5"/>
        <v/>
      </c>
    </row>
    <row r="368" spans="1:7" x14ac:dyDescent="0.25">
      <c r="A368" s="11">
        <v>421</v>
      </c>
      <c r="B368" s="8" t="str">
        <f>VLOOKUP(A368,'Sets (lua data)'!$A$3:$C$9920,3,FALSE)</f>
        <v>Steadfast Hero</v>
      </c>
      <c r="C368" s="8" t="str">
        <f>VLOOKUP(A368,'Sets (lua data)'!$A$3:$C$9920,2,FALSE)</f>
        <v>Standhafter Held</v>
      </c>
      <c r="G368" s="62" t="str">
        <f t="shared" si="5"/>
        <v/>
      </c>
    </row>
    <row r="369" spans="1:7" x14ac:dyDescent="0.25">
      <c r="A369" s="11">
        <v>422</v>
      </c>
      <c r="B369" s="8" t="str">
        <f>VLOOKUP(A369,'Sets (lua data)'!$A$3:$C$9920,3,FALSE)</f>
        <v>Battalion Defender</v>
      </c>
      <c r="C369" s="8" t="str">
        <f>VLOOKUP(A369,'Sets (lua data)'!$A$3:$C$9920,2,FALSE)</f>
        <v>Bataillonsverteidiger</v>
      </c>
      <c r="G369" s="62" t="str">
        <f t="shared" si="5"/>
        <v/>
      </c>
    </row>
    <row r="370" spans="1:7" x14ac:dyDescent="0.25">
      <c r="A370" s="11">
        <v>423</v>
      </c>
      <c r="B370" s="8" t="str">
        <f>VLOOKUP(A370,'Sets (lua data)'!$A$3:$C$9920,3,FALSE)</f>
        <v>Perfect Gallant Charge</v>
      </c>
      <c r="C370" s="8" t="str">
        <f>VLOOKUP(A370,'Sets (lua data)'!$A$3:$C$9920,2,FALSE)</f>
        <v>Perfekter galanter Ansturm</v>
      </c>
      <c r="G370" s="62" t="str">
        <f t="shared" si="5"/>
        <v/>
      </c>
    </row>
    <row r="371" spans="1:7" x14ac:dyDescent="0.25">
      <c r="A371" s="11">
        <v>424</v>
      </c>
      <c r="B371" s="8" t="str">
        <f>VLOOKUP(A371,'Sets (lua data)'!$A$3:$C$9920,3,FALSE)</f>
        <v>Perfect Radial Uppercut</v>
      </c>
      <c r="C371" s="8" t="str">
        <f>VLOOKUP(A371,'Sets (lua data)'!$A$3:$C$9920,2,FALSE)</f>
        <v>Perfekter Rundum-Aufwärtsschnitt</v>
      </c>
      <c r="G371" s="62" t="str">
        <f t="shared" si="5"/>
        <v/>
      </c>
    </row>
    <row r="372" spans="1:7" x14ac:dyDescent="0.25">
      <c r="A372" s="11">
        <v>425</v>
      </c>
      <c r="B372" s="8" t="str">
        <f>VLOOKUP(A372,'Sets (lua data)'!$A$3:$C$9920,3,FALSE)</f>
        <v>Perfect Spectral Cloak</v>
      </c>
      <c r="C372" s="8" t="str">
        <f>VLOOKUP(A372,'Sets (lua data)'!$A$3:$C$9920,2,FALSE)</f>
        <v>Perfekter spektraler Mantel</v>
      </c>
      <c r="G372" s="62" t="str">
        <f t="shared" si="5"/>
        <v/>
      </c>
    </row>
    <row r="373" spans="1:7" x14ac:dyDescent="0.25">
      <c r="A373" s="11">
        <v>426</v>
      </c>
      <c r="B373" s="8" t="str">
        <f>VLOOKUP(A373,'Sets (lua data)'!$A$3:$C$9920,3,FALSE)</f>
        <v>Perfect Virulent Shot</v>
      </c>
      <c r="C373" s="8" t="str">
        <f>VLOOKUP(A373,'Sets (lua data)'!$A$3:$C$9920,2,FALSE)</f>
        <v>Perfekter virulenter Schuss</v>
      </c>
      <c r="G373" s="62" t="str">
        <f t="shared" si="5"/>
        <v/>
      </c>
    </row>
    <row r="374" spans="1:7" x14ac:dyDescent="0.25">
      <c r="A374" s="11">
        <v>427</v>
      </c>
      <c r="B374" s="8" t="str">
        <f>VLOOKUP(A374,'Sets (lua data)'!$A$3:$C$9920,3,FALSE)</f>
        <v>Perfect Wild Impulse</v>
      </c>
      <c r="C374" s="8" t="str">
        <f>VLOOKUP(A374,'Sets (lua data)'!$A$3:$C$9920,2,FALSE)</f>
        <v>Perfekter wilder Impuls</v>
      </c>
      <c r="G374" s="62" t="str">
        <f t="shared" si="5"/>
        <v/>
      </c>
    </row>
    <row r="375" spans="1:7" x14ac:dyDescent="0.25">
      <c r="A375" s="11">
        <v>428</v>
      </c>
      <c r="B375" s="8" t="str">
        <f>VLOOKUP(A375,'Sets (lua data)'!$A$3:$C$9920,3,FALSE)</f>
        <v>Perfect Mender\'s Ward</v>
      </c>
      <c r="C375" s="8" t="str">
        <f>VLOOKUP(A375,'Sets (lua data)'!$A$3:$C$9920,2,FALSE)</f>
        <v>Perfekter Schutz des Pflegers</v>
      </c>
      <c r="G375" s="62" t="str">
        <f t="shared" si="5"/>
        <v/>
      </c>
    </row>
    <row r="376" spans="1:7" x14ac:dyDescent="0.25">
      <c r="A376" s="11">
        <v>429</v>
      </c>
      <c r="B376" s="8" t="str">
        <f>VLOOKUP(A376,'Sets (lua data)'!$A$3:$C$9920,3,FALSE)</f>
        <v>Mighty Glacier</v>
      </c>
      <c r="C376" s="8" t="str">
        <f>VLOOKUP(A376,'Sets (lua data)'!$A$3:$C$9920,2,FALSE)</f>
        <v>Mächtiger Gletscher</v>
      </c>
      <c r="G376" s="62" t="str">
        <f t="shared" si="5"/>
        <v/>
      </c>
    </row>
    <row r="377" spans="1:7" x14ac:dyDescent="0.25">
      <c r="A377" s="11">
        <v>430</v>
      </c>
      <c r="B377" s="8" t="str">
        <f>VLOOKUP(A377,'Sets (lua data)'!$A$3:$C$9920,3,FALSE)</f>
        <v>Tzogvin\'s Warband</v>
      </c>
      <c r="C377" s="8" t="str">
        <f>VLOOKUP(A377,'Sets (lua data)'!$A$3:$C$9920,2,FALSE)</f>
        <v>Tzogvins Kriegstrupp</v>
      </c>
      <c r="G377" s="62" t="str">
        <f t="shared" si="5"/>
        <v/>
      </c>
    </row>
    <row r="378" spans="1:7" x14ac:dyDescent="0.25">
      <c r="A378" s="11">
        <v>431</v>
      </c>
      <c r="B378" s="8" t="str">
        <f>VLOOKUP(A378,'Sets (lua data)'!$A$3:$C$9920,3,FALSE)</f>
        <v>Icy Conjuror</v>
      </c>
      <c r="C378" s="8" t="str">
        <f>VLOOKUP(A378,'Sets (lua data)'!$A$3:$C$9920,2,FALSE)</f>
        <v>Eisiger Anrufer</v>
      </c>
      <c r="G378" s="62" t="str">
        <f t="shared" si="5"/>
        <v/>
      </c>
    </row>
    <row r="379" spans="1:7" x14ac:dyDescent="0.25">
      <c r="A379" s="5">
        <v>432</v>
      </c>
      <c r="B379" s="8" t="str">
        <f>VLOOKUP(A379,'Sets (lua data)'!$A$3:$C$9920,3,FALSE)</f>
        <v>Stonekeeper</v>
      </c>
      <c r="C379" s="8" t="str">
        <f>VLOOKUP(A379,'Sets (lua data)'!$A$3:$C$9920,2,FALSE)</f>
        <v>Steinwahrer</v>
      </c>
      <c r="G379" s="62" t="str">
        <f t="shared" si="5"/>
        <v/>
      </c>
    </row>
    <row r="380" spans="1:7" x14ac:dyDescent="0.25">
      <c r="A380" s="11">
        <v>433</v>
      </c>
      <c r="B380" s="8" t="str">
        <f>VLOOKUP(A380,'Sets (lua data)'!$A$3:$C$9920,3,FALSE)</f>
        <v>Frozen Watcher</v>
      </c>
      <c r="C380" s="8" t="str">
        <f>VLOOKUP(A380,'Sets (lua data)'!$A$3:$C$9920,2,FALSE)</f>
        <v>Gefrorener Beobachter</v>
      </c>
      <c r="G380" s="62" t="str">
        <f t="shared" si="5"/>
        <v/>
      </c>
    </row>
    <row r="381" spans="1:7" x14ac:dyDescent="0.25">
      <c r="A381" s="11">
        <v>434</v>
      </c>
      <c r="B381" s="8" t="str">
        <f>VLOOKUP(A381,'Sets (lua data)'!$A$3:$C$9920,3,FALSE)</f>
        <v>Scavenging Demise</v>
      </c>
      <c r="C381" s="8" t="str">
        <f>VLOOKUP(A381,'Sets (lua data)'!$A$3:$C$9920,2,FALSE)</f>
        <v>Ausbeutender Niedergang</v>
      </c>
      <c r="G381" s="62" t="str">
        <f t="shared" si="5"/>
        <v/>
      </c>
    </row>
    <row r="382" spans="1:7" x14ac:dyDescent="0.25">
      <c r="A382" s="11">
        <v>435</v>
      </c>
      <c r="B382" s="8" t="str">
        <f>VLOOKUP(A382,'Sets (lua data)'!$A$3:$C$9920,3,FALSE)</f>
        <v>Auroran\'s Thunder</v>
      </c>
      <c r="C382" s="8" t="str">
        <f>VLOOKUP(A382,'Sets (lua data)'!$A$3:$C$9920,2,FALSE)</f>
        <v>Donner des Auroraners</v>
      </c>
      <c r="G382" s="62" t="str">
        <f t="shared" si="5"/>
        <v/>
      </c>
    </row>
    <row r="383" spans="1:7" x14ac:dyDescent="0.25">
      <c r="A383" s="5">
        <v>436</v>
      </c>
      <c r="B383" s="8" t="str">
        <f>VLOOKUP(A383,'Sets (lua data)'!$A$3:$C$9920,3,FALSE)</f>
        <v>Symphony of Blades</v>
      </c>
      <c r="C383" s="8" t="str">
        <f>VLOOKUP(A383,'Sets (lua data)'!$A$3:$C$9920,2,FALSE)</f>
        <v>Sinfonie der Klingen</v>
      </c>
      <c r="G383" s="62" t="str">
        <f t="shared" si="5"/>
        <v/>
      </c>
    </row>
    <row r="384" spans="1:7" x14ac:dyDescent="0.25">
      <c r="A384" s="11">
        <v>437</v>
      </c>
      <c r="B384" s="8" t="str">
        <f>VLOOKUP(A384,'Sets (lua data)'!$A$3:$C$9920,3,FALSE)</f>
        <v>Coldharbour\'s Favorite</v>
      </c>
      <c r="C384" s="8" t="str">
        <f>VLOOKUP(A384,'Sets (lua data)'!$A$3:$C$9920,2,FALSE)</f>
        <v>Kalthafens Günstling</v>
      </c>
      <c r="G384" s="62" t="str">
        <f t="shared" ref="G384:G437" si="6">IF(AND(A384&lt;&gt;"",NOT(ISERROR(A384)),ISNUMBER(A384),D384&lt;&gt;""),CONCATENATE("[",A384,"] = {",D384,"},","     --",B384," -&gt; ",E384," / ",F384),"")</f>
        <v/>
      </c>
    </row>
    <row r="385" spans="1:7" x14ac:dyDescent="0.25">
      <c r="A385" s="11">
        <v>438</v>
      </c>
      <c r="B385" s="8" t="str">
        <f>VLOOKUP(A385,'Sets (lua data)'!$A$3:$C$9920,3,FALSE)</f>
        <v>Senche-raht\'s Grit</v>
      </c>
      <c r="C385" s="8" t="str">
        <f>VLOOKUP(A385,'Sets (lua data)'!$A$3:$C$9920,2,FALSE)</f>
        <v>Mut des Senche-raht</v>
      </c>
      <c r="G385" s="62" t="str">
        <f t="shared" si="6"/>
        <v/>
      </c>
    </row>
    <row r="386" spans="1:7" x14ac:dyDescent="0.25">
      <c r="A386" s="5">
        <v>439</v>
      </c>
      <c r="B386" s="8" t="str">
        <f>VLOOKUP(A386,'Sets (lua data)'!$A$3:$C$9920,3,FALSE)</f>
        <v>Vastarie\'s Tutelage</v>
      </c>
      <c r="C386" s="8" t="str">
        <f>VLOOKUP(A386,'Sets (lua data)'!$A$3:$C$9920,2,FALSE)</f>
        <v>Vastaries Vormundschaft</v>
      </c>
      <c r="G386" s="62" t="str">
        <f t="shared" si="6"/>
        <v/>
      </c>
    </row>
    <row r="387" spans="1:7" x14ac:dyDescent="0.25">
      <c r="A387" s="5">
        <v>440</v>
      </c>
      <c r="B387" s="8" t="str">
        <f>VLOOKUP(A387,'Sets (lua data)'!$A$3:$C$9920,3,FALSE)</f>
        <v>Crafty Alfiq</v>
      </c>
      <c r="C387" s="8" t="str">
        <f>VLOOKUP(A387,'Sets (lua data)'!$A$3:$C$9920,2,FALSE)</f>
        <v>Listiger Alfiq</v>
      </c>
      <c r="G387" s="62" t="str">
        <f t="shared" si="6"/>
        <v/>
      </c>
    </row>
    <row r="388" spans="1:7" x14ac:dyDescent="0.25">
      <c r="A388" s="5">
        <v>441</v>
      </c>
      <c r="B388" s="8" t="str">
        <f>VLOOKUP(A388,'Sets (lua data)'!$A$3:$C$9920,3,FALSE)</f>
        <v>Vesture of Darloc Brae</v>
      </c>
      <c r="C388" s="8" t="str">
        <f>VLOOKUP(A388,'Sets (lua data)'!$A$3:$C$9920,2,FALSE)</f>
        <v>Gewandung von Darloc Brae</v>
      </c>
      <c r="G388" s="62" t="str">
        <f t="shared" si="6"/>
        <v/>
      </c>
    </row>
    <row r="389" spans="1:7" x14ac:dyDescent="0.25">
      <c r="A389" s="5">
        <v>442</v>
      </c>
      <c r="B389" s="8" t="str">
        <f>VLOOKUP(A389,'Sets (lua data)'!$A$3:$C$9920,3,FALSE)</f>
        <v>Call of the Undertaker</v>
      </c>
      <c r="C389" s="8" t="str">
        <f>VLOOKUP(A389,'Sets (lua data)'!$A$3:$C$9920,2,FALSE)</f>
        <v>Ruf des Totengräbers</v>
      </c>
      <c r="G389" s="62" t="str">
        <f t="shared" si="6"/>
        <v/>
      </c>
    </row>
    <row r="390" spans="1:7" x14ac:dyDescent="0.25">
      <c r="A390" s="5">
        <v>443</v>
      </c>
      <c r="B390" s="8" t="str">
        <f>VLOOKUP(A390,'Sets (lua data)'!$A$3:$C$9920,3,FALSE)</f>
        <v>Eye of Nahviintaas</v>
      </c>
      <c r="C390" s="8" t="str">
        <f>VLOOKUP(A390,'Sets (lua data)'!$A$3:$C$9920,2,FALSE)</f>
        <v>Auge von Nahviintaas</v>
      </c>
      <c r="G390" s="62" t="str">
        <f t="shared" si="6"/>
        <v/>
      </c>
    </row>
    <row r="391" spans="1:7" x14ac:dyDescent="0.25">
      <c r="A391" s="5">
        <v>444</v>
      </c>
      <c r="B391" s="8" t="str">
        <f>VLOOKUP(A391,'Sets (lua data)'!$A$3:$C$9920,3,FALSE)</f>
        <v>False God\'s Devotion</v>
      </c>
      <c r="C391" s="8" t="str">
        <f>VLOOKUP(A391,'Sets (lua data)'!$A$3:$C$9920,2,FALSE)</f>
        <v>Ergebenheit des falschen Gottes</v>
      </c>
      <c r="G391" s="62" t="str">
        <f t="shared" si="6"/>
        <v/>
      </c>
    </row>
    <row r="392" spans="1:7" x14ac:dyDescent="0.25">
      <c r="A392" s="5">
        <v>445</v>
      </c>
      <c r="B392" s="8" t="str">
        <f>VLOOKUP(A392,'Sets (lua data)'!$A$3:$C$9920,3,FALSE)</f>
        <v>Tooth of Lokkestiiz</v>
      </c>
      <c r="C392" s="8" t="str">
        <f>VLOOKUP(A392,'Sets (lua data)'!$A$3:$C$9920,2,FALSE)</f>
        <v>Zahn von Lokkestiiz</v>
      </c>
      <c r="G392" s="62" t="str">
        <f t="shared" si="6"/>
        <v/>
      </c>
    </row>
    <row r="393" spans="1:7" ht="105" x14ac:dyDescent="0.25">
      <c r="A393" s="11">
        <v>446</v>
      </c>
      <c r="B393" s="8" t="str">
        <f>VLOOKUP(A393,'Sets (lua data)'!$A$3:$C$9920,3,FALSE)</f>
        <v>Claw of Yolnakhriin</v>
      </c>
      <c r="C393" s="8" t="str">
        <f>VLOOKUP(A393,'Sets (lua data)'!$A$3:$C$9920,2,FALSE)</f>
        <v>Kralle von Yolnahkriin</v>
      </c>
      <c r="D393" s="20" t="s">
        <v>2250</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data)'!$A$3:$C$9920,3,FALSE)</f>
        <v>Perfected Eye of Nahviintaas</v>
      </c>
      <c r="C394" s="8" t="str">
        <f>VLOOKUP(A394,'Sets (lua data)'!$A$3:$C$9920,2,FALSE)</f>
        <v>Perfektioniertes Auge von Nahviintaas</v>
      </c>
      <c r="G394" s="62" t="str">
        <f t="shared" si="6"/>
        <v/>
      </c>
    </row>
    <row r="395" spans="1:7" x14ac:dyDescent="0.25">
      <c r="A395" s="5">
        <v>449</v>
      </c>
      <c r="B395" s="8" t="str">
        <f>VLOOKUP(A395,'Sets (lua data)'!$A$3:$C$9920,3,FALSE)</f>
        <v>Perfected False God\'s Devotion</v>
      </c>
      <c r="C395" s="8" t="str">
        <f>VLOOKUP(A395,'Sets (lua data)'!$A$3:$C$9920,2,FALSE)</f>
        <v>Perfektionierte Ergebenheit zum falschen Gott</v>
      </c>
      <c r="G395" s="62" t="str">
        <f t="shared" si="6"/>
        <v/>
      </c>
    </row>
    <row r="396" spans="1:7" x14ac:dyDescent="0.25">
      <c r="A396" s="5">
        <v>450</v>
      </c>
      <c r="B396" s="8" t="str">
        <f>VLOOKUP(A396,'Sets (lua data)'!$A$3:$C$9920,3,FALSE)</f>
        <v>Perfected Tooth of Lokkestiiz</v>
      </c>
      <c r="C396" s="8" t="str">
        <f>VLOOKUP(A396,'Sets (lua data)'!$A$3:$C$9920,2,FALSE)</f>
        <v>Perfektionierter Zahn von Lokkestiiz</v>
      </c>
      <c r="G396" s="62" t="str">
        <f t="shared" si="6"/>
        <v/>
      </c>
    </row>
    <row r="397" spans="1:7" ht="105" x14ac:dyDescent="0.25">
      <c r="A397" s="5">
        <v>451</v>
      </c>
      <c r="B397" s="8" t="str">
        <f>VLOOKUP(A397,'Sets (lua data)'!$A$3:$C$9920,3,FALSE)</f>
        <v>Perfected Claw of Yolnakhriin</v>
      </c>
      <c r="C397" s="8" t="str">
        <f>VLOOKUP(A397,'Sets (lua data)'!$A$3:$C$9920,2,FALSE)</f>
        <v>Perfektionierte Kralle von Yolnahkriin</v>
      </c>
      <c r="D397" s="20" t="s">
        <v>2250</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data)'!$A$3:$C$9920,3,FALSE)</f>
        <v>Hollowfang Thirst</v>
      </c>
      <c r="C398" s="8" t="str">
        <f>VLOOKUP(A398,'Sets (lua data)'!$A$3:$C$9920,2,FALSE)</f>
        <v>Hohlzahndurst</v>
      </c>
      <c r="D398" s="20" t="s">
        <v>2260</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data)'!$A$3:$C$9920,3,FALSE)</f>
        <v>Dro\'Zakar\'s Claws</v>
      </c>
      <c r="C399" s="8" t="str">
        <f>VLOOKUP(A399,'Sets (lua data)'!$A$3:$C$9920,2,FALSE)</f>
        <v>Dro'Zakars Krallen</v>
      </c>
      <c r="G399" s="62" t="str">
        <f t="shared" si="6"/>
        <v/>
      </c>
    </row>
    <row r="400" spans="1:7" x14ac:dyDescent="0.25">
      <c r="A400" s="5">
        <v>454</v>
      </c>
      <c r="B400" s="8" t="str">
        <f>VLOOKUP(A400,'Sets (lua data)'!$A$3:$C$9920,3,FALSE)</f>
        <v>Renald\'s Resolve</v>
      </c>
      <c r="C400" s="8" t="str">
        <f>VLOOKUP(A400,'Sets (lua data)'!$A$3:$C$9920,2,FALSE)</f>
        <v>Renalds Entschlossenheit</v>
      </c>
      <c r="G400" s="62" t="str">
        <f t="shared" si="6"/>
        <v/>
      </c>
    </row>
    <row r="401" spans="1:7" ht="135" x14ac:dyDescent="0.25">
      <c r="A401" s="5">
        <v>455</v>
      </c>
      <c r="B401" s="8" t="str">
        <f>VLOOKUP(A401,'Sets (lua data)'!$A$3:$C$9920,3,FALSE)</f>
        <v>Z\'en\'s Redress</v>
      </c>
      <c r="C401" s="8" t="str">
        <f>VLOOKUP(A401,'Sets (lua data)'!$A$3:$C$9920,2,FALSE)</f>
        <v>Z'ens Wiedergutmachung</v>
      </c>
      <c r="D401" s="20" t="s">
        <v>2259</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data)'!$A$3:$C$9920,3,FALSE)</f>
        <v>Azureblight Reaper</v>
      </c>
      <c r="C402" s="8" t="str">
        <f>VLOOKUP(A402,'Sets (lua data)'!$A$3:$C$9920,2,FALSE)</f>
        <v>Azurfäuleschnitter</v>
      </c>
      <c r="G402" s="62" t="str">
        <f t="shared" si="6"/>
        <v/>
      </c>
    </row>
    <row r="403" spans="1:7" x14ac:dyDescent="0.25">
      <c r="A403" s="5">
        <v>457</v>
      </c>
      <c r="B403" s="8" t="str">
        <f>VLOOKUP(A403,'Sets (lua data)'!$A$3:$C$9920,3,FALSE)</f>
        <v>Dragon\'s Defilement</v>
      </c>
      <c r="C403" s="8" t="str">
        <f>VLOOKUP(A403,'Sets (lua data)'!$A$3:$C$9920,2,FALSE)</f>
        <v>Drachenschändung</v>
      </c>
      <c r="G403" s="62" t="str">
        <f t="shared" si="6"/>
        <v/>
      </c>
    </row>
    <row r="404" spans="1:7" x14ac:dyDescent="0.25">
      <c r="A404" s="5">
        <v>458</v>
      </c>
      <c r="B404" s="8" t="str">
        <f>VLOOKUP(A404,'Sets (lua data)'!$A$3:$C$9920,3,FALSE)</f>
        <v>Grundwulf</v>
      </c>
      <c r="C404" s="8" t="str">
        <f>VLOOKUP(A404,'Sets (lua data)'!$A$3:$C$9920,2,FALSE)</f>
        <v>Grundwulf</v>
      </c>
      <c r="G404" s="62" t="str">
        <f t="shared" si="6"/>
        <v/>
      </c>
    </row>
    <row r="405" spans="1:7" x14ac:dyDescent="0.25">
      <c r="A405" s="5">
        <v>459</v>
      </c>
      <c r="B405" s="8" t="str">
        <f>VLOOKUP(A405,'Sets (lua data)'!$A$3:$C$9920,3,FALSE)</f>
        <v>Maarselok</v>
      </c>
      <c r="C405" s="8" t="str">
        <f>VLOOKUP(A405,'Sets (lua data)'!$A$3:$C$9920,2,FALSE)</f>
        <v>Maarselok</v>
      </c>
      <c r="G405" s="62" t="str">
        <f t="shared" si="6"/>
        <v/>
      </c>
    </row>
    <row r="406" spans="1:7" x14ac:dyDescent="0.25">
      <c r="A406" s="5">
        <v>465</v>
      </c>
      <c r="B406" s="8" t="str">
        <f>VLOOKUP(A406,'Sets (lua data)'!$A$3:$C$9920,3,FALSE)</f>
        <v>Senchal Defender</v>
      </c>
      <c r="C406" s="8" t="str">
        <f>VLOOKUP(A406,'Sets (lua data)'!$A$3:$C$9920,2,FALSE)</f>
        <v>Verteidiger von Senchal</v>
      </c>
      <c r="G406" s="62" t="str">
        <f t="shared" si="6"/>
        <v/>
      </c>
    </row>
    <row r="407" spans="1:7" x14ac:dyDescent="0.25">
      <c r="A407" s="5">
        <v>466</v>
      </c>
      <c r="B407" s="8" t="str">
        <f>VLOOKUP(A407,'Sets (lua data)'!$A$3:$C$9920,3,FALSE)</f>
        <v>Marauder\'s Haste</v>
      </c>
      <c r="C407" s="8" t="str">
        <f>VLOOKUP(A407,'Sets (lua data)'!$A$3:$C$9920,2,FALSE)</f>
        <v>Marodeurshast</v>
      </c>
      <c r="G407" s="62" t="str">
        <f t="shared" si="6"/>
        <v/>
      </c>
    </row>
    <row r="408" spans="1:7" x14ac:dyDescent="0.25">
      <c r="A408" s="5">
        <v>467</v>
      </c>
      <c r="B408" s="8" t="str">
        <f>VLOOKUP(A408,'Sets (lua data)'!$A$3:$C$9920,3,FALSE)</f>
        <v>Dragonguard Elite</v>
      </c>
      <c r="C408" s="8" t="str">
        <f>VLOOKUP(A408,'Sets (lua data)'!$A$3:$C$9920,2,FALSE)</f>
        <v>Drachengardeelite</v>
      </c>
      <c r="G408" s="62" t="str">
        <f t="shared" si="6"/>
        <v/>
      </c>
    </row>
    <row r="409" spans="1:7" x14ac:dyDescent="0.25">
      <c r="A409" s="5">
        <v>468</v>
      </c>
      <c r="B409" s="8" t="str">
        <f>VLOOKUP(A409,'Sets (lua data)'!$A$3:$C$9920,3,FALSE)</f>
        <v>Daring Corsair</v>
      </c>
      <c r="C409" s="8" t="str">
        <f>VLOOKUP(A409,'Sets (lua data)'!$A$3:$C$9920,2,FALSE)</f>
        <v>Kühner Korsar</v>
      </c>
      <c r="G409" s="62" t="str">
        <f t="shared" si="6"/>
        <v/>
      </c>
    </row>
    <row r="410" spans="1:7" x14ac:dyDescent="0.25">
      <c r="A410" s="5">
        <v>469</v>
      </c>
      <c r="B410" s="8" t="str">
        <f>VLOOKUP(A410,'Sets (lua data)'!$A$3:$C$9920,3,FALSE)</f>
        <v>Ancient Dragonguard</v>
      </c>
      <c r="C410" s="8" t="str">
        <f>VLOOKUP(A410,'Sets (lua data)'!$A$3:$C$9920,2,FALSE)</f>
        <v>Alte Drachengarde</v>
      </c>
      <c r="G410" s="62" t="str">
        <f t="shared" si="6"/>
        <v/>
      </c>
    </row>
    <row r="411" spans="1:7" x14ac:dyDescent="0.25">
      <c r="A411" s="5">
        <v>470</v>
      </c>
      <c r="B411" s="8" t="str">
        <f>VLOOKUP(A411,'Sets (lua data)'!$A$3:$C$9920,3,FALSE)</f>
        <v>New Moon Acolyte</v>
      </c>
      <c r="C411" s="8" t="str">
        <f>VLOOKUP(A411,'Sets (lua data)'!$A$3:$C$9920,2,FALSE)</f>
        <v>Akolythin des Neuen Mondes</v>
      </c>
      <c r="G411" s="62" t="str">
        <f t="shared" si="6"/>
        <v/>
      </c>
    </row>
    <row r="412" spans="1:7" ht="105" x14ac:dyDescent="0.25">
      <c r="A412" s="5">
        <v>471</v>
      </c>
      <c r="B412" s="8" t="str">
        <f>VLOOKUP(A412,'Sets (lua data)'!$A$3:$C$9920,3,FALSE)</f>
        <v>Hiti\'s Hearth</v>
      </c>
      <c r="C412" s="8" t="str">
        <f>VLOOKUP(A412,'Sets (lua data)'!$A$3:$C$9920,2,FALSE)</f>
        <v>Hitis Feuerstelle</v>
      </c>
      <c r="D412" s="20" t="s">
        <v>2258</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data)'!$A$3:$C$9920,3,FALSE)</f>
        <v>Titanborn Strength</v>
      </c>
      <c r="C413" s="8" t="str">
        <f>VLOOKUP(A413,'Sets (lua data)'!$A$3:$C$9920,2,FALSE)</f>
        <v>Titanenkinds Stärke</v>
      </c>
      <c r="G413" s="62" t="str">
        <f t="shared" si="6"/>
        <v/>
      </c>
    </row>
    <row r="414" spans="1:7" x14ac:dyDescent="0.25">
      <c r="A414" s="5">
        <v>473</v>
      </c>
      <c r="B414" s="8" t="str">
        <f>VLOOKUP(A414,'Sets (lua data)'!$A$3:$C$9920,3,FALSE)</f>
        <v>Bani\'s Torment</v>
      </c>
      <c r="C414" s="8" t="str">
        <f>VLOOKUP(A414,'Sets (lua data)'!$A$3:$C$9920,2,FALSE)</f>
        <v>Banis Qual</v>
      </c>
      <c r="G414" s="62" t="str">
        <f t="shared" si="6"/>
        <v/>
      </c>
    </row>
    <row r="415" spans="1:7" x14ac:dyDescent="0.25">
      <c r="A415" s="5">
        <v>474</v>
      </c>
      <c r="B415" s="8" t="str">
        <f>VLOOKUP(A415,'Sets (lua data)'!$A$3:$C$9920,3,FALSE)</f>
        <v>Draugrkin\'s Grip</v>
      </c>
      <c r="C415" s="8" t="str">
        <f>VLOOKUP(A415,'Sets (lua data)'!$A$3:$C$9920,2,FALSE)</f>
        <v>Griff der Draugrbrut</v>
      </c>
      <c r="G415" s="62" t="str">
        <f t="shared" si="6"/>
        <v/>
      </c>
    </row>
    <row r="416" spans="1:7" x14ac:dyDescent="0.25">
      <c r="A416" s="5">
        <v>475</v>
      </c>
      <c r="B416" s="8" t="str">
        <f>VLOOKUP(A416,'Sets (lua data)'!$A$3:$C$9920,3,FALSE)</f>
        <v>Aegis Caller</v>
      </c>
      <c r="C416" s="8" t="str">
        <f>VLOOKUP(A416,'Sets (lua data)'!$A$3:$C$9920,2,FALSE)</f>
        <v>Ägisrufer</v>
      </c>
      <c r="G416" s="62" t="str">
        <f t="shared" si="6"/>
        <v/>
      </c>
    </row>
    <row r="417" spans="1:7" x14ac:dyDescent="0.25">
      <c r="A417" s="5">
        <v>476</v>
      </c>
      <c r="B417" s="8" t="str">
        <f>VLOOKUP(A417,'Sets (lua data)'!$A$3:$C$9920,3,FALSE)</f>
        <v>Grave Guardian </v>
      </c>
      <c r="C417" s="8" t="str">
        <f>VLOOKUP(A417,'Sets (lua data)'!$A$3:$C$9920,2,FALSE)</f>
        <v>Grabwächter</v>
      </c>
      <c r="G417" s="62" t="str">
        <f t="shared" si="6"/>
        <v/>
      </c>
    </row>
    <row r="418" spans="1:7" x14ac:dyDescent="0.25">
      <c r="A418" s="5">
        <v>478</v>
      </c>
      <c r="B418" s="8" t="str">
        <f>VLOOKUP(A418,'Sets (lua data)'!$A$3:$C$9920,3,FALSE)</f>
        <v>Mother Ciannait</v>
      </c>
      <c r="C418" s="8" t="str">
        <f>VLOOKUP(A418,'Sets (lua data)'!$A$3:$C$9920,2,FALSE)</f>
        <v>Mutter Ciannait</v>
      </c>
      <c r="G418" s="62" t="str">
        <f t="shared" si="6"/>
        <v/>
      </c>
    </row>
    <row r="419" spans="1:7" x14ac:dyDescent="0.25">
      <c r="A419" s="5">
        <v>479</v>
      </c>
      <c r="B419" s="8" t="str">
        <f>VLOOKUP(A419,'Sets (lua data)'!$A$3:$C$9920,3,FALSE)</f>
        <v>Kjalnar\'s Nightmare</v>
      </c>
      <c r="C419" s="8" t="str">
        <f>VLOOKUP(A419,'Sets (lua data)'!$A$3:$C$9920,2,FALSE)</f>
        <v>Kjalnar\'s Albtraum</v>
      </c>
      <c r="G419" s="62" t="str">
        <f t="shared" si="6"/>
        <v/>
      </c>
    </row>
    <row r="420" spans="1:7" x14ac:dyDescent="0.25">
      <c r="A420" s="5">
        <v>480</v>
      </c>
      <c r="B420" s="8" t="str">
        <f>VLOOKUP(A420,'Sets (lua data)'!$A$3:$C$9920,3,FALSE)</f>
        <v>Critical Riposte</v>
      </c>
      <c r="C420" s="8" t="str">
        <f>VLOOKUP(A420,'Sets (lua data)'!$A$3:$C$9920,2,FALSE)</f>
        <v>Kritischer Konter</v>
      </c>
      <c r="G420" s="62" t="str">
        <f t="shared" si="6"/>
        <v/>
      </c>
    </row>
    <row r="421" spans="1:7" x14ac:dyDescent="0.25">
      <c r="A421" s="5">
        <v>481</v>
      </c>
      <c r="B421" s="8" t="str">
        <f>VLOOKUP(A421,'Sets (lua data)'!$A$3:$C$9920,3,FALSE)</f>
        <v>Unchained Aggressor</v>
      </c>
      <c r="C421" s="8" t="str">
        <f>VLOOKUP(A421,'Sets (lua data)'!$A$3:$C$9920,2,FALSE)</f>
        <v>Entfesselter Aggressor</v>
      </c>
      <c r="G421" s="62" t="str">
        <f t="shared" si="6"/>
        <v/>
      </c>
    </row>
    <row r="422" spans="1:7" x14ac:dyDescent="0.25">
      <c r="A422" s="5">
        <v>482</v>
      </c>
      <c r="B422" s="8" t="str">
        <f>VLOOKUP(A422,'Sets (lua data)'!$A$3:$C$9920,3,FALSE)</f>
        <v>Dauntless Combatant</v>
      </c>
      <c r="C422" s="8" t="str">
        <f>VLOOKUP(A422,'Sets (lua data)'!$A$3:$C$9920,2,FALSE)</f>
        <v>Furchtloser Kombattant</v>
      </c>
      <c r="G422" s="62" t="str">
        <f t="shared" si="6"/>
        <v/>
      </c>
    </row>
    <row r="423" spans="1:7" x14ac:dyDescent="0.25">
      <c r="A423" s="5">
        <v>483</v>
      </c>
      <c r="B423" s="8" t="str">
        <f>VLOOKUP(A423,'Sets (lua data)'!$A$3:$C$9920,3,FALSE)</f>
        <v>Template_Drop_Magi</v>
      </c>
      <c r="C423" s="8" t="str">
        <f>VLOOKUP(A423,'Sets (lua data)'!$A$3:$C$9920,2,FALSE)</f>
        <v>Template_Drop_Magi</v>
      </c>
      <c r="G423" s="62" t="str">
        <f t="shared" si="6"/>
        <v/>
      </c>
    </row>
    <row r="424" spans="1:7" x14ac:dyDescent="0.25">
      <c r="A424" s="5">
        <v>484</v>
      </c>
      <c r="B424" s="8" t="str">
        <f>VLOOKUP(A424,'Sets (lua data)'!$A$3:$C$9920,3,FALSE)</f>
        <v>Template_Drop_Stamina</v>
      </c>
      <c r="C424" s="8" t="str">
        <f>VLOOKUP(A424,'Sets (lua data)'!$A$3:$C$9920,2,FALSE)</f>
        <v>Template_Drop_Stamina</v>
      </c>
      <c r="G424" s="62" t="str">
        <f t="shared" si="6"/>
        <v/>
      </c>
    </row>
    <row r="425" spans="1:7" x14ac:dyDescent="0.25">
      <c r="A425" s="5">
        <v>485</v>
      </c>
      <c r="B425" s="8" t="str">
        <f>VLOOKUP(A425,'Sets (lua data)'!$A$3:$C$9920,3,FALSE)</f>
        <v>Template_Drop_Tank</v>
      </c>
      <c r="C425" s="8" t="str">
        <f>VLOOKUP(A425,'Sets (lua data)'!$A$3:$C$9920,2,FALSE)</f>
        <v>Template_Drop_Tank</v>
      </c>
      <c r="G425" s="62" t="str">
        <f t="shared" si="6"/>
        <v/>
      </c>
    </row>
    <row r="426" spans="1:7" x14ac:dyDescent="0.25">
      <c r="A426" s="5">
        <v>486</v>
      </c>
      <c r="B426" s="8" t="str">
        <f>VLOOKUP(A426,'Sets (lua data)'!$A$3:$C$9920,3,FALSE)</f>
        <v>Template_Drop_Healer</v>
      </c>
      <c r="C426" s="8" t="str">
        <f>VLOOKUP(A426,'Sets (lua data)'!$A$3:$C$9920,2,FALSE)</f>
        <v>Template_Drop_Healer</v>
      </c>
      <c r="G426" s="62" t="str">
        <f t="shared" si="6"/>
        <v/>
      </c>
    </row>
    <row r="427" spans="1:7" ht="105" x14ac:dyDescent="0.25">
      <c r="A427" s="5">
        <v>487</v>
      </c>
      <c r="B427" s="8" t="str">
        <f>VLOOKUP(A427,'Sets (lua data)'!$A$3:$C$9920,3,FALSE)</f>
        <v>Winter\'s Respite</v>
      </c>
      <c r="C427" s="8" t="str">
        <f>VLOOKUP(A427,'Sets (lua data)'!$A$3:$C$9920,2,FALSE)</f>
        <v>Winterruhe</v>
      </c>
      <c r="D427" s="20" t="s">
        <v>2252</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data)'!$A$3:$C$9920,3,FALSE)</f>
        <v>Venomous Smite</v>
      </c>
      <c r="C428" s="8" t="str">
        <f>VLOOKUP(A428,'Sets (lua data)'!$A$3:$C$9920,2,FALSE)</f>
        <v>Giftschlag</v>
      </c>
      <c r="D428" s="20" t="s">
        <v>2253</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data)'!$A$3:$C$9920,3,FALSE)</f>
        <v>Eternal Vigor</v>
      </c>
      <c r="C429" s="8" t="str">
        <f>VLOOKUP(A429,'Sets (lua data)'!$A$3:$C$9920,2,FALSE)</f>
        <v>Ewiger Elan</v>
      </c>
      <c r="G429" s="62" t="str">
        <f t="shared" si="6"/>
        <v/>
      </c>
    </row>
    <row r="430" spans="1:7" x14ac:dyDescent="0.25">
      <c r="A430" s="5">
        <v>490</v>
      </c>
      <c r="B430" s="8" t="str">
        <f>VLOOKUP(A430,'Sets (lua data)'!$A$3:$C$9920,3,FALSE)</f>
        <v>Stuhn\'s Favor</v>
      </c>
      <c r="C430" s="8" t="str">
        <f>VLOOKUP(A430,'Sets (lua data)'!$A$3:$C$9920,2,FALSE)</f>
        <v>Stuhns Gunst</v>
      </c>
      <c r="G430" s="62" t="str">
        <f t="shared" si="6"/>
        <v/>
      </c>
    </row>
    <row r="431" spans="1:7" x14ac:dyDescent="0.25">
      <c r="A431" s="5">
        <v>491</v>
      </c>
      <c r="B431" s="8" t="str">
        <f>VLOOKUP(A431,'Sets (lua data)'!$A$3:$C$9920,3,FALSE)</f>
        <v>Dragon\'s Appetite</v>
      </c>
      <c r="C431" s="8" t="str">
        <f>VLOOKUP(A431,'Sets (lua data)'!$A$3:$C$9920,2,FALSE)</f>
        <v>Appetit des Drachen</v>
      </c>
      <c r="G431" s="62" t="str">
        <f t="shared" si="6"/>
        <v/>
      </c>
    </row>
    <row r="432" spans="1:7" ht="105" x14ac:dyDescent="0.25">
      <c r="A432" s="5">
        <v>492</v>
      </c>
      <c r="B432" s="8" t="str">
        <f>VLOOKUP(A432,'Sets (lua data)'!$A$3:$C$9920,3,FALSE)</f>
        <v>Kyne\'s Wind</v>
      </c>
      <c r="C432" s="8" t="str">
        <f>VLOOKUP(A432,'Sets (lua data)'!$A$3:$C$9920,2,FALSE)</f>
        <v>Kynes Wind</v>
      </c>
      <c r="D432" s="20" t="s">
        <v>2165</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data)'!$A$3:$C$9920,3,FALSE)</f>
        <v>Perfected Kyne\'s Wind</v>
      </c>
      <c r="C433" s="8" t="str">
        <f>VLOOKUP(A433,'Sets (lua data)'!$A$3:$C$9920,2,FALSE)</f>
        <v>Kynes perfektionierter Wind</v>
      </c>
      <c r="D433" s="20" t="s">
        <v>2166</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data)'!$A$3:$C$9920,3,FALSE)</f>
        <v>Vrol\'s Command</v>
      </c>
      <c r="C434" s="8" t="str">
        <f>VLOOKUP(A434,'Sets (lua data)'!$A$3:$C$9920,2,FALSE)</f>
        <v>Vrols Befehl</v>
      </c>
      <c r="G434" s="62" t="str">
        <f t="shared" si="6"/>
        <v/>
      </c>
    </row>
    <row r="435" spans="1:7" x14ac:dyDescent="0.25">
      <c r="A435" s="5">
        <v>495</v>
      </c>
      <c r="B435" s="8" t="str">
        <f>VLOOKUP(A435,'Sets (lua data)'!$A$3:$C$9920,3,FALSE)</f>
        <v>Perfected Vrol\'s Command</v>
      </c>
      <c r="C435" s="8" t="str">
        <f>VLOOKUP(A435,'Sets (lua data)'!$A$3:$C$9920,2,FALSE)</f>
        <v>Vrols perfektionierter Befehl</v>
      </c>
      <c r="G435" s="62" t="str">
        <f t="shared" si="6"/>
        <v/>
      </c>
    </row>
    <row r="436" spans="1:7" ht="165" x14ac:dyDescent="0.25">
      <c r="A436" s="5">
        <v>496</v>
      </c>
      <c r="B436" s="8" t="str">
        <f>VLOOKUP(A436,'Sets (lua data)'!$A$3:$C$9920,3,FALSE)</f>
        <v>Roaring Opportunist</v>
      </c>
      <c r="C436" s="8" t="str">
        <f>VLOOKUP(A436,'Sets (lua data)'!$A$3:$C$9920,2,FALSE)</f>
        <v>Brüllender Opportunist</v>
      </c>
      <c r="D436" s="20" t="s">
        <v>2257</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data)'!$A$3:$C$9920,3,FALSE)</f>
        <v>Perfected Roaring Opportunist</v>
      </c>
      <c r="C437" s="8" t="str">
        <f>VLOOKUP(A437,'Sets (lua data)'!$A$3:$C$9920,2,FALSE)</f>
        <v>Perfektionierter brüllender Opportunist</v>
      </c>
      <c r="D437" s="20" t="s">
        <v>2256</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data)'!$A$3:$C$9920,3,FALSE)</f>
        <v>Yandir\'s Might</v>
      </c>
      <c r="C438" s="8" t="str">
        <f>VLOOKUP(A438,'Sets (lua data)'!$A$3:$C$9920,2,FALSE)</f>
        <v>Yandirs Macht</v>
      </c>
      <c r="G438" s="62" t="str">
        <f t="shared" ref="G438:G467" si="7">IF(AND(A438&lt;&gt;"",NOT(ISERROR(A438)),ISNUMBER(A438),D438&lt;&gt;""),CONCATENATE("[",A438,"] = {",D438,"},","     --",B438," -&gt; ",E438," / ",F438),"")</f>
        <v/>
      </c>
    </row>
    <row r="439" spans="1:7" x14ac:dyDescent="0.25">
      <c r="A439" s="5">
        <v>499</v>
      </c>
      <c r="B439" s="8" t="str">
        <f>VLOOKUP(A439,'Sets (lua data)'!$A$3:$C$9920,3,FALSE)</f>
        <v>Perfected Yandir\'s Might</v>
      </c>
      <c r="C439" s="8" t="str">
        <f>VLOOKUP(A439,'Sets (lua data)'!$A$3:$C$9920,2,FALSE)</f>
        <v>Yandirs perfektionierte Macht</v>
      </c>
      <c r="G439" s="62" t="str">
        <f t="shared" si="7"/>
        <v/>
      </c>
    </row>
    <row r="440" spans="1:7" x14ac:dyDescent="0.25">
      <c r="A440" s="5">
        <v>500</v>
      </c>
      <c r="B440" s="8" t="str">
        <f>VLOOKUP(A440,'Sets (lua data)'!$A$3:$C$9920,3,FALSE)</f>
        <v>Bloodlord\'s Embrace (OLD)</v>
      </c>
      <c r="C440" s="8" t="str">
        <f>VLOOKUP(A440,'Sets (lua data)'!$A$3:$C$9920,2,FALSE)</f>
        <v>Bloodlord's Embrace (OLD)</v>
      </c>
      <c r="G440" s="62" t="str">
        <f t="shared" si="7"/>
        <v/>
      </c>
    </row>
    <row r="441" spans="1:7" x14ac:dyDescent="0.25">
      <c r="A441" s="5">
        <v>501</v>
      </c>
      <c r="B441" s="8" t="str">
        <f>VLOOKUP(A441,'Sets (lua data)'!$A$3:$C$9920,3,FALSE)</f>
        <v>Thrassian Stranglers</v>
      </c>
      <c r="C441" s="8" t="str">
        <f>VLOOKUP(A441,'Sets (lua data)'!$A$3:$C$9920,2,FALSE)</f>
        <v>Thrassische Würger</v>
      </c>
      <c r="G441" s="62" t="str">
        <f t="shared" si="7"/>
        <v/>
      </c>
    </row>
    <row r="442" spans="1:7" x14ac:dyDescent="0.25">
      <c r="A442" s="5">
        <v>502</v>
      </c>
      <c r="B442" s="8" t="str">
        <f>VLOOKUP(A442,'Sets (lua data)'!$A$3:$C$9920,3,FALSE)</f>
        <v>Snow Treaders (OLD)</v>
      </c>
      <c r="C442" s="8" t="str">
        <f>VLOOKUP(A442,'Sets (lua data)'!$A$3:$C$9920,2,FALSE)</f>
        <v>Snow Treaders (OLD)</v>
      </c>
      <c r="G442" s="62" t="str">
        <f t="shared" si="7"/>
        <v/>
      </c>
    </row>
    <row r="443" spans="1:7" x14ac:dyDescent="0.25">
      <c r="A443" s="5">
        <v>503</v>
      </c>
      <c r="B443" s="8" t="str">
        <f>VLOOKUP(A443,'Sets (lua data)'!$A$3:$C$9920,3,FALSE)</f>
        <v>Ring of the Wild Hunt</v>
      </c>
      <c r="C443" s="8" t="str">
        <f>VLOOKUP(A443,'Sets (lua data)'!$A$3:$C$9920,2,FALSE)</f>
        <v>Ring der Wilden Jagd</v>
      </c>
      <c r="G443" s="62" t="str">
        <f t="shared" si="7"/>
        <v/>
      </c>
    </row>
    <row r="444" spans="1:7" x14ac:dyDescent="0.25">
      <c r="A444" s="5">
        <v>504</v>
      </c>
      <c r="B444" s="8" t="str">
        <f>VLOOKUP(A444,'Sets (lua data)'!$A$3:$C$9920,3,FALSE)</f>
        <v>Malacath\'s Band of Brutality X</v>
      </c>
      <c r="C444" s="8" t="str">
        <f>VLOOKUP(A444,'Sets (lua data)'!$A$3:$C$9920,2,FALSE)</f>
        <v>Malacath's Band der Brutalität X</v>
      </c>
      <c r="G444" s="62" t="str">
        <f t="shared" si="7"/>
        <v/>
      </c>
    </row>
    <row r="445" spans="1:7" x14ac:dyDescent="0.25">
      <c r="A445" s="5">
        <v>505</v>
      </c>
      <c r="B445" s="8" t="str">
        <f>VLOOKUP(A445,'Sets (lua data)'!$A$3:$C$9920,3,FALSE)</f>
        <v>Torc of Tonal Constancy</v>
      </c>
      <c r="C445" s="8" t="str">
        <f>VLOOKUP(A445,'Sets (lua data)'!$A$3:$C$9920,2,FALSE)</f>
        <v>Torques der Klangkonstanz</v>
      </c>
      <c r="G445" s="62" t="str">
        <f t="shared" si="7"/>
        <v/>
      </c>
    </row>
    <row r="446" spans="1:7" x14ac:dyDescent="0.25">
      <c r="A446" s="5">
        <v>506</v>
      </c>
      <c r="B446" s="8" t="str">
        <f>VLOOKUP(A446,'Sets (lua data)'!$A$3:$C$9920,3,FALSE)</f>
        <v>Spell Parasite</v>
      </c>
      <c r="C446" s="8" t="str">
        <f>VLOOKUP(A446,'Sets (lua data)'!$A$3:$C$9920,2,FALSE)</f>
        <v>Magieparasit</v>
      </c>
      <c r="G446" s="62" t="str">
        <f t="shared" si="7"/>
        <v/>
      </c>
    </row>
    <row r="447" spans="1:7" x14ac:dyDescent="0.25">
      <c r="A447" s="5">
        <v>507</v>
      </c>
      <c r="B447" s="8" t="e">
        <f>VLOOKUP(A447,'Sets (lua data)'!$A$3:$C$9920,3,FALSE)</f>
        <v>#N/A</v>
      </c>
      <c r="C447" s="8" t="e">
        <f>VLOOKUP(A447,'Sets (lua data)'!$A$3:$C$9920,2,FALSE)</f>
        <v>#N/A</v>
      </c>
      <c r="G447" s="62" t="str">
        <f t="shared" si="7"/>
        <v/>
      </c>
    </row>
    <row r="448" spans="1:7" x14ac:dyDescent="0.25">
      <c r="A448" s="5">
        <v>508</v>
      </c>
      <c r="B448" s="8" t="e">
        <f>VLOOKUP(A448,'Sets (lua data)'!$A$3:$C$9920,3,FALSE)</f>
        <v>#N/A</v>
      </c>
      <c r="C448" s="8" t="e">
        <f>VLOOKUP(A448,'Sets (lua data)'!$A$3:$C$9920,2,FALSE)</f>
        <v>#N/A</v>
      </c>
      <c r="G448" s="62" t="str">
        <f t="shared" si="7"/>
        <v/>
      </c>
    </row>
    <row r="449" spans="1:7" x14ac:dyDescent="0.25">
      <c r="A449" s="5">
        <v>509</v>
      </c>
      <c r="B449" s="8" t="str">
        <f>VLOOKUP(A449,'Sets (lua data)'!$A$3:$C$9920,3,FALSE)</f>
        <v>Template_Drop_Healer P</v>
      </c>
      <c r="C449" s="8" t="str">
        <f>VLOOKUP(A449,'Sets (lua data)'!$A$3:$C$9920,2,FALSE)</f>
        <v>Template_Drop_Healer P</v>
      </c>
      <c r="G449" s="62" t="str">
        <f t="shared" si="7"/>
        <v/>
      </c>
    </row>
    <row r="450" spans="1:7" x14ac:dyDescent="0.25">
      <c r="A450" s="5">
        <v>510</v>
      </c>
      <c r="B450" s="8" t="str">
        <f>VLOOKUP(A450,'Sets (lua data)'!$A$3:$C$9920,3,FALSE)</f>
        <v>Template_Drop_Tank P</v>
      </c>
      <c r="C450" s="8" t="str">
        <f>VLOOKUP(A450,'Sets (lua data)'!$A$3:$C$9920,2,FALSE)</f>
        <v>Template_Drop_Tank P</v>
      </c>
      <c r="G450" s="62" t="str">
        <f t="shared" si="7"/>
        <v/>
      </c>
    </row>
    <row r="451" spans="1:7" x14ac:dyDescent="0.25">
      <c r="A451" s="5">
        <v>511</v>
      </c>
      <c r="B451" s="8" t="str">
        <f>VLOOKUP(A451,'Sets (lua data)'!$A$3:$C$9920,3,FALSE)</f>
        <v>Template_Drop_Stamina P</v>
      </c>
      <c r="C451" s="8" t="str">
        <f>VLOOKUP(A451,'Sets (lua data)'!$A$3:$C$9920,2,FALSE)</f>
        <v>Template_Drop_Stamina P</v>
      </c>
      <c r="G451" s="62" t="str">
        <f t="shared" si="7"/>
        <v/>
      </c>
    </row>
    <row r="452" spans="1:7" x14ac:dyDescent="0.25">
      <c r="A452" s="5">
        <v>512</v>
      </c>
      <c r="B452" s="8" t="str">
        <f>VLOOKUP(A452,'Sets (lua data)'!$A$3:$C$9920,3,FALSE)</f>
        <v>Template_Drop_Magi P</v>
      </c>
      <c r="C452" s="8" t="str">
        <f>VLOOKUP(A452,'Sets (lua data)'!$A$3:$C$9920,2,FALSE)</f>
        <v>Template_Drop_Magi P</v>
      </c>
      <c r="G452" s="62" t="str">
        <f t="shared" si="7"/>
        <v/>
      </c>
    </row>
    <row r="453" spans="1:7" x14ac:dyDescent="0.25">
      <c r="A453" s="5">
        <v>513</v>
      </c>
      <c r="B453" s="8" t="str">
        <f>VLOOKUP(A453,'Sets (lua data)'!$A$3:$C$9920,3,FALSE)</f>
        <v>Talfyg\'s Treachery</v>
      </c>
      <c r="C453" s="8" t="str">
        <f>VLOOKUP(A453,'Sets (lua data)'!$A$3:$C$9920,2,FALSE)</f>
        <v>Talfygs Verrat</v>
      </c>
      <c r="G453" s="62" t="str">
        <f t="shared" si="7"/>
        <v/>
      </c>
    </row>
    <row r="454" spans="1:7" x14ac:dyDescent="0.25">
      <c r="A454" s="5">
        <v>513</v>
      </c>
      <c r="B454" s="8" t="str">
        <f>VLOOKUP(A454,'Sets (lua data)'!$A$3:$C$9920,3,FALSE)</f>
        <v>Talfyg\'s Treachery</v>
      </c>
      <c r="C454" s="8" t="str">
        <f>VLOOKUP(A454,'Sets (lua data)'!$A$3:$C$9920,2,FALSE)</f>
        <v>Talfygs Verrat</v>
      </c>
      <c r="G454" s="62" t="str">
        <f t="shared" si="7"/>
        <v/>
      </c>
    </row>
    <row r="455" spans="1:7" x14ac:dyDescent="0.25">
      <c r="A455" s="5">
        <v>514</v>
      </c>
      <c r="B455" s="8" t="str">
        <f>VLOOKUP(A455,'Sets (lua data)'!$A$3:$C$9920,3,FALSE)</f>
        <v>Unleashed Terror</v>
      </c>
      <c r="C455" s="8" t="str">
        <f>VLOOKUP(A455,'Sets (lua data)'!$A$3:$C$9920,2,FALSE)</f>
        <v>Entfesselter Schrecken</v>
      </c>
      <c r="G455" s="62" t="str">
        <f t="shared" si="7"/>
        <v/>
      </c>
    </row>
    <row r="456" spans="1:7" x14ac:dyDescent="0.25">
      <c r="A456" s="5">
        <v>514</v>
      </c>
      <c r="B456" s="8" t="str">
        <f>VLOOKUP(A456,'Sets (lua data)'!$A$3:$C$9920,3,FALSE)</f>
        <v>Unleashed Terror</v>
      </c>
      <c r="C456" s="8" t="str">
        <f>VLOOKUP(A456,'Sets (lua data)'!$A$3:$C$9920,2,FALSE)</f>
        <v>Entfesselter Schrecken</v>
      </c>
      <c r="G456" s="62" t="str">
        <f t="shared" si="7"/>
        <v/>
      </c>
    </row>
    <row r="457" spans="1:7" x14ac:dyDescent="0.25">
      <c r="A457" s="5">
        <v>515</v>
      </c>
      <c r="B457" s="8" t="str">
        <f>VLOOKUP(A457,'Sets (lua data)'!$A$3:$C$9920,3,FALSE)</f>
        <v>Crimson Twilight</v>
      </c>
      <c r="C457" s="8" t="str">
        <f>VLOOKUP(A457,'Sets (lua data)'!$A$3:$C$9920,2,FALSE)</f>
        <v>Scharlachrotes Zwielicht</v>
      </c>
      <c r="G457" s="62" t="str">
        <f t="shared" si="7"/>
        <v/>
      </c>
    </row>
    <row r="458" spans="1:7" x14ac:dyDescent="0.25">
      <c r="A458" s="5">
        <v>515</v>
      </c>
      <c r="B458" s="8" t="str">
        <f>VLOOKUP(A458,'Sets (lua data)'!$A$3:$C$9920,3,FALSE)</f>
        <v>Crimson Twilight</v>
      </c>
      <c r="C458" s="8" t="str">
        <f>VLOOKUP(A458,'Sets (lua data)'!$A$3:$C$9920,2,FALSE)</f>
        <v>Scharlachrotes Zwielicht</v>
      </c>
      <c r="G458" s="62" t="str">
        <f t="shared" si="7"/>
        <v/>
      </c>
    </row>
    <row r="459" spans="1:7" x14ac:dyDescent="0.25">
      <c r="A459" s="5">
        <v>516</v>
      </c>
      <c r="B459" s="8" t="str">
        <f>VLOOKUP(A459,'Sets (lua data)'!$A$3:$C$9920,3,FALSE)</f>
        <v>Elemental Catalyst</v>
      </c>
      <c r="C459" s="8" t="str">
        <f>VLOOKUP(A459,'Sets (lua data)'!$A$3:$C$9920,2,FALSE)</f>
        <v>Elementarer Katalysator</v>
      </c>
      <c r="G459" s="62" t="str">
        <f t="shared" si="7"/>
        <v/>
      </c>
    </row>
    <row r="460" spans="1:7" x14ac:dyDescent="0.25">
      <c r="A460" s="5">
        <v>516</v>
      </c>
      <c r="B460" s="8" t="str">
        <f>VLOOKUP(A460,'Sets (lua data)'!$A$3:$C$9920,3,FALSE)</f>
        <v>Elemental Catalyst</v>
      </c>
      <c r="C460" s="8" t="str">
        <f>VLOOKUP(A460,'Sets (lua data)'!$A$3:$C$9920,2,FALSE)</f>
        <v>Elementarer Katalysator</v>
      </c>
      <c r="G460" s="62" t="str">
        <f t="shared" si="7"/>
        <v/>
      </c>
    </row>
    <row r="461" spans="1:7" x14ac:dyDescent="0.25">
      <c r="A461" s="5">
        <v>517</v>
      </c>
      <c r="B461" s="8" t="str">
        <f>VLOOKUP(A461,'Sets (lua data)'!$A$3:$C$9920,3,FALSE)</f>
        <v>Kraglen\'s Howl</v>
      </c>
      <c r="C461" s="8" t="str">
        <f>VLOOKUP(A461,'Sets (lua data)'!$A$3:$C$9920,2,FALSE)</f>
        <v>Kraglens Heulen</v>
      </c>
      <c r="G461" s="62" t="str">
        <f t="shared" si="7"/>
        <v/>
      </c>
    </row>
    <row r="462" spans="1:7" x14ac:dyDescent="0.25">
      <c r="A462" s="5">
        <v>517</v>
      </c>
      <c r="B462" s="8" t="str">
        <f>VLOOKUP(A462,'Sets (lua data)'!$A$3:$C$9920,3,FALSE)</f>
        <v>Kraglen\'s Howl</v>
      </c>
      <c r="C462" s="8" t="str">
        <f>VLOOKUP(A462,'Sets (lua data)'!$A$3:$C$9920,2,FALSE)</f>
        <v>Kraglens Heulen</v>
      </c>
      <c r="G462" s="62" t="str">
        <f t="shared" si="7"/>
        <v/>
      </c>
    </row>
    <row r="463" spans="1:7" x14ac:dyDescent="0.25">
      <c r="A463" s="5">
        <v>518</v>
      </c>
      <c r="B463" s="8" t="str">
        <f>VLOOKUP(A463,'Sets (lua data)'!$A$3:$C$9920,3,FALSE)</f>
        <v>Arkasis\'s Genius</v>
      </c>
      <c r="C463" s="8" t="str">
        <f>VLOOKUP(A463,'Sets (lua data)'!$A$3:$C$9920,2,FALSE)</f>
        <v>Arkasis' Genie</v>
      </c>
      <c r="G463" s="62" t="str">
        <f t="shared" si="7"/>
        <v/>
      </c>
    </row>
    <row r="464" spans="1:7" x14ac:dyDescent="0.25">
      <c r="A464" s="5">
        <v>518</v>
      </c>
      <c r="B464" s="8" t="str">
        <f>VLOOKUP(A464,'Sets (lua data)'!$A$3:$C$9920,3,FALSE)</f>
        <v>Arkasis\'s Genius</v>
      </c>
      <c r="C464" s="8" t="str">
        <f>VLOOKUP(A464,'Sets (lua data)'!$A$3:$C$9920,2,FALSE)</f>
        <v>Arkasis' Genie</v>
      </c>
      <c r="G464" s="62" t="str">
        <f t="shared" si="7"/>
        <v/>
      </c>
    </row>
    <row r="465" spans="1:7" x14ac:dyDescent="0.25">
      <c r="A465" s="5">
        <v>519</v>
      </c>
      <c r="B465" s="8" t="str">
        <f>VLOOKUP(A465,'Sets (lua data)'!$A$3:$C$9920,3,FALSE)</f>
        <v>Snow Treaders</v>
      </c>
      <c r="C465" s="8" t="str">
        <f>VLOOKUP(A465,'Sets (lua data)'!$A$3:$C$9920,2,FALSE)</f>
        <v>Schneetreter</v>
      </c>
      <c r="G465" s="62" t="str">
        <f t="shared" si="7"/>
        <v/>
      </c>
    </row>
    <row r="466" spans="1:7" x14ac:dyDescent="0.25">
      <c r="A466" s="5">
        <v>520</v>
      </c>
      <c r="B466" s="8" t="str">
        <f>VLOOKUP(A466,'Sets (lua data)'!$A$3:$C$9920,3,FALSE)</f>
        <v>Malacath\'s Band of Brutality</v>
      </c>
      <c r="C466" s="8" t="str">
        <f>VLOOKUP(A466,'Sets (lua data)'!$A$3:$C$9920,2,FALSE)</f>
        <v>Malacaths Band der Brutalität</v>
      </c>
      <c r="G466" s="62" t="str">
        <f t="shared" si="7"/>
        <v/>
      </c>
    </row>
    <row r="467" spans="1:7" x14ac:dyDescent="0.25">
      <c r="A467" s="5">
        <v>521</v>
      </c>
      <c r="B467" s="8" t="str">
        <f>VLOOKUP(A467,'Sets (lua data)'!$A$3:$C$9920,3,FALSE)</f>
        <v>Bloodlord\'s Embrace</v>
      </c>
      <c r="C467" s="8" t="str">
        <f>VLOOKUP(A467,'Sets (lua data)'!$A$3:$C$9920,2,FALSE)</f>
        <v>Umarmung des Blutfürsten</v>
      </c>
      <c r="G467" s="62" t="str">
        <f t="shared" si="7"/>
        <v/>
      </c>
    </row>
    <row r="468" spans="1:7" x14ac:dyDescent="0.25">
      <c r="A468" s="5">
        <v>522</v>
      </c>
      <c r="B468" s="8" t="str">
        <f>VLOOKUP(A468,'Sets (lua data)'!$A$3:$C$9920,3,FALSE)</f>
        <v>Perfected Merciless Charge</v>
      </c>
      <c r="C468" s="8" t="str">
        <f>VLOOKUP(A468,'Sets (lua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data)'!$A$3:$C$9920,3,FALSE)</f>
        <v>Perfected Rampaging Slash</v>
      </c>
      <c r="C469" s="8" t="str">
        <f>VLOOKUP(A469,'Sets (lua data)'!$A$3:$C$9920,2,FALSE)</f>
        <v>Perfektionierter tobender Schnitt</v>
      </c>
      <c r="G469" s="62" t="str">
        <f t="shared" si="8"/>
        <v/>
      </c>
    </row>
    <row r="470" spans="1:7" x14ac:dyDescent="0.25">
      <c r="A470" s="5">
        <v>524</v>
      </c>
      <c r="B470" s="8" t="str">
        <f>VLOOKUP(A470,'Sets (lua data)'!$A$3:$C$9920,3,FALSE)</f>
        <v>Perfected Cruel Flurry</v>
      </c>
      <c r="C470" s="8" t="str">
        <f>VLOOKUP(A470,'Sets (lua data)'!$A$3:$C$9920,2,FALSE)</f>
        <v>Perfektionierter grausamer Schlaghagel</v>
      </c>
      <c r="G470" s="62" t="str">
        <f t="shared" si="8"/>
        <v/>
      </c>
    </row>
    <row r="471" spans="1:7" x14ac:dyDescent="0.25">
      <c r="A471" s="5">
        <v>525</v>
      </c>
      <c r="B471" s="8" t="str">
        <f>VLOOKUP(A471,'Sets (lua data)'!$A$3:$C$9920,3,FALSE)</f>
        <v>Perfected Thunderous Volley</v>
      </c>
      <c r="C471" s="8" t="str">
        <f>VLOOKUP(A471,'Sets (lua data)'!$A$3:$C$9920,2,FALSE)</f>
        <v>Perfektionierte donnernde Salve</v>
      </c>
      <c r="G471" s="62" t="str">
        <f t="shared" si="8"/>
        <v/>
      </c>
    </row>
    <row r="472" spans="1:7" x14ac:dyDescent="0.25">
      <c r="A472" s="5">
        <v>526</v>
      </c>
      <c r="B472" s="8" t="str">
        <f>VLOOKUP(A472,'Sets (lua data)'!$A$3:$C$9920,3,FALSE)</f>
        <v>Perfected Crushing Wall</v>
      </c>
      <c r="C472" s="8" t="str">
        <f>VLOOKUP(A472,'Sets (lua data)'!$A$3:$C$9920,2,FALSE)</f>
        <v>Perfektionierte zermalmende Mauer</v>
      </c>
      <c r="G472" s="62" t="str">
        <f t="shared" si="8"/>
        <v/>
      </c>
    </row>
    <row r="473" spans="1:7" x14ac:dyDescent="0.25">
      <c r="A473" s="5">
        <v>527</v>
      </c>
      <c r="B473" s="8" t="str">
        <f>VLOOKUP(A473,'Sets (lua data)'!$A$3:$C$9920,3,FALSE)</f>
        <v>Perfected Precise Regeneration</v>
      </c>
      <c r="C473" s="8" t="str">
        <f>VLOOKUP(A473,'Sets (lua data)'!$A$3:$C$9920,2,FALSE)</f>
        <v>Perfektionierte präzise Regeneration</v>
      </c>
      <c r="G473" s="62" t="str">
        <f t="shared" si="8"/>
        <v/>
      </c>
    </row>
    <row r="474" spans="1:7" x14ac:dyDescent="0.25">
      <c r="A474" s="5">
        <v>528</v>
      </c>
      <c r="B474" s="8" t="str">
        <f>VLOOKUP(A474,'Sets (lua data)'!$A$3:$C$9920,3,FALSE)</f>
        <v>Perfected Titanic Cleave</v>
      </c>
      <c r="C474" s="8" t="str">
        <f>VLOOKUP(A474,'Sets (lua data)'!$A$3:$C$9920,2,FALSE)</f>
        <v>Perfektioniertes titanisches Trennen</v>
      </c>
      <c r="G474" s="62" t="str">
        <f t="shared" si="8"/>
        <v/>
      </c>
    </row>
    <row r="475" spans="1:7" x14ac:dyDescent="0.25">
      <c r="A475" s="5">
        <v>529</v>
      </c>
      <c r="B475" s="8" t="str">
        <f>VLOOKUP(A475,'Sets (lua data)'!$A$3:$C$9920,3,FALSE)</f>
        <v>Perfected Puncturing Remedy</v>
      </c>
      <c r="C475" s="8" t="str">
        <f>VLOOKUP(A475,'Sets (lua data)'!$A$3:$C$9920,2,FALSE)</f>
        <v>Perfektionierte durchschlagende Genesung</v>
      </c>
      <c r="G475" s="62" t="str">
        <f t="shared" si="8"/>
        <v/>
      </c>
    </row>
    <row r="476" spans="1:7" x14ac:dyDescent="0.25">
      <c r="A476" s="5">
        <v>530</v>
      </c>
      <c r="B476" s="8" t="str">
        <f>VLOOKUP(A476,'Sets (lua data)'!$A$3:$C$9920,3,FALSE)</f>
        <v>Perfected Stinging Slashes</v>
      </c>
      <c r="C476" s="8" t="str">
        <f>VLOOKUP(A476,'Sets (lua data)'!$A$3:$C$9920,2,FALSE)</f>
        <v>Perfektionierte stechende Schnitte</v>
      </c>
      <c r="G476" s="62" t="str">
        <f t="shared" si="8"/>
        <v/>
      </c>
    </row>
    <row r="477" spans="1:7" x14ac:dyDescent="0.25">
      <c r="A477" s="5">
        <v>531</v>
      </c>
      <c r="B477" s="8" t="str">
        <f>VLOOKUP(A477,'Sets (lua data)'!$A$3:$C$9920,3,FALSE)</f>
        <v>Perfected Caustic Arrow</v>
      </c>
      <c r="C477" s="8" t="str">
        <f>VLOOKUP(A477,'Sets (lua data)'!$A$3:$C$9920,2,FALSE)</f>
        <v>Perfektionierter beißender Pfeil</v>
      </c>
      <c r="G477" s="62" t="str">
        <f t="shared" si="8"/>
        <v/>
      </c>
    </row>
    <row r="478" spans="1:7" x14ac:dyDescent="0.25">
      <c r="A478" s="5">
        <v>532</v>
      </c>
      <c r="B478" s="8" t="str">
        <f>VLOOKUP(A478,'Sets (lua data)'!$A$3:$C$9920,3,FALSE)</f>
        <v>Perfected Destructive Impact</v>
      </c>
      <c r="C478" s="8" t="str">
        <f>VLOOKUP(A478,'Sets (lua data)'!$A$3:$C$9920,2,FALSE)</f>
        <v>Perfektionierter zerstörerischer Einschlag</v>
      </c>
      <c r="G478" s="62" t="str">
        <f t="shared" si="8"/>
        <v/>
      </c>
    </row>
    <row r="479" spans="1:7" x14ac:dyDescent="0.25">
      <c r="A479" s="5">
        <v>534</v>
      </c>
      <c r="B479" s="8" t="str">
        <f>VLOOKUP(A479,'Sets (lua data)'!$A$3:$C$9920,3,FALSE)</f>
        <v>Stone Husk</v>
      </c>
      <c r="C479" s="8" t="str">
        <f>VLOOKUP(A479,'Sets (lua data)'!$A$3:$C$9920,2,FALSE)</f>
        <v>Steinhülle</v>
      </c>
      <c r="G479" s="62" t="str">
        <f t="shared" si="8"/>
        <v/>
      </c>
    </row>
    <row r="480" spans="1:7" ht="90" x14ac:dyDescent="0.25">
      <c r="A480" s="5">
        <v>535</v>
      </c>
      <c r="B480" s="8" t="str">
        <f>VLOOKUP(A480,'Sets (lua data)'!$A$3:$C$9920,3,FALSE)</f>
        <v>Lady Thorn</v>
      </c>
      <c r="C480" s="8" t="str">
        <f>VLOOKUP(A480,'Sets (lua data)'!$A$3:$C$9920,2,FALSE)</f>
        <v>Fürstin Dorn</v>
      </c>
      <c r="D480" s="20" t="s">
        <v>2248</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data)'!$A$3:$C$9920,3,FALSE)</f>
        <v>Radiant Bastion</v>
      </c>
      <c r="C481" s="8" t="str">
        <f>VLOOKUP(A481,'Sets (lua data)'!$A$3:$C$9920,2,FALSE)</f>
        <v>Strahlende Bastion</v>
      </c>
    </row>
    <row r="482" spans="1:7" x14ac:dyDescent="0.25">
      <c r="A482" s="5">
        <v>537</v>
      </c>
      <c r="B482" s="8" t="str">
        <f>VLOOKUP(A482,'Sets (lua data)'!$A$3:$C$9920,3,FALSE)</f>
        <v>Voidcaller</v>
      </c>
      <c r="C482" s="8" t="str">
        <f>VLOOKUP(A482,'Sets (lua data)'!$A$3:$C$9920,2,FALSE)</f>
        <v>Leerenrufer</v>
      </c>
    </row>
    <row r="483" spans="1:7" x14ac:dyDescent="0.25">
      <c r="A483" s="5">
        <v>538</v>
      </c>
      <c r="B483" s="8" t="str">
        <f>VLOOKUP(A483,'Sets (lua data)'!$A$3:$C$9920,3,FALSE)</f>
        <v>Witch-Knight\'s Defiance</v>
      </c>
      <c r="C483" s="8" t="str">
        <f>VLOOKUP(A483,'Sets (lua data)'!$A$3:$C$9920,2,FALSE)</f>
        <v>Trotz des Hexenritters</v>
      </c>
    </row>
    <row r="484" spans="1:7" x14ac:dyDescent="0.25">
      <c r="A484" s="5">
        <v>539</v>
      </c>
      <c r="B484" s="8" t="str">
        <f>VLOOKUP(A484,'Sets (lua data)'!$A$3:$C$9920,3,FALSE)</f>
        <v>Red Eagle\'s Fury</v>
      </c>
      <c r="C484" s="8" t="str">
        <f>VLOOKUP(A484,'Sets (lua data)'!$A$3:$C$9920,2,FALSE)</f>
        <v>Zorn des Roten Adlers</v>
      </c>
    </row>
    <row r="485" spans="1:7" x14ac:dyDescent="0.25">
      <c r="A485" s="5">
        <v>540</v>
      </c>
      <c r="B485" s="8" t="str">
        <f>VLOOKUP(A485,'Sets (lua data)'!$A$3:$C$9920,3,FALSE)</f>
        <v>Legacy of Karth</v>
      </c>
      <c r="C485" s="8" t="str">
        <f>VLOOKUP(A485,'Sets (lua data)'!$A$3:$C$9920,2,FALSE)</f>
        <v>Erbe des Karth</v>
      </c>
    </row>
    <row r="486" spans="1:7" x14ac:dyDescent="0.25">
      <c r="A486" s="5">
        <v>541</v>
      </c>
      <c r="B486" s="8" t="str">
        <f>VLOOKUP(A486,'Sets (lua data)'!$A$3:$C$9920,3,FALSE)</f>
        <v>Aetherial Ascension</v>
      </c>
      <c r="C486" s="8" t="str">
        <f>VLOOKUP(A486,'Sets (lua data)'!$A$3:$C$9920,2,FALSE)</f>
        <v>Ätherischer Aufstieg</v>
      </c>
    </row>
    <row r="487" spans="1:7" x14ac:dyDescent="0.25">
      <c r="A487" s="5">
        <v>542</v>
      </c>
      <c r="B487" s="8" t="str">
        <f>VLOOKUP(A487,'Sets (lua data)'!$A$3:$C$9920,3,FALSE)</f>
        <v>Hex Siphon</v>
      </c>
      <c r="C487" s="8" t="str">
        <f>VLOOKUP(A487,'Sets (lua data)'!$A$3:$C$9920,2,FALSE)</f>
        <v>Fluchsiphon</v>
      </c>
    </row>
    <row r="488" spans="1:7" x14ac:dyDescent="0.25">
      <c r="A488" s="5">
        <v>543</v>
      </c>
      <c r="B488" s="8" t="str">
        <f>VLOOKUP(A488,'Sets (lua data)'!$A$3:$C$9920,3,FALSE)</f>
        <v>Pestilent Host</v>
      </c>
      <c r="C488" s="8" t="str">
        <f>VLOOKUP(A488,'Sets (lua data)'!$A$3:$C$9920,2,FALSE)</f>
        <v>Pestilenter Wirt</v>
      </c>
    </row>
    <row r="489" spans="1:7" x14ac:dyDescent="0.25">
      <c r="A489" s="5">
        <v>544</v>
      </c>
      <c r="B489" s="8" t="str">
        <f>VLOOKUP(A489,'Sets (lua data)'!$A$3:$C$9920,3,FALSE)</f>
        <v>Explosive Rebuke</v>
      </c>
      <c r="C489" s="8" t="str">
        <f>VLOOKUP(A489,'Sets (lua data)'!$A$3:$C$9920,2,FALSE)</f>
        <v>Explosiver Tadel</v>
      </c>
    </row>
    <row r="490" spans="1:7" x14ac:dyDescent="0.25">
      <c r="A490" s="5">
        <v>557</v>
      </c>
      <c r="B490" s="8" t="str">
        <f>VLOOKUP(A490,'Sets (lua data)'!$A$3:$C$9920,3,FALSE)</f>
        <v>Executioner\'s Blade</v>
      </c>
      <c r="C490" s="8" t="str">
        <f>VLOOKUP(A490,'Sets (lua data)'!$A$3:$C$9920,2,FALSE)</f>
        <v>Henkersklinge</v>
      </c>
    </row>
    <row r="491" spans="1:7" ht="105" x14ac:dyDescent="0.25">
      <c r="A491" s="5">
        <v>558</v>
      </c>
      <c r="B491" s="8" t="str">
        <f>VLOOKUP(A491,'Sets (lua data)'!$A$3:$C$9920,3,FALSE)</f>
        <v>Void Bash</v>
      </c>
      <c r="C491" s="8" t="str">
        <f>VLOOKUP(A491,'Sets (lua data)'!$A$3:$C$9920,2,FALSE)</f>
        <v>LeerenWucht</v>
      </c>
      <c r="D491" s="20" t="s">
        <v>2246</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data)'!$A$3:$C$9920,3,FALSE)</f>
        <v>Frenzied Momentum</v>
      </c>
      <c r="C492" s="8" t="str">
        <f>VLOOKUP(A492,'Sets (lua data)'!$A$3:$C$9920,2,FALSE)</f>
        <v>Tobendes Momentum</v>
      </c>
    </row>
    <row r="493" spans="1:7" x14ac:dyDescent="0.25">
      <c r="A493" s="5">
        <v>560</v>
      </c>
      <c r="B493" s="8" t="str">
        <f>VLOOKUP(A493,'Sets (lua data)'!$A$3:$C$9920,3,FALSE)</f>
        <v>Point-Blank Snipe</v>
      </c>
      <c r="C493" s="8" t="str">
        <f>VLOOKUP(A493,'Sets (lua data)'!$A$3:$C$9920,2,FALSE)</f>
        <v>Volltreffer</v>
      </c>
    </row>
    <row r="494" spans="1:7" ht="105" x14ac:dyDescent="0.25">
      <c r="A494" s="5">
        <v>561</v>
      </c>
      <c r="B494" s="8" t="str">
        <f>VLOOKUP(A494,'Sets (lua data)'!$A$3:$C$9920,3,FALSE)</f>
        <v>Wrath of Elements</v>
      </c>
      <c r="C494" s="8" t="str">
        <f>VLOOKUP(A494,'Sets (lua data)'!$A$3:$C$9920,2,FALSE)</f>
        <v>Zorn der Elemente</v>
      </c>
      <c r="D494" s="20" t="s">
        <v>2245</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data)'!$A$3:$C$9920,3,FALSE)</f>
        <v>Force Overflow</v>
      </c>
      <c r="C495" s="8" t="str">
        <f>VLOOKUP(A495,'Sets (lua data)'!$A$3:$C$9920,2,FALSE)</f>
        <v>Machtüberschuss</v>
      </c>
      <c r="D495" s="20" t="s">
        <v>2244</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data)'!$A$3:$C$9920,3,FALSE)</f>
        <v>Perfected Executioner\'s Blade</v>
      </c>
      <c r="C496" s="8" t="str">
        <f>VLOOKUP(A496,'Sets (lua data)'!$A$3:$C$9920,2,FALSE)</f>
        <v>Perfektionierte Klinge des Henkers</v>
      </c>
    </row>
    <row r="497" spans="1:7" ht="105" x14ac:dyDescent="0.25">
      <c r="A497" s="5">
        <v>564</v>
      </c>
      <c r="B497" s="8" t="str">
        <f>VLOOKUP(A497,'Sets (lua data)'!$A$3:$C$9920,3,FALSE)</f>
        <v>Perfected Void Bash</v>
      </c>
      <c r="C497" s="8" t="str">
        <f>VLOOKUP(A497,'Sets (lua data)'!$A$3:$C$9920,2,FALSE)</f>
        <v>Perfektionierte Leerenwucht</v>
      </c>
      <c r="D497" s="20" t="s">
        <v>2246</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data)'!$A$3:$C$9920,3,FALSE)</f>
        <v>Perfected Frenzied Momentum</v>
      </c>
      <c r="C498" s="8" t="str">
        <f>VLOOKUP(A498,'Sets (lua data)'!$A$3:$C$9920,2,FALSE)</f>
        <v>Perfektioniertes tobendes Momentum</v>
      </c>
    </row>
    <row r="499" spans="1:7" x14ac:dyDescent="0.25">
      <c r="A499" s="5">
        <v>566</v>
      </c>
      <c r="B499" s="8" t="str">
        <f>VLOOKUP(A499,'Sets (lua data)'!$A$3:$C$9920,3,FALSE)</f>
        <v>Perfected Point-Blank Snipe</v>
      </c>
      <c r="C499" s="8" t="str">
        <f>VLOOKUP(A499,'Sets (lua data)'!$A$3:$C$9920,2,FALSE)</f>
        <v>Perfektionierter Volltreffer</v>
      </c>
    </row>
    <row r="500" spans="1:7" ht="105" x14ac:dyDescent="0.25">
      <c r="A500" s="5">
        <v>567</v>
      </c>
      <c r="B500" s="8" t="str">
        <f>VLOOKUP(A500,'Sets (lua data)'!$A$3:$C$9920,3,FALSE)</f>
        <v>Perfected Wrath of Elements</v>
      </c>
      <c r="C500" s="8" t="str">
        <f>VLOOKUP(A500,'Sets (lua data)'!$A$3:$C$9920,2,FALSE)</f>
        <v>Perfektionierter Zorn der Elemente</v>
      </c>
      <c r="D500" s="20" t="s">
        <v>2245</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data)'!$A$3:$C$9920,3,FALSE)</f>
        <v>Perfected Force Overflow</v>
      </c>
      <c r="C501" s="8" t="str">
        <f>VLOOKUP(A501,'Sets (lua data)'!$A$3:$C$9920,2,FALSE)</f>
        <v>Perfektionierter Machtüberschuss</v>
      </c>
      <c r="D501" s="20" t="s">
        <v>2244</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data)'!$A$3:$C$9920,3,FALSE)</f>
        <v>Ring of the Pale Order</v>
      </c>
      <c r="C502" s="8" t="str">
        <f>VLOOKUP(A502,'Sets (lua data)'!$A$3:$C$9920,2,FALSE)</f>
        <v>Ring des Fahlen Ordens</v>
      </c>
    </row>
    <row r="503" spans="1:7" x14ac:dyDescent="0.25">
      <c r="A503" s="5">
        <v>576</v>
      </c>
      <c r="B503" s="8" t="str">
        <f>VLOOKUP(A503,'Sets (lua data)'!$A$3:$C$9920,3,FALSE)</f>
        <v>Pearls of Ehlnofey</v>
      </c>
      <c r="C503" s="8" t="str">
        <f>VLOOKUP(A503,'Sets (lua data)'!$A$3:$C$9920,2,FALSE)</f>
        <v>Perlen der Ehlnofey</v>
      </c>
    </row>
    <row r="504" spans="1:7" x14ac:dyDescent="0.25">
      <c r="A504" s="68">
        <v>569</v>
      </c>
      <c r="B504" s="8" t="str">
        <f>VLOOKUP(A504,'Sets (lua data)'!$A$3:$C$9920,3,FALSE)</f>
        <v>True-Sworn Fury </v>
      </c>
      <c r="C504" s="8" t="str">
        <f>VLOOKUP(A504,'Sets (lua data)'!$A$3:$C$9920,2,FALSE)</f>
        <v>Wahrgeschworenen-Raserei</v>
      </c>
    </row>
    <row r="505" spans="1:7" x14ac:dyDescent="0.25">
      <c r="A505" s="68">
        <v>570</v>
      </c>
      <c r="B505" s="8" t="str">
        <f>VLOOKUP(A505,'Sets (lua data)'!$A$3:$C$9920,3,FALSE)</f>
        <v>Kinras\'s Wrath</v>
      </c>
      <c r="C505" s="8" t="str">
        <f>VLOOKUP(A505,'Sets (lua data)'!$A$3:$C$9920,2,FALSE)</f>
        <v>Kinra's Zorn</v>
      </c>
    </row>
    <row r="506" spans="1:7" x14ac:dyDescent="0.25">
      <c r="A506" s="68">
        <v>571</v>
      </c>
      <c r="B506" s="8" t="str">
        <f>VLOOKUP(A506,'Sets (lua data)'!$A$3:$C$9920,3,FALSE)</f>
        <v>Drake\'s Rush</v>
      </c>
      <c r="C506" s="8" t="str">
        <f>VLOOKUP(A506,'Sets (lua data)'!$A$3:$C$9920,2,FALSE)</f>
        <v>Dracheneile</v>
      </c>
    </row>
    <row r="507" spans="1:7" x14ac:dyDescent="0.25">
      <c r="A507" s="68">
        <v>572</v>
      </c>
      <c r="B507" s="8" t="str">
        <f>VLOOKUP(A507,'Sets (lua data)'!$A$3:$C$9920,3,FALSE)</f>
        <v>Unleashed Ritualist</v>
      </c>
      <c r="C507" s="8" t="str">
        <f>VLOOKUP(A507,'Sets (lua data)'!$A$3:$C$9920,2,FALSE)</f>
        <v>Entfesselter Ritualist</v>
      </c>
    </row>
    <row r="508" spans="1:7" x14ac:dyDescent="0.25">
      <c r="A508" s="68">
        <v>573</v>
      </c>
      <c r="B508" s="8" t="str">
        <f>VLOOKUP(A508,'Sets (lua data)'!$A$3:$C$9920,3,FALSE)</f>
        <v>Dagon\'s Dominion</v>
      </c>
      <c r="C508" s="8" t="str">
        <f>VLOOKUP(A508,'Sets (lua data)'!$A$3:$C$9920,2,FALSE)</f>
        <v>Dagons Herrschaft</v>
      </c>
    </row>
    <row r="509" spans="1:7" x14ac:dyDescent="0.25">
      <c r="A509" s="68">
        <v>574</v>
      </c>
      <c r="B509" s="8" t="str">
        <f>VLOOKUP(A509,'Sets (lua data)'!$A$3:$C$9920,3,FALSE)</f>
        <v>Foolkiller\'s Ward</v>
      </c>
      <c r="C509" s="8" t="str">
        <f>VLOOKUP(A509,'Sets (lua data)'!$A$3:$C$9920,2,FALSE)</f>
        <v>Schutz des Narrentöters</v>
      </c>
    </row>
    <row r="510" spans="1:7" x14ac:dyDescent="0.25">
      <c r="A510" s="68">
        <v>577</v>
      </c>
      <c r="B510" s="8" t="str">
        <f>VLOOKUP(A510,'Sets (lua data)'!$A$3:$C$9920,3,FALSE)</f>
        <v>Encrati\'s Behemoth</v>
      </c>
      <c r="C510" s="8" t="str">
        <f>VLOOKUP(A510,'Sets (lua data)'!$A$3:$C$9920,2,FALSE)</f>
        <v>Encrati\'s Behemoth</v>
      </c>
    </row>
    <row r="511" spans="1:7" x14ac:dyDescent="0.25">
      <c r="A511" s="68">
        <v>578</v>
      </c>
      <c r="B511" s="8" t="str">
        <f>VLOOKUP(A511,'Sets (lua data)'!$A$3:$C$9920,3,FALSE)</f>
        <v>Baron Zaudrus</v>
      </c>
      <c r="C511" s="8" t="str">
        <f>VLOOKUP(A511,'Sets (lua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14</vt:i4>
      </vt:variant>
    </vt:vector>
  </HeadingPairs>
  <TitlesOfParts>
    <vt:vector size="14" baseType="lpstr">
      <vt:lpstr>&lt;Constants&gt;</vt:lpstr>
      <vt:lpstr>Sets (lua data)</vt:lpstr>
      <vt:lpstr>Comments</vt:lpstr>
      <vt:lpstr>ESO 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2025-12-04T18:06:33Z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